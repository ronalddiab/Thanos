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dhakar appa\desktop\Report HLP 2020\HLP 2022\"/>
    </mc:Choice>
  </mc:AlternateContent>
  <xr:revisionPtr revIDLastSave="0" documentId="8_{858790C1-1A5D-437B-B6B1-13DBC11B24F3}" xr6:coauthVersionLast="47" xr6:coauthVersionMax="47" xr10:uidLastSave="{00000000-0000-0000-0000-000000000000}"/>
  <bookViews>
    <workbookView xWindow="-120" yWindow="-120" windowWidth="20730" windowHeight="11160" tabRatio="960" firstSheet="2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  <sheet name="Sheet2" sheetId="51" r:id="rId40"/>
    <sheet name="Sheet3" sheetId="52" r:id="rId41"/>
    <sheet name="Sheet4" sheetId="53" r:id="rId42"/>
  </sheets>
  <externalReferences>
    <externalReference r:id="rId43"/>
    <externalReference r:id="rId44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'14'!$A$1:$J$190</definedName>
    <definedName name="_xlnm.Print_Area" localSheetId="20">'15'!$A$1:$J$192</definedName>
    <definedName name="_xlnm.Print_Area" localSheetId="21">'16'!$A$1:$J$192</definedName>
    <definedName name="_xlnm.Print_Area" localSheetId="22">'17'!$A$1:$N$191</definedName>
    <definedName name="_xlnm.Print_Area" localSheetId="23">'18 '!$A$1:$N$190</definedName>
    <definedName name="_xlnm.Print_Area" localSheetId="24">'19'!$A$1:$J$190</definedName>
    <definedName name="_xlnm.Print_Area" localSheetId="25">'20'!$A$1:$J$200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'30'!$A$1:$J$189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'6'!$A$1:$J$199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3" i="40" l="1"/>
  <c r="E114" i="40"/>
  <c r="E115" i="40"/>
  <c r="E116" i="40"/>
  <c r="E117" i="40"/>
  <c r="E118" i="40"/>
  <c r="E119" i="40"/>
  <c r="E120" i="40"/>
  <c r="E121" i="40"/>
  <c r="E122" i="40"/>
  <c r="E123" i="40"/>
  <c r="E36" i="40"/>
  <c r="E37" i="40"/>
  <c r="E38" i="40"/>
  <c r="E39" i="40"/>
  <c r="E40" i="40"/>
  <c r="E41" i="40"/>
  <c r="E42" i="40"/>
  <c r="E43" i="40"/>
  <c r="E44" i="40"/>
  <c r="E45" i="40"/>
  <c r="E46" i="40"/>
  <c r="E50" i="21"/>
  <c r="E51" i="21"/>
  <c r="E52" i="21"/>
  <c r="E53" i="21"/>
  <c r="E54" i="21"/>
  <c r="E55" i="21"/>
  <c r="E56" i="21"/>
  <c r="E57" i="21"/>
  <c r="E58" i="21"/>
  <c r="E36" i="21"/>
  <c r="E37" i="21"/>
  <c r="E38" i="21"/>
  <c r="E39" i="21"/>
  <c r="E40" i="21"/>
  <c r="E41" i="21"/>
  <c r="E42" i="21"/>
  <c r="E43" i="21"/>
  <c r="E44" i="21"/>
  <c r="E45" i="21"/>
  <c r="E46" i="21"/>
  <c r="E129" i="20"/>
  <c r="E130" i="20"/>
  <c r="E131" i="20"/>
  <c r="E132" i="20"/>
  <c r="E133" i="20"/>
  <c r="E134" i="20"/>
  <c r="E63" i="20"/>
  <c r="G15" i="19"/>
  <c r="G47" i="18"/>
  <c r="G42" i="19" l="1"/>
  <c r="G41" i="19"/>
  <c r="G38" i="19"/>
  <c r="G37" i="19"/>
  <c r="G36" i="19"/>
  <c r="G35" i="19"/>
  <c r="E140" i="17" l="1"/>
  <c r="E19" i="17"/>
  <c r="E18" i="17"/>
  <c r="E15" i="17"/>
  <c r="E8" i="17"/>
  <c r="E9" i="17"/>
  <c r="E10" i="17"/>
  <c r="E11" i="17"/>
  <c r="E12" i="17"/>
  <c r="E7" i="17"/>
  <c r="E120" i="16"/>
  <c r="E130" i="11"/>
  <c r="E49" i="10"/>
  <c r="E138" i="10"/>
  <c r="E179" i="9"/>
  <c r="E180" i="9"/>
  <c r="E88" i="7"/>
  <c r="E83" i="7"/>
  <c r="E84" i="7"/>
  <c r="E85" i="7"/>
  <c r="E86" i="7"/>
  <c r="E89" i="7"/>
  <c r="E90" i="7"/>
  <c r="E91" i="7"/>
  <c r="E92" i="7"/>
  <c r="M7" i="5" l="1"/>
  <c r="E186" i="33"/>
  <c r="E185" i="33"/>
  <c r="G185" i="33" s="1"/>
  <c r="H185" i="33" s="1"/>
  <c r="J185" i="33" s="1"/>
  <c r="E184" i="33"/>
  <c r="G184" i="33" s="1"/>
  <c r="H184" i="33" s="1"/>
  <c r="J184" i="33" s="1"/>
  <c r="E183" i="33"/>
  <c r="G183" i="33" s="1"/>
  <c r="H182" i="33"/>
  <c r="J182" i="33" s="1"/>
  <c r="E182" i="33"/>
  <c r="E181" i="33"/>
  <c r="E180" i="33"/>
  <c r="G180" i="33" s="1"/>
  <c r="H180" i="33" s="1"/>
  <c r="J180" i="33" s="1"/>
  <c r="E179" i="33"/>
  <c r="G179" i="33" s="1"/>
  <c r="H179" i="33" s="1"/>
  <c r="J179" i="33" s="1"/>
  <c r="E178" i="33"/>
  <c r="G178" i="33" s="1"/>
  <c r="H177" i="33"/>
  <c r="J177" i="33" s="1"/>
  <c r="E177" i="33"/>
  <c r="E176" i="33"/>
  <c r="E175" i="33"/>
  <c r="G175" i="33" s="1"/>
  <c r="H175" i="33" s="1"/>
  <c r="J175" i="33" s="1"/>
  <c r="E174" i="33"/>
  <c r="G174" i="33" s="1"/>
  <c r="H174" i="33" s="1"/>
  <c r="J174" i="33" s="1"/>
  <c r="E173" i="33"/>
  <c r="G173" i="33" s="1"/>
  <c r="H168" i="33"/>
  <c r="E168" i="33"/>
  <c r="H167" i="33"/>
  <c r="E167" i="33"/>
  <c r="H166" i="33"/>
  <c r="E166" i="33"/>
  <c r="E165" i="33"/>
  <c r="G165" i="33" s="1"/>
  <c r="H165" i="33" s="1"/>
  <c r="J165" i="33" s="1"/>
  <c r="E164" i="33"/>
  <c r="G164" i="33" s="1"/>
  <c r="H164" i="33" s="1"/>
  <c r="J164" i="33" s="1"/>
  <c r="G163" i="33"/>
  <c r="H163" i="33" s="1"/>
  <c r="J163" i="33" s="1"/>
  <c r="E163" i="33"/>
  <c r="E162" i="33"/>
  <c r="G162" i="33" s="1"/>
  <c r="H162" i="33" s="1"/>
  <c r="J162" i="33" s="1"/>
  <c r="E161" i="33"/>
  <c r="G161" i="33" s="1"/>
  <c r="H161" i="33" s="1"/>
  <c r="J161" i="33" s="1"/>
  <c r="J159" i="33"/>
  <c r="E158" i="33"/>
  <c r="G158" i="33" s="1"/>
  <c r="H158" i="33" s="1"/>
  <c r="J158" i="33" s="1"/>
  <c r="E157" i="33"/>
  <c r="G157" i="33" s="1"/>
  <c r="H157" i="33" s="1"/>
  <c r="J157" i="33" s="1"/>
  <c r="E156" i="33"/>
  <c r="G156" i="33" s="1"/>
  <c r="H156" i="33" s="1"/>
  <c r="J156" i="33" s="1"/>
  <c r="E155" i="33"/>
  <c r="G155" i="33" s="1"/>
  <c r="H155" i="33" s="1"/>
  <c r="J155" i="33" s="1"/>
  <c r="E152" i="33"/>
  <c r="G152" i="33" s="1"/>
  <c r="H152" i="33" s="1"/>
  <c r="J152" i="33" s="1"/>
  <c r="E151" i="33"/>
  <c r="G151" i="33" s="1"/>
  <c r="H151" i="33" s="1"/>
  <c r="J151" i="33" s="1"/>
  <c r="E150" i="33"/>
  <c r="G150" i="33" s="1"/>
  <c r="H150" i="33" s="1"/>
  <c r="J150" i="33" s="1"/>
  <c r="E149" i="33"/>
  <c r="G149" i="33" s="1"/>
  <c r="H149" i="33" s="1"/>
  <c r="J149" i="33" s="1"/>
  <c r="E148" i="33"/>
  <c r="G148" i="33" s="1"/>
  <c r="H148" i="33" s="1"/>
  <c r="J148" i="33" s="1"/>
  <c r="E147" i="33"/>
  <c r="G147" i="33" s="1"/>
  <c r="H147" i="33" s="1"/>
  <c r="J147" i="33" s="1"/>
  <c r="E146" i="33"/>
  <c r="G146" i="33" s="1"/>
  <c r="H146" i="33" s="1"/>
  <c r="J146" i="33" s="1"/>
  <c r="E145" i="33"/>
  <c r="G145" i="33" s="1"/>
  <c r="H145" i="33" s="1"/>
  <c r="J145" i="33" s="1"/>
  <c r="E144" i="33"/>
  <c r="G144" i="33" s="1"/>
  <c r="H144" i="33" s="1"/>
  <c r="J144" i="33" s="1"/>
  <c r="E143" i="33"/>
  <c r="G143" i="33" s="1"/>
  <c r="H143" i="33" s="1"/>
  <c r="J143" i="33" s="1"/>
  <c r="E142" i="33"/>
  <c r="G142" i="33" s="1"/>
  <c r="H142" i="33" s="1"/>
  <c r="J142" i="33" s="1"/>
  <c r="E141" i="33"/>
  <c r="G141" i="33" s="1"/>
  <c r="H141" i="33" s="1"/>
  <c r="J141" i="33" s="1"/>
  <c r="E140" i="33"/>
  <c r="G140" i="33" s="1"/>
  <c r="H140" i="33" s="1"/>
  <c r="J140" i="33" s="1"/>
  <c r="E139" i="33"/>
  <c r="G139" i="33" s="1"/>
  <c r="H139" i="33" s="1"/>
  <c r="J139" i="33" s="1"/>
  <c r="E138" i="33"/>
  <c r="G138" i="33" s="1"/>
  <c r="E134" i="33"/>
  <c r="G134" i="33" s="1"/>
  <c r="H134" i="33" s="1"/>
  <c r="J134" i="33" s="1"/>
  <c r="E133" i="33"/>
  <c r="G133" i="33" s="1"/>
  <c r="H133" i="33" s="1"/>
  <c r="J133" i="33" s="1"/>
  <c r="E132" i="33"/>
  <c r="G132" i="33" s="1"/>
  <c r="H132" i="33" s="1"/>
  <c r="J132" i="33" s="1"/>
  <c r="E131" i="33"/>
  <c r="G131" i="33" s="1"/>
  <c r="H131" i="33" s="1"/>
  <c r="J131" i="33" s="1"/>
  <c r="E130" i="33"/>
  <c r="G130" i="33" s="1"/>
  <c r="H130" i="33" s="1"/>
  <c r="J130" i="33" s="1"/>
  <c r="E129" i="33"/>
  <c r="G129" i="33" s="1"/>
  <c r="H129" i="33" s="1"/>
  <c r="J129" i="33" s="1"/>
  <c r="E128" i="33"/>
  <c r="G128" i="33" s="1"/>
  <c r="H127" i="33"/>
  <c r="J127" i="33" s="1"/>
  <c r="E123" i="33"/>
  <c r="G123" i="33" s="1"/>
  <c r="H123" i="33" s="1"/>
  <c r="J123" i="33" s="1"/>
  <c r="E122" i="33"/>
  <c r="G122" i="33" s="1"/>
  <c r="H122" i="33" s="1"/>
  <c r="J122" i="33" s="1"/>
  <c r="E121" i="33"/>
  <c r="G121" i="33" s="1"/>
  <c r="H121" i="33" s="1"/>
  <c r="J121" i="33" s="1"/>
  <c r="E120" i="33"/>
  <c r="G120" i="33" s="1"/>
  <c r="H120" i="33" s="1"/>
  <c r="J120" i="33" s="1"/>
  <c r="E119" i="33"/>
  <c r="G119" i="33" s="1"/>
  <c r="H119" i="33" s="1"/>
  <c r="J119" i="33" s="1"/>
  <c r="E118" i="33"/>
  <c r="G118" i="33" s="1"/>
  <c r="H118" i="33" s="1"/>
  <c r="J118" i="33" s="1"/>
  <c r="E117" i="33"/>
  <c r="G117" i="33" s="1"/>
  <c r="H117" i="33" s="1"/>
  <c r="J117" i="33" s="1"/>
  <c r="E116" i="33"/>
  <c r="G116" i="33" s="1"/>
  <c r="H116" i="33" s="1"/>
  <c r="J116" i="33" s="1"/>
  <c r="E115" i="33"/>
  <c r="G115" i="33" s="1"/>
  <c r="H115" i="33" s="1"/>
  <c r="J115" i="33" s="1"/>
  <c r="E114" i="33"/>
  <c r="G114" i="33" s="1"/>
  <c r="H114" i="33" s="1"/>
  <c r="J114" i="33" s="1"/>
  <c r="E113" i="33"/>
  <c r="G113" i="33" s="1"/>
  <c r="H113" i="33" s="1"/>
  <c r="J113" i="33" s="1"/>
  <c r="E112" i="33"/>
  <c r="G112" i="33" s="1"/>
  <c r="G92" i="33"/>
  <c r="H92" i="33" s="1"/>
  <c r="J92" i="33" s="1"/>
  <c r="E92" i="33"/>
  <c r="G91" i="33"/>
  <c r="H91" i="33" s="1"/>
  <c r="J91" i="33" s="1"/>
  <c r="E91" i="33"/>
  <c r="E90" i="33"/>
  <c r="G90" i="33" s="1"/>
  <c r="E89" i="33"/>
  <c r="G89" i="33" s="1"/>
  <c r="H89" i="33" s="1"/>
  <c r="J89" i="33" s="1"/>
  <c r="E88" i="33"/>
  <c r="G88" i="33" s="1"/>
  <c r="E87" i="33"/>
  <c r="G87" i="33" s="1"/>
  <c r="H87" i="33" s="1"/>
  <c r="J87" i="33" s="1"/>
  <c r="E86" i="33"/>
  <c r="G86" i="33" s="1"/>
  <c r="H86" i="33" s="1"/>
  <c r="J86" i="33" s="1"/>
  <c r="E85" i="33"/>
  <c r="G85" i="33" s="1"/>
  <c r="H85" i="33" s="1"/>
  <c r="J85" i="33" s="1"/>
  <c r="E84" i="33"/>
  <c r="G84" i="33" s="1"/>
  <c r="E83" i="33"/>
  <c r="G83" i="33" s="1"/>
  <c r="H83" i="33" s="1"/>
  <c r="J83" i="33" s="1"/>
  <c r="E82" i="33"/>
  <c r="G82" i="33" s="1"/>
  <c r="H82" i="33" s="1"/>
  <c r="J82" i="33" s="1"/>
  <c r="E78" i="33"/>
  <c r="G78" i="33" s="1"/>
  <c r="H78" i="33" s="1"/>
  <c r="J78" i="33" s="1"/>
  <c r="E77" i="33"/>
  <c r="G77" i="33" s="1"/>
  <c r="H77" i="33" s="1"/>
  <c r="J77" i="33" s="1"/>
  <c r="E76" i="33"/>
  <c r="G76" i="33" s="1"/>
  <c r="H76" i="33" s="1"/>
  <c r="J76" i="33" s="1"/>
  <c r="E75" i="33"/>
  <c r="G75" i="33" s="1"/>
  <c r="H75" i="33" s="1"/>
  <c r="J75" i="33" s="1"/>
  <c r="E74" i="33"/>
  <c r="G74" i="33" s="1"/>
  <c r="E70" i="33"/>
  <c r="G70" i="33" s="1"/>
  <c r="H70" i="33" s="1"/>
  <c r="J70" i="33" s="1"/>
  <c r="E69" i="33"/>
  <c r="G69" i="33" s="1"/>
  <c r="H69" i="33" s="1"/>
  <c r="J69" i="33" s="1"/>
  <c r="E68" i="33"/>
  <c r="G68" i="33" s="1"/>
  <c r="H68" i="33" s="1"/>
  <c r="J68" i="33" s="1"/>
  <c r="E67" i="33"/>
  <c r="G67" i="33" s="1"/>
  <c r="H67" i="33" s="1"/>
  <c r="J67" i="33" s="1"/>
  <c r="E66" i="33"/>
  <c r="G66" i="33" s="1"/>
  <c r="H66" i="33" s="1"/>
  <c r="J66" i="33" s="1"/>
  <c r="E65" i="33"/>
  <c r="G65" i="33" s="1"/>
  <c r="E64" i="33"/>
  <c r="E63" i="33"/>
  <c r="G63" i="33" s="1"/>
  <c r="H63" i="33" s="1"/>
  <c r="J63" i="33" s="1"/>
  <c r="E62" i="33"/>
  <c r="G62" i="33" s="1"/>
  <c r="E58" i="33"/>
  <c r="G58" i="33" s="1"/>
  <c r="H58" i="33" s="1"/>
  <c r="J58" i="33" s="1"/>
  <c r="E57" i="33"/>
  <c r="G57" i="33" s="1"/>
  <c r="H57" i="33" s="1"/>
  <c r="J57" i="33" s="1"/>
  <c r="E56" i="33"/>
  <c r="G56" i="33" s="1"/>
  <c r="H56" i="33" s="1"/>
  <c r="J56" i="33" s="1"/>
  <c r="E55" i="33"/>
  <c r="G55" i="33" s="1"/>
  <c r="H55" i="33" s="1"/>
  <c r="J55" i="33" s="1"/>
  <c r="E54" i="33"/>
  <c r="G54" i="33" s="1"/>
  <c r="H54" i="33" s="1"/>
  <c r="J54" i="33" s="1"/>
  <c r="E53" i="33"/>
  <c r="G53" i="33" s="1"/>
  <c r="H53" i="33" s="1"/>
  <c r="J53" i="33" s="1"/>
  <c r="E52" i="33"/>
  <c r="G52" i="33" s="1"/>
  <c r="H52" i="33" s="1"/>
  <c r="J52" i="33" s="1"/>
  <c r="E51" i="33"/>
  <c r="G51" i="33" s="1"/>
  <c r="H51" i="33" s="1"/>
  <c r="J51" i="33" s="1"/>
  <c r="E50" i="33"/>
  <c r="G50" i="33" s="1"/>
  <c r="H50" i="33" s="1"/>
  <c r="J50" i="33" s="1"/>
  <c r="E49" i="33"/>
  <c r="G49" i="33" s="1"/>
  <c r="E46" i="33"/>
  <c r="G46" i="33" s="1"/>
  <c r="H46" i="33" s="1"/>
  <c r="J46" i="33" s="1"/>
  <c r="E45" i="33"/>
  <c r="G45" i="33" s="1"/>
  <c r="H45" i="33" s="1"/>
  <c r="J45" i="33" s="1"/>
  <c r="E44" i="33"/>
  <c r="G44" i="33" s="1"/>
  <c r="H44" i="33" s="1"/>
  <c r="J44" i="33" s="1"/>
  <c r="E43" i="33"/>
  <c r="G43" i="33" s="1"/>
  <c r="H43" i="33" s="1"/>
  <c r="J43" i="33" s="1"/>
  <c r="E42" i="33"/>
  <c r="G42" i="33" s="1"/>
  <c r="H42" i="33" s="1"/>
  <c r="J42" i="33" s="1"/>
  <c r="E41" i="33"/>
  <c r="G41" i="33" s="1"/>
  <c r="H41" i="33" s="1"/>
  <c r="J41" i="33" s="1"/>
  <c r="E40" i="33"/>
  <c r="G40" i="33" s="1"/>
  <c r="H40" i="33" s="1"/>
  <c r="J40" i="33" s="1"/>
  <c r="G39" i="33"/>
  <c r="E39" i="33"/>
  <c r="E38" i="33"/>
  <c r="G38" i="33" s="1"/>
  <c r="H38" i="33" s="1"/>
  <c r="J38" i="33" s="1"/>
  <c r="E37" i="33"/>
  <c r="G37" i="33" s="1"/>
  <c r="H37" i="33" s="1"/>
  <c r="J37" i="33" s="1"/>
  <c r="E36" i="33"/>
  <c r="G36" i="33" s="1"/>
  <c r="E35" i="33"/>
  <c r="G35" i="33" s="1"/>
  <c r="E29" i="33"/>
  <c r="G29" i="33" s="1"/>
  <c r="H29" i="33" s="1"/>
  <c r="J29" i="33" s="1"/>
  <c r="H24" i="33"/>
  <c r="J24" i="33" s="1"/>
  <c r="E24" i="33"/>
  <c r="J23" i="33"/>
  <c r="H23" i="33"/>
  <c r="E23" i="33"/>
  <c r="E22" i="33"/>
  <c r="G22" i="33" s="1"/>
  <c r="H22" i="33" s="1"/>
  <c r="J22" i="33" s="1"/>
  <c r="E19" i="33"/>
  <c r="G19" i="33" s="1"/>
  <c r="I18" i="33"/>
  <c r="G18" i="33"/>
  <c r="E31" i="33" s="1"/>
  <c r="G31" i="33" s="1"/>
  <c r="H31" i="33" s="1"/>
  <c r="J31" i="33" s="1"/>
  <c r="E18" i="33"/>
  <c r="I15" i="33"/>
  <c r="E15" i="33"/>
  <c r="G15" i="33" s="1"/>
  <c r="E28" i="33" s="1"/>
  <c r="G28" i="33" s="1"/>
  <c r="H28" i="33" s="1"/>
  <c r="J28" i="33" s="1"/>
  <c r="E12" i="33"/>
  <c r="G12" i="33" s="1"/>
  <c r="H12" i="33" s="1"/>
  <c r="J12" i="33" s="1"/>
  <c r="E11" i="33"/>
  <c r="G11" i="33" s="1"/>
  <c r="H11" i="33" s="1"/>
  <c r="J11" i="33" s="1"/>
  <c r="E10" i="33"/>
  <c r="G10" i="33" s="1"/>
  <c r="H10" i="33" s="1"/>
  <c r="J10" i="33" s="1"/>
  <c r="E9" i="33"/>
  <c r="G9" i="33" s="1"/>
  <c r="E8" i="33"/>
  <c r="G8" i="33" s="1"/>
  <c r="I7" i="33"/>
  <c r="E7" i="33"/>
  <c r="E185" i="4"/>
  <c r="G185" i="4" s="1"/>
  <c r="E184" i="4"/>
  <c r="G184" i="4" s="1"/>
  <c r="E183" i="4"/>
  <c r="G183" i="4" s="1"/>
  <c r="E180" i="4"/>
  <c r="G180" i="4" s="1"/>
  <c r="G179" i="4"/>
  <c r="E179" i="4"/>
  <c r="E178" i="4"/>
  <c r="G178" i="4" s="1"/>
  <c r="E175" i="4"/>
  <c r="G175" i="4" s="1"/>
  <c r="E174" i="4"/>
  <c r="G174" i="4" s="1"/>
  <c r="E173" i="4"/>
  <c r="G173" i="4" s="1"/>
  <c r="E168" i="4"/>
  <c r="E167" i="4"/>
  <c r="E166" i="4"/>
  <c r="E165" i="4"/>
  <c r="G165" i="4" s="1"/>
  <c r="E164" i="4"/>
  <c r="G164" i="4" s="1"/>
  <c r="E163" i="4"/>
  <c r="G163" i="4" s="1"/>
  <c r="E162" i="4"/>
  <c r="G162" i="4" s="1"/>
  <c r="E161" i="4"/>
  <c r="G161" i="4" s="1"/>
  <c r="E158" i="4"/>
  <c r="G158" i="4" s="1"/>
  <c r="E157" i="4"/>
  <c r="G157" i="4" s="1"/>
  <c r="E156" i="4"/>
  <c r="G156" i="4" s="1"/>
  <c r="E155" i="4"/>
  <c r="G155" i="4" s="1"/>
  <c r="E152" i="4"/>
  <c r="G152" i="4" s="1"/>
  <c r="E151" i="4"/>
  <c r="G151" i="4" s="1"/>
  <c r="E150" i="4"/>
  <c r="G150" i="4" s="1"/>
  <c r="E149" i="4"/>
  <c r="G149" i="4" s="1"/>
  <c r="E148" i="4"/>
  <c r="G148" i="4" s="1"/>
  <c r="E147" i="4"/>
  <c r="G147" i="4" s="1"/>
  <c r="E146" i="4"/>
  <c r="G146" i="4" s="1"/>
  <c r="E145" i="4"/>
  <c r="G145" i="4" s="1"/>
  <c r="E144" i="4"/>
  <c r="G144" i="4" s="1"/>
  <c r="E143" i="4"/>
  <c r="G143" i="4" s="1"/>
  <c r="E142" i="4"/>
  <c r="G142" i="4" s="1"/>
  <c r="E141" i="4"/>
  <c r="G141" i="4" s="1"/>
  <c r="E140" i="4"/>
  <c r="G140" i="4" s="1"/>
  <c r="E139" i="4"/>
  <c r="G139" i="4" s="1"/>
  <c r="E138" i="4"/>
  <c r="G138" i="4" s="1"/>
  <c r="E134" i="4"/>
  <c r="G134" i="4" s="1"/>
  <c r="E133" i="4"/>
  <c r="G133" i="4" s="1"/>
  <c r="E132" i="4"/>
  <c r="G132" i="4" s="1"/>
  <c r="E131" i="4"/>
  <c r="G131" i="4" s="1"/>
  <c r="E130" i="4"/>
  <c r="G130" i="4" s="1"/>
  <c r="E129" i="4"/>
  <c r="G129" i="4" s="1"/>
  <c r="E128" i="4"/>
  <c r="G128" i="4" s="1"/>
  <c r="E123" i="4"/>
  <c r="G123" i="4" s="1"/>
  <c r="E122" i="4"/>
  <c r="G122" i="4" s="1"/>
  <c r="E121" i="4"/>
  <c r="G121" i="4" s="1"/>
  <c r="E120" i="4"/>
  <c r="G120" i="4" s="1"/>
  <c r="E119" i="4"/>
  <c r="G119" i="4" s="1"/>
  <c r="E118" i="4"/>
  <c r="G118" i="4" s="1"/>
  <c r="E117" i="4"/>
  <c r="G117" i="4" s="1"/>
  <c r="E116" i="4"/>
  <c r="G116" i="4" s="1"/>
  <c r="E115" i="4"/>
  <c r="G115" i="4" s="1"/>
  <c r="E114" i="4"/>
  <c r="G114" i="4" s="1"/>
  <c r="E113" i="4"/>
  <c r="G113" i="4" s="1"/>
  <c r="E112" i="4"/>
  <c r="G112" i="4" s="1"/>
  <c r="E92" i="4"/>
  <c r="G92" i="4" s="1"/>
  <c r="E91" i="4"/>
  <c r="G91" i="4" s="1"/>
  <c r="E90" i="4"/>
  <c r="G90" i="4" s="1"/>
  <c r="E89" i="4"/>
  <c r="G89" i="4" s="1"/>
  <c r="E88" i="4"/>
  <c r="G88" i="4" s="1"/>
  <c r="E87" i="4"/>
  <c r="G87" i="4" s="1"/>
  <c r="E86" i="4"/>
  <c r="G86" i="4" s="1"/>
  <c r="E85" i="4"/>
  <c r="G85" i="4" s="1"/>
  <c r="E84" i="4"/>
  <c r="G84" i="4" s="1"/>
  <c r="E83" i="4"/>
  <c r="G83" i="4" s="1"/>
  <c r="E82" i="4"/>
  <c r="G82" i="4" s="1"/>
  <c r="E79" i="4"/>
  <c r="G78" i="4"/>
  <c r="E78" i="4"/>
  <c r="E77" i="4"/>
  <c r="G77" i="4" s="1"/>
  <c r="E76" i="4"/>
  <c r="G76" i="4" s="1"/>
  <c r="E75" i="4"/>
  <c r="G75" i="4" s="1"/>
  <c r="G74" i="4"/>
  <c r="E74" i="4"/>
  <c r="E70" i="4"/>
  <c r="G70" i="4" s="1"/>
  <c r="E69" i="4"/>
  <c r="G69" i="4" s="1"/>
  <c r="E68" i="4"/>
  <c r="G68" i="4" s="1"/>
  <c r="E67" i="4"/>
  <c r="G67" i="4" s="1"/>
  <c r="E66" i="4"/>
  <c r="G66" i="4" s="1"/>
  <c r="E65" i="4"/>
  <c r="G65" i="4" s="1"/>
  <c r="E64" i="4"/>
  <c r="E63" i="4"/>
  <c r="G63" i="4" s="1"/>
  <c r="E62" i="4"/>
  <c r="G62" i="4" s="1"/>
  <c r="E58" i="4"/>
  <c r="G58" i="4" s="1"/>
  <c r="E57" i="4"/>
  <c r="G57" i="4" s="1"/>
  <c r="E56" i="4"/>
  <c r="G56" i="4" s="1"/>
  <c r="E55" i="4"/>
  <c r="G55" i="4" s="1"/>
  <c r="E54" i="4"/>
  <c r="G54" i="4" s="1"/>
  <c r="E53" i="4"/>
  <c r="G53" i="4" s="1"/>
  <c r="E52" i="4"/>
  <c r="G52" i="4" s="1"/>
  <c r="E51" i="4"/>
  <c r="G51" i="4" s="1"/>
  <c r="E50" i="4"/>
  <c r="G50" i="4" s="1"/>
  <c r="E49" i="4"/>
  <c r="G49" i="4" s="1"/>
  <c r="E46" i="4"/>
  <c r="G46" i="4" s="1"/>
  <c r="E45" i="4"/>
  <c r="G45" i="4" s="1"/>
  <c r="E44" i="4"/>
  <c r="G44" i="4" s="1"/>
  <c r="E43" i="4"/>
  <c r="G43" i="4" s="1"/>
  <c r="E42" i="4"/>
  <c r="G42" i="4" s="1"/>
  <c r="E41" i="4"/>
  <c r="G41" i="4" s="1"/>
  <c r="E40" i="4"/>
  <c r="G40" i="4" s="1"/>
  <c r="E39" i="4"/>
  <c r="G39" i="4" s="1"/>
  <c r="E38" i="4"/>
  <c r="G38" i="4" s="1"/>
  <c r="E37" i="4"/>
  <c r="G37" i="4" s="1"/>
  <c r="E36" i="4"/>
  <c r="G36" i="4" s="1"/>
  <c r="E35" i="4"/>
  <c r="G35" i="4" s="1"/>
  <c r="E29" i="4"/>
  <c r="G29" i="4" s="1"/>
  <c r="E24" i="4"/>
  <c r="E23" i="4"/>
  <c r="E22" i="4"/>
  <c r="G22" i="4" s="1"/>
  <c r="E19" i="4"/>
  <c r="G19" i="4" s="1"/>
  <c r="I18" i="4"/>
  <c r="G18" i="4"/>
  <c r="E18" i="4"/>
  <c r="I15" i="4"/>
  <c r="E12" i="4"/>
  <c r="G12" i="4" s="1"/>
  <c r="E11" i="4"/>
  <c r="G11" i="4" s="1"/>
  <c r="E10" i="4"/>
  <c r="G10" i="4" s="1"/>
  <c r="E9" i="4"/>
  <c r="G9" i="4" s="1"/>
  <c r="I7" i="4"/>
  <c r="E185" i="3"/>
  <c r="G185" i="3" s="1"/>
  <c r="E184" i="3"/>
  <c r="G184" i="3" s="1"/>
  <c r="E183" i="3"/>
  <c r="G183" i="3" s="1"/>
  <c r="E180" i="3"/>
  <c r="G180" i="3" s="1"/>
  <c r="E179" i="3"/>
  <c r="G179" i="3" s="1"/>
  <c r="E178" i="3"/>
  <c r="G178" i="3" s="1"/>
  <c r="E175" i="3"/>
  <c r="G175" i="3" s="1"/>
  <c r="E174" i="3"/>
  <c r="G174" i="3" s="1"/>
  <c r="H174" i="3" s="1"/>
  <c r="J174" i="3" s="1"/>
  <c r="E173" i="3"/>
  <c r="G173" i="3" s="1"/>
  <c r="H173" i="3" s="1"/>
  <c r="J173" i="3" s="1"/>
  <c r="E168" i="3"/>
  <c r="E167" i="3"/>
  <c r="E166" i="3"/>
  <c r="E165" i="3"/>
  <c r="G165" i="3" s="1"/>
  <c r="E164" i="3"/>
  <c r="G164" i="3" s="1"/>
  <c r="H164" i="3" s="1"/>
  <c r="J164" i="3" s="1"/>
  <c r="E163" i="3"/>
  <c r="G163" i="3" s="1"/>
  <c r="E162" i="3"/>
  <c r="G162" i="3" s="1"/>
  <c r="E161" i="3"/>
  <c r="G161" i="3" s="1"/>
  <c r="E158" i="3"/>
  <c r="G158" i="3" s="1"/>
  <c r="E157" i="3"/>
  <c r="G157" i="3" s="1"/>
  <c r="E156" i="3"/>
  <c r="G156" i="3" s="1"/>
  <c r="E155" i="3"/>
  <c r="G155" i="3" s="1"/>
  <c r="E152" i="3"/>
  <c r="G152" i="3" s="1"/>
  <c r="E151" i="3"/>
  <c r="G151" i="3" s="1"/>
  <c r="E150" i="3"/>
  <c r="G150" i="3" s="1"/>
  <c r="E149" i="3"/>
  <c r="G149" i="3" s="1"/>
  <c r="E148" i="3"/>
  <c r="G148" i="3" s="1"/>
  <c r="E147" i="3"/>
  <c r="G147" i="3" s="1"/>
  <c r="E146" i="3"/>
  <c r="G146" i="3" s="1"/>
  <c r="E145" i="3"/>
  <c r="G145" i="3" s="1"/>
  <c r="E144" i="3"/>
  <c r="G144" i="3" s="1"/>
  <c r="E143" i="3"/>
  <c r="G143" i="3" s="1"/>
  <c r="E142" i="3"/>
  <c r="G142" i="3" s="1"/>
  <c r="E141" i="3"/>
  <c r="G141" i="3" s="1"/>
  <c r="E140" i="3"/>
  <c r="G140" i="3" s="1"/>
  <c r="E139" i="3"/>
  <c r="G139" i="3" s="1"/>
  <c r="E138" i="3"/>
  <c r="G138" i="3" s="1"/>
  <c r="E134" i="3"/>
  <c r="G134" i="3" s="1"/>
  <c r="E133" i="3"/>
  <c r="G133" i="3" s="1"/>
  <c r="E132" i="3"/>
  <c r="G132" i="3" s="1"/>
  <c r="E131" i="3"/>
  <c r="G131" i="3" s="1"/>
  <c r="E130" i="3"/>
  <c r="G130" i="3" s="1"/>
  <c r="E129" i="3"/>
  <c r="G129" i="3" s="1"/>
  <c r="E128" i="3"/>
  <c r="G128" i="3" s="1"/>
  <c r="G123" i="3"/>
  <c r="E123" i="3"/>
  <c r="G122" i="3"/>
  <c r="H122" i="3" s="1"/>
  <c r="J122" i="3" s="1"/>
  <c r="E122" i="3"/>
  <c r="E121" i="3"/>
  <c r="G121" i="3" s="1"/>
  <c r="G120" i="3"/>
  <c r="E120" i="3"/>
  <c r="G119" i="3"/>
  <c r="E119" i="3"/>
  <c r="G118" i="3"/>
  <c r="H118" i="3" s="1"/>
  <c r="J118" i="3" s="1"/>
  <c r="E118" i="3"/>
  <c r="E117" i="3"/>
  <c r="G117" i="3" s="1"/>
  <c r="H117" i="3" s="1"/>
  <c r="J117" i="3" s="1"/>
  <c r="G116" i="3"/>
  <c r="E116" i="3"/>
  <c r="G115" i="3"/>
  <c r="E115" i="3"/>
  <c r="G114" i="3"/>
  <c r="E114" i="3"/>
  <c r="E113" i="3"/>
  <c r="G113" i="3" s="1"/>
  <c r="G112" i="3"/>
  <c r="E112" i="3"/>
  <c r="E92" i="3"/>
  <c r="G92" i="3" s="1"/>
  <c r="E91" i="3"/>
  <c r="G91" i="3" s="1"/>
  <c r="E90" i="3"/>
  <c r="G90" i="3" s="1"/>
  <c r="I90" i="3" s="1"/>
  <c r="E89" i="3"/>
  <c r="G89" i="3" s="1"/>
  <c r="E88" i="3"/>
  <c r="G88" i="3" s="1"/>
  <c r="G87" i="3"/>
  <c r="E87" i="3"/>
  <c r="L86" i="3"/>
  <c r="E86" i="3"/>
  <c r="G86" i="3" s="1"/>
  <c r="H86" i="3" s="1"/>
  <c r="J86" i="3" s="1"/>
  <c r="E85" i="3"/>
  <c r="G85" i="3" s="1"/>
  <c r="G84" i="3"/>
  <c r="E84" i="3"/>
  <c r="E83" i="3"/>
  <c r="G83" i="3" s="1"/>
  <c r="E82" i="3"/>
  <c r="G82" i="3" s="1"/>
  <c r="H82" i="3" s="1"/>
  <c r="J82" i="3" s="1"/>
  <c r="E79" i="3"/>
  <c r="E78" i="3"/>
  <c r="G78" i="3" s="1"/>
  <c r="E77" i="3"/>
  <c r="G77" i="3" s="1"/>
  <c r="E76" i="3"/>
  <c r="G76" i="3" s="1"/>
  <c r="E75" i="3"/>
  <c r="G75" i="3" s="1"/>
  <c r="H75" i="3" s="1"/>
  <c r="J75" i="3" s="1"/>
  <c r="E74" i="3"/>
  <c r="G74" i="3" s="1"/>
  <c r="H74" i="3" s="1"/>
  <c r="J74" i="3" s="1"/>
  <c r="E70" i="3"/>
  <c r="G70" i="3" s="1"/>
  <c r="E69" i="3"/>
  <c r="G69" i="3" s="1"/>
  <c r="H69" i="3" s="1"/>
  <c r="J69" i="3" s="1"/>
  <c r="E68" i="3"/>
  <c r="G68" i="3" s="1"/>
  <c r="E67" i="3"/>
  <c r="G67" i="3" s="1"/>
  <c r="H67" i="3" s="1"/>
  <c r="J67" i="3" s="1"/>
  <c r="E66" i="3"/>
  <c r="G66" i="3" s="1"/>
  <c r="G65" i="3"/>
  <c r="H65" i="3" s="1"/>
  <c r="J65" i="3" s="1"/>
  <c r="E65" i="3"/>
  <c r="E64" i="3"/>
  <c r="E63" i="3"/>
  <c r="G63" i="3" s="1"/>
  <c r="H63" i="3" s="1"/>
  <c r="J63" i="3" s="1"/>
  <c r="E62" i="3"/>
  <c r="G62" i="3" s="1"/>
  <c r="G58" i="3"/>
  <c r="E58" i="3"/>
  <c r="E57" i="3"/>
  <c r="G57" i="3" s="1"/>
  <c r="G56" i="3"/>
  <c r="E56" i="3"/>
  <c r="E55" i="3"/>
  <c r="G55" i="3" s="1"/>
  <c r="G54" i="3"/>
  <c r="H54" i="3" s="1"/>
  <c r="J54" i="3" s="1"/>
  <c r="E54" i="3"/>
  <c r="E53" i="3"/>
  <c r="G53" i="3" s="1"/>
  <c r="E52" i="3"/>
  <c r="G52" i="3" s="1"/>
  <c r="H52" i="3" s="1"/>
  <c r="J52" i="3" s="1"/>
  <c r="E51" i="3"/>
  <c r="G51" i="3" s="1"/>
  <c r="E50" i="3"/>
  <c r="G50" i="3" s="1"/>
  <c r="H50" i="3" s="1"/>
  <c r="J50" i="3" s="1"/>
  <c r="E49" i="3"/>
  <c r="G49" i="3" s="1"/>
  <c r="E46" i="3"/>
  <c r="G46" i="3" s="1"/>
  <c r="E45" i="3"/>
  <c r="G45" i="3" s="1"/>
  <c r="E44" i="3"/>
  <c r="G44" i="3" s="1"/>
  <c r="E43" i="3"/>
  <c r="G43" i="3" s="1"/>
  <c r="H43" i="3" s="1"/>
  <c r="J43" i="3" s="1"/>
  <c r="E42" i="3"/>
  <c r="G42" i="3" s="1"/>
  <c r="E41" i="3"/>
  <c r="G41" i="3" s="1"/>
  <c r="E40" i="3"/>
  <c r="G40" i="3" s="1"/>
  <c r="E39" i="3"/>
  <c r="G39" i="3" s="1"/>
  <c r="G98" i="3" s="1"/>
  <c r="E38" i="3"/>
  <c r="G38" i="3" s="1"/>
  <c r="E37" i="3"/>
  <c r="G37" i="3" s="1"/>
  <c r="E36" i="3"/>
  <c r="G36" i="3" s="1"/>
  <c r="E35" i="3"/>
  <c r="G35" i="3" s="1"/>
  <c r="E29" i="3"/>
  <c r="G29" i="3" s="1"/>
  <c r="E24" i="3"/>
  <c r="E23" i="3"/>
  <c r="E22" i="3"/>
  <c r="G22" i="3" s="1"/>
  <c r="G19" i="3"/>
  <c r="E30" i="3" s="1"/>
  <c r="G30" i="3" s="1"/>
  <c r="H30" i="3" s="1"/>
  <c r="J30" i="3" s="1"/>
  <c r="E19" i="3"/>
  <c r="I18" i="3"/>
  <c r="G18" i="3"/>
  <c r="E18" i="3"/>
  <c r="E12" i="3"/>
  <c r="E11" i="3"/>
  <c r="G11" i="3" s="1"/>
  <c r="E10" i="3"/>
  <c r="G10" i="3" s="1"/>
  <c r="G9" i="3"/>
  <c r="E9" i="3"/>
  <c r="E8" i="3"/>
  <c r="F8" i="3" s="1"/>
  <c r="I7" i="3"/>
  <c r="E7" i="3"/>
  <c r="F7" i="3" s="1"/>
  <c r="G7" i="3" s="1"/>
  <c r="G185" i="2"/>
  <c r="H185" i="2" s="1"/>
  <c r="J185" i="2" s="1"/>
  <c r="H184" i="2"/>
  <c r="J184" i="2" s="1"/>
  <c r="G184" i="2"/>
  <c r="G183" i="2"/>
  <c r="G186" i="2" s="1"/>
  <c r="H186" i="2" s="1"/>
  <c r="J186" i="2" s="1"/>
  <c r="H182" i="2"/>
  <c r="J182" i="2" s="1"/>
  <c r="G180" i="2"/>
  <c r="H180" i="2" s="1"/>
  <c r="J180" i="2" s="1"/>
  <c r="G179" i="2"/>
  <c r="H179" i="2" s="1"/>
  <c r="J179" i="2" s="1"/>
  <c r="G178" i="2"/>
  <c r="H177" i="2"/>
  <c r="J177" i="2" s="1"/>
  <c r="G175" i="2"/>
  <c r="H175" i="2" s="1"/>
  <c r="G174" i="2"/>
  <c r="H174" i="2" s="1"/>
  <c r="J174" i="2" s="1"/>
  <c r="H173" i="2"/>
  <c r="J173" i="2" s="1"/>
  <c r="G173" i="2"/>
  <c r="J172" i="2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H165" i="2"/>
  <c r="J165" i="2" s="1"/>
  <c r="G165" i="2"/>
  <c r="G164" i="2"/>
  <c r="H164" i="2" s="1"/>
  <c r="J164" i="2" s="1"/>
  <c r="G163" i="2"/>
  <c r="H163" i="2" s="1"/>
  <c r="J163" i="2" s="1"/>
  <c r="G162" i="2"/>
  <c r="H162" i="2" s="1"/>
  <c r="J162" i="2" s="1"/>
  <c r="H161" i="2"/>
  <c r="J161" i="2" s="1"/>
  <c r="G161" i="2"/>
  <c r="G158" i="2"/>
  <c r="H158" i="2" s="1"/>
  <c r="G157" i="2"/>
  <c r="H157" i="2" s="1"/>
  <c r="G156" i="2"/>
  <c r="H156" i="2" s="1"/>
  <c r="J156" i="2" s="1"/>
  <c r="G155" i="2"/>
  <c r="H155" i="2" s="1"/>
  <c r="J155" i="2" s="1"/>
  <c r="G152" i="2"/>
  <c r="H152" i="2" s="1"/>
  <c r="J152" i="2" s="1"/>
  <c r="G151" i="2"/>
  <c r="H151" i="2" s="1"/>
  <c r="J151" i="2" s="1"/>
  <c r="G150" i="2"/>
  <c r="H150" i="2" s="1"/>
  <c r="J150" i="2" s="1"/>
  <c r="G149" i="2"/>
  <c r="H149" i="2" s="1"/>
  <c r="J149" i="2" s="1"/>
  <c r="G148" i="2"/>
  <c r="H148" i="2" s="1"/>
  <c r="J148" i="2" s="1"/>
  <c r="G147" i="2"/>
  <c r="H147" i="2" s="1"/>
  <c r="J147" i="2" s="1"/>
  <c r="H146" i="2"/>
  <c r="J146" i="2" s="1"/>
  <c r="G146" i="2"/>
  <c r="G145" i="2"/>
  <c r="H145" i="2" s="1"/>
  <c r="J145" i="2" s="1"/>
  <c r="G144" i="2"/>
  <c r="H144" i="2" s="1"/>
  <c r="J144" i="2" s="1"/>
  <c r="G143" i="2"/>
  <c r="H143" i="2" s="1"/>
  <c r="J143" i="2" s="1"/>
  <c r="G142" i="2"/>
  <c r="H142" i="2" s="1"/>
  <c r="J142" i="2" s="1"/>
  <c r="G141" i="2"/>
  <c r="H141" i="2" s="1"/>
  <c r="J141" i="2" s="1"/>
  <c r="G140" i="2"/>
  <c r="H140" i="2" s="1"/>
  <c r="J140" i="2" s="1"/>
  <c r="G139" i="2"/>
  <c r="H139" i="2" s="1"/>
  <c r="J139" i="2" s="1"/>
  <c r="G138" i="2"/>
  <c r="H138" i="2" s="1"/>
  <c r="J138" i="2" s="1"/>
  <c r="G134" i="2"/>
  <c r="H134" i="2" s="1"/>
  <c r="J134" i="2" s="1"/>
  <c r="G133" i="2"/>
  <c r="H133" i="2" s="1"/>
  <c r="J133" i="2" s="1"/>
  <c r="G132" i="2"/>
  <c r="H132" i="2" s="1"/>
  <c r="J132" i="2" s="1"/>
  <c r="G131" i="2"/>
  <c r="H131" i="2" s="1"/>
  <c r="J131" i="2" s="1"/>
  <c r="G130" i="2"/>
  <c r="H130" i="2" s="1"/>
  <c r="J130" i="2" s="1"/>
  <c r="G129" i="2"/>
  <c r="H129" i="2" s="1"/>
  <c r="J129" i="2" s="1"/>
  <c r="G128" i="2"/>
  <c r="H127" i="2"/>
  <c r="J127" i="2" s="1"/>
  <c r="G123" i="2"/>
  <c r="H123" i="2" s="1"/>
  <c r="J123" i="2" s="1"/>
  <c r="G122" i="2"/>
  <c r="H122" i="2" s="1"/>
  <c r="J122" i="2" s="1"/>
  <c r="G121" i="2"/>
  <c r="H121" i="2" s="1"/>
  <c r="J121" i="2" s="1"/>
  <c r="G120" i="2"/>
  <c r="H120" i="2" s="1"/>
  <c r="J120" i="2" s="1"/>
  <c r="G119" i="2"/>
  <c r="H119" i="2" s="1"/>
  <c r="J119" i="2" s="1"/>
  <c r="G118" i="2"/>
  <c r="H118" i="2" s="1"/>
  <c r="J118" i="2" s="1"/>
  <c r="H117" i="2"/>
  <c r="J117" i="2" s="1"/>
  <c r="G117" i="2"/>
  <c r="G116" i="2"/>
  <c r="H116" i="2" s="1"/>
  <c r="J116" i="2" s="1"/>
  <c r="G115" i="2"/>
  <c r="H115" i="2" s="1"/>
  <c r="J115" i="2" s="1"/>
  <c r="G114" i="2"/>
  <c r="H114" i="2" s="1"/>
  <c r="J114" i="2" s="1"/>
  <c r="H113" i="2"/>
  <c r="J113" i="2" s="1"/>
  <c r="G113" i="2"/>
  <c r="G112" i="2"/>
  <c r="G92" i="2"/>
  <c r="H92" i="2" s="1"/>
  <c r="J92" i="2" s="1"/>
  <c r="G91" i="2"/>
  <c r="H91" i="2" s="1"/>
  <c r="J91" i="2" s="1"/>
  <c r="G90" i="2"/>
  <c r="I90" i="2" s="1"/>
  <c r="H89" i="2"/>
  <c r="J89" i="2" s="1"/>
  <c r="G89" i="2"/>
  <c r="G88" i="2"/>
  <c r="G87" i="2"/>
  <c r="H87" i="2" s="1"/>
  <c r="J87" i="2" s="1"/>
  <c r="H86" i="2"/>
  <c r="J86" i="2" s="1"/>
  <c r="G86" i="2"/>
  <c r="G85" i="2"/>
  <c r="I87" i="2" s="1"/>
  <c r="G84" i="2"/>
  <c r="H84" i="2" s="1"/>
  <c r="J84" i="2" s="1"/>
  <c r="G83" i="2"/>
  <c r="H83" i="2" s="1"/>
  <c r="J83" i="2" s="1"/>
  <c r="H82" i="2"/>
  <c r="J82" i="2" s="1"/>
  <c r="G82" i="2"/>
  <c r="G78" i="2"/>
  <c r="H78" i="2" s="1"/>
  <c r="J78" i="2" s="1"/>
  <c r="G77" i="2"/>
  <c r="H77" i="2" s="1"/>
  <c r="J77" i="2" s="1"/>
  <c r="G76" i="2"/>
  <c r="H76" i="2" s="1"/>
  <c r="J76" i="2" s="1"/>
  <c r="G75" i="2"/>
  <c r="H75" i="2" s="1"/>
  <c r="J75" i="2" s="1"/>
  <c r="H74" i="2"/>
  <c r="J74" i="2" s="1"/>
  <c r="G74" i="2"/>
  <c r="G70" i="2"/>
  <c r="H70" i="2" s="1"/>
  <c r="J70" i="2" s="1"/>
  <c r="G69" i="2"/>
  <c r="H69" i="2" s="1"/>
  <c r="J69" i="2" s="1"/>
  <c r="G68" i="2"/>
  <c r="H68" i="2" s="1"/>
  <c r="J68" i="2" s="1"/>
  <c r="G67" i="2"/>
  <c r="H67" i="2" s="1"/>
  <c r="J67" i="2" s="1"/>
  <c r="G66" i="2"/>
  <c r="H66" i="2" s="1"/>
  <c r="J66" i="2" s="1"/>
  <c r="G65" i="2"/>
  <c r="H65" i="2" s="1"/>
  <c r="J65" i="2" s="1"/>
  <c r="G63" i="2"/>
  <c r="H63" i="2" s="1"/>
  <c r="J63" i="2" s="1"/>
  <c r="G62" i="2"/>
  <c r="H62" i="2" s="1"/>
  <c r="J62" i="2" s="1"/>
  <c r="G58" i="2"/>
  <c r="H58" i="2" s="1"/>
  <c r="J58" i="2" s="1"/>
  <c r="G57" i="2"/>
  <c r="H57" i="2" s="1"/>
  <c r="J57" i="2" s="1"/>
  <c r="G56" i="2"/>
  <c r="H56" i="2" s="1"/>
  <c r="J56" i="2" s="1"/>
  <c r="H55" i="2"/>
  <c r="J55" i="2" s="1"/>
  <c r="G55" i="2"/>
  <c r="G54" i="2"/>
  <c r="H54" i="2" s="1"/>
  <c r="J54" i="2" s="1"/>
  <c r="G53" i="2"/>
  <c r="H53" i="2" s="1"/>
  <c r="J53" i="2" s="1"/>
  <c r="G52" i="2"/>
  <c r="H52" i="2" s="1"/>
  <c r="J52" i="2" s="1"/>
  <c r="G51" i="2"/>
  <c r="H51" i="2" s="1"/>
  <c r="J51" i="2" s="1"/>
  <c r="G50" i="2"/>
  <c r="H50" i="2" s="1"/>
  <c r="J50" i="2" s="1"/>
  <c r="G49" i="2"/>
  <c r="G59" i="2" s="1"/>
  <c r="H59" i="2" s="1"/>
  <c r="J59" i="2" s="1"/>
  <c r="G46" i="2"/>
  <c r="H46" i="2" s="1"/>
  <c r="J46" i="2" s="1"/>
  <c r="G45" i="2"/>
  <c r="H45" i="2" s="1"/>
  <c r="J45" i="2" s="1"/>
  <c r="G44" i="2"/>
  <c r="H44" i="2" s="1"/>
  <c r="J44" i="2" s="1"/>
  <c r="G43" i="2"/>
  <c r="H43" i="2" s="1"/>
  <c r="J43" i="2" s="1"/>
  <c r="G42" i="2"/>
  <c r="H42" i="2" s="1"/>
  <c r="J42" i="2" s="1"/>
  <c r="G41" i="2"/>
  <c r="H41" i="2" s="1"/>
  <c r="J41" i="2" s="1"/>
  <c r="G40" i="2"/>
  <c r="H40" i="2" s="1"/>
  <c r="J40" i="2" s="1"/>
  <c r="G39" i="2"/>
  <c r="G98" i="2" s="1"/>
  <c r="G38" i="2"/>
  <c r="G37" i="2"/>
  <c r="H37" i="2" s="1"/>
  <c r="J37" i="2" s="1"/>
  <c r="H36" i="2"/>
  <c r="J36" i="2" s="1"/>
  <c r="G36" i="2"/>
  <c r="G35" i="2"/>
  <c r="G23" i="2"/>
  <c r="H23" i="2" s="1"/>
  <c r="G22" i="2"/>
  <c r="H19" i="2"/>
  <c r="J19" i="2" s="1"/>
  <c r="G19" i="2"/>
  <c r="E30" i="2" s="1"/>
  <c r="G30" i="2" s="1"/>
  <c r="H30" i="2" s="1"/>
  <c r="J30" i="2" s="1"/>
  <c r="G18" i="2"/>
  <c r="H18" i="2" s="1"/>
  <c r="J18" i="2" s="1"/>
  <c r="F15" i="2"/>
  <c r="E15" i="3" s="1"/>
  <c r="F15" i="3" s="1"/>
  <c r="H13" i="2"/>
  <c r="J13" i="2" s="1"/>
  <c r="H12" i="2"/>
  <c r="J12" i="2" s="1"/>
  <c r="G12" i="2"/>
  <c r="G11" i="2"/>
  <c r="H11" i="2" s="1"/>
  <c r="J11" i="2" s="1"/>
  <c r="G10" i="2"/>
  <c r="H10" i="2" s="1"/>
  <c r="J10" i="2" s="1"/>
  <c r="K9" i="2"/>
  <c r="G9" i="2"/>
  <c r="H9" i="2" s="1"/>
  <c r="J9" i="2" s="1"/>
  <c r="M8" i="2"/>
  <c r="G8" i="2"/>
  <c r="E27" i="2" s="1"/>
  <c r="G27" i="2" s="1"/>
  <c r="G7" i="2"/>
  <c r="H7" i="2" s="1"/>
  <c r="J7" i="2" s="1"/>
  <c r="F15" i="31"/>
  <c r="I89" i="33" l="1"/>
  <c r="H121" i="3"/>
  <c r="J121" i="3" s="1"/>
  <c r="G100" i="3"/>
  <c r="H46" i="3"/>
  <c r="J46" i="3" s="1"/>
  <c r="H139" i="3"/>
  <c r="J139" i="3" s="1"/>
  <c r="H147" i="3"/>
  <c r="J147" i="3" s="1"/>
  <c r="H157" i="3"/>
  <c r="H157" i="4" s="1"/>
  <c r="H184" i="3"/>
  <c r="J184" i="3" s="1"/>
  <c r="H40" i="3"/>
  <c r="J40" i="3" s="1"/>
  <c r="H55" i="3"/>
  <c r="J55" i="3" s="1"/>
  <c r="H130" i="3"/>
  <c r="J130" i="3" s="1"/>
  <c r="H141" i="3"/>
  <c r="J141" i="3" s="1"/>
  <c r="H149" i="3"/>
  <c r="J149" i="3" s="1"/>
  <c r="E7" i="4"/>
  <c r="G7" i="4" s="1"/>
  <c r="H118" i="4"/>
  <c r="J118" i="4" s="1"/>
  <c r="G100" i="2"/>
  <c r="I89" i="2"/>
  <c r="H131" i="3"/>
  <c r="J131" i="3" s="1"/>
  <c r="H142" i="3"/>
  <c r="J142" i="3" s="1"/>
  <c r="H150" i="3"/>
  <c r="J150" i="3" s="1"/>
  <c r="G102" i="33"/>
  <c r="G103" i="33" s="1"/>
  <c r="H103" i="33" s="1"/>
  <c r="J103" i="33" s="1"/>
  <c r="H89" i="3"/>
  <c r="J89" i="3" s="1"/>
  <c r="G20" i="3"/>
  <c r="H51" i="3"/>
  <c r="J51" i="3" s="1"/>
  <c r="H56" i="3"/>
  <c r="J56" i="3" s="1"/>
  <c r="H70" i="3"/>
  <c r="J70" i="3" s="1"/>
  <c r="H132" i="3"/>
  <c r="J132" i="3" s="1"/>
  <c r="H143" i="3"/>
  <c r="J143" i="3" s="1"/>
  <c r="H151" i="3"/>
  <c r="J151" i="3" s="1"/>
  <c r="H162" i="3"/>
  <c r="J162" i="3" s="1"/>
  <c r="G94" i="3"/>
  <c r="G102" i="3"/>
  <c r="H44" i="3"/>
  <c r="J44" i="3" s="1"/>
  <c r="H66" i="3"/>
  <c r="J66" i="3" s="1"/>
  <c r="H134" i="3"/>
  <c r="J134" i="3" s="1"/>
  <c r="H145" i="3"/>
  <c r="J145" i="3" s="1"/>
  <c r="H180" i="3"/>
  <c r="J180" i="3" s="1"/>
  <c r="H114" i="3"/>
  <c r="J114" i="3" s="1"/>
  <c r="H19" i="3"/>
  <c r="J19" i="3" s="1"/>
  <c r="H45" i="3"/>
  <c r="J45" i="3" s="1"/>
  <c r="H58" i="3"/>
  <c r="J58" i="3" s="1"/>
  <c r="H83" i="3"/>
  <c r="J83" i="3" s="1"/>
  <c r="H87" i="3"/>
  <c r="J87" i="3" s="1"/>
  <c r="H92" i="3"/>
  <c r="J92" i="3" s="1"/>
  <c r="H146" i="3"/>
  <c r="J146" i="3" s="1"/>
  <c r="H156" i="3"/>
  <c r="J156" i="3" s="1"/>
  <c r="G64" i="3"/>
  <c r="H62" i="3"/>
  <c r="J62" i="3" s="1"/>
  <c r="G135" i="3"/>
  <c r="G15" i="3"/>
  <c r="E15" i="4"/>
  <c r="F15" i="4" s="1"/>
  <c r="G15" i="4" s="1"/>
  <c r="G79" i="4" s="1"/>
  <c r="G59" i="3"/>
  <c r="H59" i="3" s="1"/>
  <c r="J59" i="3" s="1"/>
  <c r="H68" i="3"/>
  <c r="J68" i="3" s="1"/>
  <c r="H129" i="3"/>
  <c r="J129" i="3" s="1"/>
  <c r="H140" i="3"/>
  <c r="J140" i="3" s="1"/>
  <c r="H148" i="3"/>
  <c r="J148" i="3" s="1"/>
  <c r="G96" i="3"/>
  <c r="G186" i="33"/>
  <c r="H186" i="33" s="1"/>
  <c r="J186" i="33" s="1"/>
  <c r="H42" i="3"/>
  <c r="J42" i="3" s="1"/>
  <c r="H91" i="4"/>
  <c r="J91" i="4" s="1"/>
  <c r="G8" i="3"/>
  <c r="E27" i="3" s="1"/>
  <c r="G27" i="3" s="1"/>
  <c r="E8" i="4"/>
  <c r="G8" i="4" s="1"/>
  <c r="H57" i="3"/>
  <c r="J57" i="3" s="1"/>
  <c r="H133" i="3"/>
  <c r="J133" i="3" s="1"/>
  <c r="H144" i="3"/>
  <c r="J144" i="3" s="1"/>
  <c r="H152" i="3"/>
  <c r="J152" i="3" s="1"/>
  <c r="H179" i="3"/>
  <c r="J179" i="3" s="1"/>
  <c r="H77" i="4"/>
  <c r="J77" i="4" s="1"/>
  <c r="J23" i="2"/>
  <c r="H23" i="3"/>
  <c r="H155" i="3"/>
  <c r="J155" i="3" s="1"/>
  <c r="G104" i="3"/>
  <c r="H53" i="3"/>
  <c r="J53" i="3" s="1"/>
  <c r="G153" i="3"/>
  <c r="I153" i="3" s="1"/>
  <c r="I89" i="4"/>
  <c r="G176" i="33"/>
  <c r="H176" i="33" s="1"/>
  <c r="J176" i="33" s="1"/>
  <c r="I92" i="3"/>
  <c r="H43" i="4"/>
  <c r="J43" i="4" s="1"/>
  <c r="H53" i="4"/>
  <c r="J53" i="4" s="1"/>
  <c r="H140" i="4"/>
  <c r="J140" i="4" s="1"/>
  <c r="H148" i="4"/>
  <c r="J148" i="4" s="1"/>
  <c r="H49" i="2"/>
  <c r="J49" i="2" s="1"/>
  <c r="H90" i="2"/>
  <c r="J90" i="2" s="1"/>
  <c r="G135" i="2"/>
  <c r="H135" i="2" s="1"/>
  <c r="J135" i="2" s="1"/>
  <c r="H91" i="3"/>
  <c r="J91" i="3" s="1"/>
  <c r="H185" i="3"/>
  <c r="J185" i="3" s="1"/>
  <c r="H44" i="4"/>
  <c r="J44" i="4" s="1"/>
  <c r="H54" i="4"/>
  <c r="J54" i="4" s="1"/>
  <c r="H141" i="4"/>
  <c r="J141" i="4" s="1"/>
  <c r="H113" i="3"/>
  <c r="J113" i="3" s="1"/>
  <c r="H74" i="4"/>
  <c r="J74" i="4" s="1"/>
  <c r="H66" i="4"/>
  <c r="J66" i="4" s="1"/>
  <c r="G24" i="2"/>
  <c r="H38" i="2"/>
  <c r="J38" i="2" s="1"/>
  <c r="G181" i="2"/>
  <c r="H10" i="3"/>
  <c r="J10" i="3" s="1"/>
  <c r="H18" i="3"/>
  <c r="J18" i="3" s="1"/>
  <c r="E31" i="3"/>
  <c r="G31" i="3" s="1"/>
  <c r="H31" i="3" s="1"/>
  <c r="J31" i="3" s="1"/>
  <c r="H46" i="4"/>
  <c r="J46" i="4" s="1"/>
  <c r="H56" i="4"/>
  <c r="J56" i="4" s="1"/>
  <c r="H67" i="4"/>
  <c r="J67" i="4" s="1"/>
  <c r="H83" i="4"/>
  <c r="J83" i="4" s="1"/>
  <c r="H121" i="4"/>
  <c r="J121" i="4" s="1"/>
  <c r="H132" i="4"/>
  <c r="J132" i="4" s="1"/>
  <c r="H143" i="4"/>
  <c r="J143" i="4" s="1"/>
  <c r="H162" i="4"/>
  <c r="J162" i="4" s="1"/>
  <c r="H185" i="4"/>
  <c r="J185" i="4" s="1"/>
  <c r="H161" i="3"/>
  <c r="J161" i="3" s="1"/>
  <c r="H75" i="4"/>
  <c r="J75" i="4" s="1"/>
  <c r="H150" i="4"/>
  <c r="J150" i="4" s="1"/>
  <c r="H11" i="3"/>
  <c r="J11" i="3" s="1"/>
  <c r="H77" i="3"/>
  <c r="J77" i="3" s="1"/>
  <c r="H115" i="3"/>
  <c r="J115" i="3" s="1"/>
  <c r="H119" i="3"/>
  <c r="J119" i="3" s="1"/>
  <c r="H123" i="3"/>
  <c r="J123" i="3" s="1"/>
  <c r="H57" i="4"/>
  <c r="J57" i="4" s="1"/>
  <c r="H114" i="4"/>
  <c r="J114" i="4" s="1"/>
  <c r="H122" i="4"/>
  <c r="J122" i="4" s="1"/>
  <c r="H133" i="4"/>
  <c r="J133" i="4" s="1"/>
  <c r="H144" i="4"/>
  <c r="J144" i="4" s="1"/>
  <c r="H158" i="3"/>
  <c r="H158" i="4" s="1"/>
  <c r="G71" i="3"/>
  <c r="H55" i="4"/>
  <c r="J55" i="4" s="1"/>
  <c r="H131" i="4"/>
  <c r="J131" i="4" s="1"/>
  <c r="G176" i="2"/>
  <c r="H176" i="2" s="1"/>
  <c r="J176" i="2" s="1"/>
  <c r="H78" i="3"/>
  <c r="J78" i="3" s="1"/>
  <c r="H127" i="3"/>
  <c r="H40" i="4"/>
  <c r="J40" i="4" s="1"/>
  <c r="H50" i="4"/>
  <c r="J50" i="4" s="1"/>
  <c r="H58" i="4"/>
  <c r="J58" i="4" s="1"/>
  <c r="H69" i="4"/>
  <c r="J69" i="4" s="1"/>
  <c r="H115" i="4"/>
  <c r="J115" i="4" s="1"/>
  <c r="H123" i="4"/>
  <c r="J123" i="4" s="1"/>
  <c r="H145" i="4"/>
  <c r="J145" i="4" s="1"/>
  <c r="H155" i="4"/>
  <c r="J155" i="4" s="1"/>
  <c r="H164" i="4"/>
  <c r="J164" i="4" s="1"/>
  <c r="H129" i="4"/>
  <c r="J129" i="4" s="1"/>
  <c r="H165" i="3"/>
  <c r="J165" i="3" s="1"/>
  <c r="H45" i="4"/>
  <c r="J45" i="4" s="1"/>
  <c r="G94" i="2"/>
  <c r="G125" i="2"/>
  <c r="I125" i="2" s="1"/>
  <c r="H12" i="3"/>
  <c r="J12" i="3" s="1"/>
  <c r="I87" i="3"/>
  <c r="G125" i="3"/>
  <c r="I125" i="3" s="1"/>
  <c r="H116" i="3"/>
  <c r="J116" i="3" s="1"/>
  <c r="H120" i="3"/>
  <c r="J120" i="3" s="1"/>
  <c r="H163" i="3"/>
  <c r="J163" i="3" s="1"/>
  <c r="H175" i="3"/>
  <c r="J175" i="3" s="1"/>
  <c r="H182" i="3"/>
  <c r="G20" i="4"/>
  <c r="H51" i="4"/>
  <c r="J51" i="4" s="1"/>
  <c r="H70" i="4"/>
  <c r="J70" i="4" s="1"/>
  <c r="H86" i="4"/>
  <c r="J86" i="4" s="1"/>
  <c r="H156" i="4"/>
  <c r="J156" i="4" s="1"/>
  <c r="H174" i="4"/>
  <c r="J174" i="4" s="1"/>
  <c r="H82" i="4"/>
  <c r="J82" i="4" s="1"/>
  <c r="H184" i="4"/>
  <c r="J184" i="4" s="1"/>
  <c r="G15" i="2"/>
  <c r="G79" i="2" s="1"/>
  <c r="H79" i="2" s="1"/>
  <c r="G102" i="2"/>
  <c r="H102" i="2" s="1"/>
  <c r="G187" i="2"/>
  <c r="H187" i="2" s="1"/>
  <c r="J187" i="2" s="1"/>
  <c r="H84" i="3"/>
  <c r="J84" i="3" s="1"/>
  <c r="H177" i="3"/>
  <c r="H177" i="4" s="1"/>
  <c r="J177" i="4" s="1"/>
  <c r="H52" i="4"/>
  <c r="J52" i="4" s="1"/>
  <c r="H63" i="4"/>
  <c r="J63" i="4" s="1"/>
  <c r="H87" i="4"/>
  <c r="J87" i="4" s="1"/>
  <c r="H117" i="4"/>
  <c r="J117" i="4" s="1"/>
  <c r="H147" i="4"/>
  <c r="J147" i="4" s="1"/>
  <c r="H175" i="4"/>
  <c r="J175" i="4" s="1"/>
  <c r="H9" i="33"/>
  <c r="J9" i="33" s="1"/>
  <c r="G13" i="33"/>
  <c r="E27" i="33"/>
  <c r="G27" i="33" s="1"/>
  <c r="H8" i="33"/>
  <c r="J8" i="33" s="1"/>
  <c r="H62" i="33"/>
  <c r="J62" i="33" s="1"/>
  <c r="G187" i="33"/>
  <c r="H187" i="33" s="1"/>
  <c r="J187" i="33" s="1"/>
  <c r="G64" i="33"/>
  <c r="H64" i="33" s="1"/>
  <c r="J64" i="33" s="1"/>
  <c r="H65" i="33"/>
  <c r="J65" i="33" s="1"/>
  <c r="G188" i="33"/>
  <c r="H188" i="33" s="1"/>
  <c r="J188" i="33" s="1"/>
  <c r="G71" i="33"/>
  <c r="H71" i="33" s="1"/>
  <c r="J71" i="33" s="1"/>
  <c r="G135" i="33"/>
  <c r="H128" i="33"/>
  <c r="J128" i="33" s="1"/>
  <c r="G181" i="33"/>
  <c r="H178" i="33"/>
  <c r="J178" i="33" s="1"/>
  <c r="G94" i="33"/>
  <c r="G98" i="33"/>
  <c r="E30" i="33"/>
  <c r="G30" i="33" s="1"/>
  <c r="H30" i="33" s="1"/>
  <c r="J30" i="33" s="1"/>
  <c r="H19" i="33"/>
  <c r="J19" i="33" s="1"/>
  <c r="H49" i="33"/>
  <c r="J49" i="33" s="1"/>
  <c r="G59" i="33"/>
  <c r="H59" i="33" s="1"/>
  <c r="J59" i="33" s="1"/>
  <c r="G125" i="33"/>
  <c r="I125" i="33" s="1"/>
  <c r="H112" i="33"/>
  <c r="J112" i="33" s="1"/>
  <c r="G153" i="33"/>
  <c r="I153" i="33" s="1"/>
  <c r="H138" i="33"/>
  <c r="J138" i="33" s="1"/>
  <c r="H84" i="33"/>
  <c r="J84" i="33" s="1"/>
  <c r="I87" i="33"/>
  <c r="H90" i="33"/>
  <c r="J90" i="33" s="1"/>
  <c r="I90" i="33"/>
  <c r="H7" i="33"/>
  <c r="J7" i="33" s="1"/>
  <c r="I9" i="33" s="1"/>
  <c r="H18" i="33"/>
  <c r="J18" i="33" s="1"/>
  <c r="G47" i="33"/>
  <c r="H74" i="33"/>
  <c r="J74" i="33" s="1"/>
  <c r="H88" i="33"/>
  <c r="J88" i="33" s="1"/>
  <c r="H173" i="33"/>
  <c r="J173" i="33" s="1"/>
  <c r="G20" i="33"/>
  <c r="H20" i="33" s="1"/>
  <c r="J20" i="33" s="1"/>
  <c r="I20" i="33" s="1"/>
  <c r="I92" i="33"/>
  <c r="G96" i="33"/>
  <c r="G100" i="33"/>
  <c r="G104" i="33"/>
  <c r="I13" i="33"/>
  <c r="H15" i="33"/>
  <c r="J15" i="33" s="1"/>
  <c r="I16" i="33" s="1"/>
  <c r="H35" i="33"/>
  <c r="J35" i="33" s="1"/>
  <c r="H36" i="33"/>
  <c r="J36" i="33" s="1"/>
  <c r="H39" i="33"/>
  <c r="J39" i="33" s="1"/>
  <c r="G79" i="33"/>
  <c r="H79" i="33" s="1"/>
  <c r="H183" i="33"/>
  <c r="J183" i="33" s="1"/>
  <c r="G100" i="4"/>
  <c r="G135" i="4"/>
  <c r="G13" i="4"/>
  <c r="I13" i="4"/>
  <c r="G104" i="4"/>
  <c r="G96" i="4"/>
  <c r="G64" i="4"/>
  <c r="H62" i="4"/>
  <c r="J62" i="4" s="1"/>
  <c r="G187" i="4"/>
  <c r="G125" i="4"/>
  <c r="I125" i="4" s="1"/>
  <c r="G153" i="4"/>
  <c r="I153" i="4" s="1"/>
  <c r="G102" i="4"/>
  <c r="G71" i="4"/>
  <c r="G188" i="4"/>
  <c r="H65" i="4"/>
  <c r="J65" i="4" s="1"/>
  <c r="I90" i="4"/>
  <c r="H173" i="4"/>
  <c r="J173" i="4" s="1"/>
  <c r="G176" i="4"/>
  <c r="G186" i="4"/>
  <c r="E30" i="4"/>
  <c r="G30" i="4" s="1"/>
  <c r="H30" i="4" s="1"/>
  <c r="J30" i="4" s="1"/>
  <c r="H19" i="4"/>
  <c r="J19" i="4" s="1"/>
  <c r="G94" i="4"/>
  <c r="G47" i="4"/>
  <c r="G98" i="4"/>
  <c r="G59" i="4"/>
  <c r="H59" i="4" s="1"/>
  <c r="J59" i="4" s="1"/>
  <c r="H84" i="4"/>
  <c r="J84" i="4" s="1"/>
  <c r="I87" i="4"/>
  <c r="G181" i="4"/>
  <c r="E27" i="4"/>
  <c r="G27" i="4" s="1"/>
  <c r="E31" i="4"/>
  <c r="G31" i="4" s="1"/>
  <c r="I92" i="4"/>
  <c r="G95" i="3"/>
  <c r="H94" i="3"/>
  <c r="J94" i="3" s="1"/>
  <c r="G105" i="3"/>
  <c r="G99" i="3"/>
  <c r="I89" i="3"/>
  <c r="H7" i="3"/>
  <c r="J7" i="3" s="1"/>
  <c r="G79" i="3"/>
  <c r="E28" i="3"/>
  <c r="G28" i="3" s="1"/>
  <c r="G103" i="3"/>
  <c r="G101" i="3"/>
  <c r="H76" i="3"/>
  <c r="J76" i="3" s="1"/>
  <c r="I135" i="3"/>
  <c r="G186" i="3"/>
  <c r="H186" i="3" s="1"/>
  <c r="J186" i="3" s="1"/>
  <c r="G13" i="3"/>
  <c r="H9" i="3"/>
  <c r="J9" i="3" s="1"/>
  <c r="H36" i="3"/>
  <c r="J36" i="3" s="1"/>
  <c r="H37" i="3"/>
  <c r="J37" i="3" s="1"/>
  <c r="H38" i="3"/>
  <c r="J38" i="3" s="1"/>
  <c r="H41" i="3"/>
  <c r="J41" i="3" s="1"/>
  <c r="H138" i="3"/>
  <c r="J138" i="3" s="1"/>
  <c r="G176" i="3"/>
  <c r="G181" i="3"/>
  <c r="G187" i="3"/>
  <c r="H187" i="3" s="1"/>
  <c r="J187" i="3" s="1"/>
  <c r="G188" i="3"/>
  <c r="H188" i="3" s="1"/>
  <c r="J188" i="3" s="1"/>
  <c r="G47" i="3"/>
  <c r="H27" i="2"/>
  <c r="J27" i="2" s="1"/>
  <c r="H98" i="2"/>
  <c r="J98" i="2" s="1"/>
  <c r="G99" i="2"/>
  <c r="H99" i="2" s="1"/>
  <c r="J99" i="2" s="1"/>
  <c r="H24" i="2"/>
  <c r="E29" i="2"/>
  <c r="G29" i="2" s="1"/>
  <c r="H29" i="2" s="1"/>
  <c r="J29" i="2" s="1"/>
  <c r="G103" i="2"/>
  <c r="H103" i="2" s="1"/>
  <c r="J103" i="2" s="1"/>
  <c r="H181" i="2"/>
  <c r="J181" i="2" s="1"/>
  <c r="G189" i="2"/>
  <c r="H189" i="2" s="1"/>
  <c r="J189" i="2" s="1"/>
  <c r="G101" i="2"/>
  <c r="H101" i="2" s="1"/>
  <c r="J101" i="2" s="1"/>
  <c r="H100" i="2"/>
  <c r="J100" i="2" s="1"/>
  <c r="H94" i="2"/>
  <c r="J94" i="2" s="1"/>
  <c r="G95" i="2"/>
  <c r="H95" i="2" s="1"/>
  <c r="J95" i="2" s="1"/>
  <c r="I135" i="2"/>
  <c r="H8" i="2"/>
  <c r="J8" i="2" s="1"/>
  <c r="I9" i="2" s="1"/>
  <c r="H22" i="2"/>
  <c r="J22" i="2" s="1"/>
  <c r="E31" i="2"/>
  <c r="G31" i="2" s="1"/>
  <c r="H31" i="2" s="1"/>
  <c r="J31" i="2" s="1"/>
  <c r="H35" i="2"/>
  <c r="J35" i="2" s="1"/>
  <c r="H39" i="2"/>
  <c r="J39" i="2" s="1"/>
  <c r="H88" i="2"/>
  <c r="J88" i="2" s="1"/>
  <c r="H178" i="2"/>
  <c r="J178" i="2" s="1"/>
  <c r="G188" i="2"/>
  <c r="H188" i="2" s="1"/>
  <c r="G47" i="2"/>
  <c r="G71" i="2"/>
  <c r="H71" i="2" s="1"/>
  <c r="J71" i="2" s="1"/>
  <c r="I92" i="2"/>
  <c r="G96" i="2"/>
  <c r="G104" i="2"/>
  <c r="G153" i="2"/>
  <c r="G20" i="2"/>
  <c r="H20" i="2" s="1"/>
  <c r="J20" i="2" s="1"/>
  <c r="I20" i="2" s="1"/>
  <c r="I13" i="2"/>
  <c r="G64" i="2"/>
  <c r="H64" i="2" s="1"/>
  <c r="J64" i="2" s="1"/>
  <c r="H85" i="2"/>
  <c r="J85" i="2" s="1"/>
  <c r="H112" i="2"/>
  <c r="J112" i="2" s="1"/>
  <c r="H128" i="2"/>
  <c r="J128" i="2" s="1"/>
  <c r="H183" i="2"/>
  <c r="J183" i="2" s="1"/>
  <c r="N8" i="30"/>
  <c r="E156" i="43"/>
  <c r="E157" i="43"/>
  <c r="E158" i="43"/>
  <c r="J102" i="2" l="1"/>
  <c r="H102" i="3"/>
  <c r="J102" i="3" s="1"/>
  <c r="H139" i="4"/>
  <c r="J139" i="4" s="1"/>
  <c r="H165" i="4"/>
  <c r="J165" i="4" s="1"/>
  <c r="H134" i="4"/>
  <c r="J134" i="4" s="1"/>
  <c r="H151" i="4"/>
  <c r="J151" i="4" s="1"/>
  <c r="H176" i="3"/>
  <c r="J176" i="3" s="1"/>
  <c r="H18" i="4"/>
  <c r="J18" i="4" s="1"/>
  <c r="H102" i="33"/>
  <c r="J102" i="33" s="1"/>
  <c r="H142" i="4"/>
  <c r="J142" i="4" s="1"/>
  <c r="H179" i="4"/>
  <c r="J179" i="4" s="1"/>
  <c r="H113" i="4"/>
  <c r="J113" i="4" s="1"/>
  <c r="H130" i="4"/>
  <c r="J130" i="4" s="1"/>
  <c r="H92" i="4"/>
  <c r="J92" i="4" s="1"/>
  <c r="H146" i="4"/>
  <c r="J146" i="4" s="1"/>
  <c r="H149" i="4"/>
  <c r="J149" i="4" s="1"/>
  <c r="H79" i="3"/>
  <c r="H42" i="4"/>
  <c r="J42" i="4" s="1"/>
  <c r="H10" i="4"/>
  <c r="J10" i="4" s="1"/>
  <c r="H15" i="2"/>
  <c r="J15" i="2" s="1"/>
  <c r="I16" i="2" s="1"/>
  <c r="H20" i="3"/>
  <c r="J20" i="3" s="1"/>
  <c r="I20" i="3" s="1"/>
  <c r="H152" i="4"/>
  <c r="J152" i="4" s="1"/>
  <c r="H180" i="4"/>
  <c r="J180" i="4" s="1"/>
  <c r="H68" i="4"/>
  <c r="J68" i="4" s="1"/>
  <c r="G80" i="2"/>
  <c r="E28" i="2"/>
  <c r="G28" i="2" s="1"/>
  <c r="H28" i="2" s="1"/>
  <c r="J28" i="2" s="1"/>
  <c r="H39" i="3"/>
  <c r="J39" i="3" s="1"/>
  <c r="G80" i="3"/>
  <c r="H80" i="3" s="1"/>
  <c r="H37" i="4"/>
  <c r="J37" i="4" s="1"/>
  <c r="H89" i="4"/>
  <c r="J89" i="4" s="1"/>
  <c r="H79" i="4"/>
  <c r="G80" i="4"/>
  <c r="H80" i="4" s="1"/>
  <c r="H183" i="3"/>
  <c r="H112" i="3"/>
  <c r="H8" i="3"/>
  <c r="J8" i="3" s="1"/>
  <c r="I9" i="3" s="1"/>
  <c r="H101" i="3"/>
  <c r="J101" i="3" s="1"/>
  <c r="H27" i="3"/>
  <c r="J27" i="3" s="1"/>
  <c r="H31" i="4"/>
  <c r="J31" i="4" s="1"/>
  <c r="H176" i="4"/>
  <c r="J176" i="4" s="1"/>
  <c r="H41" i="4"/>
  <c r="J41" i="4" s="1"/>
  <c r="H161" i="4"/>
  <c r="J161" i="4" s="1"/>
  <c r="H49" i="3"/>
  <c r="H100" i="3"/>
  <c r="J100" i="3" s="1"/>
  <c r="H138" i="4"/>
  <c r="J138" i="4" s="1"/>
  <c r="H90" i="3"/>
  <c r="H103" i="3"/>
  <c r="J103" i="3" s="1"/>
  <c r="H88" i="3"/>
  <c r="H95" i="3"/>
  <c r="J95" i="3" s="1"/>
  <c r="H38" i="4"/>
  <c r="J38" i="4" s="1"/>
  <c r="H20" i="4"/>
  <c r="J20" i="4" s="1"/>
  <c r="I20" i="4" s="1"/>
  <c r="H71" i="3"/>
  <c r="J71" i="3" s="1"/>
  <c r="H11" i="4"/>
  <c r="J11" i="4" s="1"/>
  <c r="H85" i="3"/>
  <c r="G97" i="3"/>
  <c r="J182" i="3"/>
  <c r="H182" i="4"/>
  <c r="J182" i="4" s="1"/>
  <c r="H12" i="4"/>
  <c r="J12" i="4" s="1"/>
  <c r="H78" i="4"/>
  <c r="J78" i="4" s="1"/>
  <c r="H76" i="4"/>
  <c r="J76" i="4" s="1"/>
  <c r="J24" i="2"/>
  <c r="H24" i="3"/>
  <c r="H135" i="3"/>
  <c r="J135" i="3" s="1"/>
  <c r="H28" i="3"/>
  <c r="J28" i="3" s="1"/>
  <c r="H9" i="4"/>
  <c r="J9" i="4" s="1"/>
  <c r="H188" i="4"/>
  <c r="J188" i="4" s="1"/>
  <c r="H187" i="4"/>
  <c r="J187" i="4" s="1"/>
  <c r="H7" i="4"/>
  <c r="J7" i="4" s="1"/>
  <c r="I9" i="4" s="1"/>
  <c r="H163" i="4"/>
  <c r="J163" i="4" s="1"/>
  <c r="H178" i="3"/>
  <c r="H22" i="3"/>
  <c r="H35" i="3"/>
  <c r="H15" i="3"/>
  <c r="J15" i="3" s="1"/>
  <c r="I16" i="3" s="1"/>
  <c r="H98" i="3"/>
  <c r="J98" i="3" s="1"/>
  <c r="H71" i="4"/>
  <c r="J71" i="4" s="1"/>
  <c r="E28" i="4"/>
  <c r="G28" i="4" s="1"/>
  <c r="H120" i="4"/>
  <c r="J120" i="4" s="1"/>
  <c r="J127" i="3"/>
  <c r="H127" i="4"/>
  <c r="J127" i="4" s="1"/>
  <c r="H29" i="3"/>
  <c r="H128" i="3"/>
  <c r="H99" i="3"/>
  <c r="J99" i="3" s="1"/>
  <c r="H39" i="4"/>
  <c r="J39" i="4" s="1"/>
  <c r="H186" i="4"/>
  <c r="J186" i="4" s="1"/>
  <c r="H36" i="4"/>
  <c r="J36" i="4" s="1"/>
  <c r="H116" i="4"/>
  <c r="J116" i="4" s="1"/>
  <c r="H119" i="4"/>
  <c r="J119" i="4" s="1"/>
  <c r="J23" i="3"/>
  <c r="H23" i="4"/>
  <c r="J23" i="4" s="1"/>
  <c r="H64" i="3"/>
  <c r="J64" i="3" s="1"/>
  <c r="G97" i="33"/>
  <c r="H97" i="33" s="1"/>
  <c r="J97" i="33" s="1"/>
  <c r="H96" i="33"/>
  <c r="J96" i="33" s="1"/>
  <c r="G105" i="33"/>
  <c r="H105" i="33" s="1"/>
  <c r="J105" i="33" s="1"/>
  <c r="H104" i="33"/>
  <c r="J104" i="33" s="1"/>
  <c r="H47" i="33"/>
  <c r="J47" i="33" s="1"/>
  <c r="G60" i="33"/>
  <c r="H98" i="33"/>
  <c r="J98" i="33" s="1"/>
  <c r="G99" i="33"/>
  <c r="H99" i="33" s="1"/>
  <c r="J99" i="33" s="1"/>
  <c r="G189" i="33"/>
  <c r="H189" i="33" s="1"/>
  <c r="J189" i="33" s="1"/>
  <c r="H181" i="33"/>
  <c r="J181" i="33" s="1"/>
  <c r="G80" i="33"/>
  <c r="H94" i="33"/>
  <c r="J94" i="33" s="1"/>
  <c r="G95" i="33"/>
  <c r="H95" i="33" s="1"/>
  <c r="J95" i="33" s="1"/>
  <c r="I60" i="33"/>
  <c r="H13" i="33"/>
  <c r="J13" i="33" s="1"/>
  <c r="H135" i="33"/>
  <c r="J135" i="33" s="1"/>
  <c r="I135" i="33"/>
  <c r="G32" i="33"/>
  <c r="H32" i="33" s="1"/>
  <c r="J32" i="33" s="1"/>
  <c r="H27" i="33"/>
  <c r="J27" i="33" s="1"/>
  <c r="G101" i="33"/>
  <c r="H101" i="33" s="1"/>
  <c r="J101" i="33" s="1"/>
  <c r="H100" i="33"/>
  <c r="J100" i="33" s="1"/>
  <c r="H27" i="4"/>
  <c r="J27" i="4" s="1"/>
  <c r="G32" i="4"/>
  <c r="G97" i="4"/>
  <c r="G101" i="4"/>
  <c r="H100" i="4"/>
  <c r="J100" i="4" s="1"/>
  <c r="H98" i="4"/>
  <c r="J98" i="4" s="1"/>
  <c r="G99" i="4"/>
  <c r="H102" i="4"/>
  <c r="J102" i="4" s="1"/>
  <c r="G103" i="4"/>
  <c r="H103" i="4" s="1"/>
  <c r="J103" i="4" s="1"/>
  <c r="H94" i="4"/>
  <c r="J94" i="4" s="1"/>
  <c r="G95" i="4"/>
  <c r="H135" i="4"/>
  <c r="J135" i="4" s="1"/>
  <c r="I135" i="4"/>
  <c r="G105" i="4"/>
  <c r="G189" i="4"/>
  <c r="G60" i="4"/>
  <c r="I60" i="4" s="1"/>
  <c r="G60" i="3"/>
  <c r="H47" i="3"/>
  <c r="J47" i="3" s="1"/>
  <c r="H13" i="3"/>
  <c r="J13" i="3" s="1"/>
  <c r="H181" i="3"/>
  <c r="J181" i="3" s="1"/>
  <c r="G189" i="3"/>
  <c r="H189" i="3" s="1"/>
  <c r="J189" i="3" s="1"/>
  <c r="G32" i="3"/>
  <c r="I13" i="3"/>
  <c r="G60" i="2"/>
  <c r="H47" i="2"/>
  <c r="J47" i="2" s="1"/>
  <c r="I153" i="2"/>
  <c r="H153" i="2"/>
  <c r="G97" i="2"/>
  <c r="H97" i="2" s="1"/>
  <c r="J97" i="2" s="1"/>
  <c r="H96" i="2"/>
  <c r="J96" i="2" s="1"/>
  <c r="G105" i="2"/>
  <c r="H105" i="2" s="1"/>
  <c r="J105" i="2" s="1"/>
  <c r="H104" i="2"/>
  <c r="G32" i="2"/>
  <c r="H32" i="2" s="1"/>
  <c r="J32" i="2" s="1"/>
  <c r="B34" i="44"/>
  <c r="N18" i="30"/>
  <c r="E8" i="28"/>
  <c r="E7" i="28"/>
  <c r="G7" i="28" s="1"/>
  <c r="F191" i="27"/>
  <c r="E189" i="27"/>
  <c r="E188" i="27"/>
  <c r="E187" i="27"/>
  <c r="E185" i="27"/>
  <c r="G185" i="27" s="1"/>
  <c r="H185" i="27" s="1"/>
  <c r="J185" i="27" s="1"/>
  <c r="E184" i="27"/>
  <c r="G184" i="27" s="1"/>
  <c r="H184" i="27" s="1"/>
  <c r="J184" i="27" s="1"/>
  <c r="E183" i="27"/>
  <c r="G183" i="27" s="1"/>
  <c r="H182" i="27"/>
  <c r="J182" i="27" s="1"/>
  <c r="E180" i="27"/>
  <c r="G180" i="27" s="1"/>
  <c r="H180" i="27" s="1"/>
  <c r="J180" i="27" s="1"/>
  <c r="E179" i="27"/>
  <c r="G179" i="27" s="1"/>
  <c r="H179" i="27" s="1"/>
  <c r="J179" i="27" s="1"/>
  <c r="E178" i="27"/>
  <c r="G178" i="27" s="1"/>
  <c r="H178" i="27" s="1"/>
  <c r="J178" i="27" s="1"/>
  <c r="H177" i="27"/>
  <c r="H177" i="28" s="1"/>
  <c r="J177" i="28" s="1"/>
  <c r="E175" i="27"/>
  <c r="G175" i="27" s="1"/>
  <c r="H175" i="27" s="1"/>
  <c r="J175" i="27" s="1"/>
  <c r="E174" i="27"/>
  <c r="G174" i="27" s="1"/>
  <c r="H174" i="27" s="1"/>
  <c r="J174" i="27" s="1"/>
  <c r="E173" i="27"/>
  <c r="G173" i="27" s="1"/>
  <c r="H168" i="27"/>
  <c r="J168" i="27" s="1"/>
  <c r="E168" i="27"/>
  <c r="H167" i="27"/>
  <c r="J167" i="27" s="1"/>
  <c r="E167" i="27"/>
  <c r="H166" i="27"/>
  <c r="J166" i="27" s="1"/>
  <c r="E166" i="27"/>
  <c r="E165" i="27"/>
  <c r="G165" i="27" s="1"/>
  <c r="H165" i="27" s="1"/>
  <c r="J165" i="27" s="1"/>
  <c r="E164" i="27"/>
  <c r="G164" i="27" s="1"/>
  <c r="H164" i="27" s="1"/>
  <c r="J164" i="27" s="1"/>
  <c r="E163" i="27"/>
  <c r="G163" i="27" s="1"/>
  <c r="H163" i="27" s="1"/>
  <c r="J163" i="27" s="1"/>
  <c r="E162" i="27"/>
  <c r="G162" i="27" s="1"/>
  <c r="H162" i="27" s="1"/>
  <c r="J162" i="27" s="1"/>
  <c r="E161" i="27"/>
  <c r="G161" i="27" s="1"/>
  <c r="H161" i="27" s="1"/>
  <c r="J161" i="27" s="1"/>
  <c r="E158" i="27"/>
  <c r="G158" i="27" s="1"/>
  <c r="H158" i="27" s="1"/>
  <c r="J158" i="27" s="1"/>
  <c r="E157" i="27"/>
  <c r="G157" i="27" s="1"/>
  <c r="H157" i="27" s="1"/>
  <c r="J157" i="27" s="1"/>
  <c r="E156" i="27"/>
  <c r="G156" i="27" s="1"/>
  <c r="H156" i="27" s="1"/>
  <c r="J156" i="27" s="1"/>
  <c r="E155" i="27"/>
  <c r="G155" i="27" s="1"/>
  <c r="H155" i="27" s="1"/>
  <c r="J155" i="27" s="1"/>
  <c r="E152" i="27"/>
  <c r="G152" i="27" s="1"/>
  <c r="H152" i="27" s="1"/>
  <c r="J152" i="27" s="1"/>
  <c r="E151" i="27"/>
  <c r="G151" i="27" s="1"/>
  <c r="H151" i="27" s="1"/>
  <c r="J151" i="27" s="1"/>
  <c r="E150" i="27"/>
  <c r="G150" i="27" s="1"/>
  <c r="H150" i="27" s="1"/>
  <c r="J150" i="27" s="1"/>
  <c r="E149" i="27"/>
  <c r="G149" i="27" s="1"/>
  <c r="H149" i="27" s="1"/>
  <c r="J149" i="27" s="1"/>
  <c r="E148" i="27"/>
  <c r="G148" i="27" s="1"/>
  <c r="H148" i="27" s="1"/>
  <c r="J148" i="27" s="1"/>
  <c r="E147" i="27"/>
  <c r="G147" i="27" s="1"/>
  <c r="H147" i="27" s="1"/>
  <c r="J147" i="27" s="1"/>
  <c r="E146" i="27"/>
  <c r="G146" i="27" s="1"/>
  <c r="H146" i="27" s="1"/>
  <c r="J146" i="27" s="1"/>
  <c r="E145" i="27"/>
  <c r="G145" i="27" s="1"/>
  <c r="H145" i="27" s="1"/>
  <c r="J145" i="27" s="1"/>
  <c r="E144" i="27"/>
  <c r="G144" i="27" s="1"/>
  <c r="H144" i="27" s="1"/>
  <c r="J144" i="27" s="1"/>
  <c r="E143" i="27"/>
  <c r="G143" i="27" s="1"/>
  <c r="H143" i="27" s="1"/>
  <c r="J143" i="27" s="1"/>
  <c r="E142" i="27"/>
  <c r="G142" i="27" s="1"/>
  <c r="H142" i="27" s="1"/>
  <c r="J142" i="27" s="1"/>
  <c r="E141" i="27"/>
  <c r="G141" i="27" s="1"/>
  <c r="H141" i="27" s="1"/>
  <c r="J141" i="27" s="1"/>
  <c r="E140" i="27"/>
  <c r="G140" i="27" s="1"/>
  <c r="H140" i="27" s="1"/>
  <c r="J140" i="27" s="1"/>
  <c r="E139" i="27"/>
  <c r="G139" i="27" s="1"/>
  <c r="H139" i="27" s="1"/>
  <c r="J139" i="27" s="1"/>
  <c r="E138" i="27"/>
  <c r="G138" i="27" s="1"/>
  <c r="H138" i="27" s="1"/>
  <c r="J138" i="27" s="1"/>
  <c r="E134" i="27"/>
  <c r="G134" i="27" s="1"/>
  <c r="H134" i="27" s="1"/>
  <c r="J134" i="27" s="1"/>
  <c r="E133" i="27"/>
  <c r="G133" i="27" s="1"/>
  <c r="H133" i="27" s="1"/>
  <c r="J133" i="27" s="1"/>
  <c r="E132" i="27"/>
  <c r="G132" i="27" s="1"/>
  <c r="H132" i="27" s="1"/>
  <c r="J132" i="27" s="1"/>
  <c r="E131" i="27"/>
  <c r="G131" i="27" s="1"/>
  <c r="H131" i="27" s="1"/>
  <c r="J131" i="27" s="1"/>
  <c r="E130" i="27"/>
  <c r="G130" i="27" s="1"/>
  <c r="H130" i="27" s="1"/>
  <c r="J130" i="27" s="1"/>
  <c r="E129" i="27"/>
  <c r="G129" i="27" s="1"/>
  <c r="H129" i="27" s="1"/>
  <c r="J129" i="27" s="1"/>
  <c r="E128" i="27"/>
  <c r="G128" i="27" s="1"/>
  <c r="H127" i="27"/>
  <c r="J127" i="27" s="1"/>
  <c r="E124" i="27"/>
  <c r="G123" i="27"/>
  <c r="H123" i="27" s="1"/>
  <c r="J123" i="27" s="1"/>
  <c r="E123" i="27"/>
  <c r="E122" i="27"/>
  <c r="G122" i="27" s="1"/>
  <c r="H122" i="27" s="1"/>
  <c r="J122" i="27" s="1"/>
  <c r="E121" i="27"/>
  <c r="G121" i="27" s="1"/>
  <c r="H121" i="27" s="1"/>
  <c r="J121" i="27" s="1"/>
  <c r="E120" i="27"/>
  <c r="G120" i="27" s="1"/>
  <c r="H120" i="27" s="1"/>
  <c r="J120" i="27" s="1"/>
  <c r="E119" i="27"/>
  <c r="G119" i="27" s="1"/>
  <c r="H119" i="27" s="1"/>
  <c r="J119" i="27" s="1"/>
  <c r="E118" i="27"/>
  <c r="G118" i="27" s="1"/>
  <c r="H118" i="27" s="1"/>
  <c r="J118" i="27" s="1"/>
  <c r="E117" i="27"/>
  <c r="G117" i="27" s="1"/>
  <c r="H117" i="27" s="1"/>
  <c r="J117" i="27" s="1"/>
  <c r="E116" i="27"/>
  <c r="G116" i="27" s="1"/>
  <c r="H116" i="27" s="1"/>
  <c r="J116" i="27" s="1"/>
  <c r="E115" i="27"/>
  <c r="G115" i="27" s="1"/>
  <c r="H115" i="27" s="1"/>
  <c r="J115" i="27" s="1"/>
  <c r="E114" i="27"/>
  <c r="G114" i="27" s="1"/>
  <c r="H114" i="27" s="1"/>
  <c r="J114" i="27" s="1"/>
  <c r="E113" i="27"/>
  <c r="G113" i="27" s="1"/>
  <c r="H113" i="27" s="1"/>
  <c r="J113" i="27" s="1"/>
  <c r="E112" i="27"/>
  <c r="G112" i="27" s="1"/>
  <c r="E92" i="27"/>
  <c r="G92" i="27" s="1"/>
  <c r="H92" i="27" s="1"/>
  <c r="J92" i="27" s="1"/>
  <c r="E91" i="27"/>
  <c r="G91" i="27" s="1"/>
  <c r="E90" i="27"/>
  <c r="G90" i="27" s="1"/>
  <c r="I90" i="27" s="1"/>
  <c r="E89" i="27"/>
  <c r="G89" i="27" s="1"/>
  <c r="H89" i="27" s="1"/>
  <c r="J89" i="27" s="1"/>
  <c r="E88" i="27"/>
  <c r="G88" i="27" s="1"/>
  <c r="E87" i="27"/>
  <c r="G87" i="27" s="1"/>
  <c r="H87" i="27" s="1"/>
  <c r="J87" i="27" s="1"/>
  <c r="E86" i="27"/>
  <c r="G86" i="27" s="1"/>
  <c r="H86" i="27" s="1"/>
  <c r="J86" i="27" s="1"/>
  <c r="E85" i="27"/>
  <c r="G85" i="27" s="1"/>
  <c r="H85" i="27" s="1"/>
  <c r="J85" i="27" s="1"/>
  <c r="E84" i="27"/>
  <c r="G84" i="27" s="1"/>
  <c r="H84" i="27" s="1"/>
  <c r="J84" i="27" s="1"/>
  <c r="E83" i="27"/>
  <c r="G83" i="27" s="1"/>
  <c r="H83" i="27" s="1"/>
  <c r="J83" i="27" s="1"/>
  <c r="E82" i="27"/>
  <c r="G82" i="27" s="1"/>
  <c r="H82" i="27" s="1"/>
  <c r="J82" i="27" s="1"/>
  <c r="E79" i="27"/>
  <c r="E78" i="27"/>
  <c r="G78" i="27" s="1"/>
  <c r="H78" i="27" s="1"/>
  <c r="J78" i="27" s="1"/>
  <c r="E77" i="27"/>
  <c r="G77" i="27" s="1"/>
  <c r="H77" i="27" s="1"/>
  <c r="J77" i="27" s="1"/>
  <c r="E76" i="27"/>
  <c r="G76" i="27" s="1"/>
  <c r="H76" i="27" s="1"/>
  <c r="J76" i="27" s="1"/>
  <c r="E75" i="27"/>
  <c r="G75" i="27" s="1"/>
  <c r="H75" i="27" s="1"/>
  <c r="J75" i="27" s="1"/>
  <c r="E74" i="27"/>
  <c r="G74" i="27" s="1"/>
  <c r="H74" i="27" s="1"/>
  <c r="J74" i="27" s="1"/>
  <c r="E70" i="27"/>
  <c r="G70" i="27" s="1"/>
  <c r="H70" i="27" s="1"/>
  <c r="J70" i="27" s="1"/>
  <c r="E69" i="27"/>
  <c r="G69" i="27" s="1"/>
  <c r="H69" i="27" s="1"/>
  <c r="J69" i="27" s="1"/>
  <c r="E68" i="27"/>
  <c r="G68" i="27" s="1"/>
  <c r="H68" i="27" s="1"/>
  <c r="J68" i="27" s="1"/>
  <c r="E67" i="27"/>
  <c r="G67" i="27" s="1"/>
  <c r="H67" i="27" s="1"/>
  <c r="J67" i="27" s="1"/>
  <c r="E66" i="27"/>
  <c r="G66" i="27" s="1"/>
  <c r="H66" i="27" s="1"/>
  <c r="J66" i="27" s="1"/>
  <c r="E65" i="27"/>
  <c r="G65" i="27" s="1"/>
  <c r="E64" i="27"/>
  <c r="E63" i="27"/>
  <c r="G63" i="27" s="1"/>
  <c r="H63" i="27" s="1"/>
  <c r="J63" i="27" s="1"/>
  <c r="E62" i="27"/>
  <c r="G62" i="27" s="1"/>
  <c r="E58" i="27"/>
  <c r="G58" i="27" s="1"/>
  <c r="H58" i="27" s="1"/>
  <c r="J58" i="27" s="1"/>
  <c r="E57" i="27"/>
  <c r="G57" i="27" s="1"/>
  <c r="H57" i="27" s="1"/>
  <c r="J57" i="27" s="1"/>
  <c r="E56" i="27"/>
  <c r="G56" i="27" s="1"/>
  <c r="H56" i="27" s="1"/>
  <c r="J56" i="27" s="1"/>
  <c r="E55" i="27"/>
  <c r="G55" i="27" s="1"/>
  <c r="H55" i="27" s="1"/>
  <c r="J55" i="27" s="1"/>
  <c r="E54" i="27"/>
  <c r="G54" i="27" s="1"/>
  <c r="H54" i="27" s="1"/>
  <c r="J54" i="27" s="1"/>
  <c r="E53" i="27"/>
  <c r="G53" i="27" s="1"/>
  <c r="H53" i="27" s="1"/>
  <c r="J53" i="27" s="1"/>
  <c r="E52" i="27"/>
  <c r="G52" i="27" s="1"/>
  <c r="H52" i="27" s="1"/>
  <c r="J52" i="27" s="1"/>
  <c r="E51" i="27"/>
  <c r="G51" i="27" s="1"/>
  <c r="H51" i="27" s="1"/>
  <c r="J51" i="27" s="1"/>
  <c r="E50" i="27"/>
  <c r="G50" i="27" s="1"/>
  <c r="H50" i="27" s="1"/>
  <c r="J50" i="27" s="1"/>
  <c r="E49" i="27"/>
  <c r="G49" i="27" s="1"/>
  <c r="E46" i="27"/>
  <c r="G46" i="27" s="1"/>
  <c r="H46" i="27" s="1"/>
  <c r="J46" i="27" s="1"/>
  <c r="E45" i="27"/>
  <c r="G45" i="27" s="1"/>
  <c r="H45" i="27" s="1"/>
  <c r="J45" i="27" s="1"/>
  <c r="E44" i="27"/>
  <c r="G44" i="27" s="1"/>
  <c r="H44" i="27" s="1"/>
  <c r="J44" i="27" s="1"/>
  <c r="E43" i="27"/>
  <c r="G43" i="27" s="1"/>
  <c r="H43" i="27" s="1"/>
  <c r="J43" i="27" s="1"/>
  <c r="E42" i="27"/>
  <c r="G42" i="27" s="1"/>
  <c r="H42" i="27" s="1"/>
  <c r="J42" i="27" s="1"/>
  <c r="E41" i="27"/>
  <c r="G41" i="27" s="1"/>
  <c r="E40" i="27"/>
  <c r="G40" i="27" s="1"/>
  <c r="H40" i="27" s="1"/>
  <c r="J40" i="27" s="1"/>
  <c r="E39" i="27"/>
  <c r="G39" i="27" s="1"/>
  <c r="G98" i="27" s="1"/>
  <c r="E38" i="27"/>
  <c r="G38" i="27" s="1"/>
  <c r="G37" i="27"/>
  <c r="E37" i="27"/>
  <c r="E36" i="27"/>
  <c r="G36" i="27" s="1"/>
  <c r="G102" i="27" s="1"/>
  <c r="E35" i="27"/>
  <c r="G35" i="27" s="1"/>
  <c r="E29" i="27"/>
  <c r="G29" i="27" s="1"/>
  <c r="H29" i="27" s="1"/>
  <c r="J29" i="27" s="1"/>
  <c r="H24" i="27"/>
  <c r="J24" i="27" s="1"/>
  <c r="E24" i="27"/>
  <c r="H23" i="27"/>
  <c r="J23" i="27" s="1"/>
  <c r="E23" i="27"/>
  <c r="E22" i="27"/>
  <c r="G22" i="27" s="1"/>
  <c r="H22" i="27" s="1"/>
  <c r="J22" i="27" s="1"/>
  <c r="E19" i="27"/>
  <c r="G19" i="27" s="1"/>
  <c r="I18" i="27"/>
  <c r="G18" i="27"/>
  <c r="E18" i="27"/>
  <c r="I15" i="27"/>
  <c r="E15" i="27"/>
  <c r="G15" i="27" s="1"/>
  <c r="E12" i="27"/>
  <c r="G12" i="27" s="1"/>
  <c r="H12" i="27" s="1"/>
  <c r="J12" i="27" s="1"/>
  <c r="E11" i="27"/>
  <c r="G11" i="27" s="1"/>
  <c r="H11" i="27" s="1"/>
  <c r="J11" i="27" s="1"/>
  <c r="E10" i="27"/>
  <c r="G10" i="27" s="1"/>
  <c r="H10" i="27" s="1"/>
  <c r="J10" i="27" s="1"/>
  <c r="K9" i="27"/>
  <c r="E9" i="27"/>
  <c r="G9" i="27" s="1"/>
  <c r="M8" i="27"/>
  <c r="E8" i="27"/>
  <c r="G8" i="27" s="1"/>
  <c r="I7" i="27"/>
  <c r="E7" i="27"/>
  <c r="G7" i="27" s="1"/>
  <c r="I7" i="28"/>
  <c r="M8" i="28"/>
  <c r="E9" i="28"/>
  <c r="G9" i="28" s="1"/>
  <c r="K9" i="28"/>
  <c r="E10" i="28"/>
  <c r="G10" i="28" s="1"/>
  <c r="E11" i="28"/>
  <c r="G11" i="28" s="1"/>
  <c r="E12" i="28"/>
  <c r="G12" i="28" s="1"/>
  <c r="E15" i="28"/>
  <c r="G15" i="28" s="1"/>
  <c r="I15" i="28"/>
  <c r="E18" i="28"/>
  <c r="G18" i="28"/>
  <c r="E31" i="28" s="1"/>
  <c r="G31" i="28" s="1"/>
  <c r="I18" i="28"/>
  <c r="E19" i="28"/>
  <c r="G19" i="28" s="1"/>
  <c r="E22" i="28"/>
  <c r="G22" i="28" s="1"/>
  <c r="E23" i="28"/>
  <c r="G23" i="28" s="1"/>
  <c r="H23" i="28" s="1"/>
  <c r="J23" i="28" s="1"/>
  <c r="E24" i="28"/>
  <c r="G24" i="28" s="1"/>
  <c r="H24" i="28" s="1"/>
  <c r="J24" i="28" s="1"/>
  <c r="E35" i="28"/>
  <c r="G35" i="28" s="1"/>
  <c r="E36" i="28"/>
  <c r="G36" i="28" s="1"/>
  <c r="E37" i="28"/>
  <c r="G37" i="28" s="1"/>
  <c r="E38" i="28"/>
  <c r="G38" i="28" s="1"/>
  <c r="E39" i="28"/>
  <c r="G39" i="28" s="1"/>
  <c r="E40" i="28"/>
  <c r="G40" i="28" s="1"/>
  <c r="E41" i="28"/>
  <c r="G41" i="28" s="1"/>
  <c r="E42" i="28"/>
  <c r="G42" i="28" s="1"/>
  <c r="E43" i="28"/>
  <c r="G43" i="28" s="1"/>
  <c r="E44" i="28"/>
  <c r="G44" i="28" s="1"/>
  <c r="E45" i="28"/>
  <c r="G45" i="28" s="1"/>
  <c r="E46" i="28"/>
  <c r="G46" i="28" s="1"/>
  <c r="E49" i="28"/>
  <c r="G49" i="28" s="1"/>
  <c r="E50" i="28"/>
  <c r="G50" i="28" s="1"/>
  <c r="E51" i="28"/>
  <c r="G51" i="28" s="1"/>
  <c r="E52" i="28"/>
  <c r="G52" i="28" s="1"/>
  <c r="E53" i="28"/>
  <c r="G53" i="28" s="1"/>
  <c r="E54" i="28"/>
  <c r="G54" i="28" s="1"/>
  <c r="E55" i="28"/>
  <c r="G55" i="28" s="1"/>
  <c r="E56" i="28"/>
  <c r="G56" i="28" s="1"/>
  <c r="E57" i="28"/>
  <c r="G57" i="28" s="1"/>
  <c r="E58" i="28"/>
  <c r="G58" i="28" s="1"/>
  <c r="E62" i="28"/>
  <c r="G62" i="28" s="1"/>
  <c r="E63" i="28"/>
  <c r="G63" i="28" s="1"/>
  <c r="E64" i="28"/>
  <c r="E65" i="28"/>
  <c r="G65" i="28" s="1"/>
  <c r="E66" i="28"/>
  <c r="G66" i="28" s="1"/>
  <c r="E67" i="28"/>
  <c r="G67" i="28" s="1"/>
  <c r="E68" i="28"/>
  <c r="G68" i="28" s="1"/>
  <c r="E69" i="28"/>
  <c r="G69" i="28" s="1"/>
  <c r="E70" i="28"/>
  <c r="G70" i="28" s="1"/>
  <c r="E74" i="28"/>
  <c r="G74" i="28" s="1"/>
  <c r="E75" i="28"/>
  <c r="G75" i="28" s="1"/>
  <c r="E76" i="28"/>
  <c r="G76" i="28" s="1"/>
  <c r="E77" i="28"/>
  <c r="G77" i="28" s="1"/>
  <c r="E78" i="28"/>
  <c r="G78" i="28" s="1"/>
  <c r="E79" i="28"/>
  <c r="E82" i="28"/>
  <c r="G82" i="28" s="1"/>
  <c r="E83" i="28"/>
  <c r="G83" i="28" s="1"/>
  <c r="E84" i="28"/>
  <c r="G84" i="28" s="1"/>
  <c r="E85" i="28"/>
  <c r="G85" i="28" s="1"/>
  <c r="E86" i="28"/>
  <c r="G86" i="28" s="1"/>
  <c r="E87" i="28"/>
  <c r="G87" i="28" s="1"/>
  <c r="E88" i="28"/>
  <c r="G88" i="28" s="1"/>
  <c r="E89" i="28"/>
  <c r="G89" i="28"/>
  <c r="E90" i="28"/>
  <c r="G90" i="28" s="1"/>
  <c r="I90" i="28" s="1"/>
  <c r="J90" i="28"/>
  <c r="E91" i="28"/>
  <c r="G91" i="28" s="1"/>
  <c r="E92" i="28"/>
  <c r="G92" i="28" s="1"/>
  <c r="E112" i="28"/>
  <c r="G112" i="28" s="1"/>
  <c r="E113" i="28"/>
  <c r="G113" i="28" s="1"/>
  <c r="E114" i="28"/>
  <c r="G114" i="28" s="1"/>
  <c r="E115" i="28"/>
  <c r="G115" i="28" s="1"/>
  <c r="E116" i="28"/>
  <c r="G116" i="28" s="1"/>
  <c r="E117" i="28"/>
  <c r="G117" i="28" s="1"/>
  <c r="E118" i="28"/>
  <c r="G118" i="28" s="1"/>
  <c r="E119" i="28"/>
  <c r="G119" i="28" s="1"/>
  <c r="E120" i="28"/>
  <c r="G120" i="28" s="1"/>
  <c r="E121" i="28"/>
  <c r="G121" i="28" s="1"/>
  <c r="E122" i="28"/>
  <c r="G122" i="28" s="1"/>
  <c r="E123" i="28"/>
  <c r="G123" i="28" s="1"/>
  <c r="H123" i="28" s="1"/>
  <c r="J123" i="28" s="1"/>
  <c r="E124" i="28"/>
  <c r="H124" i="28"/>
  <c r="E128" i="28"/>
  <c r="G128" i="28" s="1"/>
  <c r="E129" i="28"/>
  <c r="G129" i="28" s="1"/>
  <c r="E130" i="28"/>
  <c r="G130" i="28" s="1"/>
  <c r="H130" i="28" s="1"/>
  <c r="J130" i="28" s="1"/>
  <c r="E131" i="28"/>
  <c r="G131" i="28" s="1"/>
  <c r="H131" i="28" s="1"/>
  <c r="J131" i="28" s="1"/>
  <c r="E132" i="28"/>
  <c r="G132" i="28" s="1"/>
  <c r="H132" i="28" s="1"/>
  <c r="J132" i="28" s="1"/>
  <c r="E133" i="28"/>
  <c r="G133" i="28" s="1"/>
  <c r="H133" i="28" s="1"/>
  <c r="J133" i="28" s="1"/>
  <c r="E134" i="28"/>
  <c r="G134" i="28" s="1"/>
  <c r="E138" i="28"/>
  <c r="G138" i="28" s="1"/>
  <c r="E139" i="28"/>
  <c r="G139" i="28" s="1"/>
  <c r="E140" i="28"/>
  <c r="G140" i="28" s="1"/>
  <c r="E141" i="28"/>
  <c r="G141" i="28" s="1"/>
  <c r="E142" i="28"/>
  <c r="G142" i="28" s="1"/>
  <c r="E143" i="28"/>
  <c r="G143" i="28" s="1"/>
  <c r="E144" i="28"/>
  <c r="G144" i="28" s="1"/>
  <c r="E145" i="28"/>
  <c r="G145" i="28" s="1"/>
  <c r="E146" i="28"/>
  <c r="G146" i="28" s="1"/>
  <c r="E147" i="28"/>
  <c r="G147" i="28" s="1"/>
  <c r="E148" i="28"/>
  <c r="G148" i="28" s="1"/>
  <c r="E149" i="28"/>
  <c r="G149" i="28" s="1"/>
  <c r="E150" i="28"/>
  <c r="G150" i="28" s="1"/>
  <c r="E151" i="28"/>
  <c r="G151" i="28" s="1"/>
  <c r="E152" i="28"/>
  <c r="G152" i="28" s="1"/>
  <c r="E155" i="28"/>
  <c r="G155" i="28" s="1"/>
  <c r="E156" i="28"/>
  <c r="E157" i="28"/>
  <c r="G157" i="28" s="1"/>
  <c r="E158" i="28"/>
  <c r="G158" i="28" s="1"/>
  <c r="E161" i="28"/>
  <c r="G161" i="28" s="1"/>
  <c r="E162" i="28"/>
  <c r="G162" i="28" s="1"/>
  <c r="E163" i="28"/>
  <c r="G163" i="28" s="1"/>
  <c r="E164" i="28"/>
  <c r="G164" i="28" s="1"/>
  <c r="E165" i="28"/>
  <c r="G165" i="28" s="1"/>
  <c r="E166" i="28"/>
  <c r="E167" i="28"/>
  <c r="H167" i="28"/>
  <c r="J167" i="28" s="1"/>
  <c r="E168" i="28"/>
  <c r="H168" i="28"/>
  <c r="J168" i="28" s="1"/>
  <c r="G173" i="28"/>
  <c r="E174" i="28"/>
  <c r="G174" i="28" s="1"/>
  <c r="E175" i="28"/>
  <c r="G175" i="28" s="1"/>
  <c r="E178" i="28"/>
  <c r="G178" i="28" s="1"/>
  <c r="E179" i="28"/>
  <c r="G179" i="28" s="1"/>
  <c r="E180" i="28"/>
  <c r="G180" i="28" s="1"/>
  <c r="H182" i="28"/>
  <c r="J182" i="28" s="1"/>
  <c r="E183" i="28"/>
  <c r="G183" i="28" s="1"/>
  <c r="E184" i="28"/>
  <c r="G184" i="28" s="1"/>
  <c r="E185" i="28"/>
  <c r="G185" i="28" s="1"/>
  <c r="E187" i="28"/>
  <c r="E188" i="28"/>
  <c r="E189" i="28"/>
  <c r="G64" i="28" l="1"/>
  <c r="H99" i="4"/>
  <c r="J99" i="4" s="1"/>
  <c r="H101" i="4"/>
  <c r="J101" i="4" s="1"/>
  <c r="H118" i="28"/>
  <c r="J118" i="28" s="1"/>
  <c r="H8" i="4"/>
  <c r="J8" i="4" s="1"/>
  <c r="H181" i="4"/>
  <c r="J181" i="4" s="1"/>
  <c r="H13" i="4"/>
  <c r="J13" i="4" s="1"/>
  <c r="J29" i="3"/>
  <c r="H29" i="4"/>
  <c r="J29" i="4" s="1"/>
  <c r="J35" i="3"/>
  <c r="H35" i="4"/>
  <c r="J35" i="4" s="1"/>
  <c r="J49" i="3"/>
  <c r="H49" i="4"/>
  <c r="J49" i="4" s="1"/>
  <c r="J112" i="3"/>
  <c r="H112" i="4"/>
  <c r="J112" i="4" s="1"/>
  <c r="J22" i="3"/>
  <c r="H22" i="4"/>
  <c r="J22" i="4" s="1"/>
  <c r="J88" i="3"/>
  <c r="H88" i="4"/>
  <c r="J88" i="4" s="1"/>
  <c r="J183" i="3"/>
  <c r="H183" i="4"/>
  <c r="J183" i="4" s="1"/>
  <c r="J128" i="3"/>
  <c r="H128" i="4"/>
  <c r="J128" i="4" s="1"/>
  <c r="H47" i="4"/>
  <c r="J47" i="4" s="1"/>
  <c r="H95" i="4"/>
  <c r="J95" i="4" s="1"/>
  <c r="H64" i="4"/>
  <c r="J64" i="4" s="1"/>
  <c r="J178" i="3"/>
  <c r="H178" i="4"/>
  <c r="J178" i="4" s="1"/>
  <c r="H97" i="3"/>
  <c r="J97" i="3" s="1"/>
  <c r="H96" i="3"/>
  <c r="H115" i="28"/>
  <c r="J115" i="28" s="1"/>
  <c r="J104" i="2"/>
  <c r="H104" i="3"/>
  <c r="H24" i="4"/>
  <c r="J24" i="4" s="1"/>
  <c r="J24" i="3"/>
  <c r="J85" i="3"/>
  <c r="H85" i="4"/>
  <c r="J85" i="4" s="1"/>
  <c r="J90" i="3"/>
  <c r="H90" i="4"/>
  <c r="J90" i="4" s="1"/>
  <c r="H122" i="28"/>
  <c r="J122" i="28" s="1"/>
  <c r="H32" i="3"/>
  <c r="J32" i="3" s="1"/>
  <c r="H189" i="4"/>
  <c r="J189" i="4" s="1"/>
  <c r="H28" i="4"/>
  <c r="J28" i="4" s="1"/>
  <c r="H15" i="4"/>
  <c r="J15" i="4" s="1"/>
  <c r="I16" i="4" s="1"/>
  <c r="H105" i="3"/>
  <c r="J105" i="3" s="1"/>
  <c r="H60" i="33"/>
  <c r="J60" i="33" s="1"/>
  <c r="I59" i="33"/>
  <c r="I59" i="4"/>
  <c r="I59" i="3"/>
  <c r="I60" i="3"/>
  <c r="H60" i="2"/>
  <c r="J60" i="2" s="1"/>
  <c r="I60" i="2"/>
  <c r="I59" i="2"/>
  <c r="H114" i="28"/>
  <c r="J114" i="28" s="1"/>
  <c r="H119" i="28"/>
  <c r="J119" i="28" s="1"/>
  <c r="H127" i="28"/>
  <c r="J127" i="28" s="1"/>
  <c r="G79" i="27"/>
  <c r="H79" i="27" s="1"/>
  <c r="G125" i="27"/>
  <c r="I125" i="27" s="1"/>
  <c r="F8" i="28"/>
  <c r="G8" i="28" s="1"/>
  <c r="O12" i="28" s="1"/>
  <c r="O7" i="28" s="1"/>
  <c r="G135" i="28"/>
  <c r="I135" i="28" s="1"/>
  <c r="G13" i="27"/>
  <c r="H13" i="27" s="1"/>
  <c r="I89" i="28"/>
  <c r="G47" i="27"/>
  <c r="H47" i="27" s="1"/>
  <c r="J47" i="27" s="1"/>
  <c r="H11" i="28"/>
  <c r="J11" i="28" s="1"/>
  <c r="J177" i="27"/>
  <c r="H121" i="28"/>
  <c r="J121" i="28" s="1"/>
  <c r="H113" i="28"/>
  <c r="J113" i="28" s="1"/>
  <c r="G104" i="27"/>
  <c r="H104" i="27" s="1"/>
  <c r="J104" i="27" s="1"/>
  <c r="G96" i="27"/>
  <c r="G97" i="27" s="1"/>
  <c r="H97" i="27" s="1"/>
  <c r="J97" i="27" s="1"/>
  <c r="O7" i="27"/>
  <c r="H116" i="28"/>
  <c r="J116" i="28" s="1"/>
  <c r="H166" i="28"/>
  <c r="J166" i="28" s="1"/>
  <c r="H129" i="28"/>
  <c r="J129" i="28" s="1"/>
  <c r="H120" i="28"/>
  <c r="J120" i="28" s="1"/>
  <c r="G20" i="27"/>
  <c r="H20" i="27" s="1"/>
  <c r="J20" i="27" s="1"/>
  <c r="I20" i="27" s="1"/>
  <c r="G100" i="27"/>
  <c r="G101" i="27" s="1"/>
  <c r="H101" i="27" s="1"/>
  <c r="J101" i="27" s="1"/>
  <c r="H117" i="28"/>
  <c r="J117" i="28" s="1"/>
  <c r="G188" i="28"/>
  <c r="G187" i="28"/>
  <c r="G187" i="27"/>
  <c r="H187" i="27" s="1"/>
  <c r="J187" i="27" s="1"/>
  <c r="G64" i="27"/>
  <c r="H64" i="27" s="1"/>
  <c r="J64" i="27" s="1"/>
  <c r="H62" i="27"/>
  <c r="J62" i="27" s="1"/>
  <c r="H88" i="27"/>
  <c r="J88" i="27" s="1"/>
  <c r="I89" i="27"/>
  <c r="H91" i="27"/>
  <c r="J91" i="27" s="1"/>
  <c r="I92" i="27"/>
  <c r="G135" i="27"/>
  <c r="H128" i="27"/>
  <c r="J128" i="27" s="1"/>
  <c r="H12" i="28"/>
  <c r="J12" i="28" s="1"/>
  <c r="H98" i="27"/>
  <c r="J98" i="27" s="1"/>
  <c r="G99" i="27"/>
  <c r="H99" i="27" s="1"/>
  <c r="J99" i="27" s="1"/>
  <c r="G188" i="27"/>
  <c r="H188" i="27" s="1"/>
  <c r="J188" i="27" s="1"/>
  <c r="G71" i="27"/>
  <c r="H71" i="27" s="1"/>
  <c r="J71" i="27" s="1"/>
  <c r="H65" i="27"/>
  <c r="J65" i="27" s="1"/>
  <c r="H10" i="28"/>
  <c r="J10" i="28" s="1"/>
  <c r="G13" i="28"/>
  <c r="I13" i="28" s="1"/>
  <c r="E30" i="27"/>
  <c r="G30" i="27" s="1"/>
  <c r="H30" i="27" s="1"/>
  <c r="J30" i="27" s="1"/>
  <c r="H19" i="27"/>
  <c r="J19" i="27" s="1"/>
  <c r="G59" i="27"/>
  <c r="H59" i="27" s="1"/>
  <c r="J59" i="27" s="1"/>
  <c r="H49" i="27"/>
  <c r="J49" i="27" s="1"/>
  <c r="H173" i="27"/>
  <c r="J173" i="27" s="1"/>
  <c r="G176" i="27"/>
  <c r="H176" i="27" s="1"/>
  <c r="J176" i="27" s="1"/>
  <c r="G186" i="27"/>
  <c r="H186" i="27" s="1"/>
  <c r="J186" i="27" s="1"/>
  <c r="H183" i="27"/>
  <c r="J183" i="27" s="1"/>
  <c r="O13" i="27"/>
  <c r="H8" i="27"/>
  <c r="J8" i="27" s="1"/>
  <c r="E27" i="27"/>
  <c r="G27" i="27" s="1"/>
  <c r="H102" i="27"/>
  <c r="J102" i="27" s="1"/>
  <c r="G103" i="27"/>
  <c r="H103" i="27" s="1"/>
  <c r="J103" i="27" s="1"/>
  <c r="H179" i="28"/>
  <c r="J179" i="28" s="1"/>
  <c r="H157" i="28"/>
  <c r="J157" i="28" s="1"/>
  <c r="H142" i="28"/>
  <c r="J142" i="28" s="1"/>
  <c r="H87" i="28"/>
  <c r="J87" i="28" s="1"/>
  <c r="H70" i="28"/>
  <c r="J70" i="28" s="1"/>
  <c r="H55" i="28"/>
  <c r="J55" i="28" s="1"/>
  <c r="H51" i="28"/>
  <c r="J51" i="28" s="1"/>
  <c r="H44" i="28"/>
  <c r="J44" i="28" s="1"/>
  <c r="H161" i="28"/>
  <c r="J161" i="28" s="1"/>
  <c r="H148" i="28"/>
  <c r="J148" i="28" s="1"/>
  <c r="H140" i="28"/>
  <c r="J140" i="28" s="1"/>
  <c r="H85" i="28"/>
  <c r="J85" i="28" s="1"/>
  <c r="H162" i="28"/>
  <c r="J162" i="28" s="1"/>
  <c r="G156" i="28"/>
  <c r="H156" i="28" s="1"/>
  <c r="J156" i="28" s="1"/>
  <c r="H149" i="28"/>
  <c r="J149" i="28" s="1"/>
  <c r="H145" i="28"/>
  <c r="J145" i="28" s="1"/>
  <c r="H141" i="28"/>
  <c r="J141" i="28" s="1"/>
  <c r="H86" i="28"/>
  <c r="J86" i="28" s="1"/>
  <c r="H82" i="28"/>
  <c r="J82" i="28" s="1"/>
  <c r="H76" i="28"/>
  <c r="J76" i="28" s="1"/>
  <c r="H43" i="28"/>
  <c r="J43" i="28" s="1"/>
  <c r="H9" i="27"/>
  <c r="J9" i="27" s="1"/>
  <c r="H15" i="27"/>
  <c r="J15" i="27" s="1"/>
  <c r="I16" i="27" s="1"/>
  <c r="H35" i="27"/>
  <c r="J35" i="27" s="1"/>
  <c r="H36" i="27"/>
  <c r="J36" i="27" s="1"/>
  <c r="H37" i="27"/>
  <c r="J37" i="27" s="1"/>
  <c r="H38" i="27"/>
  <c r="J38" i="27" s="1"/>
  <c r="H39" i="27"/>
  <c r="J39" i="27" s="1"/>
  <c r="H41" i="27"/>
  <c r="J41" i="27" s="1"/>
  <c r="H90" i="27"/>
  <c r="J90" i="27" s="1"/>
  <c r="G94" i="27"/>
  <c r="G153" i="27"/>
  <c r="I153" i="27" s="1"/>
  <c r="G181" i="27"/>
  <c r="E28" i="27"/>
  <c r="G28" i="27" s="1"/>
  <c r="H28" i="27" s="1"/>
  <c r="J28" i="27" s="1"/>
  <c r="E31" i="27"/>
  <c r="G31" i="27" s="1"/>
  <c r="H31" i="27" s="1"/>
  <c r="J31" i="27" s="1"/>
  <c r="G80" i="27"/>
  <c r="I87" i="27"/>
  <c r="H184" i="28"/>
  <c r="J184" i="28" s="1"/>
  <c r="H175" i="28"/>
  <c r="J175" i="28" s="1"/>
  <c r="H163" i="28"/>
  <c r="J163" i="28" s="1"/>
  <c r="H146" i="28"/>
  <c r="J146" i="28" s="1"/>
  <c r="H83" i="28"/>
  <c r="J83" i="28" s="1"/>
  <c r="H68" i="28"/>
  <c r="J68" i="28" s="1"/>
  <c r="G59" i="28"/>
  <c r="H59" i="28" s="1"/>
  <c r="J59" i="28" s="1"/>
  <c r="H22" i="28"/>
  <c r="J22" i="28" s="1"/>
  <c r="H185" i="28"/>
  <c r="J185" i="28" s="1"/>
  <c r="H180" i="28"/>
  <c r="J180" i="28" s="1"/>
  <c r="H164" i="28"/>
  <c r="J164" i="28" s="1"/>
  <c r="H158" i="28"/>
  <c r="J158" i="28" s="1"/>
  <c r="H155" i="28"/>
  <c r="J155" i="28" s="1"/>
  <c r="H151" i="28"/>
  <c r="J151" i="28" s="1"/>
  <c r="H147" i="28"/>
  <c r="J147" i="28" s="1"/>
  <c r="H143" i="28"/>
  <c r="J143" i="28" s="1"/>
  <c r="H139" i="28"/>
  <c r="J139" i="28" s="1"/>
  <c r="H92" i="28"/>
  <c r="J92" i="28" s="1"/>
  <c r="H78" i="28"/>
  <c r="J78" i="28" s="1"/>
  <c r="H45" i="28"/>
  <c r="J45" i="28" s="1"/>
  <c r="H7" i="27"/>
  <c r="H18" i="27"/>
  <c r="H112" i="27"/>
  <c r="J112" i="27" s="1"/>
  <c r="H150" i="28"/>
  <c r="J150" i="28" s="1"/>
  <c r="H89" i="28"/>
  <c r="J89" i="28" s="1"/>
  <c r="H77" i="28"/>
  <c r="J77" i="28" s="1"/>
  <c r="H66" i="28"/>
  <c r="J66" i="28" s="1"/>
  <c r="H57" i="28"/>
  <c r="J57" i="28" s="1"/>
  <c r="H53" i="28"/>
  <c r="J53" i="28" s="1"/>
  <c r="H40" i="28"/>
  <c r="J40" i="28" s="1"/>
  <c r="H165" i="28"/>
  <c r="J165" i="28" s="1"/>
  <c r="H152" i="28"/>
  <c r="J152" i="28" s="1"/>
  <c r="H144" i="28"/>
  <c r="J144" i="28" s="1"/>
  <c r="H88" i="28"/>
  <c r="J88" i="28" s="1"/>
  <c r="H75" i="28"/>
  <c r="J75" i="28" s="1"/>
  <c r="H69" i="28"/>
  <c r="J69" i="28" s="1"/>
  <c r="H67" i="28"/>
  <c r="J67" i="28" s="1"/>
  <c r="G71" i="28"/>
  <c r="H63" i="28"/>
  <c r="J63" i="28" s="1"/>
  <c r="H58" i="28"/>
  <c r="J58" i="28" s="1"/>
  <c r="H56" i="28"/>
  <c r="J56" i="28" s="1"/>
  <c r="H54" i="28"/>
  <c r="J54" i="28" s="1"/>
  <c r="H52" i="28"/>
  <c r="J52" i="28" s="1"/>
  <c r="H50" i="28"/>
  <c r="J50" i="28" s="1"/>
  <c r="H46" i="28"/>
  <c r="J46" i="28" s="1"/>
  <c r="H42" i="28"/>
  <c r="J42" i="28" s="1"/>
  <c r="H31" i="28"/>
  <c r="J31" i="28" s="1"/>
  <c r="H9" i="28"/>
  <c r="J9" i="28" s="1"/>
  <c r="G102" i="28"/>
  <c r="I92" i="28"/>
  <c r="H91" i="28"/>
  <c r="J91" i="28" s="1"/>
  <c r="H74" i="28"/>
  <c r="J74" i="28" s="1"/>
  <c r="G96" i="28"/>
  <c r="G100" i="28"/>
  <c r="H38" i="28"/>
  <c r="J38" i="28" s="1"/>
  <c r="H138" i="28"/>
  <c r="J138" i="28" s="1"/>
  <c r="G153" i="28"/>
  <c r="I153" i="28" s="1"/>
  <c r="H84" i="28"/>
  <c r="J84" i="28" s="1"/>
  <c r="I87" i="28"/>
  <c r="G104" i="28"/>
  <c r="H183" i="28"/>
  <c r="J183" i="28" s="1"/>
  <c r="G186" i="28"/>
  <c r="H186" i="28" s="1"/>
  <c r="J186" i="28" s="1"/>
  <c r="G181" i="28"/>
  <c r="H178" i="28"/>
  <c r="J178" i="28" s="1"/>
  <c r="H174" i="28"/>
  <c r="J174" i="28" s="1"/>
  <c r="G176" i="28"/>
  <c r="H39" i="28"/>
  <c r="J39" i="28" s="1"/>
  <c r="G98" i="28"/>
  <c r="G47" i="28"/>
  <c r="G94" i="28"/>
  <c r="H15" i="28"/>
  <c r="J15" i="28" s="1"/>
  <c r="I16" i="28" s="1"/>
  <c r="G79" i="28"/>
  <c r="H79" i="28" s="1"/>
  <c r="E28" i="28"/>
  <c r="G28" i="28" s="1"/>
  <c r="H134" i="28"/>
  <c r="J134" i="28" s="1"/>
  <c r="E30" i="28"/>
  <c r="G30" i="28" s="1"/>
  <c r="H30" i="28" s="1"/>
  <c r="J30" i="28" s="1"/>
  <c r="E29" i="28"/>
  <c r="G29" i="28" s="1"/>
  <c r="H29" i="28" s="1"/>
  <c r="J29" i="28" s="1"/>
  <c r="G20" i="28"/>
  <c r="H20" i="28" s="1"/>
  <c r="J20" i="28" s="1"/>
  <c r="I20" i="28" s="1"/>
  <c r="G125" i="28"/>
  <c r="I125" i="28" s="1"/>
  <c r="E179" i="25"/>
  <c r="E87" i="25"/>
  <c r="E78" i="25"/>
  <c r="E113" i="24"/>
  <c r="E114" i="24"/>
  <c r="E115" i="24"/>
  <c r="E116" i="24"/>
  <c r="E117" i="24"/>
  <c r="E118" i="24"/>
  <c r="E119" i="24"/>
  <c r="E120" i="24"/>
  <c r="E121" i="24"/>
  <c r="E122" i="24"/>
  <c r="E123" i="24"/>
  <c r="E113" i="23"/>
  <c r="E114" i="23"/>
  <c r="E115" i="23"/>
  <c r="E116" i="23"/>
  <c r="E117" i="23"/>
  <c r="E118" i="23"/>
  <c r="E119" i="23"/>
  <c r="E120" i="23"/>
  <c r="E121" i="23"/>
  <c r="E122" i="23"/>
  <c r="E123" i="23"/>
  <c r="E112" i="22"/>
  <c r="O16" i="22"/>
  <c r="E8" i="22"/>
  <c r="O13" i="20"/>
  <c r="H176" i="28" l="1"/>
  <c r="J176" i="28" s="1"/>
  <c r="H60" i="3"/>
  <c r="J104" i="3"/>
  <c r="H104" i="4"/>
  <c r="J104" i="4" s="1"/>
  <c r="H35" i="28"/>
  <c r="J35" i="28" s="1"/>
  <c r="H65" i="28"/>
  <c r="J65" i="28" s="1"/>
  <c r="H41" i="28"/>
  <c r="J41" i="28" s="1"/>
  <c r="H173" i="28"/>
  <c r="J173" i="28" s="1"/>
  <c r="H105" i="4"/>
  <c r="J105" i="4" s="1"/>
  <c r="H97" i="4"/>
  <c r="J97" i="4" s="1"/>
  <c r="G105" i="27"/>
  <c r="H105" i="27" s="1"/>
  <c r="J105" i="27" s="1"/>
  <c r="J96" i="3"/>
  <c r="H96" i="4"/>
  <c r="J96" i="4" s="1"/>
  <c r="H32" i="4"/>
  <c r="J32" i="4" s="1"/>
  <c r="J13" i="27"/>
  <c r="H13" i="28"/>
  <c r="J13" i="28" s="1"/>
  <c r="H49" i="28"/>
  <c r="J49" i="28" s="1"/>
  <c r="H128" i="28"/>
  <c r="J128" i="28" s="1"/>
  <c r="I13" i="27"/>
  <c r="N13" i="27"/>
  <c r="E27" i="28"/>
  <c r="G27" i="28" s="1"/>
  <c r="G32" i="28" s="1"/>
  <c r="H32" i="28" s="1"/>
  <c r="J32" i="28" s="1"/>
  <c r="H62" i="28"/>
  <c r="J62" i="28" s="1"/>
  <c r="H8" i="28"/>
  <c r="J8" i="28" s="1"/>
  <c r="H19" i="28"/>
  <c r="J19" i="28" s="1"/>
  <c r="H96" i="27"/>
  <c r="J96" i="27" s="1"/>
  <c r="H28" i="28"/>
  <c r="J28" i="28" s="1"/>
  <c r="H37" i="28"/>
  <c r="J37" i="28" s="1"/>
  <c r="H100" i="27"/>
  <c r="J100" i="27" s="1"/>
  <c r="H71" i="28"/>
  <c r="J71" i="28" s="1"/>
  <c r="H64" i="28"/>
  <c r="J64" i="28" s="1"/>
  <c r="G60" i="27"/>
  <c r="H187" i="28"/>
  <c r="J187" i="28" s="1"/>
  <c r="H188" i="28"/>
  <c r="J188" i="28" s="1"/>
  <c r="G80" i="28"/>
  <c r="H36" i="28"/>
  <c r="J36" i="28" s="1"/>
  <c r="H27" i="27"/>
  <c r="J27" i="27" s="1"/>
  <c r="G32" i="27"/>
  <c r="H32" i="27" s="1"/>
  <c r="J32" i="27" s="1"/>
  <c r="H94" i="27"/>
  <c r="J94" i="27" s="1"/>
  <c r="G95" i="27"/>
  <c r="H95" i="27" s="1"/>
  <c r="J95" i="27" s="1"/>
  <c r="H7" i="28"/>
  <c r="J7" i="28" s="1"/>
  <c r="I9" i="28" s="1"/>
  <c r="J7" i="27"/>
  <c r="I9" i="27" s="1"/>
  <c r="H135" i="27"/>
  <c r="I135" i="27"/>
  <c r="H112" i="28"/>
  <c r="J112" i="28" s="1"/>
  <c r="J18" i="27"/>
  <c r="H18" i="28"/>
  <c r="J18" i="28" s="1"/>
  <c r="G189" i="27"/>
  <c r="H189" i="27" s="1"/>
  <c r="J189" i="27" s="1"/>
  <c r="H181" i="27"/>
  <c r="J181" i="27" s="1"/>
  <c r="G95" i="28"/>
  <c r="G99" i="28"/>
  <c r="H99" i="28" s="1"/>
  <c r="J99" i="28" s="1"/>
  <c r="H98" i="28"/>
  <c r="J98" i="28" s="1"/>
  <c r="G60" i="28"/>
  <c r="H47" i="28"/>
  <c r="J47" i="28" s="1"/>
  <c r="G189" i="28"/>
  <c r="H189" i="28" s="1"/>
  <c r="J189" i="28" s="1"/>
  <c r="H104" i="28"/>
  <c r="J104" i="28" s="1"/>
  <c r="G105" i="28"/>
  <c r="H105" i="28" s="1"/>
  <c r="J105" i="28" s="1"/>
  <c r="H96" i="28"/>
  <c r="J96" i="28" s="1"/>
  <c r="G97" i="28"/>
  <c r="H97" i="28" s="1"/>
  <c r="J97" i="28" s="1"/>
  <c r="G101" i="28"/>
  <c r="H101" i="28" s="1"/>
  <c r="J101" i="28" s="1"/>
  <c r="G103" i="28"/>
  <c r="H103" i="28" s="1"/>
  <c r="J103" i="28" s="1"/>
  <c r="H102" i="28"/>
  <c r="J102" i="28" s="1"/>
  <c r="E84" i="17"/>
  <c r="G84" i="17" s="1"/>
  <c r="G9" i="19"/>
  <c r="P15" i="17"/>
  <c r="E23" i="9"/>
  <c r="E24" i="9"/>
  <c r="E24" i="12"/>
  <c r="E24" i="11"/>
  <c r="E115" i="11"/>
  <c r="E113" i="7"/>
  <c r="E114" i="7"/>
  <c r="E115" i="7"/>
  <c r="E116" i="7"/>
  <c r="E117" i="7"/>
  <c r="E118" i="7"/>
  <c r="E119" i="7"/>
  <c r="E120" i="7"/>
  <c r="E121" i="7"/>
  <c r="E122" i="7"/>
  <c r="E123" i="7"/>
  <c r="E87" i="31"/>
  <c r="F173" i="31"/>
  <c r="E184" i="31"/>
  <c r="E183" i="31"/>
  <c r="E182" i="31"/>
  <c r="E181" i="31"/>
  <c r="E180" i="31"/>
  <c r="E179" i="31"/>
  <c r="E178" i="31"/>
  <c r="E177" i="31"/>
  <c r="E176" i="31"/>
  <c r="E175" i="31"/>
  <c r="E174" i="31"/>
  <c r="E173" i="31"/>
  <c r="E165" i="31"/>
  <c r="E164" i="31"/>
  <c r="E163" i="31"/>
  <c r="E162" i="31"/>
  <c r="E161" i="31"/>
  <c r="E158" i="31"/>
  <c r="E157" i="31"/>
  <c r="E156" i="31"/>
  <c r="E155" i="31"/>
  <c r="E152" i="31"/>
  <c r="E151" i="31"/>
  <c r="E150" i="31"/>
  <c r="E149" i="31"/>
  <c r="E148" i="31"/>
  <c r="E147" i="31"/>
  <c r="E146" i="31"/>
  <c r="E145" i="31"/>
  <c r="E144" i="31"/>
  <c r="E143" i="31"/>
  <c r="E142" i="31"/>
  <c r="E141" i="31"/>
  <c r="E140" i="31"/>
  <c r="E139" i="31"/>
  <c r="E138" i="31"/>
  <c r="E134" i="31"/>
  <c r="E133" i="31"/>
  <c r="E132" i="31"/>
  <c r="E131" i="31"/>
  <c r="E130" i="31"/>
  <c r="E129" i="31"/>
  <c r="E128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90" i="31"/>
  <c r="E89" i="31"/>
  <c r="E88" i="31"/>
  <c r="E86" i="31"/>
  <c r="E85" i="31"/>
  <c r="E84" i="31"/>
  <c r="E83" i="31"/>
  <c r="E82" i="31"/>
  <c r="E78" i="31"/>
  <c r="E77" i="31"/>
  <c r="E76" i="31"/>
  <c r="E75" i="31"/>
  <c r="E74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5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19" i="31"/>
  <c r="E18" i="31"/>
  <c r="E15" i="31"/>
  <c r="E8" i="31"/>
  <c r="E9" i="31"/>
  <c r="E10" i="31"/>
  <c r="E11" i="31"/>
  <c r="E12" i="31"/>
  <c r="E7" i="31"/>
  <c r="E185" i="24"/>
  <c r="G185" i="24" s="1"/>
  <c r="E156" i="23"/>
  <c r="E157" i="23"/>
  <c r="E158" i="23"/>
  <c r="E83" i="22"/>
  <c r="E84" i="22"/>
  <c r="E85" i="22"/>
  <c r="E86" i="22"/>
  <c r="E87" i="22"/>
  <c r="E88" i="22"/>
  <c r="E89" i="22"/>
  <c r="E90" i="22"/>
  <c r="E91" i="22"/>
  <c r="E92" i="22"/>
  <c r="E112" i="21"/>
  <c r="E7" i="20"/>
  <c r="E70" i="16"/>
  <c r="E18" i="15"/>
  <c r="G185" i="15"/>
  <c r="J60" i="3" l="1"/>
  <c r="H60" i="4"/>
  <c r="J60" i="4" s="1"/>
  <c r="H95" i="28"/>
  <c r="J95" i="28" s="1"/>
  <c r="H27" i="28"/>
  <c r="J27" i="28" s="1"/>
  <c r="H100" i="28"/>
  <c r="J100" i="28" s="1"/>
  <c r="H94" i="28"/>
  <c r="J94" i="28" s="1"/>
  <c r="H60" i="27"/>
  <c r="J60" i="27" s="1"/>
  <c r="I59" i="27"/>
  <c r="I60" i="27"/>
  <c r="H181" i="28"/>
  <c r="J181" i="28" s="1"/>
  <c r="I59" i="28"/>
  <c r="I60" i="28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38" i="13"/>
  <c r="E133" i="11"/>
  <c r="E24" i="10"/>
  <c r="E140" i="10"/>
  <c r="E8" i="8"/>
  <c r="E9" i="8"/>
  <c r="E10" i="8"/>
  <c r="E11" i="8"/>
  <c r="E12" i="8"/>
  <c r="E129" i="8"/>
  <c r="E130" i="8"/>
  <c r="E131" i="8"/>
  <c r="E132" i="8"/>
  <c r="E133" i="8"/>
  <c r="E134" i="8"/>
  <c r="H60" i="28" l="1"/>
  <c r="J60" i="28" s="1"/>
  <c r="E29" i="31"/>
  <c r="E184" i="43"/>
  <c r="E185" i="43"/>
  <c r="E183" i="43"/>
  <c r="E86" i="43"/>
  <c r="E19" i="40" l="1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83" i="21"/>
  <c r="E84" i="21"/>
  <c r="E85" i="21"/>
  <c r="E86" i="21"/>
  <c r="E87" i="21"/>
  <c r="E88" i="21"/>
  <c r="E89" i="21"/>
  <c r="E90" i="21"/>
  <c r="E91" i="21"/>
  <c r="E92" i="21"/>
  <c r="E162" i="21"/>
  <c r="E163" i="21"/>
  <c r="E164" i="21"/>
  <c r="E165" i="21"/>
  <c r="E166" i="21"/>
  <c r="E167" i="21"/>
  <c r="E168" i="21"/>
  <c r="E113" i="21"/>
  <c r="E114" i="21"/>
  <c r="E115" i="21"/>
  <c r="E116" i="21"/>
  <c r="E117" i="21"/>
  <c r="E118" i="21"/>
  <c r="E119" i="21"/>
  <c r="E120" i="21"/>
  <c r="E121" i="21"/>
  <c r="E122" i="21"/>
  <c r="E123" i="21"/>
  <c r="G50" i="21"/>
  <c r="E18" i="21"/>
  <c r="E115" i="17"/>
  <c r="E138" i="16" l="1"/>
  <c r="E9" i="16"/>
  <c r="E178" i="15"/>
  <c r="E140" i="14"/>
  <c r="E140" i="13"/>
  <c r="G140" i="13" s="1"/>
  <c r="E58" i="10"/>
  <c r="E130" i="10"/>
  <c r="E115" i="10"/>
  <c r="E78" i="10"/>
  <c r="E38" i="10"/>
  <c r="E39" i="10"/>
  <c r="E40" i="10"/>
  <c r="E42" i="10"/>
  <c r="E43" i="10"/>
  <c r="E35" i="10"/>
  <c r="E10" i="10"/>
  <c r="E8" i="10"/>
  <c r="E9" i="10"/>
  <c r="E7" i="10"/>
  <c r="E83" i="9"/>
  <c r="E84" i="9"/>
  <c r="E85" i="9"/>
  <c r="E86" i="9"/>
  <c r="E87" i="9"/>
  <c r="E88" i="9"/>
  <c r="E89" i="9"/>
  <c r="E90" i="9"/>
  <c r="E91" i="9"/>
  <c r="E92" i="9"/>
  <c r="E149" i="43"/>
  <c r="E140" i="29"/>
  <c r="E9" i="25"/>
  <c r="E10" i="25"/>
  <c r="E11" i="25"/>
  <c r="E12" i="25"/>
  <c r="E132" i="24"/>
  <c r="E133" i="24"/>
  <c r="E134" i="24"/>
  <c r="E129" i="24"/>
  <c r="E128" i="24"/>
  <c r="E124" i="24"/>
  <c r="E112" i="24"/>
  <c r="E55" i="24"/>
  <c r="E54" i="24"/>
  <c r="E50" i="24"/>
  <c r="E49" i="24"/>
  <c r="E42" i="24"/>
  <c r="E40" i="24"/>
  <c r="E39" i="24"/>
  <c r="E38" i="24"/>
  <c r="E37" i="24"/>
  <c r="E36" i="24"/>
  <c r="E9" i="24"/>
  <c r="E10" i="24"/>
  <c r="E161" i="22" l="1"/>
  <c r="E9" i="21"/>
  <c r="E10" i="21"/>
  <c r="E11" i="21"/>
  <c r="E12" i="21"/>
  <c r="E50" i="20"/>
  <c r="E51" i="20"/>
  <c r="E52" i="20"/>
  <c r="E53" i="20"/>
  <c r="E54" i="20"/>
  <c r="E55" i="20"/>
  <c r="E56" i="20"/>
  <c r="E57" i="20"/>
  <c r="E58" i="20"/>
  <c r="E9" i="20"/>
  <c r="E10" i="20"/>
  <c r="E11" i="20"/>
  <c r="E12" i="20"/>
  <c r="G166" i="19"/>
  <c r="G10" i="19"/>
  <c r="E66" i="17"/>
  <c r="E67" i="17"/>
  <c r="E68" i="17"/>
  <c r="E69" i="17"/>
  <c r="E70" i="17"/>
  <c r="E62" i="10" l="1"/>
  <c r="E8" i="9"/>
  <c r="G8" i="9" s="1"/>
  <c r="E7" i="9"/>
  <c r="G7" i="9" s="1"/>
  <c r="E146" i="7" l="1"/>
  <c r="F195" i="7"/>
  <c r="E195" i="7"/>
  <c r="J16" i="31" l="1"/>
  <c r="E123" i="29"/>
  <c r="E112" i="29"/>
  <c r="E113" i="29"/>
  <c r="E114" i="29"/>
  <c r="E115" i="29"/>
  <c r="E9" i="29"/>
  <c r="E10" i="29"/>
  <c r="E11" i="29"/>
  <c r="E115" i="16" l="1"/>
  <c r="E139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39" i="15"/>
  <c r="E140" i="15"/>
  <c r="E141" i="15"/>
  <c r="E142" i="15"/>
  <c r="E143" i="15"/>
  <c r="E145" i="15"/>
  <c r="E146" i="15"/>
  <c r="E147" i="15"/>
  <c r="E148" i="15"/>
  <c r="E149" i="15"/>
  <c r="E150" i="15"/>
  <c r="E151" i="15"/>
  <c r="E152" i="15"/>
  <c r="E179" i="15"/>
  <c r="E180" i="15"/>
  <c r="E174" i="15"/>
  <c r="E175" i="15"/>
  <c r="E162" i="15"/>
  <c r="E163" i="15"/>
  <c r="E164" i="15"/>
  <c r="E165" i="15"/>
  <c r="E161" i="15"/>
  <c r="E113" i="15"/>
  <c r="E114" i="15"/>
  <c r="E115" i="15"/>
  <c r="E116" i="15"/>
  <c r="E117" i="15"/>
  <c r="E118" i="15"/>
  <c r="E119" i="15"/>
  <c r="E120" i="15"/>
  <c r="E121" i="15"/>
  <c r="E122" i="15"/>
  <c r="E123" i="15"/>
  <c r="E83" i="15"/>
  <c r="E84" i="15"/>
  <c r="E85" i="15"/>
  <c r="E86" i="15"/>
  <c r="E87" i="15"/>
  <c r="E88" i="15"/>
  <c r="E89" i="15"/>
  <c r="E90" i="15"/>
  <c r="E91" i="15"/>
  <c r="E92" i="15"/>
  <c r="E63" i="15"/>
  <c r="E36" i="15"/>
  <c r="E37" i="15"/>
  <c r="E38" i="15"/>
  <c r="E39" i="15"/>
  <c r="E40" i="15"/>
  <c r="E41" i="15"/>
  <c r="E42" i="15"/>
  <c r="E43" i="15"/>
  <c r="E44" i="15"/>
  <c r="E45" i="15"/>
  <c r="E46" i="15"/>
  <c r="E174" i="13"/>
  <c r="E175" i="13"/>
  <c r="E173" i="13"/>
  <c r="E174" i="14"/>
  <c r="E175" i="14"/>
  <c r="E134" i="14"/>
  <c r="E10" i="14"/>
  <c r="E158" i="13"/>
  <c r="E157" i="13"/>
  <c r="E134" i="13"/>
  <c r="E50" i="13"/>
  <c r="E43" i="13"/>
  <c r="E118" i="12" l="1"/>
  <c r="E54" i="12"/>
  <c r="O8" i="12"/>
  <c r="P8" i="12" s="1"/>
  <c r="H159" i="10"/>
  <c r="J159" i="10" s="1"/>
  <c r="E7" i="8" l="1"/>
  <c r="G7" i="8" s="1"/>
  <c r="E7" i="7"/>
  <c r="E129" i="30" l="1"/>
  <c r="E130" i="30"/>
  <c r="E131" i="30"/>
  <c r="E132" i="30"/>
  <c r="E133" i="30"/>
  <c r="E134" i="30"/>
  <c r="E9" i="30"/>
  <c r="E10" i="30"/>
  <c r="E11" i="30"/>
  <c r="E12" i="30"/>
  <c r="E151" i="25" l="1"/>
  <c r="E112" i="23"/>
  <c r="E36" i="20"/>
  <c r="E37" i="20"/>
  <c r="E38" i="20"/>
  <c r="E39" i="20"/>
  <c r="E40" i="20"/>
  <c r="E41" i="20"/>
  <c r="E42" i="20"/>
  <c r="E43" i="20"/>
  <c r="E44" i="20"/>
  <c r="E45" i="20"/>
  <c r="E46" i="20"/>
  <c r="E118" i="20"/>
  <c r="E113" i="20"/>
  <c r="E114" i="20"/>
  <c r="E115" i="20"/>
  <c r="E116" i="20"/>
  <c r="E117" i="20"/>
  <c r="E119" i="20"/>
  <c r="E120" i="20"/>
  <c r="E121" i="20"/>
  <c r="E122" i="20"/>
  <c r="E123" i="20"/>
  <c r="E50" i="17"/>
  <c r="E51" i="17"/>
  <c r="E52" i="17"/>
  <c r="E53" i="17"/>
  <c r="E54" i="17"/>
  <c r="E55" i="17"/>
  <c r="E56" i="17"/>
  <c r="E57" i="17"/>
  <c r="E58" i="17"/>
  <c r="E36" i="17"/>
  <c r="E37" i="17"/>
  <c r="E38" i="17"/>
  <c r="E39" i="17"/>
  <c r="E40" i="17"/>
  <c r="E41" i="17"/>
  <c r="E42" i="17"/>
  <c r="E43" i="17"/>
  <c r="E44" i="17"/>
  <c r="E45" i="17"/>
  <c r="E46" i="17"/>
  <c r="E113" i="17"/>
  <c r="E114" i="17"/>
  <c r="E116" i="17"/>
  <c r="E117" i="17"/>
  <c r="E118" i="17"/>
  <c r="E119" i="17"/>
  <c r="E120" i="17"/>
  <c r="E121" i="17"/>
  <c r="E122" i="17"/>
  <c r="E123" i="17"/>
  <c r="E178" i="12"/>
  <c r="E158" i="12"/>
  <c r="E157" i="12"/>
  <c r="E158" i="11" l="1"/>
  <c r="G158" i="11" s="1"/>
  <c r="E157" i="11"/>
  <c r="G157" i="11" s="1"/>
  <c r="E158" i="10"/>
  <c r="E157" i="10"/>
  <c r="E118" i="10"/>
  <c r="E50" i="10"/>
  <c r="E51" i="10"/>
  <c r="E52" i="10"/>
  <c r="E53" i="10"/>
  <c r="E54" i="10"/>
  <c r="E55" i="10"/>
  <c r="E56" i="10"/>
  <c r="E57" i="10"/>
  <c r="E36" i="10"/>
  <c r="E37" i="10"/>
  <c r="E44" i="10"/>
  <c r="E45" i="10"/>
  <c r="E46" i="10"/>
  <c r="G8" i="10"/>
  <c r="N9" i="10" l="1"/>
  <c r="E3" i="48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2" i="48"/>
  <c r="E157" i="8" l="1"/>
  <c r="G157" i="8" s="1"/>
  <c r="E158" i="8"/>
  <c r="G158" i="8" s="1"/>
  <c r="E157" i="9"/>
  <c r="G157" i="9" s="1"/>
  <c r="E158" i="9"/>
  <c r="G158" i="9" s="1"/>
  <c r="E157" i="7" l="1"/>
  <c r="G157" i="7" s="1"/>
  <c r="E158" i="7"/>
  <c r="G158" i="7" s="1"/>
  <c r="E152" i="43"/>
  <c r="E132" i="43"/>
  <c r="E68" i="43"/>
  <c r="E56" i="43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13" i="30"/>
  <c r="E114" i="30"/>
  <c r="E115" i="30"/>
  <c r="E116" i="30"/>
  <c r="E117" i="30"/>
  <c r="E118" i="30"/>
  <c r="E119" i="30"/>
  <c r="E120" i="30"/>
  <c r="E121" i="30"/>
  <c r="E122" i="30"/>
  <c r="E123" i="30"/>
  <c r="E112" i="30"/>
  <c r="E116" i="29"/>
  <c r="E117" i="29"/>
  <c r="E118" i="29"/>
  <c r="E119" i="29"/>
  <c r="E120" i="29"/>
  <c r="E121" i="29"/>
  <c r="E122" i="29"/>
  <c r="G152" i="30" l="1"/>
  <c r="G159" i="12" l="1"/>
  <c r="H159" i="12" s="1"/>
  <c r="J159" i="12" s="1"/>
  <c r="G157" i="12"/>
  <c r="G158" i="12"/>
  <c r="E36" i="11" l="1"/>
  <c r="E37" i="11"/>
  <c r="E38" i="11"/>
  <c r="E39" i="11"/>
  <c r="E40" i="11"/>
  <c r="E41" i="11"/>
  <c r="E42" i="11"/>
  <c r="E43" i="11"/>
  <c r="E44" i="11"/>
  <c r="E45" i="11"/>
  <c r="E46" i="11"/>
  <c r="E139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13" i="10"/>
  <c r="E114" i="10"/>
  <c r="E116" i="10"/>
  <c r="E117" i="10"/>
  <c r="E119" i="10"/>
  <c r="E120" i="10"/>
  <c r="E121" i="10"/>
  <c r="E122" i="10"/>
  <c r="E123" i="10"/>
  <c r="E75" i="9"/>
  <c r="E76" i="9"/>
  <c r="E77" i="9"/>
  <c r="E78" i="9"/>
  <c r="E157" i="29" l="1"/>
  <c r="E158" i="29"/>
  <c r="E66" i="40" l="1"/>
  <c r="E67" i="40"/>
  <c r="E68" i="40"/>
  <c r="G68" i="40" s="1"/>
  <c r="E69" i="40"/>
  <c r="E70" i="40"/>
  <c r="E50" i="22"/>
  <c r="E50" i="12"/>
  <c r="E51" i="12"/>
  <c r="E52" i="12"/>
  <c r="E53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1" i="11"/>
  <c r="E132" i="11"/>
  <c r="E134" i="11"/>
  <c r="E156" i="10"/>
  <c r="G156" i="10" s="1"/>
  <c r="G157" i="10"/>
  <c r="G158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G157" i="43" l="1"/>
  <c r="G158" i="43"/>
  <c r="G112" i="30" l="1"/>
  <c r="E156" i="40" l="1"/>
  <c r="E157" i="40"/>
  <c r="E158" i="40"/>
  <c r="E129" i="25"/>
  <c r="E130" i="25"/>
  <c r="E131" i="25"/>
  <c r="E132" i="25"/>
  <c r="E133" i="25"/>
  <c r="E134" i="25"/>
  <c r="E11" i="40"/>
  <c r="E12" i="40"/>
  <c r="E156" i="25"/>
  <c r="E157" i="25"/>
  <c r="E158" i="25"/>
  <c r="G157" i="23"/>
  <c r="G158" i="23"/>
  <c r="E157" i="24"/>
  <c r="E158" i="24"/>
  <c r="E132" i="22"/>
  <c r="E75" i="21" l="1"/>
  <c r="E149" i="20" l="1"/>
  <c r="G9" i="50"/>
  <c r="G11" i="19" l="1"/>
  <c r="E157" i="16" l="1"/>
  <c r="E158" i="16"/>
  <c r="E150" i="16"/>
  <c r="G157" i="15" l="1"/>
  <c r="G158" i="15"/>
  <c r="G157" i="14" l="1"/>
  <c r="G158" i="14"/>
  <c r="G158" i="13" l="1"/>
  <c r="G157" i="13"/>
  <c r="E36" i="12" l="1"/>
  <c r="E37" i="12"/>
  <c r="E38" i="12"/>
  <c r="E39" i="12"/>
  <c r="E40" i="12"/>
  <c r="E41" i="12"/>
  <c r="E42" i="12"/>
  <c r="E43" i="12"/>
  <c r="E44" i="12"/>
  <c r="E45" i="12"/>
  <c r="E46" i="12"/>
  <c r="G156" i="31" l="1"/>
  <c r="G157" i="31"/>
  <c r="G158" i="31"/>
  <c r="E139" i="43"/>
  <c r="E140" i="43"/>
  <c r="E141" i="43"/>
  <c r="E142" i="43"/>
  <c r="E143" i="43"/>
  <c r="E144" i="43"/>
  <c r="E145" i="43"/>
  <c r="E146" i="43"/>
  <c r="E147" i="43"/>
  <c r="E148" i="43"/>
  <c r="E150" i="43"/>
  <c r="E151" i="43"/>
  <c r="E36" i="43"/>
  <c r="E37" i="43"/>
  <c r="E38" i="43"/>
  <c r="E39" i="43"/>
  <c r="E40" i="43"/>
  <c r="E41" i="43"/>
  <c r="E42" i="43"/>
  <c r="E43" i="43"/>
  <c r="E44" i="43"/>
  <c r="E45" i="43"/>
  <c r="E46" i="43"/>
  <c r="E157" i="30" l="1"/>
  <c r="G157" i="30" s="1"/>
  <c r="H157" i="30" s="1"/>
  <c r="E158" i="30"/>
  <c r="G158" i="30" s="1"/>
  <c r="H158" i="30" s="1"/>
  <c r="G157" i="29"/>
  <c r="G158" i="29"/>
  <c r="G157" i="24"/>
  <c r="G158" i="24"/>
  <c r="G157" i="40"/>
  <c r="G15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G157" i="19"/>
  <c r="G158" i="19"/>
  <c r="E156" i="17"/>
  <c r="E157" i="17"/>
  <c r="G157" i="17" s="1"/>
  <c r="E158" i="17"/>
  <c r="G158" i="17" s="1"/>
  <c r="H157" i="7" l="1"/>
  <c r="H157" i="8" s="1"/>
  <c r="H158" i="7"/>
  <c r="J158" i="7" s="1"/>
  <c r="H158" i="43"/>
  <c r="J158" i="30"/>
  <c r="H157" i="43"/>
  <c r="J157" i="30"/>
  <c r="H158" i="22"/>
  <c r="H157" i="22"/>
  <c r="G158" i="16"/>
  <c r="G157" i="16"/>
  <c r="J157" i="7" l="1"/>
  <c r="H158" i="8"/>
  <c r="J158" i="8" s="1"/>
  <c r="J157" i="8"/>
  <c r="H157" i="9"/>
  <c r="J157" i="43"/>
  <c r="H157" i="31"/>
  <c r="J158" i="43"/>
  <c r="H158" i="31"/>
  <c r="J157" i="22"/>
  <c r="H157" i="23"/>
  <c r="J158" i="22"/>
  <c r="H158" i="23"/>
  <c r="E139" i="13"/>
  <c r="G139" i="13" s="1"/>
  <c r="E141" i="13"/>
  <c r="G141" i="13" s="1"/>
  <c r="E142" i="13"/>
  <c r="G142" i="13" s="1"/>
  <c r="E143" i="13"/>
  <c r="G143" i="13" s="1"/>
  <c r="E144" i="13"/>
  <c r="G144" i="13" s="1"/>
  <c r="E145" i="13"/>
  <c r="G145" i="13" s="1"/>
  <c r="E146" i="13"/>
  <c r="G146" i="13" s="1"/>
  <c r="E147" i="13"/>
  <c r="G147" i="13" s="1"/>
  <c r="E148" i="13"/>
  <c r="G148" i="13" s="1"/>
  <c r="E149" i="13"/>
  <c r="G149" i="13" s="1"/>
  <c r="E150" i="13"/>
  <c r="G150" i="13" s="1"/>
  <c r="E151" i="13"/>
  <c r="G151" i="13" s="1"/>
  <c r="E152" i="13"/>
  <c r="G152" i="13" s="1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7" i="9" l="1"/>
  <c r="H157" i="10"/>
  <c r="H158" i="9"/>
  <c r="J158" i="23"/>
  <c r="H158" i="24"/>
  <c r="J157" i="23"/>
  <c r="H157" i="24"/>
  <c r="I7" i="30"/>
  <c r="E180" i="24"/>
  <c r="E56" i="24"/>
  <c r="E35" i="24"/>
  <c r="E130" i="24"/>
  <c r="E130" i="23"/>
  <c r="G130" i="23" s="1"/>
  <c r="E63" i="23"/>
  <c r="E55" i="23"/>
  <c r="E56" i="23"/>
  <c r="E57" i="23"/>
  <c r="E58" i="23"/>
  <c r="E49" i="23"/>
  <c r="E178" i="21"/>
  <c r="K191" i="17"/>
  <c r="J158" i="9" l="1"/>
  <c r="H158" i="10"/>
  <c r="J157" i="10"/>
  <c r="H157" i="11"/>
  <c r="J157" i="24"/>
  <c r="H157" i="25"/>
  <c r="H157" i="40" s="1"/>
  <c r="J158" i="24"/>
  <c r="H158" i="25"/>
  <c r="H158" i="40" s="1"/>
  <c r="K190" i="20"/>
  <c r="K190" i="19"/>
  <c r="J157" i="11" l="1"/>
  <c r="H157" i="12"/>
  <c r="J158" i="10"/>
  <c r="H158" i="11"/>
  <c r="E134" i="10"/>
  <c r="J158" i="11" l="1"/>
  <c r="H158" i="12"/>
  <c r="J157" i="12"/>
  <c r="H157" i="13"/>
  <c r="J157" i="13" l="1"/>
  <c r="H157" i="14"/>
  <c r="J158" i="12"/>
  <c r="H158" i="13"/>
  <c r="G90" i="31"/>
  <c r="I90" i="31" s="1"/>
  <c r="B30" i="48"/>
  <c r="H30" i="48"/>
  <c r="B22" i="48"/>
  <c r="G56" i="23"/>
  <c r="E155" i="23"/>
  <c r="J158" i="13" l="1"/>
  <c r="H158" i="14"/>
  <c r="J157" i="14"/>
  <c r="H157" i="15"/>
  <c r="E39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184" i="20"/>
  <c r="E185" i="20"/>
  <c r="E183" i="20"/>
  <c r="E179" i="20"/>
  <c r="E180" i="20"/>
  <c r="E178" i="20"/>
  <c r="E174" i="20"/>
  <c r="G174" i="20" s="1"/>
  <c r="E175" i="20"/>
  <c r="E173" i="20"/>
  <c r="G173" i="20" s="1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28" i="20"/>
  <c r="E124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4" i="20"/>
  <c r="E65" i="20"/>
  <c r="E66" i="20"/>
  <c r="E67" i="20"/>
  <c r="E68" i="20"/>
  <c r="E69" i="20"/>
  <c r="E70" i="20"/>
  <c r="E71" i="20"/>
  <c r="E62" i="20"/>
  <c r="E49" i="20"/>
  <c r="E35" i="20"/>
  <c r="E23" i="20"/>
  <c r="E24" i="20"/>
  <c r="E22" i="20"/>
  <c r="J158" i="14" l="1"/>
  <c r="H158" i="15"/>
  <c r="J157" i="15"/>
  <c r="H157" i="16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J157" i="16" l="1"/>
  <c r="H157" i="17"/>
  <c r="J158" i="15"/>
  <c r="H158" i="16"/>
  <c r="G2" i="48"/>
  <c r="J158" i="16" l="1"/>
  <c r="H158" i="17"/>
  <c r="J157" i="17"/>
  <c r="H157" i="19" l="1"/>
  <c r="J157" i="19" s="1"/>
  <c r="J158" i="17"/>
  <c r="E79" i="25"/>
  <c r="G155" i="3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G156" i="40"/>
  <c r="E155" i="40"/>
  <c r="G155" i="40" s="1"/>
  <c r="E155" i="25"/>
  <c r="G155" i="25" s="1"/>
  <c r="G156" i="24"/>
  <c r="E155" i="24"/>
  <c r="G155" i="24" s="1"/>
  <c r="G156" i="23"/>
  <c r="G155" i="23"/>
  <c r="E156" i="22"/>
  <c r="G156" i="22" s="1"/>
  <c r="E155" i="22"/>
  <c r="G155" i="22" s="1"/>
  <c r="E156" i="21"/>
  <c r="G156" i="21" s="1"/>
  <c r="E155" i="21"/>
  <c r="G155" i="21" s="1"/>
  <c r="G156" i="19"/>
  <c r="G155" i="19"/>
  <c r="G156" i="17"/>
  <c r="E155" i="17"/>
  <c r="G155" i="17" s="1"/>
  <c r="E156" i="16"/>
  <c r="G156" i="16" s="1"/>
  <c r="E155" i="16"/>
  <c r="G155" i="16" s="1"/>
  <c r="G156" i="15"/>
  <c r="G155" i="15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H158" i="19" l="1"/>
  <c r="J158" i="19" s="1"/>
  <c r="G159" i="14"/>
  <c r="G159" i="13"/>
  <c r="G159" i="16"/>
  <c r="G159" i="15"/>
  <c r="G159" i="17"/>
  <c r="H159" i="17" s="1"/>
  <c r="J159" i="17" s="1"/>
  <c r="G155" i="20"/>
  <c r="V5" i="1"/>
  <c r="G152" i="31"/>
  <c r="G151" i="31"/>
  <c r="Z35" i="44" s="1"/>
  <c r="G150" i="31"/>
  <c r="G149" i="31"/>
  <c r="G148" i="31"/>
  <c r="W35" i="44" s="1"/>
  <c r="G147" i="31"/>
  <c r="V35" i="44" s="1"/>
  <c r="G146" i="31"/>
  <c r="T35" i="44" s="1"/>
  <c r="G145" i="31"/>
  <c r="S35" i="44" s="1"/>
  <c r="G144" i="31"/>
  <c r="U35" i="44" s="1"/>
  <c r="G143" i="31"/>
  <c r="X35" i="44" s="1"/>
  <c r="E134" i="43"/>
  <c r="G134" i="43" s="1"/>
  <c r="G134" i="3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G151" i="30"/>
  <c r="Z33" i="44" s="1"/>
  <c r="G150" i="30"/>
  <c r="G149" i="30"/>
  <c r="G148" i="30"/>
  <c r="W33" i="44" s="1"/>
  <c r="G147" i="30"/>
  <c r="V33" i="44" s="1"/>
  <c r="G146" i="30"/>
  <c r="T33" i="44" s="1"/>
  <c r="G145" i="30"/>
  <c r="S33" i="44" s="1"/>
  <c r="G144" i="30"/>
  <c r="U33" i="44" s="1"/>
  <c r="G143" i="30"/>
  <c r="X33" i="44" s="1"/>
  <c r="G134" i="30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Z31" i="44"/>
  <c r="W31" i="44"/>
  <c r="V31" i="44"/>
  <c r="T31" i="44"/>
  <c r="S31" i="44"/>
  <c r="U31" i="44"/>
  <c r="X31" i="44"/>
  <c r="Z30" i="44"/>
  <c r="W30" i="44"/>
  <c r="V30" i="44"/>
  <c r="T30" i="44"/>
  <c r="S30" i="44"/>
  <c r="U30" i="44"/>
  <c r="X30" i="44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G151" i="25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G152" i="24"/>
  <c r="G151" i="24"/>
  <c r="Z27" i="44" s="1"/>
  <c r="G150" i="24"/>
  <c r="G149" i="24"/>
  <c r="G148" i="24"/>
  <c r="W27" i="44" s="1"/>
  <c r="G147" i="24"/>
  <c r="V27" i="44" s="1"/>
  <c r="G146" i="24"/>
  <c r="T27" i="44" s="1"/>
  <c r="G145" i="24"/>
  <c r="S27" i="44" s="1"/>
  <c r="G144" i="24"/>
  <c r="U27" i="44" s="1"/>
  <c r="G143" i="24"/>
  <c r="X27" i="44" s="1"/>
  <c r="G141" i="24"/>
  <c r="Q27" i="44" s="1"/>
  <c r="G142" i="24"/>
  <c r="R27" i="44" s="1"/>
  <c r="G134" i="24"/>
  <c r="E152" i="23" l="1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G152" i="20"/>
  <c r="G151" i="20"/>
  <c r="Z23" i="44" s="1"/>
  <c r="G150" i="20"/>
  <c r="G149" i="20"/>
  <c r="G148" i="20"/>
  <c r="W23" i="44" s="1"/>
  <c r="G147" i="20"/>
  <c r="V23" i="44" s="1"/>
  <c r="G146" i="20"/>
  <c r="T23" i="44" s="1"/>
  <c r="G145" i="20"/>
  <c r="S23" i="44" s="1"/>
  <c r="G144" i="20"/>
  <c r="U23" i="44" s="1"/>
  <c r="G143" i="20"/>
  <c r="X23" i="44" s="1"/>
  <c r="Z21" i="44"/>
  <c r="W21" i="44"/>
  <c r="V21" i="44"/>
  <c r="T21" i="44"/>
  <c r="S21" i="44"/>
  <c r="U21" i="44"/>
  <c r="X21" i="44"/>
  <c r="G134" i="19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G152" i="15"/>
  <c r="G151" i="15"/>
  <c r="Z18" i="44" s="1"/>
  <c r="G150" i="15"/>
  <c r="G149" i="15"/>
  <c r="G148" i="15"/>
  <c r="W18" i="44" s="1"/>
  <c r="G147" i="15"/>
  <c r="V18" i="44" s="1"/>
  <c r="G146" i="15"/>
  <c r="T18" i="44" s="1"/>
  <c r="G145" i="15"/>
  <c r="S18" i="44" s="1"/>
  <c r="G144" i="15"/>
  <c r="U18" i="44" s="1"/>
  <c r="G143" i="15"/>
  <c r="X18" i="44" s="1"/>
  <c r="E134" i="15"/>
  <c r="G134" i="15" s="1"/>
  <c r="G152" i="14"/>
  <c r="G151" i="14"/>
  <c r="Z17" i="44" s="1"/>
  <c r="G150" i="14"/>
  <c r="G149" i="14"/>
  <c r="G148" i="14"/>
  <c r="W17" i="44" s="1"/>
  <c r="G147" i="14"/>
  <c r="V17" i="44" s="1"/>
  <c r="G146" i="14"/>
  <c r="T17" i="44" s="1"/>
  <c r="G145" i="14"/>
  <c r="S17" i="44" s="1"/>
  <c r="G144" i="14"/>
  <c r="U17" i="44" s="1"/>
  <c r="G143" i="14"/>
  <c r="X17" i="44" s="1"/>
  <c r="G134" i="14"/>
  <c r="Z16" i="44"/>
  <c r="W16" i="44"/>
  <c r="V16" i="44"/>
  <c r="T16" i="44"/>
  <c r="S16" i="44"/>
  <c r="U16" i="44"/>
  <c r="X16" i="44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 i="10"/>
  <c r="Z13" i="44" s="1"/>
  <c r="G150" i="10"/>
  <c r="G149" i="10"/>
  <c r="G148" i="10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G146" i="7"/>
  <c r="T10" i="44" s="1"/>
  <c r="E145" i="7"/>
  <c r="G145" i="7" s="1"/>
  <c r="S10" i="44" s="1"/>
  <c r="E144" i="7"/>
  <c r="G144" i="7" s="1"/>
  <c r="U10" i="44" s="1"/>
  <c r="E143" i="7"/>
  <c r="G143" i="7" s="1"/>
  <c r="X10" i="44" s="1"/>
  <c r="G134" i="8"/>
  <c r="E134" i="7"/>
  <c r="G134" i="7" s="1"/>
  <c r="Z9" i="44"/>
  <c r="W9" i="44"/>
  <c r="V9" i="44"/>
  <c r="T9" i="44"/>
  <c r="S9" i="44"/>
  <c r="U9" i="44"/>
  <c r="X9" i="44"/>
  <c r="Z8" i="44"/>
  <c r="W8" i="44"/>
  <c r="V8" i="44"/>
  <c r="T8" i="44"/>
  <c r="S8" i="44"/>
  <c r="U8" i="44"/>
  <c r="X8" i="44"/>
  <c r="Z7" i="44"/>
  <c r="W7" i="44"/>
  <c r="V7" i="44"/>
  <c r="T7" i="44"/>
  <c r="S7" i="44"/>
  <c r="U7" i="44"/>
  <c r="X7" i="44"/>
  <c r="Z6" i="44"/>
  <c r="W6" i="44"/>
  <c r="V6" i="44"/>
  <c r="T6" i="44"/>
  <c r="S6" i="44"/>
  <c r="U6" i="44"/>
  <c r="X6" i="44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38" i="30"/>
  <c r="E128" i="30"/>
  <c r="E124" i="30"/>
  <c r="G113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39" i="29"/>
  <c r="E138" i="29"/>
  <c r="E133" i="29"/>
  <c r="E132" i="29"/>
  <c r="E131" i="29"/>
  <c r="E130" i="29"/>
  <c r="E129" i="29"/>
  <c r="E128" i="29"/>
  <c r="E124" i="29"/>
  <c r="E92" i="29"/>
  <c r="E91" i="29"/>
  <c r="G91" i="29" s="1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2" i="29"/>
  <c r="E12" i="29"/>
  <c r="H124" i="29"/>
  <c r="H124" i="30" s="1"/>
  <c r="H124" i="43" s="1"/>
  <c r="H124" i="31" s="1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4" i="25"/>
  <c r="E183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75" i="24"/>
  <c r="E184" i="24"/>
  <c r="E183" i="24"/>
  <c r="E179" i="24"/>
  <c r="E178" i="24"/>
  <c r="E174" i="24"/>
  <c r="E168" i="24"/>
  <c r="E167" i="24"/>
  <c r="E166" i="24"/>
  <c r="E165" i="24"/>
  <c r="E164" i="24"/>
  <c r="E163" i="24"/>
  <c r="E162" i="24"/>
  <c r="E161" i="24"/>
  <c r="E138" i="24"/>
  <c r="E131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3" i="24"/>
  <c r="E52" i="24"/>
  <c r="E51" i="24"/>
  <c r="E46" i="24"/>
  <c r="E45" i="24"/>
  <c r="E44" i="24"/>
  <c r="E43" i="24"/>
  <c r="E41" i="24"/>
  <c r="E24" i="24"/>
  <c r="E23" i="24"/>
  <c r="E22" i="24"/>
  <c r="E12" i="24"/>
  <c r="E11" i="24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38" i="22"/>
  <c r="E133" i="22"/>
  <c r="E131" i="22"/>
  <c r="E130" i="22"/>
  <c r="E129" i="22"/>
  <c r="E128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G166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G55" i="21"/>
  <c r="E49" i="21"/>
  <c r="G49" i="21" s="1"/>
  <c r="E35" i="21"/>
  <c r="E24" i="21"/>
  <c r="E23" i="21"/>
  <c r="E22" i="21"/>
  <c r="G180" i="19"/>
  <c r="G88" i="19"/>
  <c r="G23" i="19"/>
  <c r="H124" i="19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39" i="17"/>
  <c r="E138" i="17"/>
  <c r="E133" i="17"/>
  <c r="E132" i="17"/>
  <c r="E131" i="17"/>
  <c r="E130" i="17"/>
  <c r="E129" i="17"/>
  <c r="E128" i="17"/>
  <c r="G114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65" i="17"/>
  <c r="E63" i="17"/>
  <c r="E62" i="17"/>
  <c r="E49" i="17"/>
  <c r="E35" i="17"/>
  <c r="E24" i="17"/>
  <c r="E23" i="17"/>
  <c r="E22" i="17"/>
  <c r="E185" i="16"/>
  <c r="E184" i="16"/>
  <c r="E183" i="16"/>
  <c r="E180" i="16"/>
  <c r="E179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3" i="16"/>
  <c r="E132" i="16"/>
  <c r="E131" i="16"/>
  <c r="E130" i="16"/>
  <c r="E129" i="16"/>
  <c r="E128" i="16"/>
  <c r="E123" i="16"/>
  <c r="E122" i="16"/>
  <c r="E121" i="16"/>
  <c r="E119" i="16"/>
  <c r="E118" i="16"/>
  <c r="E117" i="16"/>
  <c r="E116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69" i="16"/>
  <c r="E68" i="16"/>
  <c r="E67" i="16"/>
  <c r="E66" i="16"/>
  <c r="E65" i="16"/>
  <c r="E63" i="16"/>
  <c r="E62" i="16"/>
  <c r="E58" i="16"/>
  <c r="E57" i="16"/>
  <c r="E56" i="16"/>
  <c r="E55" i="16"/>
  <c r="E54" i="16"/>
  <c r="E53" i="16"/>
  <c r="E52" i="16"/>
  <c r="E51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2" i="16"/>
  <c r="E12" i="16"/>
  <c r="E11" i="16"/>
  <c r="E184" i="15"/>
  <c r="E183" i="15"/>
  <c r="E173" i="15"/>
  <c r="E168" i="15"/>
  <c r="E167" i="15"/>
  <c r="E166" i="15"/>
  <c r="E138" i="15"/>
  <c r="E133" i="15"/>
  <c r="E132" i="15"/>
  <c r="E131" i="15"/>
  <c r="E130" i="15"/>
  <c r="E129" i="15"/>
  <c r="E128" i="15"/>
  <c r="E112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35" i="15"/>
  <c r="E23" i="15"/>
  <c r="E22" i="15"/>
  <c r="E12" i="15"/>
  <c r="E11" i="15"/>
  <c r="E10" i="15"/>
  <c r="E185" i="14"/>
  <c r="E184" i="14"/>
  <c r="E183" i="14"/>
  <c r="E180" i="14"/>
  <c r="E179" i="14"/>
  <c r="E178" i="14"/>
  <c r="E173" i="14"/>
  <c r="E168" i="14"/>
  <c r="E167" i="14"/>
  <c r="E166" i="14"/>
  <c r="E165" i="14"/>
  <c r="E164" i="14"/>
  <c r="E163" i="14"/>
  <c r="E162" i="14"/>
  <c r="E161" i="14"/>
  <c r="E138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G78" i="14" s="1"/>
  <c r="E77" i="14"/>
  <c r="G77" i="14" s="1"/>
  <c r="E76" i="14"/>
  <c r="G76" i="14" s="1"/>
  <c r="E75" i="14"/>
  <c r="G75" i="14" s="1"/>
  <c r="E74" i="14"/>
  <c r="G74" i="14" s="1"/>
  <c r="E70" i="14"/>
  <c r="E69" i="14"/>
  <c r="E68" i="14"/>
  <c r="E67" i="14"/>
  <c r="E66" i="14"/>
  <c r="E65" i="14"/>
  <c r="G65" i="14" s="1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5" i="12"/>
  <c r="E174" i="12"/>
  <c r="E173" i="12"/>
  <c r="E168" i="12"/>
  <c r="E167" i="12"/>
  <c r="E166" i="12"/>
  <c r="E165" i="12"/>
  <c r="E164" i="12"/>
  <c r="E163" i="12"/>
  <c r="E162" i="12"/>
  <c r="E161" i="12"/>
  <c r="G161" i="12" s="1"/>
  <c r="E142" i="12"/>
  <c r="E141" i="12"/>
  <c r="E140" i="12"/>
  <c r="E139" i="12"/>
  <c r="E138" i="12"/>
  <c r="E128" i="12"/>
  <c r="E123" i="12"/>
  <c r="E122" i="12"/>
  <c r="E121" i="12"/>
  <c r="E120" i="12"/>
  <c r="E119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G74" i="12" s="1"/>
  <c r="E70" i="12"/>
  <c r="E69" i="12"/>
  <c r="E68" i="12"/>
  <c r="E67" i="12"/>
  <c r="E66" i="12"/>
  <c r="E65" i="12"/>
  <c r="E64" i="12"/>
  <c r="E63" i="12"/>
  <c r="E62" i="12"/>
  <c r="E49" i="12"/>
  <c r="E35" i="12"/>
  <c r="G35" i="12" s="1"/>
  <c r="E23" i="12"/>
  <c r="E22" i="12"/>
  <c r="E12" i="12"/>
  <c r="E11" i="12"/>
  <c r="H124" i="11"/>
  <c r="H26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3" i="11"/>
  <c r="E22" i="11"/>
  <c r="E12" i="11"/>
  <c r="E11" i="11"/>
  <c r="E185" i="10"/>
  <c r="E184" i="10"/>
  <c r="E183" i="10"/>
  <c r="E180" i="10"/>
  <c r="E179" i="10"/>
  <c r="E178" i="10"/>
  <c r="G178" i="10" s="1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33" i="10"/>
  <c r="E132" i="10"/>
  <c r="E131" i="10"/>
  <c r="E129" i="10"/>
  <c r="E128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23" i="10"/>
  <c r="E22" i="10"/>
  <c r="E185" i="9"/>
  <c r="E184" i="9"/>
  <c r="E183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82" i="9"/>
  <c r="E79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12" i="7"/>
  <c r="E82" i="7"/>
  <c r="E78" i="7"/>
  <c r="E77" i="7"/>
  <c r="E76" i="7"/>
  <c r="E75" i="7"/>
  <c r="E74" i="7"/>
  <c r="E70" i="7"/>
  <c r="E69" i="7"/>
  <c r="E68" i="7"/>
  <c r="E67" i="7"/>
  <c r="E66" i="7"/>
  <c r="E65" i="7"/>
  <c r="G65" i="7" s="1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2" i="7"/>
  <c r="E12" i="7"/>
  <c r="E11" i="7"/>
  <c r="E18" i="7"/>
  <c r="E18" i="8" s="1"/>
  <c r="E18" i="9" s="1"/>
  <c r="E18" i="10" s="1"/>
  <c r="E18" i="11" s="1"/>
  <c r="E18" i="12" s="1"/>
  <c r="E18" i="13" s="1"/>
  <c r="E18" i="14" s="1"/>
  <c r="E18" i="16" s="1"/>
  <c r="E18" i="20" s="1"/>
  <c r="E18" i="22" s="1"/>
  <c r="E18" i="23" s="1"/>
  <c r="E18" i="24" s="1"/>
  <c r="E18" i="25" s="1"/>
  <c r="E18" i="40" s="1"/>
  <c r="E18" i="29" s="1"/>
  <c r="E18" i="30" s="1"/>
  <c r="E18" i="43" s="1"/>
  <c r="H155" i="7" l="1"/>
  <c r="H155" i="8" s="1"/>
  <c r="I92" i="17"/>
  <c r="G22" i="19"/>
  <c r="G24" i="19" s="1"/>
  <c r="E10" i="7"/>
  <c r="E10" i="9" s="1"/>
  <c r="E10" i="11" s="1"/>
  <c r="E10" i="12" s="1"/>
  <c r="E10" i="13" s="1"/>
  <c r="E10" i="16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I16" i="31"/>
  <c r="G144" i="19"/>
  <c r="U22" i="44" s="1"/>
  <c r="G148" i="19"/>
  <c r="W22" i="44" s="1"/>
  <c r="G152" i="19"/>
  <c r="H168" i="7"/>
  <c r="H168" i="8" s="1"/>
  <c r="H167" i="7"/>
  <c r="H167" i="8" s="1"/>
  <c r="H166" i="7"/>
  <c r="J166" i="7" s="1"/>
  <c r="Z5" i="44"/>
  <c r="G134" i="20"/>
  <c r="G10" i="16" l="1"/>
  <c r="J155" i="7"/>
  <c r="E15" i="7"/>
  <c r="E9" i="7"/>
  <c r="E8" i="7"/>
  <c r="Z37" i="44"/>
  <c r="Z36" i="44"/>
  <c r="H156" i="8"/>
  <c r="J156" i="8" s="1"/>
  <c r="H155" i="9"/>
  <c r="J155" i="8"/>
  <c r="H166" i="8"/>
  <c r="J166" i="8" s="1"/>
  <c r="J168" i="7"/>
  <c r="J167" i="7"/>
  <c r="J168" i="8"/>
  <c r="H168" i="9"/>
  <c r="H167" i="9"/>
  <c r="J167" i="8"/>
  <c r="H23" i="7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9" s="1"/>
  <c r="H23" i="20" s="1"/>
  <c r="H23" i="21" s="1"/>
  <c r="H23" i="22" s="1"/>
  <c r="H23" i="23" s="1"/>
  <c r="H23" i="24" s="1"/>
  <c r="H23" i="25" s="1"/>
  <c r="H23" i="40" s="1"/>
  <c r="H23" i="29" s="1"/>
  <c r="H23" i="30" s="1"/>
  <c r="H23" i="43" s="1"/>
  <c r="H23" i="31" s="1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I34" i="1"/>
  <c r="G89" i="31"/>
  <c r="G88" i="31"/>
  <c r="G87" i="31"/>
  <c r="AC34" i="1" s="1"/>
  <c r="G86" i="31"/>
  <c r="AB34" i="1" s="1"/>
  <c r="G85" i="31"/>
  <c r="AA34" i="1" s="1"/>
  <c r="G84" i="3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29" i="31"/>
  <c r="G22" i="31"/>
  <c r="G18" i="31"/>
  <c r="E31" i="31" s="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I90" i="43" s="1"/>
  <c r="G89" i="43"/>
  <c r="G88" i="43"/>
  <c r="G87" i="43"/>
  <c r="AC33" i="1" s="1"/>
  <c r="G86" i="43"/>
  <c r="AB33" i="1" s="1"/>
  <c r="G85" i="43"/>
  <c r="AA33" i="1" s="1"/>
  <c r="G84" i="43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I90" i="30" s="1"/>
  <c r="G89" i="30"/>
  <c r="G88" i="30"/>
  <c r="G87" i="30"/>
  <c r="AC32" i="1" s="1"/>
  <c r="G86" i="30"/>
  <c r="AB32" i="1" s="1"/>
  <c r="G85" i="30"/>
  <c r="AA32" i="1" s="1"/>
  <c r="G84" i="30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G90" i="29"/>
  <c r="I90" i="29" s="1"/>
  <c r="G89" i="29"/>
  <c r="G88" i="29"/>
  <c r="G87" i="29"/>
  <c r="AC31" i="1" s="1"/>
  <c r="G86" i="29"/>
  <c r="AB31" i="1" s="1"/>
  <c r="G85" i="29"/>
  <c r="AA31" i="1" s="1"/>
  <c r="G84" i="29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AD23" i="45"/>
  <c r="AD22" i="45"/>
  <c r="AD21" i="45"/>
  <c r="AD19" i="45"/>
  <c r="AD18" i="45"/>
  <c r="AD17" i="45"/>
  <c r="AB31" i="44"/>
  <c r="AA31" i="44"/>
  <c r="R31" i="44"/>
  <c r="Q31" i="44"/>
  <c r="P31" i="44"/>
  <c r="O31" i="44"/>
  <c r="AL31" i="44"/>
  <c r="AK31" i="44"/>
  <c r="AJ31" i="44"/>
  <c r="AI31" i="44"/>
  <c r="AH31" i="44"/>
  <c r="AG31" i="44"/>
  <c r="AF31" i="44"/>
  <c r="AE31" i="44"/>
  <c r="AL30" i="1"/>
  <c r="AC30" i="1"/>
  <c r="AB30" i="1"/>
  <c r="Z30" i="1"/>
  <c r="AS31" i="44"/>
  <c r="AR31" i="44"/>
  <c r="AQ31" i="44"/>
  <c r="AP31" i="44"/>
  <c r="AD7" i="45"/>
  <c r="AC23" i="45"/>
  <c r="AC22" i="45"/>
  <c r="AC21" i="45"/>
  <c r="AC19" i="45"/>
  <c r="AC18" i="45"/>
  <c r="AC17" i="45"/>
  <c r="AB30" i="44"/>
  <c r="AA30" i="44"/>
  <c r="R30" i="44"/>
  <c r="Q30" i="44"/>
  <c r="P30" i="44"/>
  <c r="O30" i="44"/>
  <c r="AL30" i="44"/>
  <c r="AK30" i="44"/>
  <c r="AJ30" i="44"/>
  <c r="AI30" i="44"/>
  <c r="AH30" i="44"/>
  <c r="AG30" i="44"/>
  <c r="AF30" i="44"/>
  <c r="AE30" i="44"/>
  <c r="AL29" i="1"/>
  <c r="AC29" i="1"/>
  <c r="AB29" i="1"/>
  <c r="AA29" i="1"/>
  <c r="AS30" i="44"/>
  <c r="AR30" i="44"/>
  <c r="AQ30" i="44"/>
  <c r="AP30" i="44"/>
  <c r="AC15" i="45"/>
  <c r="AC14" i="45"/>
  <c r="AC13" i="45"/>
  <c r="AC8" i="45"/>
  <c r="AC7" i="45"/>
  <c r="G185" i="40"/>
  <c r="G184" i="40"/>
  <c r="G183" i="40"/>
  <c r="G180" i="40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I90" i="40" s="1"/>
  <c r="G89" i="40"/>
  <c r="G88" i="40"/>
  <c r="G87" i="40"/>
  <c r="AC28" i="1" s="1"/>
  <c r="G86" i="40"/>
  <c r="AB28" i="1" s="1"/>
  <c r="G85" i="40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I90" i="25" s="1"/>
  <c r="G89" i="25"/>
  <c r="G88" i="25"/>
  <c r="G87" i="25"/>
  <c r="AC27" i="1" s="1"/>
  <c r="G86" i="25"/>
  <c r="AB27" i="1" s="1"/>
  <c r="G85" i="25"/>
  <c r="AA27" i="1" s="1"/>
  <c r="G84" i="25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I90" i="24" s="1"/>
  <c r="G89" i="24"/>
  <c r="G88" i="24"/>
  <c r="G87" i="24"/>
  <c r="AC26" i="1" s="1"/>
  <c r="G86" i="24"/>
  <c r="AB26" i="1" s="1"/>
  <c r="G85" i="24"/>
  <c r="AA26" i="1" s="1"/>
  <c r="G84" i="24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I90" i="23" s="1"/>
  <c r="G89" i="23"/>
  <c r="G88" i="23"/>
  <c r="G87" i="23"/>
  <c r="AC25" i="1" s="1"/>
  <c r="G86" i="23"/>
  <c r="AB25" i="1" s="1"/>
  <c r="G85" i="23"/>
  <c r="AA25" i="1" s="1"/>
  <c r="G84" i="23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I90" i="22" s="1"/>
  <c r="G89" i="22"/>
  <c r="G88" i="22"/>
  <c r="G87" i="22"/>
  <c r="AC24" i="1" s="1"/>
  <c r="G86" i="22"/>
  <c r="AB24" i="1" s="1"/>
  <c r="G85" i="22"/>
  <c r="AA24" i="1" s="1"/>
  <c r="G84" i="22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I90" i="21" s="1"/>
  <c r="G89" i="21"/>
  <c r="G88" i="21"/>
  <c r="G87" i="21"/>
  <c r="AC23" i="1" s="1"/>
  <c r="G86" i="21"/>
  <c r="AB23" i="1" s="1"/>
  <c r="G85" i="21"/>
  <c r="AA23" i="1" s="1"/>
  <c r="G84" i="2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V18" i="45"/>
  <c r="V17" i="45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I90" i="20" s="1"/>
  <c r="G89" i="20"/>
  <c r="G88" i="20"/>
  <c r="G87" i="20"/>
  <c r="AC22" i="1" s="1"/>
  <c r="G86" i="20"/>
  <c r="AB22" i="1" s="1"/>
  <c r="G85" i="20"/>
  <c r="AA22" i="1" s="1"/>
  <c r="G84" i="20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U23" i="45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I90" i="19" s="1"/>
  <c r="G89" i="19"/>
  <c r="I89" i="19" s="1"/>
  <c r="G87" i="19"/>
  <c r="AC21" i="1" s="1"/>
  <c r="G86" i="19"/>
  <c r="AB21" i="1" s="1"/>
  <c r="G85" i="19"/>
  <c r="G57" i="19"/>
  <c r="G56" i="19"/>
  <c r="G29" i="19"/>
  <c r="G18" i="19"/>
  <c r="G31" i="19" s="1"/>
  <c r="K9" i="19"/>
  <c r="M8" i="19"/>
  <c r="T23" i="45"/>
  <c r="T22" i="45"/>
  <c r="T21" i="45"/>
  <c r="T19" i="45"/>
  <c r="T18" i="45"/>
  <c r="T17" i="45"/>
  <c r="AB21" i="44"/>
  <c r="R21" i="44"/>
  <c r="Q21" i="44"/>
  <c r="P21" i="44"/>
  <c r="O21" i="44"/>
  <c r="AL21" i="44"/>
  <c r="AK21" i="44"/>
  <c r="AJ21" i="44"/>
  <c r="AI21" i="44"/>
  <c r="AH21" i="44"/>
  <c r="AG21" i="44"/>
  <c r="AF21" i="44"/>
  <c r="AE21" i="44"/>
  <c r="AL20" i="1"/>
  <c r="AC20" i="1"/>
  <c r="AB20" i="1"/>
  <c r="AA20" i="1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I90" i="17" s="1"/>
  <c r="G89" i="17"/>
  <c r="G88" i="17"/>
  <c r="G87" i="17"/>
  <c r="AC19" i="1" s="1"/>
  <c r="G86" i="17"/>
  <c r="AB19" i="1" s="1"/>
  <c r="G85" i="17"/>
  <c r="AA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I90" i="16" s="1"/>
  <c r="G89" i="16"/>
  <c r="G88" i="16"/>
  <c r="G87" i="16"/>
  <c r="AC18" i="1" s="1"/>
  <c r="G86" i="16"/>
  <c r="AB18" i="1" s="1"/>
  <c r="G85" i="16"/>
  <c r="AA18" i="1" s="1"/>
  <c r="G84" i="16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K9" i="16"/>
  <c r="M8" i="16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I90" i="15" s="1"/>
  <c r="G89" i="15"/>
  <c r="G88" i="15"/>
  <c r="G87" i="15"/>
  <c r="AC17" i="1" s="1"/>
  <c r="G86" i="15"/>
  <c r="AB17" i="1" s="1"/>
  <c r="G85" i="15"/>
  <c r="AA17" i="1" s="1"/>
  <c r="G84" i="15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I90" i="14" s="1"/>
  <c r="G89" i="14"/>
  <c r="G88" i="14"/>
  <c r="G87" i="14"/>
  <c r="AC16" i="1" s="1"/>
  <c r="G86" i="14"/>
  <c r="AB16" i="1" s="1"/>
  <c r="G85" i="14"/>
  <c r="G84" i="14"/>
  <c r="G83" i="14"/>
  <c r="G82" i="14"/>
  <c r="AS17" i="44"/>
  <c r="AR17" i="44"/>
  <c r="AQ17" i="44"/>
  <c r="AP17" i="44"/>
  <c r="G70" i="14"/>
  <c r="P15" i="45" s="1"/>
  <c r="G69" i="14"/>
  <c r="P14" i="45" s="1"/>
  <c r="G68" i="14"/>
  <c r="P13" i="45" s="1"/>
  <c r="G67" i="14"/>
  <c r="G66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R16" i="44"/>
  <c r="Q16" i="44"/>
  <c r="P16" i="44"/>
  <c r="O16" i="44"/>
  <c r="G138" i="13"/>
  <c r="G153" i="13" s="1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I90" i="13" s="1"/>
  <c r="G89" i="13"/>
  <c r="G88" i="13"/>
  <c r="G87" i="13"/>
  <c r="AC15" i="1" s="1"/>
  <c r="G86" i="13"/>
  <c r="AB15" i="1" s="1"/>
  <c r="G85" i="13"/>
  <c r="AA15" i="1" s="1"/>
  <c r="G84" i="13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AA15" i="44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I90" i="12" s="1"/>
  <c r="G89" i="12"/>
  <c r="G88" i="12"/>
  <c r="G87" i="12"/>
  <c r="AC14" i="1" s="1"/>
  <c r="G86" i="12"/>
  <c r="AB14" i="1" s="1"/>
  <c r="G85" i="12"/>
  <c r="AA14" i="1" s="1"/>
  <c r="G84" i="12"/>
  <c r="G83" i="12"/>
  <c r="G82" i="12"/>
  <c r="G78" i="12"/>
  <c r="AS15" i="44" s="1"/>
  <c r="G77" i="12"/>
  <c r="AR15" i="44" s="1"/>
  <c r="G76" i="12"/>
  <c r="AQ15" i="44" s="1"/>
  <c r="G75" i="12"/>
  <c r="AP15" i="44" s="1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I90" i="11" s="1"/>
  <c r="G89" i="11"/>
  <c r="G88" i="11"/>
  <c r="G87" i="11"/>
  <c r="AC13" i="1" s="1"/>
  <c r="G86" i="11"/>
  <c r="AB13" i="1" s="1"/>
  <c r="G85" i="11"/>
  <c r="AA13" i="1" s="1"/>
  <c r="G84" i="1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L21" i="45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I90" i="10" s="1"/>
  <c r="G89" i="10"/>
  <c r="G88" i="10"/>
  <c r="G87" i="10"/>
  <c r="AC12" i="1" s="1"/>
  <c r="G86" i="10"/>
  <c r="AB12" i="1" s="1"/>
  <c r="G85" i="10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I90" i="9" s="1"/>
  <c r="G89" i="9"/>
  <c r="G88" i="9"/>
  <c r="G87" i="9"/>
  <c r="AC11" i="1" s="1"/>
  <c r="G86" i="9"/>
  <c r="AB11" i="1" s="1"/>
  <c r="G85" i="9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188" i="15" l="1"/>
  <c r="G186" i="15"/>
  <c r="G186" i="25"/>
  <c r="Q7" i="45"/>
  <c r="AA16" i="1"/>
  <c r="G47" i="10"/>
  <c r="AB23" i="45"/>
  <c r="G181" i="40"/>
  <c r="G189" i="40" s="1"/>
  <c r="I92" i="10"/>
  <c r="E31" i="40"/>
  <c r="G31" i="40" s="1"/>
  <c r="G188" i="25"/>
  <c r="I89" i="40"/>
  <c r="I89" i="24"/>
  <c r="I89" i="20"/>
  <c r="I92" i="24"/>
  <c r="I89" i="14"/>
  <c r="I92" i="14"/>
  <c r="I89" i="13"/>
  <c r="I92" i="15"/>
  <c r="I92" i="16"/>
  <c r="I92" i="23"/>
  <c r="I89" i="30"/>
  <c r="I92" i="9"/>
  <c r="I89" i="12"/>
  <c r="I92" i="19"/>
  <c r="I92" i="20"/>
  <c r="I89" i="25"/>
  <c r="I92" i="11"/>
  <c r="I89" i="10"/>
  <c r="Z16" i="1"/>
  <c r="I87" i="14"/>
  <c r="I89" i="11"/>
  <c r="Z17" i="1"/>
  <c r="I87" i="15"/>
  <c r="Z18" i="1"/>
  <c r="I87" i="16"/>
  <c r="Z19" i="1"/>
  <c r="I87" i="17"/>
  <c r="I92" i="21"/>
  <c r="I92" i="22"/>
  <c r="Z25" i="1"/>
  <c r="I87" i="23"/>
  <c r="I89" i="29"/>
  <c r="I92" i="43"/>
  <c r="AK34" i="1"/>
  <c r="I92" i="31"/>
  <c r="Z26" i="1"/>
  <c r="I87" i="24"/>
  <c r="Z23" i="1"/>
  <c r="I87" i="21"/>
  <c r="Z24" i="1"/>
  <c r="I87" i="22"/>
  <c r="Z33" i="1"/>
  <c r="I87" i="43"/>
  <c r="Z34" i="1"/>
  <c r="I87" i="31"/>
  <c r="AA28" i="1"/>
  <c r="I87" i="40"/>
  <c r="Z22" i="1"/>
  <c r="I87" i="20"/>
  <c r="I92" i="30"/>
  <c r="AL31" i="1"/>
  <c r="I92" i="29"/>
  <c r="Z32" i="1"/>
  <c r="I87" i="30"/>
  <c r="Z15" i="1"/>
  <c r="I87" i="13"/>
  <c r="Z13" i="1"/>
  <c r="I87" i="11"/>
  <c r="I92" i="12"/>
  <c r="I89" i="15"/>
  <c r="I89" i="16"/>
  <c r="I89" i="17"/>
  <c r="AA21" i="1"/>
  <c r="I89" i="23"/>
  <c r="I92" i="25"/>
  <c r="I92" i="40"/>
  <c r="Z31" i="1"/>
  <c r="I87" i="29"/>
  <c r="Z14" i="1"/>
  <c r="I87" i="12"/>
  <c r="I92" i="13"/>
  <c r="I89" i="21"/>
  <c r="I89" i="22"/>
  <c r="Z27" i="1"/>
  <c r="I87" i="25"/>
  <c r="Z29" i="1"/>
  <c r="AA30" i="1"/>
  <c r="I89" i="43"/>
  <c r="I89" i="31"/>
  <c r="I89" i="9"/>
  <c r="AA12" i="1"/>
  <c r="I87" i="10"/>
  <c r="AA11" i="1"/>
  <c r="I87" i="9"/>
  <c r="G59" i="43"/>
  <c r="AO18" i="44"/>
  <c r="G125" i="17"/>
  <c r="I125" i="17" s="1"/>
  <c r="G47" i="17"/>
  <c r="G135" i="17"/>
  <c r="I135" i="17" s="1"/>
  <c r="G188" i="17"/>
  <c r="G188" i="29"/>
  <c r="AD8" i="45"/>
  <c r="AD13" i="45"/>
  <c r="AD15" i="45"/>
  <c r="AD14" i="45"/>
  <c r="N7" i="45"/>
  <c r="O15" i="45"/>
  <c r="G188" i="13"/>
  <c r="E19" i="7"/>
  <c r="E15" i="8"/>
  <c r="AD13" i="44"/>
  <c r="G47" i="29"/>
  <c r="AD29" i="44"/>
  <c r="G153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G135" i="9"/>
  <c r="I135" i="9" s="1"/>
  <c r="G125" i="23"/>
  <c r="I125" i="23" s="1"/>
  <c r="G135" i="22"/>
  <c r="I135" i="22" s="1"/>
  <c r="G125" i="11"/>
  <c r="I125" i="11" s="1"/>
  <c r="G135" i="13"/>
  <c r="I135" i="13" s="1"/>
  <c r="G125" i="31"/>
  <c r="I125" i="31" s="1"/>
  <c r="G135" i="40"/>
  <c r="I135" i="40" s="1"/>
  <c r="N25" i="44"/>
  <c r="G153" i="22"/>
  <c r="I153" i="22" s="1"/>
  <c r="N18" i="44"/>
  <c r="G153" i="15"/>
  <c r="I153" i="15" s="1"/>
  <c r="G125" i="20"/>
  <c r="I125" i="20" s="1"/>
  <c r="N26" i="44"/>
  <c r="G153" i="23"/>
  <c r="I153" i="23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N23" i="44"/>
  <c r="G153" i="20"/>
  <c r="I153" i="20" s="1"/>
  <c r="G125" i="21"/>
  <c r="I125" i="21" s="1"/>
  <c r="G125" i="25"/>
  <c r="I125" i="25" s="1"/>
  <c r="N30" i="44"/>
  <c r="G135" i="29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N33" i="44"/>
  <c r="G153" i="30"/>
  <c r="I153" i="30" s="1"/>
  <c r="G135" i="31"/>
  <c r="I135" i="31" s="1"/>
  <c r="G135" i="20"/>
  <c r="I135" i="20" s="1"/>
  <c r="N24" i="44"/>
  <c r="G153" i="21"/>
  <c r="I153" i="21" s="1"/>
  <c r="G125" i="43"/>
  <c r="I125" i="43" s="1"/>
  <c r="N12" i="44"/>
  <c r="G153" i="9"/>
  <c r="I153" i="9" s="1"/>
  <c r="G135" i="10"/>
  <c r="I135" i="10" s="1"/>
  <c r="G125" i="12"/>
  <c r="I125" i="12" s="1"/>
  <c r="N16" i="44"/>
  <c r="I153" i="13"/>
  <c r="G135" i="14"/>
  <c r="I135" i="14" s="1"/>
  <c r="G135" i="16"/>
  <c r="I135" i="16" s="1"/>
  <c r="G125" i="19"/>
  <c r="G125" i="22"/>
  <c r="I125" i="22" s="1"/>
  <c r="G125" i="40"/>
  <c r="I125" i="40" s="1"/>
  <c r="N31" i="44"/>
  <c r="G135" i="30"/>
  <c r="I135" i="30" s="1"/>
  <c r="G125" i="15"/>
  <c r="I125" i="15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O7" i="45"/>
  <c r="G188" i="10"/>
  <c r="G188" i="14"/>
  <c r="G102" i="11"/>
  <c r="G100" i="12"/>
  <c r="G100" i="20"/>
  <c r="L7" i="45"/>
  <c r="G188" i="9"/>
  <c r="G188" i="31"/>
  <c r="G188" i="16"/>
  <c r="G188" i="20"/>
  <c r="G188" i="24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G102" i="22"/>
  <c r="G100" i="23"/>
  <c r="G94" i="25"/>
  <c r="G102" i="13"/>
  <c r="G176" i="17"/>
  <c r="G104" i="29"/>
  <c r="G94" i="20"/>
  <c r="G104" i="21"/>
  <c r="G100" i="25"/>
  <c r="BJ13" i="1"/>
  <c r="BJ12" i="1"/>
  <c r="BJ11" i="1"/>
  <c r="G96" i="11"/>
  <c r="G102" i="12"/>
  <c r="G98" i="13"/>
  <c r="G100" i="13"/>
  <c r="G102" i="43"/>
  <c r="G100" i="9"/>
  <c r="G102" i="16"/>
  <c r="G104" i="15"/>
  <c r="G47" i="43"/>
  <c r="G186" i="43"/>
  <c r="G186" i="30"/>
  <c r="G186" i="40"/>
  <c r="G47" i="40"/>
  <c r="G186" i="22"/>
  <c r="G186" i="21"/>
  <c r="G186" i="11"/>
  <c r="G186" i="9"/>
  <c r="H168" i="10"/>
  <c r="J168" i="9"/>
  <c r="H167" i="10"/>
  <c r="J167" i="9"/>
  <c r="H182" i="7"/>
  <c r="H177" i="7"/>
  <c r="G104" i="31"/>
  <c r="G186" i="31"/>
  <c r="G102" i="31"/>
  <c r="G31" i="31"/>
  <c r="G94" i="31"/>
  <c r="G98" i="31"/>
  <c r="G100" i="31"/>
  <c r="G71" i="31"/>
  <c r="G71" i="43"/>
  <c r="G96" i="43"/>
  <c r="G71" i="30"/>
  <c r="G100" i="30"/>
  <c r="G47" i="30"/>
  <c r="G100" i="29"/>
  <c r="G71" i="40"/>
  <c r="G96" i="40"/>
  <c r="G176" i="24"/>
  <c r="G181" i="24"/>
  <c r="G189" i="24" s="1"/>
  <c r="G186" i="23"/>
  <c r="G71" i="23"/>
  <c r="G47" i="23"/>
  <c r="G47" i="22"/>
  <c r="G96" i="21"/>
  <c r="G186" i="20"/>
  <c r="G71" i="20"/>
  <c r="G186" i="16"/>
  <c r="G71" i="16"/>
  <c r="G47" i="16"/>
  <c r="G181" i="14"/>
  <c r="G189" i="14" s="1"/>
  <c r="G176" i="13"/>
  <c r="G181" i="13"/>
  <c r="G189" i="13" s="1"/>
  <c r="G186" i="12"/>
  <c r="G47" i="12"/>
  <c r="G71" i="11"/>
  <c r="G47" i="11"/>
  <c r="G186" i="10"/>
  <c r="G71" i="9"/>
  <c r="G96" i="9"/>
  <c r="G47" i="9"/>
  <c r="G59" i="31"/>
  <c r="G176" i="31"/>
  <c r="G181" i="31"/>
  <c r="G189" i="31" s="1"/>
  <c r="G64" i="31"/>
  <c r="G96" i="31"/>
  <c r="G47" i="31"/>
  <c r="G71" i="10"/>
  <c r="G176" i="14"/>
  <c r="G181" i="15"/>
  <c r="G189" i="15" s="1"/>
  <c r="G71" i="12"/>
  <c r="G176" i="15"/>
  <c r="G181" i="17"/>
  <c r="G189" i="17" s="1"/>
  <c r="G176" i="19"/>
  <c r="G176" i="21"/>
  <c r="G186" i="24"/>
  <c r="G94" i="43"/>
  <c r="G98" i="43"/>
  <c r="G100" i="14"/>
  <c r="G96" i="15"/>
  <c r="G102" i="17"/>
  <c r="G71" i="29"/>
  <c r="G104" i="14"/>
  <c r="G96" i="14"/>
  <c r="G104" i="43"/>
  <c r="G64" i="43"/>
  <c r="G176" i="43"/>
  <c r="G181" i="43"/>
  <c r="G189" i="43" s="1"/>
  <c r="G96" i="12"/>
  <c r="G102" i="14"/>
  <c r="G100" i="17"/>
  <c r="G186" i="19"/>
  <c r="G186" i="29"/>
  <c r="G181" i="19"/>
  <c r="G189" i="19" s="1"/>
  <c r="G100" i="15"/>
  <c r="G104" i="17"/>
  <c r="G96" i="17"/>
  <c r="G71" i="25"/>
  <c r="G102" i="24"/>
  <c r="G96" i="25"/>
  <c r="G71" i="22"/>
  <c r="G100" i="24"/>
  <c r="G96" i="29"/>
  <c r="G181" i="21"/>
  <c r="G189" i="21" s="1"/>
  <c r="G96" i="24"/>
  <c r="G94" i="30"/>
  <c r="G59" i="30"/>
  <c r="G98" i="30"/>
  <c r="G176" i="30"/>
  <c r="G96" i="30"/>
  <c r="G104" i="30"/>
  <c r="G64" i="30"/>
  <c r="G59" i="29"/>
  <c r="G176" i="29"/>
  <c r="G181" i="29"/>
  <c r="G189" i="29" s="1"/>
  <c r="G64" i="29"/>
  <c r="G94" i="40"/>
  <c r="G59" i="40"/>
  <c r="G98" i="40"/>
  <c r="G176" i="40"/>
  <c r="G104" i="40"/>
  <c r="G64" i="40"/>
  <c r="G59" i="25"/>
  <c r="G176" i="25"/>
  <c r="G181" i="25"/>
  <c r="G189" i="25" s="1"/>
  <c r="G64" i="25"/>
  <c r="G47" i="25"/>
  <c r="G71" i="24"/>
  <c r="G47" i="24"/>
  <c r="G59" i="24"/>
  <c r="G64" i="24"/>
  <c r="G94" i="24"/>
  <c r="G98" i="24"/>
  <c r="G94" i="23"/>
  <c r="G59" i="23"/>
  <c r="G98" i="23"/>
  <c r="G176" i="23"/>
  <c r="G181" i="23"/>
  <c r="G189" i="23" s="1"/>
  <c r="G96" i="23"/>
  <c r="G104" i="23"/>
  <c r="G64" i="23"/>
  <c r="G94" i="22"/>
  <c r="G59" i="22"/>
  <c r="G98" i="22"/>
  <c r="G176" i="22"/>
  <c r="G181" i="22"/>
  <c r="G189" i="22" s="1"/>
  <c r="G96" i="22"/>
  <c r="G104" i="22"/>
  <c r="G64" i="22"/>
  <c r="G64" i="21"/>
  <c r="G59" i="21"/>
  <c r="G71" i="21"/>
  <c r="G47" i="21"/>
  <c r="G94" i="21"/>
  <c r="G98" i="21"/>
  <c r="G59" i="20"/>
  <c r="G176" i="20"/>
  <c r="G181" i="20"/>
  <c r="G189" i="20" s="1"/>
  <c r="G96" i="20"/>
  <c r="G64" i="20"/>
  <c r="G47" i="20"/>
  <c r="G71" i="17"/>
  <c r="G186" i="17"/>
  <c r="G59" i="17"/>
  <c r="G64" i="17"/>
  <c r="G94" i="17"/>
  <c r="G98" i="17"/>
  <c r="G94" i="16"/>
  <c r="G59" i="16"/>
  <c r="G98" i="16"/>
  <c r="G176" i="16"/>
  <c r="G181" i="16"/>
  <c r="G189" i="16" s="1"/>
  <c r="G96" i="16"/>
  <c r="G104" i="16"/>
  <c r="G64" i="16"/>
  <c r="G64" i="15"/>
  <c r="G59" i="15"/>
  <c r="G71" i="15"/>
  <c r="G47" i="15"/>
  <c r="G94" i="15"/>
  <c r="G98" i="15"/>
  <c r="G186" i="14"/>
  <c r="G71" i="14"/>
  <c r="G47" i="14"/>
  <c r="G59" i="14"/>
  <c r="G64" i="14"/>
  <c r="G94" i="14"/>
  <c r="G98" i="14"/>
  <c r="G59" i="13"/>
  <c r="G71" i="13"/>
  <c r="G64" i="13"/>
  <c r="G96" i="13"/>
  <c r="G186" i="13"/>
  <c r="G47" i="13"/>
  <c r="G64" i="12"/>
  <c r="G94" i="12"/>
  <c r="G59" i="12"/>
  <c r="G98" i="12"/>
  <c r="G176" i="12"/>
  <c r="G181" i="12"/>
  <c r="G189" i="12" s="1"/>
  <c r="G104" i="12"/>
  <c r="G64" i="11"/>
  <c r="G94" i="11"/>
  <c r="G59" i="11"/>
  <c r="G98" i="11"/>
  <c r="G176" i="11"/>
  <c r="G181" i="11"/>
  <c r="G189" i="11" s="1"/>
  <c r="G104" i="11"/>
  <c r="G104" i="10"/>
  <c r="G64" i="10"/>
  <c r="G94" i="10"/>
  <c r="G59" i="10"/>
  <c r="G98" i="10"/>
  <c r="G100" i="10"/>
  <c r="G102" i="10"/>
  <c r="G176" i="10"/>
  <c r="G181" i="10"/>
  <c r="G189" i="10" s="1"/>
  <c r="G96" i="10"/>
  <c r="G64" i="9"/>
  <c r="G59" i="9"/>
  <c r="G94" i="9"/>
  <c r="G98" i="9"/>
  <c r="G176" i="9"/>
  <c r="G181" i="9"/>
  <c r="G189" i="9" s="1"/>
  <c r="G104" i="9"/>
  <c r="E31" i="9"/>
  <c r="G31" i="9" s="1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I90" i="8" s="1"/>
  <c r="G89" i="8"/>
  <c r="G88" i="8"/>
  <c r="G87" i="8"/>
  <c r="AC10" i="1" s="1"/>
  <c r="G86" i="8"/>
  <c r="AB10" i="1" s="1"/>
  <c r="G85" i="8"/>
  <c r="AA10" i="1" s="1"/>
  <c r="G84" i="8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I90" i="7" s="1"/>
  <c r="G89" i="7"/>
  <c r="AW10" i="44" s="1"/>
  <c r="G88" i="7"/>
  <c r="G87" i="7"/>
  <c r="AC9" i="1" s="1"/>
  <c r="G86" i="7"/>
  <c r="AB9" i="1" s="1"/>
  <c r="G85" i="7"/>
  <c r="AA9" i="1" s="1"/>
  <c r="G84" i="7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H23" i="45"/>
  <c r="H22" i="45"/>
  <c r="H21" i="45"/>
  <c r="H19" i="45"/>
  <c r="H18" i="45"/>
  <c r="H17" i="45"/>
  <c r="AB9" i="44"/>
  <c r="AA9" i="44"/>
  <c r="R9" i="44"/>
  <c r="Q9" i="44"/>
  <c r="P9" i="44"/>
  <c r="O9" i="44"/>
  <c r="AL9" i="44"/>
  <c r="AK9" i="44"/>
  <c r="AJ9" i="44"/>
  <c r="AI9" i="44"/>
  <c r="AH9" i="44"/>
  <c r="AG9" i="44"/>
  <c r="AF9" i="44"/>
  <c r="AE9" i="44"/>
  <c r="AL8" i="1"/>
  <c r="AC8" i="1"/>
  <c r="AB8" i="1"/>
  <c r="AA8" i="1"/>
  <c r="AS9" i="44"/>
  <c r="AR9" i="44"/>
  <c r="AQ9" i="44"/>
  <c r="AP9" i="44"/>
  <c r="H15" i="45"/>
  <c r="H14" i="45"/>
  <c r="H13" i="45"/>
  <c r="H8" i="45"/>
  <c r="H7" i="45"/>
  <c r="G23" i="45"/>
  <c r="G22" i="45"/>
  <c r="G21" i="45"/>
  <c r="G19" i="45"/>
  <c r="G18" i="45"/>
  <c r="G17" i="45"/>
  <c r="AB8" i="44"/>
  <c r="AA8" i="44"/>
  <c r="R8" i="44"/>
  <c r="Q8" i="44"/>
  <c r="P8" i="44"/>
  <c r="O8" i="44"/>
  <c r="AM8" i="44"/>
  <c r="AL8" i="44"/>
  <c r="AK8" i="44"/>
  <c r="AJ8" i="44"/>
  <c r="AI8" i="44"/>
  <c r="AH8" i="44"/>
  <c r="AG8" i="44"/>
  <c r="AF8" i="44"/>
  <c r="AE8" i="44"/>
  <c r="AL7" i="1"/>
  <c r="AC7" i="1"/>
  <c r="AB7" i="1"/>
  <c r="AA7" i="1"/>
  <c r="AS8" i="44"/>
  <c r="AR8" i="44"/>
  <c r="AQ8" i="44"/>
  <c r="AP8" i="44"/>
  <c r="G15" i="45"/>
  <c r="G14" i="45"/>
  <c r="G13" i="45"/>
  <c r="G8" i="45"/>
  <c r="F23" i="45"/>
  <c r="F22" i="45"/>
  <c r="F21" i="45"/>
  <c r="F19" i="45"/>
  <c r="F18" i="45"/>
  <c r="F17" i="45"/>
  <c r="AB7" i="44"/>
  <c r="AA7" i="44"/>
  <c r="R7" i="44"/>
  <c r="Q7" i="44"/>
  <c r="P7" i="44"/>
  <c r="O7" i="44"/>
  <c r="AM7" i="44"/>
  <c r="AL7" i="44"/>
  <c r="AK7" i="44"/>
  <c r="AJ7" i="44"/>
  <c r="AI7" i="44"/>
  <c r="AH7" i="44"/>
  <c r="AG7" i="44"/>
  <c r="AF7" i="44"/>
  <c r="AE7" i="44"/>
  <c r="AL6" i="1"/>
  <c r="AC6" i="1"/>
  <c r="AB6" i="1"/>
  <c r="AA6" i="1"/>
  <c r="AS7" i="44"/>
  <c r="AR7" i="44"/>
  <c r="AQ7" i="44"/>
  <c r="AP7" i="44"/>
  <c r="F15" i="45"/>
  <c r="F14" i="45"/>
  <c r="F13" i="45"/>
  <c r="F8" i="45"/>
  <c r="E23" i="45"/>
  <c r="E22" i="45"/>
  <c r="E21" i="45"/>
  <c r="E19" i="45"/>
  <c r="E18" i="45"/>
  <c r="E17" i="45"/>
  <c r="AB6" i="44"/>
  <c r="AA6" i="44"/>
  <c r="R6" i="44"/>
  <c r="Q6" i="44"/>
  <c r="P6" i="44"/>
  <c r="O6" i="44"/>
  <c r="AL6" i="44"/>
  <c r="AK6" i="44"/>
  <c r="AJ6" i="44"/>
  <c r="AI6" i="44"/>
  <c r="AH6" i="44"/>
  <c r="AG6" i="44"/>
  <c r="AF6" i="44"/>
  <c r="AE6" i="44"/>
  <c r="AL5" i="1"/>
  <c r="AC5" i="1"/>
  <c r="AB5" i="1"/>
  <c r="AA5" i="1"/>
  <c r="AS6" i="44"/>
  <c r="AR6" i="44"/>
  <c r="AQ6" i="44"/>
  <c r="AP6" i="44"/>
  <c r="E15" i="45"/>
  <c r="E14" i="45"/>
  <c r="E13" i="45"/>
  <c r="E8" i="45"/>
  <c r="D23" i="45"/>
  <c r="D22" i="45"/>
  <c r="D19" i="45"/>
  <c r="D18" i="45"/>
  <c r="D17" i="45"/>
  <c r="AB5" i="44"/>
  <c r="W5" i="44"/>
  <c r="V5" i="44"/>
  <c r="T5" i="44"/>
  <c r="S5" i="44"/>
  <c r="U5" i="44"/>
  <c r="X5" i="44"/>
  <c r="R5" i="44"/>
  <c r="Q5" i="44"/>
  <c r="P5" i="44"/>
  <c r="O5" i="44"/>
  <c r="AL5" i="44"/>
  <c r="AJ5" i="44"/>
  <c r="AH5" i="44"/>
  <c r="AF5" i="44"/>
  <c r="H8" i="7" l="1"/>
  <c r="G60" i="10"/>
  <c r="G60" i="11"/>
  <c r="G60" i="40"/>
  <c r="G60" i="13"/>
  <c r="G10" i="17"/>
  <c r="I135" i="29"/>
  <c r="I89" i="8"/>
  <c r="I92" i="8"/>
  <c r="I92" i="7"/>
  <c r="Z9" i="1"/>
  <c r="I87" i="7"/>
  <c r="Z10" i="1"/>
  <c r="I87" i="8"/>
  <c r="Z7" i="1"/>
  <c r="Z5" i="1"/>
  <c r="I89" i="7"/>
  <c r="Z8" i="1"/>
  <c r="Z6" i="1"/>
  <c r="G60" i="16"/>
  <c r="G60" i="17"/>
  <c r="AZ18" i="44"/>
  <c r="G60" i="15"/>
  <c r="H29" i="7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9" s="1"/>
  <c r="H29" i="20" s="1"/>
  <c r="H29" i="21" s="1"/>
  <c r="H29" i="22" s="1"/>
  <c r="H29" i="23" s="1"/>
  <c r="H29" i="24" s="1"/>
  <c r="H29" i="25" s="1"/>
  <c r="H29" i="40" s="1"/>
  <c r="H29" i="29" s="1"/>
  <c r="H29" i="30" s="1"/>
  <c r="H29" i="43" s="1"/>
  <c r="H29" i="31" s="1"/>
  <c r="AZ12" i="44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H49" i="7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G19" i="7"/>
  <c r="E30" i="7" s="1"/>
  <c r="G30" i="7" s="1"/>
  <c r="G15" i="8"/>
  <c r="G79" i="8" s="1"/>
  <c r="G9" i="8"/>
  <c r="G8" i="8"/>
  <c r="G9" i="7"/>
  <c r="G60" i="29"/>
  <c r="AD11" i="44"/>
  <c r="AD10" i="44"/>
  <c r="AD9" i="44"/>
  <c r="AD8" i="44"/>
  <c r="AD7" i="44"/>
  <c r="AD6" i="44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25" i="8"/>
  <c r="I125" i="8" s="1"/>
  <c r="N7" i="44"/>
  <c r="N11" i="44"/>
  <c r="G153" i="8"/>
  <c r="N10" i="44"/>
  <c r="G153" i="7"/>
  <c r="I153" i="7" s="1"/>
  <c r="N6" i="44"/>
  <c r="N9" i="44"/>
  <c r="N5" i="44"/>
  <c r="G60" i="25"/>
  <c r="H56" i="7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9" s="1"/>
  <c r="H56" i="20" s="1"/>
  <c r="H56" i="21" s="1"/>
  <c r="H56" i="22" s="1"/>
  <c r="H56" i="23" s="1"/>
  <c r="H56" i="24" s="1"/>
  <c r="H56" i="25" s="1"/>
  <c r="H56" i="40" s="1"/>
  <c r="H56" i="29" s="1"/>
  <c r="H56" i="30" s="1"/>
  <c r="H56" i="43" s="1"/>
  <c r="H56" i="31" s="1"/>
  <c r="G135" i="7"/>
  <c r="I135" i="7" s="1"/>
  <c r="E9" i="45"/>
  <c r="G188" i="7"/>
  <c r="G7" i="45"/>
  <c r="F7" i="45"/>
  <c r="J7" i="45"/>
  <c r="H127" i="7"/>
  <c r="H127" i="8" s="1"/>
  <c r="E7" i="45"/>
  <c r="I7" i="45"/>
  <c r="G188" i="8"/>
  <c r="AA11" i="44"/>
  <c r="J156" i="9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H24" i="7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9" s="1"/>
  <c r="H24" i="20" s="1"/>
  <c r="H24" i="21" s="1"/>
  <c r="H24" i="22" s="1"/>
  <c r="H24" i="23" s="1"/>
  <c r="H24" i="24" s="1"/>
  <c r="H24" i="25" s="1"/>
  <c r="H24" i="40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7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D15" i="45"/>
  <c r="H84" i="7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Z4" i="1"/>
  <c r="H92" i="7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9" s="1"/>
  <c r="H92" i="20" s="1"/>
  <c r="H92" i="21" s="1"/>
  <c r="H92" i="22" s="1"/>
  <c r="H92" i="23" s="1"/>
  <c r="H92" i="24" s="1"/>
  <c r="H92" i="25" s="1"/>
  <c r="H92" i="40" s="1"/>
  <c r="H92" i="29" s="1"/>
  <c r="H92" i="30" s="1"/>
  <c r="H92" i="43" s="1"/>
  <c r="AL4" i="1"/>
  <c r="D21" i="45"/>
  <c r="G94" i="8"/>
  <c r="H152" i="7"/>
  <c r="AI5" i="44"/>
  <c r="AG5" i="44"/>
  <c r="H85" i="7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9" s="1"/>
  <c r="H85" i="20" s="1"/>
  <c r="H85" i="21" s="1"/>
  <c r="H85" i="22" s="1"/>
  <c r="H85" i="23" s="1"/>
  <c r="H85" i="24" s="1"/>
  <c r="H85" i="25" s="1"/>
  <c r="H85" i="40" s="1"/>
  <c r="H85" i="29" s="1"/>
  <c r="H85" i="30" s="1"/>
  <c r="H85" i="43" s="1"/>
  <c r="AA4" i="1"/>
  <c r="H63" i="7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D8" i="45"/>
  <c r="H75" i="7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AP5" i="44"/>
  <c r="H86" i="7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9" s="1"/>
  <c r="H86" i="20" s="1"/>
  <c r="H86" i="21" s="1"/>
  <c r="H86" i="22" s="1"/>
  <c r="H86" i="23" s="1"/>
  <c r="H86" i="24" s="1"/>
  <c r="H86" i="25" s="1"/>
  <c r="H86" i="40" s="1"/>
  <c r="H86" i="29" s="1"/>
  <c r="H86" i="30" s="1"/>
  <c r="H86" i="43" s="1"/>
  <c r="AB4" i="1"/>
  <c r="BJ4" i="1"/>
  <c r="AM5" i="44"/>
  <c r="AD5" i="44"/>
  <c r="H91" i="7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9" s="1"/>
  <c r="H91" i="20" s="1"/>
  <c r="H91" i="21" s="1"/>
  <c r="H91" i="22" s="1"/>
  <c r="H91" i="23" s="1"/>
  <c r="H91" i="24" s="1"/>
  <c r="H91" i="25" s="1"/>
  <c r="H91" i="40" s="1"/>
  <c r="H91" i="29" s="1"/>
  <c r="H91" i="30" s="1"/>
  <c r="H91" i="43" s="1"/>
  <c r="AU5" i="44"/>
  <c r="AK4" i="1"/>
  <c r="H74" i="7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AO4" i="1"/>
  <c r="AO5" i="44"/>
  <c r="H65" i="7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V4" i="1"/>
  <c r="D9" i="45"/>
  <c r="H76" i="7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AQ5" i="44"/>
  <c r="H87" i="7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9" s="1"/>
  <c r="H87" i="20" s="1"/>
  <c r="H87" i="21" s="1"/>
  <c r="H87" i="22" s="1"/>
  <c r="H87" i="23" s="1"/>
  <c r="H87" i="24" s="1"/>
  <c r="H87" i="25" s="1"/>
  <c r="H87" i="40" s="1"/>
  <c r="H87" i="29" s="1"/>
  <c r="H87" i="30" s="1"/>
  <c r="H87" i="43" s="1"/>
  <c r="AC4" i="1"/>
  <c r="AK5" i="44"/>
  <c r="AH9" i="1"/>
  <c r="G100" i="8"/>
  <c r="H69" i="7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D14" i="45"/>
  <c r="H66" i="7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D10" i="45"/>
  <c r="W4" i="1"/>
  <c r="H77" i="7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AR5" i="44"/>
  <c r="H88" i="7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9" s="1"/>
  <c r="H88" i="20" s="1"/>
  <c r="H88" i="21" s="1"/>
  <c r="H88" i="22" s="1"/>
  <c r="H88" i="23" s="1"/>
  <c r="H88" i="24" s="1"/>
  <c r="H88" i="25" s="1"/>
  <c r="H88" i="40" s="1"/>
  <c r="H88" i="29" s="1"/>
  <c r="H88" i="30" s="1"/>
  <c r="H88" i="43" s="1"/>
  <c r="AV5" i="44"/>
  <c r="AG4" i="1"/>
  <c r="H67" i="7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D11" i="45"/>
  <c r="X4" i="1"/>
  <c r="H78" i="7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AS5" i="44"/>
  <c r="H89" i="7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9" s="1"/>
  <c r="H89" i="20" s="1"/>
  <c r="H89" i="21" s="1"/>
  <c r="H89" i="22" s="1"/>
  <c r="H89" i="23" s="1"/>
  <c r="H89" i="24" s="1"/>
  <c r="H89" i="25" s="1"/>
  <c r="H89" i="40" s="1"/>
  <c r="H89" i="29" s="1"/>
  <c r="H89" i="30" s="1"/>
  <c r="H89" i="43" s="1"/>
  <c r="AW5" i="44"/>
  <c r="AH4" i="1"/>
  <c r="AE5" i="44"/>
  <c r="H134" i="7"/>
  <c r="H62" i="7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D7" i="45"/>
  <c r="H68" i="7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D13" i="45"/>
  <c r="H90" i="7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9" s="1"/>
  <c r="H90" i="20" s="1"/>
  <c r="H90" i="21" s="1"/>
  <c r="H90" i="22" s="1"/>
  <c r="H90" i="23" s="1"/>
  <c r="H90" i="24" s="1"/>
  <c r="H90" i="25" s="1"/>
  <c r="H90" i="40" s="1"/>
  <c r="H90" i="29" s="1"/>
  <c r="H90" i="30" s="1"/>
  <c r="H90" i="43" s="1"/>
  <c r="AI4" i="1"/>
  <c r="AX5" i="44"/>
  <c r="BJ7" i="1"/>
  <c r="BJ6" i="1"/>
  <c r="G60" i="43"/>
  <c r="G60" i="30"/>
  <c r="G186" i="7"/>
  <c r="H15" i="7"/>
  <c r="H10" i="7"/>
  <c r="H10" i="8" s="1"/>
  <c r="H10" i="9" s="1"/>
  <c r="H10" i="10" s="1"/>
  <c r="H10" i="11" s="1"/>
  <c r="H10" i="12" s="1"/>
  <c r="H10" i="13" s="1"/>
  <c r="H10" i="14" s="1"/>
  <c r="H10" i="15" s="1"/>
  <c r="H10" i="16" s="1"/>
  <c r="H22" i="7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9" s="1"/>
  <c r="H22" i="20" s="1"/>
  <c r="H22" i="21" s="1"/>
  <c r="H22" i="22" s="1"/>
  <c r="H22" i="23" s="1"/>
  <c r="H22" i="24" s="1"/>
  <c r="H22" i="25" s="1"/>
  <c r="H22" i="40" s="1"/>
  <c r="H22" i="29" s="1"/>
  <c r="H22" i="30" s="1"/>
  <c r="H22" i="43" s="1"/>
  <c r="H22" i="31" s="1"/>
  <c r="H7" i="7"/>
  <c r="H18" i="7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9" s="1"/>
  <c r="H18" i="20" s="1"/>
  <c r="H18" i="21" s="1"/>
  <c r="H18" i="22" s="1"/>
  <c r="H18" i="23" s="1"/>
  <c r="H18" i="24" s="1"/>
  <c r="H18" i="25" s="1"/>
  <c r="H18" i="40" s="1"/>
  <c r="H18" i="29" s="1"/>
  <c r="H18" i="30" s="1"/>
  <c r="H18" i="43" s="1"/>
  <c r="H18" i="31" s="1"/>
  <c r="H182" i="8"/>
  <c r="J182" i="7"/>
  <c r="J166" i="10"/>
  <c r="H166" i="11"/>
  <c r="H168" i="11"/>
  <c r="J168" i="10"/>
  <c r="H177" i="8"/>
  <c r="J177" i="7"/>
  <c r="H167" i="11"/>
  <c r="J167" i="10"/>
  <c r="H82" i="7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3" i="7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52" i="7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1" i="7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5" i="7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0" i="7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4" i="7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8" i="7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3" i="7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7" i="7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9" s="1"/>
  <c r="H57" i="20" s="1"/>
  <c r="H57" i="21" s="1"/>
  <c r="H57" i="22" s="1"/>
  <c r="H57" i="23" s="1"/>
  <c r="H57" i="24" s="1"/>
  <c r="H57" i="25" s="1"/>
  <c r="H57" i="40" s="1"/>
  <c r="H57" i="29" s="1"/>
  <c r="H57" i="30" s="1"/>
  <c r="H57" i="43" s="1"/>
  <c r="H57" i="31" s="1"/>
  <c r="H35" i="7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9" i="7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43" i="7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36" i="7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9" s="1"/>
  <c r="H36" i="20" s="1"/>
  <c r="H36" i="21" s="1"/>
  <c r="H36" i="22" s="1"/>
  <c r="H36" i="23" s="1"/>
  <c r="H36" i="24" s="1"/>
  <c r="H36" i="25" s="1"/>
  <c r="H36" i="40" s="1"/>
  <c r="H36" i="29" s="1"/>
  <c r="H36" i="30" s="1"/>
  <c r="H36" i="43" s="1"/>
  <c r="H36" i="31" s="1"/>
  <c r="H42" i="7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9" s="1"/>
  <c r="H42" i="20" s="1"/>
  <c r="H42" i="21" s="1"/>
  <c r="H42" i="22" s="1"/>
  <c r="H42" i="23" s="1"/>
  <c r="H42" i="24" s="1"/>
  <c r="H42" i="25" s="1"/>
  <c r="H42" i="40" s="1"/>
  <c r="H42" i="29" s="1"/>
  <c r="H42" i="30" s="1"/>
  <c r="H42" i="43" s="1"/>
  <c r="H42" i="31" s="1"/>
  <c r="H46" i="7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37" i="7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9" s="1"/>
  <c r="H37" i="20" s="1"/>
  <c r="H37" i="21" s="1"/>
  <c r="H37" i="22" s="1"/>
  <c r="H37" i="23" s="1"/>
  <c r="H37" i="24" s="1"/>
  <c r="H37" i="25" s="1"/>
  <c r="H37" i="40" s="1"/>
  <c r="H37" i="29" s="1"/>
  <c r="H37" i="30" s="1"/>
  <c r="H37" i="43" s="1"/>
  <c r="H37" i="31" s="1"/>
  <c r="H41" i="7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5" i="7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38" i="7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9" s="1"/>
  <c r="H38" i="20" s="1"/>
  <c r="H38" i="21" s="1"/>
  <c r="H38" i="22" s="1"/>
  <c r="H38" i="23" s="1"/>
  <c r="H38" i="24" s="1"/>
  <c r="H38" i="25" s="1"/>
  <c r="H38" i="40" s="1"/>
  <c r="H38" i="29" s="1"/>
  <c r="H38" i="30" s="1"/>
  <c r="H38" i="43" s="1"/>
  <c r="H38" i="31" s="1"/>
  <c r="H40" i="7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4" i="7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G60" i="23"/>
  <c r="G60" i="22"/>
  <c r="G186" i="8"/>
  <c r="G96" i="8"/>
  <c r="G71" i="7"/>
  <c r="G102" i="7"/>
  <c r="G103" i="7" s="1"/>
  <c r="G60" i="31"/>
  <c r="G71" i="8"/>
  <c r="G60" i="24"/>
  <c r="G60" i="21"/>
  <c r="H189" i="20"/>
  <c r="G60" i="20"/>
  <c r="G60" i="14"/>
  <c r="G60" i="9"/>
  <c r="G104" i="8"/>
  <c r="G59" i="8"/>
  <c r="G102" i="8"/>
  <c r="G176" i="8"/>
  <c r="G181" i="8"/>
  <c r="G189" i="8" s="1"/>
  <c r="G64" i="8"/>
  <c r="G47" i="8"/>
  <c r="E27" i="7"/>
  <c r="G27" i="7" s="1"/>
  <c r="G104" i="7"/>
  <c r="G96" i="7"/>
  <c r="G59" i="7"/>
  <c r="G176" i="7"/>
  <c r="G181" i="7"/>
  <c r="G189" i="7" s="1"/>
  <c r="G79" i="7"/>
  <c r="G94" i="7"/>
  <c r="G98" i="7"/>
  <c r="G64" i="7"/>
  <c r="G47" i="7"/>
  <c r="E28" i="7"/>
  <c r="G28" i="7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H41" i="19" l="1"/>
  <c r="H41" i="20" s="1"/>
  <c r="H41" i="21" s="1"/>
  <c r="H41" i="22" s="1"/>
  <c r="H41" i="23" s="1"/>
  <c r="H41" i="24" s="1"/>
  <c r="H41" i="25" s="1"/>
  <c r="H41" i="40" s="1"/>
  <c r="H41" i="29" s="1"/>
  <c r="H41" i="30" s="1"/>
  <c r="H41" i="43" s="1"/>
  <c r="H41" i="31" s="1"/>
  <c r="G60" i="7"/>
  <c r="E27" i="8"/>
  <c r="G27" i="8" s="1"/>
  <c r="O8" i="8"/>
  <c r="H10" i="17"/>
  <c r="H70" i="29"/>
  <c r="H70" i="30" s="1"/>
  <c r="H70" i="43" s="1"/>
  <c r="H67" i="29"/>
  <c r="H67" i="30" s="1"/>
  <c r="H67" i="43" s="1"/>
  <c r="H66" i="29"/>
  <c r="H66" i="30" s="1"/>
  <c r="H66" i="43" s="1"/>
  <c r="H69" i="29"/>
  <c r="H69" i="30" s="1"/>
  <c r="H69" i="43" s="1"/>
  <c r="H63" i="29"/>
  <c r="H63" i="30" s="1"/>
  <c r="H63" i="43" s="1"/>
  <c r="H65" i="29"/>
  <c r="H65" i="30" s="1"/>
  <c r="H65" i="43" s="1"/>
  <c r="H68" i="29"/>
  <c r="H68" i="30" s="1"/>
  <c r="H68" i="43" s="1"/>
  <c r="H68" i="31" s="1"/>
  <c r="J68" i="31" s="1"/>
  <c r="AZ5" i="44"/>
  <c r="H19" i="7"/>
  <c r="AZ11" i="44"/>
  <c r="E28" i="8"/>
  <c r="G28" i="8" s="1"/>
  <c r="H15" i="8"/>
  <c r="H47" i="7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9" i="7"/>
  <c r="H9" i="8" s="1"/>
  <c r="E15" i="9"/>
  <c r="H8" i="8"/>
  <c r="G187" i="7"/>
  <c r="G20" i="7"/>
  <c r="E19" i="8"/>
  <c r="G99" i="8"/>
  <c r="G97" i="8"/>
  <c r="G101" i="8"/>
  <c r="H7" i="8"/>
  <c r="G95" i="8"/>
  <c r="E9" i="9"/>
  <c r="AM37" i="44"/>
  <c r="N37" i="44"/>
  <c r="AW37" i="44"/>
  <c r="AX36" i="44"/>
  <c r="AV36" i="44"/>
  <c r="AV37" i="44"/>
  <c r="AM36" i="44"/>
  <c r="N36" i="44"/>
  <c r="AE36" i="44"/>
  <c r="AE37" i="44"/>
  <c r="AI37" i="44"/>
  <c r="AI36" i="44"/>
  <c r="AW36" i="44"/>
  <c r="AK36" i="44"/>
  <c r="AK37" i="44"/>
  <c r="AA36" i="44"/>
  <c r="AA37" i="44"/>
  <c r="AX37" i="44"/>
  <c r="AG36" i="44"/>
  <c r="AG37" i="44"/>
  <c r="J127" i="7"/>
  <c r="H30" i="7"/>
  <c r="H31" i="7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9" s="1"/>
  <c r="H31" i="20" s="1"/>
  <c r="H31" i="21" s="1"/>
  <c r="H31" i="22" s="1"/>
  <c r="H31" i="23" s="1"/>
  <c r="H31" i="24" s="1"/>
  <c r="H31" i="25" s="1"/>
  <c r="H31" i="40" s="1"/>
  <c r="H31" i="29" s="1"/>
  <c r="H31" i="30" s="1"/>
  <c r="H31" i="43" s="1"/>
  <c r="H31" i="31" s="1"/>
  <c r="J155" i="11"/>
  <c r="H155" i="12"/>
  <c r="J156" i="11"/>
  <c r="H156" i="12"/>
  <c r="H96" i="7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28" i="7"/>
  <c r="J152" i="7"/>
  <c r="H152" i="8"/>
  <c r="G105" i="50"/>
  <c r="J134" i="7"/>
  <c r="H134" i="8"/>
  <c r="H104" i="7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J189" i="20"/>
  <c r="H189" i="21"/>
  <c r="H168" i="12"/>
  <c r="J168" i="11"/>
  <c r="J166" i="11"/>
  <c r="H166" i="12"/>
  <c r="H182" i="9"/>
  <c r="J182" i="8"/>
  <c r="H79" i="7"/>
  <c r="H79" i="8" s="1"/>
  <c r="H167" i="12"/>
  <c r="J167" i="11"/>
  <c r="J177" i="8"/>
  <c r="H177" i="9"/>
  <c r="H127" i="9"/>
  <c r="J127" i="8"/>
  <c r="H94" i="7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59" i="7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91" i="31"/>
  <c r="J91" i="31" s="1"/>
  <c r="J91" i="43"/>
  <c r="J88" i="43"/>
  <c r="H88" i="31"/>
  <c r="J88" i="31" s="1"/>
  <c r="H64" i="7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71" i="7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102" i="7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98" i="7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100" i="7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G80" i="8"/>
  <c r="H80" i="8" s="1"/>
  <c r="G80" i="7"/>
  <c r="G60" i="8"/>
  <c r="G105" i="8"/>
  <c r="G103" i="8"/>
  <c r="G95" i="7"/>
  <c r="G99" i="7"/>
  <c r="G32" i="7"/>
  <c r="G105" i="7"/>
  <c r="G97" i="7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G15" i="9" l="1"/>
  <c r="H28" i="8"/>
  <c r="H69" i="3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9"/>
  <c r="H64" i="30" s="1"/>
  <c r="H64" i="43" s="1"/>
  <c r="H64" i="31" s="1"/>
  <c r="J64" i="31" s="1"/>
  <c r="H71" i="29"/>
  <c r="H71" i="30" s="1"/>
  <c r="H71" i="43" s="1"/>
  <c r="J71" i="43" s="1"/>
  <c r="J68" i="43"/>
  <c r="H20" i="7"/>
  <c r="G19" i="8"/>
  <c r="G9" i="9"/>
  <c r="H9" i="9" s="1"/>
  <c r="H32" i="7"/>
  <c r="H27" i="7"/>
  <c r="H27" i="8" s="1"/>
  <c r="H97" i="7"/>
  <c r="H97" i="8" s="1"/>
  <c r="J156" i="12"/>
  <c r="H156" i="13"/>
  <c r="H155" i="13"/>
  <c r="J155" i="12"/>
  <c r="H105" i="7"/>
  <c r="H105" i="8" s="1"/>
  <c r="H134" i="9"/>
  <c r="J134" i="8"/>
  <c r="H103" i="7"/>
  <c r="H103" i="8" s="1"/>
  <c r="J152" i="8"/>
  <c r="H152" i="9"/>
  <c r="H151" i="7"/>
  <c r="H189" i="22"/>
  <c r="J189" i="21"/>
  <c r="H101" i="7"/>
  <c r="H101" i="8" s="1"/>
  <c r="J168" i="12"/>
  <c r="H168" i="13"/>
  <c r="H60" i="7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J177" i="9"/>
  <c r="H177" i="10"/>
  <c r="J127" i="9"/>
  <c r="H127" i="10"/>
  <c r="H167" i="13"/>
  <c r="J167" i="12"/>
  <c r="H182" i="10"/>
  <c r="J182" i="9"/>
  <c r="H166" i="13"/>
  <c r="J166" i="12"/>
  <c r="H95" i="7"/>
  <c r="H95" i="8" s="1"/>
  <c r="H99" i="7"/>
  <c r="H99" i="8" s="1"/>
  <c r="I59" i="8"/>
  <c r="I59" i="7"/>
  <c r="G81" i="50"/>
  <c r="G182" i="50"/>
  <c r="H182" i="50" s="1"/>
  <c r="J182" i="50" s="1"/>
  <c r="H174" i="50"/>
  <c r="J174" i="50" s="1"/>
  <c r="G61" i="50"/>
  <c r="B26" i="48"/>
  <c r="G10" i="20" l="1"/>
  <c r="E15" i="10"/>
  <c r="G79" i="9"/>
  <c r="G80" i="9" s="1"/>
  <c r="E28" i="9"/>
  <c r="G28" i="9" s="1"/>
  <c r="H28" i="9" s="1"/>
  <c r="H15" i="9"/>
  <c r="J64" i="43"/>
  <c r="H71" i="31"/>
  <c r="J71" i="31" s="1"/>
  <c r="E19" i="9"/>
  <c r="G19" i="9" s="1"/>
  <c r="E27" i="10"/>
  <c r="G27" i="10" s="1"/>
  <c r="G187" i="8"/>
  <c r="E30" i="8"/>
  <c r="G30" i="8" s="1"/>
  <c r="G20" i="8"/>
  <c r="H20" i="8" s="1"/>
  <c r="H19" i="8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H7" i="9"/>
  <c r="H155" i="14"/>
  <c r="J155" i="13"/>
  <c r="H156" i="14"/>
  <c r="J156" i="13"/>
  <c r="H152" i="10"/>
  <c r="J152" i="9"/>
  <c r="H151" i="8"/>
  <c r="J151" i="7"/>
  <c r="H134" i="10"/>
  <c r="J134" i="9"/>
  <c r="H189" i="23"/>
  <c r="J189" i="22"/>
  <c r="J177" i="10"/>
  <c r="H177" i="11"/>
  <c r="J168" i="13"/>
  <c r="H168" i="14"/>
  <c r="J127" i="10"/>
  <c r="H127" i="11"/>
  <c r="H166" i="14"/>
  <c r="J166" i="13"/>
  <c r="J182" i="10"/>
  <c r="H182" i="11"/>
  <c r="H167" i="14"/>
  <c r="J167" i="13"/>
  <c r="G15" i="10" l="1"/>
  <c r="H15" i="10" s="1"/>
  <c r="H10" i="19"/>
  <c r="H10" i="20" s="1"/>
  <c r="H112" i="7"/>
  <c r="H79" i="9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E8" i="11"/>
  <c r="G9" i="10"/>
  <c r="H9" i="10" s="1"/>
  <c r="G7" i="10"/>
  <c r="H27" i="9"/>
  <c r="H27" i="10" s="1"/>
  <c r="H162" i="7"/>
  <c r="H121" i="7"/>
  <c r="J156" i="14"/>
  <c r="H156" i="15"/>
  <c r="H155" i="15"/>
  <c r="J155" i="14"/>
  <c r="H116" i="7"/>
  <c r="H141" i="7"/>
  <c r="H151" i="9"/>
  <c r="J151" i="8"/>
  <c r="H144" i="7"/>
  <c r="J134" i="10"/>
  <c r="H134" i="11"/>
  <c r="H149" i="7"/>
  <c r="H150" i="7"/>
  <c r="H146" i="7"/>
  <c r="H147" i="7"/>
  <c r="H145" i="7"/>
  <c r="H148" i="7"/>
  <c r="H143" i="7"/>
  <c r="H152" i="11"/>
  <c r="J152" i="10"/>
  <c r="H189" i="24"/>
  <c r="J189" i="23"/>
  <c r="H132" i="7"/>
  <c r="J182" i="11"/>
  <c r="H182" i="12"/>
  <c r="J127" i="11"/>
  <c r="H127" i="12"/>
  <c r="H177" i="12"/>
  <c r="J177" i="11"/>
  <c r="H130" i="7"/>
  <c r="H167" i="15"/>
  <c r="J167" i="14"/>
  <c r="J166" i="14"/>
  <c r="H166" i="15"/>
  <c r="H133" i="7"/>
  <c r="H168" i="15"/>
  <c r="J168" i="14"/>
  <c r="H183" i="7"/>
  <c r="H174" i="7"/>
  <c r="H179" i="7"/>
  <c r="H178" i="7"/>
  <c r="H180" i="7"/>
  <c r="H184" i="7"/>
  <c r="H185" i="7"/>
  <c r="H173" i="7"/>
  <c r="H161" i="7"/>
  <c r="H164" i="7"/>
  <c r="H165" i="7"/>
  <c r="H138" i="7"/>
  <c r="H142" i="7"/>
  <c r="H139" i="7"/>
  <c r="H140" i="7"/>
  <c r="H122" i="7"/>
  <c r="H119" i="7"/>
  <c r="H114" i="7"/>
  <c r="H123" i="7"/>
  <c r="H118" i="7"/>
  <c r="H117" i="7"/>
  <c r="H115" i="7"/>
  <c r="H120" i="7"/>
  <c r="B20" i="48"/>
  <c r="E15" i="11" l="1"/>
  <c r="G15" i="11" s="1"/>
  <c r="H15" i="11" s="1"/>
  <c r="E28" i="10"/>
  <c r="G28" i="10" s="1"/>
  <c r="H28" i="10" s="1"/>
  <c r="G79" i="10"/>
  <c r="G80" i="10" s="1"/>
  <c r="H7" i="10"/>
  <c r="N7" i="10"/>
  <c r="H30" i="9"/>
  <c r="E7" i="11"/>
  <c r="H32" i="9"/>
  <c r="G19" i="10"/>
  <c r="H19" i="10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H135" i="7"/>
  <c r="H129" i="7"/>
  <c r="J129" i="7" s="1"/>
  <c r="J155" i="15"/>
  <c r="H155" i="16"/>
  <c r="H156" i="16"/>
  <c r="J156" i="15"/>
  <c r="H131" i="7"/>
  <c r="H131" i="8" s="1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H186" i="7"/>
  <c r="H181" i="7"/>
  <c r="J173" i="7"/>
  <c r="H173" i="8"/>
  <c r="J180" i="7"/>
  <c r="H180" i="8"/>
  <c r="J178" i="7"/>
  <c r="H178" i="8"/>
  <c r="J174" i="7"/>
  <c r="H174" i="8"/>
  <c r="H175" i="7"/>
  <c r="H189" i="7"/>
  <c r="H179" i="8"/>
  <c r="J179" i="7"/>
  <c r="H183" i="8"/>
  <c r="J183" i="7"/>
  <c r="J161" i="7"/>
  <c r="H161" i="8"/>
  <c r="H162" i="8"/>
  <c r="J162" i="7"/>
  <c r="J165" i="7"/>
  <c r="H165" i="8"/>
  <c r="J164" i="7"/>
  <c r="H164" i="8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H113" i="7"/>
  <c r="H114" i="8"/>
  <c r="J114" i="7"/>
  <c r="J120" i="7"/>
  <c r="H120" i="8"/>
  <c r="J116" i="7"/>
  <c r="H116" i="8"/>
  <c r="J117" i="7"/>
  <c r="H117" i="8"/>
  <c r="J119" i="7"/>
  <c r="H119" i="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15" i="12" l="1"/>
  <c r="G15" i="12" s="1"/>
  <c r="H79" i="10"/>
  <c r="G7" i="1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27" i="11"/>
  <c r="G27" i="11" s="1"/>
  <c r="H8" i="11"/>
  <c r="E9" i="12"/>
  <c r="G9" i="11"/>
  <c r="H9" i="11" s="1"/>
  <c r="E10" i="22"/>
  <c r="H135" i="8"/>
  <c r="J135" i="8" s="1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62" i="8"/>
  <c r="H162" i="9"/>
  <c r="H187" i="7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E15" i="13" l="1"/>
  <c r="E15" i="14" s="1"/>
  <c r="E7" i="12"/>
  <c r="H7" i="11"/>
  <c r="G97" i="11"/>
  <c r="H97" i="11" s="1"/>
  <c r="G95" i="11"/>
  <c r="H95" i="11" s="1"/>
  <c r="G103" i="11"/>
  <c r="H103" i="11" s="1"/>
  <c r="I59" i="11"/>
  <c r="G105" i="11"/>
  <c r="H105" i="11" s="1"/>
  <c r="G101" i="11"/>
  <c r="H101" i="11" s="1"/>
  <c r="G99" i="11"/>
  <c r="H99" i="11" s="1"/>
  <c r="G32" i="10"/>
  <c r="H32" i="10" s="1"/>
  <c r="H30" i="10"/>
  <c r="G79" i="12"/>
  <c r="G80" i="12" s="1"/>
  <c r="E28" i="12"/>
  <c r="G28" i="12" s="1"/>
  <c r="H28" i="12" s="1"/>
  <c r="H15" i="12"/>
  <c r="H79" i="11"/>
  <c r="H27" i="11"/>
  <c r="E9" i="13"/>
  <c r="G9" i="12"/>
  <c r="H9" i="12" s="1"/>
  <c r="G10" i="22"/>
  <c r="H10" i="22" s="1"/>
  <c r="E8" i="13"/>
  <c r="E8" i="14" s="1"/>
  <c r="G8" i="12"/>
  <c r="E27" i="12" s="1"/>
  <c r="G27" i="12" s="1"/>
  <c r="H135" i="9"/>
  <c r="J135" i="9" s="1"/>
  <c r="J129" i="8"/>
  <c r="J155" i="17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15" i="13" l="1"/>
  <c r="G79" i="13" s="1"/>
  <c r="G80" i="13" s="1"/>
  <c r="H80" i="13" s="1"/>
  <c r="J80" i="13" s="1"/>
  <c r="E15" i="15"/>
  <c r="G7" i="12"/>
  <c r="I59" i="12" s="1"/>
  <c r="E7" i="13"/>
  <c r="H79" i="12"/>
  <c r="H8" i="12"/>
  <c r="G187" i="11"/>
  <c r="E30" i="11"/>
  <c r="G30" i="11" s="1"/>
  <c r="G32" i="11" s="1"/>
  <c r="H32" i="11" s="1"/>
  <c r="G20" i="11"/>
  <c r="H20" i="11" s="1"/>
  <c r="H19" i="11"/>
  <c r="E19" i="12"/>
  <c r="H27" i="12"/>
  <c r="G8" i="13"/>
  <c r="E27" i="13" s="1"/>
  <c r="G27" i="13" s="1"/>
  <c r="G9" i="13"/>
  <c r="E9" i="14"/>
  <c r="E10" i="23"/>
  <c r="H135" i="10"/>
  <c r="H156" i="19"/>
  <c r="H155" i="19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E28" i="13" l="1"/>
  <c r="G28" i="13" s="1"/>
  <c r="H28" i="13" s="1"/>
  <c r="H15" i="13"/>
  <c r="E15" i="16"/>
  <c r="G15" i="15"/>
  <c r="G15" i="14"/>
  <c r="E7" i="14"/>
  <c r="H9" i="13"/>
  <c r="G105" i="12"/>
  <c r="H105" i="12" s="1"/>
  <c r="G99" i="12"/>
  <c r="H99" i="12" s="1"/>
  <c r="H7" i="12"/>
  <c r="G97" i="12"/>
  <c r="H97" i="12" s="1"/>
  <c r="G103" i="12"/>
  <c r="H103" i="12" s="1"/>
  <c r="G95" i="12"/>
  <c r="H95" i="12" s="1"/>
  <c r="G101" i="12"/>
  <c r="H101" i="12" s="1"/>
  <c r="H30" i="11"/>
  <c r="G19" i="12"/>
  <c r="H79" i="13"/>
  <c r="J79" i="13" s="1"/>
  <c r="H27" i="13"/>
  <c r="E9" i="15"/>
  <c r="G9" i="14"/>
  <c r="E8" i="15"/>
  <c r="G8" i="14"/>
  <c r="E27" i="14" s="1"/>
  <c r="G27" i="14" s="1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E28" i="14" l="1"/>
  <c r="G28" i="14" s="1"/>
  <c r="H28" i="14" s="1"/>
  <c r="G79" i="14"/>
  <c r="H79" i="14" s="1"/>
  <c r="H15" i="14"/>
  <c r="H15" i="15" s="1"/>
  <c r="E28" i="15"/>
  <c r="G28" i="15" s="1"/>
  <c r="G79" i="15"/>
  <c r="G80" i="15" s="1"/>
  <c r="G15" i="16"/>
  <c r="G7" i="13"/>
  <c r="H9" i="14"/>
  <c r="G7" i="14"/>
  <c r="H19" i="12"/>
  <c r="G187" i="12"/>
  <c r="E30" i="12"/>
  <c r="G30" i="12" s="1"/>
  <c r="G32" i="12" s="1"/>
  <c r="G20" i="12"/>
  <c r="H20" i="12" s="1"/>
  <c r="E19" i="13"/>
  <c r="G9" i="15"/>
  <c r="H27" i="14"/>
  <c r="H135" i="22"/>
  <c r="H135" i="23"/>
  <c r="H135" i="19"/>
  <c r="H135" i="24"/>
  <c r="H135" i="28" s="1"/>
  <c r="H135" i="20"/>
  <c r="H135" i="16"/>
  <c r="J135" i="16" s="1"/>
  <c r="H135" i="13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J127" i="17"/>
  <c r="H167" i="21"/>
  <c r="H168" i="21"/>
  <c r="H130" i="13"/>
  <c r="J130" i="12"/>
  <c r="J177" i="17"/>
  <c r="H129" i="13"/>
  <c r="J129" i="12"/>
  <c r="J182" i="17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G8" i="15" l="1"/>
  <c r="E27" i="15" s="1"/>
  <c r="G27" i="15" s="1"/>
  <c r="H27" i="15" s="1"/>
  <c r="E8" i="16"/>
  <c r="H28" i="15"/>
  <c r="G80" i="14"/>
  <c r="G79" i="16"/>
  <c r="G80" i="16" s="1"/>
  <c r="E28" i="16"/>
  <c r="G28" i="16" s="1"/>
  <c r="H15" i="16"/>
  <c r="I59" i="13"/>
  <c r="G99" i="13"/>
  <c r="H99" i="13" s="1"/>
  <c r="G105" i="13"/>
  <c r="H105" i="13" s="1"/>
  <c r="G95" i="13"/>
  <c r="H95" i="13" s="1"/>
  <c r="G97" i="13"/>
  <c r="H97" i="13" s="1"/>
  <c r="G103" i="13"/>
  <c r="H103" i="13" s="1"/>
  <c r="G101" i="13"/>
  <c r="H101" i="13" s="1"/>
  <c r="H7" i="13"/>
  <c r="H7" i="14" s="1"/>
  <c r="H79" i="15"/>
  <c r="J79" i="15" s="1"/>
  <c r="J79" i="14"/>
  <c r="H9" i="15"/>
  <c r="E10" i="40"/>
  <c r="H135" i="30"/>
  <c r="H135" i="29"/>
  <c r="H135" i="14"/>
  <c r="J135" i="14" s="1"/>
  <c r="J135" i="13"/>
  <c r="E7" i="15"/>
  <c r="I59" i="14"/>
  <c r="G105" i="14"/>
  <c r="G95" i="14"/>
  <c r="G103" i="14"/>
  <c r="G97" i="14"/>
  <c r="G101" i="14"/>
  <c r="G99" i="14"/>
  <c r="H99" i="14" s="1"/>
  <c r="G19" i="13"/>
  <c r="G187" i="13" s="1"/>
  <c r="H32" i="12"/>
  <c r="H30" i="12"/>
  <c r="H135" i="43"/>
  <c r="J135" i="43" s="1"/>
  <c r="H135" i="40"/>
  <c r="H135" i="25"/>
  <c r="H135" i="31"/>
  <c r="J155" i="21"/>
  <c r="H155" i="22"/>
  <c r="H156" i="22"/>
  <c r="J156" i="21"/>
  <c r="H151" i="16"/>
  <c r="J151" i="15"/>
  <c r="J152" i="17"/>
  <c r="J149" i="13"/>
  <c r="H149" i="14"/>
  <c r="H144" i="14"/>
  <c r="J144" i="13"/>
  <c r="J148" i="13"/>
  <c r="H148" i="14"/>
  <c r="J134" i="17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H127" i="19"/>
  <c r="H129" i="14"/>
  <c r="J129" i="13"/>
  <c r="H131" i="14"/>
  <c r="J131" i="13"/>
  <c r="H182" i="19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G31" i="48"/>
  <c r="H105" i="14" l="1"/>
  <c r="H28" i="16"/>
  <c r="H95" i="14"/>
  <c r="G15" i="17"/>
  <c r="G8" i="17"/>
  <c r="H101" i="14"/>
  <c r="H97" i="14"/>
  <c r="H103" i="14"/>
  <c r="H79" i="16"/>
  <c r="G9" i="16"/>
  <c r="H9" i="16" s="1"/>
  <c r="G10" i="24"/>
  <c r="H10" i="24" s="1"/>
  <c r="E7" i="16"/>
  <c r="G7" i="16" s="1"/>
  <c r="G20" i="13"/>
  <c r="H20" i="13" s="1"/>
  <c r="E30" i="13"/>
  <c r="G30" i="13" s="1"/>
  <c r="G32" i="13" s="1"/>
  <c r="H32" i="13" s="1"/>
  <c r="H19" i="13"/>
  <c r="E19" i="14"/>
  <c r="G9" i="17"/>
  <c r="G10" i="25"/>
  <c r="G8" i="16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E28" i="17" l="1"/>
  <c r="G28" i="17" s="1"/>
  <c r="H28" i="17" s="1"/>
  <c r="G79" i="17"/>
  <c r="G80" i="17" s="1"/>
  <c r="H80" i="17" s="1"/>
  <c r="H15" i="17"/>
  <c r="G8" i="19"/>
  <c r="H10" i="25"/>
  <c r="H9" i="17"/>
  <c r="G103" i="16"/>
  <c r="G7" i="15"/>
  <c r="G105" i="15" s="1"/>
  <c r="H105" i="15" s="1"/>
  <c r="E27" i="16"/>
  <c r="G27" i="16" s="1"/>
  <c r="H27" i="16" s="1"/>
  <c r="H30" i="13"/>
  <c r="G19" i="14"/>
  <c r="H19" i="14" s="1"/>
  <c r="E27" i="17"/>
  <c r="G27" i="17" s="1"/>
  <c r="H155" i="24"/>
  <c r="J155" i="23"/>
  <c r="H156" i="25"/>
  <c r="J156" i="23"/>
  <c r="J147" i="15"/>
  <c r="H147" i="16"/>
  <c r="H149" i="16"/>
  <c r="J149" i="15"/>
  <c r="J152" i="19"/>
  <c r="H152" i="20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H79" i="17" l="1"/>
  <c r="E8" i="20"/>
  <c r="G95" i="16"/>
  <c r="N7" i="15"/>
  <c r="G99" i="15"/>
  <c r="H99" i="15" s="1"/>
  <c r="G101" i="15"/>
  <c r="H101" i="15" s="1"/>
  <c r="G97" i="16"/>
  <c r="I59" i="15"/>
  <c r="H7" i="15"/>
  <c r="H7" i="16" s="1"/>
  <c r="G99" i="16"/>
  <c r="I59" i="16"/>
  <c r="G101" i="16"/>
  <c r="G97" i="15"/>
  <c r="H97" i="15" s="1"/>
  <c r="G105" i="16"/>
  <c r="H105" i="16" s="1"/>
  <c r="G103" i="15"/>
  <c r="H103" i="15" s="1"/>
  <c r="H103" i="16" s="1"/>
  <c r="G95" i="15"/>
  <c r="H95" i="15" s="1"/>
  <c r="E30" i="14"/>
  <c r="G30" i="14" s="1"/>
  <c r="G20" i="14"/>
  <c r="H20" i="14" s="1"/>
  <c r="G187" i="14"/>
  <c r="H187" i="14" s="1"/>
  <c r="J187" i="14" s="1"/>
  <c r="E19" i="15"/>
  <c r="G10" i="40"/>
  <c r="H10" i="40" s="1"/>
  <c r="H27" i="17"/>
  <c r="H156" i="40"/>
  <c r="J156" i="25"/>
  <c r="H155" i="25"/>
  <c r="H144" i="17"/>
  <c r="J144" i="16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E8" i="21" l="1"/>
  <c r="G7" i="19"/>
  <c r="G7" i="17"/>
  <c r="G101" i="17" s="1"/>
  <c r="H95" i="16"/>
  <c r="H99" i="16"/>
  <c r="H101" i="16"/>
  <c r="H97" i="16"/>
  <c r="G19" i="15"/>
  <c r="G187" i="15" s="1"/>
  <c r="G32" i="14"/>
  <c r="H32" i="14" s="1"/>
  <c r="H30" i="14"/>
  <c r="G15" i="31"/>
  <c r="E28" i="31" s="1"/>
  <c r="H9" i="19"/>
  <c r="H155" i="40"/>
  <c r="J155" i="25"/>
  <c r="J150" i="17"/>
  <c r="J134" i="21"/>
  <c r="H134" i="22"/>
  <c r="J147" i="17"/>
  <c r="J149" i="17"/>
  <c r="J152" i="21"/>
  <c r="H152" i="22"/>
  <c r="J151" i="19"/>
  <c r="H151" i="20"/>
  <c r="J143" i="17"/>
  <c r="J148" i="17"/>
  <c r="J145" i="17"/>
  <c r="J146" i="17"/>
  <c r="J144" i="17"/>
  <c r="J128" i="17"/>
  <c r="J127" i="22"/>
  <c r="H127" i="23"/>
  <c r="J132" i="17"/>
  <c r="J133" i="17"/>
  <c r="J177" i="22"/>
  <c r="H177" i="23"/>
  <c r="H167" i="40"/>
  <c r="J167" i="25"/>
  <c r="J166" i="25"/>
  <c r="H166" i="40"/>
  <c r="J182" i="22"/>
  <c r="H182" i="23"/>
  <c r="J129" i="17"/>
  <c r="J130" i="17"/>
  <c r="J168" i="25"/>
  <c r="H168" i="40"/>
  <c r="J131" i="17"/>
  <c r="J179" i="17"/>
  <c r="J185" i="17"/>
  <c r="J173" i="17"/>
  <c r="J183" i="17"/>
  <c r="J174" i="17"/>
  <c r="J178" i="17"/>
  <c r="H189" i="17"/>
  <c r="J189" i="16"/>
  <c r="H176" i="16"/>
  <c r="J176" i="15"/>
  <c r="H175" i="17"/>
  <c r="J175" i="16"/>
  <c r="J186" i="16"/>
  <c r="H186" i="17"/>
  <c r="J180" i="17"/>
  <c r="H181" i="17"/>
  <c r="J181" i="16"/>
  <c r="J184" i="17"/>
  <c r="J161" i="17"/>
  <c r="H188" i="16"/>
  <c r="H163" i="17"/>
  <c r="J163" i="16"/>
  <c r="J165" i="17"/>
  <c r="J162" i="17"/>
  <c r="J164" i="17"/>
  <c r="J142" i="17"/>
  <c r="J139" i="17"/>
  <c r="J140" i="17"/>
  <c r="J141" i="17"/>
  <c r="J138" i="17"/>
  <c r="J112" i="17"/>
  <c r="J117" i="17"/>
  <c r="J118" i="17"/>
  <c r="H113" i="17"/>
  <c r="J113" i="16"/>
  <c r="J120" i="17"/>
  <c r="J116" i="17"/>
  <c r="J123" i="17"/>
  <c r="J114" i="17"/>
  <c r="J121" i="17"/>
  <c r="J122" i="17"/>
  <c r="J119" i="17"/>
  <c r="J115" i="17"/>
  <c r="E5" i="44"/>
  <c r="E7" i="44"/>
  <c r="E6" i="44"/>
  <c r="E8" i="44"/>
  <c r="AN5" i="49"/>
  <c r="G99" i="17" l="1"/>
  <c r="H99" i="17" s="1"/>
  <c r="G103" i="17"/>
  <c r="H103" i="17" s="1"/>
  <c r="H101" i="17"/>
  <c r="G95" i="17"/>
  <c r="H95" i="17" s="1"/>
  <c r="H7" i="17"/>
  <c r="I59" i="17"/>
  <c r="G105" i="17"/>
  <c r="H105" i="17" s="1"/>
  <c r="G97" i="17"/>
  <c r="H97" i="17" s="1"/>
  <c r="G27" i="19"/>
  <c r="E19" i="16"/>
  <c r="G19" i="16" s="1"/>
  <c r="E30" i="15"/>
  <c r="G30" i="15" s="1"/>
  <c r="G32" i="15" s="1"/>
  <c r="H32" i="15" s="1"/>
  <c r="H187" i="15"/>
  <c r="J187" i="15" s="1"/>
  <c r="G20" i="15"/>
  <c r="H20" i="15" s="1"/>
  <c r="H19" i="15"/>
  <c r="G79" i="31"/>
  <c r="G80" i="31" s="1"/>
  <c r="G28" i="31"/>
  <c r="G9" i="20"/>
  <c r="H9" i="20" s="1"/>
  <c r="G8" i="20"/>
  <c r="E27" i="20" s="1"/>
  <c r="G27" i="20" s="1"/>
  <c r="J156" i="40"/>
  <c r="J155" i="40"/>
  <c r="H148" i="19"/>
  <c r="H149" i="19"/>
  <c r="H143" i="19"/>
  <c r="H147" i="19"/>
  <c r="H144" i="19"/>
  <c r="H151" i="21"/>
  <c r="J151" i="20"/>
  <c r="J134" i="22"/>
  <c r="H134" i="23"/>
  <c r="H146" i="19"/>
  <c r="H152" i="23"/>
  <c r="H152" i="24" s="1"/>
  <c r="J152" i="22"/>
  <c r="H145" i="19"/>
  <c r="H150" i="19"/>
  <c r="H182" i="24"/>
  <c r="J182" i="23"/>
  <c r="H127" i="24"/>
  <c r="J127" i="23"/>
  <c r="H133" i="19"/>
  <c r="H129" i="19"/>
  <c r="H132" i="19"/>
  <c r="H128" i="19"/>
  <c r="H131" i="19"/>
  <c r="H130" i="19"/>
  <c r="J167" i="40"/>
  <c r="J168" i="40"/>
  <c r="J166" i="40"/>
  <c r="H177" i="24"/>
  <c r="J177" i="23"/>
  <c r="J186" i="17"/>
  <c r="H184" i="19"/>
  <c r="H180" i="19"/>
  <c r="J175" i="17"/>
  <c r="J189" i="17"/>
  <c r="H174" i="19"/>
  <c r="H173" i="19"/>
  <c r="H179" i="19"/>
  <c r="J181" i="17"/>
  <c r="H176" i="17"/>
  <c r="J176" i="16"/>
  <c r="H178" i="19"/>
  <c r="H183" i="19"/>
  <c r="H185" i="19"/>
  <c r="H164" i="19"/>
  <c r="H165" i="19"/>
  <c r="H161" i="19"/>
  <c r="H162" i="19"/>
  <c r="J163" i="17"/>
  <c r="H188" i="17"/>
  <c r="J188" i="16"/>
  <c r="H138" i="19"/>
  <c r="H141" i="19"/>
  <c r="H140" i="19"/>
  <c r="H139" i="19"/>
  <c r="H142" i="19"/>
  <c r="H119" i="19"/>
  <c r="H121" i="19"/>
  <c r="H123" i="19"/>
  <c r="H120" i="19"/>
  <c r="H118" i="19"/>
  <c r="H112" i="19"/>
  <c r="H115" i="19"/>
  <c r="H122" i="19"/>
  <c r="H114" i="19"/>
  <c r="H116" i="19"/>
  <c r="J113" i="17"/>
  <c r="H117" i="19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27" i="19" l="1"/>
  <c r="H27" i="20" s="1"/>
  <c r="E15" i="20"/>
  <c r="E15" i="21" s="1"/>
  <c r="H7" i="19"/>
  <c r="G28" i="19"/>
  <c r="H28" i="19" s="1"/>
  <c r="H15" i="19"/>
  <c r="O8" i="19"/>
  <c r="E7" i="21"/>
  <c r="H30" i="15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33" i="20"/>
  <c r="J133" i="19"/>
  <c r="J182" i="24"/>
  <c r="H182" i="25"/>
  <c r="H130" i="20"/>
  <c r="J130" i="19"/>
  <c r="H128" i="20"/>
  <c r="J128" i="19"/>
  <c r="H129" i="20"/>
  <c r="J129" i="19"/>
  <c r="J127" i="24"/>
  <c r="H127" i="25"/>
  <c r="H131" i="20"/>
  <c r="J131" i="19"/>
  <c r="H132" i="20"/>
  <c r="J132" i="19"/>
  <c r="H185" i="20"/>
  <c r="J185" i="19"/>
  <c r="H178" i="20"/>
  <c r="J178" i="19"/>
  <c r="H181" i="19"/>
  <c r="H173" i="20"/>
  <c r="J173" i="19"/>
  <c r="H189" i="19"/>
  <c r="J189" i="19" s="1"/>
  <c r="H180" i="20"/>
  <c r="J180" i="19"/>
  <c r="H186" i="19"/>
  <c r="H183" i="20"/>
  <c r="J183" i="19"/>
  <c r="J176" i="17"/>
  <c r="H179" i="20"/>
  <c r="J179" i="19"/>
  <c r="H174" i="20"/>
  <c r="J174" i="19"/>
  <c r="H175" i="19"/>
  <c r="H184" i="20"/>
  <c r="J184" i="19"/>
  <c r="J188" i="17"/>
  <c r="H162" i="20"/>
  <c r="J162" i="19"/>
  <c r="H164" i="20"/>
  <c r="J164" i="19"/>
  <c r="H163" i="19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15" i="20" l="1"/>
  <c r="H15" i="20" s="1"/>
  <c r="E15" i="22"/>
  <c r="G15" i="21"/>
  <c r="E7" i="22"/>
  <c r="G7" i="20"/>
  <c r="N7" i="20" s="1"/>
  <c r="H30" i="16"/>
  <c r="G19" i="17"/>
  <c r="E9" i="23"/>
  <c r="G8" i="22"/>
  <c r="E27" i="22" s="1"/>
  <c r="G27" i="22" s="1"/>
  <c r="E8" i="23"/>
  <c r="H155" i="29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H168" i="29"/>
  <c r="H130" i="21"/>
  <c r="J130" i="20"/>
  <c r="H166" i="29"/>
  <c r="H127" i="40"/>
  <c r="J127" i="25"/>
  <c r="H182" i="40"/>
  <c r="J182" i="25"/>
  <c r="H184" i="21"/>
  <c r="J184" i="20"/>
  <c r="H174" i="21"/>
  <c r="J174" i="20"/>
  <c r="H176" i="19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K2" i="47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79" i="20" l="1"/>
  <c r="G80" i="20" s="1"/>
  <c r="E28" i="20"/>
  <c r="G28" i="20" s="1"/>
  <c r="H28" i="20" s="1"/>
  <c r="G79" i="21"/>
  <c r="G80" i="21" s="1"/>
  <c r="E28" i="21"/>
  <c r="G28" i="21" s="1"/>
  <c r="E15" i="23"/>
  <c r="G15" i="22"/>
  <c r="H15" i="21"/>
  <c r="E7" i="23"/>
  <c r="G7" i="21"/>
  <c r="G8" i="21" s="1"/>
  <c r="E27" i="21" s="1"/>
  <c r="G27" i="21" s="1"/>
  <c r="H27" i="21" s="1"/>
  <c r="H27" i="22" s="1"/>
  <c r="G95" i="20"/>
  <c r="G105" i="20"/>
  <c r="H7" i="20"/>
  <c r="I59" i="20"/>
  <c r="G103" i="20"/>
  <c r="G99" i="20"/>
  <c r="G101" i="20"/>
  <c r="G97" i="20"/>
  <c r="E30" i="17"/>
  <c r="G30" i="17" s="1"/>
  <c r="G20" i="17"/>
  <c r="H20" i="17" s="1"/>
  <c r="G187" i="17"/>
  <c r="H187" i="17" s="1"/>
  <c r="J187" i="17" s="1"/>
  <c r="H19" i="17"/>
  <c r="G9" i="23"/>
  <c r="G10" i="29"/>
  <c r="H10" i="29" s="1"/>
  <c r="G8" i="23"/>
  <c r="E27" i="23" s="1"/>
  <c r="G27" i="23" s="1"/>
  <c r="E8" i="24"/>
  <c r="G9" i="22"/>
  <c r="H9" i="22" s="1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J182" i="40"/>
  <c r="J166" i="29"/>
  <c r="H166" i="30"/>
  <c r="H131" i="22"/>
  <c r="J131" i="21"/>
  <c r="H132" i="22"/>
  <c r="J132" i="21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28" i="21" l="1"/>
  <c r="E28" i="22"/>
  <c r="G28" i="22" s="1"/>
  <c r="G79" i="22"/>
  <c r="G80" i="22" s="1"/>
  <c r="H15" i="22"/>
  <c r="E15" i="24"/>
  <c r="G15" i="23"/>
  <c r="E7" i="24"/>
  <c r="E8" i="25"/>
  <c r="G7" i="22"/>
  <c r="G103" i="21"/>
  <c r="G97" i="21"/>
  <c r="G99" i="21"/>
  <c r="G95" i="21"/>
  <c r="G105" i="21"/>
  <c r="I59" i="21"/>
  <c r="G101" i="21"/>
  <c r="H7" i="21"/>
  <c r="H9" i="23"/>
  <c r="G32" i="17"/>
  <c r="H32" i="17" s="1"/>
  <c r="H30" i="17"/>
  <c r="G9" i="24"/>
  <c r="E9" i="40"/>
  <c r="H27" i="23"/>
  <c r="H156" i="43"/>
  <c r="H156" i="31" s="1"/>
  <c r="J156" i="30"/>
  <c r="H155" i="43"/>
  <c r="J155" i="30"/>
  <c r="J151" i="24"/>
  <c r="H151" i="25"/>
  <c r="H145" i="23"/>
  <c r="J145" i="22"/>
  <c r="J152" i="40"/>
  <c r="J147" i="22"/>
  <c r="H147" i="23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H131" i="23"/>
  <c r="J131" i="22"/>
  <c r="H128" i="23"/>
  <c r="J128" i="22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H185" i="24" s="1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G8" i="24" l="1"/>
  <c r="E27" i="24" s="1"/>
  <c r="G27" i="24" s="1"/>
  <c r="H27" i="24" s="1"/>
  <c r="H28" i="22"/>
  <c r="H15" i="23"/>
  <c r="G79" i="23"/>
  <c r="G80" i="23" s="1"/>
  <c r="E28" i="23"/>
  <c r="G28" i="23" s="1"/>
  <c r="E15" i="25"/>
  <c r="G15" i="24"/>
  <c r="E7" i="25"/>
  <c r="G7" i="23"/>
  <c r="G99" i="22"/>
  <c r="G97" i="22"/>
  <c r="G95" i="22"/>
  <c r="G105" i="22"/>
  <c r="G103" i="22"/>
  <c r="G101" i="22"/>
  <c r="H7" i="22"/>
  <c r="I59" i="22"/>
  <c r="E8" i="40"/>
  <c r="H9" i="24"/>
  <c r="G9" i="25"/>
  <c r="G10" i="30"/>
  <c r="H10" i="30" s="1"/>
  <c r="H155" i="31"/>
  <c r="J155" i="31" s="1"/>
  <c r="J155" i="43"/>
  <c r="J156" i="31"/>
  <c r="J156" i="43"/>
  <c r="H143" i="24"/>
  <c r="J143" i="23"/>
  <c r="H146" i="24"/>
  <c r="J146" i="23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H182" i="29"/>
  <c r="H129" i="24"/>
  <c r="J129" i="23"/>
  <c r="H166" i="31"/>
  <c r="J166" i="31" s="1"/>
  <c r="J166" i="43"/>
  <c r="H177" i="29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J185" i="23"/>
  <c r="H173" i="24"/>
  <c r="J173" i="23"/>
  <c r="H176" i="22"/>
  <c r="J176" i="21"/>
  <c r="H179" i="24"/>
  <c r="J179" i="23"/>
  <c r="H161" i="24"/>
  <c r="J161" i="23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15" i="24" l="1"/>
  <c r="H28" i="23"/>
  <c r="G79" i="24"/>
  <c r="G80" i="24" s="1"/>
  <c r="E28" i="24"/>
  <c r="G28" i="24" s="1"/>
  <c r="G15" i="25"/>
  <c r="G7" i="24"/>
  <c r="G99" i="23"/>
  <c r="I59" i="23"/>
  <c r="G97" i="23"/>
  <c r="G105" i="23"/>
  <c r="G95" i="23"/>
  <c r="G101" i="23"/>
  <c r="G103" i="23"/>
  <c r="H7" i="23"/>
  <c r="G8" i="40"/>
  <c r="E27" i="40" s="1"/>
  <c r="G27" i="40" s="1"/>
  <c r="G8" i="25"/>
  <c r="E27" i="25" s="1"/>
  <c r="G27" i="25" s="1"/>
  <c r="H9" i="25"/>
  <c r="E19" i="20"/>
  <c r="G19" i="19"/>
  <c r="E10" i="43"/>
  <c r="G9" i="40"/>
  <c r="H144" i="25"/>
  <c r="J144" i="24"/>
  <c r="J147" i="24"/>
  <c r="H147" i="25"/>
  <c r="J150" i="24"/>
  <c r="H150" i="25"/>
  <c r="H143" i="25"/>
  <c r="J143" i="24"/>
  <c r="H145" i="25"/>
  <c r="J145" i="24"/>
  <c r="H152" i="29"/>
  <c r="J151" i="40"/>
  <c r="J148" i="24"/>
  <c r="H148" i="25"/>
  <c r="H149" i="25"/>
  <c r="J149" i="24"/>
  <c r="H146" i="25"/>
  <c r="J146" i="24"/>
  <c r="H134" i="29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15" i="25" l="1"/>
  <c r="H28" i="24"/>
  <c r="E15" i="40"/>
  <c r="G15" i="40" s="1"/>
  <c r="G79" i="25"/>
  <c r="G80" i="25" s="1"/>
  <c r="E28" i="25"/>
  <c r="G28" i="25" s="1"/>
  <c r="G97" i="24"/>
  <c r="G103" i="24"/>
  <c r="H7" i="24"/>
  <c r="G99" i="24"/>
  <c r="G95" i="24"/>
  <c r="I59" i="24"/>
  <c r="G101" i="24"/>
  <c r="G105" i="24"/>
  <c r="E7" i="40"/>
  <c r="G7" i="25"/>
  <c r="H27" i="25"/>
  <c r="H27" i="40" s="1"/>
  <c r="H9" i="40"/>
  <c r="G30" i="19"/>
  <c r="G32" i="19" s="1"/>
  <c r="H32" i="19" s="1"/>
  <c r="G20" i="19"/>
  <c r="H20" i="19" s="1"/>
  <c r="E19" i="21"/>
  <c r="G19" i="20"/>
  <c r="H19" i="19"/>
  <c r="G8" i="50"/>
  <c r="E28" i="50" s="1"/>
  <c r="G28" i="50" s="1"/>
  <c r="J143" i="25"/>
  <c r="H143" i="40"/>
  <c r="J150" i="25"/>
  <c r="H150" i="40"/>
  <c r="H134" i="30"/>
  <c r="J134" i="29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28" i="25" l="1"/>
  <c r="E28" i="40"/>
  <c r="G28" i="40" s="1"/>
  <c r="G79" i="40"/>
  <c r="H15" i="40"/>
  <c r="E8" i="29"/>
  <c r="G105" i="25"/>
  <c r="G95" i="25"/>
  <c r="I59" i="25"/>
  <c r="G99" i="25"/>
  <c r="G103" i="25"/>
  <c r="G97" i="25"/>
  <c r="G101" i="25"/>
  <c r="H7" i="25"/>
  <c r="G7" i="40"/>
  <c r="N7" i="40" s="1"/>
  <c r="H30" i="19"/>
  <c r="H19" i="20"/>
  <c r="G20" i="20"/>
  <c r="H20" i="20" s="1"/>
  <c r="G187" i="20"/>
  <c r="E30" i="20"/>
  <c r="G30" i="20" s="1"/>
  <c r="G19" i="21"/>
  <c r="G10" i="43"/>
  <c r="H10" i="43" s="1"/>
  <c r="H10" i="50" s="1"/>
  <c r="G10" i="31"/>
  <c r="H151" i="29"/>
  <c r="J144" i="40"/>
  <c r="H152" i="43"/>
  <c r="J152" i="30"/>
  <c r="H134" i="43"/>
  <c r="J134" i="30"/>
  <c r="J145" i="40"/>
  <c r="J150" i="40"/>
  <c r="J148" i="40"/>
  <c r="J146" i="40"/>
  <c r="J147" i="40"/>
  <c r="J143" i="40"/>
  <c r="J149" i="40"/>
  <c r="J133" i="40"/>
  <c r="J129" i="40"/>
  <c r="J182" i="43"/>
  <c r="H182" i="31"/>
  <c r="J182" i="31" s="1"/>
  <c r="J131" i="40"/>
  <c r="J177" i="43"/>
  <c r="H177" i="31"/>
  <c r="J177" i="31" s="1"/>
  <c r="H121" i="50"/>
  <c r="J121" i="50" s="1"/>
  <c r="J130" i="40"/>
  <c r="J132" i="40"/>
  <c r="J128" i="40"/>
  <c r="H127" i="31"/>
  <c r="J127" i="31" s="1"/>
  <c r="J127" i="43"/>
  <c r="J178" i="40"/>
  <c r="J173" i="40"/>
  <c r="J180" i="40"/>
  <c r="J183" i="40"/>
  <c r="J179" i="40"/>
  <c r="H175" i="40"/>
  <c r="J175" i="25"/>
  <c r="J185" i="40"/>
  <c r="H181" i="40"/>
  <c r="J181" i="25"/>
  <c r="H186" i="40"/>
  <c r="J186" i="25"/>
  <c r="H176" i="25"/>
  <c r="J176" i="24"/>
  <c r="J174" i="40"/>
  <c r="J184" i="40"/>
  <c r="J165" i="40"/>
  <c r="H163" i="40"/>
  <c r="J163" i="25"/>
  <c r="J161" i="40"/>
  <c r="J164" i="40"/>
  <c r="J162" i="40"/>
  <c r="J139" i="40"/>
  <c r="J140" i="40"/>
  <c r="J138" i="40"/>
  <c r="J141" i="40"/>
  <c r="J142" i="40"/>
  <c r="J114" i="40"/>
  <c r="J118" i="40"/>
  <c r="J119" i="40"/>
  <c r="J116" i="40"/>
  <c r="J112" i="40"/>
  <c r="J121" i="40"/>
  <c r="H113" i="40"/>
  <c r="J113" i="25"/>
  <c r="J115" i="40"/>
  <c r="J123" i="40"/>
  <c r="J117" i="40"/>
  <c r="J122" i="40"/>
  <c r="J120" i="40"/>
  <c r="AC2" i="49"/>
  <c r="AC9" i="49"/>
  <c r="AC7" i="49"/>
  <c r="AC8" i="49"/>
  <c r="AC6" i="49"/>
  <c r="H28" i="40" l="1"/>
  <c r="G80" i="40"/>
  <c r="E8" i="30"/>
  <c r="G8" i="30" s="1"/>
  <c r="G97" i="40"/>
  <c r="G95" i="40"/>
  <c r="H7" i="40"/>
  <c r="G105" i="40"/>
  <c r="G101" i="40"/>
  <c r="G103" i="40"/>
  <c r="G99" i="40"/>
  <c r="I59" i="40"/>
  <c r="G32" i="20"/>
  <c r="H32" i="20" s="1"/>
  <c r="E19" i="22"/>
  <c r="G19" i="22" s="1"/>
  <c r="H30" i="20"/>
  <c r="G187" i="21"/>
  <c r="E30" i="21"/>
  <c r="G30" i="21" s="1"/>
  <c r="G32" i="21" s="1"/>
  <c r="G20" i="21"/>
  <c r="H20" i="21" s="1"/>
  <c r="H19" i="21"/>
  <c r="H10" i="31"/>
  <c r="J10" i="31" s="1"/>
  <c r="G9" i="29"/>
  <c r="G9" i="30"/>
  <c r="J134" i="43"/>
  <c r="H134" i="31"/>
  <c r="J134" i="31" s="1"/>
  <c r="H152" i="31"/>
  <c r="J152" i="31" s="1"/>
  <c r="J152" i="43"/>
  <c r="H151" i="30"/>
  <c r="J151" i="29"/>
  <c r="J186" i="40"/>
  <c r="H176" i="40"/>
  <c r="J176" i="25"/>
  <c r="J181" i="40"/>
  <c r="J175" i="40"/>
  <c r="J163" i="40"/>
  <c r="J113" i="40"/>
  <c r="AC5" i="49"/>
  <c r="AC4" i="49"/>
  <c r="E15" i="29" l="1"/>
  <c r="G15" i="29" s="1"/>
  <c r="G8" i="29"/>
  <c r="E27" i="29" s="1"/>
  <c r="G27" i="29" s="1"/>
  <c r="H32" i="21"/>
  <c r="H9" i="29"/>
  <c r="H9" i="30" s="1"/>
  <c r="E19" i="23"/>
  <c r="G19" i="23" s="1"/>
  <c r="H19" i="22"/>
  <c r="E9" i="43"/>
  <c r="H30" i="21"/>
  <c r="E30" i="22"/>
  <c r="G30" i="22" s="1"/>
  <c r="G32" i="22" s="1"/>
  <c r="G20" i="22"/>
  <c r="H20" i="22" s="1"/>
  <c r="G187" i="22"/>
  <c r="H144" i="29"/>
  <c r="H148" i="29"/>
  <c r="H146" i="29"/>
  <c r="H151" i="43"/>
  <c r="J151" i="30"/>
  <c r="H145" i="29"/>
  <c r="H147" i="29"/>
  <c r="H150" i="29"/>
  <c r="H143" i="29"/>
  <c r="H149" i="29"/>
  <c r="H131" i="29"/>
  <c r="H128" i="29"/>
  <c r="H130" i="29"/>
  <c r="H129" i="29"/>
  <c r="H132" i="29"/>
  <c r="H133" i="29"/>
  <c r="H183" i="29"/>
  <c r="H184" i="29"/>
  <c r="H180" i="29"/>
  <c r="H185" i="29"/>
  <c r="H174" i="29"/>
  <c r="H173" i="29"/>
  <c r="J176" i="40"/>
  <c r="H178" i="29"/>
  <c r="H179" i="29"/>
  <c r="H164" i="29"/>
  <c r="H162" i="29"/>
  <c r="H165" i="29"/>
  <c r="H161" i="29"/>
  <c r="H138" i="29"/>
  <c r="H141" i="29"/>
  <c r="H142" i="29"/>
  <c r="H139" i="29"/>
  <c r="H140" i="29"/>
  <c r="H116" i="29"/>
  <c r="H115" i="29"/>
  <c r="H120" i="29"/>
  <c r="H119" i="29"/>
  <c r="H122" i="29"/>
  <c r="H118" i="29"/>
  <c r="H121" i="29"/>
  <c r="H117" i="29"/>
  <c r="H114" i="29"/>
  <c r="H112" i="29"/>
  <c r="H123" i="29"/>
  <c r="AC3" i="49"/>
  <c r="H27" i="29" l="1"/>
  <c r="E27" i="30"/>
  <c r="G27" i="30" s="1"/>
  <c r="E15" i="30"/>
  <c r="G15" i="30" s="1"/>
  <c r="G79" i="29"/>
  <c r="G80" i="29" s="1"/>
  <c r="H15" i="29"/>
  <c r="E28" i="29"/>
  <c r="G28" i="29" s="1"/>
  <c r="O15" i="29"/>
  <c r="O8" i="29"/>
  <c r="E7" i="29"/>
  <c r="G9" i="43"/>
  <c r="H9" i="43" s="1"/>
  <c r="H9" i="50" s="1"/>
  <c r="J9" i="50" s="1"/>
  <c r="G8" i="43"/>
  <c r="C34" i="44" s="1"/>
  <c r="H32" i="22"/>
  <c r="E19" i="24"/>
  <c r="H30" i="22"/>
  <c r="G20" i="23"/>
  <c r="H20" i="23" s="1"/>
  <c r="G187" i="23"/>
  <c r="E30" i="23"/>
  <c r="G30" i="23" s="1"/>
  <c r="G32" i="23" s="1"/>
  <c r="H19" i="23"/>
  <c r="G9" i="3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3" i="30"/>
  <c r="J173" i="29"/>
  <c r="H185" i="30"/>
  <c r="J185" i="29"/>
  <c r="H184" i="30"/>
  <c r="J184" i="29"/>
  <c r="H183" i="30"/>
  <c r="J183" i="29"/>
  <c r="H186" i="29"/>
  <c r="H178" i="30"/>
  <c r="J178" i="29"/>
  <c r="H175" i="29"/>
  <c r="H174" i="30"/>
  <c r="J174" i="29"/>
  <c r="H180" i="30"/>
  <c r="J180" i="29"/>
  <c r="H181" i="29"/>
  <c r="H161" i="30"/>
  <c r="J161" i="29"/>
  <c r="H163" i="29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27" i="30" l="1"/>
  <c r="H28" i="29"/>
  <c r="H15" i="30"/>
  <c r="G79" i="30"/>
  <c r="E28" i="30"/>
  <c r="G28" i="30" s="1"/>
  <c r="E15" i="43"/>
  <c r="G15" i="43" s="1"/>
  <c r="H79" i="29"/>
  <c r="O10" i="29"/>
  <c r="G7" i="29"/>
  <c r="E7" i="30"/>
  <c r="E27" i="43"/>
  <c r="G27" i="43" s="1"/>
  <c r="G8" i="31"/>
  <c r="H32" i="23"/>
  <c r="H9" i="31"/>
  <c r="J9" i="31" s="1"/>
  <c r="H30" i="23"/>
  <c r="G19" i="24"/>
  <c r="AB25" i="49"/>
  <c r="G7" i="31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E27" i="31" l="1"/>
  <c r="C35" i="44"/>
  <c r="O12" i="29"/>
  <c r="N13" i="29"/>
  <c r="H27" i="43"/>
  <c r="H28" i="30"/>
  <c r="G105" i="29"/>
  <c r="I59" i="29"/>
  <c r="E28" i="43"/>
  <c r="G28" i="43" s="1"/>
  <c r="G79" i="43"/>
  <c r="G80" i="43" s="1"/>
  <c r="H15" i="43"/>
  <c r="H15" i="31" s="1"/>
  <c r="J15" i="31" s="1"/>
  <c r="H79" i="30"/>
  <c r="G80" i="30"/>
  <c r="G7" i="30"/>
  <c r="G101" i="29"/>
  <c r="G97" i="29"/>
  <c r="G103" i="29"/>
  <c r="G99" i="29"/>
  <c r="G95" i="29"/>
  <c r="H7" i="29"/>
  <c r="G27" i="31"/>
  <c r="E19" i="25"/>
  <c r="G19" i="25" s="1"/>
  <c r="E30" i="24"/>
  <c r="G30" i="24" s="1"/>
  <c r="G32" i="24" s="1"/>
  <c r="H32" i="24" s="1"/>
  <c r="G187" i="24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27" i="31" l="1"/>
  <c r="H28" i="43"/>
  <c r="H28" i="31" s="1"/>
  <c r="H105" i="29"/>
  <c r="E7" i="43"/>
  <c r="G7" i="43" s="1"/>
  <c r="H79" i="43"/>
  <c r="H79" i="31" s="1"/>
  <c r="G105" i="30"/>
  <c r="G97" i="30"/>
  <c r="I59" i="30"/>
  <c r="G95" i="30"/>
  <c r="G103" i="30"/>
  <c r="G101" i="30"/>
  <c r="G99" i="30"/>
  <c r="H7" i="30"/>
  <c r="H99" i="29"/>
  <c r="H101" i="29"/>
  <c r="H97" i="29"/>
  <c r="H95" i="29"/>
  <c r="H103" i="29"/>
  <c r="H30" i="24"/>
  <c r="H19" i="25"/>
  <c r="E30" i="25"/>
  <c r="G30" i="25" s="1"/>
  <c r="G187" i="25"/>
  <c r="G20" i="25"/>
  <c r="H20" i="25" s="1"/>
  <c r="AU35" i="44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H97" i="30" l="1"/>
  <c r="H105" i="30"/>
  <c r="H95" i="30"/>
  <c r="H103" i="30"/>
  <c r="G101" i="43"/>
  <c r="G95" i="43"/>
  <c r="H7" i="43"/>
  <c r="G99" i="43"/>
  <c r="I59" i="43"/>
  <c r="G97" i="43"/>
  <c r="G105" i="43"/>
  <c r="G103" i="43"/>
  <c r="H101" i="30"/>
  <c r="H99" i="30"/>
  <c r="G32" i="25"/>
  <c r="H32" i="25" s="1"/>
  <c r="G19" i="40"/>
  <c r="G20" i="40" s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101" i="43" l="1"/>
  <c r="J101" i="43" s="1"/>
  <c r="H105" i="43"/>
  <c r="H105" i="31" s="1"/>
  <c r="J105" i="31" s="1"/>
  <c r="H97" i="43"/>
  <c r="J97" i="43" s="1"/>
  <c r="H95" i="43"/>
  <c r="H95" i="31" s="1"/>
  <c r="J95" i="31" s="1"/>
  <c r="H103" i="43"/>
  <c r="J103" i="43" s="1"/>
  <c r="H99" i="43"/>
  <c r="H99" i="31" s="1"/>
  <c r="J99" i="31" s="1"/>
  <c r="G187" i="40"/>
  <c r="H20" i="40"/>
  <c r="E30" i="40"/>
  <c r="G30" i="40" s="1"/>
  <c r="G32" i="40" s="1"/>
  <c r="H32" i="40" s="1"/>
  <c r="H19" i="40"/>
  <c r="AT10" i="49"/>
  <c r="BB10" i="49"/>
  <c r="AS10" i="49"/>
  <c r="BA10" i="49"/>
  <c r="H101" i="31" l="1"/>
  <c r="J101" i="31" s="1"/>
  <c r="J105" i="43"/>
  <c r="H97" i="31"/>
  <c r="J97" i="31" s="1"/>
  <c r="J95" i="43"/>
  <c r="H103" i="31"/>
  <c r="J103" i="31" s="1"/>
  <c r="J99" i="43"/>
  <c r="H30" i="40"/>
  <c r="C9" i="44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J6" i="48" l="1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N34" i="1" l="1"/>
  <c r="G32" i="47"/>
  <c r="AT35" i="44"/>
  <c r="AT32" i="49"/>
  <c r="BB32" i="49"/>
  <c r="AS32" i="49"/>
  <c r="BA32" i="49"/>
  <c r="E19" i="29" l="1"/>
  <c r="AI25" i="45"/>
  <c r="AI27" i="45"/>
  <c r="E19" i="30" l="1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G19" i="31"/>
  <c r="E30" i="31" s="1"/>
  <c r="AT26" i="49"/>
  <c r="BB26" i="49"/>
  <c r="AT25" i="49"/>
  <c r="BB25" i="49"/>
  <c r="AT24" i="49"/>
  <c r="BB24" i="49"/>
  <c r="AS24" i="49"/>
  <c r="BA24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G30" i="3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Y19" i="49"/>
  <c r="W19" i="49"/>
  <c r="V19" i="49"/>
  <c r="U19" i="49"/>
  <c r="T19" i="49"/>
  <c r="S19" i="49"/>
  <c r="R19" i="49"/>
  <c r="Q19" i="49"/>
  <c r="P19" i="49"/>
  <c r="O19" i="49"/>
  <c r="N19" i="49"/>
  <c r="Y18" i="49"/>
  <c r="W18" i="49"/>
  <c r="V18" i="49"/>
  <c r="U18" i="49"/>
  <c r="T18" i="49"/>
  <c r="S18" i="49"/>
  <c r="R18" i="49"/>
  <c r="Q18" i="49"/>
  <c r="P18" i="49"/>
  <c r="O18" i="49"/>
  <c r="N18" i="49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AZ17" i="1"/>
  <c r="AV21" i="1"/>
  <c r="BI15" i="49"/>
  <c r="BG21" i="1"/>
  <c r="BF21" i="1"/>
  <c r="J33" i="44"/>
  <c r="I30" i="49" s="1"/>
  <c r="C33" i="44"/>
  <c r="C36" i="44" s="1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AD18" i="49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G5" i="45"/>
  <c r="M5" i="45"/>
  <c r="AD5" i="45"/>
  <c r="AQ6" i="49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K26" i="49"/>
  <c r="J26" i="49"/>
  <c r="I26" i="49"/>
  <c r="H26" i="49"/>
  <c r="G26" i="49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H33" i="1"/>
  <c r="J33" i="1" s="1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M12" i="49"/>
  <c r="AM30" i="49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AN30" i="1"/>
  <c r="H39" i="44"/>
  <c r="F39" i="44"/>
  <c r="K39" i="44"/>
  <c r="AN29" i="1"/>
  <c r="J23" i="44"/>
  <c r="I20" i="49" s="1"/>
  <c r="AN20" i="1"/>
  <c r="AN10" i="1"/>
  <c r="AN13" i="1"/>
  <c r="J7" i="44"/>
  <c r="I4" i="49" s="1"/>
  <c r="S11" i="1"/>
  <c r="U11" i="1" s="1"/>
  <c r="AJ21" i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F37" i="1"/>
  <c r="AN25" i="1"/>
  <c r="AN8" i="1"/>
  <c r="AU35" i="1"/>
  <c r="AR35" i="1"/>
  <c r="AC35" i="1"/>
  <c r="AN14" i="1"/>
  <c r="AV35" i="1"/>
  <c r="AB35" i="1"/>
  <c r="AH35" i="1"/>
  <c r="BJ35" i="1"/>
  <c r="AY35" i="1"/>
  <c r="N4" i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E25" i="45"/>
  <c r="BE3" i="49" s="1"/>
  <c r="E30" i="45"/>
  <c r="E31" i="45" s="1"/>
  <c r="W25" i="45"/>
  <c r="BE21" i="49" s="1"/>
  <c r="W30" i="45"/>
  <c r="W31" i="45" s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X36" i="1"/>
  <c r="M25" i="45"/>
  <c r="BE11" i="49" s="1"/>
  <c r="I14" i="35"/>
  <c r="AK12" i="49"/>
  <c r="H13" i="35"/>
  <c r="AH36" i="1"/>
  <c r="AN4" i="1"/>
  <c r="Y7" i="1"/>
  <c r="BI29" i="1"/>
  <c r="AY32" i="44"/>
  <c r="Y22" i="1"/>
  <c r="AY22" i="44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BI23" i="1"/>
  <c r="BI17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AY36" i="44"/>
  <c r="BB34" i="44"/>
  <c r="J31" i="48"/>
  <c r="BB23" i="44"/>
  <c r="BC9" i="44"/>
  <c r="BB7" i="44"/>
  <c r="BC7" i="44" s="1"/>
  <c r="AA35" i="1"/>
  <c r="BG3" i="49"/>
  <c r="H6" i="45"/>
  <c r="H24" i="45" s="1"/>
  <c r="BD6" i="49" s="1"/>
  <c r="BP4" i="1"/>
  <c r="H34" i="1"/>
  <c r="G9" i="1"/>
  <c r="BM16" i="1"/>
  <c r="BL16" i="1"/>
  <c r="BK16" i="1"/>
  <c r="D9" i="44"/>
  <c r="AN9" i="44"/>
  <c r="L8" i="1"/>
  <c r="B10" i="44"/>
  <c r="BP33" i="1"/>
  <c r="AF33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Q4" i="1"/>
  <c r="BF35" i="1"/>
  <c r="R7" i="1"/>
  <c r="M5" i="47"/>
  <c r="R6" i="1"/>
  <c r="M4" i="47"/>
  <c r="R5" i="1"/>
  <c r="R4" i="1"/>
  <c r="M2" i="47"/>
  <c r="N5" i="1"/>
  <c r="BK15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BL15" i="1"/>
  <c r="BM15" i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G16" i="49" l="1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N21" i="1"/>
  <c r="G19" i="47"/>
  <c r="BG19" i="49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36" i="44" s="1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5"/>
  <c r="J85" i="40"/>
  <c r="J85" i="23"/>
  <c r="J85" i="24"/>
  <c r="J85" i="21"/>
  <c r="J85" i="19"/>
  <c r="J85" i="20"/>
  <c r="J85" i="17"/>
  <c r="J85" i="15"/>
  <c r="J85" i="16"/>
  <c r="J85" i="13"/>
  <c r="J85" i="14"/>
  <c r="J85" i="11"/>
  <c r="J85" i="12"/>
  <c r="J85" i="9"/>
  <c r="J85" i="10"/>
  <c r="J85" i="7"/>
  <c r="J85" i="8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92" i="29"/>
  <c r="J92" i="30"/>
  <c r="J90" i="29"/>
  <c r="AC27" i="49"/>
  <c r="AC25" i="49"/>
  <c r="J92" i="25"/>
  <c r="J92" i="40"/>
  <c r="H91" i="50"/>
  <c r="J91" i="50" s="1"/>
  <c r="J90" i="9"/>
  <c r="J90" i="8"/>
  <c r="J90" i="7"/>
  <c r="J92" i="23"/>
  <c r="J92" i="24"/>
  <c r="J92" i="21"/>
  <c r="J92" i="22"/>
  <c r="J92" i="19"/>
  <c r="J92" i="20"/>
  <c r="J83" i="17"/>
  <c r="J92" i="17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H93" i="50"/>
  <c r="J93" i="50" s="1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A34" i="44" l="1"/>
  <c r="AC29" i="49"/>
  <c r="J88" i="29"/>
  <c r="J87" i="29"/>
  <c r="J90" i="30"/>
  <c r="AC30" i="49"/>
  <c r="J89" i="29"/>
  <c r="AC28" i="49"/>
  <c r="J87" i="25"/>
  <c r="J87" i="40"/>
  <c r="J90" i="40"/>
  <c r="AC26" i="49"/>
  <c r="J88" i="25"/>
  <c r="J88" i="40"/>
  <c r="J89" i="25"/>
  <c r="J89" i="40"/>
  <c r="J90" i="25"/>
  <c r="H88" i="50"/>
  <c r="J88" i="50" s="1"/>
  <c r="J87" i="14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8"/>
  <c r="J87" i="7"/>
  <c r="J90" i="21"/>
  <c r="AC21" i="49"/>
  <c r="J90" i="17"/>
  <c r="AC17" i="49"/>
  <c r="J90" i="13"/>
  <c r="AC13" i="49"/>
  <c r="J90" i="19"/>
  <c r="AC19" i="49"/>
  <c r="J90" i="12"/>
  <c r="AC12" i="49"/>
  <c r="J90" i="10"/>
  <c r="J90" i="23"/>
  <c r="AC23" i="49"/>
  <c r="J90" i="14"/>
  <c r="AC14" i="49"/>
  <c r="J88" i="23"/>
  <c r="J88" i="24"/>
  <c r="H90" i="50"/>
  <c r="J90" i="50" s="1"/>
  <c r="J89" i="14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90" i="16"/>
  <c r="AC16" i="49"/>
  <c r="J90" i="11"/>
  <c r="AC11" i="49"/>
  <c r="AC18" i="49"/>
  <c r="J90" i="22"/>
  <c r="AC22" i="49"/>
  <c r="J90" i="15"/>
  <c r="AC15" i="49"/>
  <c r="J90" i="20"/>
  <c r="AC20" i="49"/>
  <c r="J90" i="24"/>
  <c r="AC24" i="49"/>
  <c r="J88" i="21"/>
  <c r="J88" i="20"/>
  <c r="J88" i="19"/>
  <c r="J94" i="17"/>
  <c r="J88" i="17"/>
  <c r="J84" i="17"/>
  <c r="J102" i="17"/>
  <c r="J82" i="17"/>
  <c r="J96" i="17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7"/>
  <c r="J74" i="7"/>
  <c r="J76" i="7"/>
  <c r="J78" i="7"/>
  <c r="J75" i="7"/>
  <c r="J62" i="7"/>
  <c r="H103" i="50"/>
  <c r="J103" i="50" s="1"/>
  <c r="H95" i="50"/>
  <c r="J95" i="50" s="1"/>
  <c r="H89" i="50"/>
  <c r="J89" i="50" s="1"/>
  <c r="H85" i="50"/>
  <c r="J85" i="50" s="1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J86" i="29" l="1"/>
  <c r="J89" i="30"/>
  <c r="J91" i="29"/>
  <c r="J87" i="30"/>
  <c r="AC31" i="49"/>
  <c r="J88" i="30"/>
  <c r="J86" i="25"/>
  <c r="J86" i="40"/>
  <c r="J91" i="25"/>
  <c r="J91" i="40"/>
  <c r="AC10" i="49"/>
  <c r="J86" i="14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8"/>
  <c r="J86" i="7"/>
  <c r="J91" i="23"/>
  <c r="J91" i="24"/>
  <c r="J88" i="22"/>
  <c r="J91" i="21"/>
  <c r="J91" i="19"/>
  <c r="J100" i="17"/>
  <c r="J91" i="17"/>
  <c r="J98" i="17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7"/>
  <c r="H92" i="50"/>
  <c r="J92" i="50" s="1"/>
  <c r="H99" i="50"/>
  <c r="J99" i="50" s="1"/>
  <c r="H101" i="50"/>
  <c r="J101" i="50" s="1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1" i="22"/>
  <c r="J91" i="20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17"/>
  <c r="J71" i="17"/>
  <c r="J63" i="17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7" i="29" l="1"/>
  <c r="J67" i="30"/>
  <c r="J69" i="29"/>
  <c r="J69" i="30"/>
  <c r="J67" i="17"/>
  <c r="J69" i="17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G33" i="1"/>
  <c r="G35" i="1" l="1"/>
  <c r="K33" i="1"/>
  <c r="BK33" i="1"/>
  <c r="BM33" i="1"/>
  <c r="BL33" i="1"/>
  <c r="B37" i="44"/>
  <c r="E31" i="47"/>
  <c r="BC34" i="44" l="1"/>
  <c r="J97" i="29"/>
  <c r="J97" i="30"/>
  <c r="J99" i="29"/>
  <c r="J99" i="30"/>
  <c r="J95" i="29"/>
  <c r="J95" i="30"/>
  <c r="J103" i="29"/>
  <c r="J103" i="30"/>
  <c r="J105" i="29"/>
  <c r="J101" i="29"/>
  <c r="J101" i="30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7"/>
  <c r="J101" i="7"/>
  <c r="J97" i="7"/>
  <c r="J99" i="7"/>
  <c r="J95" i="7"/>
  <c r="J103" i="7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J105" i="30" l="1"/>
  <c r="J70" i="29" l="1"/>
  <c r="J70" i="30"/>
  <c r="J66" i="29"/>
  <c r="J66" i="30"/>
  <c r="J68" i="29"/>
  <c r="J68" i="30"/>
  <c r="J64" i="29"/>
  <c r="J64" i="30"/>
  <c r="J64" i="17"/>
  <c r="J70" i="17"/>
  <c r="J68" i="17"/>
  <c r="J66" i="17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H65" i="50"/>
  <c r="J65" i="50" s="1"/>
  <c r="H71" i="50"/>
  <c r="J71" i="50" s="1"/>
  <c r="H69" i="50"/>
  <c r="J69" i="50" s="1"/>
  <c r="H67" i="50"/>
  <c r="J67" i="50" s="1"/>
  <c r="I18" i="17" l="1"/>
  <c r="I7" i="31"/>
  <c r="I15" i="29"/>
  <c r="I15" i="25"/>
  <c r="I18" i="15"/>
  <c r="I18" i="24"/>
  <c r="I18" i="23"/>
  <c r="I15" i="31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18" i="30"/>
  <c r="I7" i="1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2"/>
  <c r="I15" i="12"/>
  <c r="I7" i="23"/>
  <c r="I7" i="16"/>
  <c r="I7" i="25"/>
  <c r="I7" i="10"/>
  <c r="I7" i="19"/>
  <c r="I18" i="10"/>
  <c r="I15" i="13"/>
  <c r="I15" i="43"/>
  <c r="I15" i="8"/>
  <c r="I18" i="9"/>
  <c r="I18" i="20"/>
  <c r="I18" i="29"/>
  <c r="I15" i="10"/>
  <c r="I7" i="11"/>
  <c r="I7" i="15"/>
  <c r="I7" i="22"/>
  <c r="I19" i="50"/>
  <c r="I15" i="7"/>
  <c r="I7" i="50"/>
  <c r="I15" i="14"/>
  <c r="I7" i="7"/>
  <c r="I15" i="22"/>
  <c r="I18" i="22"/>
  <c r="I15" i="16"/>
  <c r="G5" i="44"/>
  <c r="BB5" i="44" l="1"/>
  <c r="F2" i="49"/>
  <c r="BC5" i="44" l="1"/>
  <c r="G11" i="9" l="1"/>
  <c r="G11" i="21"/>
  <c r="G12" i="10"/>
  <c r="G12" i="16"/>
  <c r="G11" i="16"/>
  <c r="G12" i="31"/>
  <c r="G12" i="8"/>
  <c r="G11" i="40"/>
  <c r="G11" i="10"/>
  <c r="G12" i="25"/>
  <c r="G12" i="11"/>
  <c r="G11" i="13"/>
  <c r="G12" i="21"/>
  <c r="G12" i="23"/>
  <c r="G12" i="22"/>
  <c r="G12" i="19"/>
  <c r="G13" i="19" s="1"/>
  <c r="N12" i="19" s="1"/>
  <c r="G12" i="17"/>
  <c r="G11" i="31"/>
  <c r="G11" i="29"/>
  <c r="G12" i="29"/>
  <c r="G11" i="25"/>
  <c r="G12" i="20"/>
  <c r="G11" i="15"/>
  <c r="G12" i="30"/>
  <c r="G11" i="17"/>
  <c r="G11" i="12"/>
  <c r="G11" i="11"/>
  <c r="G11" i="43"/>
  <c r="G11" i="14"/>
  <c r="G11" i="8"/>
  <c r="G12" i="12"/>
  <c r="G12" i="13"/>
  <c r="G11" i="23"/>
  <c r="G11" i="24"/>
  <c r="G11" i="30"/>
  <c r="G12" i="43"/>
  <c r="G11" i="20"/>
  <c r="G12" i="15"/>
  <c r="G11" i="22"/>
  <c r="G12" i="40"/>
  <c r="G11" i="7"/>
  <c r="G12" i="9"/>
  <c r="G12" i="14"/>
  <c r="G12" i="7"/>
  <c r="G13" i="29" l="1"/>
  <c r="G13" i="16"/>
  <c r="G13" i="20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9" s="1"/>
  <c r="H12" i="20" s="1"/>
  <c r="H12" i="21" s="1"/>
  <c r="H12" i="22" s="1"/>
  <c r="H12" i="23" s="1"/>
  <c r="H12" i="24" s="1"/>
  <c r="H12" i="25" s="1"/>
  <c r="H12" i="40" s="1"/>
  <c r="H12" i="29" s="1"/>
  <c r="H12" i="30" s="1"/>
  <c r="H12" i="43" s="1"/>
  <c r="H11" i="7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4" i="50"/>
  <c r="G13" i="43"/>
  <c r="G13" i="10"/>
  <c r="G13" i="9"/>
  <c r="G13" i="21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9" s="1"/>
  <c r="H13" i="20" s="1"/>
  <c r="H13" i="21" s="1"/>
  <c r="H13" i="22" s="1"/>
  <c r="H13" i="23" s="1"/>
  <c r="H13" i="24" s="1"/>
  <c r="H13" i="25" s="1"/>
  <c r="H13" i="40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13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14" i="50"/>
  <c r="I61" i="50"/>
  <c r="I13" i="40"/>
  <c r="I60" i="40"/>
  <c r="I13" i="9"/>
  <c r="I60" i="9"/>
  <c r="I13" i="29"/>
  <c r="I60" i="29"/>
  <c r="I13" i="24"/>
  <c r="I60" i="24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8" i="19"/>
  <c r="J37" i="19"/>
  <c r="J36" i="19"/>
  <c r="J41" i="19"/>
  <c r="J42" i="19"/>
  <c r="J57" i="19"/>
  <c r="J56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6" i="20"/>
  <c r="J42" i="20"/>
  <c r="J38" i="20"/>
  <c r="J37" i="20"/>
  <c r="J57" i="20"/>
  <c r="J56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37" i="21"/>
  <c r="J41" i="21"/>
  <c r="J42" i="21"/>
  <c r="J38" i="21"/>
  <c r="J36" i="21"/>
  <c r="J56" i="21"/>
  <c r="J50" i="21"/>
  <c r="J57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6" i="22"/>
  <c r="J37" i="22"/>
  <c r="J38" i="22"/>
  <c r="J41" i="22"/>
  <c r="J42" i="22"/>
  <c r="J57" i="22"/>
  <c r="J56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1" i="23"/>
  <c r="J36" i="23"/>
  <c r="J37" i="23"/>
  <c r="J42" i="23"/>
  <c r="J57" i="23"/>
  <c r="J56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38" i="24"/>
  <c r="J37" i="24"/>
  <c r="J42" i="24"/>
  <c r="J36" i="24"/>
  <c r="J41" i="24"/>
  <c r="J57" i="24"/>
  <c r="J56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6" i="25"/>
  <c r="J38" i="25"/>
  <c r="J42" i="25"/>
  <c r="J37" i="25"/>
  <c r="J41" i="25"/>
  <c r="J56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37" i="40"/>
  <c r="J41" i="40"/>
  <c r="J42" i="40"/>
  <c r="J36" i="40"/>
  <c r="J32" i="40"/>
  <c r="J27" i="40"/>
  <c r="J29" i="40"/>
  <c r="J28" i="40"/>
  <c r="J31" i="40"/>
  <c r="J30" i="40"/>
  <c r="J57" i="40"/>
  <c r="J56" i="40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36" i="29"/>
  <c r="J38" i="29"/>
  <c r="J42" i="29"/>
  <c r="J41" i="29"/>
  <c r="J37" i="29"/>
  <c r="J56" i="29"/>
  <c r="J57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36" i="30"/>
  <c r="J41" i="30"/>
  <c r="J38" i="30"/>
  <c r="J42" i="30"/>
  <c r="J37" i="30"/>
  <c r="J56" i="30"/>
  <c r="J57" i="30"/>
  <c r="J7" i="43"/>
  <c r="I9" i="43" s="1"/>
  <c r="H7" i="31"/>
  <c r="H7" i="50"/>
  <c r="J7" i="50" s="1"/>
  <c r="J12" i="43"/>
  <c r="J9" i="43"/>
  <c r="J10" i="43"/>
  <c r="J15" i="43"/>
  <c r="I16" i="43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41" i="31"/>
  <c r="J36" i="43"/>
  <c r="J38" i="43"/>
  <c r="H37" i="50"/>
  <c r="J37" i="50" s="1"/>
  <c r="J42" i="31"/>
  <c r="H39" i="50"/>
  <c r="J39" i="50" s="1"/>
  <c r="H38" i="50"/>
  <c r="J38" i="50" s="1"/>
  <c r="J37" i="43"/>
  <c r="J37" i="31"/>
  <c r="H42" i="50"/>
  <c r="J42" i="50" s="1"/>
  <c r="J38" i="31"/>
  <c r="H43" i="50"/>
  <c r="J43" i="50" s="1"/>
  <c r="J36" i="31"/>
  <c r="H57" i="50"/>
  <c r="J57" i="50" s="1"/>
  <c r="J56" i="43"/>
  <c r="J57" i="43"/>
  <c r="J56" i="31"/>
  <c r="H58" i="50"/>
  <c r="J58" i="50" s="1"/>
  <c r="J57" i="31"/>
  <c r="J8" i="12"/>
  <c r="H8" i="13"/>
  <c r="H8" i="14" s="1"/>
  <c r="J7" i="31" l="1"/>
  <c r="I9" i="31" s="1"/>
  <c r="J11" i="19"/>
  <c r="H11" i="21"/>
  <c r="J11" i="20"/>
  <c r="H13" i="29"/>
  <c r="H13" i="30" s="1"/>
  <c r="H13" i="43" s="1"/>
  <c r="J13" i="43" s="1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30"/>
  <c r="H8" i="16"/>
  <c r="J8" i="15"/>
  <c r="H11" i="23" l="1"/>
  <c r="J11" i="22"/>
  <c r="J8" i="16"/>
  <c r="H8" i="17"/>
  <c r="H11" i="24" l="1"/>
  <c r="J11" i="23"/>
  <c r="J8" i="17"/>
  <c r="H11" i="25" l="1"/>
  <c r="J11" i="24"/>
  <c r="H8" i="19"/>
  <c r="H11" i="40" l="1"/>
  <c r="J11" i="25"/>
  <c r="J8" i="19"/>
  <c r="H8" i="20"/>
  <c r="J11" i="40" l="1"/>
  <c r="H8" i="21"/>
  <c r="J8" i="20"/>
  <c r="H8" i="22" l="1"/>
  <c r="J8" i="21"/>
  <c r="H11" i="29" l="1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J8" i="40" l="1"/>
  <c r="H8" i="29" l="1"/>
  <c r="J8" i="29" l="1"/>
  <c r="H8" i="30"/>
  <c r="H8" i="43" s="1"/>
  <c r="J8" i="30" l="1"/>
  <c r="J8" i="43" l="1"/>
  <c r="H8" i="50"/>
  <c r="J8" i="50" s="1"/>
  <c r="H8" i="31"/>
  <c r="J8" i="31" s="1"/>
  <c r="J135" i="29"/>
  <c r="G83" i="19"/>
  <c r="H83" i="19" l="1"/>
  <c r="J83" i="19" l="1"/>
  <c r="H83" i="20"/>
  <c r="J83" i="20" l="1"/>
  <c r="H83" i="21"/>
  <c r="J83" i="21" l="1"/>
  <c r="H83" i="22"/>
  <c r="H83" i="23" l="1"/>
  <c r="J83" i="22"/>
  <c r="H83" i="24" l="1"/>
  <c r="J83" i="23"/>
  <c r="J83" i="24" l="1"/>
  <c r="H83" i="25"/>
  <c r="H83" i="40" l="1"/>
  <c r="J83" i="25"/>
  <c r="J83" i="40" l="1"/>
  <c r="H83" i="29" l="1"/>
  <c r="J83" i="29" l="1"/>
  <c r="H83" i="30"/>
  <c r="H83" i="43" l="1"/>
  <c r="J83" i="30"/>
  <c r="J83" i="43" l="1"/>
  <c r="H83" i="31"/>
  <c r="J83" i="31" s="1"/>
  <c r="G82" i="19"/>
  <c r="H82" i="19" l="1"/>
  <c r="J82" i="19" l="1"/>
  <c r="H82" i="20"/>
  <c r="H82" i="21" l="1"/>
  <c r="J82" i="20"/>
  <c r="J82" i="21" l="1"/>
  <c r="H82" i="22"/>
  <c r="J82" i="22" l="1"/>
  <c r="H82" i="23"/>
  <c r="J82" i="23" l="1"/>
  <c r="H82" i="24"/>
  <c r="J82" i="24" l="1"/>
  <c r="H82" i="25"/>
  <c r="J82" i="25" l="1"/>
  <c r="H82" i="40"/>
  <c r="J82" i="40" l="1"/>
  <c r="H82" i="29" l="1"/>
  <c r="J82" i="29" l="1"/>
  <c r="H82" i="30"/>
  <c r="H82" i="43" l="1"/>
  <c r="J82" i="43" s="1"/>
  <c r="J82" i="30"/>
  <c r="G84" i="19"/>
  <c r="I87" i="19" s="1"/>
  <c r="Z20" i="1" l="1"/>
  <c r="AD20" i="1" s="1"/>
  <c r="H84" i="19"/>
  <c r="Z21" i="1"/>
  <c r="AD21" i="1" s="1"/>
  <c r="Z35" i="1" l="1"/>
  <c r="H84" i="20"/>
  <c r="J84" i="19"/>
  <c r="AD35" i="1"/>
  <c r="H84" i="21" l="1"/>
  <c r="J84" i="20"/>
  <c r="J84" i="21" l="1"/>
  <c r="H84" i="22"/>
  <c r="J84" i="22" l="1"/>
  <c r="H84" i="23"/>
  <c r="J84" i="23" l="1"/>
  <c r="H84" i="24"/>
  <c r="H84" i="25" l="1"/>
  <c r="J84" i="24"/>
  <c r="J84" i="25" l="1"/>
  <c r="H84" i="40"/>
  <c r="J84" i="40" l="1"/>
  <c r="H84" i="29" l="1"/>
  <c r="H84" i="30" l="1"/>
  <c r="J84" i="29"/>
  <c r="J84" i="30" l="1"/>
  <c r="H84" i="43"/>
  <c r="H84" i="31" l="1"/>
  <c r="J84" i="31" s="1"/>
  <c r="J84" i="43"/>
  <c r="H49" i="29"/>
  <c r="J49" i="29" s="1"/>
  <c r="H60" i="29"/>
  <c r="J60" i="29" s="1"/>
  <c r="H59" i="29"/>
  <c r="J59" i="29" s="1"/>
  <c r="H94" i="29"/>
  <c r="J94" i="29" s="1"/>
  <c r="H94" i="30" l="1"/>
  <c r="H59" i="30"/>
  <c r="H60" i="30"/>
  <c r="H49" i="30"/>
  <c r="H45" i="29"/>
  <c r="J45" i="29" s="1"/>
  <c r="H35" i="29"/>
  <c r="J35" i="29" s="1"/>
  <c r="H46" i="29"/>
  <c r="J46" i="29" s="1"/>
  <c r="H39" i="29"/>
  <c r="J39" i="29" s="1"/>
  <c r="H40" i="29"/>
  <c r="J40" i="29" s="1"/>
  <c r="H44" i="29"/>
  <c r="J44" i="29" s="1"/>
  <c r="H43" i="29"/>
  <c r="J43" i="29" s="1"/>
  <c r="H47" i="29"/>
  <c r="J47" i="29" s="1"/>
  <c r="H98" i="29"/>
  <c r="J98" i="29" s="1"/>
  <c r="H52" i="29"/>
  <c r="J52" i="29" s="1"/>
  <c r="H50" i="22"/>
  <c r="J50" i="22" s="1"/>
  <c r="H50" i="29"/>
  <c r="J50" i="29" s="1"/>
  <c r="H53" i="29"/>
  <c r="J53" i="29" s="1"/>
  <c r="H58" i="29"/>
  <c r="J58" i="29" s="1"/>
  <c r="H55" i="29"/>
  <c r="J55" i="29" s="1"/>
  <c r="H51" i="29"/>
  <c r="J51" i="29" s="1"/>
  <c r="H54" i="29"/>
  <c r="J54" i="29" s="1"/>
  <c r="H104" i="29"/>
  <c r="H100" i="29"/>
  <c r="J100" i="29" s="1"/>
  <c r="H100" i="30"/>
  <c r="J100" i="30" s="1"/>
  <c r="H78" i="29"/>
  <c r="J78" i="29" s="1"/>
  <c r="H76" i="29"/>
  <c r="J76" i="29" s="1"/>
  <c r="H76" i="30"/>
  <c r="J76" i="30" s="1"/>
  <c r="H96" i="29"/>
  <c r="J96" i="29" s="1"/>
  <c r="H62" i="29"/>
  <c r="J62" i="29" s="1"/>
  <c r="H102" i="29"/>
  <c r="J102" i="29" s="1"/>
  <c r="H102" i="30"/>
  <c r="J102" i="30" s="1"/>
  <c r="H74" i="29"/>
  <c r="H77" i="29"/>
  <c r="J77" i="29" s="1"/>
  <c r="H75" i="29"/>
  <c r="J75" i="29" s="1"/>
  <c r="H75" i="30"/>
  <c r="J75" i="30" s="1"/>
  <c r="AP21" i="1"/>
  <c r="H50" i="23" l="1"/>
  <c r="J94" i="30"/>
  <c r="H94" i="43"/>
  <c r="H74" i="30"/>
  <c r="J74" i="29"/>
  <c r="J59" i="30"/>
  <c r="H59" i="43"/>
  <c r="H75" i="43"/>
  <c r="H76" i="43"/>
  <c r="H100" i="43"/>
  <c r="H98" i="30"/>
  <c r="H47" i="30"/>
  <c r="H43" i="30"/>
  <c r="H44" i="30"/>
  <c r="H40" i="30"/>
  <c r="H39" i="30"/>
  <c r="H46" i="30"/>
  <c r="H35" i="30"/>
  <c r="H45" i="30"/>
  <c r="H104" i="30"/>
  <c r="J104" i="29"/>
  <c r="J60" i="30"/>
  <c r="H60" i="43"/>
  <c r="H52" i="30"/>
  <c r="J49" i="30"/>
  <c r="H49" i="43"/>
  <c r="H77" i="30"/>
  <c r="H102" i="43"/>
  <c r="H62" i="30"/>
  <c r="H96" i="30"/>
  <c r="H78" i="30"/>
  <c r="H54" i="30"/>
  <c r="H51" i="30"/>
  <c r="H55" i="30"/>
  <c r="H58" i="30"/>
  <c r="H53" i="30"/>
  <c r="H50" i="30"/>
  <c r="AP20" i="1"/>
  <c r="J50" i="23" l="1"/>
  <c r="H50" i="24"/>
  <c r="H50" i="50"/>
  <c r="J50" i="50" s="1"/>
  <c r="J49" i="43"/>
  <c r="H49" i="31"/>
  <c r="J49" i="31" s="1"/>
  <c r="J78" i="30"/>
  <c r="H78" i="43"/>
  <c r="H61" i="50"/>
  <c r="J61" i="50" s="1"/>
  <c r="J60" i="43"/>
  <c r="H60" i="31"/>
  <c r="J60" i="31" s="1"/>
  <c r="J40" i="30"/>
  <c r="H40" i="43"/>
  <c r="H60" i="50"/>
  <c r="J60" i="50" s="1"/>
  <c r="J59" i="43"/>
  <c r="H59" i="31"/>
  <c r="J59" i="31" s="1"/>
  <c r="J94" i="43"/>
  <c r="H64" i="50"/>
  <c r="J64" i="50" s="1"/>
  <c r="H94" i="31"/>
  <c r="J94" i="31" s="1"/>
  <c r="J58" i="30"/>
  <c r="H58" i="43"/>
  <c r="J45" i="30"/>
  <c r="H45" i="43"/>
  <c r="J98" i="30"/>
  <c r="H98" i="43"/>
  <c r="J53" i="30"/>
  <c r="H53" i="43"/>
  <c r="J54" i="30"/>
  <c r="H54" i="43"/>
  <c r="H102" i="31"/>
  <c r="J102" i="31" s="1"/>
  <c r="H72" i="50"/>
  <c r="J72" i="50" s="1"/>
  <c r="J102" i="43"/>
  <c r="J52" i="30"/>
  <c r="H52" i="43"/>
  <c r="H104" i="43"/>
  <c r="J104" i="30"/>
  <c r="J39" i="30"/>
  <c r="H39" i="43"/>
  <c r="J47" i="30"/>
  <c r="H47" i="43"/>
  <c r="J75" i="43"/>
  <c r="H75" i="31"/>
  <c r="J75" i="31" s="1"/>
  <c r="H74" i="43"/>
  <c r="J74" i="30"/>
  <c r="J55" i="30"/>
  <c r="H55" i="43"/>
  <c r="J96" i="30"/>
  <c r="H96" i="43"/>
  <c r="J35" i="30"/>
  <c r="H35" i="43"/>
  <c r="J44" i="30"/>
  <c r="H44" i="43"/>
  <c r="H100" i="31"/>
  <c r="J100" i="31" s="1"/>
  <c r="J100" i="43"/>
  <c r="H70" i="50"/>
  <c r="J70" i="50" s="1"/>
  <c r="J77" i="30"/>
  <c r="H77" i="43"/>
  <c r="J50" i="30"/>
  <c r="H50" i="43"/>
  <c r="J51" i="30"/>
  <c r="H51" i="43"/>
  <c r="J62" i="30"/>
  <c r="H62" i="43"/>
  <c r="J46" i="30"/>
  <c r="H46" i="43"/>
  <c r="J43" i="30"/>
  <c r="H43" i="43"/>
  <c r="H76" i="31"/>
  <c r="J76" i="31" s="1"/>
  <c r="J76" i="43"/>
  <c r="H35" i="19"/>
  <c r="J35" i="19" s="1"/>
  <c r="AP35" i="1"/>
  <c r="J50" i="24" l="1"/>
  <c r="H50" i="25"/>
  <c r="J47" i="43"/>
  <c r="H48" i="50"/>
  <c r="J48" i="50" s="1"/>
  <c r="H47" i="31"/>
  <c r="J47" i="31" s="1"/>
  <c r="H47" i="50"/>
  <c r="J47" i="50" s="1"/>
  <c r="J46" i="43"/>
  <c r="H46" i="31"/>
  <c r="J46" i="31" s="1"/>
  <c r="J51" i="43"/>
  <c r="H52" i="50"/>
  <c r="J52" i="50" s="1"/>
  <c r="H51" i="31"/>
  <c r="J51" i="31" s="1"/>
  <c r="J77" i="43"/>
  <c r="H77" i="31"/>
  <c r="J77" i="31" s="1"/>
  <c r="H55" i="50"/>
  <c r="J55" i="50" s="1"/>
  <c r="J54" i="43"/>
  <c r="H54" i="31"/>
  <c r="J54" i="31" s="1"/>
  <c r="J98" i="43"/>
  <c r="H68" i="50"/>
  <c r="J68" i="50" s="1"/>
  <c r="H98" i="31"/>
  <c r="J98" i="31" s="1"/>
  <c r="H59" i="50"/>
  <c r="J59" i="50" s="1"/>
  <c r="J58" i="43"/>
  <c r="H58" i="31"/>
  <c r="J58" i="31" s="1"/>
  <c r="J40" i="43"/>
  <c r="H41" i="50"/>
  <c r="J41" i="50" s="1"/>
  <c r="H40" i="31"/>
  <c r="J40" i="31" s="1"/>
  <c r="H96" i="31"/>
  <c r="J96" i="31" s="1"/>
  <c r="H66" i="50"/>
  <c r="J66" i="50" s="1"/>
  <c r="J96" i="43"/>
  <c r="H36" i="50"/>
  <c r="J36" i="50" s="1"/>
  <c r="J35" i="43"/>
  <c r="H35" i="31"/>
  <c r="J35" i="31" s="1"/>
  <c r="H56" i="50"/>
  <c r="J56" i="50" s="1"/>
  <c r="J55" i="43"/>
  <c r="H55" i="31"/>
  <c r="J55" i="31" s="1"/>
  <c r="J39" i="43"/>
  <c r="H40" i="50"/>
  <c r="J40" i="50" s="1"/>
  <c r="H39" i="31"/>
  <c r="J39" i="31" s="1"/>
  <c r="H53" i="50"/>
  <c r="J53" i="50" s="1"/>
  <c r="J52" i="43"/>
  <c r="H52" i="31"/>
  <c r="J52" i="31" s="1"/>
  <c r="H45" i="50"/>
  <c r="J45" i="50" s="1"/>
  <c r="J44" i="43"/>
  <c r="H44" i="31"/>
  <c r="J44" i="31" s="1"/>
  <c r="J78" i="43"/>
  <c r="H78" i="31"/>
  <c r="J78" i="31" s="1"/>
  <c r="H44" i="50"/>
  <c r="J44" i="50" s="1"/>
  <c r="J43" i="43"/>
  <c r="H43" i="31"/>
  <c r="J43" i="31" s="1"/>
  <c r="H62" i="31"/>
  <c r="J62" i="31" s="1"/>
  <c r="J62" i="43"/>
  <c r="H51" i="50"/>
  <c r="J51" i="50" s="1"/>
  <c r="J50" i="43"/>
  <c r="H50" i="31"/>
  <c r="J50" i="31" s="1"/>
  <c r="H74" i="31"/>
  <c r="J74" i="31" s="1"/>
  <c r="J74" i="43"/>
  <c r="H104" i="31"/>
  <c r="J104" i="31" s="1"/>
  <c r="J104" i="43"/>
  <c r="H54" i="50"/>
  <c r="J54" i="50" s="1"/>
  <c r="J53" i="43"/>
  <c r="H53" i="31"/>
  <c r="J53" i="31" s="1"/>
  <c r="J45" i="43"/>
  <c r="H46" i="50"/>
  <c r="J46" i="50" s="1"/>
  <c r="H45" i="31"/>
  <c r="J45" i="31" s="1"/>
  <c r="H35" i="20"/>
  <c r="J35" i="20" s="1"/>
  <c r="J50" i="25" l="1"/>
  <c r="H50" i="40"/>
  <c r="J50" i="40" s="1"/>
  <c r="H35" i="21"/>
  <c r="J35" i="21" s="1"/>
  <c r="H35" i="22" l="1"/>
  <c r="H35" i="23" s="1"/>
  <c r="J35" i="22" l="1"/>
  <c r="H35" i="24"/>
  <c r="J35" i="23"/>
  <c r="J35" i="24" l="1"/>
  <c r="H35" i="25"/>
  <c r="J35" i="25" l="1"/>
  <c r="H35" i="40"/>
  <c r="J35" i="40" s="1"/>
  <c r="G49" i="19"/>
  <c r="I135" i="19" l="1"/>
  <c r="AZ21" i="1"/>
  <c r="F22" i="44"/>
  <c r="F21" i="44"/>
  <c r="AZ20" i="1"/>
  <c r="AZ35" i="1" l="1"/>
  <c r="E19" i="49"/>
  <c r="F36" i="44"/>
  <c r="F37" i="44"/>
  <c r="E18" i="49"/>
  <c r="H49" i="19"/>
  <c r="J49" i="19" l="1"/>
  <c r="H49" i="20"/>
  <c r="H49" i="21" l="1"/>
  <c r="J49" i="20"/>
  <c r="J49" i="21" l="1"/>
  <c r="H49" i="22"/>
  <c r="J49" i="22" l="1"/>
  <c r="H49" i="23"/>
  <c r="H49" i="24" l="1"/>
  <c r="J49" i="23"/>
  <c r="J49" i="24" l="1"/>
  <c r="H49" i="25"/>
  <c r="J49" i="25" l="1"/>
  <c r="H49" i="40"/>
  <c r="J49" i="40" s="1"/>
  <c r="G50" i="19"/>
  <c r="BH21" i="1" l="1"/>
  <c r="G102" i="19"/>
  <c r="L22" i="44"/>
  <c r="K19" i="49" s="1"/>
  <c r="BH20" i="1"/>
  <c r="L21" i="44"/>
  <c r="K18" i="49" l="1"/>
  <c r="L36" i="44"/>
  <c r="L37" i="44"/>
  <c r="G103" i="19"/>
  <c r="H50" i="19"/>
  <c r="BH35" i="1"/>
  <c r="H102" i="19" l="1"/>
  <c r="J102" i="19" s="1"/>
  <c r="H102" i="20"/>
  <c r="J50" i="19"/>
  <c r="H50" i="20"/>
  <c r="J50" i="20" s="1"/>
  <c r="H103" i="19"/>
  <c r="J103" i="19" l="1"/>
  <c r="H103" i="20"/>
  <c r="J102" i="20"/>
  <c r="H102" i="21"/>
  <c r="H103" i="21" l="1"/>
  <c r="J103" i="20"/>
  <c r="J102" i="21"/>
  <c r="H102" i="22"/>
  <c r="J103" i="21" l="1"/>
  <c r="H103" i="22"/>
  <c r="J102" i="22"/>
  <c r="H102" i="23"/>
  <c r="J103" i="22" l="1"/>
  <c r="H103" i="23"/>
  <c r="J102" i="23"/>
  <c r="H102" i="24"/>
  <c r="J103" i="23" l="1"/>
  <c r="H103" i="24"/>
  <c r="J102" i="24"/>
  <c r="H102" i="25"/>
  <c r="H103" i="25" l="1"/>
  <c r="J103" i="24"/>
  <c r="J102" i="25"/>
  <c r="H102" i="40"/>
  <c r="J102" i="40" s="1"/>
  <c r="H103" i="40" l="1"/>
  <c r="J103" i="40" s="1"/>
  <c r="J103" i="25"/>
  <c r="G51" i="19"/>
  <c r="BA20" i="1" l="1"/>
  <c r="G22" i="44"/>
  <c r="BA21" i="1"/>
  <c r="G104" i="19"/>
  <c r="H51" i="19"/>
  <c r="G21" i="44"/>
  <c r="BA35" i="1" l="1"/>
  <c r="G37" i="44"/>
  <c r="G36" i="44"/>
  <c r="F18" i="49"/>
  <c r="G105" i="19"/>
  <c r="J51" i="19"/>
  <c r="H51" i="20"/>
  <c r="F19" i="49"/>
  <c r="H105" i="19" l="1"/>
  <c r="H105" i="20" s="1"/>
  <c r="H51" i="21"/>
  <c r="J51" i="20"/>
  <c r="H104" i="19"/>
  <c r="J105" i="19" l="1"/>
  <c r="J105" i="20"/>
  <c r="H105" i="21"/>
  <c r="J51" i="21"/>
  <c r="H51" i="22"/>
  <c r="J104" i="19"/>
  <c r="H104" i="20"/>
  <c r="H104" i="21" l="1"/>
  <c r="J104" i="20"/>
  <c r="H105" i="22"/>
  <c r="J105" i="21"/>
  <c r="H51" i="23"/>
  <c r="J51" i="22"/>
  <c r="J51" i="23" l="1"/>
  <c r="H51" i="24"/>
  <c r="J104" i="21"/>
  <c r="H104" i="22"/>
  <c r="J105" i="22"/>
  <c r="H105" i="23"/>
  <c r="H105" i="24" l="1"/>
  <c r="J105" i="23"/>
  <c r="H51" i="25"/>
  <c r="J51" i="24"/>
  <c r="J104" i="22"/>
  <c r="H104" i="23"/>
  <c r="J104" i="23" l="1"/>
  <c r="H104" i="24"/>
  <c r="J51" i="25"/>
  <c r="H51" i="40"/>
  <c r="J51" i="40" s="1"/>
  <c r="J105" i="24"/>
  <c r="H105" i="25"/>
  <c r="H105" i="40" l="1"/>
  <c r="J105" i="40" s="1"/>
  <c r="J105" i="25"/>
  <c r="H104" i="25"/>
  <c r="J104" i="24"/>
  <c r="J104" i="25" l="1"/>
  <c r="H104" i="40"/>
  <c r="J104" i="40" s="1"/>
  <c r="G53" i="19"/>
  <c r="BC21" i="1" s="1"/>
  <c r="BC20" i="1" l="1"/>
  <c r="BC35" i="1" s="1"/>
  <c r="H53" i="19" l="1"/>
  <c r="J53" i="19" l="1"/>
  <c r="H53" i="20"/>
  <c r="J53" i="20" l="1"/>
  <c r="H53" i="21"/>
  <c r="H53" i="22" l="1"/>
  <c r="J53" i="21"/>
  <c r="J53" i="22" l="1"/>
  <c r="H53" i="23"/>
  <c r="J53" i="23" l="1"/>
  <c r="H53" i="24"/>
  <c r="H53" i="25" l="1"/>
  <c r="J53" i="24"/>
  <c r="H53" i="40" l="1"/>
  <c r="J53" i="40" s="1"/>
  <c r="J53" i="25"/>
  <c r="BD20" i="1"/>
  <c r="G54" i="19"/>
  <c r="BD21" i="1" s="1"/>
  <c r="BD35" i="1" l="1"/>
  <c r="H54" i="19"/>
  <c r="J54" i="19" l="1"/>
  <c r="H54" i="20"/>
  <c r="J54" i="20" l="1"/>
  <c r="H54" i="21"/>
  <c r="H54" i="22" l="1"/>
  <c r="J54" i="21"/>
  <c r="J54" i="22" l="1"/>
  <c r="H54" i="23"/>
  <c r="J54" i="23" l="1"/>
  <c r="H54" i="24"/>
  <c r="J54" i="24" l="1"/>
  <c r="H54" i="25"/>
  <c r="J54" i="25" l="1"/>
  <c r="H54" i="40"/>
  <c r="J54" i="40" s="1"/>
  <c r="G55" i="19"/>
  <c r="BE21" i="1" s="1"/>
  <c r="AE21" i="1" s="1"/>
  <c r="AF21" i="1" s="1"/>
  <c r="H55" i="19" l="1"/>
  <c r="J22" i="44"/>
  <c r="I19" i="49" s="1"/>
  <c r="J21" i="44"/>
  <c r="G96" i="19"/>
  <c r="BE20" i="1"/>
  <c r="BI21" i="1"/>
  <c r="J55" i="19" l="1"/>
  <c r="H55" i="20"/>
  <c r="BI20" i="1"/>
  <c r="BI35" i="1" s="1"/>
  <c r="BE35" i="1"/>
  <c r="AE20" i="1"/>
  <c r="J37" i="44"/>
  <c r="J36" i="44"/>
  <c r="I18" i="49"/>
  <c r="H96" i="19"/>
  <c r="G97" i="19"/>
  <c r="H97" i="19" s="1"/>
  <c r="J55" i="20" l="1"/>
  <c r="H55" i="21"/>
  <c r="AF20" i="1"/>
  <c r="AF35" i="1" s="1"/>
  <c r="AE35" i="1"/>
  <c r="J96" i="19"/>
  <c r="H96" i="20"/>
  <c r="J97" i="19"/>
  <c r="H97" i="20"/>
  <c r="J55" i="21" l="1"/>
  <c r="H55" i="22"/>
  <c r="J96" i="20"/>
  <c r="H96" i="21"/>
  <c r="J97" i="20"/>
  <c r="H97" i="21"/>
  <c r="H97" i="22" l="1"/>
  <c r="J97" i="21"/>
  <c r="J55" i="22"/>
  <c r="H55" i="23"/>
  <c r="J96" i="21"/>
  <c r="H96" i="22"/>
  <c r="H97" i="23" l="1"/>
  <c r="J97" i="22"/>
  <c r="J96" i="22"/>
  <c r="H96" i="23"/>
  <c r="J55" i="23"/>
  <c r="H55" i="24"/>
  <c r="J97" i="23" l="1"/>
  <c r="H97" i="24"/>
  <c r="J55" i="24"/>
  <c r="H55" i="25"/>
  <c r="J96" i="23"/>
  <c r="H96" i="24"/>
  <c r="J96" i="24" l="1"/>
  <c r="H96" i="25"/>
  <c r="J97" i="24"/>
  <c r="H97" i="25"/>
  <c r="J55" i="25"/>
  <c r="H55" i="40"/>
  <c r="J55" i="40" s="1"/>
  <c r="J96" i="25" l="1"/>
  <c r="H96" i="40"/>
  <c r="J96" i="40" s="1"/>
  <c r="J97" i="25"/>
  <c r="H97" i="40"/>
  <c r="J97" i="40" s="1"/>
  <c r="G58" i="19"/>
  <c r="Y22" i="44" l="1"/>
  <c r="X19" i="49" s="1"/>
  <c r="H58" i="19"/>
  <c r="Y21" i="44"/>
  <c r="J58" i="19" l="1"/>
  <c r="H58" i="20"/>
  <c r="Y37" i="44"/>
  <c r="Y36" i="44"/>
  <c r="X18" i="49"/>
  <c r="H58" i="21" l="1"/>
  <c r="J58" i="20"/>
  <c r="J58" i="21" l="1"/>
  <c r="H58" i="22"/>
  <c r="J58" i="22" l="1"/>
  <c r="H58" i="23"/>
  <c r="J58" i="23" l="1"/>
  <c r="H58" i="24"/>
  <c r="H58" i="25" l="1"/>
  <c r="J58" i="24"/>
  <c r="H58" i="40" l="1"/>
  <c r="J58" i="40" s="1"/>
  <c r="J58" i="25"/>
  <c r="U7" i="45"/>
  <c r="AM19" i="49" s="1"/>
  <c r="G62" i="19"/>
  <c r="T7" i="45"/>
  <c r="AM18" i="49" s="1"/>
  <c r="G187" i="19" l="1"/>
  <c r="H62" i="19"/>
  <c r="H62" i="20" l="1"/>
  <c r="J62" i="19"/>
  <c r="H187" i="19"/>
  <c r="J62" i="20" l="1"/>
  <c r="H62" i="21"/>
  <c r="H187" i="20"/>
  <c r="J187" i="19"/>
  <c r="J62" i="21" l="1"/>
  <c r="H62" i="22"/>
  <c r="J187" i="20"/>
  <c r="H187" i="21"/>
  <c r="J62" i="22" l="1"/>
  <c r="H62" i="23"/>
  <c r="J187" i="21"/>
  <c r="H187" i="22"/>
  <c r="H62" i="24" l="1"/>
  <c r="J62" i="23"/>
  <c r="J187" i="22"/>
  <c r="H187" i="23"/>
  <c r="J62" i="24" l="1"/>
  <c r="H62" i="25"/>
  <c r="H187" i="24"/>
  <c r="J187" i="23"/>
  <c r="H62" i="40" l="1"/>
  <c r="J62" i="40" s="1"/>
  <c r="J62" i="25"/>
  <c r="H187" i="25"/>
  <c r="J187" i="24"/>
  <c r="H187" i="40" l="1"/>
  <c r="J187" i="40" s="1"/>
  <c r="J187" i="25"/>
  <c r="G65" i="19"/>
  <c r="U9" i="45" l="1"/>
  <c r="V21" i="1"/>
  <c r="V20" i="1"/>
  <c r="T9" i="45"/>
  <c r="H65" i="19" l="1"/>
  <c r="U29" i="45"/>
  <c r="AO19" i="49"/>
  <c r="V35" i="1"/>
  <c r="AO18" i="49"/>
  <c r="T29" i="45"/>
  <c r="H65" i="20" l="1"/>
  <c r="J65" i="19"/>
  <c r="J65" i="20" l="1"/>
  <c r="H65" i="21"/>
  <c r="J65" i="21" l="1"/>
  <c r="H65" i="22"/>
  <c r="J65" i="22" l="1"/>
  <c r="H65" i="23"/>
  <c r="H65" i="24" l="1"/>
  <c r="J65" i="23"/>
  <c r="H65" i="25" l="1"/>
  <c r="J65" i="24"/>
  <c r="J65" i="25" l="1"/>
  <c r="H65" i="40"/>
  <c r="J65" i="40" s="1"/>
  <c r="G66" i="19"/>
  <c r="W20" i="1"/>
  <c r="W21" i="1" l="1"/>
  <c r="U10" i="45"/>
  <c r="AP19" i="49" s="1"/>
  <c r="T10" i="45"/>
  <c r="AP18" i="49" s="1"/>
  <c r="W35" i="1"/>
  <c r="H66" i="19" l="1"/>
  <c r="J66" i="19" l="1"/>
  <c r="H66" i="20"/>
  <c r="H66" i="21" l="1"/>
  <c r="J66" i="20"/>
  <c r="J66" i="21" l="1"/>
  <c r="H66" i="22"/>
  <c r="H66" i="23" l="1"/>
  <c r="J66" i="22"/>
  <c r="H66" i="24" l="1"/>
  <c r="J66" i="23"/>
  <c r="J66" i="24" l="1"/>
  <c r="H66" i="25"/>
  <c r="H66" i="40" l="1"/>
  <c r="J66" i="40" s="1"/>
  <c r="J66" i="25"/>
  <c r="G68" i="19"/>
  <c r="H68" i="19" l="1"/>
  <c r="U13" i="45"/>
  <c r="T13" i="45"/>
  <c r="H68" i="20" l="1"/>
  <c r="J68" i="19"/>
  <c r="BC19" i="49"/>
  <c r="AR19" i="49"/>
  <c r="U27" i="45"/>
  <c r="BF19" i="49" s="1"/>
  <c r="BC18" i="49"/>
  <c r="T27" i="45"/>
  <c r="BF18" i="49" s="1"/>
  <c r="AR18" i="49"/>
  <c r="J68" i="20" l="1"/>
  <c r="H68" i="21"/>
  <c r="J68" i="21" l="1"/>
  <c r="H68" i="22"/>
  <c r="J68" i="22" l="1"/>
  <c r="H68" i="23"/>
  <c r="H68" i="24" l="1"/>
  <c r="J68" i="23"/>
  <c r="J68" i="24" l="1"/>
  <c r="H68" i="25"/>
  <c r="J68" i="25" l="1"/>
  <c r="H68" i="40"/>
  <c r="J68" i="40" s="1"/>
  <c r="T14" i="45"/>
  <c r="G69" i="19"/>
  <c r="BA18" i="49" l="1"/>
  <c r="AS18" i="49"/>
  <c r="U14" i="45"/>
  <c r="H69" i="19"/>
  <c r="BA19" i="49" l="1"/>
  <c r="AS19" i="49"/>
  <c r="H69" i="20"/>
  <c r="J69" i="19"/>
  <c r="H69" i="21" l="1"/>
  <c r="J69" i="20"/>
  <c r="J69" i="21" l="1"/>
  <c r="H69" i="22"/>
  <c r="J69" i="22" l="1"/>
  <c r="H69" i="23"/>
  <c r="H69" i="24" l="1"/>
  <c r="J69" i="23"/>
  <c r="H69" i="25" l="1"/>
  <c r="J69" i="24"/>
  <c r="J69" i="25" l="1"/>
  <c r="H69" i="40"/>
  <c r="J69" i="40" s="1"/>
  <c r="G67" i="19"/>
  <c r="H67" i="19" s="1"/>
  <c r="T11" i="45"/>
  <c r="U11" i="45" l="1"/>
  <c r="AQ19" i="49" s="1"/>
  <c r="H67" i="20"/>
  <c r="J67" i="19"/>
  <c r="AQ18" i="49"/>
  <c r="X21" i="1"/>
  <c r="Y21" i="1" s="1"/>
  <c r="X20" i="1"/>
  <c r="J67" i="20" l="1"/>
  <c r="H67" i="21"/>
  <c r="X35" i="1"/>
  <c r="Y20" i="1"/>
  <c r="Y35" i="1" s="1"/>
  <c r="J67" i="21" l="1"/>
  <c r="H67" i="22"/>
  <c r="J67" i="22" l="1"/>
  <c r="H67" i="23"/>
  <c r="H67" i="24" l="1"/>
  <c r="J67" i="23"/>
  <c r="J67" i="24" l="1"/>
  <c r="H67" i="25"/>
  <c r="J67" i="25" l="1"/>
  <c r="H67" i="40"/>
  <c r="J67" i="40" s="1"/>
  <c r="T15" i="45"/>
  <c r="BB18" i="49" s="1"/>
  <c r="G70" i="19"/>
  <c r="G188" i="19" s="1"/>
  <c r="H70" i="19" l="1"/>
  <c r="U15" i="45"/>
  <c r="G71" i="19"/>
  <c r="H71" i="19" s="1"/>
  <c r="H188" i="19"/>
  <c r="AT18" i="49"/>
  <c r="T30" i="45"/>
  <c r="T31" i="45" s="1"/>
  <c r="T25" i="45"/>
  <c r="BE18" i="49" s="1"/>
  <c r="J70" i="19" l="1"/>
  <c r="H70" i="20"/>
  <c r="J71" i="19"/>
  <c r="H71" i="20"/>
  <c r="BB19" i="49"/>
  <c r="U30" i="45"/>
  <c r="U31" i="45" s="1"/>
  <c r="U25" i="45"/>
  <c r="BE19" i="49" s="1"/>
  <c r="AT19" i="49"/>
  <c r="J188" i="19"/>
  <c r="H188" i="20"/>
  <c r="H70" i="21" l="1"/>
  <c r="J70" i="20"/>
  <c r="H188" i="21"/>
  <c r="J188" i="20"/>
  <c r="H71" i="21"/>
  <c r="J71" i="20"/>
  <c r="J71" i="21" l="1"/>
  <c r="H71" i="22"/>
  <c r="H70" i="22"/>
  <c r="J70" i="21"/>
  <c r="J188" i="21"/>
  <c r="H188" i="22"/>
  <c r="H71" i="23" l="1"/>
  <c r="J71" i="22"/>
  <c r="J188" i="22"/>
  <c r="H188" i="23"/>
  <c r="J70" i="22"/>
  <c r="H70" i="23"/>
  <c r="J71" i="23" l="1"/>
  <c r="H71" i="24"/>
  <c r="J70" i="23"/>
  <c r="H70" i="24"/>
  <c r="H188" i="24"/>
  <c r="J188" i="23"/>
  <c r="H188" i="25" l="1"/>
  <c r="J188" i="24"/>
  <c r="H71" i="25"/>
  <c r="J71" i="24"/>
  <c r="J70" i="24"/>
  <c r="H70" i="25"/>
  <c r="J188" i="25" l="1"/>
  <c r="H188" i="40"/>
  <c r="J188" i="40" s="1"/>
  <c r="J70" i="25"/>
  <c r="H70" i="40"/>
  <c r="J70" i="40" s="1"/>
  <c r="J71" i="25"/>
  <c r="H71" i="40"/>
  <c r="J71" i="40" s="1"/>
  <c r="G74" i="19"/>
  <c r="AO22" i="44" l="1"/>
  <c r="AO21" i="1"/>
  <c r="AO20" i="1"/>
  <c r="AO21" i="44"/>
  <c r="BH19" i="49" l="1"/>
  <c r="AZ22" i="44"/>
  <c r="H74" i="19"/>
  <c r="BH18" i="49"/>
  <c r="AZ21" i="44"/>
  <c r="AO37" i="44"/>
  <c r="AO36" i="44"/>
  <c r="AO35" i="1"/>
  <c r="AZ37" i="44" l="1"/>
  <c r="AZ36" i="44"/>
  <c r="J74" i="19"/>
  <c r="H74" i="20"/>
  <c r="J74" i="20" l="1"/>
  <c r="H74" i="21"/>
  <c r="H74" i="22" l="1"/>
  <c r="J74" i="21"/>
  <c r="J74" i="22" l="1"/>
  <c r="H74" i="23"/>
  <c r="J74" i="23" l="1"/>
  <c r="H74" i="24"/>
  <c r="H74" i="25" l="1"/>
  <c r="J74" i="24"/>
  <c r="H74" i="40" l="1"/>
  <c r="J74" i="40" s="1"/>
  <c r="J74" i="25"/>
  <c r="G75" i="19"/>
  <c r="H75" i="19" l="1"/>
  <c r="AP22" i="44"/>
  <c r="AP21" i="44"/>
  <c r="AP37" i="44" l="1"/>
  <c r="BI18" i="49"/>
  <c r="AP36" i="44"/>
  <c r="H75" i="20"/>
  <c r="J75" i="19"/>
  <c r="BI19" i="49"/>
  <c r="J75" i="20" l="1"/>
  <c r="H75" i="21"/>
  <c r="J75" i="21" l="1"/>
  <c r="H75" i="22"/>
  <c r="J75" i="22" l="1"/>
  <c r="H75" i="23"/>
  <c r="J75" i="23" l="1"/>
  <c r="H75" i="24"/>
  <c r="J75" i="24" l="1"/>
  <c r="H75" i="25"/>
  <c r="J75" i="25" l="1"/>
  <c r="H75" i="40"/>
  <c r="J75" i="40" s="1"/>
  <c r="G76" i="19"/>
  <c r="AQ22" i="44" l="1"/>
  <c r="AQ21" i="44"/>
  <c r="AQ36" i="44" l="1"/>
  <c r="BJ18" i="49"/>
  <c r="AQ37" i="44"/>
  <c r="BJ19" i="49"/>
  <c r="H76" i="19"/>
  <c r="J76" i="19" l="1"/>
  <c r="H76" i="20"/>
  <c r="J76" i="20" l="1"/>
  <c r="H76" i="21"/>
  <c r="J76" i="21" l="1"/>
  <c r="H76" i="22"/>
  <c r="J76" i="22" l="1"/>
  <c r="H76" i="23"/>
  <c r="J76" i="23" l="1"/>
  <c r="H76" i="24"/>
  <c r="H76" i="25" l="1"/>
  <c r="J76" i="24"/>
  <c r="H76" i="40" l="1"/>
  <c r="J76" i="40" s="1"/>
  <c r="J76" i="25"/>
  <c r="AR21" i="44"/>
  <c r="G77" i="19"/>
  <c r="AR22" i="44" l="1"/>
  <c r="H77" i="19"/>
  <c r="BK18" i="49"/>
  <c r="BK19" i="49" l="1"/>
  <c r="AR36" i="44"/>
  <c r="J77" i="19"/>
  <c r="H77" i="20"/>
  <c r="AR37" i="44"/>
  <c r="H77" i="21" l="1"/>
  <c r="J77" i="20"/>
  <c r="J77" i="21" l="1"/>
  <c r="H77" i="22"/>
  <c r="J77" i="22" l="1"/>
  <c r="H77" i="23"/>
  <c r="J77" i="23" l="1"/>
  <c r="H77" i="24"/>
  <c r="J77" i="24" l="1"/>
  <c r="H77" i="25"/>
  <c r="J77" i="25" l="1"/>
  <c r="H77" i="40"/>
  <c r="J77" i="40" s="1"/>
  <c r="G40" i="19"/>
  <c r="AT21" i="1" s="1"/>
  <c r="G44" i="19"/>
  <c r="AX21" i="1" s="1"/>
  <c r="G46" i="19"/>
  <c r="G45" i="19"/>
  <c r="G63" i="19"/>
  <c r="U8" i="45" s="1"/>
  <c r="AN19" i="49" s="1"/>
  <c r="G39" i="19"/>
  <c r="G47" i="19" s="1"/>
  <c r="G52" i="19"/>
  <c r="BB21" i="1" s="1"/>
  <c r="BM21" i="1" s="1"/>
  <c r="H22" i="44"/>
  <c r="G43" i="19"/>
  <c r="G78" i="19"/>
  <c r="G79" i="19" s="1"/>
  <c r="G64" i="19" l="1"/>
  <c r="G94" i="19"/>
  <c r="G98" i="19"/>
  <c r="AS22" i="44"/>
  <c r="I153" i="19"/>
  <c r="AS21" i="1"/>
  <c r="BL21" i="1" s="1"/>
  <c r="K22" i="44"/>
  <c r="J19" i="49" s="1"/>
  <c r="G100" i="19"/>
  <c r="G80" i="19"/>
  <c r="H80" i="19" s="1"/>
  <c r="G19" i="49"/>
  <c r="I22" i="44"/>
  <c r="H19" i="49" s="1"/>
  <c r="AW21" i="1"/>
  <c r="I125" i="19"/>
  <c r="G59" i="19"/>
  <c r="BB22" i="44" l="1"/>
  <c r="BC22" i="44" s="1"/>
  <c r="G95" i="19"/>
  <c r="BO21" i="1"/>
  <c r="BP21" i="1" s="1"/>
  <c r="BK21" i="1"/>
  <c r="G99" i="19"/>
  <c r="G101" i="19"/>
  <c r="AT22" i="44"/>
  <c r="BL19" i="49"/>
  <c r="G60" i="19"/>
  <c r="I60" i="19" l="1"/>
  <c r="I59" i="19"/>
  <c r="BM19" i="49"/>
  <c r="BA22" i="44"/>
  <c r="I21" i="44"/>
  <c r="I37" i="44" s="1"/>
  <c r="AX20" i="1"/>
  <c r="AX35" i="1"/>
  <c r="BB20" i="1"/>
  <c r="BM20" i="1" s="1"/>
  <c r="BM35" i="1" s="1"/>
  <c r="AT20" i="1"/>
  <c r="AT35" i="1" s="1"/>
  <c r="AS20" i="1"/>
  <c r="BL20" i="1" s="1"/>
  <c r="BL35" i="1" s="1"/>
  <c r="H60" i="19"/>
  <c r="J60" i="19" s="1"/>
  <c r="H21" i="44"/>
  <c r="H37" i="44" s="1"/>
  <c r="AS21" i="44"/>
  <c r="AS37" i="44" s="1"/>
  <c r="K21" i="44"/>
  <c r="K36" i="44" s="1"/>
  <c r="H52" i="19"/>
  <c r="J52" i="19" s="1"/>
  <c r="H78" i="19"/>
  <c r="J78" i="19" s="1"/>
  <c r="H39" i="19"/>
  <c r="H39" i="20" s="1"/>
  <c r="H46" i="19"/>
  <c r="H46" i="20" s="1"/>
  <c r="H40" i="19"/>
  <c r="H40" i="20" s="1"/>
  <c r="H98" i="19"/>
  <c r="J98" i="19" s="1"/>
  <c r="T8" i="45"/>
  <c r="AN18" i="49"/>
  <c r="H43" i="19"/>
  <c r="H43" i="20" s="1"/>
  <c r="H59" i="19"/>
  <c r="H59" i="20" s="1"/>
  <c r="H45" i="19"/>
  <c r="J45" i="19" s="1"/>
  <c r="H45" i="20"/>
  <c r="J45" i="20" s="1"/>
  <c r="H94" i="19"/>
  <c r="J94" i="19" s="1"/>
  <c r="H79" i="19"/>
  <c r="H79" i="20"/>
  <c r="H79" i="21" s="1"/>
  <c r="H79" i="22" s="1"/>
  <c r="H79" i="23" s="1"/>
  <c r="H79" i="24" s="1"/>
  <c r="H79" i="25" s="1"/>
  <c r="H63" i="19"/>
  <c r="J63" i="19" s="1"/>
  <c r="H101" i="19"/>
  <c r="J101" i="19" s="1"/>
  <c r="H100" i="19"/>
  <c r="J100" i="19" s="1"/>
  <c r="AW20" i="1"/>
  <c r="BK20" i="1" s="1"/>
  <c r="BK35" i="1" s="1"/>
  <c r="H99" i="19"/>
  <c r="H99" i="20" s="1"/>
  <c r="H95" i="19"/>
  <c r="J95" i="19" s="1"/>
  <c r="H47" i="19"/>
  <c r="H47" i="20" s="1"/>
  <c r="H64" i="19"/>
  <c r="H64" i="20" s="1"/>
  <c r="H44" i="19"/>
  <c r="J44" i="19" s="1"/>
  <c r="J46" i="19" l="1"/>
  <c r="BB35" i="1"/>
  <c r="J18" i="49"/>
  <c r="I36" i="44"/>
  <c r="H36" i="44"/>
  <c r="H94" i="20"/>
  <c r="H94" i="21" s="1"/>
  <c r="J94" i="21" s="1"/>
  <c r="H60" i="20"/>
  <c r="J60" i="20" s="1"/>
  <c r="H44" i="20"/>
  <c r="J44" i="20" s="1"/>
  <c r="H101" i="20"/>
  <c r="J101" i="20" s="1"/>
  <c r="J43" i="19"/>
  <c r="H63" i="20"/>
  <c r="J63" i="20" s="1"/>
  <c r="J99" i="20"/>
  <c r="H99" i="21"/>
  <c r="J39" i="20"/>
  <c r="H39" i="21"/>
  <c r="J47" i="20"/>
  <c r="H47" i="21"/>
  <c r="H94" i="22"/>
  <c r="H43" i="21"/>
  <c r="J43" i="20"/>
  <c r="H40" i="21"/>
  <c r="J40" i="20"/>
  <c r="H79" i="40"/>
  <c r="J79" i="25"/>
  <c r="H46" i="21"/>
  <c r="J46" i="20"/>
  <c r="H64" i="21"/>
  <c r="J64" i="20"/>
  <c r="H59" i="21"/>
  <c r="J59" i="20"/>
  <c r="J39" i="19"/>
  <c r="H44" i="21"/>
  <c r="H95" i="20"/>
  <c r="AW35" i="1"/>
  <c r="BO35" i="1" s="1"/>
  <c r="BP35" i="1" s="1"/>
  <c r="H100" i="20"/>
  <c r="H101" i="21"/>
  <c r="H63" i="21"/>
  <c r="H45" i="21"/>
  <c r="H52" i="20"/>
  <c r="J47" i="19"/>
  <c r="H60" i="21"/>
  <c r="AS35" i="1"/>
  <c r="J40" i="19"/>
  <c r="K37" i="44"/>
  <c r="BL18" i="49"/>
  <c r="G18" i="49"/>
  <c r="H98" i="20"/>
  <c r="BO20" i="1"/>
  <c r="BP20" i="1" s="1"/>
  <c r="J64" i="19"/>
  <c r="AT21" i="44"/>
  <c r="BB21" i="44"/>
  <c r="J59" i="19"/>
  <c r="J99" i="19"/>
  <c r="AS36" i="44"/>
  <c r="H18" i="49"/>
  <c r="H78" i="20"/>
  <c r="J94" i="20" l="1"/>
  <c r="BA21" i="44"/>
  <c r="AT37" i="44"/>
  <c r="BM18" i="49"/>
  <c r="AT36" i="44"/>
  <c r="H64" i="22"/>
  <c r="J64" i="21"/>
  <c r="J43" i="21"/>
  <c r="H43" i="22"/>
  <c r="H98" i="21"/>
  <c r="J98" i="20"/>
  <c r="J52" i="20"/>
  <c r="H52" i="21"/>
  <c r="J100" i="20"/>
  <c r="H100" i="21"/>
  <c r="J47" i="21"/>
  <c r="H47" i="22"/>
  <c r="J99" i="21"/>
  <c r="H99" i="22"/>
  <c r="BB36" i="44"/>
  <c r="BB37" i="44"/>
  <c r="BC21" i="44"/>
  <c r="J78" i="20"/>
  <c r="H78" i="21"/>
  <c r="H101" i="22"/>
  <c r="J101" i="21"/>
  <c r="H44" i="22"/>
  <c r="J44" i="21"/>
  <c r="J59" i="21"/>
  <c r="H59" i="22"/>
  <c r="J46" i="21"/>
  <c r="H46" i="22"/>
  <c r="J40" i="21"/>
  <c r="H40" i="22"/>
  <c r="J94" i="22"/>
  <c r="H94" i="23"/>
  <c r="J45" i="21"/>
  <c r="H45" i="22"/>
  <c r="H60" i="22"/>
  <c r="J60" i="21"/>
  <c r="J63" i="21"/>
  <c r="H63" i="22"/>
  <c r="J95" i="20"/>
  <c r="H95" i="21"/>
  <c r="H39" i="22"/>
  <c r="J39" i="21"/>
  <c r="H45" i="23" l="1"/>
  <c r="J45" i="22"/>
  <c r="J59" i="22"/>
  <c r="H59" i="23"/>
  <c r="J64" i="22"/>
  <c r="H64" i="23"/>
  <c r="H99" i="23"/>
  <c r="J99" i="22"/>
  <c r="H100" i="22"/>
  <c r="J100" i="21"/>
  <c r="J40" i="22"/>
  <c r="H40" i="23"/>
  <c r="BC36" i="44"/>
  <c r="BC37" i="44"/>
  <c r="J98" i="21"/>
  <c r="H98" i="22"/>
  <c r="J44" i="22"/>
  <c r="H44" i="23"/>
  <c r="H95" i="22"/>
  <c r="J95" i="21"/>
  <c r="H94" i="24"/>
  <c r="J94" i="23"/>
  <c r="J46" i="22"/>
  <c r="H46" i="23"/>
  <c r="J78" i="21"/>
  <c r="H78" i="22"/>
  <c r="H63" i="23"/>
  <c r="J63" i="22"/>
  <c r="BA36" i="44"/>
  <c r="BA37" i="44"/>
  <c r="J60" i="22"/>
  <c r="H60" i="23"/>
  <c r="J39" i="22"/>
  <c r="H39" i="23"/>
  <c r="H101" i="23"/>
  <c r="J101" i="22"/>
  <c r="J47" i="22"/>
  <c r="H47" i="23"/>
  <c r="J52" i="21"/>
  <c r="H52" i="22"/>
  <c r="H43" i="23"/>
  <c r="J43" i="22"/>
  <c r="J94" i="24" l="1"/>
  <c r="H94" i="25"/>
  <c r="J44" i="23"/>
  <c r="H44" i="24"/>
  <c r="J63" i="23"/>
  <c r="H63" i="24"/>
  <c r="H43" i="24"/>
  <c r="J43" i="23"/>
  <c r="H100" i="23"/>
  <c r="J100" i="22"/>
  <c r="J45" i="23"/>
  <c r="H45" i="24"/>
  <c r="J47" i="23"/>
  <c r="H47" i="24"/>
  <c r="J39" i="23"/>
  <c r="H39" i="24"/>
  <c r="H78" i="23"/>
  <c r="J78" i="22"/>
  <c r="J64" i="23"/>
  <c r="H64" i="24"/>
  <c r="J101" i="23"/>
  <c r="H101" i="24"/>
  <c r="H95" i="23"/>
  <c r="J95" i="22"/>
  <c r="H99" i="24"/>
  <c r="J99" i="23"/>
  <c r="H52" i="23"/>
  <c r="J52" i="22"/>
  <c r="J60" i="23"/>
  <c r="H60" i="24"/>
  <c r="J46" i="23"/>
  <c r="H46" i="24"/>
  <c r="J98" i="22"/>
  <c r="H98" i="23"/>
  <c r="H40" i="24"/>
  <c r="J40" i="23"/>
  <c r="H59" i="24"/>
  <c r="J59" i="23"/>
  <c r="H78" i="24" l="1"/>
  <c r="J78" i="23"/>
  <c r="J100" i="23"/>
  <c r="H100" i="24"/>
  <c r="H98" i="24"/>
  <c r="J98" i="23"/>
  <c r="H59" i="25"/>
  <c r="J59" i="24"/>
  <c r="H99" i="25"/>
  <c r="J99" i="24"/>
  <c r="H60" i="25"/>
  <c r="J60" i="24"/>
  <c r="J101" i="24"/>
  <c r="H101" i="25"/>
  <c r="H47" i="25"/>
  <c r="J47" i="24"/>
  <c r="J63" i="24"/>
  <c r="H63" i="25"/>
  <c r="H94" i="40"/>
  <c r="J94" i="40" s="1"/>
  <c r="J94" i="25"/>
  <c r="J40" i="24"/>
  <c r="H40" i="25"/>
  <c r="H52" i="24"/>
  <c r="J52" i="23"/>
  <c r="J95" i="23"/>
  <c r="H95" i="24"/>
  <c r="H43" i="25"/>
  <c r="J43" i="24"/>
  <c r="H46" i="25"/>
  <c r="J46" i="24"/>
  <c r="J64" i="24"/>
  <c r="H64" i="25"/>
  <c r="J39" i="24"/>
  <c r="H39" i="25"/>
  <c r="H45" i="25"/>
  <c r="J45" i="24"/>
  <c r="J44" i="24"/>
  <c r="H44" i="25"/>
  <c r="H99" i="40" l="1"/>
  <c r="J99" i="40" s="1"/>
  <c r="J99" i="25"/>
  <c r="H95" i="25"/>
  <c r="J95" i="24"/>
  <c r="J46" i="25"/>
  <c r="H46" i="40"/>
  <c r="J46" i="40" s="1"/>
  <c r="H78" i="25"/>
  <c r="J78" i="24"/>
  <c r="H44" i="40"/>
  <c r="J44" i="40" s="1"/>
  <c r="J44" i="25"/>
  <c r="J39" i="25"/>
  <c r="H39" i="40"/>
  <c r="J39" i="40" s="1"/>
  <c r="H40" i="40"/>
  <c r="J40" i="40" s="1"/>
  <c r="J40" i="25"/>
  <c r="J101" i="25"/>
  <c r="H101" i="40"/>
  <c r="J101" i="40" s="1"/>
  <c r="H45" i="40"/>
  <c r="J45" i="40" s="1"/>
  <c r="J45" i="25"/>
  <c r="J43" i="25"/>
  <c r="H43" i="40"/>
  <c r="J43" i="40" s="1"/>
  <c r="J52" i="24"/>
  <c r="H52" i="25"/>
  <c r="J47" i="25"/>
  <c r="H47" i="40"/>
  <c r="J47" i="40" s="1"/>
  <c r="H60" i="40"/>
  <c r="J60" i="40" s="1"/>
  <c r="J60" i="25"/>
  <c r="J59" i="25"/>
  <c r="H59" i="40"/>
  <c r="J59" i="40" s="1"/>
  <c r="J98" i="24"/>
  <c r="H98" i="25"/>
  <c r="H63" i="40"/>
  <c r="J63" i="40" s="1"/>
  <c r="J63" i="25"/>
  <c r="J64" i="25"/>
  <c r="H64" i="40"/>
  <c r="J64" i="40" s="1"/>
  <c r="J100" i="24"/>
  <c r="H100" i="25"/>
  <c r="H98" i="40" l="1"/>
  <c r="J98" i="40" s="1"/>
  <c r="J98" i="25"/>
  <c r="J78" i="25"/>
  <c r="H78" i="40"/>
  <c r="J78" i="40" s="1"/>
  <c r="J95" i="25"/>
  <c r="H95" i="40"/>
  <c r="J95" i="40" s="1"/>
  <c r="J52" i="25"/>
  <c r="H52" i="40"/>
  <c r="J52" i="40" s="1"/>
  <c r="J100" i="25"/>
  <c r="H100" i="40"/>
  <c r="J100" i="40" s="1"/>
</calcChain>
</file>

<file path=xl/sharedStrings.xml><?xml version="1.0" encoding="utf-8"?>
<sst xmlns="http://schemas.openxmlformats.org/spreadsheetml/2006/main" count="10749" uniqueCount="377">
  <si>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</si>
  <si>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</si>
  <si>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</si>
  <si>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</si>
  <si>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</si>
  <si>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</si>
  <si>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</si>
  <si>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</si>
  <si>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</si>
  <si>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</si>
  <si>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</si>
  <si>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</si>
  <si>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</si>
  <si>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</si>
  <si>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</si>
  <si>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</si>
  <si>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</si>
  <si>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</si>
  <si>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</si>
  <si>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</si>
  <si>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</si>
  <si>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</si>
  <si>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</si>
  <si>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</si>
  <si>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</si>
  <si>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</si>
  <si>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</si>
  <si>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</si>
  <si>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</si>
  <si>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</si>
  <si>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</si>
  <si>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</si>
  <si>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</si>
  <si>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</si>
  <si>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</si>
  <si>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</si>
  <si>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</si>
  <si>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</si>
  <si>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</si>
  <si>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</si>
  <si>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</si>
  <si>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</si>
  <si>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</si>
  <si>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</si>
  <si>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</si>
  <si>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</si>
  <si>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</si>
  <si>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</si>
  <si>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</si>
  <si>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</si>
  <si>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</si>
  <si>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</si>
  <si>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</si>
  <si>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</si>
  <si>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</si>
  <si>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</si>
  <si>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</si>
  <si>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</si>
  <si>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</si>
  <si>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</si>
  <si>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</si>
  <si>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</si>
  <si>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</si>
  <si>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</si>
  <si>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</si>
  <si>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</si>
  <si>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</si>
  <si>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</si>
  <si>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</si>
  <si>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</si>
  <si>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</si>
  <si>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</si>
  <si>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</si>
  <si>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</si>
  <si>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</si>
  <si>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</si>
  <si>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</si>
  <si>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</si>
  <si>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</si>
  <si>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</si>
  <si>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</si>
  <si>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</si>
  <si>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</si>
  <si>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</si>
  <si>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</si>
  <si>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</si>
  <si>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</si>
  <si>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</si>
  <si>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</si>
  <si>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</si>
  <si>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</si>
  <si>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</si>
  <si>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</si>
  <si>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</si>
  <si>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</si>
  <si>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</si>
  <si>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</si>
  <si>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</si>
  <si>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</si>
  <si>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</si>
  <si>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</si>
  <si>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</si>
  <si>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</si>
  <si>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</si>
  <si>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</si>
  <si>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</si>
  <si>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</si>
  <si>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</si>
  <si>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</si>
  <si>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</si>
  <si>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</si>
  <si>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</si>
  <si>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</si>
  <si>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</si>
  <si>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</si>
  <si>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</si>
  <si>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</si>
  <si>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</si>
  <si>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</si>
  <si>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</si>
  <si>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</si>
  <si>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</si>
  <si>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</si>
  <si>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</si>
  <si>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</si>
  <si>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</si>
  <si>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</si>
  <si>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</si>
  <si>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</si>
  <si>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</si>
  <si>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</si>
  <si>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</si>
  <si>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</si>
  <si>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</si>
  <si>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</si>
  <si>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</si>
  <si>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</si>
  <si>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</si>
  <si>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</si>
  <si>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</si>
  <si>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</si>
  <si>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</si>
  <si>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</si>
  <si>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</si>
  <si>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</si>
  <si>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</si>
  <si>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</si>
  <si>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</si>
  <si>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</si>
  <si>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</si>
  <si>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</si>
  <si>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</si>
  <si>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</si>
  <si>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</si>
  <si>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</si>
  <si>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</si>
  <si>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</si>
  <si>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</si>
  <si>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</si>
  <si>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</si>
  <si>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</si>
  <si>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</si>
  <si>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</si>
  <si>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</si>
  <si>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</si>
  <si>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</si>
  <si>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</si>
  <si>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</si>
  <si>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</si>
  <si>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</si>
  <si>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</si>
  <si>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</si>
  <si>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</si>
  <si>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</si>
  <si>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</si>
  <si>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</si>
  <si>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</si>
  <si>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</si>
  <si>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</si>
  <si>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</si>
  <si>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</si>
  <si>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</si>
  <si>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</si>
  <si>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</si>
  <si>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</si>
  <si>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</si>
  <si>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</si>
  <si>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</si>
  <si>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</si>
  <si>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</si>
  <si>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</si>
  <si>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</si>
  <si>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</si>
  <si>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</si>
  <si>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</si>
  <si>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</si>
  <si>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</si>
  <si>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</si>
  <si>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</si>
  <si>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</si>
  <si>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</si>
  <si>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</si>
  <si>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</si>
  <si>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</si>
  <si>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</si>
  <si>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</si>
  <si>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</si>
  <si>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</si>
  <si>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</si>
  <si>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</si>
  <si>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</si>
  <si>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</si>
  <si>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</si>
  <si>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</si>
  <si>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</si>
  <si>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</si>
  <si>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</si>
  <si>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</si>
  <si>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</si>
  <si>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</si>
  <si>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</si>
  <si>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</si>
  <si>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</si>
  <si>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</si>
  <si>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</si>
  <si>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</si>
  <si>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</si>
  <si>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</si>
  <si>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</si>
  <si>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</si>
  <si>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</si>
  <si>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</si>
  <si>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</si>
  <si>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</si>
  <si>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</si>
  <si>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</si>
  <si>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</si>
  <si>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</si>
  <si>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</si>
  <si>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</si>
  <si>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</si>
  <si>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</si>
  <si>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</si>
  <si>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</si>
  <si>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</si>
  <si>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</si>
  <si>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</si>
  <si>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</si>
  <si>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</si>
  <si>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</si>
  <si>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</si>
  <si>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</si>
  <si>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</si>
  <si>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</si>
  <si>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</si>
  <si>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</si>
  <si>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</si>
  <si>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</si>
  <si>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</si>
  <si>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</si>
  <si>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</si>
  <si>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</si>
  <si>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</si>
  <si>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</si>
  <si>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</si>
  <si>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</si>
  <si>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</si>
  <si>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</si>
  <si>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</si>
  <si>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</si>
  <si>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</si>
  <si>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</si>
  <si>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</si>
  <si>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</si>
  <si>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</si>
  <si>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</si>
  <si>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</si>
  <si>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</si>
  <si>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</si>
  <si>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</si>
  <si>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</si>
  <si>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</si>
  <si>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</si>
  <si>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</si>
  <si>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</si>
  <si>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</si>
  <si>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</si>
  <si>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</si>
  <si>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</si>
  <si>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</si>
  <si>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</si>
  <si>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</si>
  <si>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</si>
  <si>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</si>
  <si>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</si>
  <si>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</si>
  <si>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</si>
  <si>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</si>
  <si>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</si>
  <si>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</si>
  <si>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</si>
  <si>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</si>
  <si>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</si>
  <si>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</si>
  <si>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</si>
  <si>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</si>
  <si>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</si>
  <si>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</si>
  <si>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</si>
  <si>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</si>
  <si>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</si>
  <si>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</si>
  <si>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</si>
  <si>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</si>
  <si>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</si>
  <si>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</si>
  <si>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</si>
  <si>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</si>
  <si>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</si>
  <si>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</si>
  <si>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</si>
  <si>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</si>
  <si>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</si>
  <si>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</si>
  <si>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</si>
  <si>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</si>
  <si>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</si>
  <si>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</si>
  <si>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</si>
  <si>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</si>
  <si>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</si>
  <si>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</si>
  <si>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</si>
  <si>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</si>
  <si>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</si>
  <si>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</si>
  <si>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</si>
  <si>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</si>
  <si>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</si>
  <si>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</si>
  <si>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</si>
  <si>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</si>
  <si>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</si>
  <si>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</si>
  <si>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</si>
  <si>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</si>
  <si>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</si>
  <si>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</si>
  <si>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</si>
  <si>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Prepaired by--- Ramesh</t>
  </si>
  <si>
    <t>10th floor</t>
  </si>
  <si>
    <t>25th floor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</si>
  <si>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</si>
  <si>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</si>
  <si>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</si>
  <si>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</si>
  <si>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</si>
  <si>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</si>
  <si>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</si>
  <si>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</si>
  <si>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</si>
  <si>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</si>
  <si>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</si>
  <si>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</si>
  <si>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</si>
  <si>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6th floor meeting room</t>
  </si>
  <si>
    <t xml:space="preserve">Emergency Power Panel ( capacitor bank area) </t>
  </si>
  <si>
    <t xml:space="preserve"> .</t>
  </si>
  <si>
    <t>Prepaired by---Prakash</t>
  </si>
  <si>
    <t xml:space="preserve">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</si>
  <si>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</si>
  <si>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.</t>
  </si>
  <si>
    <t xml:space="preserve">Prepaired by--- Prakash </t>
  </si>
  <si>
    <t>tanker</t>
  </si>
  <si>
    <t>Prepaired by---Ramesh</t>
  </si>
  <si>
    <t xml:space="preserve">Prepaired by--- Nilesh 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</si>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</sst>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  <numFmt numFmtId="174" formatCode="_ * #,##0_ ;_ * \-#,##0_ ;_ * &quot;-&quot;??_ ;_ @_ "/>
    <numFmt numFmtId="175" formatCode="0.00_ ;[Red]\-0.00\ "/>
    <numFmt numFmtId="176" formatCode="[$-F800]dddd\,\ mmmm\ dd\,\ yyyy"/>
    <numFmt numFmtId="177" formatCode="0.000"/>
  </numFmts>
  <fonts count="98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b/>
      <i/>
      <sz val="20"/>
      <name val="Calibri"/>
      <family val="2"/>
    </font>
    <font>
      <sz val="20"/>
      <color rgb="FFFF0000"/>
      <name val="Calibri"/>
      <family val="2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i/>
      <sz val="20"/>
      <color theme="0"/>
      <name val="Calibri"/>
      <family val="2"/>
    </font>
    <font>
      <b/>
      <sz val="20"/>
      <color theme="1"/>
      <name val="Calibri"/>
      <family val="2"/>
    </font>
    <font>
      <b/>
      <sz val="20"/>
      <color rgb="FF7030A0"/>
      <name val="Calibri"/>
      <family val="2"/>
    </font>
    <font>
      <i/>
      <sz val="20"/>
      <name val="Calibri"/>
      <family val="2"/>
    </font>
    <font>
      <b/>
      <sz val="20"/>
      <color indexed="10"/>
      <name val="Calibri"/>
      <family val="2"/>
    </font>
    <font>
      <b/>
      <sz val="20"/>
      <color rgb="FFFF0000"/>
      <name val="Calibri"/>
      <family val="2"/>
    </font>
    <font>
      <b/>
      <sz val="20"/>
      <color indexed="8"/>
      <name val="Calibri"/>
      <family val="2"/>
    </font>
    <font>
      <b/>
      <sz val="20"/>
      <color rgb="FF00B050"/>
      <name val="Calibri"/>
      <family val="2"/>
    </font>
    <font>
      <b/>
      <i/>
      <sz val="20"/>
      <color rgb="FF7030A0"/>
      <name val="Calibri"/>
      <family val="2"/>
    </font>
    <font>
      <b/>
      <i/>
      <sz val="16"/>
      <name val="Arial Unicode MS"/>
      <family val="2"/>
    </font>
    <font>
      <b/>
      <sz val="18"/>
      <name val="Calibri"/>
      <family val="2"/>
    </font>
    <font>
      <sz val="18"/>
      <name val="Arial Unicode MS"/>
      <family val="2"/>
    </font>
    <font>
      <sz val="18"/>
      <color rgb="FF7030A0"/>
      <name val="Arial Unicode MS"/>
      <family val="2"/>
    </font>
    <font>
      <sz val="18"/>
      <color rgb="FF00B050"/>
      <name val="Arial Unicode MS"/>
      <family val="2"/>
    </font>
    <font>
      <sz val="18"/>
      <color indexed="10"/>
      <name val="Arial Unicode MS"/>
      <family val="2"/>
    </font>
    <font>
      <i/>
      <sz val="18"/>
      <color rgb="FF7030A0"/>
      <name val="Arial Unicode MS"/>
      <family val="2"/>
    </font>
    <font>
      <i/>
      <sz val="18"/>
      <name val="Arial Unicode MS"/>
      <family val="2"/>
    </font>
    <font>
      <sz val="18"/>
      <color rgb="FFFF0000"/>
      <name val="Arial Unicode MS"/>
      <family val="2"/>
    </font>
    <font>
      <sz val="18"/>
      <color indexed="8"/>
      <name val="Arial Unicode MS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72" fillId="0" borderId="0" applyFont="0" applyFill="0" applyBorder="0" applyAlignment="0" applyProtection="0"/>
  </cellStyleXfs>
  <cellXfs count="1375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0" fontId="43" fillId="2" borderId="1" xfId="0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1" fillId="0" borderId="16" xfId="1" applyFont="1" applyFill="1" applyBorder="1" applyAlignment="1">
      <alignment vertical="top" wrapText="1"/>
    </xf>
    <xf numFmtId="0" fontId="71" fillId="0" borderId="1" xfId="1" applyFont="1" applyFill="1" applyBorder="1" applyAlignment="1">
      <alignment horizontal="center" vertical="top" wrapText="1"/>
    </xf>
    <xf numFmtId="0" fontId="71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3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0" fontId="76" fillId="0" borderId="0" xfId="0" applyFont="1"/>
    <xf numFmtId="168" fontId="77" fillId="9" borderId="16" xfId="3" applyNumberFormat="1" applyFont="1" applyFill="1" applyBorder="1" applyAlignment="1">
      <alignment horizontal="left"/>
    </xf>
    <xf numFmtId="9" fontId="77" fillId="9" borderId="16" xfId="3" applyNumberFormat="1" applyFont="1" applyFill="1" applyBorder="1" applyAlignment="1">
      <alignment horizontal="left"/>
    </xf>
    <xf numFmtId="0" fontId="79" fillId="2" borderId="0" xfId="3" applyFont="1" applyFill="1" applyBorder="1" applyAlignment="1">
      <alignment horizontal="center" vertical="center"/>
    </xf>
    <xf numFmtId="0" fontId="76" fillId="0" borderId="0" xfId="0" applyFont="1" applyBorder="1"/>
    <xf numFmtId="0" fontId="77" fillId="9" borderId="16" xfId="3" applyFont="1" applyFill="1" applyBorder="1"/>
    <xf numFmtId="166" fontId="79" fillId="2" borderId="0" xfId="3" applyNumberFormat="1" applyFont="1" applyFill="1" applyBorder="1" applyAlignment="1">
      <alignment horizontal="center"/>
    </xf>
    <xf numFmtId="0" fontId="77" fillId="8" borderId="16" xfId="3" applyFont="1" applyFill="1" applyBorder="1" applyAlignment="1">
      <alignment horizontal="center" vertical="center"/>
    </xf>
    <xf numFmtId="0" fontId="77" fillId="8" borderId="1" xfId="3" applyFont="1" applyFill="1" applyBorder="1" applyAlignment="1">
      <alignment horizontal="center" vertical="center"/>
    </xf>
    <xf numFmtId="2" fontId="77" fillId="8" borderId="1" xfId="3" applyNumberFormat="1" applyFont="1" applyFill="1" applyBorder="1" applyAlignment="1">
      <alignment horizontal="center"/>
    </xf>
    <xf numFmtId="166" fontId="74" fillId="2" borderId="0" xfId="3" applyNumberFormat="1" applyFont="1" applyFill="1" applyBorder="1" applyAlignment="1">
      <alignment horizontal="center" vertical="center" wrapText="1" shrinkToFit="1"/>
    </xf>
    <xf numFmtId="0" fontId="80" fillId="0" borderId="0" xfId="0" applyFont="1" applyBorder="1"/>
    <xf numFmtId="0" fontId="80" fillId="0" borderId="0" xfId="0" applyFont="1"/>
    <xf numFmtId="0" fontId="77" fillId="12" borderId="1" xfId="3" applyFont="1" applyFill="1" applyBorder="1" applyAlignment="1">
      <alignment horizontal="center" vertical="center"/>
    </xf>
    <xf numFmtId="0" fontId="77" fillId="12" borderId="1" xfId="3" applyFont="1" applyFill="1" applyBorder="1" applyAlignment="1">
      <alignment horizontal="center"/>
    </xf>
    <xf numFmtId="0" fontId="74" fillId="2" borderId="0" xfId="3" applyFont="1" applyFill="1" applyBorder="1" applyAlignment="1">
      <alignment horizontal="center" vertical="center"/>
    </xf>
    <xf numFmtId="0" fontId="77" fillId="8" borderId="16" xfId="3" applyFont="1" applyFill="1" applyBorder="1" applyAlignment="1">
      <alignment horizontal="left" vertical="center"/>
    </xf>
    <xf numFmtId="0" fontId="77" fillId="8" borderId="1" xfId="3" applyFont="1" applyFill="1" applyBorder="1" applyAlignment="1">
      <alignment horizontal="center"/>
    </xf>
    <xf numFmtId="2" fontId="78" fillId="8" borderId="9" xfId="3" applyNumberFormat="1" applyFont="1" applyFill="1" applyBorder="1" applyAlignment="1">
      <alignment horizontal="center"/>
    </xf>
    <xf numFmtId="2" fontId="76" fillId="0" borderId="0" xfId="0" applyNumberFormat="1" applyFont="1"/>
    <xf numFmtId="1" fontId="76" fillId="0" borderId="0" xfId="0" applyNumberFormat="1" applyFont="1"/>
    <xf numFmtId="0" fontId="77" fillId="8" borderId="20" xfId="3" applyFont="1" applyFill="1" applyBorder="1" applyAlignment="1">
      <alignment horizontal="left" vertical="center"/>
    </xf>
    <xf numFmtId="0" fontId="77" fillId="8" borderId="7" xfId="3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center"/>
    </xf>
    <xf numFmtId="169" fontId="77" fillId="8" borderId="16" xfId="3" applyNumberFormat="1" applyFont="1" applyFill="1" applyBorder="1" applyAlignment="1">
      <alignment vertical="center"/>
    </xf>
    <xf numFmtId="1" fontId="82" fillId="2" borderId="0" xfId="5" applyNumberFormat="1" applyFont="1" applyFill="1" applyBorder="1" applyAlignment="1" applyProtection="1">
      <alignment horizontal="center"/>
    </xf>
    <xf numFmtId="0" fontId="77" fillId="13" borderId="16" xfId="3" applyFont="1" applyFill="1" applyBorder="1" applyAlignment="1">
      <alignment horizontal="center"/>
    </xf>
    <xf numFmtId="0" fontId="82" fillId="2" borderId="0" xfId="3" applyFont="1" applyFill="1" applyBorder="1" applyAlignment="1">
      <alignment horizontal="center"/>
    </xf>
    <xf numFmtId="0" fontId="77" fillId="8" borderId="16" xfId="3" applyFont="1" applyFill="1" applyBorder="1" applyAlignment="1">
      <alignment horizontal="left"/>
    </xf>
    <xf numFmtId="0" fontId="77" fillId="2" borderId="16" xfId="3" applyFont="1" applyFill="1" applyBorder="1" applyAlignment="1">
      <alignment horizontal="left" vertical="center"/>
    </xf>
    <xf numFmtId="0" fontId="77" fillId="13" borderId="16" xfId="3" applyFont="1" applyFill="1" applyBorder="1" applyAlignment="1">
      <alignment horizontal="center" vertical="center"/>
    </xf>
    <xf numFmtId="0" fontId="83" fillId="2" borderId="13" xfId="3" applyFont="1" applyFill="1" applyBorder="1" applyAlignment="1">
      <alignment horizontal="center"/>
    </xf>
    <xf numFmtId="0" fontId="83" fillId="13" borderId="13" xfId="3" applyFont="1" applyFill="1" applyBorder="1" applyAlignment="1">
      <alignment horizontal="center"/>
    </xf>
    <xf numFmtId="0" fontId="77" fillId="12" borderId="16" xfId="3" applyFont="1" applyFill="1" applyBorder="1" applyAlignment="1">
      <alignment horizontal="left"/>
    </xf>
    <xf numFmtId="1" fontId="75" fillId="2" borderId="0" xfId="0" applyNumberFormat="1" applyFont="1" applyFill="1"/>
    <xf numFmtId="1" fontId="75" fillId="0" borderId="0" xfId="0" applyNumberFormat="1" applyFont="1"/>
    <xf numFmtId="2" fontId="77" fillId="8" borderId="16" xfId="3" applyNumberFormat="1" applyFont="1" applyFill="1" applyBorder="1" applyAlignment="1">
      <alignment horizontal="left" vertical="center"/>
    </xf>
    <xf numFmtId="0" fontId="82" fillId="2" borderId="0" xfId="3" applyFont="1" applyFill="1" applyBorder="1" applyAlignment="1">
      <alignment horizontal="center" vertical="center"/>
    </xf>
    <xf numFmtId="166" fontId="82" fillId="2" borderId="0" xfId="5" applyNumberFormat="1" applyFont="1" applyFill="1" applyBorder="1" applyAlignment="1" applyProtection="1">
      <alignment horizontal="center"/>
    </xf>
    <xf numFmtId="0" fontId="78" fillId="0" borderId="0" xfId="0" applyFont="1" applyBorder="1"/>
    <xf numFmtId="0" fontId="78" fillId="0" borderId="0" xfId="0" applyFont="1"/>
    <xf numFmtId="166" fontId="82" fillId="2" borderId="0" xfId="3" applyNumberFormat="1" applyFont="1" applyFill="1" applyBorder="1" applyAlignment="1">
      <alignment horizontal="center"/>
    </xf>
    <xf numFmtId="0" fontId="76" fillId="0" borderId="1" xfId="0" applyFont="1" applyBorder="1" applyAlignment="1">
      <alignment horizontal="center"/>
    </xf>
    <xf numFmtId="0" fontId="76" fillId="0" borderId="0" xfId="4" applyFont="1"/>
    <xf numFmtId="0" fontId="76" fillId="0" borderId="0" xfId="0" applyFont="1" applyAlignment="1">
      <alignment horizontal="center"/>
    </xf>
    <xf numFmtId="0" fontId="80" fillId="0" borderId="1" xfId="0" applyFont="1" applyBorder="1"/>
    <xf numFmtId="38" fontId="76" fillId="0" borderId="1" xfId="0" applyNumberFormat="1" applyFont="1" applyBorder="1" applyAlignment="1">
      <alignment horizontal="center"/>
    </xf>
    <xf numFmtId="0" fontId="80" fillId="0" borderId="2" xfId="0" applyFont="1" applyBorder="1" applyAlignment="1"/>
    <xf numFmtId="1" fontId="76" fillId="0" borderId="0" xfId="0" applyNumberFormat="1" applyFont="1" applyFill="1" applyAlignment="1">
      <alignment horizontal="center"/>
    </xf>
    <xf numFmtId="0" fontId="84" fillId="0" borderId="16" xfId="4" applyFont="1" applyFill="1" applyBorder="1"/>
    <xf numFmtId="0" fontId="80" fillId="12" borderId="1" xfId="0" applyFont="1" applyFill="1" applyBorder="1" applyAlignment="1">
      <alignment horizontal="left"/>
    </xf>
    <xf numFmtId="0" fontId="80" fillId="12" borderId="1" xfId="0" applyFont="1" applyFill="1" applyBorder="1"/>
    <xf numFmtId="173" fontId="38" fillId="0" borderId="1" xfId="5" applyNumberFormat="1" applyFont="1" applyFill="1" applyBorder="1" applyAlignment="1">
      <alignment horizontal="center" vertical="center"/>
    </xf>
    <xf numFmtId="173" fontId="38" fillId="0" borderId="0" xfId="5" applyNumberFormat="1" applyFont="1" applyFill="1" applyBorder="1" applyAlignment="1">
      <alignment horizontal="center" vertical="center"/>
    </xf>
    <xf numFmtId="173" fontId="43" fillId="12" borderId="0" xfId="0" applyNumberFormat="1" applyFont="1" applyFill="1" applyBorder="1"/>
    <xf numFmtId="1" fontId="38" fillId="10" borderId="1" xfId="5" applyNumberFormat="1" applyFont="1" applyFill="1" applyBorder="1" applyAlignment="1">
      <alignment horizontal="center" vertical="center"/>
    </xf>
    <xf numFmtId="38" fontId="43" fillId="12" borderId="0" xfId="0" applyNumberFormat="1" applyFont="1" applyFill="1" applyBorder="1"/>
    <xf numFmtId="0" fontId="80" fillId="0" borderId="1" xfId="0" applyFont="1" applyBorder="1" applyAlignment="1">
      <alignment horizontal="center"/>
    </xf>
    <xf numFmtId="38" fontId="80" fillId="0" borderId="1" xfId="0" applyNumberFormat="1" applyFont="1" applyBorder="1" applyAlignment="1">
      <alignment horizontal="center"/>
    </xf>
    <xf numFmtId="0" fontId="77" fillId="8" borderId="1" xfId="3" applyFont="1" applyFill="1" applyBorder="1" applyAlignment="1">
      <alignment horizontal="left" vertical="center"/>
    </xf>
    <xf numFmtId="0" fontId="77" fillId="8" borderId="5" xfId="3" applyFont="1" applyFill="1" applyBorder="1" applyAlignment="1">
      <alignment horizontal="left" vertical="center"/>
    </xf>
    <xf numFmtId="0" fontId="77" fillId="8" borderId="10" xfId="3" applyFont="1" applyFill="1" applyBorder="1" applyAlignment="1">
      <alignment horizontal="left" vertical="center"/>
    </xf>
    <xf numFmtId="169" fontId="77" fillId="8" borderId="1" xfId="3" applyNumberFormat="1" applyFont="1" applyFill="1" applyBorder="1" applyAlignment="1">
      <alignment vertical="center"/>
    </xf>
    <xf numFmtId="0" fontId="77" fillId="13" borderId="1" xfId="3" applyFont="1" applyFill="1" applyBorder="1" applyAlignment="1">
      <alignment horizontal="center"/>
    </xf>
    <xf numFmtId="0" fontId="77" fillId="8" borderId="1" xfId="3" applyFont="1" applyFill="1" applyBorder="1" applyAlignment="1">
      <alignment horizontal="left"/>
    </xf>
    <xf numFmtId="0" fontId="77" fillId="2" borderId="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center"/>
    </xf>
    <xf numFmtId="0" fontId="86" fillId="8" borderId="1" xfId="3" applyFont="1" applyFill="1" applyBorder="1" applyAlignment="1">
      <alignment horizontal="center"/>
    </xf>
    <xf numFmtId="0" fontId="77" fillId="13" borderId="1" xfId="3" applyFont="1" applyFill="1" applyBorder="1" applyAlignment="1">
      <alignment horizontal="center" vertical="center"/>
    </xf>
    <xf numFmtId="0" fontId="83" fillId="2" borderId="3" xfId="3" applyFont="1" applyFill="1" applyBorder="1" applyAlignment="1">
      <alignment horizontal="center"/>
    </xf>
    <xf numFmtId="0" fontId="83" fillId="2" borderId="4" xfId="3" applyFont="1" applyFill="1" applyBorder="1" applyAlignment="1">
      <alignment horizontal="center"/>
    </xf>
    <xf numFmtId="164" fontId="83" fillId="8" borderId="1" xfId="8" applyFont="1" applyFill="1" applyBorder="1" applyAlignment="1">
      <alignment horizontal="center"/>
    </xf>
    <xf numFmtId="0" fontId="83" fillId="8" borderId="1" xfId="3" applyFont="1" applyFill="1" applyBorder="1" applyAlignment="1">
      <alignment horizontal="center"/>
    </xf>
    <xf numFmtId="0" fontId="83" fillId="13" borderId="3" xfId="3" applyFont="1" applyFill="1" applyBorder="1" applyAlignment="1">
      <alignment horizontal="center"/>
    </xf>
    <xf numFmtId="0" fontId="83" fillId="13" borderId="4" xfId="3" applyFont="1" applyFill="1" applyBorder="1" applyAlignment="1">
      <alignment horizontal="center"/>
    </xf>
    <xf numFmtId="0" fontId="86" fillId="2" borderId="1" xfId="3" applyFont="1" applyFill="1" applyBorder="1" applyAlignment="1">
      <alignment horizontal="center"/>
    </xf>
    <xf numFmtId="0" fontId="74" fillId="17" borderId="3" xfId="3" applyFont="1" applyFill="1" applyBorder="1" applyAlignment="1">
      <alignment vertical="justify"/>
    </xf>
    <xf numFmtId="0" fontId="77" fillId="12" borderId="1" xfId="3" applyFont="1" applyFill="1" applyBorder="1" applyAlignment="1">
      <alignment horizontal="left"/>
    </xf>
    <xf numFmtId="2" fontId="77" fillId="8" borderId="1" xfId="3" applyNumberFormat="1" applyFont="1" applyFill="1" applyBorder="1" applyAlignment="1">
      <alignment horizontal="left" vertical="center"/>
    </xf>
    <xf numFmtId="1" fontId="77" fillId="8" borderId="1" xfId="3" applyNumberFormat="1" applyFont="1" applyFill="1" applyBorder="1" applyAlignment="1">
      <alignment horizontal="center" vertical="center"/>
    </xf>
    <xf numFmtId="0" fontId="77" fillId="8" borderId="1" xfId="3" applyFont="1" applyFill="1" applyBorder="1" applyAlignment="1">
      <alignment horizontal="left" vertical="justify"/>
    </xf>
    <xf numFmtId="0" fontId="77" fillId="17" borderId="1" xfId="3" applyFont="1" applyFill="1" applyBorder="1" applyAlignment="1">
      <alignment horizontal="center"/>
    </xf>
    <xf numFmtId="0" fontId="77" fillId="0" borderId="1" xfId="4" applyFont="1" applyBorder="1" applyAlignment="1">
      <alignment horizontal="center"/>
    </xf>
    <xf numFmtId="0" fontId="77" fillId="8" borderId="6" xfId="3" applyFont="1" applyFill="1" applyBorder="1" applyAlignment="1">
      <alignment horizontal="center"/>
    </xf>
    <xf numFmtId="0" fontId="80" fillId="0" borderId="3" xfId="0" applyFont="1" applyBorder="1" applyAlignment="1"/>
    <xf numFmtId="0" fontId="80" fillId="0" borderId="4" xfId="0" applyFont="1" applyBorder="1" applyAlignment="1"/>
    <xf numFmtId="0" fontId="77" fillId="0" borderId="1" xfId="3" applyFont="1" applyFill="1" applyBorder="1" applyAlignment="1">
      <alignment horizontal="center"/>
    </xf>
    <xf numFmtId="0" fontId="77" fillId="0" borderId="1" xfId="4" applyFont="1" applyFill="1" applyBorder="1" applyAlignment="1">
      <alignment horizontal="center"/>
    </xf>
    <xf numFmtId="0" fontId="77" fillId="0" borderId="1" xfId="3" applyFont="1" applyFill="1" applyBorder="1" applyAlignment="1">
      <alignment horizontal="center" vertical="center"/>
    </xf>
    <xf numFmtId="0" fontId="77" fillId="0" borderId="0" xfId="4" applyFont="1" applyFill="1" applyBorder="1" applyAlignment="1">
      <alignment horizontal="center"/>
    </xf>
    <xf numFmtId="0" fontId="80" fillId="0" borderId="1" xfId="0" applyFont="1" applyFill="1" applyBorder="1"/>
    <xf numFmtId="0" fontId="84" fillId="0" borderId="1" xfId="0" applyFont="1" applyFill="1" applyBorder="1"/>
    <xf numFmtId="0" fontId="77" fillId="0" borderId="1" xfId="4" applyFont="1" applyFill="1" applyBorder="1"/>
    <xf numFmtId="0" fontId="80" fillId="2" borderId="0" xfId="0" applyFont="1" applyFill="1" applyBorder="1"/>
    <xf numFmtId="0" fontId="80" fillId="2" borderId="1" xfId="0" applyFont="1" applyFill="1" applyBorder="1" applyAlignment="1">
      <alignment horizontal="left"/>
    </xf>
    <xf numFmtId="0" fontId="80" fillId="0" borderId="4" xfId="0" applyFont="1" applyFill="1" applyBorder="1"/>
    <xf numFmtId="0" fontId="80" fillId="0" borderId="4" xfId="0" applyFont="1" applyFill="1" applyBorder="1" applyAlignment="1">
      <alignment horizontal="center"/>
    </xf>
    <xf numFmtId="0" fontId="77" fillId="9" borderId="1" xfId="3" applyFont="1" applyFill="1" applyBorder="1" applyAlignment="1">
      <alignment horizontal="center"/>
    </xf>
    <xf numFmtId="9" fontId="77" fillId="9" borderId="1" xfId="4" applyNumberFormat="1" applyFont="1" applyFill="1" applyBorder="1"/>
    <xf numFmtId="0" fontId="77" fillId="9" borderId="1" xfId="3" applyFont="1" applyFill="1" applyBorder="1" applyAlignment="1">
      <alignment horizontal="left"/>
    </xf>
    <xf numFmtId="0" fontId="77" fillId="9" borderId="1" xfId="3" applyFont="1" applyFill="1" applyBorder="1" applyAlignment="1"/>
    <xf numFmtId="9" fontId="77" fillId="9" borderId="1" xfId="3" applyNumberFormat="1" applyFont="1" applyFill="1" applyBorder="1" applyAlignment="1">
      <alignment horizontal="left"/>
    </xf>
    <xf numFmtId="0" fontId="0" fillId="10" borderId="0" xfId="0" applyFill="1"/>
    <xf numFmtId="2" fontId="37" fillId="0" borderId="1" xfId="0" applyNumberFormat="1" applyFont="1" applyFill="1" applyBorder="1" applyAlignment="1">
      <alignment horizontal="center"/>
    </xf>
    <xf numFmtId="2" fontId="43" fillId="0" borderId="1" xfId="0" applyNumberFormat="1" applyFont="1" applyFill="1" applyBorder="1" applyAlignment="1">
      <alignment horizontal="center"/>
    </xf>
    <xf numFmtId="0" fontId="38" fillId="8" borderId="12" xfId="5" applyNumberFormat="1" applyFont="1" applyFill="1" applyBorder="1" applyAlignment="1" applyProtection="1">
      <alignment horizontal="center"/>
    </xf>
    <xf numFmtId="2" fontId="43" fillId="0" borderId="1" xfId="0" applyNumberFormat="1" applyFont="1" applyBorder="1" applyAlignment="1">
      <alignment horizontal="center"/>
    </xf>
    <xf numFmtId="2" fontId="44" fillId="0" borderId="1" xfId="4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wrapText="1"/>
    </xf>
    <xf numFmtId="1" fontId="37" fillId="0" borderId="1" xfId="0" applyNumberFormat="1" applyFont="1" applyFill="1" applyBorder="1" applyAlignment="1">
      <alignment horizontal="center"/>
    </xf>
    <xf numFmtId="1" fontId="46" fillId="0" borderId="1" xfId="5" applyNumberFormat="1" applyFont="1" applyFill="1" applyBorder="1" applyAlignment="1">
      <alignment horizontal="center" vertical="center"/>
    </xf>
    <xf numFmtId="0" fontId="43" fillId="10" borderId="1" xfId="3" applyFont="1" applyFill="1" applyBorder="1" applyAlignment="1">
      <alignment horizontal="center"/>
    </xf>
    <xf numFmtId="2" fontId="44" fillId="2" borderId="1" xfId="4" applyNumberFormat="1" applyFont="1" applyFill="1" applyBorder="1" applyAlignment="1">
      <alignment horizontal="center" wrapText="1"/>
    </xf>
    <xf numFmtId="2" fontId="43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 vertical="center"/>
    </xf>
    <xf numFmtId="0" fontId="43" fillId="0" borderId="0" xfId="0" applyFont="1" applyFill="1" applyBorder="1"/>
    <xf numFmtId="1" fontId="43" fillId="0" borderId="1" xfId="5" applyNumberFormat="1" applyFont="1" applyFill="1" applyBorder="1" applyAlignment="1">
      <alignment horizontal="center" vertical="center"/>
    </xf>
    <xf numFmtId="1" fontId="38" fillId="0" borderId="1" xfId="4" applyNumberFormat="1" applyFont="1" applyBorder="1" applyAlignment="1">
      <alignment horizontal="center"/>
    </xf>
    <xf numFmtId="0" fontId="38" fillId="9" borderId="1" xfId="3" applyFont="1" applyFill="1" applyBorder="1" applyAlignment="1">
      <alignment horizontal="center" vertical="center"/>
    </xf>
    <xf numFmtId="0" fontId="38" fillId="9" borderId="1" xfId="3" applyFont="1" applyFill="1" applyBorder="1" applyAlignment="1">
      <alignment horizontal="center"/>
    </xf>
    <xf numFmtId="38" fontId="38" fillId="9" borderId="1" xfId="3" applyNumberFormat="1" applyFont="1" applyFill="1" applyBorder="1" applyAlignment="1">
      <alignment horizontal="center"/>
    </xf>
    <xf numFmtId="1" fontId="38" fillId="9" borderId="12" xfId="3" applyNumberFormat="1" applyFont="1" applyFill="1" applyBorder="1" applyAlignment="1">
      <alignment horizontal="center"/>
    </xf>
    <xf numFmtId="1" fontId="38" fillId="9" borderId="1" xfId="3" applyNumberFormat="1" applyFont="1" applyFill="1" applyBorder="1" applyAlignment="1">
      <alignment horizontal="center"/>
    </xf>
    <xf numFmtId="2" fontId="38" fillId="9" borderId="1" xfId="3" applyNumberFormat="1" applyFont="1" applyFill="1" applyBorder="1" applyAlignment="1">
      <alignment horizontal="center"/>
    </xf>
    <xf numFmtId="9" fontId="38" fillId="9" borderId="1" xfId="3" applyNumberFormat="1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/>
    </xf>
    <xf numFmtId="1" fontId="38" fillId="12" borderId="12" xfId="3" applyNumberFormat="1" applyFont="1" applyFill="1" applyBorder="1" applyAlignment="1">
      <alignment horizontal="center"/>
    </xf>
    <xf numFmtId="1" fontId="44" fillId="2" borderId="1" xfId="4" applyNumberFormat="1" applyFont="1" applyFill="1" applyBorder="1" applyAlignment="1">
      <alignment horizontal="center"/>
    </xf>
    <xf numFmtId="1" fontId="46" fillId="2" borderId="1" xfId="5" applyNumberFormat="1" applyFont="1" applyFill="1" applyBorder="1" applyAlignment="1">
      <alignment horizontal="center"/>
    </xf>
    <xf numFmtId="1" fontId="38" fillId="2" borderId="1" xfId="4" applyNumberFormat="1" applyFont="1" applyFill="1" applyBorder="1" applyAlignment="1">
      <alignment horizontal="center"/>
    </xf>
    <xf numFmtId="1" fontId="44" fillId="0" borderId="1" xfId="4" applyNumberFormat="1" applyFont="1" applyBorder="1" applyAlignment="1">
      <alignment horizontal="center"/>
    </xf>
    <xf numFmtId="1" fontId="45" fillId="8" borderId="1" xfId="3" applyNumberFormat="1" applyFont="1" applyFill="1" applyBorder="1" applyAlignment="1">
      <alignment horizontal="center"/>
    </xf>
    <xf numFmtId="1" fontId="45" fillId="8" borderId="1" xfId="5" applyNumberFormat="1" applyFont="1" applyFill="1" applyBorder="1" applyAlignment="1">
      <alignment horizontal="center"/>
    </xf>
    <xf numFmtId="1" fontId="45" fillId="2" borderId="1" xfId="4" applyNumberFormat="1" applyFont="1" applyFill="1" applyBorder="1" applyAlignment="1">
      <alignment horizontal="center"/>
    </xf>
    <xf numFmtId="1" fontId="46" fillId="12" borderId="1" xfId="3" applyNumberFormat="1" applyFont="1" applyFill="1" applyBorder="1" applyAlignment="1">
      <alignment horizontal="center"/>
    </xf>
    <xf numFmtId="1" fontId="47" fillId="8" borderId="1" xfId="3" applyNumberFormat="1" applyFont="1" applyFill="1" applyBorder="1" applyAlignment="1">
      <alignment horizontal="center"/>
    </xf>
    <xf numFmtId="1" fontId="43" fillId="8" borderId="1" xfId="3" applyNumberFormat="1" applyFont="1" applyFill="1" applyBorder="1" applyAlignment="1">
      <alignment horizontal="center"/>
    </xf>
    <xf numFmtId="1" fontId="43" fillId="8" borderId="1" xfId="5" applyNumberFormat="1" applyFont="1" applyFill="1" applyBorder="1" applyAlignment="1" applyProtection="1">
      <alignment horizontal="center"/>
    </xf>
    <xf numFmtId="1" fontId="46" fillId="8" borderId="1" xfId="5" applyNumberFormat="1" applyFont="1" applyFill="1" applyBorder="1" applyAlignment="1" applyProtection="1">
      <alignment horizontal="center"/>
    </xf>
    <xf numFmtId="1" fontId="45" fillId="2" borderId="1" xfId="3" applyNumberFormat="1" applyFont="1" applyFill="1" applyBorder="1" applyAlignment="1">
      <alignment horizontal="center"/>
    </xf>
    <xf numFmtId="174" fontId="45" fillId="8" borderId="1" xfId="19" applyNumberFormat="1" applyFont="1" applyFill="1" applyBorder="1" applyAlignment="1" applyProtection="1">
      <alignment horizontal="center"/>
    </xf>
    <xf numFmtId="43" fontId="45" fillId="2" borderId="1" xfId="19" applyFont="1" applyFill="1" applyBorder="1" applyAlignment="1">
      <alignment horizontal="center"/>
    </xf>
    <xf numFmtId="0" fontId="88" fillId="17" borderId="3" xfId="3" applyFont="1" applyFill="1" applyBorder="1" applyAlignment="1">
      <alignment horizontal="center" vertical="justify"/>
    </xf>
    <xf numFmtId="1" fontId="88" fillId="17" borderId="3" xfId="3" applyNumberFormat="1" applyFont="1" applyFill="1" applyBorder="1" applyAlignment="1">
      <alignment horizontal="center"/>
    </xf>
    <xf numFmtId="1" fontId="88" fillId="17" borderId="21" xfId="3" applyNumberFormat="1" applyFont="1" applyFill="1" applyBorder="1" applyAlignment="1">
      <alignment horizontal="center"/>
    </xf>
    <xf numFmtId="1" fontId="38" fillId="17" borderId="1" xfId="3" applyNumberFormat="1" applyFont="1" applyFill="1" applyBorder="1" applyAlignment="1">
      <alignment horizontal="center"/>
    </xf>
    <xf numFmtId="1" fontId="38" fillId="17" borderId="12" xfId="3" applyNumberFormat="1" applyFont="1" applyFill="1" applyBorder="1" applyAlignment="1">
      <alignment horizontal="center"/>
    </xf>
    <xf numFmtId="38" fontId="38" fillId="2" borderId="1" xfId="5" applyNumberFormat="1" applyFont="1" applyFill="1" applyBorder="1" applyAlignment="1">
      <alignment horizontal="center"/>
    </xf>
    <xf numFmtId="38" fontId="43" fillId="0" borderId="0" xfId="0" applyNumberFormat="1" applyFont="1" applyBorder="1" applyAlignment="1">
      <alignment horizontal="center"/>
    </xf>
    <xf numFmtId="38" fontId="38" fillId="0" borderId="1" xfId="5" applyNumberFormat="1" applyFont="1" applyFill="1" applyBorder="1" applyAlignment="1">
      <alignment horizontal="center"/>
    </xf>
    <xf numFmtId="2" fontId="46" fillId="0" borderId="1" xfId="3" applyNumberFormat="1" applyFont="1" applyFill="1" applyBorder="1" applyAlignment="1">
      <alignment horizontal="center"/>
    </xf>
    <xf numFmtId="38" fontId="38" fillId="0" borderId="0" xfId="5" applyNumberFormat="1" applyFont="1" applyFill="1" applyBorder="1" applyAlignment="1">
      <alignment horizontal="center"/>
    </xf>
    <xf numFmtId="1" fontId="38" fillId="0" borderId="2" xfId="5" applyNumberFormat="1" applyFont="1" applyFill="1" applyBorder="1" applyAlignment="1" applyProtection="1">
      <alignment horizontal="center"/>
    </xf>
    <xf numFmtId="0" fontId="43" fillId="12" borderId="1" xfId="0" applyFont="1" applyFill="1" applyBorder="1" applyAlignment="1">
      <alignment horizontal="center"/>
    </xf>
    <xf numFmtId="38" fontId="43" fillId="12" borderId="1" xfId="0" applyNumberFormat="1" applyFont="1" applyFill="1" applyBorder="1" applyAlignment="1">
      <alignment horizontal="center"/>
    </xf>
    <xf numFmtId="174" fontId="38" fillId="8" borderId="1" xfId="19" applyNumberFormat="1" applyFont="1" applyFill="1" applyBorder="1" applyAlignment="1">
      <alignment horizontal="center"/>
    </xf>
    <xf numFmtId="172" fontId="89" fillId="9" borderId="1" xfId="3" applyNumberFormat="1" applyFont="1" applyFill="1" applyBorder="1" applyAlignment="1">
      <alignment horizontal="center"/>
    </xf>
    <xf numFmtId="174" fontId="38" fillId="8" borderId="12" xfId="19" applyNumberFormat="1" applyFont="1" applyFill="1" applyBorder="1" applyAlignment="1" applyProtection="1">
      <alignment horizontal="center"/>
    </xf>
    <xf numFmtId="0" fontId="23" fillId="0" borderId="1" xfId="0" applyFont="1" applyBorder="1"/>
    <xf numFmtId="0" fontId="23" fillId="10" borderId="1" xfId="0" applyFont="1" applyFill="1" applyBorder="1"/>
    <xf numFmtId="0" fontId="21" fillId="0" borderId="1" xfId="0" applyFont="1" applyBorder="1"/>
    <xf numFmtId="166" fontId="23" fillId="0" borderId="1" xfId="0" applyNumberFormat="1" applyFont="1" applyBorder="1"/>
    <xf numFmtId="2" fontId="38" fillId="10" borderId="1" xfId="3" applyNumberFormat="1" applyFont="1" applyFill="1" applyBorder="1" applyAlignment="1">
      <alignment horizontal="center"/>
    </xf>
    <xf numFmtId="170" fontId="32" fillId="9" borderId="1" xfId="3" applyNumberFormat="1" applyFont="1" applyFill="1" applyBorder="1" applyAlignment="1">
      <alignment horizontal="center" vertical="center"/>
    </xf>
    <xf numFmtId="170" fontId="32" fillId="9" borderId="1" xfId="3" applyNumberFormat="1" applyFont="1" applyFill="1" applyBorder="1" applyAlignment="1">
      <alignment horizontal="center"/>
    </xf>
    <xf numFmtId="170" fontId="38" fillId="8" borderId="1" xfId="3" applyNumberFormat="1" applyFont="1" applyFill="1" applyBorder="1" applyAlignment="1">
      <alignment horizontal="center" wrapText="1" shrinkToFit="1"/>
    </xf>
    <xf numFmtId="170" fontId="38" fillId="12" borderId="1" xfId="3" applyNumberFormat="1" applyFont="1" applyFill="1" applyBorder="1" applyAlignment="1">
      <alignment horizontal="center" vertical="center"/>
    </xf>
    <xf numFmtId="170" fontId="38" fillId="2" borderId="1" xfId="5" applyNumberFormat="1" applyFont="1" applyFill="1" applyBorder="1" applyAlignment="1">
      <alignment horizontal="center" vertical="center"/>
    </xf>
    <xf numFmtId="170" fontId="38" fillId="2" borderId="6" xfId="5" applyNumberFormat="1" applyFont="1" applyFill="1" applyBorder="1" applyAlignment="1">
      <alignment horizontal="center" vertical="center"/>
    </xf>
    <xf numFmtId="170" fontId="38" fillId="8" borderId="1" xfId="5" applyNumberFormat="1" applyFont="1" applyFill="1" applyBorder="1" applyAlignment="1">
      <alignment horizontal="center" vertical="center"/>
    </xf>
    <xf numFmtId="170" fontId="43" fillId="12" borderId="1" xfId="3" applyNumberFormat="1" applyFont="1" applyFill="1" applyBorder="1" applyAlignment="1">
      <alignment horizontal="center"/>
    </xf>
    <xf numFmtId="170" fontId="45" fillId="8" borderId="1" xfId="5" applyNumberFormat="1" applyFont="1" applyFill="1" applyBorder="1" applyAlignment="1">
      <alignment horizontal="center" vertical="center"/>
    </xf>
    <xf numFmtId="170" fontId="43" fillId="12" borderId="1" xfId="3" applyNumberFormat="1" applyFont="1" applyFill="1" applyBorder="1" applyAlignment="1">
      <alignment horizontal="center" vertical="center"/>
    </xf>
    <xf numFmtId="170" fontId="43" fillId="8" borderId="1" xfId="3" applyNumberFormat="1" applyFont="1" applyFill="1" applyBorder="1" applyAlignment="1">
      <alignment horizontal="center"/>
    </xf>
    <xf numFmtId="170" fontId="45" fillId="8" borderId="1" xfId="5" applyNumberFormat="1" applyFont="1" applyFill="1" applyBorder="1" applyAlignment="1" applyProtection="1">
      <alignment horizontal="center" vertical="center"/>
    </xf>
    <xf numFmtId="170" fontId="24" fillId="17" borderId="3" xfId="3" applyNumberFormat="1" applyFont="1" applyFill="1" applyBorder="1" applyAlignment="1">
      <alignment vertical="justify"/>
    </xf>
    <xf numFmtId="170" fontId="38" fillId="12" borderId="1" xfId="3" applyNumberFormat="1" applyFont="1" applyFill="1" applyBorder="1" applyAlignment="1">
      <alignment horizontal="center"/>
    </xf>
    <xf numFmtId="170" fontId="38" fillId="0" borderId="1" xfId="5" applyNumberFormat="1" applyFont="1" applyFill="1" applyBorder="1" applyAlignment="1">
      <alignment horizontal="center" vertical="center"/>
    </xf>
    <xf numFmtId="170" fontId="43" fillId="17" borderId="1" xfId="3" applyNumberFormat="1" applyFont="1" applyFill="1" applyBorder="1" applyAlignment="1">
      <alignment horizontal="center"/>
    </xf>
    <xf numFmtId="170" fontId="43" fillId="2" borderId="1" xfId="3" applyNumberFormat="1" applyFont="1" applyFill="1" applyBorder="1" applyAlignment="1">
      <alignment horizontal="center"/>
    </xf>
    <xf numFmtId="170" fontId="43" fillId="0" borderId="0" xfId="0" applyNumberFormat="1" applyFont="1" applyBorder="1"/>
    <xf numFmtId="170" fontId="38" fillId="12" borderId="1" xfId="5" applyNumberFormat="1" applyFont="1" applyFill="1" applyBorder="1" applyAlignment="1">
      <alignment horizontal="center"/>
    </xf>
    <xf numFmtId="170" fontId="38" fillId="8" borderId="1" xfId="3" applyNumberFormat="1" applyFont="1" applyFill="1" applyBorder="1" applyAlignment="1">
      <alignment horizontal="center"/>
    </xf>
    <xf numFmtId="170" fontId="38" fillId="8" borderId="1" xfId="6" applyNumberFormat="1" applyFont="1" applyFill="1" applyBorder="1" applyAlignment="1">
      <alignment horizontal="center"/>
    </xf>
    <xf numFmtId="170" fontId="38" fillId="8" borderId="6" xfId="6" applyNumberFormat="1" applyFont="1" applyFill="1" applyBorder="1" applyAlignment="1">
      <alignment horizontal="center"/>
    </xf>
    <xf numFmtId="170" fontId="48" fillId="0" borderId="0" xfId="0" applyNumberFormat="1" applyFont="1"/>
    <xf numFmtId="170" fontId="43" fillId="0" borderId="0" xfId="0" applyNumberFormat="1" applyFont="1"/>
    <xf numFmtId="170" fontId="43" fillId="0" borderId="1" xfId="0" applyNumberFormat="1" applyFont="1" applyBorder="1"/>
    <xf numFmtId="170" fontId="32" fillId="2" borderId="1" xfId="5" applyNumberFormat="1" applyFont="1" applyFill="1" applyBorder="1" applyAlignment="1">
      <alignment horizontal="center" vertical="center"/>
    </xf>
    <xf numFmtId="170" fontId="38" fillId="2" borderId="0" xfId="5" applyNumberFormat="1" applyFont="1" applyFill="1" applyBorder="1" applyAlignment="1">
      <alignment horizontal="center" vertical="center"/>
    </xf>
    <xf numFmtId="170" fontId="38" fillId="0" borderId="1" xfId="3" applyNumberFormat="1" applyFont="1" applyFill="1" applyBorder="1" applyAlignment="1">
      <alignment horizontal="center"/>
    </xf>
    <xf numFmtId="170" fontId="43" fillId="0" borderId="1" xfId="0" applyNumberFormat="1" applyFont="1" applyBorder="1" applyAlignment="1">
      <alignment horizontal="center"/>
    </xf>
    <xf numFmtId="170" fontId="43" fillId="0" borderId="1" xfId="0" applyNumberFormat="1" applyFont="1" applyFill="1" applyBorder="1" applyAlignment="1">
      <alignment horizontal="center"/>
    </xf>
    <xf numFmtId="170" fontId="43" fillId="12" borderId="0" xfId="0" applyNumberFormat="1" applyFont="1" applyFill="1" applyBorder="1"/>
    <xf numFmtId="2" fontId="38" fillId="0" borderId="1" xfId="4" applyNumberFormat="1" applyFont="1" applyBorder="1" applyAlignment="1">
      <alignment horizontal="center" vertical="center"/>
    </xf>
    <xf numFmtId="2" fontId="38" fillId="0" borderId="1" xfId="0" applyNumberFormat="1" applyFont="1" applyBorder="1" applyAlignment="1">
      <alignment horizontal="center"/>
    </xf>
    <xf numFmtId="2" fontId="43" fillId="0" borderId="1" xfId="0" applyNumberFormat="1" applyFont="1" applyBorder="1"/>
    <xf numFmtId="2" fontId="44" fillId="0" borderId="1" xfId="4" applyNumberFormat="1" applyFont="1" applyFill="1" applyBorder="1" applyAlignment="1">
      <alignment horizontal="center" wrapText="1"/>
    </xf>
    <xf numFmtId="175" fontId="44" fillId="0" borderId="1" xfId="4" applyNumberFormat="1" applyFont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37" fillId="0" borderId="1" xfId="0" applyFont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1" xfId="0" applyFont="1" applyFill="1" applyBorder="1" applyAlignment="1">
      <alignment horizontal="center"/>
    </xf>
    <xf numFmtId="0" fontId="80" fillId="0" borderId="1" xfId="0" applyFont="1" applyBorder="1" applyAlignment="1">
      <alignment horizontal="left"/>
    </xf>
    <xf numFmtId="0" fontId="80" fillId="0" borderId="4" xfId="0" applyFont="1" applyBorder="1" applyAlignment="1">
      <alignment horizontal="center"/>
    </xf>
    <xf numFmtId="0" fontId="23" fillId="0" borderId="0" xfId="0" applyNumberFormat="1" applyFont="1"/>
    <xf numFmtId="0" fontId="32" fillId="9" borderId="16" xfId="3" applyNumberFormat="1" applyFont="1" applyFill="1" applyBorder="1" applyAlignment="1">
      <alignment horizontal="left"/>
    </xf>
    <xf numFmtId="176" fontId="17" fillId="9" borderId="1" xfId="3" applyNumberFormat="1" applyFont="1" applyFill="1" applyBorder="1" applyAlignment="1">
      <alignment horizontal="center"/>
    </xf>
    <xf numFmtId="0" fontId="32" fillId="9" borderId="1" xfId="3" applyNumberFormat="1" applyFont="1" applyFill="1" applyBorder="1" applyAlignment="1">
      <alignment horizontal="center"/>
    </xf>
    <xf numFmtId="0" fontId="38" fillId="9" borderId="1" xfId="4" applyNumberFormat="1" applyFont="1" applyFill="1" applyBorder="1"/>
    <xf numFmtId="0" fontId="32" fillId="9" borderId="1" xfId="3" applyNumberFormat="1" applyFont="1" applyFill="1" applyBorder="1" applyAlignment="1">
      <alignment horizontal="center" vertical="center"/>
    </xf>
    <xf numFmtId="0" fontId="32" fillId="9" borderId="12" xfId="3" applyNumberFormat="1" applyFont="1" applyFill="1" applyBorder="1" applyAlignment="1">
      <alignment horizontal="center" vertical="center"/>
    </xf>
    <xf numFmtId="0" fontId="21" fillId="0" borderId="0" xfId="0" applyNumberFormat="1" applyFont="1"/>
    <xf numFmtId="0" fontId="32" fillId="9" borderId="1" xfId="3" applyNumberFormat="1" applyFont="1" applyFill="1" applyBorder="1" applyAlignment="1">
      <alignment horizontal="left"/>
    </xf>
    <xf numFmtId="0" fontId="38" fillId="9" borderId="1" xfId="3" applyNumberFormat="1" applyFont="1" applyFill="1" applyBorder="1" applyAlignment="1"/>
    <xf numFmtId="0" fontId="32" fillId="9" borderId="12" xfId="3" applyNumberFormat="1" applyFont="1" applyFill="1" applyBorder="1" applyAlignment="1">
      <alignment horizontal="center"/>
    </xf>
    <xf numFmtId="0" fontId="32" fillId="9" borderId="16" xfId="3" applyNumberFormat="1" applyFont="1" applyFill="1" applyBorder="1"/>
    <xf numFmtId="0" fontId="32" fillId="8" borderId="16" xfId="3" applyNumberFormat="1" applyFont="1" applyFill="1" applyBorder="1" applyAlignment="1">
      <alignment horizontal="center" vertical="center"/>
    </xf>
    <xf numFmtId="0" fontId="31" fillId="8" borderId="1" xfId="3" applyNumberFormat="1" applyFont="1" applyFill="1" applyBorder="1" applyAlignment="1">
      <alignment horizontal="center" vertical="center"/>
    </xf>
    <xf numFmtId="0" fontId="38" fillId="8" borderId="1" xfId="3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 vertical="center"/>
    </xf>
    <xf numFmtId="0" fontId="38" fillId="8" borderId="1" xfId="3" applyNumberFormat="1" applyFont="1" applyFill="1" applyBorder="1" applyAlignment="1">
      <alignment horizontal="center" wrapText="1" shrinkToFit="1"/>
    </xf>
    <xf numFmtId="0" fontId="38" fillId="8" borderId="12" xfId="3" applyNumberFormat="1" applyFont="1" applyFill="1" applyBorder="1" applyAlignment="1">
      <alignment horizontal="center" wrapText="1" shrinkToFit="1"/>
    </xf>
    <xf numFmtId="0" fontId="38" fillId="12" borderId="1" xfId="3" applyNumberFormat="1" applyFont="1" applyFill="1" applyBorder="1" applyAlignment="1">
      <alignment horizontal="center" vertical="center"/>
    </xf>
    <xf numFmtId="0" fontId="38" fillId="12" borderId="1" xfId="3" applyNumberFormat="1" applyFont="1" applyFill="1" applyBorder="1" applyAlignment="1">
      <alignment horizontal="center"/>
    </xf>
    <xf numFmtId="0" fontId="38" fillId="12" borderId="12" xfId="3" applyNumberFormat="1" applyFont="1" applyFill="1" applyBorder="1" applyAlignment="1">
      <alignment horizontal="center"/>
    </xf>
    <xf numFmtId="0" fontId="32" fillId="8" borderId="16" xfId="3" applyNumberFormat="1" applyFont="1" applyFill="1" applyBorder="1" applyAlignment="1">
      <alignment horizontal="left" vertical="center"/>
    </xf>
    <xf numFmtId="0" fontId="31" fillId="8" borderId="1" xfId="3" applyNumberFormat="1" applyFont="1" applyFill="1" applyBorder="1" applyAlignment="1">
      <alignment horizontal="left" vertical="center"/>
    </xf>
    <xf numFmtId="0" fontId="38" fillId="8" borderId="1" xfId="3" applyNumberFormat="1" applyFont="1" applyFill="1" applyBorder="1" applyAlignment="1">
      <alignment horizontal="center"/>
    </xf>
    <xf numFmtId="0" fontId="38" fillId="2" borderId="1" xfId="5" applyNumberFormat="1" applyFont="1" applyFill="1" applyBorder="1" applyAlignment="1">
      <alignment horizontal="center" vertical="center"/>
    </xf>
    <xf numFmtId="0" fontId="32" fillId="8" borderId="20" xfId="3" applyNumberFormat="1" applyFont="1" applyFill="1" applyBorder="1" applyAlignment="1">
      <alignment horizontal="left" vertical="center"/>
    </xf>
    <xf numFmtId="0" fontId="32" fillId="8" borderId="5" xfId="3" applyNumberFormat="1" applyFont="1" applyFill="1" applyBorder="1" applyAlignment="1">
      <alignment horizontal="left" vertical="center"/>
    </xf>
    <xf numFmtId="0" fontId="32" fillId="8" borderId="10" xfId="3" applyNumberFormat="1" applyFont="1" applyFill="1" applyBorder="1" applyAlignment="1">
      <alignment horizontal="left" vertical="center"/>
    </xf>
    <xf numFmtId="0" fontId="38" fillId="8" borderId="7" xfId="3" applyNumberFormat="1" applyFont="1" applyFill="1" applyBorder="1" applyAlignment="1">
      <alignment horizontal="center"/>
    </xf>
    <xf numFmtId="1" fontId="38" fillId="8" borderId="7" xfId="3" applyNumberFormat="1" applyFont="1" applyFill="1" applyBorder="1" applyAlignment="1">
      <alignment horizontal="center"/>
    </xf>
    <xf numFmtId="0" fontId="38" fillId="2" borderId="6" xfId="5" applyNumberFormat="1" applyFont="1" applyFill="1" applyBorder="1" applyAlignment="1">
      <alignment horizontal="center" vertical="center"/>
    </xf>
    <xf numFmtId="0" fontId="38" fillId="2" borderId="7" xfId="3" applyNumberFormat="1" applyFont="1" applyFill="1" applyBorder="1" applyAlignment="1">
      <alignment horizontal="center"/>
    </xf>
    <xf numFmtId="0" fontId="32" fillId="8" borderId="16" xfId="3" applyNumberFormat="1" applyFont="1" applyFill="1" applyBorder="1" applyAlignment="1">
      <alignment vertical="center"/>
    </xf>
    <xf numFmtId="0" fontId="31" fillId="8" borderId="1" xfId="3" applyNumberFormat="1" applyFont="1" applyFill="1" applyBorder="1" applyAlignment="1">
      <alignment vertical="center"/>
    </xf>
    <xf numFmtId="0" fontId="38" fillId="0" borderId="1" xfId="4" applyNumberFormat="1" applyFont="1" applyBorder="1" applyAlignment="1">
      <alignment horizontal="center"/>
    </xf>
    <xf numFmtId="0" fontId="38" fillId="8" borderId="1" xfId="3" applyNumberFormat="1" applyFont="1" applyFill="1" applyBorder="1" applyAlignment="1">
      <alignment horizontal="right"/>
    </xf>
    <xf numFmtId="0" fontId="32" fillId="13" borderId="16" xfId="3" applyNumberFormat="1" applyFont="1" applyFill="1" applyBorder="1" applyAlignment="1">
      <alignment horizontal="center"/>
    </xf>
    <xf numFmtId="0" fontId="31" fillId="13" borderId="1" xfId="3" applyNumberFormat="1" applyFont="1" applyFill="1" applyBorder="1" applyAlignment="1">
      <alignment horizontal="center"/>
    </xf>
    <xf numFmtId="0" fontId="38" fillId="8" borderId="1" xfId="5" applyNumberFormat="1" applyFont="1" applyFill="1" applyBorder="1" applyAlignment="1">
      <alignment horizontal="center" vertical="center"/>
    </xf>
    <xf numFmtId="0" fontId="43" fillId="12" borderId="1" xfId="3" applyNumberFormat="1" applyFont="1" applyFill="1" applyBorder="1" applyAlignment="1">
      <alignment horizontal="center"/>
    </xf>
    <xf numFmtId="0" fontId="32" fillId="8" borderId="16" xfId="3" applyNumberFormat="1" applyFont="1" applyFill="1" applyBorder="1" applyAlignment="1">
      <alignment horizontal="left"/>
    </xf>
    <xf numFmtId="0" fontId="31" fillId="8" borderId="1" xfId="3" applyNumberFormat="1" applyFont="1" applyFill="1" applyBorder="1" applyAlignment="1">
      <alignment horizontal="left"/>
    </xf>
    <xf numFmtId="1" fontId="38" fillId="0" borderId="1" xfId="4" applyNumberFormat="1" applyFont="1" applyFill="1" applyBorder="1" applyAlignment="1">
      <alignment horizontal="center"/>
    </xf>
    <xf numFmtId="0" fontId="46" fillId="2" borderId="1" xfId="5" applyNumberFormat="1" applyFont="1" applyFill="1" applyBorder="1" applyAlignment="1">
      <alignment horizontal="center" vertical="center"/>
    </xf>
    <xf numFmtId="0" fontId="32" fillId="2" borderId="16" xfId="3" applyNumberFormat="1" applyFont="1" applyFill="1" applyBorder="1" applyAlignment="1">
      <alignment horizontal="left" vertical="center"/>
    </xf>
    <xf numFmtId="0" fontId="31" fillId="2" borderId="1" xfId="3" applyNumberFormat="1" applyFont="1" applyFill="1" applyBorder="1" applyAlignment="1">
      <alignment horizontal="left" vertical="center"/>
    </xf>
    <xf numFmtId="0" fontId="38" fillId="2" borderId="1" xfId="4" applyNumberFormat="1" applyFont="1" applyFill="1" applyBorder="1" applyAlignment="1">
      <alignment horizontal="center"/>
    </xf>
    <xf numFmtId="0" fontId="38" fillId="2" borderId="12" xfId="5" applyNumberFormat="1" applyFont="1" applyFill="1" applyBorder="1" applyAlignment="1" applyProtection="1">
      <alignment horizontal="center"/>
    </xf>
    <xf numFmtId="0" fontId="38" fillId="0" borderId="1" xfId="4" applyNumberFormat="1" applyFont="1" applyBorder="1"/>
    <xf numFmtId="0" fontId="45" fillId="8" borderId="1" xfId="3" applyNumberFormat="1" applyFont="1" applyFill="1" applyBorder="1" applyAlignment="1">
      <alignment horizontal="center"/>
    </xf>
    <xf numFmtId="0" fontId="45" fillId="2" borderId="1" xfId="5" applyNumberFormat="1" applyFont="1" applyFill="1" applyBorder="1" applyAlignment="1">
      <alignment horizontal="center" vertical="center"/>
    </xf>
    <xf numFmtId="0" fontId="38" fillId="2" borderId="1" xfId="5" applyNumberFormat="1" applyFont="1" applyFill="1" applyBorder="1" applyAlignment="1" applyProtection="1">
      <alignment horizontal="center"/>
    </xf>
    <xf numFmtId="0" fontId="32" fillId="13" borderId="16" xfId="3" applyNumberFormat="1" applyFont="1" applyFill="1" applyBorder="1" applyAlignment="1">
      <alignment horizontal="center" vertical="center"/>
    </xf>
    <xf numFmtId="0" fontId="31" fillId="13" borderId="1" xfId="3" applyNumberFormat="1" applyFont="1" applyFill="1" applyBorder="1" applyAlignment="1">
      <alignment horizontal="center" vertical="center"/>
    </xf>
    <xf numFmtId="0" fontId="43" fillId="12" borderId="1" xfId="3" applyNumberFormat="1" applyFont="1" applyFill="1" applyBorder="1" applyAlignment="1">
      <alignment horizontal="center" vertical="center"/>
    </xf>
    <xf numFmtId="0" fontId="46" fillId="12" borderId="1" xfId="3" applyNumberFormat="1" applyFont="1" applyFill="1" applyBorder="1" applyAlignment="1">
      <alignment horizontal="center" vertical="center"/>
    </xf>
    <xf numFmtId="0" fontId="38" fillId="12" borderId="12" xfId="3" applyNumberFormat="1" applyFont="1" applyFill="1" applyBorder="1" applyAlignment="1">
      <alignment horizontal="center" vertical="center"/>
    </xf>
    <xf numFmtId="0" fontId="30" fillId="0" borderId="0" xfId="0" applyNumberFormat="1" applyFont="1"/>
    <xf numFmtId="0" fontId="42" fillId="2" borderId="13" xfId="3" applyNumberFormat="1" applyFont="1" applyFill="1" applyBorder="1" applyAlignment="1">
      <alignment horizontal="center"/>
    </xf>
    <xf numFmtId="0" fontId="42" fillId="2" borderId="3" xfId="3" applyNumberFormat="1" applyFont="1" applyFill="1" applyBorder="1" applyAlignment="1">
      <alignment horizontal="center"/>
    </xf>
    <xf numFmtId="0" fontId="42" fillId="2" borderId="4" xfId="3" applyNumberFormat="1" applyFont="1" applyFill="1" applyBorder="1" applyAlignment="1">
      <alignment horizontal="center"/>
    </xf>
    <xf numFmtId="0" fontId="47" fillId="8" borderId="1" xfId="8" applyNumberFormat="1" applyFont="1" applyFill="1" applyBorder="1" applyAlignment="1">
      <alignment horizontal="center"/>
    </xf>
    <xf numFmtId="0" fontId="47" fillId="8" borderId="1" xfId="3" applyNumberFormat="1" applyFont="1" applyFill="1" applyBorder="1" applyAlignment="1">
      <alignment horizontal="center"/>
    </xf>
    <xf numFmtId="0" fontId="43" fillId="8" borderId="1" xfId="3" applyNumberFormat="1" applyFont="1" applyFill="1" applyBorder="1" applyAlignment="1">
      <alignment horizontal="center"/>
    </xf>
    <xf numFmtId="0" fontId="46" fillId="8" borderId="1" xfId="3" applyNumberFormat="1" applyFont="1" applyFill="1" applyBorder="1" applyAlignment="1">
      <alignment horizontal="center"/>
    </xf>
    <xf numFmtId="0" fontId="47" fillId="8" borderId="1" xfId="5" applyNumberFormat="1" applyFont="1" applyFill="1" applyBorder="1" applyAlignment="1">
      <alignment horizontal="center" vertical="center"/>
    </xf>
    <xf numFmtId="0" fontId="38" fillId="8" borderId="1" xfId="9" applyNumberFormat="1" applyFont="1" applyFill="1" applyBorder="1" applyAlignment="1">
      <alignment horizontal="center"/>
    </xf>
    <xf numFmtId="0" fontId="43" fillId="8" borderId="1" xfId="5" applyNumberFormat="1" applyFont="1" applyFill="1" applyBorder="1" applyAlignment="1" applyProtection="1">
      <alignment horizontal="center" vertical="center"/>
    </xf>
    <xf numFmtId="0" fontId="46" fillId="8" borderId="1" xfId="5" applyNumberFormat="1" applyFont="1" applyFill="1" applyBorder="1" applyAlignment="1" applyProtection="1">
      <alignment horizontal="center"/>
    </xf>
    <xf numFmtId="0" fontId="47" fillId="0" borderId="1" xfId="4" applyNumberFormat="1" applyFont="1" applyBorder="1" applyAlignment="1">
      <alignment horizontal="center"/>
    </xf>
    <xf numFmtId="0" fontId="46" fillId="8" borderId="1" xfId="3" applyNumberFormat="1" applyFont="1" applyFill="1" applyBorder="1" applyAlignment="1">
      <alignment horizontal="right"/>
    </xf>
    <xf numFmtId="0" fontId="47" fillId="8" borderId="1" xfId="3" applyNumberFormat="1" applyFont="1" applyFill="1" applyBorder="1" applyAlignment="1">
      <alignment horizontal="center" vertical="center"/>
    </xf>
    <xf numFmtId="0" fontId="42" fillId="13" borderId="13" xfId="3" applyNumberFormat="1" applyFont="1" applyFill="1" applyBorder="1" applyAlignment="1">
      <alignment horizontal="center"/>
    </xf>
    <xf numFmtId="0" fontId="42" fillId="13" borderId="3" xfId="3" applyNumberFormat="1" applyFont="1" applyFill="1" applyBorder="1" applyAlignment="1">
      <alignment horizontal="center"/>
    </xf>
    <xf numFmtId="0" fontId="42" fillId="13" borderId="4" xfId="3" applyNumberFormat="1" applyFont="1" applyFill="1" applyBorder="1" applyAlignment="1">
      <alignment horizontal="center"/>
    </xf>
    <xf numFmtId="0" fontId="45" fillId="2" borderId="1" xfId="3" applyNumberFormat="1" applyFont="1" applyFill="1" applyBorder="1" applyAlignment="1">
      <alignment horizontal="center"/>
    </xf>
    <xf numFmtId="0" fontId="45" fillId="8" borderId="1" xfId="5" applyNumberFormat="1" applyFont="1" applyFill="1" applyBorder="1" applyAlignment="1" applyProtection="1">
      <alignment horizontal="center" vertical="center"/>
    </xf>
    <xf numFmtId="0" fontId="45" fillId="2" borderId="1" xfId="3" applyNumberFormat="1" applyFont="1" applyFill="1" applyBorder="1" applyAlignment="1">
      <alignment horizontal="center" vertical="top"/>
    </xf>
    <xf numFmtId="0" fontId="24" fillId="17" borderId="3" xfId="3" applyNumberFormat="1" applyFont="1" applyFill="1" applyBorder="1" applyAlignment="1">
      <alignment vertical="justify"/>
    </xf>
    <xf numFmtId="0" fontId="24" fillId="17" borderId="21" xfId="3" applyNumberFormat="1" applyFont="1" applyFill="1" applyBorder="1" applyAlignment="1">
      <alignment vertical="justify"/>
    </xf>
    <xf numFmtId="0" fontId="32" fillId="12" borderId="16" xfId="3" applyNumberFormat="1" applyFont="1" applyFill="1" applyBorder="1" applyAlignment="1">
      <alignment horizontal="left"/>
    </xf>
    <xf numFmtId="0" fontId="31" fillId="12" borderId="1" xfId="3" applyNumberFormat="1" applyFont="1" applyFill="1" applyBorder="1" applyAlignment="1">
      <alignment horizontal="left"/>
    </xf>
    <xf numFmtId="0" fontId="38" fillId="0" borderId="1" xfId="4" applyNumberFormat="1" applyFont="1" applyBorder="1" applyAlignment="1">
      <alignment horizontal="center" vertical="center"/>
    </xf>
    <xf numFmtId="0" fontId="50" fillId="2" borderId="0" xfId="0" applyNumberFormat="1" applyFont="1" applyFill="1"/>
    <xf numFmtId="0" fontId="50" fillId="0" borderId="0" xfId="0" applyNumberFormat="1" applyFont="1"/>
    <xf numFmtId="0" fontId="31" fillId="8" borderId="1" xfId="3" applyNumberFormat="1" applyFont="1" applyFill="1" applyBorder="1" applyAlignment="1">
      <alignment horizontal="left" vertical="justify"/>
    </xf>
    <xf numFmtId="0" fontId="38" fillId="17" borderId="1" xfId="3" applyNumberFormat="1" applyFont="1" applyFill="1" applyBorder="1" applyAlignment="1">
      <alignment horizontal="center"/>
    </xf>
    <xf numFmtId="0" fontId="43" fillId="17" borderId="1" xfId="3" applyNumberFormat="1" applyFont="1" applyFill="1" applyBorder="1" applyAlignment="1">
      <alignment horizontal="center"/>
    </xf>
    <xf numFmtId="0" fontId="38" fillId="17" borderId="12" xfId="3" applyNumberFormat="1" applyFont="1" applyFill="1" applyBorder="1" applyAlignment="1">
      <alignment horizontal="center"/>
    </xf>
    <xf numFmtId="0" fontId="25" fillId="0" borderId="0" xfId="0" applyNumberFormat="1" applyFont="1"/>
    <xf numFmtId="0" fontId="44" fillId="0" borderId="1" xfId="4" applyNumberFormat="1" applyFont="1" applyBorder="1" applyAlignment="1">
      <alignment horizontal="center"/>
    </xf>
    <xf numFmtId="0" fontId="32" fillId="8" borderId="1" xfId="3" applyNumberFormat="1" applyFont="1" applyFill="1" applyBorder="1" applyAlignment="1">
      <alignment horizontal="left"/>
    </xf>
    <xf numFmtId="0" fontId="38" fillId="0" borderId="1" xfId="5" applyNumberFormat="1" applyFont="1" applyFill="1" applyBorder="1" applyAlignment="1">
      <alignment horizontal="center" vertical="center"/>
    </xf>
    <xf numFmtId="0" fontId="43" fillId="2" borderId="1" xfId="3" applyNumberFormat="1" applyFont="1" applyFill="1" applyBorder="1" applyAlignment="1">
      <alignment horizontal="center"/>
    </xf>
    <xf numFmtId="0" fontId="38" fillId="8" borderId="1" xfId="7" applyNumberFormat="1" applyFont="1" applyFill="1" applyBorder="1" applyAlignment="1">
      <alignment horizontal="right" wrapText="1"/>
    </xf>
    <xf numFmtId="0" fontId="37" fillId="0" borderId="1" xfId="0" applyNumberFormat="1" applyFont="1" applyBorder="1" applyAlignment="1">
      <alignment horizontal="left"/>
    </xf>
    <xf numFmtId="0" fontId="43" fillId="0" borderId="0" xfId="0" applyNumberFormat="1" applyFont="1" applyBorder="1"/>
    <xf numFmtId="0" fontId="43" fillId="0" borderId="0" xfId="0" applyNumberFormat="1" applyFont="1" applyBorder="1" applyAlignment="1">
      <alignment horizontal="center"/>
    </xf>
    <xf numFmtId="0" fontId="43" fillId="0" borderId="24" xfId="0" applyNumberFormat="1" applyFont="1" applyBorder="1"/>
    <xf numFmtId="0" fontId="43" fillId="17" borderId="12" xfId="3" applyNumberFormat="1" applyFont="1" applyFill="1" applyBorder="1" applyAlignment="1">
      <alignment horizontal="center"/>
    </xf>
    <xf numFmtId="0" fontId="38" fillId="12" borderId="1" xfId="5" applyNumberFormat="1" applyFont="1" applyFill="1" applyBorder="1" applyAlignment="1">
      <alignment horizontal="center"/>
    </xf>
    <xf numFmtId="0" fontId="38" fillId="12" borderId="12" xfId="5" applyNumberFormat="1" applyFont="1" applyFill="1" applyBorder="1" applyAlignment="1">
      <alignment horizontal="center"/>
    </xf>
    <xf numFmtId="0" fontId="78" fillId="8" borderId="1" xfId="3" applyNumberFormat="1" applyFont="1" applyFill="1" applyBorder="1" applyAlignment="1">
      <alignment horizontal="center"/>
    </xf>
    <xf numFmtId="0" fontId="44" fillId="0" borderId="1" xfId="4" applyNumberFormat="1" applyFont="1" applyFill="1" applyBorder="1" applyAlignment="1">
      <alignment horizontal="center"/>
    </xf>
    <xf numFmtId="0" fontId="76" fillId="0" borderId="1" xfId="0" applyNumberFormat="1" applyFont="1" applyBorder="1" applyAlignment="1">
      <alignment horizontal="center"/>
    </xf>
    <xf numFmtId="0" fontId="43" fillId="12" borderId="12" xfId="3" applyNumberFormat="1" applyFont="1" applyFill="1" applyBorder="1" applyAlignment="1">
      <alignment horizontal="center"/>
    </xf>
    <xf numFmtId="0" fontId="38" fillId="8" borderId="1" xfId="6" applyNumberFormat="1" applyFont="1" applyFill="1" applyBorder="1" applyAlignment="1">
      <alignment horizontal="center"/>
    </xf>
    <xf numFmtId="0" fontId="38" fillId="0" borderId="1" xfId="6" applyNumberFormat="1" applyFont="1" applyFill="1" applyBorder="1" applyAlignment="1"/>
    <xf numFmtId="0" fontId="38" fillId="8" borderId="1" xfId="5" applyNumberFormat="1" applyFont="1" applyFill="1" applyBorder="1" applyAlignment="1">
      <alignment horizontal="right"/>
    </xf>
    <xf numFmtId="0" fontId="38" fillId="8" borderId="6" xfId="3" applyNumberFormat="1" applyFont="1" applyFill="1" applyBorder="1" applyAlignment="1">
      <alignment horizontal="center"/>
    </xf>
    <xf numFmtId="0" fontId="38" fillId="8" borderId="6" xfId="6" applyNumberFormat="1" applyFont="1" applyFill="1" applyBorder="1" applyAlignment="1">
      <alignment horizontal="center"/>
    </xf>
    <xf numFmtId="0" fontId="38" fillId="8" borderId="6" xfId="3" applyNumberFormat="1" applyFont="1" applyFill="1" applyBorder="1" applyAlignment="1">
      <alignment horizontal="right"/>
    </xf>
    <xf numFmtId="0" fontId="38" fillId="8" borderId="17" xfId="5" applyNumberFormat="1" applyFont="1" applyFill="1" applyBorder="1" applyAlignment="1" applyProtection="1">
      <alignment horizontal="center"/>
    </xf>
    <xf numFmtId="0" fontId="40" fillId="0" borderId="0" xfId="0" applyNumberFormat="1" applyFont="1"/>
    <xf numFmtId="0" fontId="41" fillId="0" borderId="0" xfId="0" applyNumberFormat="1" applyFont="1"/>
    <xf numFmtId="0" fontId="48" fillId="0" borderId="0" xfId="0" applyNumberFormat="1" applyFont="1"/>
    <xf numFmtId="0" fontId="48" fillId="0" borderId="0" xfId="0" applyNumberFormat="1" applyFont="1" applyAlignment="1">
      <alignment horizontal="center"/>
    </xf>
    <xf numFmtId="0" fontId="37" fillId="0" borderId="0" xfId="0" applyNumberFormat="1" applyFont="1"/>
    <xf numFmtId="0" fontId="39" fillId="0" borderId="0" xfId="0" applyNumberFormat="1" applyFont="1"/>
    <xf numFmtId="0" fontId="43" fillId="0" borderId="0" xfId="0" applyNumberFormat="1" applyFont="1"/>
    <xf numFmtId="0" fontId="43" fillId="0" borderId="0" xfId="0" applyNumberFormat="1" applyFont="1" applyAlignment="1">
      <alignment horizontal="center"/>
    </xf>
    <xf numFmtId="0" fontId="43" fillId="0" borderId="1" xfId="0" applyNumberFormat="1" applyFont="1" applyBorder="1"/>
    <xf numFmtId="0" fontId="43" fillId="0" borderId="1" xfId="0" applyNumberFormat="1" applyFont="1" applyBorder="1" applyAlignment="1">
      <alignment horizontal="center"/>
    </xf>
    <xf numFmtId="0" fontId="38" fillId="0" borderId="1" xfId="0" applyNumberFormat="1" applyFont="1" applyBorder="1" applyAlignment="1">
      <alignment horizontal="center"/>
    </xf>
    <xf numFmtId="0" fontId="38" fillId="8" borderId="1" xfId="5" applyNumberFormat="1" applyFont="1" applyFill="1" applyBorder="1" applyAlignment="1" applyProtection="1">
      <alignment horizontal="center"/>
    </xf>
    <xf numFmtId="0" fontId="38" fillId="0" borderId="1" xfId="0" applyNumberFormat="1" applyFont="1" applyFill="1" applyBorder="1" applyAlignment="1">
      <alignment horizontal="center"/>
    </xf>
    <xf numFmtId="0" fontId="38" fillId="18" borderId="1" xfId="3" applyNumberFormat="1" applyFont="1" applyFill="1" applyBorder="1" applyAlignment="1">
      <alignment horizontal="center" vertical="center"/>
    </xf>
    <xf numFmtId="0" fontId="37" fillId="0" borderId="1" xfId="0" applyNumberFormat="1" applyFont="1" applyBorder="1"/>
    <xf numFmtId="0" fontId="32" fillId="8" borderId="1" xfId="3" applyNumberFormat="1" applyFont="1" applyFill="1" applyBorder="1" applyAlignment="1">
      <alignment horizontal="center"/>
    </xf>
    <xf numFmtId="0" fontId="37" fillId="0" borderId="1" xfId="0" applyNumberFormat="1" applyFont="1" applyBorder="1" applyAlignment="1">
      <alignment horizontal="center"/>
    </xf>
    <xf numFmtId="0" fontId="32" fillId="2" borderId="1" xfId="5" applyNumberFormat="1" applyFont="1" applyFill="1" applyBorder="1" applyAlignment="1">
      <alignment horizontal="center" vertical="center"/>
    </xf>
    <xf numFmtId="0" fontId="37" fillId="0" borderId="2" xfId="0" applyNumberFormat="1" applyFont="1" applyBorder="1" applyAlignment="1"/>
    <xf numFmtId="0" fontId="37" fillId="0" borderId="3" xfId="0" applyNumberFormat="1" applyFont="1" applyBorder="1" applyAlignment="1"/>
    <xf numFmtId="0" fontId="37" fillId="0" borderId="4" xfId="0" applyNumberFormat="1" applyFont="1" applyBorder="1" applyAlignment="1"/>
    <xf numFmtId="0" fontId="51" fillId="0" borderId="0" xfId="0" applyNumberFormat="1" applyFont="1" applyFill="1" applyAlignment="1">
      <alignment horizontal="center"/>
    </xf>
    <xf numFmtId="0" fontId="23" fillId="0" borderId="0" xfId="0" applyNumberFormat="1" applyFont="1" applyAlignment="1">
      <alignment horizontal="center"/>
    </xf>
    <xf numFmtId="0" fontId="38" fillId="18" borderId="1" xfId="3" applyNumberFormat="1" applyFont="1" applyFill="1" applyBorder="1" applyAlignment="1">
      <alignment horizontal="center"/>
    </xf>
    <xf numFmtId="0" fontId="43" fillId="0" borderId="1" xfId="0" applyNumberFormat="1" applyFont="1" applyFill="1" applyBorder="1"/>
    <xf numFmtId="0" fontId="39" fillId="0" borderId="1" xfId="0" applyNumberFormat="1" applyFont="1" applyBorder="1"/>
    <xf numFmtId="0" fontId="44" fillId="2" borderId="1" xfId="4" applyNumberFormat="1" applyFont="1" applyFill="1" applyBorder="1" applyAlignment="1">
      <alignment horizontal="center" wrapText="1"/>
    </xf>
    <xf numFmtId="0" fontId="44" fillId="0" borderId="1" xfId="4" applyNumberFormat="1" applyFont="1" applyFill="1" applyBorder="1" applyAlignment="1">
      <alignment horizontal="center" wrapText="1"/>
    </xf>
    <xf numFmtId="0" fontId="44" fillId="0" borderId="1" xfId="4" applyNumberFormat="1" applyFont="1" applyBorder="1" applyAlignment="1">
      <alignment horizontal="center" wrapText="1"/>
    </xf>
    <xf numFmtId="0" fontId="38" fillId="18" borderId="1" xfId="4" applyNumberFormat="1" applyFont="1" applyFill="1" applyBorder="1" applyAlignment="1">
      <alignment horizontal="center"/>
    </xf>
    <xf numFmtId="0" fontId="38" fillId="0" borderId="1" xfId="3" applyNumberFormat="1" applyFont="1" applyFill="1" applyBorder="1" applyAlignment="1">
      <alignment horizontal="center"/>
    </xf>
    <xf numFmtId="0" fontId="36" fillId="0" borderId="0" xfId="4" applyNumberFormat="1" applyFont="1" applyBorder="1" applyAlignment="1">
      <alignment horizontal="left"/>
    </xf>
    <xf numFmtId="0" fontId="38" fillId="0" borderId="0" xfId="4" applyNumberFormat="1" applyFont="1" applyBorder="1" applyAlignment="1">
      <alignment horizontal="center"/>
    </xf>
    <xf numFmtId="0" fontId="38" fillId="8" borderId="0" xfId="3" applyNumberFormat="1" applyFont="1" applyFill="1" applyBorder="1" applyAlignment="1">
      <alignment horizontal="center"/>
    </xf>
    <xf numFmtId="0" fontId="38" fillId="0" borderId="0" xfId="3" applyNumberFormat="1" applyFont="1" applyFill="1" applyBorder="1" applyAlignment="1">
      <alignment horizontal="center"/>
    </xf>
    <xf numFmtId="0" fontId="38" fillId="2" borderId="0" xfId="5" applyNumberFormat="1" applyFont="1" applyFill="1" applyBorder="1" applyAlignment="1">
      <alignment horizontal="center" vertical="center"/>
    </xf>
    <xf numFmtId="0" fontId="38" fillId="8" borderId="0" xfId="5" applyNumberFormat="1" applyFont="1" applyFill="1" applyBorder="1" applyAlignment="1" applyProtection="1">
      <alignment horizontal="center"/>
    </xf>
    <xf numFmtId="0" fontId="38" fillId="19" borderId="1" xfId="4" applyNumberFormat="1" applyFont="1" applyFill="1" applyBorder="1" applyAlignment="1">
      <alignment horizontal="center"/>
    </xf>
    <xf numFmtId="0" fontId="43" fillId="2" borderId="1" xfId="0" applyNumberFormat="1" applyFont="1" applyFill="1" applyBorder="1" applyAlignment="1">
      <alignment horizontal="center"/>
    </xf>
    <xf numFmtId="0" fontId="55" fillId="2" borderId="1" xfId="0" applyNumberFormat="1" applyFont="1" applyFill="1" applyBorder="1" applyAlignment="1">
      <alignment horizontal="center"/>
    </xf>
    <xf numFmtId="0" fontId="34" fillId="0" borderId="16" xfId="4" applyNumberFormat="1" applyFont="1" applyFill="1" applyBorder="1"/>
    <xf numFmtId="0" fontId="35" fillId="0" borderId="1" xfId="0" applyNumberFormat="1" applyFont="1" applyFill="1" applyBorder="1"/>
    <xf numFmtId="0" fontId="38" fillId="0" borderId="1" xfId="4" applyNumberFormat="1" applyFont="1" applyFill="1" applyBorder="1"/>
    <xf numFmtId="0" fontId="43" fillId="0" borderId="1" xfId="3" applyNumberFormat="1" applyFont="1" applyFill="1" applyBorder="1" applyAlignment="1">
      <alignment horizontal="center"/>
    </xf>
    <xf numFmtId="0" fontId="38" fillId="0" borderId="12" xfId="5" applyNumberFormat="1" applyFont="1" applyFill="1" applyBorder="1" applyAlignment="1" applyProtection="1">
      <alignment horizontal="center"/>
    </xf>
    <xf numFmtId="0" fontId="37" fillId="2" borderId="0" xfId="0" applyNumberFormat="1" applyFont="1" applyFill="1" applyBorder="1"/>
    <xf numFmtId="0" fontId="43" fillId="0" borderId="4" xfId="0" applyNumberFormat="1" applyFont="1" applyBorder="1" applyAlignment="1">
      <alignment horizontal="center"/>
    </xf>
    <xf numFmtId="0" fontId="43" fillId="0" borderId="12" xfId="0" applyNumberFormat="1" applyFont="1" applyBorder="1" applyAlignment="1">
      <alignment horizontal="center"/>
    </xf>
    <xf numFmtId="0" fontId="37" fillId="2" borderId="1" xfId="0" applyNumberFormat="1" applyFont="1" applyFill="1" applyBorder="1" applyAlignment="1">
      <alignment horizontal="left"/>
    </xf>
    <xf numFmtId="0" fontId="43" fillId="0" borderId="1" xfId="0" applyNumberFormat="1" applyFont="1" applyFill="1" applyBorder="1" applyAlignment="1">
      <alignment horizontal="center"/>
    </xf>
    <xf numFmtId="0" fontId="23" fillId="10" borderId="0" xfId="0" applyNumberFormat="1" applyFont="1" applyFill="1"/>
    <xf numFmtId="0" fontId="37" fillId="11" borderId="1" xfId="0" applyNumberFormat="1" applyFont="1" applyFill="1" applyBorder="1" applyAlignment="1">
      <alignment horizontal="left"/>
    </xf>
    <xf numFmtId="0" fontId="40" fillId="2" borderId="1" xfId="0" applyNumberFormat="1" applyFont="1" applyFill="1" applyBorder="1" applyAlignment="1">
      <alignment horizontal="left"/>
    </xf>
    <xf numFmtId="0" fontId="40" fillId="11" borderId="1" xfId="0" applyNumberFormat="1" applyFont="1" applyFill="1" applyBorder="1" applyAlignment="1">
      <alignment horizontal="left"/>
    </xf>
    <xf numFmtId="0" fontId="48" fillId="0" borderId="4" xfId="0" applyNumberFormat="1" applyFont="1" applyFill="1" applyBorder="1"/>
    <xf numFmtId="0" fontId="43" fillId="0" borderId="4" xfId="0" applyNumberFormat="1" applyFont="1" applyFill="1" applyBorder="1" applyAlignment="1">
      <alignment horizontal="center"/>
    </xf>
    <xf numFmtId="0" fontId="48" fillId="0" borderId="1" xfId="0" applyNumberFormat="1" applyFont="1" applyFill="1" applyBorder="1" applyAlignment="1">
      <alignment horizontal="center"/>
    </xf>
    <xf numFmtId="0" fontId="37" fillId="12" borderId="1" xfId="0" applyNumberFormat="1" applyFont="1" applyFill="1" applyBorder="1" applyAlignment="1">
      <alignment horizontal="left"/>
    </xf>
    <xf numFmtId="0" fontId="43" fillId="12" borderId="0" xfId="0" applyNumberFormat="1" applyFont="1" applyFill="1" applyBorder="1"/>
    <xf numFmtId="0" fontId="43" fillId="12" borderId="0" xfId="0" applyNumberFormat="1" applyFont="1" applyFill="1" applyBorder="1" applyAlignment="1">
      <alignment horizontal="center"/>
    </xf>
    <xf numFmtId="0" fontId="43" fillId="12" borderId="24" xfId="0" applyNumberFormat="1" applyFont="1" applyFill="1" applyBorder="1"/>
    <xf numFmtId="176" fontId="19" fillId="9" borderId="1" xfId="3" applyNumberFormat="1" applyFont="1" applyFill="1" applyBorder="1" applyAlignment="1">
      <alignment horizontal="center"/>
    </xf>
    <xf numFmtId="1" fontId="38" fillId="8" borderId="12" xfId="3" applyNumberFormat="1" applyFont="1" applyFill="1" applyBorder="1" applyAlignment="1">
      <alignment horizontal="center" wrapText="1" shrinkToFit="1"/>
    </xf>
    <xf numFmtId="1" fontId="38" fillId="2" borderId="1" xfId="3" applyNumberFormat="1" applyFont="1" applyFill="1" applyBorder="1" applyAlignment="1">
      <alignment horizontal="right"/>
    </xf>
    <xf numFmtId="1" fontId="38" fillId="2" borderId="1" xfId="4" applyNumberFormat="1" applyFont="1" applyFill="1" applyBorder="1"/>
    <xf numFmtId="0" fontId="45" fillId="8" borderId="1" xfId="5" applyNumberFormat="1" applyFont="1" applyFill="1" applyBorder="1" applyAlignment="1">
      <alignment horizontal="center" vertical="center"/>
    </xf>
    <xf numFmtId="0" fontId="45" fillId="2" borderId="1" xfId="4" applyNumberFormat="1" applyFont="1" applyFill="1" applyBorder="1" applyAlignment="1">
      <alignment horizontal="center"/>
    </xf>
    <xf numFmtId="1" fontId="24" fillId="17" borderId="21" xfId="3" applyNumberFormat="1" applyFont="1" applyFill="1" applyBorder="1" applyAlignment="1">
      <alignment vertical="justify"/>
    </xf>
    <xf numFmtId="0" fontId="44" fillId="2" borderId="1" xfId="4" applyNumberFormat="1" applyFont="1" applyFill="1" applyBorder="1" applyAlignment="1">
      <alignment horizontal="center"/>
    </xf>
    <xf numFmtId="1" fontId="43" fillId="17" borderId="12" xfId="3" applyNumberFormat="1" applyFont="1" applyFill="1" applyBorder="1" applyAlignment="1">
      <alignment horizontal="center"/>
    </xf>
    <xf numFmtId="1" fontId="43" fillId="12" borderId="12" xfId="3" applyNumberFormat="1" applyFont="1" applyFill="1" applyBorder="1" applyAlignment="1">
      <alignment horizontal="center"/>
    </xf>
    <xf numFmtId="0" fontId="38" fillId="0" borderId="5" xfId="4" applyNumberFormat="1" applyFont="1" applyBorder="1" applyAlignment="1">
      <alignment horizontal="center"/>
    </xf>
    <xf numFmtId="0" fontId="38" fillId="8" borderId="5" xfId="3" applyNumberFormat="1" applyFont="1" applyFill="1" applyBorder="1" applyAlignment="1">
      <alignment horizontal="center"/>
    </xf>
    <xf numFmtId="0" fontId="38" fillId="0" borderId="5" xfId="3" applyNumberFormat="1" applyFont="1" applyFill="1" applyBorder="1" applyAlignment="1">
      <alignment horizontal="center"/>
    </xf>
    <xf numFmtId="0" fontId="38" fillId="2" borderId="5" xfId="5" applyNumberFormat="1" applyFont="1" applyFill="1" applyBorder="1" applyAlignment="1">
      <alignment horizontal="center" vertical="center"/>
    </xf>
    <xf numFmtId="0" fontId="37" fillId="2" borderId="1" xfId="0" applyNumberFormat="1" applyFont="1" applyFill="1" applyBorder="1" applyAlignment="1">
      <alignment horizontal="center"/>
    </xf>
    <xf numFmtId="176" fontId="32" fillId="9" borderId="1" xfId="3" applyNumberFormat="1" applyFont="1" applyFill="1" applyBorder="1" applyAlignment="1">
      <alignment horizontal="center"/>
    </xf>
    <xf numFmtId="0" fontId="90" fillId="9" borderId="1" xfId="3" applyNumberFormat="1" applyFont="1" applyFill="1" applyBorder="1" applyAlignment="1">
      <alignment horizontal="center"/>
    </xf>
    <xf numFmtId="9" fontId="90" fillId="9" borderId="1" xfId="4" applyNumberFormat="1" applyFont="1" applyFill="1" applyBorder="1"/>
    <xf numFmtId="0" fontId="38" fillId="9" borderId="1" xfId="3" applyNumberFormat="1" applyFont="1" applyFill="1" applyBorder="1" applyAlignment="1">
      <alignment horizontal="center"/>
    </xf>
    <xf numFmtId="0" fontId="38" fillId="9" borderId="1" xfId="3" applyNumberFormat="1" applyFont="1" applyFill="1" applyBorder="1" applyAlignment="1">
      <alignment horizontal="center" vertical="center"/>
    </xf>
    <xf numFmtId="1" fontId="38" fillId="9" borderId="1" xfId="3" applyNumberFormat="1" applyFont="1" applyFill="1" applyBorder="1" applyAlignment="1">
      <alignment horizontal="center" vertical="center"/>
    </xf>
    <xf numFmtId="0" fontId="90" fillId="9" borderId="1" xfId="3" applyNumberFormat="1" applyFont="1" applyFill="1" applyBorder="1" applyAlignment="1">
      <alignment horizontal="left"/>
    </xf>
    <xf numFmtId="9" fontId="90" fillId="9" borderId="1" xfId="3" applyNumberFormat="1" applyFont="1" applyFill="1" applyBorder="1" applyAlignment="1"/>
    <xf numFmtId="0" fontId="32" fillId="9" borderId="1" xfId="3" applyNumberFormat="1" applyFont="1" applyFill="1" applyBorder="1"/>
    <xf numFmtId="0" fontId="32" fillId="8" borderId="1" xfId="3" applyNumberFormat="1" applyFont="1" applyFill="1" applyBorder="1" applyAlignment="1">
      <alignment horizontal="center" vertical="center"/>
    </xf>
    <xf numFmtId="0" fontId="90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wrapText="1" shrinkToFit="1"/>
    </xf>
    <xf numFmtId="0" fontId="40" fillId="0" borderId="1" xfId="0" applyNumberFormat="1" applyFont="1" applyBorder="1"/>
    <xf numFmtId="0" fontId="90" fillId="12" borderId="1" xfId="3" applyNumberFormat="1" applyFont="1" applyFill="1" applyBorder="1" applyAlignment="1">
      <alignment horizontal="center" vertical="center"/>
    </xf>
    <xf numFmtId="0" fontId="32" fillId="8" borderId="1" xfId="3" applyNumberFormat="1" applyFont="1" applyFill="1" applyBorder="1" applyAlignment="1">
      <alignment horizontal="left" vertical="center"/>
    </xf>
    <xf numFmtId="0" fontId="90" fillId="8" borderId="1" xfId="3" applyNumberFormat="1" applyFont="1" applyFill="1" applyBorder="1" applyAlignment="1">
      <alignment horizontal="left" vertical="center"/>
    </xf>
    <xf numFmtId="0" fontId="90" fillId="8" borderId="1" xfId="3" applyNumberFormat="1" applyFont="1" applyFill="1" applyBorder="1" applyAlignment="1">
      <alignment horizontal="center"/>
    </xf>
    <xf numFmtId="0" fontId="32" fillId="8" borderId="1" xfId="3" applyNumberFormat="1" applyFont="1" applyFill="1" applyBorder="1" applyAlignment="1">
      <alignment vertical="center"/>
    </xf>
    <xf numFmtId="0" fontId="90" fillId="8" borderId="1" xfId="3" applyNumberFormat="1" applyFont="1" applyFill="1" applyBorder="1" applyAlignment="1">
      <alignment vertical="center"/>
    </xf>
    <xf numFmtId="0" fontId="38" fillId="2" borderId="1" xfId="3" applyNumberFormat="1" applyFont="1" applyFill="1" applyBorder="1" applyAlignment="1">
      <alignment horizontal="right"/>
    </xf>
    <xf numFmtId="0" fontId="32" fillId="13" borderId="1" xfId="3" applyNumberFormat="1" applyFont="1" applyFill="1" applyBorder="1" applyAlignment="1">
      <alignment horizontal="center"/>
    </xf>
    <xf numFmtId="0" fontId="90" fillId="13" borderId="1" xfId="3" applyNumberFormat="1" applyFont="1" applyFill="1" applyBorder="1" applyAlignment="1">
      <alignment horizontal="center"/>
    </xf>
    <xf numFmtId="0" fontId="90" fillId="12" borderId="1" xfId="3" applyNumberFormat="1" applyFont="1" applyFill="1" applyBorder="1" applyAlignment="1">
      <alignment horizontal="center"/>
    </xf>
    <xf numFmtId="0" fontId="90" fillId="8" borderId="1" xfId="3" applyNumberFormat="1" applyFont="1" applyFill="1" applyBorder="1" applyAlignment="1">
      <alignment horizontal="left"/>
    </xf>
    <xf numFmtId="0" fontId="32" fillId="2" borderId="1" xfId="3" applyNumberFormat="1" applyFont="1" applyFill="1" applyBorder="1" applyAlignment="1">
      <alignment horizontal="left" vertical="center"/>
    </xf>
    <xf numFmtId="0" fontId="90" fillId="2" borderId="1" xfId="3" applyNumberFormat="1" applyFont="1" applyFill="1" applyBorder="1" applyAlignment="1">
      <alignment horizontal="left" vertical="center"/>
    </xf>
    <xf numFmtId="0" fontId="90" fillId="2" borderId="1" xfId="3" applyNumberFormat="1" applyFont="1" applyFill="1" applyBorder="1" applyAlignment="1">
      <alignment horizontal="center"/>
    </xf>
    <xf numFmtId="0" fontId="38" fillId="2" borderId="1" xfId="5" applyNumberFormat="1" applyFont="1" applyFill="1" applyBorder="1" applyAlignment="1">
      <alignment horizontal="center"/>
    </xf>
    <xf numFmtId="0" fontId="38" fillId="8" borderId="1" xfId="5" applyNumberFormat="1" applyFont="1" applyFill="1" applyBorder="1" applyAlignment="1">
      <alignment horizontal="center"/>
    </xf>
    <xf numFmtId="0" fontId="38" fillId="2" borderId="1" xfId="4" applyNumberFormat="1" applyFont="1" applyFill="1" applyBorder="1"/>
    <xf numFmtId="0" fontId="92" fillId="8" borderId="1" xfId="3" applyNumberFormat="1" applyFont="1" applyFill="1" applyBorder="1" applyAlignment="1">
      <alignment horizontal="center"/>
    </xf>
    <xf numFmtId="0" fontId="45" fillId="8" borderId="1" xfId="5" applyNumberFormat="1" applyFont="1" applyFill="1" applyBorder="1" applyAlignment="1">
      <alignment horizontal="center"/>
    </xf>
    <xf numFmtId="0" fontId="32" fillId="13" borderId="1" xfId="3" applyNumberFormat="1" applyFont="1" applyFill="1" applyBorder="1" applyAlignment="1">
      <alignment horizontal="center" vertical="center"/>
    </xf>
    <xf numFmtId="0" fontId="90" fillId="13" borderId="1" xfId="3" applyNumberFormat="1" applyFont="1" applyFill="1" applyBorder="1" applyAlignment="1">
      <alignment horizontal="center" vertical="center"/>
    </xf>
    <xf numFmtId="0" fontId="42" fillId="2" borderId="1" xfId="3" applyNumberFormat="1" applyFont="1" applyFill="1" applyBorder="1" applyAlignment="1">
      <alignment horizontal="center"/>
    </xf>
    <xf numFmtId="0" fontId="93" fillId="2" borderId="1" xfId="3" applyNumberFormat="1" applyFont="1" applyFill="1" applyBorder="1" applyAlignment="1">
      <alignment horizontal="center"/>
    </xf>
    <xf numFmtId="0" fontId="93" fillId="8" borderId="1" xfId="8" applyNumberFormat="1" applyFont="1" applyFill="1" applyBorder="1" applyAlignment="1">
      <alignment horizontal="center"/>
    </xf>
    <xf numFmtId="0" fontId="93" fillId="8" borderId="1" xfId="3" applyNumberFormat="1" applyFont="1" applyFill="1" applyBorder="1" applyAlignment="1">
      <alignment horizontal="center"/>
    </xf>
    <xf numFmtId="0" fontId="47" fillId="8" borderId="1" xfId="5" applyNumberFormat="1" applyFont="1" applyFill="1" applyBorder="1" applyAlignment="1">
      <alignment horizontal="center"/>
    </xf>
    <xf numFmtId="0" fontId="43" fillId="8" borderId="1" xfId="5" applyNumberFormat="1" applyFont="1" applyFill="1" applyBorder="1" applyAlignment="1" applyProtection="1">
      <alignment horizontal="center"/>
    </xf>
    <xf numFmtId="0" fontId="42" fillId="13" borderId="1" xfId="3" applyNumberFormat="1" applyFont="1" applyFill="1" applyBorder="1" applyAlignment="1">
      <alignment horizontal="center"/>
    </xf>
    <xf numFmtId="0" fontId="93" fillId="13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0" fontId="45" fillId="8" borderId="1" xfId="5" applyNumberFormat="1" applyFont="1" applyFill="1" applyBorder="1" applyAlignment="1" applyProtection="1">
      <alignment horizontal="center"/>
    </xf>
    <xf numFmtId="0" fontId="95" fillId="17" borderId="1" xfId="3" applyNumberFormat="1" applyFont="1" applyFill="1" applyBorder="1" applyAlignment="1">
      <alignment vertical="justify"/>
    </xf>
    <xf numFmtId="0" fontId="88" fillId="17" borderId="1" xfId="3" applyNumberFormat="1" applyFont="1" applyFill="1" applyBorder="1" applyAlignment="1">
      <alignment horizontal="center"/>
    </xf>
    <xf numFmtId="0" fontId="88" fillId="17" borderId="1" xfId="3" applyNumberFormat="1" applyFont="1" applyFill="1" applyBorder="1" applyAlignment="1">
      <alignment vertical="justify"/>
    </xf>
    <xf numFmtId="1" fontId="88" fillId="17" borderId="1" xfId="3" applyNumberFormat="1" applyFont="1" applyFill="1" applyBorder="1" applyAlignment="1">
      <alignment vertical="justify"/>
    </xf>
    <xf numFmtId="0" fontId="32" fillId="12" borderId="1" xfId="3" applyNumberFormat="1" applyFont="1" applyFill="1" applyBorder="1" applyAlignment="1">
      <alignment horizontal="left"/>
    </xf>
    <xf numFmtId="0" fontId="90" fillId="12" borderId="1" xfId="3" applyNumberFormat="1" applyFont="1" applyFill="1" applyBorder="1" applyAlignment="1">
      <alignment horizontal="left"/>
    </xf>
    <xf numFmtId="0" fontId="96" fillId="2" borderId="0" xfId="0" applyNumberFormat="1" applyFont="1" applyFill="1"/>
    <xf numFmtId="0" fontId="96" fillId="0" borderId="0" xfId="0" applyNumberFormat="1" applyFont="1"/>
    <xf numFmtId="0" fontId="90" fillId="8" borderId="1" xfId="3" applyNumberFormat="1" applyFont="1" applyFill="1" applyBorder="1" applyAlignment="1">
      <alignment horizontal="left" vertical="justify"/>
    </xf>
    <xf numFmtId="0" fontId="90" fillId="17" borderId="1" xfId="3" applyNumberFormat="1" applyFont="1" applyFill="1" applyBorder="1" applyAlignment="1">
      <alignment horizontal="center"/>
    </xf>
    <xf numFmtId="0" fontId="90" fillId="0" borderId="0" xfId="0" applyNumberFormat="1" applyFont="1"/>
    <xf numFmtId="0" fontId="40" fillId="0" borderId="1" xfId="0" applyNumberFormat="1" applyFont="1" applyBorder="1" applyAlignment="1">
      <alignment horizontal="left"/>
    </xf>
    <xf numFmtId="177" fontId="38" fillId="8" borderId="1" xfId="3" applyNumberFormat="1" applyFont="1" applyFill="1" applyBorder="1" applyAlignment="1">
      <alignment horizontal="center"/>
    </xf>
    <xf numFmtId="177" fontId="38" fillId="8" borderId="1" xfId="3" applyNumberFormat="1" applyFont="1" applyFill="1" applyBorder="1" applyAlignment="1">
      <alignment horizontal="right"/>
    </xf>
    <xf numFmtId="177" fontId="38" fillId="8" borderId="1" xfId="6" applyNumberFormat="1" applyFont="1" applyFill="1" applyBorder="1" applyAlignment="1">
      <alignment horizontal="center"/>
    </xf>
    <xf numFmtId="177" fontId="38" fillId="0" borderId="1" xfId="6" applyNumberFormat="1" applyFont="1" applyFill="1" applyBorder="1" applyAlignment="1"/>
    <xf numFmtId="177" fontId="38" fillId="8" borderId="1" xfId="5" applyNumberFormat="1" applyFont="1" applyFill="1" applyBorder="1" applyAlignment="1">
      <alignment horizontal="right"/>
    </xf>
    <xf numFmtId="0" fontId="32" fillId="13" borderId="1" xfId="3" applyNumberFormat="1" applyFont="1" applyFill="1" applyBorder="1" applyAlignment="1">
      <alignment horizontal="left"/>
    </xf>
    <xf numFmtId="0" fontId="90" fillId="13" borderId="1" xfId="3" applyNumberFormat="1" applyFont="1" applyFill="1" applyBorder="1" applyAlignment="1">
      <alignment horizontal="left"/>
    </xf>
    <xf numFmtId="0" fontId="37" fillId="0" borderId="1" xfId="0" applyNumberFormat="1" applyFont="1" applyBorder="1" applyAlignment="1"/>
    <xf numFmtId="0" fontId="40" fillId="0" borderId="1" xfId="0" applyNumberFormat="1" applyFont="1" applyBorder="1" applyAlignment="1"/>
    <xf numFmtId="0" fontId="40" fillId="0" borderId="0" xfId="0" applyNumberFormat="1" applyFont="1" applyFill="1" applyAlignment="1">
      <alignment horizontal="center"/>
    </xf>
    <xf numFmtId="0" fontId="40" fillId="0" borderId="0" xfId="0" applyNumberFormat="1" applyFont="1" applyAlignment="1">
      <alignment horizontal="center"/>
    </xf>
    <xf numFmtId="0" fontId="90" fillId="2" borderId="1" xfId="4" applyNumberFormat="1" applyFont="1" applyFill="1" applyBorder="1" applyAlignment="1">
      <alignment horizontal="center"/>
    </xf>
    <xf numFmtId="0" fontId="90" fillId="2" borderId="1" xfId="3" applyNumberFormat="1" applyFont="1" applyFill="1" applyBorder="1" applyAlignment="1">
      <alignment horizontal="center" vertical="center"/>
    </xf>
    <xf numFmtId="0" fontId="90" fillId="0" borderId="1" xfId="4" applyNumberFormat="1" applyFont="1" applyBorder="1" applyAlignment="1">
      <alignment horizontal="center"/>
    </xf>
    <xf numFmtId="0" fontId="34" fillId="0" borderId="1" xfId="4" applyNumberFormat="1" applyFont="1" applyFill="1" applyBorder="1"/>
    <xf numFmtId="0" fontId="96" fillId="0" borderId="1" xfId="0" applyNumberFormat="1" applyFont="1" applyFill="1" applyBorder="1"/>
    <xf numFmtId="0" fontId="90" fillId="0" borderId="1" xfId="4" applyNumberFormat="1" applyFont="1" applyFill="1" applyBorder="1"/>
    <xf numFmtId="0" fontId="40" fillId="2" borderId="1" xfId="0" applyNumberFormat="1" applyFont="1" applyFill="1" applyBorder="1"/>
    <xf numFmtId="0" fontId="40" fillId="0" borderId="1" xfId="0" applyNumberFormat="1" applyFont="1" applyBorder="1" applyAlignment="1">
      <alignment horizontal="center"/>
    </xf>
    <xf numFmtId="0" fontId="40" fillId="0" borderId="1" xfId="0" applyNumberFormat="1" applyFont="1" applyFill="1" applyBorder="1"/>
    <xf numFmtId="0" fontId="40" fillId="0" borderId="1" xfId="0" applyNumberFormat="1" applyFont="1" applyFill="1" applyBorder="1" applyAlignment="1">
      <alignment horizontal="center"/>
    </xf>
    <xf numFmtId="0" fontId="40" fillId="2" borderId="7" xfId="0" applyNumberFormat="1" applyFont="1" applyFill="1" applyBorder="1" applyAlignment="1">
      <alignment horizontal="left"/>
    </xf>
    <xf numFmtId="0" fontId="40" fillId="0" borderId="0" xfId="0" applyNumberFormat="1" applyFont="1" applyBorder="1"/>
    <xf numFmtId="1" fontId="38" fillId="8" borderId="1" xfId="3" applyNumberFormat="1" applyFont="1" applyFill="1" applyBorder="1" applyAlignment="1">
      <alignment horizontal="right"/>
    </xf>
    <xf numFmtId="1" fontId="38" fillId="8" borderId="1" xfId="6" applyNumberFormat="1" applyFont="1" applyFill="1" applyBorder="1" applyAlignment="1">
      <alignment horizontal="center"/>
    </xf>
    <xf numFmtId="1" fontId="38" fillId="0" borderId="1" xfId="6" applyNumberFormat="1" applyFont="1" applyFill="1" applyBorder="1" applyAlignment="1"/>
    <xf numFmtId="1" fontId="38" fillId="8" borderId="6" xfId="6" applyNumberFormat="1" applyFont="1" applyFill="1" applyBorder="1" applyAlignment="1">
      <alignment horizontal="center"/>
    </xf>
    <xf numFmtId="1" fontId="38" fillId="8" borderId="6" xfId="3" applyNumberFormat="1" applyFont="1" applyFill="1" applyBorder="1" applyAlignment="1">
      <alignment horizontal="right"/>
    </xf>
    <xf numFmtId="0" fontId="38" fillId="2" borderId="1" xfId="0" applyNumberFormat="1" applyFont="1" applyFill="1" applyBorder="1" applyAlignment="1">
      <alignment horizontal="center"/>
    </xf>
    <xf numFmtId="0" fontId="43" fillId="0" borderId="1" xfId="0" applyNumberFormat="1" applyFont="1" applyBorder="1" applyAlignment="1"/>
    <xf numFmtId="0" fontId="37" fillId="2" borderId="1" xfId="0" applyNumberFormat="1" applyFont="1" applyFill="1" applyBorder="1"/>
    <xf numFmtId="0" fontId="48" fillId="0" borderId="1" xfId="0" applyNumberFormat="1" applyFont="1" applyFill="1" applyBorder="1"/>
    <xf numFmtId="0" fontId="43" fillId="12" borderId="1" xfId="0" applyNumberFormat="1" applyFont="1" applyFill="1" applyBorder="1"/>
    <xf numFmtId="0" fontId="43" fillId="12" borderId="1" xfId="0" applyNumberFormat="1" applyFont="1" applyFill="1" applyBorder="1" applyAlignment="1">
      <alignment horizontal="center"/>
    </xf>
    <xf numFmtId="1" fontId="40" fillId="0" borderId="0" xfId="0" applyNumberFormat="1" applyFont="1"/>
    <xf numFmtId="1" fontId="38" fillId="8" borderId="1" xfId="7" applyNumberFormat="1" applyFont="1" applyFill="1" applyBorder="1" applyAlignment="1">
      <alignment horizontal="right" wrapText="1"/>
    </xf>
    <xf numFmtId="1" fontId="78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1" fontId="80" fillId="0" borderId="1" xfId="0" applyNumberFormat="1" applyFont="1" applyBorder="1" applyAlignment="1">
      <alignment horizontal="center"/>
    </xf>
    <xf numFmtId="1" fontId="45" fillId="8" borderId="1" xfId="5" applyNumberFormat="1" applyFont="1" applyFill="1" applyBorder="1" applyAlignment="1">
      <alignment horizontal="center" vertical="center"/>
    </xf>
    <xf numFmtId="1" fontId="43" fillId="12" borderId="1" xfId="3" applyNumberFormat="1" applyFont="1" applyFill="1" applyBorder="1" applyAlignment="1">
      <alignment horizontal="center" vertical="center"/>
    </xf>
    <xf numFmtId="1" fontId="46" fillId="12" borderId="1" xfId="3" applyNumberFormat="1" applyFont="1" applyFill="1" applyBorder="1" applyAlignment="1">
      <alignment horizontal="center" vertical="center"/>
    </xf>
    <xf numFmtId="1" fontId="38" fillId="8" borderId="1" xfId="9" applyNumberFormat="1" applyFont="1" applyFill="1" applyBorder="1" applyAlignment="1">
      <alignment horizontal="center"/>
    </xf>
    <xf numFmtId="1" fontId="43" fillId="8" borderId="1" xfId="5" applyNumberFormat="1" applyFont="1" applyFill="1" applyBorder="1" applyAlignment="1" applyProtection="1">
      <alignment horizontal="center" vertical="center"/>
    </xf>
    <xf numFmtId="1" fontId="46" fillId="8" borderId="1" xfId="3" applyNumberFormat="1" applyFont="1" applyFill="1" applyBorder="1" applyAlignment="1">
      <alignment horizontal="right"/>
    </xf>
    <xf numFmtId="1" fontId="45" fillId="8" borderId="1" xfId="5" applyNumberFormat="1" applyFont="1" applyFill="1" applyBorder="1" applyAlignment="1" applyProtection="1">
      <alignment horizontal="center" vertical="center"/>
    </xf>
    <xf numFmtId="1" fontId="24" fillId="17" borderId="3" xfId="3" applyNumberFormat="1" applyFont="1" applyFill="1" applyBorder="1" applyAlignment="1">
      <alignment vertical="justify"/>
    </xf>
    <xf numFmtId="1" fontId="38" fillId="0" borderId="1" xfId="4" applyNumberFormat="1" applyFont="1" applyBorder="1" applyAlignment="1">
      <alignment horizontal="center" vertical="center"/>
    </xf>
    <xf numFmtId="1" fontId="43" fillId="0" borderId="0" xfId="0" applyNumberFormat="1" applyFont="1" applyBorder="1"/>
    <xf numFmtId="1" fontId="44" fillId="0" borderId="1" xfId="4" applyNumberFormat="1" applyFont="1" applyFill="1" applyBorder="1" applyAlignment="1">
      <alignment horizontal="center"/>
    </xf>
    <xf numFmtId="1" fontId="38" fillId="8" borderId="6" xfId="3" applyNumberFormat="1" applyFont="1" applyFill="1" applyBorder="1" applyAlignment="1">
      <alignment horizontal="center"/>
    </xf>
    <xf numFmtId="0" fontId="43" fillId="10" borderId="1" xfId="0" applyFont="1" applyFill="1" applyBorder="1"/>
    <xf numFmtId="2" fontId="38" fillId="0" borderId="1" xfId="4" applyNumberFormat="1" applyFont="1" applyFill="1" applyBorder="1" applyAlignment="1">
      <alignment horizontal="center" vertical="center"/>
    </xf>
    <xf numFmtId="0" fontId="38" fillId="0" borderId="1" xfId="4" applyNumberFormat="1" applyFont="1" applyFill="1" applyBorder="1" applyAlignment="1">
      <alignment horizontal="center" vertical="center"/>
    </xf>
    <xf numFmtId="38" fontId="38" fillId="2" borderId="7" xfId="5" applyNumberFormat="1" applyFon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85" fillId="0" borderId="2" xfId="4" applyFont="1" applyBorder="1" applyAlignment="1">
      <alignment horizontal="left"/>
    </xf>
    <xf numFmtId="0" fontId="85" fillId="0" borderId="3" xfId="4" applyFont="1" applyBorder="1" applyAlignment="1">
      <alignment horizontal="left"/>
    </xf>
    <xf numFmtId="0" fontId="85" fillId="0" borderId="4" xfId="4" applyFont="1" applyBorder="1" applyAlignment="1">
      <alignment horizontal="left"/>
    </xf>
    <xf numFmtId="0" fontId="85" fillId="0" borderId="2" xfId="4" applyFont="1" applyFill="1" applyBorder="1" applyAlignment="1">
      <alignment horizontal="center"/>
    </xf>
    <xf numFmtId="0" fontId="85" fillId="0" borderId="3" xfId="4" applyFont="1" applyFill="1" applyBorder="1" applyAlignment="1">
      <alignment horizontal="center"/>
    </xf>
    <xf numFmtId="0" fontId="85" fillId="0" borderId="4" xfId="4" applyFont="1" applyFill="1" applyBorder="1" applyAlignment="1">
      <alignment horizontal="center"/>
    </xf>
    <xf numFmtId="0" fontId="80" fillId="11" borderId="13" xfId="0" applyFont="1" applyFill="1" applyBorder="1" applyAlignment="1">
      <alignment horizontal="left"/>
    </xf>
    <xf numFmtId="0" fontId="80" fillId="11" borderId="4" xfId="0" applyFont="1" applyFill="1" applyBorder="1" applyAlignment="1">
      <alignment horizontal="left"/>
    </xf>
    <xf numFmtId="0" fontId="80" fillId="2" borderId="13" xfId="0" applyFont="1" applyFill="1" applyBorder="1" applyAlignment="1">
      <alignment horizontal="left"/>
    </xf>
    <xf numFmtId="0" fontId="80" fillId="2" borderId="4" xfId="0" applyFont="1" applyFill="1" applyBorder="1" applyAlignment="1">
      <alignment horizontal="left"/>
    </xf>
    <xf numFmtId="0" fontId="76" fillId="2" borderId="13" xfId="0" applyFont="1" applyFill="1" applyBorder="1" applyAlignment="1">
      <alignment horizontal="left"/>
    </xf>
    <xf numFmtId="0" fontId="76" fillId="2" borderId="4" xfId="0" applyFont="1" applyFill="1" applyBorder="1" applyAlignment="1">
      <alignment horizontal="left"/>
    </xf>
    <xf numFmtId="0" fontId="80" fillId="12" borderId="13" xfId="0" applyFont="1" applyFill="1" applyBorder="1" applyAlignment="1">
      <alignment horizontal="left"/>
    </xf>
    <xf numFmtId="0" fontId="80" fillId="12" borderId="4" xfId="0" applyFont="1" applyFill="1" applyBorder="1" applyAlignment="1">
      <alignment horizontal="left"/>
    </xf>
    <xf numFmtId="0" fontId="77" fillId="2" borderId="20" xfId="0" applyFont="1" applyFill="1" applyBorder="1" applyAlignment="1">
      <alignment horizontal="center"/>
    </xf>
    <xf numFmtId="0" fontId="77" fillId="2" borderId="5" xfId="0" applyFont="1" applyFill="1" applyBorder="1" applyAlignment="1">
      <alignment horizontal="center"/>
    </xf>
    <xf numFmtId="0" fontId="80" fillId="12" borderId="1" xfId="0" applyFont="1" applyFill="1" applyBorder="1" applyAlignment="1">
      <alignment horizontal="center"/>
    </xf>
    <xf numFmtId="0" fontId="80" fillId="0" borderId="1" xfId="0" applyFont="1" applyBorder="1" applyAlignment="1">
      <alignment horizontal="left"/>
    </xf>
    <xf numFmtId="0" fontId="77" fillId="12" borderId="23" xfId="3" applyFont="1" applyFill="1" applyBorder="1" applyAlignment="1">
      <alignment horizontal="center" vertical="center"/>
    </xf>
    <xf numFmtId="0" fontId="77" fillId="12" borderId="0" xfId="3" applyFont="1" applyFill="1" applyBorder="1" applyAlignment="1">
      <alignment horizontal="center" vertical="center"/>
    </xf>
    <xf numFmtId="0" fontId="77" fillId="12" borderId="24" xfId="3" applyFont="1" applyFill="1" applyBorder="1" applyAlignment="1">
      <alignment horizontal="center" vertical="center"/>
    </xf>
    <xf numFmtId="0" fontId="80" fillId="2" borderId="3" xfId="0" applyFont="1" applyFill="1" applyBorder="1" applyAlignment="1">
      <alignment horizontal="left"/>
    </xf>
    <xf numFmtId="0" fontId="77" fillId="0" borderId="1" xfId="4" applyFont="1" applyBorder="1" applyAlignment="1">
      <alignment horizontal="left"/>
    </xf>
    <xf numFmtId="0" fontId="76" fillId="0" borderId="2" xfId="0" applyFont="1" applyBorder="1" applyAlignment="1">
      <alignment horizontal="left"/>
    </xf>
    <xf numFmtId="0" fontId="76" fillId="0" borderId="4" xfId="0" applyFont="1" applyBorder="1" applyAlignment="1">
      <alignment horizontal="left"/>
    </xf>
    <xf numFmtId="0" fontId="85" fillId="0" borderId="1" xfId="4" applyFont="1" applyFill="1" applyBorder="1" applyAlignment="1">
      <alignment horizontal="left"/>
    </xf>
    <xf numFmtId="0" fontId="80" fillId="0" borderId="2" xfId="0" applyFont="1" applyBorder="1" applyAlignment="1">
      <alignment horizontal="left"/>
    </xf>
    <xf numFmtId="0" fontId="80" fillId="0" borderId="3" xfId="0" applyFont="1" applyBorder="1" applyAlignment="1">
      <alignment horizontal="left"/>
    </xf>
    <xf numFmtId="0" fontId="80" fillId="0" borderId="4" xfId="0" applyFont="1" applyBorder="1" applyAlignment="1">
      <alignment horizontal="left"/>
    </xf>
    <xf numFmtId="0" fontId="80" fillId="2" borderId="2" xfId="0" applyFont="1" applyFill="1" applyBorder="1" applyAlignment="1">
      <alignment horizontal="left"/>
    </xf>
    <xf numFmtId="0" fontId="77" fillId="13" borderId="13" xfId="3" applyFont="1" applyFill="1" applyBorder="1" applyAlignment="1">
      <alignment horizontal="left"/>
    </xf>
    <xf numFmtId="0" fontId="77" fillId="13" borderId="3" xfId="3" applyFont="1" applyFill="1" applyBorder="1" applyAlignment="1">
      <alignment horizontal="left"/>
    </xf>
    <xf numFmtId="0" fontId="77" fillId="13" borderId="4" xfId="3" applyFont="1" applyFill="1" applyBorder="1" applyAlignment="1">
      <alignment horizontal="left"/>
    </xf>
    <xf numFmtId="0" fontId="80" fillId="0" borderId="2" xfId="0" applyFont="1" applyBorder="1" applyAlignment="1">
      <alignment horizontal="center"/>
    </xf>
    <xf numFmtId="0" fontId="80" fillId="0" borderId="3" xfId="0" applyFont="1" applyBorder="1" applyAlignment="1">
      <alignment horizontal="center"/>
    </xf>
    <xf numFmtId="0" fontId="80" fillId="0" borderId="4" xfId="0" applyFont="1" applyBorder="1" applyAlignment="1">
      <alignment horizontal="center"/>
    </xf>
    <xf numFmtId="0" fontId="77" fillId="8" borderId="13" xfId="3" applyFont="1" applyFill="1" applyBorder="1" applyAlignment="1">
      <alignment horizontal="left"/>
    </xf>
    <xf numFmtId="0" fontId="77" fillId="8" borderId="3" xfId="3" applyFont="1" applyFill="1" applyBorder="1" applyAlignment="1">
      <alignment horizontal="left"/>
    </xf>
    <xf numFmtId="0" fontId="77" fillId="8" borderId="4" xfId="3" applyFont="1" applyFill="1" applyBorder="1" applyAlignment="1">
      <alignment horizontal="left"/>
    </xf>
    <xf numFmtId="0" fontId="77" fillId="8" borderId="0" xfId="3" applyFont="1" applyFill="1" applyBorder="1" applyAlignment="1">
      <alignment vertical="center"/>
    </xf>
    <xf numFmtId="0" fontId="77" fillId="0" borderId="2" xfId="4" applyFont="1" applyBorder="1" applyAlignment="1">
      <alignment horizontal="left" vertical="center"/>
    </xf>
    <xf numFmtId="0" fontId="77" fillId="0" borderId="3" xfId="4" applyFont="1" applyBorder="1" applyAlignment="1">
      <alignment horizontal="left" vertical="center"/>
    </xf>
    <xf numFmtId="0" fontId="77" fillId="0" borderId="4" xfId="4" applyFont="1" applyBorder="1" applyAlignment="1">
      <alignment horizontal="left" vertical="center"/>
    </xf>
    <xf numFmtId="0" fontId="77" fillId="8" borderId="19" xfId="3" applyFont="1" applyFill="1" applyBorder="1" applyAlignment="1">
      <alignment horizontal="left"/>
    </xf>
    <xf numFmtId="0" fontId="77" fillId="8" borderId="8" xfId="3" applyFont="1" applyFill="1" applyBorder="1" applyAlignment="1">
      <alignment horizontal="left"/>
    </xf>
    <xf numFmtId="0" fontId="77" fillId="8" borderId="9" xfId="3" applyFont="1" applyFill="1" applyBorder="1" applyAlignment="1">
      <alignment horizontal="left"/>
    </xf>
    <xf numFmtId="0" fontId="80" fillId="12" borderId="0" xfId="0" applyFont="1" applyFill="1" applyAlignment="1">
      <alignment horizontal="center"/>
    </xf>
    <xf numFmtId="0" fontId="80" fillId="12" borderId="2" xfId="0" applyFont="1" applyFill="1" applyBorder="1" applyAlignment="1">
      <alignment horizontal="center"/>
    </xf>
    <xf numFmtId="0" fontId="80" fillId="12" borderId="3" xfId="0" applyFont="1" applyFill="1" applyBorder="1" applyAlignment="1">
      <alignment horizontal="center"/>
    </xf>
    <xf numFmtId="0" fontId="80" fillId="12" borderId="4" xfId="0" applyFont="1" applyFill="1" applyBorder="1" applyAlignment="1">
      <alignment horizontal="center"/>
    </xf>
    <xf numFmtId="0" fontId="77" fillId="12" borderId="13" xfId="3" applyFont="1" applyFill="1" applyBorder="1" applyAlignment="1">
      <alignment horizontal="center" vertical="center"/>
    </xf>
    <xf numFmtId="0" fontId="77" fillId="12" borderId="3" xfId="3" applyFont="1" applyFill="1" applyBorder="1" applyAlignment="1">
      <alignment horizontal="center" vertical="center"/>
    </xf>
    <xf numFmtId="0" fontId="77" fillId="12" borderId="4" xfId="3" applyFont="1" applyFill="1" applyBorder="1" applyAlignment="1">
      <alignment horizontal="center" vertical="center"/>
    </xf>
    <xf numFmtId="0" fontId="77" fillId="12" borderId="13" xfId="3" applyFont="1" applyFill="1" applyBorder="1" applyAlignment="1">
      <alignment horizontal="center"/>
    </xf>
    <xf numFmtId="0" fontId="77" fillId="12" borderId="3" xfId="3" applyFont="1" applyFill="1" applyBorder="1" applyAlignment="1">
      <alignment horizontal="center"/>
    </xf>
    <xf numFmtId="0" fontId="77" fillId="12" borderId="4" xfId="3" applyFont="1" applyFill="1" applyBorder="1" applyAlignment="1">
      <alignment horizontal="center"/>
    </xf>
    <xf numFmtId="0" fontId="81" fillId="17" borderId="13" xfId="3" applyFont="1" applyFill="1" applyBorder="1" applyAlignment="1">
      <alignment horizontal="center"/>
    </xf>
    <xf numFmtId="0" fontId="81" fillId="17" borderId="3" xfId="3" applyFont="1" applyFill="1" applyBorder="1" applyAlignment="1">
      <alignment horizontal="center"/>
    </xf>
    <xf numFmtId="0" fontId="81" fillId="17" borderId="4" xfId="3" applyFont="1" applyFill="1" applyBorder="1" applyAlignment="1">
      <alignment horizontal="center"/>
    </xf>
    <xf numFmtId="0" fontId="77" fillId="0" borderId="13" xfId="4" applyFont="1" applyBorder="1" applyAlignment="1">
      <alignment horizontal="left"/>
    </xf>
    <xf numFmtId="0" fontId="77" fillId="0" borderId="3" xfId="4" applyFont="1" applyBorder="1" applyAlignment="1">
      <alignment horizontal="left"/>
    </xf>
    <xf numFmtId="0" fontId="77" fillId="0" borderId="4" xfId="4" applyFont="1" applyBorder="1" applyAlignment="1">
      <alignment horizontal="left"/>
    </xf>
    <xf numFmtId="0" fontId="84" fillId="8" borderId="14" xfId="3" applyFont="1" applyFill="1" applyBorder="1" applyAlignment="1">
      <alignment horizontal="center"/>
    </xf>
    <xf numFmtId="0" fontId="84" fillId="8" borderId="11" xfId="3" applyFont="1" applyFill="1" applyBorder="1" applyAlignment="1">
      <alignment horizontal="center"/>
    </xf>
    <xf numFmtId="0" fontId="84" fillId="8" borderId="15" xfId="3" applyFont="1" applyFill="1" applyBorder="1" applyAlignment="1">
      <alignment horizontal="center"/>
    </xf>
    <xf numFmtId="0" fontId="81" fillId="12" borderId="13" xfId="3" applyFont="1" applyFill="1" applyBorder="1" applyAlignment="1">
      <alignment horizontal="center" vertical="center"/>
    </xf>
    <xf numFmtId="0" fontId="81" fillId="12" borderId="3" xfId="3" applyFont="1" applyFill="1" applyBorder="1" applyAlignment="1">
      <alignment horizontal="center" vertical="center"/>
    </xf>
    <xf numFmtId="0" fontId="81" fillId="12" borderId="4" xfId="3" applyFont="1" applyFill="1" applyBorder="1" applyAlignment="1">
      <alignment horizontal="center" vertical="center"/>
    </xf>
    <xf numFmtId="0" fontId="81" fillId="12" borderId="13" xfId="3" applyFont="1" applyFill="1" applyBorder="1" applyAlignment="1">
      <alignment horizontal="center"/>
    </xf>
    <xf numFmtId="0" fontId="81" fillId="12" borderId="3" xfId="3" applyFont="1" applyFill="1" applyBorder="1" applyAlignment="1">
      <alignment horizontal="center"/>
    </xf>
    <xf numFmtId="0" fontId="81" fillId="12" borderId="4" xfId="3" applyFont="1" applyFill="1" applyBorder="1" applyAlignment="1">
      <alignment horizontal="center"/>
    </xf>
    <xf numFmtId="0" fontId="38" fillId="9" borderId="2" xfId="3" applyFont="1" applyFill="1" applyBorder="1" applyAlignment="1">
      <alignment horizontal="center"/>
    </xf>
    <xf numFmtId="0" fontId="38" fillId="9" borderId="4" xfId="3" applyFont="1" applyFill="1" applyBorder="1" applyAlignment="1">
      <alignment horizontal="center"/>
    </xf>
    <xf numFmtId="0" fontId="87" fillId="17" borderId="13" xfId="3" applyFont="1" applyFill="1" applyBorder="1" applyAlignment="1">
      <alignment horizontal="center" vertical="center"/>
    </xf>
    <xf numFmtId="0" fontId="87" fillId="17" borderId="3" xfId="3" applyFont="1" applyFill="1" applyBorder="1" applyAlignment="1">
      <alignment horizontal="center" vertical="center"/>
    </xf>
    <xf numFmtId="0" fontId="80" fillId="0" borderId="13" xfId="0" applyFont="1" applyBorder="1" applyAlignment="1">
      <alignment horizontal="left"/>
    </xf>
    <xf numFmtId="0" fontId="85" fillId="0" borderId="2" xfId="4" applyFont="1" applyFill="1" applyBorder="1" applyAlignment="1">
      <alignment horizontal="left"/>
    </xf>
    <xf numFmtId="0" fontId="85" fillId="0" borderId="3" xfId="4" applyFont="1" applyFill="1" applyBorder="1" applyAlignment="1">
      <alignment horizontal="left"/>
    </xf>
    <xf numFmtId="0" fontId="85" fillId="0" borderId="4" xfId="4" applyFont="1" applyFill="1" applyBorder="1" applyAlignment="1">
      <alignment horizontal="left"/>
    </xf>
    <xf numFmtId="0" fontId="80" fillId="0" borderId="1" xfId="0" applyFont="1" applyFill="1" applyBorder="1" applyAlignment="1">
      <alignment horizontal="center"/>
    </xf>
    <xf numFmtId="0" fontId="77" fillId="0" borderId="1" xfId="4" applyFont="1" applyFill="1" applyBorder="1" applyAlignment="1">
      <alignment horizontal="left"/>
    </xf>
    <xf numFmtId="0" fontId="77" fillId="0" borderId="2" xfId="4" applyFont="1" applyFill="1" applyBorder="1" applyAlignment="1">
      <alignment horizontal="left"/>
    </xf>
    <xf numFmtId="0" fontId="77" fillId="0" borderId="3" xfId="4" applyFont="1" applyFill="1" applyBorder="1" applyAlignment="1">
      <alignment horizontal="left"/>
    </xf>
    <xf numFmtId="0" fontId="77" fillId="0" borderId="4" xfId="4" applyFont="1" applyFill="1" applyBorder="1" applyAlignment="1">
      <alignment horizontal="left"/>
    </xf>
    <xf numFmtId="0" fontId="36" fillId="0" borderId="1" xfId="4" applyNumberFormat="1" applyFont="1" applyBorder="1" applyAlignment="1">
      <alignment horizontal="left"/>
    </xf>
    <xf numFmtId="0" fontId="36" fillId="0" borderId="2" xfId="4" applyNumberFormat="1" applyFont="1" applyBorder="1" applyAlignment="1">
      <alignment horizontal="left"/>
    </xf>
    <xf numFmtId="0" fontId="36" fillId="0" borderId="3" xfId="4" applyNumberFormat="1" applyFont="1" applyBorder="1" applyAlignment="1">
      <alignment horizontal="left"/>
    </xf>
    <xf numFmtId="0" fontId="36" fillId="0" borderId="4" xfId="4" applyNumberFormat="1" applyFont="1" applyBorder="1" applyAlignment="1">
      <alignment horizontal="left"/>
    </xf>
    <xf numFmtId="0" fontId="40" fillId="11" borderId="13" xfId="0" applyNumberFormat="1" applyFont="1" applyFill="1" applyBorder="1" applyAlignment="1">
      <alignment horizontal="left"/>
    </xf>
    <xf numFmtId="0" fontId="40" fillId="11" borderId="4" xfId="0" applyNumberFormat="1" applyFont="1" applyFill="1" applyBorder="1" applyAlignment="1">
      <alignment horizontal="left"/>
    </xf>
    <xf numFmtId="0" fontId="37" fillId="2" borderId="13" xfId="0" applyNumberFormat="1" applyFont="1" applyFill="1" applyBorder="1" applyAlignment="1">
      <alignment horizontal="left"/>
    </xf>
    <xf numFmtId="0" fontId="37" fillId="2" borderId="4" xfId="0" applyNumberFormat="1" applyFont="1" applyFill="1" applyBorder="1" applyAlignment="1">
      <alignment horizontal="left"/>
    </xf>
    <xf numFmtId="0" fontId="55" fillId="12" borderId="1" xfId="0" applyNumberFormat="1" applyFont="1" applyFill="1" applyBorder="1" applyAlignment="1">
      <alignment horizontal="center"/>
    </xf>
    <xf numFmtId="0" fontId="37" fillId="0" borderId="1" xfId="0" applyNumberFormat="1" applyFont="1" applyBorder="1" applyAlignment="1">
      <alignment horizontal="left"/>
    </xf>
    <xf numFmtId="0" fontId="66" fillId="12" borderId="23" xfId="3" applyNumberFormat="1" applyFont="1" applyFill="1" applyBorder="1" applyAlignment="1">
      <alignment horizontal="center" vertical="center"/>
    </xf>
    <xf numFmtId="0" fontId="66" fillId="12" borderId="0" xfId="3" applyNumberFormat="1" applyFont="1" applyFill="1" applyBorder="1" applyAlignment="1">
      <alignment horizontal="center" vertical="center"/>
    </xf>
    <xf numFmtId="0" fontId="66" fillId="12" borderId="24" xfId="3" applyNumberFormat="1" applyFont="1" applyFill="1" applyBorder="1" applyAlignment="1">
      <alignment horizontal="center" vertical="center"/>
    </xf>
    <xf numFmtId="0" fontId="37" fillId="12" borderId="13" xfId="0" applyNumberFormat="1" applyFont="1" applyFill="1" applyBorder="1" applyAlignment="1">
      <alignment horizontal="left"/>
    </xf>
    <xf numFmtId="0" fontId="37" fillId="12" borderId="4" xfId="0" applyNumberFormat="1" applyFont="1" applyFill="1" applyBorder="1" applyAlignment="1">
      <alignment horizontal="left"/>
    </xf>
    <xf numFmtId="0" fontId="40" fillId="2" borderId="13" xfId="0" applyNumberFormat="1" applyFont="1" applyFill="1" applyBorder="1" applyAlignment="1">
      <alignment horizontal="left"/>
    </xf>
    <xf numFmtId="0" fontId="40" fillId="2" borderId="4" xfId="0" applyNumberFormat="1" applyFont="1" applyFill="1" applyBorder="1" applyAlignment="1">
      <alignment horizontal="left"/>
    </xf>
    <xf numFmtId="0" fontId="37" fillId="11" borderId="13" xfId="0" applyNumberFormat="1" applyFont="1" applyFill="1" applyBorder="1" applyAlignment="1">
      <alignment horizontal="left"/>
    </xf>
    <xf numFmtId="0" fontId="37" fillId="11" borderId="4" xfId="0" applyNumberFormat="1" applyFont="1" applyFill="1" applyBorder="1" applyAlignment="1">
      <alignment horizontal="left"/>
    </xf>
    <xf numFmtId="0" fontId="32" fillId="2" borderId="20" xfId="0" applyNumberFormat="1" applyFont="1" applyFill="1" applyBorder="1" applyAlignment="1">
      <alignment horizontal="center"/>
    </xf>
    <xf numFmtId="0" fontId="32" fillId="2" borderId="5" xfId="0" applyNumberFormat="1" applyFont="1" applyFill="1" applyBorder="1" applyAlignment="1">
      <alignment horizontal="center"/>
    </xf>
    <xf numFmtId="0" fontId="32" fillId="0" borderId="1" xfId="4" applyNumberFormat="1" applyFont="1" applyBorder="1" applyAlignment="1">
      <alignment horizontal="left"/>
    </xf>
    <xf numFmtId="0" fontId="37" fillId="0" borderId="2" xfId="0" applyNumberFormat="1" applyFont="1" applyBorder="1" applyAlignment="1">
      <alignment horizontal="left"/>
    </xf>
    <xf numFmtId="0" fontId="37" fillId="0" borderId="3" xfId="0" applyNumberFormat="1" applyFont="1" applyBorder="1" applyAlignment="1">
      <alignment horizontal="left"/>
    </xf>
    <xf numFmtId="0" fontId="37" fillId="0" borderId="4" xfId="0" applyNumberFormat="1" applyFont="1" applyBorder="1" applyAlignment="1">
      <alignment horizontal="left"/>
    </xf>
    <xf numFmtId="0" fontId="37" fillId="12" borderId="1" xfId="0" applyNumberFormat="1" applyFont="1" applyFill="1" applyBorder="1" applyAlignment="1">
      <alignment horizontal="center"/>
    </xf>
    <xf numFmtId="0" fontId="37" fillId="0" borderId="2" xfId="0" applyNumberFormat="1" applyFont="1" applyBorder="1" applyAlignment="1">
      <alignment horizontal="center"/>
    </xf>
    <xf numFmtId="0" fontId="37" fillId="0" borderId="3" xfId="0" applyNumberFormat="1" applyFont="1" applyBorder="1" applyAlignment="1">
      <alignment horizontal="center"/>
    </xf>
    <xf numFmtId="0" fontId="37" fillId="0" borderId="4" xfId="0" applyNumberFormat="1" applyFont="1" applyBorder="1" applyAlignment="1">
      <alignment horizontal="center"/>
    </xf>
    <xf numFmtId="0" fontId="32" fillId="0" borderId="2" xfId="4" applyNumberFormat="1" applyFont="1" applyBorder="1" applyAlignment="1">
      <alignment horizontal="left" vertical="center"/>
    </xf>
    <xf numFmtId="0" fontId="32" fillId="0" borderId="3" xfId="4" applyNumberFormat="1" applyFont="1" applyBorder="1" applyAlignment="1">
      <alignment horizontal="left" vertical="center"/>
    </xf>
    <xf numFmtId="0" fontId="32" fillId="0" borderId="4" xfId="4" applyNumberFormat="1" applyFont="1" applyBorder="1" applyAlignment="1">
      <alignment horizontal="left" vertical="center"/>
    </xf>
    <xf numFmtId="0" fontId="55" fillId="12" borderId="0" xfId="0" applyNumberFormat="1" applyFont="1" applyFill="1" applyAlignment="1">
      <alignment horizontal="center"/>
    </xf>
    <xf numFmtId="0" fontId="39" fillId="12" borderId="2" xfId="0" applyNumberFormat="1" applyFont="1" applyFill="1" applyBorder="1" applyAlignment="1">
      <alignment horizontal="center"/>
    </xf>
    <xf numFmtId="0" fontId="39" fillId="12" borderId="3" xfId="0" applyNumberFormat="1" applyFont="1" applyFill="1" applyBorder="1" applyAlignment="1">
      <alignment horizontal="center"/>
    </xf>
    <xf numFmtId="0" fontId="39" fillId="12" borderId="4" xfId="0" applyNumberFormat="1" applyFont="1" applyFill="1" applyBorder="1" applyAlignment="1">
      <alignment horizontal="center"/>
    </xf>
    <xf numFmtId="0" fontId="32" fillId="8" borderId="19" xfId="3" applyNumberFormat="1" applyFont="1" applyFill="1" applyBorder="1" applyAlignment="1">
      <alignment horizontal="left"/>
    </xf>
    <xf numFmtId="0" fontId="32" fillId="8" borderId="8" xfId="3" applyNumberFormat="1" applyFont="1" applyFill="1" applyBorder="1" applyAlignment="1">
      <alignment horizontal="left"/>
    </xf>
    <xf numFmtId="0" fontId="32" fillId="8" borderId="9" xfId="3" applyNumberFormat="1" applyFont="1" applyFill="1" applyBorder="1" applyAlignment="1">
      <alignment horizontal="left"/>
    </xf>
    <xf numFmtId="0" fontId="37" fillId="0" borderId="13" xfId="0" applyNumberFormat="1" applyFont="1" applyBorder="1" applyAlignment="1">
      <alignment horizontal="left"/>
    </xf>
    <xf numFmtId="0" fontId="32" fillId="0" borderId="13" xfId="4" applyNumberFormat="1" applyFont="1" applyBorder="1" applyAlignment="1">
      <alignment horizontal="left"/>
    </xf>
    <xf numFmtId="0" fontId="32" fillId="0" borderId="3" xfId="4" applyNumberFormat="1" applyFont="1" applyBorder="1" applyAlignment="1">
      <alignment horizontal="left"/>
    </xf>
    <xf numFmtId="0" fontId="32" fillId="0" borderId="4" xfId="4" applyNumberFormat="1" applyFont="1" applyBorder="1" applyAlignment="1">
      <alignment horizontal="left"/>
    </xf>
    <xf numFmtId="0" fontId="32" fillId="8" borderId="13" xfId="3" applyNumberFormat="1" applyFont="1" applyFill="1" applyBorder="1" applyAlignment="1">
      <alignment horizontal="left"/>
    </xf>
    <xf numFmtId="0" fontId="32" fillId="8" borderId="3" xfId="3" applyNumberFormat="1" applyFont="1" applyFill="1" applyBorder="1" applyAlignment="1">
      <alignment horizontal="left"/>
    </xf>
    <xf numFmtId="0" fontId="32" fillId="8" borderId="4" xfId="3" applyNumberFormat="1" applyFont="1" applyFill="1" applyBorder="1" applyAlignment="1">
      <alignment horizontal="left"/>
    </xf>
    <xf numFmtId="0" fontId="31" fillId="12" borderId="13" xfId="3" applyNumberFormat="1" applyFont="1" applyFill="1" applyBorder="1" applyAlignment="1">
      <alignment horizontal="center"/>
    </xf>
    <xf numFmtId="0" fontId="31" fillId="12" borderId="3" xfId="3" applyNumberFormat="1" applyFont="1" applyFill="1" applyBorder="1" applyAlignment="1">
      <alignment horizontal="center"/>
    </xf>
    <xf numFmtId="0" fontId="31" fillId="12" borderId="4" xfId="3" applyNumberFormat="1" applyFont="1" applyFill="1" applyBorder="1" applyAlignment="1">
      <alignment horizontal="center"/>
    </xf>
    <xf numFmtId="0" fontId="67" fillId="17" borderId="13" xfId="3" applyNumberFormat="1" applyFont="1" applyFill="1" applyBorder="1" applyAlignment="1">
      <alignment horizontal="center"/>
    </xf>
    <xf numFmtId="0" fontId="67" fillId="17" borderId="3" xfId="3" applyNumberFormat="1" applyFont="1" applyFill="1" applyBorder="1" applyAlignment="1">
      <alignment horizontal="center"/>
    </xf>
    <xf numFmtId="0" fontId="67" fillId="17" borderId="4" xfId="3" applyNumberFormat="1" applyFont="1" applyFill="1" applyBorder="1" applyAlignment="1">
      <alignment horizontal="center"/>
    </xf>
    <xf numFmtId="0" fontId="31" fillId="13" borderId="13" xfId="3" applyNumberFormat="1" applyFont="1" applyFill="1" applyBorder="1" applyAlignment="1">
      <alignment horizontal="left"/>
    </xf>
    <xf numFmtId="0" fontId="31" fillId="13" borderId="3" xfId="3" applyNumberFormat="1" applyFont="1" applyFill="1" applyBorder="1" applyAlignment="1">
      <alignment horizontal="left"/>
    </xf>
    <xf numFmtId="0" fontId="31" fillId="13" borderId="4" xfId="3" applyNumberFormat="1" applyFont="1" applyFill="1" applyBorder="1" applyAlignment="1">
      <alignment horizontal="left"/>
    </xf>
    <xf numFmtId="0" fontId="40" fillId="2" borderId="3" xfId="0" applyNumberFormat="1" applyFont="1" applyFill="1" applyBorder="1" applyAlignment="1">
      <alignment horizontal="left"/>
    </xf>
    <xf numFmtId="0" fontId="32" fillId="0" borderId="2" xfId="4" applyNumberFormat="1" applyFont="1" applyBorder="1" applyAlignment="1">
      <alignment horizontal="left"/>
    </xf>
    <xf numFmtId="0" fontId="32" fillId="12" borderId="13" xfId="3" applyNumberFormat="1" applyFont="1" applyFill="1" applyBorder="1" applyAlignment="1">
      <alignment horizontal="center" vertical="center"/>
    </xf>
    <xf numFmtId="0" fontId="32" fillId="12" borderId="3" xfId="3" applyNumberFormat="1" applyFont="1" applyFill="1" applyBorder="1" applyAlignment="1">
      <alignment horizontal="center" vertical="center"/>
    </xf>
    <xf numFmtId="0" fontId="32" fillId="12" borderId="4" xfId="3" applyNumberFormat="1" applyFont="1" applyFill="1" applyBorder="1" applyAlignment="1">
      <alignment horizontal="center" vertical="center"/>
    </xf>
    <xf numFmtId="0" fontId="31" fillId="8" borderId="0" xfId="3" applyNumberFormat="1" applyFont="1" applyFill="1" applyBorder="1" applyAlignment="1">
      <alignment vertical="center"/>
    </xf>
    <xf numFmtId="0" fontId="49" fillId="8" borderId="14" xfId="3" applyNumberFormat="1" applyFont="1" applyFill="1" applyBorder="1" applyAlignment="1">
      <alignment horizontal="center"/>
    </xf>
    <xf numFmtId="0" fontId="49" fillId="8" borderId="11" xfId="3" applyNumberFormat="1" applyFont="1" applyFill="1" applyBorder="1" applyAlignment="1">
      <alignment horizontal="center"/>
    </xf>
    <xf numFmtId="0" fontId="49" fillId="8" borderId="15" xfId="3" applyNumberFormat="1" applyFont="1" applyFill="1" applyBorder="1" applyAlignment="1">
      <alignment horizontal="center"/>
    </xf>
    <xf numFmtId="0" fontId="67" fillId="12" borderId="13" xfId="3" applyNumberFormat="1" applyFont="1" applyFill="1" applyBorder="1" applyAlignment="1">
      <alignment horizontal="center" vertical="center"/>
    </xf>
    <xf numFmtId="0" fontId="67" fillId="12" borderId="3" xfId="3" applyNumberFormat="1" applyFont="1" applyFill="1" applyBorder="1" applyAlignment="1">
      <alignment horizontal="center" vertical="center"/>
    </xf>
    <xf numFmtId="0" fontId="67" fillId="12" borderId="4" xfId="3" applyNumberFormat="1" applyFont="1" applyFill="1" applyBorder="1" applyAlignment="1">
      <alignment horizontal="center" vertical="center"/>
    </xf>
    <xf numFmtId="0" fontId="67" fillId="12" borderId="13" xfId="3" applyNumberFormat="1" applyFont="1" applyFill="1" applyBorder="1" applyAlignment="1">
      <alignment horizontal="center"/>
    </xf>
    <xf numFmtId="0" fontId="67" fillId="12" borderId="3" xfId="3" applyNumberFormat="1" applyFont="1" applyFill="1" applyBorder="1" applyAlignment="1">
      <alignment horizontal="center"/>
    </xf>
    <xf numFmtId="0" fontId="67" fillId="12" borderId="4" xfId="3" applyNumberFormat="1" applyFont="1" applyFill="1" applyBorder="1" applyAlignment="1">
      <alignment horizontal="center"/>
    </xf>
    <xf numFmtId="0" fontId="32" fillId="9" borderId="2" xfId="3" applyNumberFormat="1" applyFont="1" applyFill="1" applyBorder="1" applyAlignment="1">
      <alignment horizontal="center"/>
    </xf>
    <xf numFmtId="0" fontId="32" fillId="9" borderId="4" xfId="3" applyNumberFormat="1" applyFont="1" applyFill="1" applyBorder="1" applyAlignment="1">
      <alignment horizontal="center"/>
    </xf>
    <xf numFmtId="0" fontId="68" fillId="12" borderId="13" xfId="3" applyNumberFormat="1" applyFont="1" applyFill="1" applyBorder="1" applyAlignment="1">
      <alignment horizontal="center" vertical="center"/>
    </xf>
    <xf numFmtId="0" fontId="68" fillId="12" borderId="3" xfId="3" applyNumberFormat="1" applyFont="1" applyFill="1" applyBorder="1" applyAlignment="1">
      <alignment horizontal="center" vertical="center"/>
    </xf>
    <xf numFmtId="0" fontId="68" fillId="12" borderId="4" xfId="3" applyNumberFormat="1" applyFont="1" applyFill="1" applyBorder="1" applyAlignment="1">
      <alignment horizontal="center" vertical="center"/>
    </xf>
    <xf numFmtId="0" fontId="69" fillId="17" borderId="13" xfId="3" applyNumberFormat="1" applyFont="1" applyFill="1" applyBorder="1" applyAlignment="1">
      <alignment horizontal="center" vertical="center"/>
    </xf>
    <xf numFmtId="0" fontId="69" fillId="17" borderId="3" xfId="3" applyNumberFormat="1" applyFont="1" applyFill="1" applyBorder="1" applyAlignment="1">
      <alignment horizontal="center" vertical="center"/>
    </xf>
    <xf numFmtId="0" fontId="68" fillId="17" borderId="13" xfId="3" applyNumberFormat="1" applyFont="1" applyFill="1" applyBorder="1" applyAlignment="1">
      <alignment horizontal="center"/>
    </xf>
    <xf numFmtId="0" fontId="68" fillId="17" borderId="3" xfId="3" applyNumberFormat="1" applyFont="1" applyFill="1" applyBorder="1" applyAlignment="1">
      <alignment horizontal="center"/>
    </xf>
    <xf numFmtId="0" fontId="68" fillId="17" borderId="4" xfId="3" applyNumberFormat="1" applyFont="1" applyFill="1" applyBorder="1" applyAlignment="1">
      <alignment horizontal="center"/>
    </xf>
    <xf numFmtId="0" fontId="36" fillId="2" borderId="2" xfId="4" applyNumberFormat="1" applyFont="1" applyFill="1" applyBorder="1" applyAlignment="1">
      <alignment horizontal="left"/>
    </xf>
    <xf numFmtId="0" fontId="36" fillId="2" borderId="3" xfId="4" applyNumberFormat="1" applyFont="1" applyFill="1" applyBorder="1" applyAlignment="1">
      <alignment horizontal="left"/>
    </xf>
    <xf numFmtId="0" fontId="36" fillId="2" borderId="4" xfId="4" applyNumberFormat="1" applyFont="1" applyFill="1" applyBorder="1" applyAlignment="1">
      <alignment horizontal="left"/>
    </xf>
    <xf numFmtId="0" fontId="36" fillId="2" borderId="1" xfId="4" applyNumberFormat="1" applyFont="1" applyFill="1" applyBorder="1" applyAlignment="1">
      <alignment horizontal="left"/>
    </xf>
    <xf numFmtId="0" fontId="37" fillId="2" borderId="2" xfId="0" applyNumberFormat="1" applyFont="1" applyFill="1" applyBorder="1" applyAlignment="1">
      <alignment horizontal="left"/>
    </xf>
    <xf numFmtId="0" fontId="37" fillId="2" borderId="3" xfId="0" applyNumberFormat="1" applyFont="1" applyFill="1" applyBorder="1" applyAlignment="1">
      <alignment horizontal="left"/>
    </xf>
    <xf numFmtId="0" fontId="97" fillId="0" borderId="1" xfId="4" applyNumberFormat="1" applyFont="1" applyBorder="1" applyAlignment="1">
      <alignment horizontal="left"/>
    </xf>
    <xf numFmtId="0" fontId="90" fillId="0" borderId="1" xfId="4" applyNumberFormat="1" applyFont="1" applyBorder="1" applyAlignment="1">
      <alignment horizontal="left"/>
    </xf>
    <xf numFmtId="0" fontId="40" fillId="2" borderId="1" xfId="0" applyNumberFormat="1" applyFont="1" applyFill="1" applyBorder="1" applyAlignment="1">
      <alignment horizontal="left"/>
    </xf>
    <xf numFmtId="0" fontId="40" fillId="12" borderId="1" xfId="0" applyNumberFormat="1" applyFont="1" applyFill="1" applyBorder="1" applyAlignment="1">
      <alignment horizontal="center"/>
    </xf>
    <xf numFmtId="0" fontId="90" fillId="13" borderId="1" xfId="3" applyNumberFormat="1" applyFont="1" applyFill="1" applyBorder="1" applyAlignment="1">
      <alignment horizontal="left"/>
    </xf>
    <xf numFmtId="0" fontId="97" fillId="0" borderId="1" xfId="4" applyNumberFormat="1" applyFont="1" applyBorder="1" applyAlignment="1">
      <alignment horizontal="center"/>
    </xf>
    <xf numFmtId="0" fontId="40" fillId="2" borderId="20" xfId="0" applyNumberFormat="1" applyFont="1" applyFill="1" applyBorder="1" applyAlignment="1">
      <alignment horizontal="left"/>
    </xf>
    <xf numFmtId="0" fontId="40" fillId="2" borderId="10" xfId="0" applyNumberFormat="1" applyFont="1" applyFill="1" applyBorder="1" applyAlignment="1">
      <alignment horizontal="left"/>
    </xf>
    <xf numFmtId="0" fontId="40" fillId="0" borderId="1" xfId="0" applyNumberFormat="1" applyFont="1" applyBorder="1" applyAlignment="1">
      <alignment horizontal="left"/>
    </xf>
    <xf numFmtId="0" fontId="90" fillId="12" borderId="1" xfId="3" applyNumberFormat="1" applyFont="1" applyFill="1" applyBorder="1" applyAlignment="1">
      <alignment horizontal="center" vertical="center"/>
    </xf>
    <xf numFmtId="0" fontId="90" fillId="2" borderId="1" xfId="0" applyNumberFormat="1" applyFont="1" applyFill="1" applyBorder="1" applyAlignment="1">
      <alignment horizontal="center"/>
    </xf>
    <xf numFmtId="0" fontId="40" fillId="0" borderId="1" xfId="0" applyNumberFormat="1" applyFont="1" applyBorder="1" applyAlignment="1">
      <alignment horizontal="center"/>
    </xf>
    <xf numFmtId="0" fontId="90" fillId="0" borderId="1" xfId="4" applyNumberFormat="1" applyFont="1" applyBorder="1" applyAlignment="1">
      <alignment horizontal="left" vertical="center"/>
    </xf>
    <xf numFmtId="0" fontId="40" fillId="0" borderId="2" xfId="0" applyNumberFormat="1" applyFont="1" applyBorder="1" applyAlignment="1">
      <alignment horizontal="left"/>
    </xf>
    <xf numFmtId="0" fontId="40" fillId="0" borderId="4" xfId="0" applyNumberFormat="1" applyFont="1" applyBorder="1" applyAlignment="1">
      <alignment horizontal="left"/>
    </xf>
    <xf numFmtId="0" fontId="90" fillId="8" borderId="1" xfId="3" applyNumberFormat="1" applyFont="1" applyFill="1" applyBorder="1" applyAlignment="1">
      <alignment horizontal="left"/>
    </xf>
    <xf numFmtId="0" fontId="90" fillId="12" borderId="1" xfId="3" applyNumberFormat="1" applyFont="1" applyFill="1" applyBorder="1" applyAlignment="1">
      <alignment horizontal="center"/>
    </xf>
    <xf numFmtId="0" fontId="91" fillId="17" borderId="1" xfId="3" applyNumberFormat="1" applyFont="1" applyFill="1" applyBorder="1" applyAlignment="1">
      <alignment horizontal="center"/>
    </xf>
    <xf numFmtId="0" fontId="90" fillId="8" borderId="1" xfId="3" applyNumberFormat="1" applyFont="1" applyFill="1" applyBorder="1" applyAlignment="1">
      <alignment vertical="center"/>
    </xf>
    <xf numFmtId="0" fontId="34" fillId="8" borderId="1" xfId="3" applyNumberFormat="1" applyFont="1" applyFill="1" applyBorder="1" applyAlignment="1">
      <alignment horizontal="center"/>
    </xf>
    <xf numFmtId="0" fontId="91" fillId="12" borderId="1" xfId="3" applyNumberFormat="1" applyFont="1" applyFill="1" applyBorder="1" applyAlignment="1">
      <alignment horizontal="center" vertical="center"/>
    </xf>
    <xf numFmtId="0" fontId="91" fillId="12" borderId="1" xfId="3" applyNumberFormat="1" applyFont="1" applyFill="1" applyBorder="1" applyAlignment="1">
      <alignment horizontal="center"/>
    </xf>
    <xf numFmtId="0" fontId="38" fillId="9" borderId="1" xfId="3" applyNumberFormat="1" applyFont="1" applyFill="1" applyBorder="1" applyAlignment="1">
      <alignment horizontal="center"/>
    </xf>
    <xf numFmtId="0" fontId="94" fillId="17" borderId="1" xfId="3" applyNumberFormat="1" applyFont="1" applyFill="1" applyBorder="1" applyAlignment="1">
      <alignment horizontal="center" vertical="center"/>
    </xf>
    <xf numFmtId="0" fontId="40" fillId="11" borderId="1" xfId="0" applyNumberFormat="1" applyFont="1" applyFill="1" applyBorder="1" applyAlignment="1">
      <alignment horizontal="left"/>
    </xf>
    <xf numFmtId="0" fontId="36" fillId="0" borderId="2" xfId="4" applyNumberFormat="1" applyFont="1" applyBorder="1" applyAlignment="1">
      <alignment horizontal="center"/>
    </xf>
    <xf numFmtId="0" fontId="36" fillId="0" borderId="3" xfId="4" applyNumberFormat="1" applyFont="1" applyBorder="1" applyAlignment="1">
      <alignment horizontal="center"/>
    </xf>
    <xf numFmtId="0" fontId="36" fillId="0" borderId="4" xfId="4" applyNumberFormat="1" applyFont="1" applyBorder="1" applyAlignment="1">
      <alignment horizontal="center"/>
    </xf>
    <xf numFmtId="0" fontId="32" fillId="2" borderId="1" xfId="0" applyNumberFormat="1" applyFont="1" applyFill="1" applyBorder="1" applyAlignment="1">
      <alignment horizontal="center"/>
    </xf>
    <xf numFmtId="0" fontId="37" fillId="12" borderId="1" xfId="0" applyNumberFormat="1" applyFont="1" applyFill="1" applyBorder="1" applyAlignment="1">
      <alignment horizontal="left"/>
    </xf>
    <xf numFmtId="0" fontId="37" fillId="2" borderId="1" xfId="0" applyNumberFormat="1" applyFont="1" applyFill="1" applyBorder="1" applyAlignment="1">
      <alignment horizontal="left"/>
    </xf>
    <xf numFmtId="0" fontId="37" fillId="11" borderId="1" xfId="0" applyNumberFormat="1" applyFont="1" applyFill="1" applyBorder="1" applyAlignment="1">
      <alignment horizontal="left"/>
    </xf>
    <xf numFmtId="0" fontId="37" fillId="0" borderId="0" xfId="0" applyNumberFormat="1" applyFont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1" fillId="8" borderId="0" xfId="3" applyFont="1" applyFill="1" applyBorder="1" applyAlignment="1">
      <alignment vertic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55" fillId="12" borderId="0" xfId="0" applyFont="1" applyFill="1" applyAlignment="1">
      <alignment horizontal="center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40" fillId="2" borderId="3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2" xfId="4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55" fillId="12" borderId="2" xfId="0" applyFont="1" applyFill="1" applyBorder="1" applyAlignment="1">
      <alignment horizontal="center"/>
    </xf>
    <xf numFmtId="0" fontId="55" fillId="12" borderId="3" xfId="0" applyFont="1" applyFill="1" applyBorder="1" applyAlignment="1">
      <alignment horizontal="center"/>
    </xf>
    <xf numFmtId="0" fontId="55" fillId="12" borderId="4" xfId="0" applyFont="1" applyFill="1" applyBorder="1" applyAlignment="1">
      <alignment horizontal="center"/>
    </xf>
    <xf numFmtId="0" fontId="37" fillId="12" borderId="2" xfId="0" applyFont="1" applyFill="1" applyBorder="1" applyAlignment="1">
      <alignment horizontal="center"/>
    </xf>
    <xf numFmtId="0" fontId="37" fillId="12" borderId="3" xfId="0" applyFont="1" applyFill="1" applyBorder="1" applyAlignment="1">
      <alignment horizontal="center"/>
    </xf>
    <xf numFmtId="0" fontId="37" fillId="12" borderId="4" xfId="0" applyFont="1" applyFill="1" applyBorder="1" applyAlignment="1">
      <alignment horizontal="center"/>
    </xf>
    <xf numFmtId="0" fontId="31" fillId="8" borderId="5" xfId="3" applyFont="1" applyFill="1" applyBorder="1" applyAlignment="1">
      <alignment vertical="center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38.020000000001346</c:v>
                </c:pt>
                <c:pt idx="1">
                  <c:v>34.339999999999236</c:v>
                </c:pt>
                <c:pt idx="2">
                  <c:v>23.629999999996471</c:v>
                </c:pt>
                <c:pt idx="3">
                  <c:v>37.370000000003529</c:v>
                </c:pt>
                <c:pt idx="4">
                  <c:v>34.619999999995343</c:v>
                </c:pt>
                <c:pt idx="5">
                  <c:v>37.30000000000291</c:v>
                </c:pt>
                <c:pt idx="6">
                  <c:v>37</c:v>
                </c:pt>
                <c:pt idx="7">
                  <c:v>37.449999999999818</c:v>
                </c:pt>
                <c:pt idx="8">
                  <c:v>39.85000000000764</c:v>
                </c:pt>
                <c:pt idx="9">
                  <c:v>36.719999999992069</c:v>
                </c:pt>
                <c:pt idx="10">
                  <c:v>35.319999999999709</c:v>
                </c:pt>
                <c:pt idx="11">
                  <c:v>35.729999999995925</c:v>
                </c:pt>
                <c:pt idx="12">
                  <c:v>35.67000000000553</c:v>
                </c:pt>
                <c:pt idx="13">
                  <c:v>38</c:v>
                </c:pt>
                <c:pt idx="14">
                  <c:v>36.9399999999996</c:v>
                </c:pt>
                <c:pt idx="15">
                  <c:v>31.520000000004075</c:v>
                </c:pt>
                <c:pt idx="16">
                  <c:v>34.879999999997381</c:v>
                </c:pt>
                <c:pt idx="17">
                  <c:v>32.299999999995634</c:v>
                </c:pt>
                <c:pt idx="18">
                  <c:v>36.30000000000291</c:v>
                </c:pt>
                <c:pt idx="19">
                  <c:v>36.269999999999527</c:v>
                </c:pt>
                <c:pt idx="20">
                  <c:v>35.100000000002183</c:v>
                </c:pt>
                <c:pt idx="21">
                  <c:v>30.820000000000618</c:v>
                </c:pt>
                <c:pt idx="22">
                  <c:v>24.180000000000291</c:v>
                </c:pt>
                <c:pt idx="23">
                  <c:v>24.44999999999709</c:v>
                </c:pt>
                <c:pt idx="24">
                  <c:v>24</c:v>
                </c:pt>
                <c:pt idx="25">
                  <c:v>28.38999999999487</c:v>
                </c:pt>
                <c:pt idx="26">
                  <c:v>34.400000000001455</c:v>
                </c:pt>
                <c:pt idx="27">
                  <c:v>39.99000000000342</c:v>
                </c:pt>
                <c:pt idx="28">
                  <c:v>38.070000000001528</c:v>
                </c:pt>
                <c:pt idx="29">
                  <c:v>36.399999999998727</c:v>
                </c:pt>
                <c:pt idx="30">
                  <c:v>-1085.4999999999927</c:v>
                </c:pt>
                <c:pt idx="31">
                  <c:v>-60.469999999993888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68678144"/>
        <c:axId val="168679680"/>
      </c:lineChart>
      <c:catAx>
        <c:axId val="16867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79680"/>
        <c:crosses val="autoZero"/>
        <c:auto val="1"/>
        <c:lblAlgn val="ctr"/>
        <c:lblOffset val="100"/>
        <c:noMultiLvlLbl val="0"/>
      </c:catAx>
      <c:valAx>
        <c:axId val="168679680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68678144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21.309999999994034</c:v>
                </c:pt>
                <c:pt idx="1">
                  <c:v>20.540000000000873</c:v>
                </c:pt>
                <c:pt idx="2">
                  <c:v>21.350000000009459</c:v>
                </c:pt>
                <c:pt idx="3">
                  <c:v>19.859999999993306</c:v>
                </c:pt>
                <c:pt idx="4">
                  <c:v>17.439999999995052</c:v>
                </c:pt>
                <c:pt idx="5">
                  <c:v>21.530000000002474</c:v>
                </c:pt>
                <c:pt idx="6">
                  <c:v>18.670000000001892</c:v>
                </c:pt>
                <c:pt idx="7">
                  <c:v>20.580000000005384</c:v>
                </c:pt>
                <c:pt idx="8">
                  <c:v>20.52999999999156</c:v>
                </c:pt>
                <c:pt idx="9">
                  <c:v>18.58999999999287</c:v>
                </c:pt>
                <c:pt idx="10">
                  <c:v>17.580000000001746</c:v>
                </c:pt>
                <c:pt idx="11">
                  <c:v>19.240000000008877</c:v>
                </c:pt>
                <c:pt idx="12">
                  <c:v>19.75</c:v>
                </c:pt>
                <c:pt idx="13">
                  <c:v>23.180000000003929</c:v>
                </c:pt>
                <c:pt idx="14">
                  <c:v>19.469999999993888</c:v>
                </c:pt>
                <c:pt idx="15">
                  <c:v>20.636999999995169</c:v>
                </c:pt>
                <c:pt idx="16">
                  <c:v>18.003000000004249</c:v>
                </c:pt>
                <c:pt idx="17">
                  <c:v>20.139999999999418</c:v>
                </c:pt>
                <c:pt idx="18">
                  <c:v>18.540000000004511</c:v>
                </c:pt>
                <c:pt idx="19">
                  <c:v>17.830000000001746</c:v>
                </c:pt>
                <c:pt idx="20">
                  <c:v>20.199999999993452</c:v>
                </c:pt>
                <c:pt idx="21">
                  <c:v>18.240000000001601</c:v>
                </c:pt>
                <c:pt idx="22">
                  <c:v>19.969999999997526</c:v>
                </c:pt>
                <c:pt idx="23">
                  <c:v>15.489999999997963</c:v>
                </c:pt>
                <c:pt idx="24">
                  <c:v>15.220000000004802</c:v>
                </c:pt>
                <c:pt idx="25">
                  <c:v>20.369999999988067</c:v>
                </c:pt>
                <c:pt idx="26">
                  <c:v>19.66000000000713</c:v>
                </c:pt>
                <c:pt idx="27">
                  <c:v>19.030000000002474</c:v>
                </c:pt>
                <c:pt idx="28">
                  <c:v>20.249999999996362</c:v>
                </c:pt>
                <c:pt idx="29">
                  <c:v>23.880000000004657</c:v>
                </c:pt>
                <c:pt idx="30">
                  <c:v>-587.80000000000291</c:v>
                </c:pt>
                <c:pt idx="31">
                  <c:v>-0.72000000000844011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69495168"/>
        <c:axId val="169513344"/>
      </c:lineChart>
      <c:catAx>
        <c:axId val="169495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13344"/>
        <c:crosses val="autoZero"/>
        <c:auto val="1"/>
        <c:lblAlgn val="ctr"/>
        <c:lblOffset val="100"/>
        <c:noMultiLvlLbl val="0"/>
      </c:catAx>
      <c:valAx>
        <c:axId val="169513344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49516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10064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304</c:v>
                </c:pt>
                <c:pt idx="1">
                  <c:v>238</c:v>
                </c:pt>
                <c:pt idx="2">
                  <c:v>344</c:v>
                </c:pt>
                <c:pt idx="3">
                  <c:v>291</c:v>
                </c:pt>
                <c:pt idx="4">
                  <c:v>251</c:v>
                </c:pt>
                <c:pt idx="5">
                  <c:v>290</c:v>
                </c:pt>
                <c:pt idx="6">
                  <c:v>295</c:v>
                </c:pt>
                <c:pt idx="7">
                  <c:v>297</c:v>
                </c:pt>
                <c:pt idx="8">
                  <c:v>332</c:v>
                </c:pt>
                <c:pt idx="9">
                  <c:v>230</c:v>
                </c:pt>
                <c:pt idx="10">
                  <c:v>335</c:v>
                </c:pt>
                <c:pt idx="11">
                  <c:v>307</c:v>
                </c:pt>
                <c:pt idx="12">
                  <c:v>309</c:v>
                </c:pt>
                <c:pt idx="13">
                  <c:v>267</c:v>
                </c:pt>
                <c:pt idx="14">
                  <c:v>322</c:v>
                </c:pt>
                <c:pt idx="15">
                  <c:v>370</c:v>
                </c:pt>
                <c:pt idx="16">
                  <c:v>302</c:v>
                </c:pt>
                <c:pt idx="17">
                  <c:v>273</c:v>
                </c:pt>
                <c:pt idx="18">
                  <c:v>303</c:v>
                </c:pt>
                <c:pt idx="19">
                  <c:v>341</c:v>
                </c:pt>
                <c:pt idx="20">
                  <c:v>311</c:v>
                </c:pt>
                <c:pt idx="21">
                  <c:v>389</c:v>
                </c:pt>
                <c:pt idx="22">
                  <c:v>389</c:v>
                </c:pt>
                <c:pt idx="23">
                  <c:v>202</c:v>
                </c:pt>
                <c:pt idx="24">
                  <c:v>173</c:v>
                </c:pt>
                <c:pt idx="25">
                  <c:v>314</c:v>
                </c:pt>
                <c:pt idx="26">
                  <c:v>272</c:v>
                </c:pt>
                <c:pt idx="27">
                  <c:v>249</c:v>
                </c:pt>
                <c:pt idx="28">
                  <c:v>320</c:v>
                </c:pt>
                <c:pt idx="29">
                  <c:v>320</c:v>
                </c:pt>
                <c:pt idx="30">
                  <c:v>-1420</c:v>
                </c:pt>
                <c:pt idx="31">
                  <c:v>7520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69538688"/>
        <c:axId val="169540224"/>
      </c:lineChart>
      <c:catAx>
        <c:axId val="169538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40224"/>
        <c:crosses val="autoZero"/>
        <c:auto val="1"/>
        <c:lblAlgn val="ctr"/>
        <c:lblOffset val="100"/>
        <c:noMultiLvlLbl val="0"/>
      </c:catAx>
      <c:valAx>
        <c:axId val="169540224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38688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40951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967</c:v>
                </c:pt>
                <c:pt idx="1">
                  <c:v>1045</c:v>
                </c:pt>
                <c:pt idx="2">
                  <c:v>981</c:v>
                </c:pt>
                <c:pt idx="3">
                  <c:v>977</c:v>
                </c:pt>
                <c:pt idx="4">
                  <c:v>953</c:v>
                </c:pt>
                <c:pt idx="5">
                  <c:v>1040</c:v>
                </c:pt>
                <c:pt idx="6">
                  <c:v>1021</c:v>
                </c:pt>
                <c:pt idx="7">
                  <c:v>1021</c:v>
                </c:pt>
                <c:pt idx="8">
                  <c:v>1093</c:v>
                </c:pt>
                <c:pt idx="9">
                  <c:v>1003.9199999999255</c:v>
                </c:pt>
                <c:pt idx="10">
                  <c:v>1018.7000000001863</c:v>
                </c:pt>
                <c:pt idx="11">
                  <c:v>1030.0099999997765</c:v>
                </c:pt>
                <c:pt idx="12">
                  <c:v>1072.3700000001118</c:v>
                </c:pt>
                <c:pt idx="13">
                  <c:v>1198</c:v>
                </c:pt>
                <c:pt idx="14">
                  <c:v>917</c:v>
                </c:pt>
                <c:pt idx="15">
                  <c:v>1098</c:v>
                </c:pt>
                <c:pt idx="16">
                  <c:v>1022</c:v>
                </c:pt>
                <c:pt idx="17">
                  <c:v>1031.5</c:v>
                </c:pt>
                <c:pt idx="18">
                  <c:v>1137.5</c:v>
                </c:pt>
                <c:pt idx="19">
                  <c:v>1111</c:v>
                </c:pt>
                <c:pt idx="20">
                  <c:v>987</c:v>
                </c:pt>
                <c:pt idx="21">
                  <c:v>1004</c:v>
                </c:pt>
                <c:pt idx="22">
                  <c:v>963</c:v>
                </c:pt>
                <c:pt idx="23">
                  <c:v>871</c:v>
                </c:pt>
                <c:pt idx="24">
                  <c:v>859</c:v>
                </c:pt>
                <c:pt idx="25">
                  <c:v>994.54000000003725</c:v>
                </c:pt>
                <c:pt idx="26">
                  <c:v>996.47999999998137</c:v>
                </c:pt>
                <c:pt idx="27">
                  <c:v>986</c:v>
                </c:pt>
                <c:pt idx="28">
                  <c:v>1028.2999999998137</c:v>
                </c:pt>
                <c:pt idx="29">
                  <c:v>1020.7000000001863</c:v>
                </c:pt>
                <c:pt idx="30">
                  <c:v>967</c:v>
                </c:pt>
                <c:pt idx="31">
                  <c:v>31415.020000000019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89056"/>
        <c:axId val="96194944"/>
      </c:lineChart>
      <c:catAx>
        <c:axId val="9618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94944"/>
        <c:crosses val="autoZero"/>
        <c:auto val="1"/>
        <c:lblAlgn val="ctr"/>
        <c:lblOffset val="100"/>
        <c:noMultiLvlLbl val="0"/>
      </c:catAx>
      <c:valAx>
        <c:axId val="96194944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89056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6229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-0.18999999994412065</c:v>
                </c:pt>
                <c:pt idx="6">
                  <c:v>0</c:v>
                </c:pt>
                <c:pt idx="7">
                  <c:v>0.18999999994412065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-0.18999999994412065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0.18999999994412065</c:v>
                </c:pt>
                <c:pt idx="18">
                  <c:v>0</c:v>
                </c:pt>
                <c:pt idx="19">
                  <c:v>0</c:v>
                </c:pt>
                <c:pt idx="20">
                  <c:v>-0.18999999994412065</c:v>
                </c:pt>
                <c:pt idx="21">
                  <c:v>0</c:v>
                </c:pt>
                <c:pt idx="22">
                  <c:v>0</c:v>
                </c:pt>
                <c:pt idx="23">
                  <c:v>0.18999999994412065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-0.18999999994412065</c:v>
                </c:pt>
                <c:pt idx="29">
                  <c:v>0.18999999994412065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4405</c:v>
                </c:pt>
                <c:pt idx="1">
                  <c:v>4057</c:v>
                </c:pt>
                <c:pt idx="2">
                  <c:v>4163.9000000000233</c:v>
                </c:pt>
                <c:pt idx="3">
                  <c:v>4052.8499999999767</c:v>
                </c:pt>
                <c:pt idx="4">
                  <c:v>4140.4400000000023</c:v>
                </c:pt>
                <c:pt idx="5">
                  <c:v>4226.8099999999977</c:v>
                </c:pt>
                <c:pt idx="6">
                  <c:v>4329</c:v>
                </c:pt>
                <c:pt idx="7">
                  <c:v>4330</c:v>
                </c:pt>
                <c:pt idx="8">
                  <c:v>4016.2299999999814</c:v>
                </c:pt>
                <c:pt idx="9">
                  <c:v>4009.1199999999953</c:v>
                </c:pt>
                <c:pt idx="10">
                  <c:v>4276.320000000007</c:v>
                </c:pt>
                <c:pt idx="11">
                  <c:v>4336.1600000000326</c:v>
                </c:pt>
                <c:pt idx="12">
                  <c:v>4038.1699999999837</c:v>
                </c:pt>
                <c:pt idx="13">
                  <c:v>4082</c:v>
                </c:pt>
                <c:pt idx="14">
                  <c:v>4192</c:v>
                </c:pt>
                <c:pt idx="15">
                  <c:v>4307.4699999999721</c:v>
                </c:pt>
                <c:pt idx="16">
                  <c:v>4426.0400000000373</c:v>
                </c:pt>
                <c:pt idx="17">
                  <c:v>4368.9899999999907</c:v>
                </c:pt>
                <c:pt idx="18">
                  <c:v>4246.5</c:v>
                </c:pt>
                <c:pt idx="19">
                  <c:v>0</c:v>
                </c:pt>
                <c:pt idx="20">
                  <c:v>4288</c:v>
                </c:pt>
                <c:pt idx="21">
                  <c:v>4196</c:v>
                </c:pt>
                <c:pt idx="22">
                  <c:v>4329</c:v>
                </c:pt>
                <c:pt idx="23">
                  <c:v>4061</c:v>
                </c:pt>
                <c:pt idx="24">
                  <c:v>4086</c:v>
                </c:pt>
                <c:pt idx="25">
                  <c:v>4206.8600000000442</c:v>
                </c:pt>
                <c:pt idx="26">
                  <c:v>4100.4599999999627</c:v>
                </c:pt>
                <c:pt idx="27">
                  <c:v>4355.7800000000279</c:v>
                </c:pt>
                <c:pt idx="28">
                  <c:v>4258.0499999999884</c:v>
                </c:pt>
                <c:pt idx="29">
                  <c:v>4282.5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96257536"/>
        <c:axId val="96259072"/>
      </c:lineChart>
      <c:catAx>
        <c:axId val="9625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59072"/>
        <c:crosses val="autoZero"/>
        <c:auto val="1"/>
        <c:lblAlgn val="ctr"/>
        <c:lblOffset val="100"/>
        <c:noMultiLvlLbl val="0"/>
      </c:catAx>
      <c:valAx>
        <c:axId val="96259072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57536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-4.9999999988358468E-2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4.9999999988358468E-2</c:v>
                </c:pt>
                <c:pt idx="8">
                  <c:v>1179.140000000014</c:v>
                </c:pt>
                <c:pt idx="9">
                  <c:v>1904.6000000000058</c:v>
                </c:pt>
                <c:pt idx="10">
                  <c:v>1819.1600000000035</c:v>
                </c:pt>
                <c:pt idx="11">
                  <c:v>1838.5999999999767</c:v>
                </c:pt>
                <c:pt idx="12">
                  <c:v>1897.4500000000116</c:v>
                </c:pt>
                <c:pt idx="13">
                  <c:v>1949</c:v>
                </c:pt>
                <c:pt idx="14">
                  <c:v>1941</c:v>
                </c:pt>
                <c:pt idx="15">
                  <c:v>2044.6900000000023</c:v>
                </c:pt>
                <c:pt idx="16">
                  <c:v>2196.9199999999837</c:v>
                </c:pt>
                <c:pt idx="17">
                  <c:v>2033.0900000000256</c:v>
                </c:pt>
                <c:pt idx="18">
                  <c:v>2127.2999999999884</c:v>
                </c:pt>
                <c:pt idx="19">
                  <c:v>2030</c:v>
                </c:pt>
                <c:pt idx="20">
                  <c:v>2047</c:v>
                </c:pt>
                <c:pt idx="21">
                  <c:v>1912</c:v>
                </c:pt>
                <c:pt idx="22">
                  <c:v>2057</c:v>
                </c:pt>
                <c:pt idx="23">
                  <c:v>1945</c:v>
                </c:pt>
                <c:pt idx="24">
                  <c:v>1845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32766.950000000012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84032"/>
        <c:axId val="96298112"/>
      </c:lineChart>
      <c:catAx>
        <c:axId val="9628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98112"/>
        <c:crosses val="autoZero"/>
        <c:auto val="1"/>
        <c:lblAlgn val="ctr"/>
        <c:lblOffset val="100"/>
        <c:noMultiLvlLbl val="0"/>
      </c:catAx>
      <c:valAx>
        <c:axId val="96298112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840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0.52</c:v>
                </c:pt>
                <c:pt idx="1">
                  <c:v>0.98</c:v>
                </c:pt>
                <c:pt idx="2">
                  <c:v>0.8</c:v>
                </c:pt>
                <c:pt idx="3">
                  <c:v>0.98</c:v>
                </c:pt>
                <c:pt idx="4">
                  <c:v>0.63</c:v>
                </c:pt>
                <c:pt idx="5">
                  <c:v>0.48</c:v>
                </c:pt>
                <c:pt idx="6">
                  <c:v>0.97</c:v>
                </c:pt>
                <c:pt idx="7">
                  <c:v>0.92</c:v>
                </c:pt>
                <c:pt idx="8">
                  <c:v>0.65</c:v>
                </c:pt>
                <c:pt idx="9">
                  <c:v>0.35</c:v>
                </c:pt>
                <c:pt idx="10">
                  <c:v>0.4</c:v>
                </c:pt>
                <c:pt idx="11">
                  <c:v>0.6</c:v>
                </c:pt>
                <c:pt idx="12">
                  <c:v>0.48</c:v>
                </c:pt>
                <c:pt idx="13">
                  <c:v>0.52</c:v>
                </c:pt>
                <c:pt idx="14">
                  <c:v>0.5</c:v>
                </c:pt>
                <c:pt idx="15">
                  <c:v>0.56000000000000005</c:v>
                </c:pt>
                <c:pt idx="16">
                  <c:v>0.5</c:v>
                </c:pt>
                <c:pt idx="17">
                  <c:v>0.98</c:v>
                </c:pt>
                <c:pt idx="18">
                  <c:v>0.52</c:v>
                </c:pt>
                <c:pt idx="19">
                  <c:v>0.52</c:v>
                </c:pt>
                <c:pt idx="20">
                  <c:v>0.52</c:v>
                </c:pt>
                <c:pt idx="21">
                  <c:v>0.54</c:v>
                </c:pt>
                <c:pt idx="22">
                  <c:v>0.55000000000000004</c:v>
                </c:pt>
                <c:pt idx="23">
                  <c:v>0.43</c:v>
                </c:pt>
                <c:pt idx="24">
                  <c:v>0.4</c:v>
                </c:pt>
                <c:pt idx="25">
                  <c:v>0.54449999999999998</c:v>
                </c:pt>
                <c:pt idx="26">
                  <c:v>0.76</c:v>
                </c:pt>
                <c:pt idx="27">
                  <c:v>0.8</c:v>
                </c:pt>
                <c:pt idx="28">
                  <c:v>0.75</c:v>
                </c:pt>
                <c:pt idx="29">
                  <c:v>0.68</c:v>
                </c:pt>
                <c:pt idx="30">
                  <c:v>27</c:v>
                </c:pt>
                <c:pt idx="31">
                  <c:v>1.4785322580645162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34976"/>
        <c:axId val="96336512"/>
      </c:lineChart>
      <c:catAx>
        <c:axId val="96334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36512"/>
        <c:crosses val="autoZero"/>
        <c:auto val="1"/>
        <c:lblAlgn val="ctr"/>
        <c:lblOffset val="100"/>
        <c:noMultiLvlLbl val="0"/>
      </c:catAx>
      <c:valAx>
        <c:axId val="963365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963349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25669</c:v>
                </c:pt>
                <c:pt idx="1">
                  <c:v>25669</c:v>
                </c:pt>
                <c:pt idx="2">
                  <c:v>23596</c:v>
                </c:pt>
                <c:pt idx="3">
                  <c:v>25639</c:v>
                </c:pt>
                <c:pt idx="4">
                  <c:v>24834</c:v>
                </c:pt>
                <c:pt idx="5">
                  <c:v>25510</c:v>
                </c:pt>
                <c:pt idx="6">
                  <c:v>25534</c:v>
                </c:pt>
                <c:pt idx="7">
                  <c:v>25069</c:v>
                </c:pt>
                <c:pt idx="8">
                  <c:v>25853.950000000012</c:v>
                </c:pt>
                <c:pt idx="9">
                  <c:v>25692.01999999996</c:v>
                </c:pt>
                <c:pt idx="10">
                  <c:v>25252.900000000023</c:v>
                </c:pt>
                <c:pt idx="11">
                  <c:v>24898.200000000012</c:v>
                </c:pt>
                <c:pt idx="12">
                  <c:v>24813.929999999993</c:v>
                </c:pt>
                <c:pt idx="13">
                  <c:v>25893</c:v>
                </c:pt>
                <c:pt idx="14">
                  <c:v>25818</c:v>
                </c:pt>
                <c:pt idx="15">
                  <c:v>24160</c:v>
                </c:pt>
                <c:pt idx="16">
                  <c:v>24906</c:v>
                </c:pt>
                <c:pt idx="17">
                  <c:v>24462.5</c:v>
                </c:pt>
                <c:pt idx="18">
                  <c:v>26332.5</c:v>
                </c:pt>
                <c:pt idx="19">
                  <c:v>25922</c:v>
                </c:pt>
                <c:pt idx="20">
                  <c:v>25776</c:v>
                </c:pt>
                <c:pt idx="21">
                  <c:v>23946</c:v>
                </c:pt>
                <c:pt idx="22">
                  <c:v>21573</c:v>
                </c:pt>
                <c:pt idx="23">
                  <c:v>20323</c:v>
                </c:pt>
                <c:pt idx="24">
                  <c:v>21168</c:v>
                </c:pt>
                <c:pt idx="25">
                  <c:v>22938.400000000023</c:v>
                </c:pt>
                <c:pt idx="26">
                  <c:v>23600.689999999944</c:v>
                </c:pt>
                <c:pt idx="27">
                  <c:v>27370.080000000075</c:v>
                </c:pt>
                <c:pt idx="28">
                  <c:v>27051</c:v>
                </c:pt>
                <c:pt idx="29">
                  <c:v>26551</c:v>
                </c:pt>
                <c:pt idx="30">
                  <c:v>233466</c:v>
                </c:pt>
                <c:pt idx="31">
                  <c:v>979288.17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69671680"/>
        <c:axId val="96424704"/>
      </c:lineChart>
      <c:catAx>
        <c:axId val="169671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24704"/>
        <c:crosses val="autoZero"/>
        <c:auto val="1"/>
        <c:lblAlgn val="ctr"/>
        <c:lblOffset val="100"/>
        <c:noMultiLvlLbl val="0"/>
      </c:catAx>
      <c:valAx>
        <c:axId val="96424704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71680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10.569999999999709</c:v>
                </c:pt>
                <c:pt idx="1">
                  <c:v>11.140000000000327</c:v>
                </c:pt>
                <c:pt idx="2">
                  <c:v>11.089999999999236</c:v>
                </c:pt>
                <c:pt idx="3">
                  <c:v>9</c:v>
                </c:pt>
                <c:pt idx="4">
                  <c:v>13.800000000000182</c:v>
                </c:pt>
                <c:pt idx="5">
                  <c:v>11.510000000000218</c:v>
                </c:pt>
                <c:pt idx="6">
                  <c:v>11.460000000000036</c:v>
                </c:pt>
                <c:pt idx="7">
                  <c:v>11.919999999999163</c:v>
                </c:pt>
                <c:pt idx="8">
                  <c:v>12.130000000000109</c:v>
                </c:pt>
                <c:pt idx="9">
                  <c:v>12.360000000000582</c:v>
                </c:pt>
                <c:pt idx="10">
                  <c:v>11.420000000000073</c:v>
                </c:pt>
                <c:pt idx="11">
                  <c:v>11.239999999999782</c:v>
                </c:pt>
                <c:pt idx="12">
                  <c:v>11.139999999999418</c:v>
                </c:pt>
                <c:pt idx="13">
                  <c:v>11.270000000000437</c:v>
                </c:pt>
                <c:pt idx="14">
                  <c:v>10.710000000000036</c:v>
                </c:pt>
                <c:pt idx="15">
                  <c:v>11.329999999999927</c:v>
                </c:pt>
                <c:pt idx="16">
                  <c:v>11.170000000000073</c:v>
                </c:pt>
                <c:pt idx="17">
                  <c:v>11.109999999999673</c:v>
                </c:pt>
                <c:pt idx="18">
                  <c:v>11.0600000000004</c:v>
                </c:pt>
                <c:pt idx="19">
                  <c:v>11.019999999999527</c:v>
                </c:pt>
                <c:pt idx="20">
                  <c:v>11.110000000000582</c:v>
                </c:pt>
                <c:pt idx="21">
                  <c:v>10.590000000000146</c:v>
                </c:pt>
                <c:pt idx="22">
                  <c:v>11.180000000000291</c:v>
                </c:pt>
                <c:pt idx="23">
                  <c:v>11.309999999999491</c:v>
                </c:pt>
                <c:pt idx="24">
                  <c:v>10.970000000000255</c:v>
                </c:pt>
                <c:pt idx="25">
                  <c:v>11.119999999999891</c:v>
                </c:pt>
                <c:pt idx="26">
                  <c:v>10.960000000000036</c:v>
                </c:pt>
                <c:pt idx="27">
                  <c:v>10.830000000000837</c:v>
                </c:pt>
                <c:pt idx="28">
                  <c:v>10.960000000000036</c:v>
                </c:pt>
                <c:pt idx="29">
                  <c:v>11.220000000000255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42400"/>
        <c:axId val="96343936"/>
      </c:lineChart>
      <c:catAx>
        <c:axId val="9634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43936"/>
        <c:crosses val="autoZero"/>
        <c:auto val="1"/>
        <c:lblAlgn val="ctr"/>
        <c:lblOffset val="100"/>
        <c:noMultiLvlLbl val="0"/>
      </c:catAx>
      <c:valAx>
        <c:axId val="96343936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424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281.18000000005122</c:v>
                </c:pt>
                <c:pt idx="1">
                  <c:v>308.71999999997206</c:v>
                </c:pt>
                <c:pt idx="2">
                  <c:v>298.40000000002328</c:v>
                </c:pt>
                <c:pt idx="3">
                  <c:v>301</c:v>
                </c:pt>
                <c:pt idx="4">
                  <c:v>302</c:v>
                </c:pt>
                <c:pt idx="5">
                  <c:v>313.02000000001863</c:v>
                </c:pt>
                <c:pt idx="6">
                  <c:v>320.61999999999534</c:v>
                </c:pt>
                <c:pt idx="7">
                  <c:v>297.17000000004191</c:v>
                </c:pt>
                <c:pt idx="8">
                  <c:v>292.21999999997206</c:v>
                </c:pt>
                <c:pt idx="9">
                  <c:v>289.96999999997206</c:v>
                </c:pt>
                <c:pt idx="10">
                  <c:v>297</c:v>
                </c:pt>
                <c:pt idx="11">
                  <c:v>278</c:v>
                </c:pt>
                <c:pt idx="12">
                  <c:v>295.56999999994878</c:v>
                </c:pt>
                <c:pt idx="13">
                  <c:v>291.03000000002794</c:v>
                </c:pt>
                <c:pt idx="14">
                  <c:v>290.09999999997672</c:v>
                </c:pt>
                <c:pt idx="15">
                  <c:v>289.30000000004657</c:v>
                </c:pt>
                <c:pt idx="16">
                  <c:v>287</c:v>
                </c:pt>
                <c:pt idx="17">
                  <c:v>290</c:v>
                </c:pt>
                <c:pt idx="18">
                  <c:v>281</c:v>
                </c:pt>
                <c:pt idx="19">
                  <c:v>291</c:v>
                </c:pt>
                <c:pt idx="20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564.4199999999546</c:v>
                </c:pt>
                <c:pt idx="1">
                  <c:v>490.68000000002212</c:v>
                </c:pt>
                <c:pt idx="2">
                  <c:v>580.19999999997708</c:v>
                </c:pt>
                <c:pt idx="3">
                  <c:v>553</c:v>
                </c:pt>
                <c:pt idx="4">
                  <c:v>557</c:v>
                </c:pt>
                <c:pt idx="5">
                  <c:v>619.3399999999674</c:v>
                </c:pt>
                <c:pt idx="6">
                  <c:v>526.00999999995111</c:v>
                </c:pt>
                <c:pt idx="7">
                  <c:v>542.29000000012456</c:v>
                </c:pt>
                <c:pt idx="8">
                  <c:v>552.84999999980755</c:v>
                </c:pt>
                <c:pt idx="9">
                  <c:v>602.91000000014901</c:v>
                </c:pt>
                <c:pt idx="10">
                  <c:v>723</c:v>
                </c:pt>
                <c:pt idx="11">
                  <c:v>451</c:v>
                </c:pt>
                <c:pt idx="12">
                  <c:v>597.33000000005995</c:v>
                </c:pt>
                <c:pt idx="13">
                  <c:v>588.86999999995169</c:v>
                </c:pt>
                <c:pt idx="14">
                  <c:v>579.60000000003492</c:v>
                </c:pt>
                <c:pt idx="15">
                  <c:v>687.19999999995343</c:v>
                </c:pt>
                <c:pt idx="16">
                  <c:v>652</c:v>
                </c:pt>
                <c:pt idx="17">
                  <c:v>561</c:v>
                </c:pt>
                <c:pt idx="18">
                  <c:v>559</c:v>
                </c:pt>
                <c:pt idx="19">
                  <c:v>529</c:v>
                </c:pt>
                <c:pt idx="20">
                  <c:v>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84.799999999988358</c:v>
                </c:pt>
                <c:pt idx="1">
                  <c:v>108.20000000001164</c:v>
                </c:pt>
                <c:pt idx="2">
                  <c:v>112</c:v>
                </c:pt>
                <c:pt idx="3">
                  <c:v>116</c:v>
                </c:pt>
                <c:pt idx="4">
                  <c:v>110</c:v>
                </c:pt>
                <c:pt idx="5">
                  <c:v>107.64000000001397</c:v>
                </c:pt>
                <c:pt idx="6">
                  <c:v>94.789999999979045</c:v>
                </c:pt>
                <c:pt idx="7">
                  <c:v>120.74000000001979</c:v>
                </c:pt>
                <c:pt idx="8">
                  <c:v>128.83999999999651</c:v>
                </c:pt>
                <c:pt idx="9">
                  <c:v>118.98999999999069</c:v>
                </c:pt>
                <c:pt idx="10">
                  <c:v>125</c:v>
                </c:pt>
                <c:pt idx="11">
                  <c:v>129</c:v>
                </c:pt>
                <c:pt idx="12">
                  <c:v>138.29999999998836</c:v>
                </c:pt>
                <c:pt idx="13">
                  <c:v>100.90000000002328</c:v>
                </c:pt>
                <c:pt idx="14">
                  <c:v>121.79999999998836</c:v>
                </c:pt>
                <c:pt idx="15">
                  <c:v>116</c:v>
                </c:pt>
                <c:pt idx="16">
                  <c:v>121</c:v>
                </c:pt>
                <c:pt idx="17">
                  <c:v>93</c:v>
                </c:pt>
                <c:pt idx="18">
                  <c:v>121</c:v>
                </c:pt>
                <c:pt idx="19">
                  <c:v>103</c:v>
                </c:pt>
                <c:pt idx="20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877824"/>
        <c:axId val="146883712"/>
      </c:lineChart>
      <c:catAx>
        <c:axId val="14687782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46883712"/>
        <c:crosses val="autoZero"/>
        <c:auto val="1"/>
        <c:lblAlgn val="ctr"/>
        <c:lblOffset val="100"/>
        <c:noMultiLvlLbl val="0"/>
      </c:catAx>
      <c:valAx>
        <c:axId val="1468837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4687782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40958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0.28069205245694423</c:v>
                </c:pt>
                <c:pt idx="1">
                  <c:v>6160.7999999999593</c:v>
                </c:pt>
                <c:pt idx="2">
                  <c:v>6605.8800000000338</c:v>
                </c:pt>
                <c:pt idx="3">
                  <c:v>7399.4499999999534</c:v>
                </c:pt>
                <c:pt idx="4">
                  <c:v>0</c:v>
                </c:pt>
                <c:pt idx="5">
                  <c:v>5349.1300000000629</c:v>
                </c:pt>
                <c:pt idx="6">
                  <c:v>5136</c:v>
                </c:pt>
                <c:pt idx="7">
                  <c:v>7147.6300000000047</c:v>
                </c:pt>
                <c:pt idx="8">
                  <c:v>6669.6500000000524</c:v>
                </c:pt>
                <c:pt idx="9">
                  <c:v>5322.5899999999383</c:v>
                </c:pt>
                <c:pt idx="10">
                  <c:v>5153.3700000000827</c:v>
                </c:pt>
                <c:pt idx="11">
                  <c:v>4875.7099999999627</c:v>
                </c:pt>
                <c:pt idx="12">
                  <c:v>4786.9599999999919</c:v>
                </c:pt>
                <c:pt idx="13">
                  <c:v>5095.0899999999674</c:v>
                </c:pt>
                <c:pt idx="14">
                  <c:v>5793.4500000000116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98937856"/>
        <c:axId val="98947840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75049</c:v>
                </c:pt>
                <c:pt idx="1">
                  <c:v>100718</c:v>
                </c:pt>
                <c:pt idx="2">
                  <c:v>149953</c:v>
                </c:pt>
                <c:pt idx="3">
                  <c:v>124314</c:v>
                </c:pt>
                <c:pt idx="4">
                  <c:v>0</c:v>
                </c:pt>
                <c:pt idx="5">
                  <c:v>200297</c:v>
                </c:pt>
                <c:pt idx="6">
                  <c:v>225831</c:v>
                </c:pt>
                <c:pt idx="7">
                  <c:v>250900</c:v>
                </c:pt>
                <c:pt idx="8">
                  <c:v>276753.95</c:v>
                </c:pt>
                <c:pt idx="9">
                  <c:v>302445.96999999997</c:v>
                </c:pt>
                <c:pt idx="10">
                  <c:v>327698.87</c:v>
                </c:pt>
                <c:pt idx="11">
                  <c:v>352597.07</c:v>
                </c:pt>
                <c:pt idx="12">
                  <c:v>377411</c:v>
                </c:pt>
                <c:pt idx="13">
                  <c:v>403304</c:v>
                </c:pt>
                <c:pt idx="14">
                  <c:v>429122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949376"/>
        <c:axId val="98955264"/>
      </c:lineChart>
      <c:catAx>
        <c:axId val="9893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47840"/>
        <c:crosses val="autoZero"/>
        <c:auto val="1"/>
        <c:lblAlgn val="ctr"/>
        <c:lblOffset val="100"/>
        <c:noMultiLvlLbl val="0"/>
      </c:catAx>
      <c:valAx>
        <c:axId val="9894784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37856"/>
        <c:crosses val="autoZero"/>
        <c:crossBetween val="between"/>
        <c:minorUnit val="50"/>
      </c:valAx>
      <c:catAx>
        <c:axId val="98949376"/>
        <c:scaling>
          <c:orientation val="minMax"/>
        </c:scaling>
        <c:delete val="1"/>
        <c:axPos val="b"/>
        <c:majorTickMark val="out"/>
        <c:minorTickMark val="none"/>
        <c:tickLblPos val="none"/>
        <c:crossAx val="98955264"/>
        <c:crosses val="autoZero"/>
        <c:auto val="1"/>
        <c:lblAlgn val="ctr"/>
        <c:lblOffset val="100"/>
        <c:noMultiLvlLbl val="0"/>
      </c:catAx>
      <c:valAx>
        <c:axId val="9895526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49376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31552"/>
        <c:axId val="97433088"/>
      </c:lineChart>
      <c:catAx>
        <c:axId val="9743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33088"/>
        <c:crosses val="autoZero"/>
        <c:auto val="1"/>
        <c:lblAlgn val="ctr"/>
        <c:lblOffset val="100"/>
        <c:noMultiLvlLbl val="0"/>
      </c:catAx>
      <c:valAx>
        <c:axId val="9743308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315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75049</c:v>
                </c:pt>
                <c:pt idx="1">
                  <c:v>100718</c:v>
                </c:pt>
                <c:pt idx="2">
                  <c:v>149953</c:v>
                </c:pt>
                <c:pt idx="3">
                  <c:v>124314</c:v>
                </c:pt>
                <c:pt idx="4">
                  <c:v>0</c:v>
                </c:pt>
                <c:pt idx="5">
                  <c:v>200297</c:v>
                </c:pt>
                <c:pt idx="6">
                  <c:v>225831</c:v>
                </c:pt>
                <c:pt idx="7">
                  <c:v>250900</c:v>
                </c:pt>
                <c:pt idx="8">
                  <c:v>276753.95</c:v>
                </c:pt>
                <c:pt idx="9">
                  <c:v>302445.96999999997</c:v>
                </c:pt>
                <c:pt idx="10">
                  <c:v>327698.87</c:v>
                </c:pt>
                <c:pt idx="11">
                  <c:v>352597.07</c:v>
                </c:pt>
                <c:pt idx="12">
                  <c:v>377411</c:v>
                </c:pt>
                <c:pt idx="13">
                  <c:v>403304</c:v>
                </c:pt>
                <c:pt idx="14">
                  <c:v>429122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97449856"/>
        <c:axId val="97451392"/>
      </c:lineChart>
      <c:catAx>
        <c:axId val="97449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51392"/>
        <c:crosses val="autoZero"/>
        <c:auto val="1"/>
        <c:lblAlgn val="ctr"/>
        <c:lblOffset val="100"/>
        <c:noMultiLvlLbl val="0"/>
      </c:catAx>
      <c:valAx>
        <c:axId val="97451392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4985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5901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197</c:v>
                </c:pt>
                <c:pt idx="1">
                  <c:v>169</c:v>
                </c:pt>
                <c:pt idx="2">
                  <c:v>163</c:v>
                </c:pt>
                <c:pt idx="3">
                  <c:v>165</c:v>
                </c:pt>
                <c:pt idx="4">
                  <c:v>0</c:v>
                </c:pt>
                <c:pt idx="5">
                  <c:v>166</c:v>
                </c:pt>
                <c:pt idx="6">
                  <c:v>165</c:v>
                </c:pt>
                <c:pt idx="7">
                  <c:v>201</c:v>
                </c:pt>
                <c:pt idx="8">
                  <c:v>178</c:v>
                </c:pt>
                <c:pt idx="9">
                  <c:v>191</c:v>
                </c:pt>
                <c:pt idx="10">
                  <c:v>170</c:v>
                </c:pt>
                <c:pt idx="11">
                  <c:v>202</c:v>
                </c:pt>
                <c:pt idx="12">
                  <c:v>185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22944"/>
        <c:axId val="98724480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75049</c:v>
                </c:pt>
                <c:pt idx="1">
                  <c:v>100718</c:v>
                </c:pt>
                <c:pt idx="2">
                  <c:v>149953</c:v>
                </c:pt>
                <c:pt idx="3">
                  <c:v>124314</c:v>
                </c:pt>
                <c:pt idx="4">
                  <c:v>0</c:v>
                </c:pt>
                <c:pt idx="5">
                  <c:v>200297</c:v>
                </c:pt>
                <c:pt idx="6">
                  <c:v>225831</c:v>
                </c:pt>
                <c:pt idx="7">
                  <c:v>250900</c:v>
                </c:pt>
                <c:pt idx="8">
                  <c:v>276753.95</c:v>
                </c:pt>
                <c:pt idx="9">
                  <c:v>302445.96999999997</c:v>
                </c:pt>
                <c:pt idx="10">
                  <c:v>327698.87</c:v>
                </c:pt>
                <c:pt idx="11">
                  <c:v>352597.07</c:v>
                </c:pt>
                <c:pt idx="12">
                  <c:v>377411</c:v>
                </c:pt>
                <c:pt idx="13">
                  <c:v>403304</c:v>
                </c:pt>
                <c:pt idx="14">
                  <c:v>429122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46752"/>
        <c:axId val="98748288"/>
      </c:lineChart>
      <c:catAx>
        <c:axId val="98722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24480"/>
        <c:crosses val="autoZero"/>
        <c:auto val="1"/>
        <c:lblAlgn val="ctr"/>
        <c:lblOffset val="100"/>
        <c:noMultiLvlLbl val="0"/>
      </c:catAx>
      <c:valAx>
        <c:axId val="98724480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22944"/>
        <c:crosses val="autoZero"/>
        <c:crossBetween val="between"/>
      </c:valAx>
      <c:catAx>
        <c:axId val="98746752"/>
        <c:scaling>
          <c:orientation val="minMax"/>
        </c:scaling>
        <c:delete val="1"/>
        <c:axPos val="b"/>
        <c:majorTickMark val="out"/>
        <c:minorTickMark val="none"/>
        <c:tickLblPos val="none"/>
        <c:crossAx val="98748288"/>
        <c:crosses val="autoZero"/>
        <c:auto val="1"/>
        <c:lblAlgn val="ctr"/>
        <c:lblOffset val="100"/>
        <c:noMultiLvlLbl val="0"/>
      </c:catAx>
      <c:valAx>
        <c:axId val="9874828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467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31</c:v>
                </c:pt>
                <c:pt idx="1">
                  <c:v>19</c:v>
                </c:pt>
                <c:pt idx="2">
                  <c:v>41</c:v>
                </c:pt>
                <c:pt idx="3">
                  <c:v>25</c:v>
                </c:pt>
                <c:pt idx="4">
                  <c:v>0</c:v>
                </c:pt>
                <c:pt idx="5">
                  <c:v>41</c:v>
                </c:pt>
                <c:pt idx="6">
                  <c:v>17</c:v>
                </c:pt>
                <c:pt idx="7">
                  <c:v>29</c:v>
                </c:pt>
                <c:pt idx="8">
                  <c:v>38</c:v>
                </c:pt>
                <c:pt idx="9">
                  <c:v>52</c:v>
                </c:pt>
                <c:pt idx="10">
                  <c:v>29</c:v>
                </c:pt>
                <c:pt idx="11">
                  <c:v>49</c:v>
                </c:pt>
                <c:pt idx="12">
                  <c:v>32</c:v>
                </c:pt>
                <c:pt idx="13">
                  <c:v>40</c:v>
                </c:pt>
                <c:pt idx="14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14</c:v>
                </c:pt>
                <c:pt idx="1">
                  <c:v>8</c:v>
                </c:pt>
                <c:pt idx="2">
                  <c:v>8</c:v>
                </c:pt>
                <c:pt idx="3">
                  <c:v>13</c:v>
                </c:pt>
                <c:pt idx="4">
                  <c:v>0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6</c:v>
                </c:pt>
                <c:pt idx="9">
                  <c:v>7</c:v>
                </c:pt>
                <c:pt idx="10">
                  <c:v>13</c:v>
                </c:pt>
                <c:pt idx="11">
                  <c:v>7</c:v>
                </c:pt>
                <c:pt idx="12">
                  <c:v>12</c:v>
                </c:pt>
                <c:pt idx="13">
                  <c:v>198</c:v>
                </c:pt>
                <c:pt idx="14">
                  <c:v>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340672"/>
        <c:axId val="99342208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75049</c:v>
                </c:pt>
                <c:pt idx="1">
                  <c:v>100718</c:v>
                </c:pt>
                <c:pt idx="2">
                  <c:v>149953</c:v>
                </c:pt>
                <c:pt idx="3">
                  <c:v>124314</c:v>
                </c:pt>
                <c:pt idx="4">
                  <c:v>0</c:v>
                </c:pt>
                <c:pt idx="5">
                  <c:v>200297</c:v>
                </c:pt>
                <c:pt idx="6">
                  <c:v>225831</c:v>
                </c:pt>
                <c:pt idx="7">
                  <c:v>250900</c:v>
                </c:pt>
                <c:pt idx="8">
                  <c:v>276753.95</c:v>
                </c:pt>
                <c:pt idx="9">
                  <c:v>302445.96999999997</c:v>
                </c:pt>
                <c:pt idx="10">
                  <c:v>327698.87</c:v>
                </c:pt>
                <c:pt idx="11">
                  <c:v>352597.07</c:v>
                </c:pt>
                <c:pt idx="12">
                  <c:v>377411</c:v>
                </c:pt>
                <c:pt idx="13">
                  <c:v>403304</c:v>
                </c:pt>
                <c:pt idx="14">
                  <c:v>429122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343744"/>
        <c:axId val="99353728"/>
      </c:lineChart>
      <c:catAx>
        <c:axId val="99340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42208"/>
        <c:crosses val="autoZero"/>
        <c:auto val="1"/>
        <c:lblAlgn val="ctr"/>
        <c:lblOffset val="100"/>
        <c:noMultiLvlLbl val="0"/>
      </c:catAx>
      <c:valAx>
        <c:axId val="99342208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40672"/>
        <c:crosses val="autoZero"/>
        <c:crossBetween val="between"/>
        <c:majorUnit val="2"/>
      </c:valAx>
      <c:catAx>
        <c:axId val="99343744"/>
        <c:scaling>
          <c:orientation val="minMax"/>
        </c:scaling>
        <c:delete val="1"/>
        <c:axPos val="b"/>
        <c:majorTickMark val="out"/>
        <c:minorTickMark val="none"/>
        <c:tickLblPos val="none"/>
        <c:crossAx val="99353728"/>
        <c:crosses val="autoZero"/>
        <c:auto val="1"/>
        <c:lblAlgn val="ctr"/>
        <c:lblOffset val="100"/>
        <c:noMultiLvlLbl val="0"/>
      </c:catAx>
      <c:valAx>
        <c:axId val="9935372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43744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2\Copy%20of%20FS%20Mumbai_HEP_Daily_Sep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 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7">
          <cell r="I7">
            <v>12000</v>
          </cell>
        </row>
        <row r="15">
          <cell r="I15">
            <v>800</v>
          </cell>
        </row>
        <row r="18">
          <cell r="I18">
            <v>65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35">
          <cell r="H135">
            <v>31783.419999999947</v>
          </cell>
        </row>
      </sheetData>
      <sheetData sheetId="29" refreshError="1"/>
      <sheetData sheetId="30">
        <row r="7">
          <cell r="F7">
            <v>755524.07</v>
          </cell>
          <cell r="H7">
            <v>632298.06999999995</v>
          </cell>
        </row>
        <row r="8">
          <cell r="F8">
            <v>921891.83</v>
          </cell>
          <cell r="H8">
            <v>639345.82999999996</v>
          </cell>
        </row>
        <row r="9">
          <cell r="F9">
            <v>3661990.7</v>
          </cell>
          <cell r="H9">
            <v>171622</v>
          </cell>
        </row>
        <row r="10">
          <cell r="F10">
            <v>2664459.2999999998</v>
          </cell>
          <cell r="H10">
            <v>443662</v>
          </cell>
        </row>
        <row r="11">
          <cell r="F11">
            <v>37560</v>
          </cell>
          <cell r="H11">
            <v>0</v>
          </cell>
        </row>
        <row r="12">
          <cell r="F12">
            <v>40380</v>
          </cell>
          <cell r="H12">
            <v>0</v>
          </cell>
        </row>
        <row r="13">
          <cell r="H13">
            <v>618268.19999999972</v>
          </cell>
        </row>
        <row r="15">
          <cell r="F15">
            <v>2156488.98</v>
          </cell>
          <cell r="H15">
            <v>24655.379999999888</v>
          </cell>
        </row>
        <row r="18">
          <cell r="F18">
            <v>22</v>
          </cell>
          <cell r="H18">
            <v>4120</v>
          </cell>
        </row>
        <row r="19">
          <cell r="F19">
            <v>165186</v>
          </cell>
          <cell r="H19">
            <v>1293</v>
          </cell>
        </row>
        <row r="20">
          <cell r="H20">
            <v>5413</v>
          </cell>
        </row>
        <row r="22">
          <cell r="F22">
            <v>2970</v>
          </cell>
          <cell r="H22">
            <v>0</v>
          </cell>
        </row>
        <row r="23">
          <cell r="F23">
            <v>1500</v>
          </cell>
          <cell r="H23">
            <v>0</v>
          </cell>
        </row>
        <row r="24">
          <cell r="F24">
            <v>4470</v>
          </cell>
          <cell r="H24">
            <v>0</v>
          </cell>
        </row>
        <row r="27">
          <cell r="H27">
            <v>5754112.4699999997</v>
          </cell>
        </row>
        <row r="28">
          <cell r="H28">
            <v>1725876.5999999922</v>
          </cell>
        </row>
        <row r="29">
          <cell r="H29">
            <v>0</v>
          </cell>
        </row>
        <row r="30">
          <cell r="H30">
            <v>195243</v>
          </cell>
        </row>
        <row r="31">
          <cell r="H31">
            <v>329600</v>
          </cell>
        </row>
        <row r="32">
          <cell r="H32">
            <v>8004832.0699999919</v>
          </cell>
        </row>
        <row r="35">
          <cell r="F35">
            <v>238713.05</v>
          </cell>
          <cell r="H35">
            <v>0</v>
          </cell>
        </row>
        <row r="36">
          <cell r="F36">
            <v>264468.09000000003</v>
          </cell>
          <cell r="H36">
            <v>22651.040000000037</v>
          </cell>
        </row>
        <row r="37">
          <cell r="F37">
            <v>322998.69</v>
          </cell>
          <cell r="H37">
            <v>0</v>
          </cell>
        </row>
        <row r="38">
          <cell r="F38">
            <v>582898.27</v>
          </cell>
          <cell r="H38">
            <v>57142.770000000019</v>
          </cell>
        </row>
        <row r="39">
          <cell r="F39">
            <v>591584.18999999994</v>
          </cell>
          <cell r="H39">
            <v>0</v>
          </cell>
        </row>
        <row r="40">
          <cell r="F40">
            <v>153753.67000000001</v>
          </cell>
          <cell r="H40">
            <v>20482.440000000002</v>
          </cell>
        </row>
        <row r="41">
          <cell r="F41">
            <v>362008.83</v>
          </cell>
          <cell r="H41">
            <v>79795.760000000009</v>
          </cell>
        </row>
        <row r="42">
          <cell r="F42">
            <v>814404.47</v>
          </cell>
          <cell r="H42">
            <v>15385.919999999925</v>
          </cell>
        </row>
        <row r="43">
          <cell r="F43">
            <v>407028.03</v>
          </cell>
          <cell r="H43">
            <v>3.0000000027939677E-2</v>
          </cell>
        </row>
        <row r="44">
          <cell r="F44">
            <v>0</v>
          </cell>
          <cell r="H44">
            <v>0</v>
          </cell>
        </row>
        <row r="45">
          <cell r="F45">
            <v>0</v>
          </cell>
          <cell r="H45">
            <v>0</v>
          </cell>
        </row>
        <row r="46">
          <cell r="F46">
            <v>0</v>
          </cell>
          <cell r="H46">
            <v>0</v>
          </cell>
        </row>
        <row r="47">
          <cell r="H47">
            <v>195457.96000000002</v>
          </cell>
        </row>
        <row r="49">
          <cell r="F49">
            <v>701245.43</v>
          </cell>
          <cell r="H49">
            <v>91627.840000000084</v>
          </cell>
        </row>
        <row r="50">
          <cell r="F50">
            <v>357372.71</v>
          </cell>
          <cell r="H50">
            <v>240088.08000000002</v>
          </cell>
        </row>
        <row r="51">
          <cell r="F51">
            <v>66469.73</v>
          </cell>
          <cell r="H51">
            <v>25608.469999999994</v>
          </cell>
        </row>
        <row r="52">
          <cell r="F52">
            <v>10</v>
          </cell>
          <cell r="H52">
            <v>0</v>
          </cell>
        </row>
        <row r="53">
          <cell r="F53">
            <v>272897.34999999998</v>
          </cell>
          <cell r="H53">
            <v>105622.65999999997</v>
          </cell>
        </row>
        <row r="54">
          <cell r="F54">
            <v>100523.33</v>
          </cell>
          <cell r="H54">
            <v>4795.2400000000052</v>
          </cell>
        </row>
        <row r="55">
          <cell r="F55">
            <v>494482.51</v>
          </cell>
          <cell r="H55">
            <v>51312.760000000009</v>
          </cell>
        </row>
        <row r="56">
          <cell r="F56">
            <v>144175.85999999999</v>
          </cell>
          <cell r="H56">
            <v>18128.169999999984</v>
          </cell>
        </row>
        <row r="57">
          <cell r="F57">
            <v>394515.47</v>
          </cell>
          <cell r="H57">
            <v>72264.539999999979</v>
          </cell>
        </row>
        <row r="58">
          <cell r="F58">
            <v>62889.69</v>
          </cell>
          <cell r="H58">
            <v>6128.6900000000023</v>
          </cell>
        </row>
        <row r="59">
          <cell r="H59">
            <v>412128.19</v>
          </cell>
        </row>
        <row r="60">
          <cell r="H60">
            <v>607586.15</v>
          </cell>
        </row>
        <row r="62">
          <cell r="F62">
            <v>301604</v>
          </cell>
          <cell r="H62">
            <v>2131</v>
          </cell>
        </row>
        <row r="63">
          <cell r="F63">
            <v>245139</v>
          </cell>
          <cell r="H63">
            <v>2547</v>
          </cell>
        </row>
        <row r="64">
          <cell r="H64">
            <v>4678</v>
          </cell>
        </row>
        <row r="65">
          <cell r="F65">
            <v>460294</v>
          </cell>
          <cell r="H65">
            <v>2468</v>
          </cell>
        </row>
        <row r="66">
          <cell r="F66">
            <v>112545</v>
          </cell>
          <cell r="H66">
            <v>248</v>
          </cell>
        </row>
        <row r="67">
          <cell r="F67">
            <v>114643</v>
          </cell>
          <cell r="H67">
            <v>445</v>
          </cell>
        </row>
        <row r="68">
          <cell r="F68">
            <v>166441</v>
          </cell>
          <cell r="H68">
            <v>885</v>
          </cell>
        </row>
        <row r="69">
          <cell r="F69">
            <v>12550</v>
          </cell>
          <cell r="H69">
            <v>112</v>
          </cell>
        </row>
        <row r="70">
          <cell r="F70">
            <v>10298</v>
          </cell>
          <cell r="H70">
            <v>202</v>
          </cell>
        </row>
        <row r="71">
          <cell r="H71">
            <v>4360</v>
          </cell>
        </row>
        <row r="74">
          <cell r="F74">
            <v>974379.31</v>
          </cell>
          <cell r="H74">
            <v>7196.5300000000279</v>
          </cell>
        </row>
        <row r="75">
          <cell r="F75">
            <v>73586.8</v>
          </cell>
          <cell r="H75">
            <v>0</v>
          </cell>
        </row>
        <row r="76">
          <cell r="F76">
            <v>196156.04</v>
          </cell>
          <cell r="H76">
            <v>2734.5400000000081</v>
          </cell>
        </row>
        <row r="77">
          <cell r="F77">
            <v>53099.3</v>
          </cell>
          <cell r="H77">
            <v>1259.3000000000029</v>
          </cell>
        </row>
        <row r="78">
          <cell r="F78">
            <v>9564</v>
          </cell>
          <cell r="H78">
            <v>0</v>
          </cell>
        </row>
        <row r="79">
          <cell r="H79">
            <v>13465.009999999849</v>
          </cell>
        </row>
        <row r="82">
          <cell r="F82">
            <v>0</v>
          </cell>
          <cell r="H82">
            <v>0</v>
          </cell>
        </row>
        <row r="83">
          <cell r="F83">
            <v>0</v>
          </cell>
          <cell r="H83">
            <v>0</v>
          </cell>
        </row>
        <row r="84">
          <cell r="F84">
            <v>43276.01</v>
          </cell>
          <cell r="H84">
            <v>363.45999999999913</v>
          </cell>
        </row>
        <row r="85">
          <cell r="F85">
            <v>5431</v>
          </cell>
          <cell r="H85">
            <v>67</v>
          </cell>
        </row>
        <row r="86">
          <cell r="F86">
            <v>46271.42</v>
          </cell>
          <cell r="H86">
            <v>350.04999999999563</v>
          </cell>
        </row>
        <row r="87">
          <cell r="F87">
            <v>35602.54</v>
          </cell>
          <cell r="H87">
            <v>127.73999999999796</v>
          </cell>
        </row>
        <row r="88">
          <cell r="F88">
            <v>24404.41</v>
          </cell>
          <cell r="H88">
            <v>69.25</v>
          </cell>
        </row>
        <row r="89">
          <cell r="F89">
            <v>27958.97</v>
          </cell>
          <cell r="H89">
            <v>156.95000000000073</v>
          </cell>
        </row>
        <row r="90">
          <cell r="F90">
            <v>73189.13</v>
          </cell>
          <cell r="H90">
            <v>258.41000000000349</v>
          </cell>
        </row>
        <row r="91">
          <cell r="F91">
            <v>4623.1099999999997</v>
          </cell>
          <cell r="H91">
            <v>274.96000000000004</v>
          </cell>
        </row>
        <row r="92">
          <cell r="F92">
            <v>7000.23</v>
          </cell>
          <cell r="H92">
            <v>0.22999999999956344</v>
          </cell>
        </row>
        <row r="94">
          <cell r="H94">
            <v>163892.41000000009</v>
          </cell>
        </row>
        <row r="95">
          <cell r="H95">
            <v>6.4846504563942053</v>
          </cell>
        </row>
        <row r="96">
          <cell r="H96">
            <v>164622.60999999993</v>
          </cell>
        </row>
        <row r="97">
          <cell r="H97">
            <v>6.508246439584231</v>
          </cell>
        </row>
        <row r="98">
          <cell r="H98">
            <v>105622.65999999997</v>
          </cell>
        </row>
        <row r="99">
          <cell r="H99">
            <v>4.1824107137038435</v>
          </cell>
        </row>
        <row r="100">
          <cell r="H100">
            <v>57142.770000000019</v>
          </cell>
        </row>
        <row r="101">
          <cell r="H101">
            <v>2.2609368995037484</v>
          </cell>
        </row>
        <row r="102">
          <cell r="H102">
            <v>59290.860000000044</v>
          </cell>
        </row>
        <row r="103">
          <cell r="H103">
            <v>2.3416264041681383</v>
          </cell>
        </row>
        <row r="104">
          <cell r="H104">
            <v>25608.469999999994</v>
          </cell>
        </row>
        <row r="105">
          <cell r="H105">
            <v>1.0139768164735872</v>
          </cell>
        </row>
        <row r="112">
          <cell r="F112">
            <v>11302.18</v>
          </cell>
          <cell r="H112">
            <v>1871.08</v>
          </cell>
        </row>
        <row r="113">
          <cell r="F113">
            <v>22828.77</v>
          </cell>
          <cell r="H113">
            <v>3603.869999999999</v>
          </cell>
        </row>
        <row r="114">
          <cell r="F114">
            <v>33663.800000000003</v>
          </cell>
          <cell r="H114">
            <v>5792.9000000000015</v>
          </cell>
        </row>
        <row r="115">
          <cell r="F115">
            <v>21312.19</v>
          </cell>
          <cell r="H115">
            <v>3884.989999999998</v>
          </cell>
        </row>
        <row r="116">
          <cell r="F116">
            <v>94831.03</v>
          </cell>
          <cell r="H116">
            <v>12011.729999999996</v>
          </cell>
        </row>
        <row r="117">
          <cell r="F117">
            <v>55348.86</v>
          </cell>
          <cell r="H117">
            <v>6842.8600000000006</v>
          </cell>
        </row>
        <row r="118">
          <cell r="F118">
            <v>98587.68</v>
          </cell>
          <cell r="H118">
            <v>15951.87999999999</v>
          </cell>
        </row>
        <row r="119">
          <cell r="F119">
            <v>42515.25</v>
          </cell>
          <cell r="H119">
            <v>1471.8499999999985</v>
          </cell>
        </row>
        <row r="120">
          <cell r="F120">
            <v>69317.100000000006</v>
          </cell>
          <cell r="H120">
            <v>10751.700000000004</v>
          </cell>
        </row>
        <row r="121">
          <cell r="F121">
            <v>79034.100000000006</v>
          </cell>
          <cell r="H121">
            <v>11752.100000000006</v>
          </cell>
        </row>
        <row r="122">
          <cell r="F122">
            <v>47273.57</v>
          </cell>
          <cell r="H122">
            <v>8946.6699999999983</v>
          </cell>
        </row>
        <row r="123">
          <cell r="F123">
            <v>48241.440000000002</v>
          </cell>
          <cell r="H123">
            <v>8192.64</v>
          </cell>
        </row>
        <row r="127">
          <cell r="H127">
            <v>0</v>
          </cell>
        </row>
        <row r="128">
          <cell r="F128">
            <v>152574.48000000001</v>
          </cell>
          <cell r="H128">
            <v>11119.380000000005</v>
          </cell>
        </row>
        <row r="129">
          <cell r="F129">
            <v>83102.61</v>
          </cell>
          <cell r="H129">
            <v>4784.2100000000064</v>
          </cell>
        </row>
        <row r="130">
          <cell r="F130">
            <v>203531.81</v>
          </cell>
          <cell r="H130">
            <v>17737.01999999999</v>
          </cell>
        </row>
        <row r="131">
          <cell r="F131">
            <v>59164.4</v>
          </cell>
          <cell r="H131">
            <v>5316.7000000000044</v>
          </cell>
        </row>
        <row r="132">
          <cell r="F132">
            <v>146985</v>
          </cell>
          <cell r="H132">
            <v>6455.7999999999884</v>
          </cell>
        </row>
        <row r="133">
          <cell r="F133">
            <v>261584.37</v>
          </cell>
          <cell r="H133">
            <v>21555.369999999995</v>
          </cell>
        </row>
        <row r="134">
          <cell r="F134">
            <v>62394.36</v>
          </cell>
          <cell r="H134">
            <v>6491.2099999999991</v>
          </cell>
        </row>
        <row r="138">
          <cell r="F138">
            <v>897637</v>
          </cell>
          <cell r="H138">
            <v>2702</v>
          </cell>
        </row>
        <row r="139">
          <cell r="F139">
            <v>917432</v>
          </cell>
          <cell r="H139">
            <v>3833</v>
          </cell>
        </row>
        <row r="140">
          <cell r="F140">
            <v>2288.25</v>
          </cell>
          <cell r="H140">
            <v>780.49</v>
          </cell>
        </row>
        <row r="141">
          <cell r="F141">
            <v>102592.39</v>
          </cell>
          <cell r="H141">
            <v>5979.3899999999994</v>
          </cell>
        </row>
        <row r="142">
          <cell r="F142">
            <v>41370.35</v>
          </cell>
          <cell r="H142">
            <v>2280.3499999999985</v>
          </cell>
        </row>
        <row r="143">
          <cell r="F143">
            <v>10545.04</v>
          </cell>
          <cell r="H143">
            <v>692.04000000000087</v>
          </cell>
        </row>
        <row r="144">
          <cell r="F144">
            <v>932361</v>
          </cell>
          <cell r="H144">
            <v>5965</v>
          </cell>
        </row>
        <row r="145">
          <cell r="F145">
            <v>12039.42</v>
          </cell>
          <cell r="H145">
            <v>4805.22</v>
          </cell>
        </row>
        <row r="146">
          <cell r="F146">
            <v>784084</v>
          </cell>
          <cell r="H146">
            <v>1276</v>
          </cell>
        </row>
        <row r="147">
          <cell r="F147">
            <v>721621.92</v>
          </cell>
          <cell r="H147">
            <v>9950.3800000000047</v>
          </cell>
        </row>
        <row r="148">
          <cell r="F148">
            <v>765131.12</v>
          </cell>
          <cell r="H148">
            <v>7180.640000000014</v>
          </cell>
        </row>
        <row r="149">
          <cell r="F149">
            <v>155973.91</v>
          </cell>
          <cell r="H149">
            <v>10177.23000000001</v>
          </cell>
        </row>
        <row r="150">
          <cell r="F150">
            <v>62877.29</v>
          </cell>
          <cell r="H150">
            <v>5662.1900000000023</v>
          </cell>
        </row>
        <row r="151">
          <cell r="F151">
            <v>149523</v>
          </cell>
          <cell r="H151">
            <v>6309</v>
          </cell>
        </row>
        <row r="152">
          <cell r="F152">
            <v>29979.86</v>
          </cell>
          <cell r="H152">
            <v>3238.9599999999991</v>
          </cell>
        </row>
        <row r="155">
          <cell r="F155">
            <v>182790.99</v>
          </cell>
          <cell r="H155">
            <v>16113.989999999991</v>
          </cell>
        </row>
        <row r="156">
          <cell r="F156">
            <v>20263.330000000002</v>
          </cell>
          <cell r="H156">
            <v>5761.3300000000017</v>
          </cell>
        </row>
        <row r="157">
          <cell r="F157">
            <v>35404.97</v>
          </cell>
          <cell r="H157">
            <v>878.16999999999825</v>
          </cell>
        </row>
        <row r="158">
          <cell r="F158">
            <v>392.74</v>
          </cell>
          <cell r="H158">
            <v>50.139999999999986</v>
          </cell>
        </row>
        <row r="161">
          <cell r="F161">
            <v>487254.68</v>
          </cell>
          <cell r="H161">
            <v>1690.960000000021</v>
          </cell>
        </row>
        <row r="162">
          <cell r="F162">
            <v>97055.4</v>
          </cell>
          <cell r="H162">
            <v>934.39999999999418</v>
          </cell>
        </row>
        <row r="163">
          <cell r="F163">
            <v>13424.8</v>
          </cell>
          <cell r="H163">
            <v>3299.1999999999989</v>
          </cell>
        </row>
        <row r="164">
          <cell r="F164">
            <v>6568.2</v>
          </cell>
          <cell r="H164">
            <v>148.09999999999945</v>
          </cell>
        </row>
        <row r="165">
          <cell r="F165">
            <v>32091.33</v>
          </cell>
          <cell r="H165">
            <v>230.14000000000306</v>
          </cell>
        </row>
        <row r="166">
          <cell r="F166" t="str">
            <v>.</v>
          </cell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73">
          <cell r="F173">
            <v>8232</v>
          </cell>
          <cell r="H173">
            <v>33</v>
          </cell>
        </row>
        <row r="174">
          <cell r="F174">
            <v>41898</v>
          </cell>
          <cell r="H174">
            <v>304</v>
          </cell>
        </row>
        <row r="175">
          <cell r="F175">
            <v>24637</v>
          </cell>
          <cell r="H175">
            <v>284</v>
          </cell>
        </row>
        <row r="176">
          <cell r="H176">
            <v>621</v>
          </cell>
        </row>
        <row r="177">
          <cell r="H177">
            <v>0</v>
          </cell>
        </row>
        <row r="178">
          <cell r="F178">
            <v>102114</v>
          </cell>
          <cell r="H178">
            <v>2139</v>
          </cell>
        </row>
        <row r="179">
          <cell r="F179">
            <v>37501</v>
          </cell>
          <cell r="H179">
            <v>252</v>
          </cell>
        </row>
        <row r="180">
          <cell r="F180">
            <v>7228</v>
          </cell>
          <cell r="H180">
            <v>232</v>
          </cell>
        </row>
        <row r="181">
          <cell r="H181">
            <v>2623</v>
          </cell>
        </row>
        <row r="182">
          <cell r="H182">
            <v>0</v>
          </cell>
        </row>
        <row r="183">
          <cell r="F183">
            <v>17829</v>
          </cell>
          <cell r="H183">
            <v>152</v>
          </cell>
        </row>
        <row r="184">
          <cell r="F184">
            <v>12315</v>
          </cell>
          <cell r="H184">
            <v>168</v>
          </cell>
        </row>
        <row r="185">
          <cell r="F185">
            <v>0</v>
          </cell>
          <cell r="H185">
            <v>12106</v>
          </cell>
        </row>
        <row r="186">
          <cell r="H186">
            <v>12426</v>
          </cell>
        </row>
        <row r="187">
          <cell r="H187">
            <v>3424</v>
          </cell>
        </row>
        <row r="188">
          <cell r="H188">
            <v>1564</v>
          </cell>
        </row>
        <row r="189">
          <cell r="H189">
            <v>667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C2" sqref="C2:C32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10</v>
      </c>
      <c r="D2" s="274">
        <v>2022</v>
      </c>
      <c r="E2" s="275">
        <f>(IF('Daily HLP'!H4&gt;0,'Daily HLP'!H4,0))</f>
        <v>25669</v>
      </c>
      <c r="F2" s="276">
        <v>9.9700000000000006</v>
      </c>
      <c r="G2" s="276">
        <f>(IF('Daily HLP'!L4&gt;0,'Daily HLP'!L4,0))</f>
        <v>967</v>
      </c>
      <c r="H2" s="276">
        <v>75</v>
      </c>
      <c r="I2" s="276">
        <f>(IF('Daily HLP'!O4&gt;0,'Daily HLP'!O4,0))</f>
        <v>304</v>
      </c>
      <c r="J2" s="276">
        <v>100</v>
      </c>
      <c r="K2" s="281">
        <f>Occupancy!G2</f>
        <v>119</v>
      </c>
      <c r="L2" s="275">
        <f>Occupancy!F2</f>
        <v>306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10</v>
      </c>
      <c r="D3" s="274">
        <v>2022</v>
      </c>
      <c r="E3" s="275">
        <f>(IF('Daily HLP'!H5&gt;0,'Daily HLP'!H5,0))</f>
        <v>25669</v>
      </c>
      <c r="F3" s="276">
        <v>9.9700000000000006</v>
      </c>
      <c r="G3" s="276">
        <f>(IF('Daily HLP'!L5&gt;0,'Daily HLP'!L5,0))</f>
        <v>1045</v>
      </c>
      <c r="H3" s="276">
        <v>75</v>
      </c>
      <c r="I3" s="276">
        <f>(IF('Daily HLP'!O5&gt;0,'Daily HLP'!O5,0))</f>
        <v>238</v>
      </c>
      <c r="J3" s="276">
        <v>100</v>
      </c>
      <c r="K3" s="281">
        <f>Occupancy!G3</f>
        <v>130</v>
      </c>
      <c r="L3" s="275">
        <f>Occupancy!F3</f>
        <v>406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10</v>
      </c>
      <c r="D4" s="274">
        <v>2022</v>
      </c>
      <c r="E4" s="275">
        <f>(IF('Daily HLP'!H6&gt;0,'Daily HLP'!H6,0))</f>
        <v>23596</v>
      </c>
      <c r="F4" s="276">
        <v>9.9700000000000006</v>
      </c>
      <c r="G4" s="276">
        <f>(IF('Daily HLP'!L6&gt;0,'Daily HLP'!L6,0))</f>
        <v>981</v>
      </c>
      <c r="H4" s="276">
        <v>75</v>
      </c>
      <c r="I4" s="276">
        <f>(IF('Daily HLP'!O6&gt;0,'Daily HLP'!O6,0))</f>
        <v>344</v>
      </c>
      <c r="J4" s="276">
        <v>100</v>
      </c>
      <c r="K4" s="281">
        <f>Occupancy!G4</f>
        <v>140</v>
      </c>
      <c r="L4" s="275">
        <f>Occupancy!F4</f>
        <v>744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10</v>
      </c>
      <c r="D5" s="274">
        <v>2022</v>
      </c>
      <c r="E5" s="275">
        <f>(IF('Daily HLP'!H7&gt;0,'Daily HLP'!H7,0))</f>
        <v>25639</v>
      </c>
      <c r="F5" s="276">
        <v>9.9700000000000006</v>
      </c>
      <c r="G5" s="276">
        <f>(IF('Daily HLP'!L7&gt;0,'Daily HLP'!L7,0))</f>
        <v>977</v>
      </c>
      <c r="H5" s="276">
        <v>75</v>
      </c>
      <c r="I5" s="276">
        <f>(IF('Daily HLP'!O7&gt;0,'Daily HLP'!O7,0))</f>
        <v>291</v>
      </c>
      <c r="J5" s="276">
        <v>100</v>
      </c>
      <c r="K5" s="281">
        <f>Occupancy!G5</f>
        <v>147</v>
      </c>
      <c r="L5" s="275">
        <f>Occupancy!F5</f>
        <v>534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10</v>
      </c>
      <c r="D6" s="274">
        <v>2022</v>
      </c>
      <c r="E6" s="275">
        <f>(IF('Daily HLP'!H8&gt;0,'Daily HLP'!H8,0))</f>
        <v>24834</v>
      </c>
      <c r="F6" s="276">
        <v>9.9700000000000006</v>
      </c>
      <c r="G6" s="276">
        <f>(IF('Daily HLP'!L8&gt;0,'Daily HLP'!L8,0))</f>
        <v>953</v>
      </c>
      <c r="H6" s="276">
        <v>75</v>
      </c>
      <c r="I6" s="276">
        <f>(IF('Daily HLP'!O8&gt;0,'Daily HLP'!O8,0))</f>
        <v>251</v>
      </c>
      <c r="J6" s="276">
        <v>100</v>
      </c>
      <c r="K6" s="281">
        <f>Occupancy!G6</f>
        <v>143</v>
      </c>
      <c r="L6" s="275">
        <f>Occupancy!F6</f>
        <v>428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10</v>
      </c>
      <c r="D7" s="274">
        <v>2022</v>
      </c>
      <c r="E7" s="275">
        <f>(IF('Daily HLP'!H9&gt;0,'Daily HLP'!H9,0))</f>
        <v>25510</v>
      </c>
      <c r="F7" s="276">
        <v>9.9700000000000006</v>
      </c>
      <c r="G7" s="276">
        <f>(IF('Daily HLP'!L9&gt;0,'Daily HLP'!L9,0))</f>
        <v>1040</v>
      </c>
      <c r="H7" s="276">
        <v>75</v>
      </c>
      <c r="I7" s="276">
        <f>(IF('Daily HLP'!O9&gt;0,'Daily HLP'!O9,0))</f>
        <v>290</v>
      </c>
      <c r="J7" s="276">
        <v>100</v>
      </c>
      <c r="K7" s="281">
        <f>Occupancy!G7</f>
        <v>138</v>
      </c>
      <c r="L7" s="275">
        <f>Occupancy!F7</f>
        <v>596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10</v>
      </c>
      <c r="D8" s="274">
        <v>2022</v>
      </c>
      <c r="E8" s="275">
        <f>(IF('Daily HLP'!H10&gt;0,'Daily HLP'!H10,0))</f>
        <v>25534</v>
      </c>
      <c r="F8" s="276">
        <v>9.9700000000000006</v>
      </c>
      <c r="G8" s="276">
        <f>(IF('Daily HLP'!L10&gt;0,'Daily HLP'!L10,0))</f>
        <v>1021</v>
      </c>
      <c r="H8" s="276">
        <v>75</v>
      </c>
      <c r="I8" s="276">
        <f>(IF('Daily HLP'!O10&gt;0,'Daily HLP'!O10,0))</f>
        <v>295</v>
      </c>
      <c r="J8" s="276">
        <v>100</v>
      </c>
      <c r="K8" s="281">
        <f>Occupancy!G8</f>
        <v>125</v>
      </c>
      <c r="L8" s="275">
        <f>Occupancy!F8</f>
        <v>315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10</v>
      </c>
      <c r="D9" s="274">
        <v>2022</v>
      </c>
      <c r="E9" s="275">
        <f>(IF('Daily HLP'!H11&gt;0,'Daily HLP'!H11,0))</f>
        <v>25069</v>
      </c>
      <c r="F9" s="276">
        <v>9.9700000000000006</v>
      </c>
      <c r="G9" s="276">
        <f>(IF('Daily HLP'!L11&gt;0,'Daily HLP'!L11,0))</f>
        <v>1021</v>
      </c>
      <c r="H9" s="276">
        <v>75</v>
      </c>
      <c r="I9" s="276">
        <f>(IF('Daily HLP'!O11&gt;0,'Daily HLP'!O11,0))</f>
        <v>297</v>
      </c>
      <c r="J9" s="276">
        <v>100</v>
      </c>
      <c r="K9" s="281">
        <f>Occupancy!G9</f>
        <v>140</v>
      </c>
      <c r="L9" s="275">
        <f>Occupancy!F9</f>
        <v>361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10</v>
      </c>
      <c r="D10" s="274">
        <v>2022</v>
      </c>
      <c r="E10" s="275">
        <f>(IF('Daily HLP'!H12&gt;0,'Daily HLP'!H12,0))</f>
        <v>25853.950000000012</v>
      </c>
      <c r="F10" s="276">
        <v>9.9700000000000006</v>
      </c>
      <c r="G10" s="276">
        <f>(IF('Daily HLP'!L12&gt;0,'Daily HLP'!L12,0))</f>
        <v>1093</v>
      </c>
      <c r="H10" s="276">
        <v>75</v>
      </c>
      <c r="I10" s="276">
        <f>(IF('Daily HLP'!O12&gt;0,'Daily HLP'!O12,0))</f>
        <v>332</v>
      </c>
      <c r="J10" s="276">
        <v>100</v>
      </c>
      <c r="K10" s="281">
        <f>Occupancy!G10</f>
        <v>125</v>
      </c>
      <c r="L10" s="275">
        <f>Occupancy!F10</f>
        <v>667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10</v>
      </c>
      <c r="D11" s="274">
        <v>2022</v>
      </c>
      <c r="E11" s="275">
        <f>(IF('Daily HLP'!H13&gt;0,'Daily HLP'!H13,0))</f>
        <v>25692.01999999996</v>
      </c>
      <c r="F11" s="276">
        <v>9.9700000000000006</v>
      </c>
      <c r="G11" s="276">
        <f>(IF('Daily HLP'!L13&gt;0,'Daily HLP'!L13,0))</f>
        <v>1003.9199999999255</v>
      </c>
      <c r="H11" s="276">
        <v>75</v>
      </c>
      <c r="I11" s="276">
        <f>(IF('Daily HLP'!O13&gt;0,'Daily HLP'!O13,0))</f>
        <v>230</v>
      </c>
      <c r="J11" s="276">
        <v>100</v>
      </c>
      <c r="K11" s="281">
        <f>Occupancy!G11</f>
        <v>102</v>
      </c>
      <c r="L11" s="275">
        <f>Occupancy!F11</f>
        <v>795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10</v>
      </c>
      <c r="D12" s="274">
        <v>2022</v>
      </c>
      <c r="E12" s="275">
        <f>(IF('Daily HLP'!H14&gt;0,'Daily HLP'!H14,0))</f>
        <v>25252.900000000023</v>
      </c>
      <c r="F12" s="276">
        <v>9.9700000000000006</v>
      </c>
      <c r="G12" s="276">
        <f>(IF('Daily HLP'!L14&gt;0,'Daily HLP'!L14,0))</f>
        <v>1018.7000000001863</v>
      </c>
      <c r="H12" s="276">
        <v>75</v>
      </c>
      <c r="I12" s="276">
        <f>(IF('Daily HLP'!O14&gt;0,'Daily HLP'!O14,0))</f>
        <v>335</v>
      </c>
      <c r="J12" s="276">
        <v>100</v>
      </c>
      <c r="K12" s="281">
        <f>Occupancy!G12</f>
        <v>96</v>
      </c>
      <c r="L12" s="275">
        <f>Occupancy!F12</f>
        <v>363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10</v>
      </c>
      <c r="D13" s="274">
        <v>2022</v>
      </c>
      <c r="E13" s="275">
        <f>(IF('Daily HLP'!H15&gt;0,'Daily HLP'!H15,0))</f>
        <v>24898.200000000012</v>
      </c>
      <c r="F13" s="276">
        <v>9.9700000000000006</v>
      </c>
      <c r="G13" s="276">
        <f>(IF('Daily HLP'!L15&gt;0,'Daily HLP'!L15,0))</f>
        <v>1030.0099999997765</v>
      </c>
      <c r="H13" s="276">
        <v>75</v>
      </c>
      <c r="I13" s="276">
        <f>(IF('Daily HLP'!O15&gt;0,'Daily HLP'!O15,0))</f>
        <v>307</v>
      </c>
      <c r="J13" s="276">
        <v>100</v>
      </c>
      <c r="K13" s="281">
        <f>Occupancy!G13</f>
        <v>123</v>
      </c>
      <c r="L13" s="275">
        <f>Occupancy!F13</f>
        <v>0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10</v>
      </c>
      <c r="D14" s="274">
        <v>2022</v>
      </c>
      <c r="E14" s="275">
        <f>(IF('Daily HLP'!H16&gt;0,'Daily HLP'!H16,0))</f>
        <v>24813.929999999993</v>
      </c>
      <c r="F14" s="276">
        <v>9.9700000000000006</v>
      </c>
      <c r="G14" s="276">
        <f>(IF('Daily HLP'!L16&gt;0,'Daily HLP'!L16,0))</f>
        <v>1072.3700000001118</v>
      </c>
      <c r="H14" s="276">
        <v>75</v>
      </c>
      <c r="I14" s="276">
        <f>(IF('Daily HLP'!O16&gt;0,'Daily HLP'!O16,0))</f>
        <v>309</v>
      </c>
      <c r="J14" s="276">
        <v>100</v>
      </c>
      <c r="K14" s="281">
        <f>Occupancy!G14</f>
        <v>124</v>
      </c>
      <c r="L14" s="275">
        <f>Occupancy!F14</f>
        <v>575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10</v>
      </c>
      <c r="D15" s="274">
        <v>2022</v>
      </c>
      <c r="E15" s="275">
        <f>(IF('Daily HLP'!H17&gt;0,'Daily HLP'!H17,0))</f>
        <v>25893</v>
      </c>
      <c r="F15" s="276">
        <v>9.9700000000000006</v>
      </c>
      <c r="G15" s="276">
        <f>(IF('Daily HLP'!L17&gt;0,'Daily HLP'!L17,0))</f>
        <v>1198</v>
      </c>
      <c r="H15" s="276">
        <v>75</v>
      </c>
      <c r="I15" s="276">
        <f>(IF('Daily HLP'!O17&gt;0,'Daily HLP'!O17,0))</f>
        <v>267</v>
      </c>
      <c r="J15" s="276">
        <v>100</v>
      </c>
      <c r="K15" s="281">
        <f>Occupancy!G15</f>
        <v>100</v>
      </c>
      <c r="L15" s="275">
        <f>Occupancy!F15</f>
        <v>390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10</v>
      </c>
      <c r="D16" s="274">
        <v>2022</v>
      </c>
      <c r="E16" s="275">
        <f>(IF('Daily HLP'!H18&gt;0,'Daily HLP'!H18,0))</f>
        <v>25818</v>
      </c>
      <c r="F16" s="276">
        <v>9.9700000000000006</v>
      </c>
      <c r="G16" s="276">
        <f>(IF('Daily HLP'!L18&gt;0,'Daily HLP'!L18,0))</f>
        <v>917</v>
      </c>
      <c r="H16" s="276">
        <v>75</v>
      </c>
      <c r="I16" s="276">
        <f>(IF('Daily HLP'!O18&gt;0,'Daily HLP'!O18,0))</f>
        <v>322</v>
      </c>
      <c r="J16" s="276">
        <v>100</v>
      </c>
      <c r="K16" s="281" t="e">
        <f>Occupancy!G16</f>
        <v>#REF!</v>
      </c>
      <c r="L16" s="275">
        <f>Occupancy!F16</f>
        <v>0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10</v>
      </c>
      <c r="D17" s="274">
        <v>2022</v>
      </c>
      <c r="E17" s="275">
        <f>(IF('Daily HLP'!H19&gt;0,'Daily HLP'!H19,0))</f>
        <v>24160</v>
      </c>
      <c r="F17" s="276">
        <v>9.9700000000000006</v>
      </c>
      <c r="G17" s="276">
        <f>(IF('Daily HLP'!L19&gt;0,'Daily HLP'!L19,0))</f>
        <v>1098</v>
      </c>
      <c r="H17" s="276">
        <v>75</v>
      </c>
      <c r="I17" s="276">
        <f>(IF('Daily HLP'!O19&gt;0,'Daily HLP'!O19,0))</f>
        <v>370</v>
      </c>
      <c r="J17" s="276">
        <v>100</v>
      </c>
      <c r="K17" s="281">
        <f>Occupancy!G17</f>
        <v>0</v>
      </c>
      <c r="L17" s="275">
        <f>Occupancy!F17</f>
        <v>0</v>
      </c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10</v>
      </c>
      <c r="D18" s="274">
        <v>2022</v>
      </c>
      <c r="E18" s="275">
        <f>(IF('Daily HLP'!H20&gt;0,'Daily HLP'!H20,0))</f>
        <v>24906</v>
      </c>
      <c r="F18" s="276">
        <v>9.9700000000000006</v>
      </c>
      <c r="G18" s="276">
        <f>(IF('Daily HLP'!L20&gt;0,'Daily HLP'!L20,0))</f>
        <v>1022</v>
      </c>
      <c r="H18" s="276">
        <v>75</v>
      </c>
      <c r="I18" s="276">
        <f>(IF('Daily HLP'!O20&gt;0,'Daily HLP'!O20,0))</f>
        <v>302</v>
      </c>
      <c r="J18" s="276">
        <v>100</v>
      </c>
      <c r="K18" s="281">
        <f>Occupancy!G18</f>
        <v>0</v>
      </c>
      <c r="L18" s="275">
        <f>Occupancy!F18</f>
        <v>0</v>
      </c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10</v>
      </c>
      <c r="D19" s="274">
        <v>2022</v>
      </c>
      <c r="E19" s="275">
        <f>(IF('Daily HLP'!H21&gt;0,'Daily HLP'!H21,0))</f>
        <v>24462.5</v>
      </c>
      <c r="F19" s="276">
        <v>9.9700000000000006</v>
      </c>
      <c r="G19" s="276">
        <f>(IF('Daily HLP'!L21&gt;0,'Daily HLP'!L21,0))</f>
        <v>1031.5</v>
      </c>
      <c r="H19" s="276">
        <v>75</v>
      </c>
      <c r="I19" s="276">
        <f>(IF('Daily HLP'!O21&gt;0,'Daily HLP'!O21,0))</f>
        <v>273</v>
      </c>
      <c r="J19" s="276">
        <v>100</v>
      </c>
      <c r="K19" s="281">
        <f>Occupancy!G19</f>
        <v>0</v>
      </c>
      <c r="L19" s="275">
        <f>Occupancy!F19</f>
        <v>0</v>
      </c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10</v>
      </c>
      <c r="D20" s="274">
        <v>2022</v>
      </c>
      <c r="E20" s="275">
        <f>(IF('Daily HLP'!H22&gt;0,'Daily HLP'!H22,0))</f>
        <v>26332.5</v>
      </c>
      <c r="F20" s="276">
        <v>9.9700000000000006</v>
      </c>
      <c r="G20" s="276">
        <f>(IF('Daily HLP'!L22&gt;0,'Daily HLP'!L22,0))</f>
        <v>1137.5</v>
      </c>
      <c r="H20" s="276">
        <v>75</v>
      </c>
      <c r="I20" s="276">
        <f>(IF('Daily HLP'!O22&gt;0,'Daily HLP'!O22,0))</f>
        <v>303</v>
      </c>
      <c r="J20" s="276">
        <v>100</v>
      </c>
      <c r="K20" s="281">
        <f>Occupancy!G20</f>
        <v>0</v>
      </c>
      <c r="L20" s="275">
        <f>Occupancy!F20</f>
        <v>0</v>
      </c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10</v>
      </c>
      <c r="D21" s="274">
        <v>2022</v>
      </c>
      <c r="E21" s="275">
        <f>(IF('Daily HLP'!H23&gt;0,'Daily HLP'!H23,0))</f>
        <v>25922</v>
      </c>
      <c r="F21" s="276">
        <v>9.9700000000000006</v>
      </c>
      <c r="G21" s="276">
        <f>(IF('Daily HLP'!L23&gt;0,'Daily HLP'!L23,0))</f>
        <v>1111</v>
      </c>
      <c r="H21" s="276">
        <v>75</v>
      </c>
      <c r="I21" s="276">
        <f>(IF('Daily HLP'!O23&gt;0,'Daily HLP'!O23,0))</f>
        <v>341</v>
      </c>
      <c r="J21" s="276">
        <v>100</v>
      </c>
      <c r="K21" s="281">
        <f>Occupancy!G21</f>
        <v>0</v>
      </c>
      <c r="L21" s="275">
        <f>Occupancy!F21</f>
        <v>0</v>
      </c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10</v>
      </c>
      <c r="D22" s="274">
        <v>2022</v>
      </c>
      <c r="E22" s="275">
        <f>(IF('Daily HLP'!H24&gt;0,'Daily HLP'!H24,0))</f>
        <v>25776</v>
      </c>
      <c r="F22" s="276">
        <v>9.9700000000000006</v>
      </c>
      <c r="G22" s="276">
        <f>(IF('Daily HLP'!L24&gt;0,'Daily HLP'!L24,0))</f>
        <v>987</v>
      </c>
      <c r="H22" s="276">
        <v>75</v>
      </c>
      <c r="I22" s="276">
        <f>(IF('Daily HLP'!O24&gt;0,'Daily HLP'!O24,0))</f>
        <v>311</v>
      </c>
      <c r="J22" s="276">
        <v>100</v>
      </c>
      <c r="K22" s="281">
        <f>Occupancy!G22</f>
        <v>0</v>
      </c>
      <c r="L22" s="275">
        <f>Occupancy!F22</f>
        <v>0</v>
      </c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10</v>
      </c>
      <c r="D23" s="274">
        <v>2022</v>
      </c>
      <c r="E23" s="275">
        <f>(IF('Daily HLP'!H25&gt;0,'Daily HLP'!H25,0))</f>
        <v>23946</v>
      </c>
      <c r="F23" s="276">
        <v>9.9700000000000006</v>
      </c>
      <c r="G23" s="276">
        <f>(IF('Daily HLP'!L25&gt;0,'Daily HLP'!L25,0))</f>
        <v>1004</v>
      </c>
      <c r="H23" s="276">
        <v>75</v>
      </c>
      <c r="I23" s="276">
        <f>(IF('Daily HLP'!O25&gt;0,'Daily HLP'!O25,0))</f>
        <v>389</v>
      </c>
      <c r="J23" s="276">
        <v>100</v>
      </c>
      <c r="K23" s="281">
        <f>Occupancy!G23</f>
        <v>0</v>
      </c>
      <c r="L23" s="275">
        <f>Occupancy!F23</f>
        <v>0</v>
      </c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10</v>
      </c>
      <c r="D24" s="274">
        <v>2022</v>
      </c>
      <c r="E24" s="275">
        <f>(IF('Daily HLP'!H26&gt;0,'Daily HLP'!H26,0))</f>
        <v>21573</v>
      </c>
      <c r="F24" s="276">
        <v>9.9700000000000006</v>
      </c>
      <c r="G24" s="276">
        <f>(IF('Daily HLP'!L26&gt;0,'Daily HLP'!L26,0))</f>
        <v>963</v>
      </c>
      <c r="H24" s="276">
        <v>75</v>
      </c>
      <c r="I24" s="276">
        <f>(IF('Daily HLP'!O26&gt;0,'Daily HLP'!O26,0))</f>
        <v>389</v>
      </c>
      <c r="J24" s="276">
        <v>100</v>
      </c>
      <c r="K24" s="281">
        <f>Occupancy!G24</f>
        <v>0</v>
      </c>
      <c r="L24" s="275">
        <f>Occupancy!F24</f>
        <v>0</v>
      </c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10</v>
      </c>
      <c r="D25" s="274">
        <v>2022</v>
      </c>
      <c r="E25" s="275">
        <f>(IF('Daily HLP'!H27&gt;0,'Daily HLP'!H27,0))</f>
        <v>20323</v>
      </c>
      <c r="F25" s="276">
        <v>9.9700000000000006</v>
      </c>
      <c r="G25" s="276">
        <f>(IF('Daily HLP'!L27&gt;0,'Daily HLP'!L27,0))</f>
        <v>871</v>
      </c>
      <c r="H25" s="276">
        <v>75</v>
      </c>
      <c r="I25" s="276">
        <f>(IF('Daily HLP'!O27&gt;0,'Daily HLP'!O27,0))</f>
        <v>202</v>
      </c>
      <c r="J25" s="276">
        <v>100</v>
      </c>
      <c r="K25" s="281">
        <f>Occupancy!G25</f>
        <v>0</v>
      </c>
      <c r="L25" s="275">
        <f>Occupancy!F25</f>
        <v>0</v>
      </c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10</v>
      </c>
      <c r="D26" s="274">
        <v>2022</v>
      </c>
      <c r="E26" s="275">
        <f>(IF('Daily HLP'!H28&gt;0,'Daily HLP'!H28,0))</f>
        <v>21168</v>
      </c>
      <c r="F26" s="276">
        <v>9.9700000000000006</v>
      </c>
      <c r="G26" s="276">
        <f>(IF('Daily HLP'!L28&gt;0,'Daily HLP'!L28,0))</f>
        <v>859</v>
      </c>
      <c r="H26" s="276">
        <v>75</v>
      </c>
      <c r="I26" s="276">
        <f>(IF('Daily HLP'!O28&gt;0,'Daily HLP'!O28,0))</f>
        <v>173</v>
      </c>
      <c r="J26" s="276">
        <v>100</v>
      </c>
      <c r="K26" s="281">
        <f>Occupancy!G26</f>
        <v>0</v>
      </c>
      <c r="L26" s="275">
        <f>Occupancy!F26</f>
        <v>0</v>
      </c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10</v>
      </c>
      <c r="D27" s="274">
        <v>2022</v>
      </c>
      <c r="E27" s="275">
        <f>(IF('Daily HLP'!H29&gt;0,'Daily HLP'!H29,0))</f>
        <v>22938.400000000023</v>
      </c>
      <c r="F27" s="276">
        <v>9.9700000000000006</v>
      </c>
      <c r="G27" s="276">
        <f>(IF('Daily HLP'!L29&gt;0,'Daily HLP'!L29,0))</f>
        <v>994.54000000003725</v>
      </c>
      <c r="H27" s="276">
        <v>75</v>
      </c>
      <c r="I27" s="276">
        <f>(IF('Daily HLP'!O29&gt;0,'Daily HLP'!O29,0))</f>
        <v>314</v>
      </c>
      <c r="J27" s="276">
        <v>100</v>
      </c>
      <c r="K27" s="281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10</v>
      </c>
      <c r="D28" s="274">
        <v>2022</v>
      </c>
      <c r="E28" s="275">
        <f>(IF('Daily HLP'!H30&gt;0,'Daily HLP'!H30,0))</f>
        <v>23600.689999999944</v>
      </c>
      <c r="F28" s="276">
        <v>9.9700000000000006</v>
      </c>
      <c r="G28" s="276">
        <f>(IF('Daily HLP'!L30&gt;0,'Daily HLP'!L30,0))</f>
        <v>996.47999999998137</v>
      </c>
      <c r="H28" s="276">
        <v>75</v>
      </c>
      <c r="I28" s="276">
        <f>(IF('Daily HLP'!O30&gt;0,'Daily HLP'!O30,0))</f>
        <v>272</v>
      </c>
      <c r="J28" s="276">
        <v>100</v>
      </c>
      <c r="K28" s="281">
        <f>Occupancy!G28</f>
        <v>0</v>
      </c>
      <c r="L28" s="275">
        <f>Occupancy!F28</f>
        <v>0</v>
      </c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10</v>
      </c>
      <c r="D29" s="274">
        <v>2022</v>
      </c>
      <c r="E29" s="275">
        <f>(IF('Daily HLP'!H31&gt;0,'Daily HLP'!H31,0))</f>
        <v>27370.080000000075</v>
      </c>
      <c r="F29" s="276">
        <v>9.9700000000000006</v>
      </c>
      <c r="G29" s="276">
        <f>(IF('Daily HLP'!L31&gt;0,'Daily HLP'!L31,0))</f>
        <v>986</v>
      </c>
      <c r="H29" s="276">
        <v>75</v>
      </c>
      <c r="I29" s="276">
        <f>(IF('Daily HLP'!O31&gt;0,'Daily HLP'!O31,0))</f>
        <v>249</v>
      </c>
      <c r="J29" s="276">
        <v>100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10</v>
      </c>
      <c r="D30" s="274">
        <v>2022</v>
      </c>
      <c r="E30" s="275">
        <f>(IF('Daily HLP'!H32&gt;0,'Daily HLP'!H32,0))</f>
        <v>27051</v>
      </c>
      <c r="F30" s="276">
        <v>9.9700000000000006</v>
      </c>
      <c r="G30" s="276">
        <f>(IF('Daily HLP'!L32&gt;0,'Daily HLP'!L32,0))</f>
        <v>1028.2999999998137</v>
      </c>
      <c r="H30" s="276">
        <v>75</v>
      </c>
      <c r="I30" s="276">
        <f>(IF('Daily HLP'!O32&gt;0,'Daily HLP'!O32,0))</f>
        <v>320</v>
      </c>
      <c r="J30" s="276">
        <v>100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10</v>
      </c>
      <c r="D31" s="274">
        <v>2022</v>
      </c>
      <c r="E31" s="275">
        <f>(IF('Daily HLP'!H33&gt;0,'Daily HLP'!H33,0))</f>
        <v>26551</v>
      </c>
      <c r="F31" s="276">
        <v>9.9700000000000006</v>
      </c>
      <c r="G31" s="276">
        <f>(IF('Daily HLP'!L33&gt;0,'Daily HLP'!L33,0))</f>
        <v>1020.7000000001863</v>
      </c>
      <c r="H31" s="276">
        <v>75</v>
      </c>
      <c r="I31" s="276">
        <f>(IF('Daily HLP'!O33&gt;0,'Daily HLP'!O33,0))</f>
        <v>320</v>
      </c>
      <c r="J31" s="276">
        <v>100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10</v>
      </c>
      <c r="D32" s="274">
        <v>2022</v>
      </c>
      <c r="E32" s="275">
        <f>(IF('Daily HLP'!H34&gt;0,'Daily HLP'!H34,0))</f>
        <v>233466</v>
      </c>
      <c r="F32" s="276">
        <v>9.9700000000000006</v>
      </c>
      <c r="G32" s="276">
        <f>(IF('Daily HLP'!L34&gt;0,'Daily HLP'!L34,0))</f>
        <v>967</v>
      </c>
      <c r="H32" s="276">
        <v>75</v>
      </c>
      <c r="I32" s="276">
        <f>(IF('Daily HLP'!O34&gt;0,'Daily HLP'!O34,0))</f>
        <v>0</v>
      </c>
      <c r="J32" s="276">
        <v>100</v>
      </c>
      <c r="K32" s="281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10</v>
      </c>
      <c r="D2" s="288">
        <v>2022</v>
      </c>
      <c r="E2" s="294">
        <f>(IF('Section Load'!F5&gt;0,'Section Load'!F5,0))</f>
        <v>3617</v>
      </c>
      <c r="F2" s="294">
        <f>(IF('Section Load'!G5&gt;0,'Section Load'!G5,0))</f>
        <v>1067</v>
      </c>
      <c r="G2" s="294">
        <f>(IF('Section Load'!H5&gt;0,'Section Load'!H5,0))</f>
        <v>2230.7600000000002</v>
      </c>
      <c r="H2" s="294">
        <f>(IF('Section Load'!I5&gt;0,'Section Load'!I5,0))</f>
        <v>4405</v>
      </c>
      <c r="I2" s="294">
        <f>(IF('Section Load'!J5&gt;0,'Section Load'!J5,0))</f>
        <v>7106</v>
      </c>
      <c r="J2" s="294">
        <f>(IF('Section Load'!K5&gt;0,'Section Load'!K5,0))</f>
        <v>2965</v>
      </c>
      <c r="K2" s="294">
        <f>(IF('Section Load'!L5&gt;0,'Section Load'!L5,0))</f>
        <v>1611</v>
      </c>
      <c r="L2" s="294">
        <f>(IF('Section Load'!M5&gt;0,'Section Load'!M5,0))</f>
        <v>694</v>
      </c>
      <c r="M2" s="294">
        <f>(IF('Section Load'!N5&gt;0,'Section Load'!N5,0))</f>
        <v>133</v>
      </c>
      <c r="N2" s="294">
        <f>(IF('Section Load'!O5&gt;0,'Section Load'!O5,0))</f>
        <v>142</v>
      </c>
      <c r="O2" s="294">
        <f>(IF('Section Load'!P5&gt;0,'Section Load'!P5,0))</f>
        <v>11</v>
      </c>
      <c r="P2" s="294">
        <f>(IF('Section Load'!Q5&gt;0,'Section Load'!Q5,0))</f>
        <v>237</v>
      </c>
      <c r="Q2" s="294">
        <f>(IF('Section Load'!R5&gt;0,'Section Load'!R5,0))</f>
        <v>93</v>
      </c>
      <c r="R2" s="294">
        <f>(IF('Section Load'!S5&gt;0,'Section Load'!S5,0))</f>
        <v>221</v>
      </c>
      <c r="S2" s="294">
        <f>(IF('Section Load'!T5&gt;0,'Section Load'!T5,0))</f>
        <v>0</v>
      </c>
      <c r="T2" s="294">
        <f>(IF('Section Load'!U5&gt;0,'Section Load'!U5,0))</f>
        <v>209</v>
      </c>
      <c r="U2" s="294">
        <f>(IF('Section Load'!V5&gt;0,'Section Load'!V5,0))</f>
        <v>383</v>
      </c>
      <c r="V2" s="294">
        <f>(IF('Section Load'!W5&gt;0,'Section Load'!W5,0))</f>
        <v>255</v>
      </c>
      <c r="W2" s="294">
        <f>(IF('Section Load'!X5&gt;0,'Section Load'!X5,0))</f>
        <v>20</v>
      </c>
      <c r="X2" s="294">
        <f>(IF('Section Load'!Y5&gt;0,'Section Load'!Y5,0))</f>
        <v>256</v>
      </c>
      <c r="Y2" s="294">
        <f>(IF('Section Load'!Z5&gt;0,'Section Load'!Z5,0))</f>
        <v>27</v>
      </c>
      <c r="Z2" s="294">
        <f>(IF('Section Load'!AA5&gt;0,'Section Load'!AA5,0))</f>
        <v>309</v>
      </c>
      <c r="AA2" s="294">
        <f>(IF('Section Load'!AB5&gt;0,'Section Load'!AB5,0))</f>
        <v>46</v>
      </c>
      <c r="AB2" s="294">
        <f>(IF('Section Load'!AC5&gt;0,'Section Load'!AC5,0))</f>
        <v>0</v>
      </c>
      <c r="AC2" s="294">
        <f>(IF('Section Load'!AD5&gt;0,'Section Load'!AD5,0))</f>
        <v>124</v>
      </c>
      <c r="AD2" s="294">
        <f>(IF('Section Load'!AE5&gt;0,'Section Load'!AE5,0))</f>
        <v>535</v>
      </c>
      <c r="AE2" s="294">
        <f>(IF('Section Load'!AF5&gt;0,'Section Load'!AF5,0))</f>
        <v>311</v>
      </c>
      <c r="AF2" s="294">
        <f>(IF('Section Load'!AG5&gt;0,'Section Load'!AG5,0))</f>
        <v>612</v>
      </c>
      <c r="AG2" s="294">
        <f>(IF('Section Load'!AH5&gt;0,'Section Load'!AH5,0))</f>
        <v>11</v>
      </c>
      <c r="AH2" s="294">
        <f>(IF('Section Load'!AI5&gt;0,'Section Load'!AI5,0))</f>
        <v>436</v>
      </c>
      <c r="AI2" s="294">
        <f>(IF('Section Load'!AJ5&gt;0,'Section Load'!AJ5,0))</f>
        <v>484</v>
      </c>
      <c r="AJ2" s="294">
        <f>(IF('Section Load'!AK5&gt;0,'Section Load'!AK5,0))</f>
        <v>372</v>
      </c>
      <c r="AK2" s="294">
        <f>(IF('Section Load'!AL5&gt;0,'Section Load'!AL5,0))</f>
        <v>314</v>
      </c>
      <c r="AL2" s="294">
        <f>(IF('Section Load'!AM5&gt;0,'Section Load'!AM5,0))</f>
        <v>847</v>
      </c>
      <c r="AM2" s="295">
        <f>(IF('Water Report'!$D$7&gt;0,'Water Report'!$D$7,0))</f>
        <v>98</v>
      </c>
      <c r="AN2" s="295">
        <f>(IF('Water Report'!$D$8&gt;0,'Water Report'!$D$8,0))</f>
        <v>0</v>
      </c>
      <c r="AO2" s="295">
        <f>(IF('Water Report'!$D$9&gt;0,'Water Report'!$D$9,0))</f>
        <v>103</v>
      </c>
      <c r="AP2" s="295">
        <f>(IF('Water Report'!$D$10&gt;0,'Water Report'!$D$10,0))</f>
        <v>9</v>
      </c>
      <c r="AQ2" s="295">
        <f>(IF('Water Report'!$D$11&gt;0,'Water Report'!$D$11,0))</f>
        <v>40</v>
      </c>
      <c r="AR2" s="295">
        <f>(IF('Water Report'!$D$13&gt;0,'Water Report'!$D$13,0))</f>
        <v>26</v>
      </c>
      <c r="AS2" s="295">
        <f>(IF('Water Report'!$D$14&gt;0,'Water Report'!$D$14,0))</f>
        <v>5</v>
      </c>
      <c r="AT2" s="295">
        <f>(IF('Water Report'!$D$15&gt;0,'Water Report'!$D$15,0))</f>
        <v>14</v>
      </c>
      <c r="AU2" s="295">
        <f>(IF('Water Report'!$D$17&gt;0,'Water Report'!$D$17,0))</f>
        <v>1</v>
      </c>
      <c r="AV2" s="295">
        <f>(IF('Water Report'!$D$18&gt;0,'Water Report'!$D$18,0))</f>
        <v>13</v>
      </c>
      <c r="AW2" s="295">
        <f>(IF('Water Report'!$D$19&gt;0,'Water Report'!$D$19,0))</f>
        <v>11</v>
      </c>
      <c r="AX2" s="301">
        <f>(IF('Water Report'!$D$21&gt;0,'Water Report'!$D$21,0))</f>
        <v>0</v>
      </c>
      <c r="AY2" s="301">
        <f>(IF('Water Report'!$D$22&gt;0,'Water Report'!$D$22,0))</f>
        <v>0</v>
      </c>
      <c r="AZ2" s="301">
        <f>(IF('Water Report'!$D$23&gt;0,'Water Report'!$D$23,0))</f>
        <v>0</v>
      </c>
      <c r="BA2" s="301">
        <f>(IF('Water Report'!$D$14&gt;0,'Water Report'!$D$14,0))</f>
        <v>5</v>
      </c>
      <c r="BB2" s="301">
        <f>(IF('Water Report'!$D$15&gt;0,'Water Report'!$D$15,0))</f>
        <v>14</v>
      </c>
      <c r="BC2" s="301">
        <f>(IF('Water Report'!$D$13&gt;0,'Water Report'!$D$13,0))</f>
        <v>26</v>
      </c>
      <c r="BD2" s="301">
        <f>(IF('Water Report'!$D$24&gt;0,'Water Report'!$D$24,0))</f>
        <v>304</v>
      </c>
      <c r="BE2" s="301">
        <f>(IF('Water Report'!$D$25&gt;0,'Water Report'!$D$25,0))</f>
        <v>171</v>
      </c>
      <c r="BF2" s="301">
        <f>(IF('Water Report'!$D$27&gt;0,'Water Report'!$D$27,0))</f>
        <v>26</v>
      </c>
      <c r="BG2" s="296">
        <f>(IF('Section Load'!AN5&gt;0,'Section Load'!AN5,0))</f>
        <v>967</v>
      </c>
      <c r="BH2" s="296">
        <f>(IF('Section Load'!AO5&gt;0,'Section Load'!AO5,0))</f>
        <v>279</v>
      </c>
      <c r="BI2" s="296">
        <f>(IF('Section Load'!AP5&gt;0,'Section Load'!AP5,0))</f>
        <v>0</v>
      </c>
      <c r="BJ2" s="296">
        <f>(IF('Section Load'!AQ5&gt;0,'Section Load'!AQ5,0))</f>
        <v>118</v>
      </c>
      <c r="BK2" s="296">
        <f>(IF('Section Load'!AR5&gt;0,'Section Load'!AR5,0))</f>
        <v>28</v>
      </c>
      <c r="BL2" s="296">
        <f>(IF('Section Load'!AS5&gt;0,'Section Load'!AS5,0))</f>
        <v>0</v>
      </c>
      <c r="BM2" s="296">
        <f>(IF('Section Load'!AT5&gt;0,'Section Load'!AT5,0))</f>
        <v>542</v>
      </c>
    </row>
    <row r="3" spans="1:65">
      <c r="A3" s="287" t="s">
        <v>268</v>
      </c>
      <c r="B3" s="288">
        <f>B2+1</f>
        <v>2</v>
      </c>
      <c r="C3" s="288">
        <v>10</v>
      </c>
      <c r="D3" s="288">
        <v>2022</v>
      </c>
      <c r="E3" s="294">
        <f>(IF('Section Load'!F6&gt;0,'Section Load'!F6,0))</f>
        <v>3529.0999999999767</v>
      </c>
      <c r="F3" s="294">
        <f>(IF('Section Load'!G6&gt;0,'Section Load'!G6,0))</f>
        <v>959.0399999999936</v>
      </c>
      <c r="G3" s="294">
        <f>(IF('Section Load'!H6&gt;0,'Section Load'!H6,0))</f>
        <v>2199.7099999999627</v>
      </c>
      <c r="H3" s="294">
        <f>(IF('Section Load'!I6&gt;0,'Section Load'!I6,0))</f>
        <v>4057</v>
      </c>
      <c r="I3" s="294">
        <f>(IF('Section Load'!J6&gt;0,'Section Load'!J6,0))</f>
        <v>6160.7999999999593</v>
      </c>
      <c r="J3" s="294">
        <f>(IF('Section Load'!K6&gt;0,'Section Load'!K6,0))</f>
        <v>2991.7000000000116</v>
      </c>
      <c r="K3" s="294">
        <f>(IF('Section Load'!L6&gt;0,'Section Load'!L6,0))</f>
        <v>1483.4000000000233</v>
      </c>
      <c r="L3" s="294">
        <f>(IF('Section Load'!M6&gt;0,'Section Load'!M6,0))</f>
        <v>964.21000000002095</v>
      </c>
      <c r="M3" s="294">
        <f>(IF('Section Load'!N6&gt;0,'Section Load'!N6,0))</f>
        <v>130</v>
      </c>
      <c r="N3" s="294">
        <f>(IF('Section Load'!O6&gt;0,'Section Load'!O6,0))</f>
        <v>122</v>
      </c>
      <c r="O3" s="294">
        <f>(IF('Section Load'!P6&gt;0,'Section Load'!P6,0))</f>
        <v>10.199999999999818</v>
      </c>
      <c r="P3" s="294">
        <f>(IF('Section Load'!Q6&gt;0,'Section Load'!Q6,0))</f>
        <v>212.89999999999418</v>
      </c>
      <c r="Q3" s="294">
        <f>(IF('Section Load'!R6&gt;0,'Section Load'!R6,0))</f>
        <v>97.599999999998545</v>
      </c>
      <c r="R3" s="294">
        <f>(IF('Section Load'!S6&gt;0,'Section Load'!S6,0))</f>
        <v>213.89999999999964</v>
      </c>
      <c r="S3" s="294">
        <f>(IF('Section Load'!T6&gt;0,'Section Load'!T6,0))</f>
        <v>113</v>
      </c>
      <c r="T3" s="294">
        <f>(IF('Section Load'!U6&gt;0,'Section Load'!U6,0))</f>
        <v>281</v>
      </c>
      <c r="U3" s="294">
        <f>(IF('Section Load'!V6&gt;0,'Section Load'!V6,0))</f>
        <v>401.47999999998137</v>
      </c>
      <c r="V3" s="294">
        <f>(IF('Section Load'!W6&gt;0,'Section Load'!W6,0))</f>
        <v>344.04000000003725</v>
      </c>
      <c r="W3" s="294">
        <f>(IF('Section Load'!X6&gt;0,'Section Load'!X6,0))</f>
        <v>20.829999999999927</v>
      </c>
      <c r="X3" s="294">
        <f>(IF('Section Load'!Y6&gt;0,'Section Load'!Y6,0))</f>
        <v>248.02999999999884</v>
      </c>
      <c r="Y3" s="294">
        <f>(IF('Section Load'!Z6&gt;0,'Section Load'!Z6,0))</f>
        <v>83</v>
      </c>
      <c r="Z3" s="294">
        <f>(IF('Section Load'!AA6&gt;0,'Section Load'!AA6,0))</f>
        <v>313.44000000000233</v>
      </c>
      <c r="AA3" s="294">
        <f>(IF('Section Load'!AB6&gt;0,'Section Load'!AB6,0))</f>
        <v>23.5</v>
      </c>
      <c r="AB3" s="294">
        <f>(IF('Section Load'!AC6&gt;0,'Section Load'!AC6,0))</f>
        <v>0</v>
      </c>
      <c r="AC3" s="294">
        <f>(IF('Section Load'!AD6&gt;0,'Section Load'!AD6,0))</f>
        <v>72.700000000000728</v>
      </c>
      <c r="AD3" s="294">
        <f>(IF('Section Load'!AE6&gt;0,'Section Load'!AE6,0))</f>
        <v>412</v>
      </c>
      <c r="AE3" s="294">
        <f>(IF('Section Load'!AF6&gt;0,'Section Load'!AF6,0))</f>
        <v>334</v>
      </c>
      <c r="AF3" s="294">
        <f>(IF('Section Load'!AG6&gt;0,'Section Load'!AG6,0))</f>
        <v>518.5</v>
      </c>
      <c r="AG3" s="294">
        <f>(IF('Section Load'!AH6&gt;0,'Section Load'!AH6,0))</f>
        <v>11</v>
      </c>
      <c r="AH3" s="294">
        <f>(IF('Section Load'!AI6&gt;0,'Section Load'!AI6,0))</f>
        <v>421.19999999999709</v>
      </c>
      <c r="AI3" s="294">
        <f>(IF('Section Load'!AJ6&gt;0,'Section Load'!AJ6,0))</f>
        <v>446.19999999999709</v>
      </c>
      <c r="AJ3" s="294">
        <f>(IF('Section Load'!AK6&gt;0,'Section Load'!AK6,0))</f>
        <v>349.09999999999854</v>
      </c>
      <c r="AK3" s="294">
        <f>(IF('Section Load'!AL6&gt;0,'Section Load'!AL6,0))</f>
        <v>320</v>
      </c>
      <c r="AL3" s="294">
        <f>(IF('Section Load'!AM6&gt;0,'Section Load'!AM6,0))</f>
        <v>839.5</v>
      </c>
      <c r="AM3" s="295">
        <f>(IF('Water Report'!$E$7&gt;0,'Water Report'!$E$7,0))</f>
        <v>94</v>
      </c>
      <c r="AN3" s="295">
        <f>(IF('Water Report'!$E$8&gt;0,'Water Report'!$E$8,0))</f>
        <v>0</v>
      </c>
      <c r="AO3" s="295">
        <f>(IF('Water Report'!$E$9&gt;0,'Water Report'!$E$9,0))</f>
        <v>103</v>
      </c>
      <c r="AP3" s="295">
        <f>(IF('Water Report'!$E$10&gt;0,'Water Report'!$E$10,0))</f>
        <v>12</v>
      </c>
      <c r="AQ3" s="295">
        <f>(IF('Water Report'!$E$11&gt;0,'Water Report'!$E$11,0))</f>
        <v>27</v>
      </c>
      <c r="AR3" s="295">
        <f>(IF('Water Report'!$E$13&gt;0,'Water Report'!$E$13,0))</f>
        <v>15</v>
      </c>
      <c r="AS3" s="295">
        <f>(IF('Water Report'!$E$14&gt;0,'Water Report'!$E$14,0))</f>
        <v>4</v>
      </c>
      <c r="AT3" s="295">
        <f>(IF('Water Report'!$E$15&gt;0,'Water Report'!$E$15,0))</f>
        <v>8</v>
      </c>
      <c r="AU3" s="295">
        <f>(IF('Water Report'!$E$17&gt;0,'Water Report'!$E$17,0))</f>
        <v>4</v>
      </c>
      <c r="AV3" s="295">
        <f>(IF('Water Report'!$E$18&gt;0,'Water Report'!$E$18,0))</f>
        <v>12</v>
      </c>
      <c r="AW3" s="295">
        <f>(IF('Water Report'!$E$19&gt;0,'Water Report'!$E$19,0))</f>
        <v>13</v>
      </c>
      <c r="AX3" s="301">
        <f>(IF('Water Report'!$E$21&gt;0,'Water Report'!$E$21,0))</f>
        <v>0</v>
      </c>
      <c r="AY3" s="301">
        <f>(IF('Water Report'!$E$22&gt;0,'Water Report'!$E$22,0))</f>
        <v>0</v>
      </c>
      <c r="AZ3" s="301">
        <f>(IF('Water Report'!$E$23&gt;0,'Water Report'!$E$23,0))</f>
        <v>0</v>
      </c>
      <c r="BA3" s="301">
        <f>(IF('Water Report'!$E$14&gt;0,'Water Report'!$E$14,0))</f>
        <v>4</v>
      </c>
      <c r="BB3" s="301">
        <f>(IF('Water Report'!$E$15&gt;0,'Water Report'!$E$15,0))</f>
        <v>8</v>
      </c>
      <c r="BC3" s="301">
        <f>(IF('Water Report'!$E$13&gt;0,'Water Report'!$E$13,0))</f>
        <v>15</v>
      </c>
      <c r="BD3" s="301">
        <f>(IF('Water Report'!$E$24&gt;0,'Water Report'!$E$24,0))</f>
        <v>238</v>
      </c>
      <c r="BE3" s="301">
        <f>(IF('Water Report'!$E$25&gt;0,'Water Report'!$E$25,0))</f>
        <v>154</v>
      </c>
      <c r="BF3" s="301">
        <f>(IF('Water Report'!$E$27&gt;0,'Water Report'!$E$27,0))</f>
        <v>15</v>
      </c>
      <c r="BG3" s="296">
        <f>(IF('Section Load'!AN6&gt;0,'Section Load'!AN6,0))</f>
        <v>1045</v>
      </c>
      <c r="BH3" s="296">
        <f>(IF('Section Load'!AO6&gt;0,'Section Load'!AO6,0))</f>
        <v>283.20999999996275</v>
      </c>
      <c r="BI3" s="296">
        <f>(IF('Section Load'!AP6&gt;0,'Section Load'!AP6,0))</f>
        <v>0.80000000000291038</v>
      </c>
      <c r="BJ3" s="296">
        <f>(IF('Section Load'!AQ6&gt;0,'Section Load'!AQ6,0))</f>
        <v>110</v>
      </c>
      <c r="BK3" s="296">
        <f>(IF('Section Load'!AR6&gt;0,'Section Load'!AR6,0))</f>
        <v>46</v>
      </c>
      <c r="BL3" s="296">
        <f>(IF('Section Load'!AS6&gt;0,'Section Load'!AS6,0))</f>
        <v>0</v>
      </c>
      <c r="BM3" s="296">
        <f>(IF('Section Load'!AT6&gt;0,'Section Load'!AT6,0))</f>
        <v>605.39000000003398</v>
      </c>
    </row>
    <row r="4" spans="1:65">
      <c r="A4" s="287" t="s">
        <v>268</v>
      </c>
      <c r="B4" s="288">
        <f t="shared" ref="B4:B32" si="0">B3+1</f>
        <v>3</v>
      </c>
      <c r="C4" s="288">
        <v>10</v>
      </c>
      <c r="D4" s="288">
        <v>2022</v>
      </c>
      <c r="E4" s="294">
        <f>(IF('Section Load'!F7&gt;0,'Section Load'!F7,0))</f>
        <v>3700.5700000000652</v>
      </c>
      <c r="F4" s="294">
        <f>(IF('Section Load'!G7&gt;0,'Section Load'!G7,0))</f>
        <v>1017.4600000000064</v>
      </c>
      <c r="G4" s="294">
        <f>(IF('Section Load'!H7&gt;0,'Section Load'!H7,0))</f>
        <v>2275.4400000000605</v>
      </c>
      <c r="H4" s="294">
        <f>(IF('Section Load'!I7&gt;0,'Section Load'!I7,0))</f>
        <v>4163.9000000000233</v>
      </c>
      <c r="I4" s="294">
        <f>(IF('Section Load'!J7&gt;0,'Section Load'!J7,0))</f>
        <v>6605.8800000000338</v>
      </c>
      <c r="J4" s="294">
        <f>(IF('Section Load'!K7&gt;0,'Section Load'!K7,0))</f>
        <v>3078.0100000000093</v>
      </c>
      <c r="K4" s="294">
        <f>(IF('Section Load'!L7&gt;0,'Section Load'!L7,0))</f>
        <v>1436.429999999993</v>
      </c>
      <c r="L4" s="294">
        <f>(IF('Section Load'!M7&gt;0,'Section Load'!M7,0))</f>
        <v>664.78999999997905</v>
      </c>
      <c r="M4" s="294">
        <f>(IF('Section Load'!N7&gt;0,'Section Load'!N7,0))</f>
        <v>170.31000000005588</v>
      </c>
      <c r="N4" s="294">
        <f>(IF('Section Load'!O7&gt;0,'Section Load'!O7,0))</f>
        <v>180.31000000005588</v>
      </c>
      <c r="O4" s="294">
        <f>(IF('Section Load'!P7&gt;0,'Section Load'!P7,0))</f>
        <v>11.400000000000091</v>
      </c>
      <c r="P4" s="294">
        <f>(IF('Section Load'!Q7&gt;0,'Section Load'!Q7,0))</f>
        <v>229.90000000000873</v>
      </c>
      <c r="Q4" s="294">
        <f>(IF('Section Load'!R7&gt;0,'Section Load'!R7,0))</f>
        <v>90.200000000004366</v>
      </c>
      <c r="R4" s="294">
        <f>(IF('Section Load'!S7&gt;0,'Section Load'!S7,0))</f>
        <v>247.10000000000036</v>
      </c>
      <c r="S4" s="294">
        <f>(IF('Section Load'!T7&gt;0,'Section Load'!T7,0))</f>
        <v>53</v>
      </c>
      <c r="T4" s="294">
        <f>(IF('Section Load'!U7&gt;0,'Section Load'!U7,0))</f>
        <v>213</v>
      </c>
      <c r="U4" s="294">
        <f>(IF('Section Load'!V7&gt;0,'Section Load'!V7,0))</f>
        <v>416.1600000000326</v>
      </c>
      <c r="V4" s="294">
        <f>(IF('Section Load'!W7&gt;0,'Section Load'!W7,0))</f>
        <v>257.43999999994412</v>
      </c>
      <c r="W4" s="294">
        <f>(IF('Section Load'!X7&gt;0,'Section Load'!X7,0))</f>
        <v>30.8700000000008</v>
      </c>
      <c r="X4" s="294">
        <f>(IF('Section Load'!Y7&gt;0,'Section Load'!Y7,0))</f>
        <v>250.76000000000204</v>
      </c>
      <c r="Y4" s="294">
        <f>(IF('Section Load'!Z7&gt;0,'Section Load'!Z7,0))</f>
        <v>61</v>
      </c>
      <c r="Z4" s="294">
        <f>(IF('Section Load'!AA7&gt;0,'Section Load'!AA7,0))</f>
        <v>291.35999999998603</v>
      </c>
      <c r="AA4" s="294">
        <f>(IF('Section Load'!AB7&gt;0,'Section Load'!AB7,0))</f>
        <v>39.69999999999709</v>
      </c>
      <c r="AB4" s="294">
        <f>(IF('Section Load'!AC7&gt;0,'Section Load'!AC7,0))</f>
        <v>0</v>
      </c>
      <c r="AC4" s="294">
        <f>(IF('Section Load'!AD7&gt;0,'Section Load'!AD7,0))</f>
        <v>134.39999999999873</v>
      </c>
      <c r="AD4" s="294">
        <f>(IF('Section Load'!AE7&gt;0,'Section Load'!AE7,0))</f>
        <v>290.30000000000291</v>
      </c>
      <c r="AE4" s="294">
        <f>(IF('Section Load'!AF7&gt;0,'Section Load'!AF7,0))</f>
        <v>362.90000000000146</v>
      </c>
      <c r="AF4" s="294">
        <f>(IF('Section Load'!AG7&gt;0,'Section Load'!AG7,0))</f>
        <v>612.39999999999418</v>
      </c>
      <c r="AG4" s="294">
        <f>(IF('Section Load'!AH7&gt;0,'Section Load'!AH7,0))</f>
        <v>11.69999999999709</v>
      </c>
      <c r="AH4" s="294">
        <f>(IF('Section Load'!AI7&gt;0,'Section Load'!AI7,0))</f>
        <v>414.30000000000291</v>
      </c>
      <c r="AI4" s="294">
        <f>(IF('Section Load'!AJ7&gt;0,'Section Load'!AJ7,0))</f>
        <v>460.80000000000291</v>
      </c>
      <c r="AJ4" s="294">
        <f>(IF('Section Load'!AK7&gt;0,'Section Load'!AK7,0))</f>
        <v>371.20000000000437</v>
      </c>
      <c r="AK4" s="294">
        <f>(IF('Section Load'!AL7&gt;0,'Section Load'!AL7,0))</f>
        <v>313</v>
      </c>
      <c r="AL4" s="294">
        <f>(IF('Section Load'!AM7&gt;0,'Section Load'!AM7,0))</f>
        <v>826.27000000001863</v>
      </c>
      <c r="AM4" s="295">
        <f>(IF('Water Report'!$F$7&gt;0,'Water Report'!$F$7,0))</f>
        <v>86</v>
      </c>
      <c r="AN4" s="295">
        <f>(IF('Water Report'!$F$8&gt;0,'Water Report'!$F$8,0))</f>
        <v>0</v>
      </c>
      <c r="AO4" s="295">
        <f>(IF('Water Report'!$F$9&gt;0,'Water Report'!$G$9,0))</f>
        <v>89</v>
      </c>
      <c r="AP4" s="295">
        <f>(IF('Water Report'!$F$10&gt;0,'Water Report'!$F$10,0))</f>
        <v>4</v>
      </c>
      <c r="AQ4" s="295">
        <f>(IF('Water Report'!$F$11&gt;0,'Water Report'!$F$11,0))</f>
        <v>15</v>
      </c>
      <c r="AR4" s="295">
        <f>(IF('Water Report'!$F$13&gt;0,'Water Report'!$F$13,0))</f>
        <v>24</v>
      </c>
      <c r="AS4" s="295">
        <f>(IF('Water Report'!$F$14&gt;0,'Water Report'!$F$14,0))</f>
        <v>1</v>
      </c>
      <c r="AT4" s="295">
        <f>(IF('Water Report'!$F$15&gt;0,'Water Report'!$F$15,0))</f>
        <v>13</v>
      </c>
      <c r="AU4" s="295">
        <f>(IF('Water Report'!$F$17&gt;0,'Water Report'!$F$17,0))</f>
        <v>0</v>
      </c>
      <c r="AV4" s="295">
        <f>(IF('Water Report'!$F$18&gt;0,'Water Report'!$F$18,0))</f>
        <v>12</v>
      </c>
      <c r="AW4" s="295">
        <f>(IF('Water Report'!$F$19&gt;0,'Water Report'!$F$19,0))</f>
        <v>12</v>
      </c>
      <c r="AX4" s="301">
        <f>(IF('Water Report'!$F$21&gt;0,'Water Report'!$F$21,0))</f>
        <v>0</v>
      </c>
      <c r="AY4" s="301">
        <f>(IF('Water Report'!$F$22&gt;0,'Water Report'!$F$22,0))</f>
        <v>0</v>
      </c>
      <c r="AZ4" s="301">
        <f>(IF('Water Report'!$F$23&gt;0,'Water Report'!$F$23,0))</f>
        <v>0</v>
      </c>
      <c r="BA4" s="301">
        <f>(IF('Water Report'!$F$14&gt;0,'Water Report'!$F$14,0))</f>
        <v>1</v>
      </c>
      <c r="BB4" s="301">
        <f>(IF('Water Report'!$F$15&gt;0,'Water Report'!$F$15,0))</f>
        <v>13</v>
      </c>
      <c r="BC4" s="301">
        <f>(IF('Water Report'!$F$13&gt;0,'Water Report'!$F$13,0))</f>
        <v>24</v>
      </c>
      <c r="BD4" s="301">
        <f>(IF('Water Report'!$F$24&gt;0,'Water Report'!$F$24,0))</f>
        <v>344</v>
      </c>
      <c r="BE4" s="301">
        <f>(IF('Water Report'!$F$25&gt;0,'Water Report'!$F$25,0))</f>
        <v>141</v>
      </c>
      <c r="BF4" s="301">
        <f>(IF('Water Report'!$F$27&gt;0,'Water Report'!$F$27,0))</f>
        <v>24</v>
      </c>
      <c r="BG4" s="296">
        <f>(IF('Section Load'!AN7&gt;0,'Section Load'!AN7,0))</f>
        <v>981</v>
      </c>
      <c r="BH4" s="296">
        <f>(IF('Section Load'!AO7&gt;0,'Section Load'!AO7,0))</f>
        <v>288.48999999999069</v>
      </c>
      <c r="BI4" s="296">
        <f>(IF('Section Load'!AP7&gt;0,'Section Load'!AP7,0))</f>
        <v>0.19999999999708962</v>
      </c>
      <c r="BJ4" s="296">
        <f>(IF('Section Load'!AQ7&gt;0,'Section Load'!AQ7,0))</f>
        <v>103</v>
      </c>
      <c r="BK4" s="296">
        <f>(IF('Section Load'!AR7&gt;0,'Section Load'!AR7,0))</f>
        <v>36</v>
      </c>
      <c r="BL4" s="296">
        <f>(IF('Section Load'!AS7&gt;0,'Section Load'!AS7,0))</f>
        <v>0</v>
      </c>
      <c r="BM4" s="296">
        <f>(IF('Section Load'!AT7&gt;0,'Section Load'!AT7,0))</f>
        <v>553.31000000001222</v>
      </c>
    </row>
    <row r="5" spans="1:65">
      <c r="A5" s="287" t="s">
        <v>268</v>
      </c>
      <c r="B5" s="288">
        <f t="shared" si="0"/>
        <v>4</v>
      </c>
      <c r="C5" s="288">
        <v>10</v>
      </c>
      <c r="D5" s="288">
        <v>2022</v>
      </c>
      <c r="E5" s="294">
        <f>(IF('Section Load'!F8&gt;0,'Section Load'!F8,0))</f>
        <v>3962.9899999999325</v>
      </c>
      <c r="F5" s="294">
        <f>(IF('Section Load'!G8&gt;0,'Section Load'!G8,0))</f>
        <v>1024.9199999999983</v>
      </c>
      <c r="G5" s="294">
        <f>(IF('Section Load'!H8&gt;0,'Section Load'!H8,0))</f>
        <v>2197.640000000014</v>
      </c>
      <c r="H5" s="294">
        <f>(IF('Section Load'!I8&gt;0,'Section Load'!I8,0))</f>
        <v>4052.8499999999767</v>
      </c>
      <c r="I5" s="294">
        <f>(IF('Section Load'!J8&gt;0,'Section Load'!J8,0))</f>
        <v>7399.4499999999534</v>
      </c>
      <c r="J5" s="294">
        <f>(IF('Section Load'!K8&gt;0,'Section Load'!K8,0))</f>
        <v>3033.320000000007</v>
      </c>
      <c r="K5" s="294">
        <f>(IF('Section Load'!L8&gt;0,'Section Load'!L8,0))</f>
        <v>1415</v>
      </c>
      <c r="L5" s="294">
        <f>(IF('Section Load'!M8&gt;0,'Section Load'!M8,0))</f>
        <v>691.59000000002561</v>
      </c>
      <c r="M5" s="294">
        <f>(IF('Section Load'!N8&gt;0,'Section Load'!N8,0))</f>
        <v>134.68999999994412</v>
      </c>
      <c r="N5" s="294">
        <f>(IF('Section Load'!O8&gt;0,'Section Load'!O8,0))</f>
        <v>167.68999999994412</v>
      </c>
      <c r="O5" s="294">
        <f>(IF('Section Load'!P8&gt;0,'Section Load'!P8,0))</f>
        <v>11.5</v>
      </c>
      <c r="P5" s="294">
        <f>(IF('Section Load'!Q8&gt;0,'Section Load'!Q8,0))</f>
        <v>208.69999999999709</v>
      </c>
      <c r="Q5" s="294">
        <f>(IF('Section Load'!R8&gt;0,'Section Load'!R8,0))</f>
        <v>87.799999999995634</v>
      </c>
      <c r="R5" s="294">
        <f>(IF('Section Load'!S8&gt;0,'Section Load'!S8,0))</f>
        <v>232.70000000000073</v>
      </c>
      <c r="S5" s="294">
        <f>(IF('Section Load'!T8&gt;0,'Section Load'!T8,0))</f>
        <v>41</v>
      </c>
      <c r="T5" s="294">
        <f>(IF('Section Load'!U8&gt;0,'Section Load'!U8,0))</f>
        <v>226</v>
      </c>
      <c r="U5" s="294">
        <f>(IF('Section Load'!V8&gt;0,'Section Load'!V8,0))</f>
        <v>368.1600000000326</v>
      </c>
      <c r="V5" s="294">
        <f>(IF('Section Load'!W8&gt;0,'Section Load'!W8,0))</f>
        <v>225.59999999997672</v>
      </c>
      <c r="W5" s="294">
        <f>(IF('Section Load'!X8&gt;0,'Section Load'!X8,0))</f>
        <v>30.5</v>
      </c>
      <c r="X5" s="294">
        <f>(IF('Section Load'!Y8&gt;0,'Section Load'!Y8,0))</f>
        <v>256.62999999999738</v>
      </c>
      <c r="Y5" s="294">
        <f>(IF('Section Load'!Z8&gt;0,'Section Load'!Z8,0))</f>
        <v>28</v>
      </c>
      <c r="Z5" s="294">
        <f>(IF('Section Load'!AA8&gt;0,'Section Load'!AA8,0))</f>
        <v>289.32000000000698</v>
      </c>
      <c r="AA5" s="294">
        <f>(IF('Section Load'!AB8&gt;0,'Section Load'!AB8,0))</f>
        <v>46.900000000008731</v>
      </c>
      <c r="AB5" s="294">
        <f>(IF('Section Load'!AC8&gt;0,'Section Load'!AC8,0))</f>
        <v>0</v>
      </c>
      <c r="AC5" s="294">
        <f>(IF('Section Load'!AD8&gt;0,'Section Load'!AD8,0))</f>
        <v>156.59999999999945</v>
      </c>
      <c r="AD5" s="294">
        <f>(IF('Section Load'!AE8&gt;0,'Section Load'!AE8,0))</f>
        <v>252.59999999999127</v>
      </c>
      <c r="AE5" s="294">
        <f>(IF('Section Load'!AF8&gt;0,'Section Load'!AF8,0))</f>
        <v>338.09999999999854</v>
      </c>
      <c r="AF5" s="294">
        <f>(IF('Section Load'!AG8&gt;0,'Section Load'!AG8,0))</f>
        <v>646.5</v>
      </c>
      <c r="AG5" s="294">
        <f>(IF('Section Load'!AH8&gt;0,'Section Load'!AH8,0))</f>
        <v>11.400000000001455</v>
      </c>
      <c r="AH5" s="294">
        <f>(IF('Section Load'!AI8&gt;0,'Section Load'!AI8,0))</f>
        <v>389.30000000000291</v>
      </c>
      <c r="AI5" s="294">
        <f>(IF('Section Load'!AJ8&gt;0,'Section Load'!AJ8,0))</f>
        <v>441.60000000000582</v>
      </c>
      <c r="AJ5" s="294">
        <f>(IF('Section Load'!AK8&gt;0,'Section Load'!AK8,0))</f>
        <v>382.19999999999709</v>
      </c>
      <c r="AK5" s="294">
        <f>(IF('Section Load'!AL8&gt;0,'Section Load'!AL8,0))</f>
        <v>300.69999999999709</v>
      </c>
      <c r="AL5" s="294">
        <f>(IF('Section Load'!AM8&gt;0,'Section Load'!AM8,0))</f>
        <v>867.07999999995809</v>
      </c>
      <c r="AM5" s="295">
        <f>(IF('Water Report'!$G$7&gt;0,'Water Report'!$F$7,0))</f>
        <v>86</v>
      </c>
      <c r="AN5" s="295">
        <f>(IF('Water Report'!$G$8&gt;0,'Water Report'!$F$8,0))</f>
        <v>0</v>
      </c>
      <c r="AO5" s="295">
        <f>(IF('Water Report'!$G$9&gt;0,'Water Report'!$H$9,0))</f>
        <v>101</v>
      </c>
      <c r="AP5" s="295">
        <f>(IF('Water Report'!$G$10&gt;0,'Water Report'!$G$10,0))</f>
        <v>8</v>
      </c>
      <c r="AQ5" s="295">
        <f>(IF('Water Report'!$G$11&gt;0,'Water Report'!$G$11,0))</f>
        <v>17</v>
      </c>
      <c r="AR5" s="295">
        <f>(IF('Water Report'!$G$13&gt;0,'Water Report'!$G$13,0))</f>
        <v>38</v>
      </c>
      <c r="AS5" s="295">
        <f>(IF('Water Report'!$G$14&gt;0,'Water Report'!$G$14,0))</f>
        <v>3</v>
      </c>
      <c r="AT5" s="295">
        <f>(IF('Water Report'!$G$15&gt;0,'Water Report'!$G$15,0))</f>
        <v>8</v>
      </c>
      <c r="AU5" s="295">
        <f>(IF('Water Report'!$G$17&gt;0,'Water Report'!$G$17,0))</f>
        <v>3</v>
      </c>
      <c r="AV5" s="295">
        <f>(IF('Water Report'!$G$18&gt;0,'Water Report'!$G$18,0))</f>
        <v>12</v>
      </c>
      <c r="AW5" s="295">
        <f>(IF('Water Report'!$G$19&gt;0,'Water Report'!$G$19,0))</f>
        <v>10</v>
      </c>
      <c r="AX5" s="301">
        <f>(IF('Water Report'!$G$21&gt;0,'Water Report'!$G$21,0))</f>
        <v>0</v>
      </c>
      <c r="AY5" s="301">
        <f>(IF('Water Report'!$G$22&gt;0,'Water Report'!$G$22,0))</f>
        <v>0</v>
      </c>
      <c r="AZ5" s="301">
        <f>(IF('Water Report'!$G$23&gt;0,'Water Report'!$G$23,0))</f>
        <v>0</v>
      </c>
      <c r="BA5" s="301">
        <f>(IF('Water Report'!$G$14&gt;0,'Water Report'!$G$14,0))</f>
        <v>3</v>
      </c>
      <c r="BB5" s="301">
        <f>(IF('Water Report'!$G$15&gt;0,'Water Report'!$G$15,0))</f>
        <v>8</v>
      </c>
      <c r="BC5" s="301">
        <f>(IF('Water Report'!$G$13&gt;0,'Water Report'!$G$13,0))</f>
        <v>38</v>
      </c>
      <c r="BD5" s="301">
        <f>(IF('Water Report'!$G$24&gt;0,'Water Report'!$G$24,0))</f>
        <v>291</v>
      </c>
      <c r="BE5" s="301">
        <f>(IF('Water Report'!$G$25&gt;0,'Water Report'!$G$25,0))</f>
        <v>125</v>
      </c>
      <c r="BF5" s="301">
        <f>(IF('Water Report'!$G$27&gt;0,'Water Report'!$G$27,0))</f>
        <v>38</v>
      </c>
      <c r="BG5" s="296">
        <f>(IF('Section Load'!AN8&gt;0,'Section Load'!AN8,0))</f>
        <v>977</v>
      </c>
      <c r="BH5" s="296">
        <f>(IF('Section Load'!AO8&gt;0,'Section Load'!AO8,0))</f>
        <v>281.18000000005122</v>
      </c>
      <c r="BI5" s="296">
        <f>(IF('Section Load'!AP8&gt;0,'Section Load'!AP8,0))</f>
        <v>0</v>
      </c>
      <c r="BJ5" s="296">
        <f>(IF('Section Load'!AQ8&gt;0,'Section Load'!AQ8,0))</f>
        <v>84.799999999988358</v>
      </c>
      <c r="BK5" s="296">
        <f>(IF('Section Load'!AR8&gt;0,'Section Load'!AR8,0))</f>
        <v>46.80000000000291</v>
      </c>
      <c r="BL5" s="296">
        <f>(IF('Section Load'!AS8&gt;0,'Section Load'!AS8,0))</f>
        <v>0</v>
      </c>
      <c r="BM5" s="296">
        <f>(IF('Section Load'!AT8&gt;0,'Section Load'!AT8,0))</f>
        <v>564.4199999999546</v>
      </c>
    </row>
    <row r="6" spans="1:65">
      <c r="A6" s="287" t="s">
        <v>268</v>
      </c>
      <c r="B6" s="288">
        <f t="shared" si="0"/>
        <v>5</v>
      </c>
      <c r="C6" s="288">
        <v>10</v>
      </c>
      <c r="D6" s="288">
        <v>2022</v>
      </c>
      <c r="E6" s="294">
        <f>(IF('Section Load'!F9&gt;0,'Section Load'!F9,0))</f>
        <v>3963.5200000000186</v>
      </c>
      <c r="F6" s="294">
        <f>(IF('Section Load'!G9&gt;0,'Section Load'!G9,0))</f>
        <v>1015.4300000000076</v>
      </c>
      <c r="G6" s="294">
        <f>(IF('Section Load'!H9&gt;0,'Section Load'!H9,0))</f>
        <v>2219.4799999999814</v>
      </c>
      <c r="H6" s="294">
        <f>(IF('Section Load'!I9&gt;0,'Section Load'!I9,0))</f>
        <v>4140.4400000000023</v>
      </c>
      <c r="I6" s="294">
        <f>(IF('Section Load'!J9&gt;0,'Section Load'!J9,0))</f>
        <v>6958.7399999999907</v>
      </c>
      <c r="J6" s="294">
        <f>(IF('Section Load'!K9&gt;0,'Section Load'!K9,0))</f>
        <v>2755.5999999999767</v>
      </c>
      <c r="K6" s="294">
        <f>(IF('Section Load'!L9&gt;0,'Section Load'!L9,0))</f>
        <v>1359.320000000007</v>
      </c>
      <c r="L6" s="294">
        <f>(IF('Section Load'!M9&gt;0,'Section Load'!M9,0))</f>
        <v>638.51999999996042</v>
      </c>
      <c r="M6" s="294">
        <f>(IF('Section Load'!N9&gt;0,'Section Load'!N9,0))</f>
        <v>138</v>
      </c>
      <c r="N6" s="294">
        <f>(IF('Section Load'!O9&gt;0,'Section Load'!O9,0))</f>
        <v>137</v>
      </c>
      <c r="O6" s="294">
        <f>(IF('Section Load'!P9&gt;0,'Section Load'!P9,0))</f>
        <v>13</v>
      </c>
      <c r="P6" s="294">
        <f>(IF('Section Load'!Q9&gt;0,'Section Load'!Q9,0))</f>
        <v>226.89999999999418</v>
      </c>
      <c r="Q6" s="294">
        <f>(IF('Section Load'!R9&gt;0,'Section Load'!R9,0))</f>
        <v>96</v>
      </c>
      <c r="R6" s="294">
        <f>(IF('Section Load'!S9&gt;0,'Section Load'!S9,0))</f>
        <v>228.69999999999891</v>
      </c>
      <c r="S6" s="294">
        <f>(IF('Section Load'!T9&gt;0,'Section Load'!T9,0))</f>
        <v>37</v>
      </c>
      <c r="T6" s="294">
        <f>(IF('Section Load'!U9&gt;0,'Section Load'!U9,0))</f>
        <v>257</v>
      </c>
      <c r="U6" s="294">
        <f>(IF('Section Load'!V9&gt;0,'Section Load'!V9,0))</f>
        <v>374.23999999999069</v>
      </c>
      <c r="V6" s="294">
        <f>(IF('Section Load'!W9&gt;0,'Section Load'!W9,0))</f>
        <v>237.60000000009313</v>
      </c>
      <c r="W6" s="294">
        <f>(IF('Section Load'!X9&gt;0,'Section Load'!X9,0))</f>
        <v>26.299999999999272</v>
      </c>
      <c r="X6" s="294">
        <f>(IF('Section Load'!Y9&gt;0,'Section Load'!Y9,0))</f>
        <v>213.9800000000032</v>
      </c>
      <c r="Y6" s="294">
        <f>(IF('Section Load'!Z9&gt;0,'Section Load'!Z9,0))</f>
        <v>26</v>
      </c>
      <c r="Z6" s="294">
        <f>(IF('Section Load'!AA9&gt;0,'Section Load'!AA9,0))</f>
        <v>270.52000000001863</v>
      </c>
      <c r="AA6" s="294">
        <f>(IF('Section Load'!AB9&gt;0,'Section Load'!AB9,0))</f>
        <v>27.299999999988358</v>
      </c>
      <c r="AB6" s="294">
        <f>(IF('Section Load'!AC9&gt;0,'Section Load'!AC9,0))</f>
        <v>0</v>
      </c>
      <c r="AC6" s="294">
        <f>(IF('Section Load'!AD9&gt;0,'Section Load'!AD9,0))</f>
        <v>99.200000000000728</v>
      </c>
      <c r="AD6" s="294">
        <f>(IF('Section Load'!AE9&gt;0,'Section Load'!AE9,0))</f>
        <v>356.10000000000582</v>
      </c>
      <c r="AE6" s="294">
        <f>(IF('Section Load'!AF9&gt;0,'Section Load'!AF9,0))</f>
        <v>339</v>
      </c>
      <c r="AF6" s="294">
        <f>(IF('Section Load'!AG9&gt;0,'Section Load'!AG9,0))</f>
        <v>573.60000000000582</v>
      </c>
      <c r="AG6" s="294">
        <f>(IF('Section Load'!AH9&gt;0,'Section Load'!AH9,0))</f>
        <v>11.700000000004366</v>
      </c>
      <c r="AH6" s="294">
        <f>(IF('Section Load'!AI9&gt;0,'Section Load'!AI9,0))</f>
        <v>397.89999999999418</v>
      </c>
      <c r="AI6" s="294">
        <f>(IF('Section Load'!AJ9&gt;0,'Section Load'!AJ9,0))</f>
        <v>452.39999999999418</v>
      </c>
      <c r="AJ6" s="294">
        <f>(IF('Section Load'!AK9&gt;0,'Section Load'!AK9,0))</f>
        <v>395.5</v>
      </c>
      <c r="AK6" s="294">
        <f>(IF('Section Load'!AL9&gt;0,'Section Load'!AL9,0))</f>
        <v>305.70000000000437</v>
      </c>
      <c r="AL6" s="294">
        <f>(IF('Section Load'!AM9&gt;0,'Section Load'!AM9,0))</f>
        <v>866.88000000000466</v>
      </c>
      <c r="AM6" s="295">
        <f>(IF('Water Report'!$H$7&gt;0,'Water Report'!$H$7,0))</f>
        <v>80</v>
      </c>
      <c r="AN6" s="295">
        <f>(IF('Water Report'!$H$8&gt;0,'Water Report'!$H$8,0))</f>
        <v>0</v>
      </c>
      <c r="AO6" s="295">
        <f>(IF('Water Report'!$H$9&gt;0,'Water Report'!$H$9,0))</f>
        <v>101</v>
      </c>
      <c r="AP6" s="295">
        <f>(IF('Water Report'!$H$10&gt;0,'Water Report'!$H$10,0))</f>
        <v>6</v>
      </c>
      <c r="AQ6" s="295">
        <f>(IF('Water Report'!$H$11&gt;0,'Water Report'!$H$11,0))</f>
        <v>18</v>
      </c>
      <c r="AR6" s="295">
        <f>(IF('Water Report'!$H$13&gt;0,'Water Report'!$H$13,0))</f>
        <v>44</v>
      </c>
      <c r="AS6" s="295">
        <f>(IF('Water Report'!$H$14&gt;0,'Water Report'!$H$14,0))</f>
        <v>2</v>
      </c>
      <c r="AT6" s="295">
        <f>(IF('Water Report'!$H$15&gt;0,'Water Report'!$H$15,0))</f>
        <v>8</v>
      </c>
      <c r="AU6" s="295">
        <f>(IF('Water Report'!$H$17&gt;0,'Water Report'!$H$17,0))</f>
        <v>1</v>
      </c>
      <c r="AV6" s="295">
        <f>(IF('Water Report'!$H$18&gt;0,'Water Report'!$H$18,0))</f>
        <v>9</v>
      </c>
      <c r="AW6" s="295">
        <f>(IF('Water Report'!$H$19&gt;0,'Water Report'!$H$19,0))</f>
        <v>9</v>
      </c>
      <c r="AX6" s="301">
        <f>(IF('Water Report'!$H$21&gt;0,'Water Report'!$H$21,0))</f>
        <v>0</v>
      </c>
      <c r="AY6" s="301">
        <f>(IF('Water Report'!$H$22&gt;0,'Water Report'!$H$22,0))</f>
        <v>0</v>
      </c>
      <c r="AZ6" s="301">
        <f>(IF('Water Report'!$H$23&gt;0,'Water Report'!$H$23,0))</f>
        <v>0</v>
      </c>
      <c r="BA6" s="301">
        <f>(IF('Water Report'!$H$14&gt;0,'Water Report'!$H$14,0))</f>
        <v>2</v>
      </c>
      <c r="BB6" s="301">
        <f>(IF('Water Report'!$H$15&gt;0,'Water Report'!$H$15,0))</f>
        <v>8</v>
      </c>
      <c r="BC6" s="301">
        <f>(IF('Water Report'!$H$13&gt;0,'Water Report'!$H$13,0))</f>
        <v>44</v>
      </c>
      <c r="BD6" s="301">
        <f>(IF('Water Report'!$H$24&gt;0,'Water Report'!$H$24,0))</f>
        <v>251</v>
      </c>
      <c r="BE6" s="301">
        <f>(IF('Water Report'!$H$25&gt;0,'Water Report'!$H$25,0))</f>
        <v>135</v>
      </c>
      <c r="BF6" s="301">
        <f>(IF('Water Report'!$H$27&gt;0,'Water Report'!$H$27,0))</f>
        <v>44</v>
      </c>
      <c r="BG6" s="296">
        <f>(IF('Section Load'!AN9&gt;0,'Section Load'!AN9,0))</f>
        <v>953</v>
      </c>
      <c r="BH6" s="296">
        <f>(IF('Section Load'!AO9&gt;0,'Section Load'!AO9,0))</f>
        <v>308.71999999997206</v>
      </c>
      <c r="BI6" s="296">
        <f>(IF('Section Load'!AP9&gt;0,'Section Load'!AP9,0))</f>
        <v>0</v>
      </c>
      <c r="BJ6" s="296">
        <f>(IF('Section Load'!AQ9&gt;0,'Section Load'!AQ9,0))</f>
        <v>108.20000000001164</v>
      </c>
      <c r="BK6" s="296">
        <f>(IF('Section Load'!AR9&gt;0,'Section Load'!AR9,0))</f>
        <v>46.19999999999709</v>
      </c>
      <c r="BL6" s="296">
        <f>(IF('Section Load'!AS9&gt;0,'Section Load'!AS9,0))</f>
        <v>0</v>
      </c>
      <c r="BM6" s="296">
        <f>(IF('Section Load'!AT9&gt;0,'Section Load'!AT9,0))</f>
        <v>490.68000000002212</v>
      </c>
    </row>
    <row r="7" spans="1:65">
      <c r="A7" s="287" t="s">
        <v>268</v>
      </c>
      <c r="B7" s="288">
        <f t="shared" si="0"/>
        <v>6</v>
      </c>
      <c r="C7" s="288">
        <v>10</v>
      </c>
      <c r="D7" s="288">
        <v>2022</v>
      </c>
      <c r="E7" s="294">
        <f>(IF('Section Load'!F10&gt;0,'Section Load'!F10,0))</f>
        <v>3669.7700000000186</v>
      </c>
      <c r="F7" s="294">
        <f>(IF('Section Load'!G10&gt;0,'Section Load'!G10,0))</f>
        <v>997.14999999999418</v>
      </c>
      <c r="G7" s="294">
        <f>(IF('Section Load'!H10&gt;0,'Section Load'!H10,0))</f>
        <v>2197.7299999999814</v>
      </c>
      <c r="H7" s="294">
        <f>(IF('Section Load'!I10&gt;0,'Section Load'!I10,0))</f>
        <v>4226.6200000000536</v>
      </c>
      <c r="I7" s="294">
        <f>(IF('Section Load'!J10&gt;0,'Section Load'!J10,0))</f>
        <v>5349.1300000000629</v>
      </c>
      <c r="J7" s="294">
        <f>(IF('Section Load'!K10&gt;0,'Section Load'!K10,0))</f>
        <v>2958.3699999999953</v>
      </c>
      <c r="K7" s="294">
        <f>(IF('Section Load'!L10&gt;0,'Section Load'!L10,0))</f>
        <v>1554.8499999999767</v>
      </c>
      <c r="L7" s="294">
        <f>(IF('Section Load'!M10&gt;0,'Section Load'!M10,0))</f>
        <v>638.89000000001397</v>
      </c>
      <c r="M7" s="294">
        <f>(IF('Section Load'!N10&gt;0,'Section Load'!N10,0))</f>
        <v>174</v>
      </c>
      <c r="N7" s="294">
        <f>(IF('Section Load'!O10&gt;0,'Section Load'!O10,0))</f>
        <v>149</v>
      </c>
      <c r="O7" s="294">
        <f>(IF('Section Load'!P10&gt;0,'Section Load'!P10,0))</f>
        <v>11.900000000000091</v>
      </c>
      <c r="P7" s="294">
        <f>(IF('Section Load'!Q10&gt;0,'Section Load'!Q10,0))</f>
        <v>222.60000000000582</v>
      </c>
      <c r="Q7" s="294">
        <f>(IF('Section Load'!R10&gt;0,'Section Load'!R10,0))</f>
        <v>85.400000000001455</v>
      </c>
      <c r="R7" s="294">
        <f>(IF('Section Load'!S10&gt;0,'Section Load'!S10,0))</f>
        <v>237.60000000000036</v>
      </c>
      <c r="S7" s="294">
        <f>(IF('Section Load'!T10&gt;0,'Section Load'!T10,0))</f>
        <v>44</v>
      </c>
      <c r="T7" s="294">
        <f>(IF('Section Load'!U10&gt;0,'Section Load'!U10,0))</f>
        <v>251</v>
      </c>
      <c r="U7" s="294">
        <f>(IF('Section Load'!V10&gt;0,'Section Load'!V10,0))</f>
        <v>434.95999999996275</v>
      </c>
      <c r="V7" s="294">
        <f>(IF('Section Load'!W10&gt;0,'Section Load'!W10,0))</f>
        <v>264.31999999994878</v>
      </c>
      <c r="W7" s="294">
        <f>(IF('Section Load'!X10&gt;0,'Section Load'!X10,0))</f>
        <v>26.5</v>
      </c>
      <c r="X7" s="294">
        <f>(IF('Section Load'!Y10&gt;0,'Section Load'!Y10,0))</f>
        <v>242.59999999999854</v>
      </c>
      <c r="Y7" s="294">
        <f>(IF('Section Load'!Z10&gt;0,'Section Load'!Z10,0))</f>
        <v>44</v>
      </c>
      <c r="Z7" s="294">
        <f>(IF('Section Load'!AA10&gt;0,'Section Load'!AA10,0))</f>
        <v>294.35999999998603</v>
      </c>
      <c r="AA7" s="294">
        <f>(IF('Section Load'!AB10&gt;0,'Section Load'!AB10,0))</f>
        <v>43.600000000005821</v>
      </c>
      <c r="AB7" s="294">
        <f>(IF('Section Load'!AC10&gt;0,'Section Load'!AC10,0))</f>
        <v>0</v>
      </c>
      <c r="AC7" s="294">
        <f>(IF('Section Load'!AD10&gt;0,'Section Load'!AD10,0))</f>
        <v>129.10000000000036</v>
      </c>
      <c r="AD7" s="294">
        <f>(IF('Section Load'!AE10&gt;0,'Section Load'!AE10,0))</f>
        <v>527</v>
      </c>
      <c r="AE7" s="294">
        <f>(IF('Section Load'!AF10&gt;0,'Section Load'!AF10,0))</f>
        <v>317</v>
      </c>
      <c r="AF7" s="294">
        <f>(IF('Section Load'!AG10&gt;0,'Section Load'!AG10,0))</f>
        <v>594</v>
      </c>
      <c r="AG7" s="294">
        <f>(IF('Section Load'!AH10&gt;0,'Section Load'!AH10,0))</f>
        <v>11.19999999999709</v>
      </c>
      <c r="AH7" s="294">
        <f>(IF('Section Load'!AI10&gt;0,'Section Load'!AI10,0))</f>
        <v>379.30000000000291</v>
      </c>
      <c r="AI7" s="294">
        <f>(IF('Section Load'!AJ10&gt;0,'Section Load'!AJ10,0))</f>
        <v>433</v>
      </c>
      <c r="AJ7" s="294">
        <f>(IF('Section Load'!AK10&gt;0,'Section Load'!AK10,0))</f>
        <v>362</v>
      </c>
      <c r="AK7" s="294">
        <f>(IF('Section Load'!AL10&gt;0,'Section Load'!AL10,0))</f>
        <v>290.59999999999854</v>
      </c>
      <c r="AL7" s="294">
        <f>(IF('Section Load'!AM10&gt;0,'Section Load'!AM10,0))</f>
        <v>844.27000000001863</v>
      </c>
      <c r="AM7" s="295">
        <f>(IF('Water Report'!$I$7&gt;0,'Water Report'!$I$7,0))</f>
        <v>76</v>
      </c>
      <c r="AN7" s="295">
        <f>(IF('Water Report'!$I$8&gt;0,'Water Report'!$I$8,0))</f>
        <v>0</v>
      </c>
      <c r="AO7" s="295">
        <f>(IF('Water Report'!$I$9&gt;0,'Water Report'!$I$9,0))</f>
        <v>89</v>
      </c>
      <c r="AP7" s="295">
        <f>(IF('Water Report'!$I$10&gt;0,'Water Report'!$I$10,0))</f>
        <v>11</v>
      </c>
      <c r="AQ7" s="295">
        <f>(IF('Water Report'!$I$11&gt;0,'Water Report'!$I$11,0))</f>
        <v>18</v>
      </c>
      <c r="AR7" s="295">
        <f>(IF('Water Report'!$I$13&gt;0,'Water Report'!$I$13,0))</f>
        <v>37</v>
      </c>
      <c r="AS7" s="295">
        <f>(IF('Water Report'!$I$14&gt;0,'Water Report'!$I$14,0))</f>
        <v>4</v>
      </c>
      <c r="AT7" s="295">
        <f>(IF('Water Report'!$I$15&gt;0,'Water Report'!$I$15,0))</f>
        <v>7</v>
      </c>
      <c r="AU7" s="295">
        <f>(IF('Water Report'!$I$17&gt;0,'Water Report'!$I$17,0))</f>
        <v>1</v>
      </c>
      <c r="AV7" s="295">
        <f>(IF('Water Report'!$I$18&gt;0,'Water Report'!$I$18,0))</f>
        <v>14</v>
      </c>
      <c r="AW7" s="295">
        <f>(IF('Water Report'!$I$19&gt;0,'Water Report'!$I$19,0))</f>
        <v>12</v>
      </c>
      <c r="AX7" s="301">
        <f>(IF('Water Report'!$I$21&gt;0,'Water Report'!$I$21,0))</f>
        <v>0</v>
      </c>
      <c r="AY7" s="301">
        <f>(IF('Water Report'!$I$22&gt;0,'Water Report'!$I$22,0))</f>
        <v>0</v>
      </c>
      <c r="AZ7" s="301">
        <f>(IF('Water Report'!$I$23&gt;0,'Water Report'!$I$23,0))</f>
        <v>0</v>
      </c>
      <c r="BA7" s="301">
        <f>(IF('Water Report'!$I$14&gt;0,'Water Report'!$I$14,0))</f>
        <v>4</v>
      </c>
      <c r="BB7" s="301">
        <f>(IF('Water Report'!$I$15&gt;0,'Water Report'!$I$15,0))</f>
        <v>7</v>
      </c>
      <c r="BC7" s="301">
        <f>(IF('Water Report'!$I$13&gt;0,'Water Report'!$I$13,0))</f>
        <v>37</v>
      </c>
      <c r="BD7" s="301">
        <f>(IF('Water Report'!$I$24&gt;0,'Water Report'!$I$24,0))</f>
        <v>290</v>
      </c>
      <c r="BE7" s="301">
        <f>(IF('Water Report'!$I$25&gt;0,'Water Report'!$I$25,0))</f>
        <v>129</v>
      </c>
      <c r="BF7" s="301">
        <f>(IF('Water Report'!$I$27&gt;0,'Water Report'!$I$27,0))</f>
        <v>37</v>
      </c>
      <c r="BG7" s="296">
        <f>(IF('Section Load'!AN10&gt;0,'Section Load'!AN10,0))</f>
        <v>1040</v>
      </c>
      <c r="BH7" s="296">
        <f>(IF('Section Load'!AO10&gt;0,'Section Load'!AO10,0))</f>
        <v>298.40000000002328</v>
      </c>
      <c r="BI7" s="296">
        <f>(IF('Section Load'!AP10&gt;0,'Section Load'!AP10,0))</f>
        <v>0</v>
      </c>
      <c r="BJ7" s="296">
        <f>(IF('Section Load'!AQ10&gt;0,'Section Load'!AQ10,0))</f>
        <v>112</v>
      </c>
      <c r="BK7" s="296">
        <f>(IF('Section Load'!AR10&gt;0,'Section Load'!AR10,0))</f>
        <v>49</v>
      </c>
      <c r="BL7" s="296">
        <f>(IF('Section Load'!AS10&gt;0,'Section Load'!AS10,0))</f>
        <v>0.3999999999996362</v>
      </c>
      <c r="BM7" s="296">
        <f>(IF('Section Load'!AT10&gt;0,'Section Load'!AT10,0))</f>
        <v>580.19999999997708</v>
      </c>
    </row>
    <row r="8" spans="1:65">
      <c r="A8" s="287" t="s">
        <v>268</v>
      </c>
      <c r="B8" s="288">
        <f t="shared" si="0"/>
        <v>7</v>
      </c>
      <c r="C8" s="288">
        <v>10</v>
      </c>
      <c r="D8" s="288">
        <v>2022</v>
      </c>
      <c r="E8" s="294">
        <f>(IF('Section Load'!F11&gt;0,'Section Load'!F11,0))</f>
        <v>3706</v>
      </c>
      <c r="F8" s="294">
        <f>(IF('Section Load'!G11&gt;0,'Section Load'!G11,0))</f>
        <v>1011</v>
      </c>
      <c r="G8" s="294">
        <f>(IF('Section Load'!H11&gt;0,'Section Load'!H11,0))</f>
        <v>2277</v>
      </c>
      <c r="H8" s="294">
        <f>(IF('Section Load'!I11&gt;0,'Section Load'!I11,0))</f>
        <v>4329</v>
      </c>
      <c r="I8" s="294">
        <f>(IF('Section Load'!J11&gt;0,'Section Load'!J11,0))</f>
        <v>5136</v>
      </c>
      <c r="J8" s="294">
        <f>(IF('Section Load'!K11&gt;0,'Section Load'!K11,0))</f>
        <v>2960</v>
      </c>
      <c r="K8" s="294">
        <f>(IF('Section Load'!L11&gt;0,'Section Load'!L11,0))</f>
        <v>1624</v>
      </c>
      <c r="L8" s="294">
        <f>(IF('Section Load'!M11&gt;0,'Section Load'!M11,0))</f>
        <v>855</v>
      </c>
      <c r="M8" s="294">
        <f>(IF('Section Load'!N11&gt;0,'Section Load'!N11,0))</f>
        <v>143</v>
      </c>
      <c r="N8" s="294">
        <f>(IF('Section Load'!O11&gt;0,'Section Load'!O11,0))</f>
        <v>154</v>
      </c>
      <c r="O8" s="294">
        <f>(IF('Section Load'!P11&gt;0,'Section Load'!P11,0))</f>
        <v>11</v>
      </c>
      <c r="P8" s="294">
        <f>(IF('Section Load'!Q11&gt;0,'Section Load'!Q11,0))</f>
        <v>220</v>
      </c>
      <c r="Q8" s="294">
        <f>(IF('Section Load'!R11&gt;0,'Section Load'!R11,0))</f>
        <v>94</v>
      </c>
      <c r="R8" s="294">
        <f>(IF('Section Load'!S11&gt;0,'Section Load'!S11,0))</f>
        <v>233</v>
      </c>
      <c r="S8" s="294">
        <f>(IF('Section Load'!T11&gt;0,'Section Load'!T11,0))</f>
        <v>36</v>
      </c>
      <c r="T8" s="294">
        <f>(IF('Section Load'!U11&gt;0,'Section Load'!U11,0))</f>
        <v>256</v>
      </c>
      <c r="U8" s="294">
        <f>(IF('Section Load'!V11&gt;0,'Section Load'!V11,0))</f>
        <v>381</v>
      </c>
      <c r="V8" s="294">
        <f>(IF('Section Load'!W11&gt;0,'Section Load'!W11,0))</f>
        <v>292</v>
      </c>
      <c r="W8" s="294">
        <f>(IF('Section Load'!X11&gt;0,'Section Load'!X11,0))</f>
        <v>30</v>
      </c>
      <c r="X8" s="294">
        <f>(IF('Section Load'!Y11&gt;0,'Section Load'!Y11,0))</f>
        <v>225</v>
      </c>
      <c r="Y8" s="294">
        <f>(IF('Section Load'!Z11&gt;0,'Section Load'!Z11,0))</f>
        <v>88</v>
      </c>
      <c r="Z8" s="294">
        <f>(IF('Section Load'!AA11&gt;0,'Section Load'!AA11,0))</f>
        <v>272</v>
      </c>
      <c r="AA8" s="294">
        <f>(IF('Section Load'!AB11&gt;0,'Section Load'!AB11,0))</f>
        <v>34</v>
      </c>
      <c r="AB8" s="294">
        <f>(IF('Section Load'!AC11&gt;0,'Section Load'!AC11,0))</f>
        <v>0</v>
      </c>
      <c r="AC8" s="294">
        <f>(IF('Section Load'!AD11&gt;0,'Section Load'!AD11,0))</f>
        <v>131</v>
      </c>
      <c r="AD8" s="294">
        <f>(IF('Section Load'!AE11&gt;0,'Section Load'!AE11,0))</f>
        <v>537</v>
      </c>
      <c r="AE8" s="294">
        <f>(IF('Section Load'!AF11&gt;0,'Section Load'!AF11,0))</f>
        <v>351</v>
      </c>
      <c r="AF8" s="294">
        <f>(IF('Section Load'!AG11&gt;0,'Section Load'!AG11,0))</f>
        <v>617</v>
      </c>
      <c r="AG8" s="294">
        <f>(IF('Section Load'!AH11&gt;0,'Section Load'!AH11,0))</f>
        <v>14</v>
      </c>
      <c r="AH8" s="294">
        <f>(IF('Section Load'!AI11&gt;0,'Section Load'!AI11,0))</f>
        <v>392</v>
      </c>
      <c r="AI8" s="294">
        <f>(IF('Section Load'!AJ11&gt;0,'Section Load'!AJ11,0))</f>
        <v>450</v>
      </c>
      <c r="AJ8" s="294">
        <f>(IF('Section Load'!AK11&gt;0,'Section Load'!AK11,0))</f>
        <v>378</v>
      </c>
      <c r="AK8" s="294">
        <f>(IF('Section Load'!AL11&gt;0,'Section Load'!AL11,0))</f>
        <v>297</v>
      </c>
      <c r="AL8" s="294">
        <f>(IF('Section Load'!AM11&gt;0,'Section Load'!AM11,0))</f>
        <v>841</v>
      </c>
      <c r="AM8" s="295">
        <f>(IF('Water Report'!$J$7&gt;0,'Water Report'!$J$7,0))</f>
        <v>96</v>
      </c>
      <c r="AN8" s="295">
        <f>(IF('Water Report'!$J$8&gt;0,'Water Report'!$J$8,0))</f>
        <v>0</v>
      </c>
      <c r="AO8" s="295">
        <f>(IF('Water Report'!$J$9&gt;0,'Water Report'!$J$9,0))</f>
        <v>103</v>
      </c>
      <c r="AP8" s="295">
        <f>(IF('Water Report'!$J$10&gt;0,'Water Report'!$J$10,0))</f>
        <v>17</v>
      </c>
      <c r="AQ8" s="295">
        <f>(IF('Water Report'!$J$11&gt;0,'Water Report'!$J$11,0))</f>
        <v>20</v>
      </c>
      <c r="AR8" s="295">
        <f>(IF('Water Report'!$J$13&gt;0,'Water Report'!$J$13,0))</f>
        <v>16</v>
      </c>
      <c r="AS8" s="295">
        <f>(IF('Water Report'!$J$14&gt;0,'Water Report'!$J$14,0))</f>
        <v>1</v>
      </c>
      <c r="AT8" s="295">
        <f>(IF('Water Report'!$J$15&gt;0,'Water Report'!$J$15,0))</f>
        <v>8</v>
      </c>
      <c r="AU8" s="295">
        <f>(IF('Water Report'!$J$17&gt;0,'Water Report'!$J$17,0))</f>
        <v>0</v>
      </c>
      <c r="AV8" s="295">
        <f>(IF('Water Report'!$J$18&gt;0,'Water Report'!$J$18,0))</f>
        <v>12</v>
      </c>
      <c r="AW8" s="295">
        <f>(IF('Water Report'!$J$19&gt;0,'Water Report'!$J$19,0))</f>
        <v>9</v>
      </c>
      <c r="AX8" s="301">
        <f>(IF('Water Report'!$J$21&gt;0,'Water Report'!$J$21,0))</f>
        <v>0</v>
      </c>
      <c r="AY8" s="301">
        <f>(IF('Water Report'!$J$22&gt;0,'Water Report'!$J$22,0))</f>
        <v>0</v>
      </c>
      <c r="AZ8" s="301">
        <f>(IF('Water Report'!$J$23&gt;0,'Water Report'!$J$23,0))</f>
        <v>0</v>
      </c>
      <c r="BA8" s="301">
        <f>(IF('Water Report'!$J$14&gt;0,'Water Report'!$J$14,0))</f>
        <v>1</v>
      </c>
      <c r="BB8" s="301">
        <f>(IF('Water Report'!$J$15&gt;0,'Water Report'!$J$15,0))</f>
        <v>8</v>
      </c>
      <c r="BC8" s="301">
        <f>(IF('Water Report'!$J$13&gt;0,'Water Report'!$J$13,0))</f>
        <v>16</v>
      </c>
      <c r="BD8" s="301">
        <f>(IF('Water Report'!$J$24&gt;0,'Water Report'!$J$24,0))</f>
        <v>295</v>
      </c>
      <c r="BE8" s="301">
        <f>(IF('Water Report'!$J$25&gt;0,'Water Report'!$J$25,0))</f>
        <v>149</v>
      </c>
      <c r="BF8" s="301">
        <f>(IF('Water Report'!$J$27&gt;0,'Water Report'!$J$27,0))</f>
        <v>16</v>
      </c>
      <c r="BG8" s="296">
        <f>(IF('Section Load'!AN11&gt;0,'Section Load'!AN11,0))</f>
        <v>1021</v>
      </c>
      <c r="BH8" s="296">
        <f>(IF('Section Load'!AO11&gt;0,'Section Load'!AO11,0))</f>
        <v>301</v>
      </c>
      <c r="BI8" s="296">
        <f>(IF('Section Load'!AP11&gt;0,'Section Load'!AP11,0))</f>
        <v>0</v>
      </c>
      <c r="BJ8" s="296">
        <f>(IF('Section Load'!AQ11&gt;0,'Section Load'!AQ11,0))</f>
        <v>116</v>
      </c>
      <c r="BK8" s="296">
        <f>(IF('Section Load'!AR11&gt;0,'Section Load'!AR11,0))</f>
        <v>51</v>
      </c>
      <c r="BL8" s="296">
        <f>(IF('Section Load'!AS11&gt;0,'Section Load'!AS11,0))</f>
        <v>0</v>
      </c>
      <c r="BM8" s="296">
        <f>(IF('Section Load'!AT11&gt;0,'Section Load'!AT11,0))</f>
        <v>553</v>
      </c>
    </row>
    <row r="9" spans="1:65">
      <c r="A9" s="287" t="s">
        <v>268</v>
      </c>
      <c r="B9" s="288">
        <f t="shared" si="0"/>
        <v>8</v>
      </c>
      <c r="C9" s="288">
        <v>10</v>
      </c>
      <c r="D9" s="288">
        <v>2022</v>
      </c>
      <c r="E9" s="294">
        <f>(IF('Section Load'!F12&gt;0,'Section Load'!F12,0))</f>
        <v>3651.0499999999884</v>
      </c>
      <c r="F9" s="294">
        <f>(IF('Section Load'!G12&gt;0,'Section Load'!G12,0))</f>
        <v>1068</v>
      </c>
      <c r="G9" s="294">
        <f>(IF('Section Load'!H12&gt;0,'Section Load'!H12,0))</f>
        <v>2310</v>
      </c>
      <c r="H9" s="294">
        <f>(IF('Section Load'!I12&gt;0,'Section Load'!I12,0))</f>
        <v>4330.1899999999441</v>
      </c>
      <c r="I9" s="294">
        <f>(IF('Section Load'!J12&gt;0,'Section Load'!J12,0))</f>
        <v>7147.6300000000047</v>
      </c>
      <c r="J9" s="294">
        <f>(IF('Section Load'!K12&gt;0,'Section Load'!K12,0))</f>
        <v>3052</v>
      </c>
      <c r="K9" s="294">
        <f>(IF('Section Load'!L12&gt;0,'Section Load'!L12,0))</f>
        <v>1247</v>
      </c>
      <c r="L9" s="294">
        <f>(IF('Section Load'!M12&gt;0,'Section Load'!M12,0))</f>
        <v>863</v>
      </c>
      <c r="M9" s="294">
        <f>(IF('Section Load'!N12&gt;0,'Section Load'!N12,0))</f>
        <v>164</v>
      </c>
      <c r="N9" s="294">
        <f>(IF('Section Load'!O12&gt;0,'Section Load'!O12,0))</f>
        <v>152</v>
      </c>
      <c r="O9" s="294">
        <f>(IF('Section Load'!P12&gt;0,'Section Load'!P12,0))</f>
        <v>14</v>
      </c>
      <c r="P9" s="294">
        <f>(IF('Section Load'!Q12&gt;0,'Section Load'!Q12,0))</f>
        <v>236</v>
      </c>
      <c r="Q9" s="294">
        <f>(IF('Section Load'!R12&gt;0,'Section Load'!R12,0))</f>
        <v>89</v>
      </c>
      <c r="R9" s="294">
        <f>(IF('Section Load'!S12&gt;0,'Section Load'!S12,0))</f>
        <v>226</v>
      </c>
      <c r="S9" s="294">
        <f>(IF('Section Load'!T12&gt;0,'Section Load'!T12,0))</f>
        <v>41</v>
      </c>
      <c r="T9" s="294">
        <f>(IF('Section Load'!U12&gt;0,'Section Load'!U12,0))</f>
        <v>225</v>
      </c>
      <c r="U9" s="294">
        <f>(IF('Section Load'!V12&gt;0,'Section Load'!V12,0))</f>
        <v>407</v>
      </c>
      <c r="V9" s="294">
        <f>(IF('Section Load'!W12&gt;0,'Section Load'!W12,0))</f>
        <v>322</v>
      </c>
      <c r="W9" s="294">
        <f>(IF('Section Load'!X12&gt;0,'Section Load'!X12,0))</f>
        <v>29</v>
      </c>
      <c r="X9" s="294">
        <f>(IF('Section Load'!Y12&gt;0,'Section Load'!Y12,0))</f>
        <v>244</v>
      </c>
      <c r="Y9" s="294">
        <f>(IF('Section Load'!Z12&gt;0,'Section Load'!Z12,0))</f>
        <v>69</v>
      </c>
      <c r="Z9" s="294">
        <f>(IF('Section Load'!AA12&gt;0,'Section Load'!AA12,0))</f>
        <v>289</v>
      </c>
      <c r="AA9" s="294">
        <f>(IF('Section Load'!AB12&gt;0,'Section Load'!AB12,0))</f>
        <v>24</v>
      </c>
      <c r="AB9" s="294">
        <f>(IF('Section Load'!AC12&gt;0,'Section Load'!AC12,0))</f>
        <v>0</v>
      </c>
      <c r="AC9" s="294">
        <f>(IF('Section Load'!AD12&gt;0,'Section Load'!AD12,0))</f>
        <v>144</v>
      </c>
      <c r="AD9" s="294">
        <f>(IF('Section Load'!AE12&gt;0,'Section Load'!AE12,0))</f>
        <v>526</v>
      </c>
      <c r="AE9" s="294">
        <f>(IF('Section Load'!AF12&gt;0,'Section Load'!AF12,0))</f>
        <v>370</v>
      </c>
      <c r="AF9" s="294">
        <f>(IF('Section Load'!AG12&gt;0,'Section Load'!AG12,0))</f>
        <v>569</v>
      </c>
      <c r="AG9" s="294">
        <f>(IF('Section Load'!AH12&gt;0,'Section Load'!AH12,0))</f>
        <v>14</v>
      </c>
      <c r="AH9" s="294">
        <f>(IF('Section Load'!AI12&gt;0,'Section Load'!AI12,0))</f>
        <v>384</v>
      </c>
      <c r="AI9" s="294">
        <f>(IF('Section Load'!AJ12&gt;0,'Section Load'!AJ12,0))</f>
        <v>434</v>
      </c>
      <c r="AJ9" s="294">
        <f>(IF('Section Load'!AK12&gt;0,'Section Load'!AK12,0))</f>
        <v>389</v>
      </c>
      <c r="AK9" s="294">
        <f>(IF('Section Load'!AL12&gt;0,'Section Load'!AL12,0))</f>
        <v>298</v>
      </c>
      <c r="AL9" s="294">
        <f>(IF('Section Load'!AM12&gt;0,'Section Load'!AM12,0))</f>
        <v>775</v>
      </c>
      <c r="AM9" s="295">
        <f>(IF('Water Report'!$K$7&gt;0,'Water Report'!$K$7,0))</f>
        <v>102</v>
      </c>
      <c r="AN9" s="295">
        <f>(IF('Water Report'!$K$8&gt;0,'Water Report'!$K$8,0))</f>
        <v>0</v>
      </c>
      <c r="AO9" s="295">
        <f>(IF('Water Report'!$K$9&gt;0,'Water Report'!$K$9,0))</f>
        <v>108</v>
      </c>
      <c r="AP9" s="295">
        <f>(IF('Water Report'!$K$10&gt;0,'Water Report'!$K$10,0))</f>
        <v>26</v>
      </c>
      <c r="AQ9" s="295">
        <f>(IF('Water Report'!$K$11&gt;0,'Water Report'!$K$11,0))</f>
        <v>29</v>
      </c>
      <c r="AR9" s="295">
        <f>(IF('Water Report'!$K$13&gt;0,'Water Report'!$K$13,0))</f>
        <v>25</v>
      </c>
      <c r="AS9" s="295">
        <f>(IF('Water Report'!$K$14&gt;0,'Water Report'!$K$14,0))</f>
        <v>4</v>
      </c>
      <c r="AT9" s="295">
        <f>(IF('Water Report'!$K$15&gt;0,'Water Report'!$K$15,0))</f>
        <v>9</v>
      </c>
      <c r="AU9" s="295">
        <f>(IF('Water Report'!$K$17&gt;0,'Water Report'!$K$17,0))</f>
        <v>0</v>
      </c>
      <c r="AV9" s="295">
        <f>(IF('Water Report'!$K$18&gt;0,'Water Report'!$K$18,0))</f>
        <v>16</v>
      </c>
      <c r="AW9" s="295">
        <f>(IF('Water Report'!$K$19&gt;0,'Water Report'!$K$19,0))</f>
        <v>10</v>
      </c>
      <c r="AX9" s="301">
        <f>(IF('Water Report'!$K$21&gt;0,'Water Report'!$K$21,0))</f>
        <v>0</v>
      </c>
      <c r="AY9" s="301">
        <f>(IF('Water Report'!$K$22&gt;0,'Water Report'!$K$22,0))</f>
        <v>0</v>
      </c>
      <c r="AZ9" s="301">
        <f>(IF('Water Report'!$K$23&gt;0,'Water Report'!$K$23,0))</f>
        <v>0</v>
      </c>
      <c r="BA9" s="301">
        <f>(IF('Water Report'!$K$14&gt;0,'Water Report'!$K$14,0))</f>
        <v>4</v>
      </c>
      <c r="BB9" s="301">
        <f>(IF('Water Report'!$K$15&gt;0,'Water Report'!$K$15,0))</f>
        <v>9</v>
      </c>
      <c r="BC9" s="301">
        <f>(IF('Water Report'!$K$13&gt;0,'Water Report'!$K$13,0))</f>
        <v>25</v>
      </c>
      <c r="BD9" s="301">
        <f>(IF('Water Report'!$K$24&gt;0,'Water Report'!$K$24,0))</f>
        <v>297</v>
      </c>
      <c r="BE9" s="301">
        <f>(IF('Water Report'!$K$25&gt;0,'Water Report'!$K$25,0))</f>
        <v>176</v>
      </c>
      <c r="BF9" s="301">
        <f>(IF('Water Report'!$K$27&gt;0,'Water Report'!$K$27,0))</f>
        <v>25</v>
      </c>
      <c r="BG9" s="296">
        <f>(IF('Section Load'!AN12&gt;0,'Section Load'!AN12,0))</f>
        <v>1021</v>
      </c>
      <c r="BH9" s="296">
        <f>(IF('Section Load'!AO12&gt;0,'Section Load'!AO12,0))</f>
        <v>302</v>
      </c>
      <c r="BI9" s="296">
        <f>(IF('Section Load'!AP12&gt;0,'Section Load'!AP12,0))</f>
        <v>0</v>
      </c>
      <c r="BJ9" s="296">
        <f>(IF('Section Load'!AQ12&gt;0,'Section Load'!AQ12,0))</f>
        <v>110</v>
      </c>
      <c r="BK9" s="296">
        <f>(IF('Section Load'!AR12&gt;0,'Section Load'!AR12,0))</f>
        <v>52</v>
      </c>
      <c r="BL9" s="296">
        <f>(IF('Section Load'!AS12&gt;0,'Section Load'!AS12,0))</f>
        <v>0</v>
      </c>
      <c r="BM9" s="296">
        <f>(IF('Section Load'!AT12&gt;0,'Section Load'!AT12,0))</f>
        <v>557</v>
      </c>
    </row>
    <row r="10" spans="1:65">
      <c r="A10" s="287" t="s">
        <v>268</v>
      </c>
      <c r="B10" s="288">
        <f t="shared" si="0"/>
        <v>9</v>
      </c>
      <c r="C10" s="288">
        <v>10</v>
      </c>
      <c r="D10" s="288">
        <v>2022</v>
      </c>
      <c r="E10" s="294">
        <f>(IF('Section Load'!F13&gt;0,'Section Load'!F13,0))</f>
        <v>3585.7299999999814</v>
      </c>
      <c r="F10" s="294">
        <f>(IF('Section Load'!G13&gt;0,'Section Load'!G13,0))</f>
        <v>1033.5899999999965</v>
      </c>
      <c r="G10" s="294">
        <f>(IF('Section Load'!H13&gt;0,'Section Load'!H13,0))</f>
        <v>2271.7099999999627</v>
      </c>
      <c r="H10" s="294">
        <f>(IF('Section Load'!I13&gt;0,'Section Load'!I13,0))</f>
        <v>4016.2299999999814</v>
      </c>
      <c r="I10" s="294">
        <f>(IF('Section Load'!J13&gt;0,'Section Load'!J13,0))</f>
        <v>6669.6500000000524</v>
      </c>
      <c r="J10" s="294">
        <f>(IF('Section Load'!K13&gt;0,'Section Load'!K13,0))</f>
        <v>3267.0300000000279</v>
      </c>
      <c r="K10" s="294">
        <f>(IF('Section Load'!L13&gt;0,'Section Load'!L13,0))</f>
        <v>1563.1500000000233</v>
      </c>
      <c r="L10" s="294">
        <f>(IF('Section Load'!M13&gt;0,'Section Load'!M13,0))</f>
        <v>858.42999999999302</v>
      </c>
      <c r="M10" s="294">
        <f>(IF('Section Load'!N13&gt;0,'Section Load'!N13,0))</f>
        <v>168</v>
      </c>
      <c r="N10" s="294">
        <f>(IF('Section Load'!O13&gt;0,'Section Load'!O13,0))</f>
        <v>157</v>
      </c>
      <c r="O10" s="294">
        <f>(IF('Section Load'!P13&gt;0,'Section Load'!P13,0))</f>
        <v>11.489999999999782</v>
      </c>
      <c r="P10" s="294">
        <f>(IF('Section Load'!Q13&gt;0,'Section Load'!Q13,0))</f>
        <v>227.36999999999534</v>
      </c>
      <c r="Q10" s="294">
        <f>(IF('Section Load'!R13&gt;0,'Section Load'!R13,0))</f>
        <v>79.139999999999418</v>
      </c>
      <c r="R10" s="294">
        <f>(IF('Section Load'!S13&gt;0,'Section Load'!S13,0))</f>
        <v>220.15999999999985</v>
      </c>
      <c r="S10" s="294">
        <f>(IF('Section Load'!T13&gt;0,'Section Load'!T13,0))</f>
        <v>40</v>
      </c>
      <c r="T10" s="294">
        <f>(IF('Section Load'!U13&gt;0,'Section Load'!U13,0))</f>
        <v>237</v>
      </c>
      <c r="U10" s="294">
        <f>(IF('Section Load'!V13&gt;0,'Section Load'!V13,0))</f>
        <v>390</v>
      </c>
      <c r="V10" s="294">
        <f>(IF('Section Load'!W13&gt;0,'Section Load'!W13,0))</f>
        <v>283.92000000004191</v>
      </c>
      <c r="W10" s="294">
        <f>(IF('Section Load'!X13&gt;0,'Section Load'!X13,0))</f>
        <v>26.559999999999491</v>
      </c>
      <c r="X10" s="294">
        <f>(IF('Section Load'!Y13&gt;0,'Section Load'!Y13,0))</f>
        <v>258.64999999999418</v>
      </c>
      <c r="Y10" s="294">
        <f>(IF('Section Load'!Z13&gt;0,'Section Load'!Z13,0))</f>
        <v>51</v>
      </c>
      <c r="Z10" s="294">
        <f>(IF('Section Load'!AA13&gt;0,'Section Load'!AA13,0))</f>
        <v>261.32000000000698</v>
      </c>
      <c r="AA10" s="294">
        <f>(IF('Section Load'!AB13&gt;0,'Section Load'!AB13,0))</f>
        <v>16.5</v>
      </c>
      <c r="AB10" s="294">
        <f>(IF('Section Load'!AC13&gt;0,'Section Load'!AC13,0))</f>
        <v>0</v>
      </c>
      <c r="AC10" s="294">
        <f>(IF('Section Load'!AD13&gt;0,'Section Load'!AD13,0))</f>
        <v>27.899999999999636</v>
      </c>
      <c r="AD10" s="294">
        <f>(IF('Section Load'!AE13&gt;0,'Section Load'!AE13,0))</f>
        <v>372.30999999999767</v>
      </c>
      <c r="AE10" s="294">
        <f>(IF('Section Load'!AF13&gt;0,'Section Load'!AF13,0))</f>
        <v>321.62999999999738</v>
      </c>
      <c r="AF10" s="294">
        <f>(IF('Section Load'!AG13&gt;0,'Section Load'!AG13,0))</f>
        <v>522.0399999999936</v>
      </c>
      <c r="AG10" s="294">
        <f>(IF('Section Load'!AH13&gt;0,'Section Load'!AH13,0))</f>
        <v>10.110000000000582</v>
      </c>
      <c r="AH10" s="294">
        <f>(IF('Section Load'!AI13&gt;0,'Section Load'!AI13,0))</f>
        <v>399.32000000000698</v>
      </c>
      <c r="AI10" s="294">
        <f>(IF('Section Load'!AJ13&gt;0,'Section Load'!AJ13,0))</f>
        <v>420.85000000000582</v>
      </c>
      <c r="AJ10" s="294">
        <f>(IF('Section Load'!AK13&gt;0,'Section Load'!AK13,0))</f>
        <v>364.08000000000175</v>
      </c>
      <c r="AK10" s="294">
        <f>(IF('Section Load'!AL13&gt;0,'Section Load'!AL13,0))</f>
        <v>309.9800000000032</v>
      </c>
      <c r="AL10" s="294">
        <f>(IF('Section Load'!AM13&gt;0,'Section Load'!AM13,0))</f>
        <v>876.19000000000233</v>
      </c>
      <c r="AM10" s="295">
        <f>(IF('Water Report'!$L$7&gt;0,'Water Report'!$L$7,0))</f>
        <v>106</v>
      </c>
      <c r="AN10" s="295">
        <f>(IF('Water Report'!$L$8&gt;0,'Water Report'!$L$8,0))</f>
        <v>0</v>
      </c>
      <c r="AO10" s="295">
        <f>(IF('Water Report'!$L$9&gt;0,'Water Report'!$L$9,0))</f>
        <v>105</v>
      </c>
      <c r="AP10" s="295">
        <f>(IF('Water Report'!$L$10&gt;0,'Water Report'!$L$10,0))</f>
        <v>12</v>
      </c>
      <c r="AQ10" s="295">
        <f>(IF('Water Report'!$L$11&gt;0,'Water Report'!$L$11,0))</f>
        <v>17</v>
      </c>
      <c r="AR10" s="295">
        <f>(IF('Water Report'!$L$13&gt;0,'Water Report'!$L$13,0))</f>
        <v>32</v>
      </c>
      <c r="AS10" s="295">
        <f>(IF('Water Report'!$L$14&gt;0,'Water Report'!$L$14,0))</f>
        <v>6</v>
      </c>
      <c r="AT10" s="295">
        <f>(IF('Water Report'!$L$15&gt;0,'Water Report'!$L$15,0))</f>
        <v>6</v>
      </c>
      <c r="AU10" s="295">
        <f>(IF('Water Report'!$L$17&gt;0,'Water Report'!$L$17,0))</f>
        <v>0</v>
      </c>
      <c r="AV10" s="295">
        <f>(IF('Water Report'!$L$18&gt;0,'Water Report'!$L$18,0))</f>
        <v>15</v>
      </c>
      <c r="AW10" s="295">
        <f>(IF('Water Report'!$L$19&gt;0,'Water Report'!$L$19,0))</f>
        <v>13</v>
      </c>
      <c r="AX10" s="301">
        <f>(IF('Water Report'!$L$21&gt;0,'Water Report'!$L$21,0))</f>
        <v>0</v>
      </c>
      <c r="AY10" s="301">
        <f>(IF('Water Report'!$L$22&gt;0,'Water Report'!$L$22,0))</f>
        <v>0</v>
      </c>
      <c r="AZ10" s="301">
        <f>(IF('Water Report'!$L$23&gt;0,'Water Report'!$L$23,0))</f>
        <v>0</v>
      </c>
      <c r="BA10" s="301">
        <f>(IF('Water Report'!$L$14&gt;0,'Water Report'!$L$14,0))</f>
        <v>6</v>
      </c>
      <c r="BB10" s="301">
        <f>(IF('Water Report'!$L$15&gt;0,'Water Report'!$L$15,0))</f>
        <v>6</v>
      </c>
      <c r="BC10" s="301">
        <f>(IF('Water Report'!$L$13&gt;0,'Water Report'!$L$13,0))</f>
        <v>32</v>
      </c>
      <c r="BD10" s="301">
        <f>(IF('Water Report'!$L$24&gt;0,'Water Report'!$L$24,0))</f>
        <v>332</v>
      </c>
      <c r="BE10" s="301">
        <f>(IF('Water Report'!$L$25&gt;0,'Water Report'!$L$25,0))</f>
        <v>146</v>
      </c>
      <c r="BF10" s="301">
        <f>(IF('Water Report'!$L$27&gt;0,'Water Report'!$L$27,0))</f>
        <v>32</v>
      </c>
      <c r="BG10" s="296">
        <f>(IF('Section Load'!AN13&gt;0,'Section Load'!AN13,0))</f>
        <v>1093</v>
      </c>
      <c r="BH10" s="296">
        <f>(IF('Section Load'!AO13&gt;0,'Section Load'!AO13,0))</f>
        <v>313.02000000001863</v>
      </c>
      <c r="BI10" s="296">
        <f>(IF('Section Load'!AP13&gt;0,'Section Load'!AP13,0))</f>
        <v>0</v>
      </c>
      <c r="BJ10" s="296">
        <f>(IF('Section Load'!AQ13&gt;0,'Section Load'!AQ13,0))</f>
        <v>107.64000000001397</v>
      </c>
      <c r="BK10" s="296">
        <f>(IF('Section Load'!AR13&gt;0,'Section Load'!AR13,0))</f>
        <v>53</v>
      </c>
      <c r="BL10" s="296">
        <f>(IF('Section Load'!AS13&gt;0,'Section Load'!AS13,0))</f>
        <v>0</v>
      </c>
      <c r="BM10" s="296">
        <f>(IF('Section Load'!AT13&gt;0,'Section Load'!AT13,0))</f>
        <v>619.3399999999674</v>
      </c>
    </row>
    <row r="11" spans="1:65">
      <c r="A11" s="287" t="s">
        <v>268</v>
      </c>
      <c r="B11" s="288">
        <f t="shared" si="0"/>
        <v>10</v>
      </c>
      <c r="C11" s="288">
        <v>10</v>
      </c>
      <c r="D11" s="288">
        <v>2022</v>
      </c>
      <c r="E11" s="294">
        <f>(IF('Section Load'!F14&gt;0,'Section Load'!F14,0))</f>
        <v>3508.6800000000803</v>
      </c>
      <c r="F11" s="294">
        <f>(IF('Section Load'!G14&gt;0,'Section Load'!G14,0))</f>
        <v>1043.5599999999977</v>
      </c>
      <c r="G11" s="294">
        <f>(IF('Section Load'!H14&gt;0,'Section Load'!H14,0))</f>
        <v>2128.3200000000652</v>
      </c>
      <c r="H11" s="294">
        <f>(IF('Section Load'!I14&gt;0,'Section Load'!I14,0))</f>
        <v>4009.1199999999953</v>
      </c>
      <c r="I11" s="294">
        <f>(IF('Section Load'!J14&gt;0,'Section Load'!J14,0))</f>
        <v>5322.5899999999383</v>
      </c>
      <c r="J11" s="294">
        <f>(IF('Section Load'!K14&gt;0,'Section Load'!K14,0))</f>
        <v>3088.4399999999441</v>
      </c>
      <c r="K11" s="294">
        <f>(IF('Section Load'!L14&gt;0,'Section Load'!L14,0))</f>
        <v>1987.3199999999488</v>
      </c>
      <c r="L11" s="294">
        <f>(IF('Section Load'!M14&gt;0,'Section Load'!M14,0))</f>
        <v>777.17999999999302</v>
      </c>
      <c r="M11" s="294">
        <f>(IF('Section Load'!N14&gt;0,'Section Load'!N14,0))</f>
        <v>124</v>
      </c>
      <c r="N11" s="294">
        <f>(IF('Section Load'!O14&gt;0,'Section Load'!O14,0))</f>
        <v>152</v>
      </c>
      <c r="O11" s="294">
        <f>(IF('Section Load'!P14&gt;0,'Section Load'!P14,0))</f>
        <v>12.160000000000309</v>
      </c>
      <c r="P11" s="294">
        <f>(IF('Section Load'!Q14&gt;0,'Section Load'!Q14,0))</f>
        <v>224.99000000000524</v>
      </c>
      <c r="Q11" s="294">
        <f>(IF('Section Load'!R14&gt;0,'Section Load'!R14,0))</f>
        <v>83.459999999999127</v>
      </c>
      <c r="R11" s="294">
        <f>(IF('Section Load'!S14&gt;0,'Section Load'!S14,0))</f>
        <v>192.23999999999978</v>
      </c>
      <c r="S11" s="294">
        <f>(IF('Section Load'!T14&gt;0,'Section Load'!T14,0))</f>
        <v>41</v>
      </c>
      <c r="T11" s="294">
        <f>(IF('Section Load'!U14&gt;0,'Section Load'!U14,0))</f>
        <v>235</v>
      </c>
      <c r="U11" s="294">
        <f>(IF('Section Load'!V14&gt;0,'Section Load'!V14,0))</f>
        <v>417.43999999994412</v>
      </c>
      <c r="V11" s="294">
        <f>(IF('Section Load'!W14&gt;0,'Section Load'!W14,0))</f>
        <v>305.27999999991152</v>
      </c>
      <c r="W11" s="294">
        <f>(IF('Section Load'!X14&gt;0,'Section Load'!X14,0))</f>
        <v>28.440000000000509</v>
      </c>
      <c r="X11" s="294">
        <f>(IF('Section Load'!Y14&gt;0,'Section Load'!Y14,0))</f>
        <v>256.60000000000582</v>
      </c>
      <c r="Y11" s="294">
        <f>(IF('Section Load'!Z14&gt;0,'Section Load'!Z14,0))</f>
        <v>54</v>
      </c>
      <c r="Z11" s="294">
        <f>(IF('Section Load'!AA14&gt;0,'Section Load'!AA14,0))</f>
        <v>296.67999999999302</v>
      </c>
      <c r="AA11" s="294">
        <f>(IF('Section Load'!AB14&gt;0,'Section Load'!AB14,0))</f>
        <v>41.399999999994179</v>
      </c>
      <c r="AB11" s="294">
        <f>(IF('Section Load'!AC14&gt;0,'Section Load'!AC14,0))</f>
        <v>0</v>
      </c>
      <c r="AC11" s="294">
        <f>(IF('Section Load'!AD14&gt;0,'Section Load'!AD14,0))</f>
        <v>126.39999999999964</v>
      </c>
      <c r="AD11" s="294">
        <f>(IF('Section Load'!AE14&gt;0,'Section Load'!AE14,0))</f>
        <v>190.72999999999593</v>
      </c>
      <c r="AE11" s="294">
        <f>(IF('Section Load'!AF14&gt;0,'Section Load'!AF14,0))</f>
        <v>293.35000000000582</v>
      </c>
      <c r="AF11" s="294">
        <f>(IF('Section Load'!AG14&gt;0,'Section Load'!AG14,0))</f>
        <v>600.27000000000407</v>
      </c>
      <c r="AG11" s="294">
        <f>(IF('Section Load'!AH14&gt;0,'Section Load'!AH14,0))</f>
        <v>12.430000000000291</v>
      </c>
      <c r="AH11" s="294">
        <f>(IF('Section Load'!AI14&gt;0,'Section Load'!AI14,0))</f>
        <v>398.77999999999884</v>
      </c>
      <c r="AI11" s="294">
        <f>(IF('Section Load'!AJ14&gt;0,'Section Load'!AJ14,0))</f>
        <v>430.73999999999069</v>
      </c>
      <c r="AJ11" s="294">
        <f>(IF('Section Load'!AK14&gt;0,'Section Load'!AK14,0))</f>
        <v>393.25999999999476</v>
      </c>
      <c r="AK11" s="294">
        <f>(IF('Section Load'!AL14&gt;0,'Section Load'!AL14,0))</f>
        <v>307.80999999999767</v>
      </c>
      <c r="AL11" s="294">
        <f>(IF('Section Load'!AM14&gt;0,'Section Load'!AM14,0))</f>
        <v>860.0800000000163</v>
      </c>
      <c r="AM11" s="295">
        <f>(IF('Water Report'!$M$7&gt;0,'Water Report'!$M$7,0))</f>
        <v>75</v>
      </c>
      <c r="AN11" s="295">
        <f>(IF('Water Report'!$M$8&gt;0,'Water Report'!$M$8,0))</f>
        <v>0</v>
      </c>
      <c r="AO11" s="295">
        <f>(IF('Water Report'!$M$9&gt;0,'Water Report'!$M$9,0))</f>
        <v>98</v>
      </c>
      <c r="AP11" s="295">
        <f>(IF('Water Report'!$M$10&gt;0,'Water Report'!$M$10,0))</f>
        <v>11</v>
      </c>
      <c r="AQ11" s="295">
        <f>(IF('Water Report'!$M$11&gt;0,'Water Report'!$M$11,0))</f>
        <v>23</v>
      </c>
      <c r="AR11" s="295">
        <f>(IF('Water Report'!$M$13&gt;0,'Water Report'!$M$13,0))</f>
        <v>49</v>
      </c>
      <c r="AS11" s="295">
        <f>(IF('Water Report'!$M$14&gt;0,'Water Report'!$M$14,0))</f>
        <v>3</v>
      </c>
      <c r="AT11" s="295">
        <f>(IF('Water Report'!$M$15&gt;0,'Water Report'!$M$15,0))</f>
        <v>7</v>
      </c>
      <c r="AU11" s="295">
        <f>(IF('Water Report'!$M$17&gt;0,'Water Report'!$M$17,0))</f>
        <v>2</v>
      </c>
      <c r="AV11" s="295">
        <f>(IF('Water Report'!$M$18&gt;0,'Water Report'!$M$18,0))</f>
        <v>12</v>
      </c>
      <c r="AW11" s="295">
        <f>(IF('Water Report'!$M$19&gt;0,'Water Report'!$M$19,0))</f>
        <v>9</v>
      </c>
      <c r="AX11" s="301">
        <f>(IF('Water Report'!$M$21&gt;0,'Water Report'!$M$21,0))</f>
        <v>0</v>
      </c>
      <c r="AY11" s="301">
        <f>(IF('Water Report'!$M$22&gt;0,'Water Report'!$M$22,0))</f>
        <v>0</v>
      </c>
      <c r="AZ11" s="301">
        <f>(IF('Water Report'!$M$23&gt;0,'Water Report'!$M$23,0))</f>
        <v>0</v>
      </c>
      <c r="BA11" s="301">
        <f>(IF('Water Report'!$M$14&gt;0,'Water Report'!$M$14,0))</f>
        <v>3</v>
      </c>
      <c r="BB11" s="301">
        <f>(IF('Water Report'!$M$15&gt;0,'Water Report'!$M$15,0))</f>
        <v>7</v>
      </c>
      <c r="BC11" s="301">
        <f>(IF('Water Report'!$M$13&gt;0,'Water Report'!$M$13,0))</f>
        <v>49</v>
      </c>
      <c r="BD11" s="301">
        <f>(IF('Water Report'!$M$24&gt;0,'Water Report'!$M$24,0))</f>
        <v>230</v>
      </c>
      <c r="BE11" s="301">
        <f>(IF('Water Report'!$M$25&gt;0,'Water Report'!$M$25,0))</f>
        <v>142</v>
      </c>
      <c r="BF11" s="301">
        <f>(IF('Water Report'!$M$27&gt;0,'Water Report'!$M$27,0))</f>
        <v>49</v>
      </c>
      <c r="BG11" s="296">
        <f>(IF('Section Load'!AN14&gt;0,'Section Load'!AN14,0))</f>
        <v>1003.9199999999255</v>
      </c>
      <c r="BH11" s="296">
        <f>(IF('Section Load'!AO14&gt;0,'Section Load'!AO14,0))</f>
        <v>320.61999999999534</v>
      </c>
      <c r="BI11" s="296">
        <f>(IF('Section Load'!AP14&gt;0,'Section Load'!AP14,0))</f>
        <v>0</v>
      </c>
      <c r="BJ11" s="296">
        <f>(IF('Section Load'!AQ14&gt;0,'Section Load'!AQ14,0))</f>
        <v>94.789999999979045</v>
      </c>
      <c r="BK11" s="296">
        <f>(IF('Section Load'!AR14&gt;0,'Section Load'!AR14,0))</f>
        <v>62.5</v>
      </c>
      <c r="BL11" s="296">
        <f>(IF('Section Load'!AS14&gt;0,'Section Load'!AS14,0))</f>
        <v>0</v>
      </c>
      <c r="BM11" s="296">
        <f>(IF('Section Load'!AT14&gt;0,'Section Load'!AT14,0))</f>
        <v>526.00999999995111</v>
      </c>
    </row>
    <row r="12" spans="1:65">
      <c r="A12" s="287" t="s">
        <v>268</v>
      </c>
      <c r="B12" s="288">
        <f t="shared" si="0"/>
        <v>11</v>
      </c>
      <c r="C12" s="288">
        <v>10</v>
      </c>
      <c r="D12" s="288">
        <v>2022</v>
      </c>
      <c r="E12" s="294">
        <f>(IF('Section Load'!F15&gt;0,'Section Load'!F15,0))</f>
        <v>3486.5999999999476</v>
      </c>
      <c r="F12" s="294">
        <f>(IF('Section Load'!G15&gt;0,'Section Load'!G15,0))</f>
        <v>1017.0900000000111</v>
      </c>
      <c r="G12" s="294">
        <f>(IF('Section Load'!H15&gt;0,'Section Load'!H15,0))</f>
        <v>2187.640000000014</v>
      </c>
      <c r="H12" s="294">
        <f>(IF('Section Load'!I15&gt;0,'Section Load'!I15,0))</f>
        <v>4276.320000000007</v>
      </c>
      <c r="I12" s="294">
        <f>(IF('Section Load'!J15&gt;0,'Section Load'!J15,0))</f>
        <v>5153.3700000000827</v>
      </c>
      <c r="J12" s="294">
        <f>(IF('Section Load'!K15&gt;0,'Section Load'!K15,0))</f>
        <v>2778</v>
      </c>
      <c r="K12" s="294">
        <f>(IF('Section Load'!L15&gt;0,'Section Load'!L15,0))</f>
        <v>1539.8000000000466</v>
      </c>
      <c r="L12" s="294">
        <f>(IF('Section Load'!M15&gt;0,'Section Load'!M15,0))</f>
        <v>1047.2999999999884</v>
      </c>
      <c r="M12" s="294">
        <f>(IF('Section Load'!N15&gt;0,'Section Load'!N15,0))</f>
        <v>85</v>
      </c>
      <c r="N12" s="294">
        <f>(IF('Section Load'!O15&gt;0,'Section Load'!O15,0))</f>
        <v>166</v>
      </c>
      <c r="O12" s="294">
        <f>(IF('Section Load'!P15&gt;0,'Section Load'!P15,0))</f>
        <v>10.829999999999927</v>
      </c>
      <c r="P12" s="294">
        <f>(IF('Section Load'!Q15&gt;0,'Section Load'!Q15,0))</f>
        <v>217.63999999999942</v>
      </c>
      <c r="Q12" s="294">
        <f>(IF('Section Load'!R15&gt;0,'Section Load'!R15,0))</f>
        <v>88.349999999998545</v>
      </c>
      <c r="R12" s="294">
        <f>(IF('Section Load'!S15&gt;0,'Section Load'!S15,0))</f>
        <v>176.35000000000036</v>
      </c>
      <c r="S12" s="294">
        <f>(IF('Section Load'!T15&gt;0,'Section Load'!T15,0))</f>
        <v>40</v>
      </c>
      <c r="T12" s="294">
        <f>(IF('Section Load'!U15&gt;0,'Section Load'!U15,0))</f>
        <v>246</v>
      </c>
      <c r="U12" s="294">
        <f>(IF('Section Load'!V15&gt;0,'Section Load'!V15,0))</f>
        <v>377.36000000010245</v>
      </c>
      <c r="V12" s="294">
        <f>(IF('Section Load'!W15&gt;0,'Section Load'!W15,0))</f>
        <v>339.84000000008382</v>
      </c>
      <c r="W12" s="294">
        <f>(IF('Section Load'!X15&gt;0,'Section Load'!X15,0))</f>
        <v>22.700000000000728</v>
      </c>
      <c r="X12" s="294">
        <f>(IF('Section Load'!Y15&gt;0,'Section Load'!Y15,0))</f>
        <v>218.00999999999476</v>
      </c>
      <c r="Y12" s="294">
        <f>(IF('Section Load'!Z15&gt;0,'Section Load'!Z15,0))</f>
        <v>63</v>
      </c>
      <c r="Z12" s="294">
        <f>(IF('Section Load'!AA15&gt;0,'Section Load'!AA15,0))</f>
        <v>288.20000000001164</v>
      </c>
      <c r="AA12" s="294">
        <f>(IF('Section Load'!AB15&gt;0,'Section Load'!AB15,0))</f>
        <v>37.700000000011642</v>
      </c>
      <c r="AB12" s="294">
        <f>(IF('Section Load'!AC15&gt;0,'Section Load'!AC15,0))</f>
        <v>0</v>
      </c>
      <c r="AC12" s="294">
        <f>(IF('Section Load'!AD15&gt;0,'Section Load'!AD15,0))</f>
        <v>150.30000000000018</v>
      </c>
      <c r="AD12" s="294">
        <f>(IF('Section Load'!AE15&gt;0,'Section Load'!AE15,0))</f>
        <v>511.5</v>
      </c>
      <c r="AE12" s="294">
        <f>(IF('Section Load'!AF15&gt;0,'Section Load'!AF15,0))</f>
        <v>283.93000000000029</v>
      </c>
      <c r="AF12" s="294">
        <f>(IF('Section Load'!AG15&gt;0,'Section Load'!AG15,0))</f>
        <v>623.07000000000698</v>
      </c>
      <c r="AG12" s="294">
        <f>(IF('Section Load'!AH15&gt;0,'Section Load'!AH15,0))</f>
        <v>12.790000000000873</v>
      </c>
      <c r="AH12" s="294">
        <f>(IF('Section Load'!AI15&gt;0,'Section Load'!AI15,0))</f>
        <v>396.97000000000116</v>
      </c>
      <c r="AI12" s="294">
        <f>(IF('Section Load'!AJ15&gt;0,'Section Load'!AJ15,0))</f>
        <v>424.38000000000466</v>
      </c>
      <c r="AJ12" s="294">
        <f>(IF('Section Load'!AK15&gt;0,'Section Load'!AK15,0))</f>
        <v>375.30000000000291</v>
      </c>
      <c r="AK12" s="294">
        <f>(IF('Section Load'!AL15&gt;0,'Section Load'!AL15,0))</f>
        <v>299.84999999999854</v>
      </c>
      <c r="AL12" s="294">
        <f>(IF('Section Load'!AM15&gt;0,'Section Load'!AM15,0))</f>
        <v>879.73999999999069</v>
      </c>
      <c r="AM12" s="295">
        <f>(IF('Water Report'!$N$7&gt;0,'Water Report'!$N$7,0))</f>
        <v>107</v>
      </c>
      <c r="AN12" s="295">
        <f>(IF('Water Report'!$N$8&gt;0,'Water Report'!$N$8,0))</f>
        <v>0</v>
      </c>
      <c r="AO12" s="295">
        <f>(IF('Water Report'!$N$9&gt;0,'Water Report'!$N$9,0))</f>
        <v>95</v>
      </c>
      <c r="AP12" s="295">
        <f>(IF('Water Report'!$N$10&gt;0,'Water Report'!$N$10,0))</f>
        <v>11</v>
      </c>
      <c r="AQ12" s="295">
        <f>(IF('Water Report'!$N$11&gt;0,'Water Report'!$N$11,0))</f>
        <v>22</v>
      </c>
      <c r="AR12" s="295">
        <f>(IF('Water Report'!$N$13&gt;0,'Water Report'!$N$13,0))</f>
        <v>25</v>
      </c>
      <c r="AS12" s="295">
        <f>(IF('Water Report'!$N$14&gt;0,'Water Report'!$N$14,0))</f>
        <v>4</v>
      </c>
      <c r="AT12" s="295">
        <f>(IF('Water Report'!$N$15&gt;0,'Water Report'!$N$15,0))</f>
        <v>13</v>
      </c>
      <c r="AU12" s="295">
        <f>(IF('Water Report'!$N$17&gt;0,'Water Report'!$N$17,0))</f>
        <v>2</v>
      </c>
      <c r="AV12" s="295">
        <f>(IF('Water Report'!$N$18&gt;0,'Water Report'!$N$18,0))</f>
        <v>15</v>
      </c>
      <c r="AW12" s="295">
        <f>(IF('Water Report'!$N$19&gt;0,'Water Report'!$N$19,0))</f>
        <v>10</v>
      </c>
      <c r="AX12" s="301">
        <f>(IF('Water Report'!$N$21&gt;0,'Water Report'!$N$21,0))</f>
        <v>3</v>
      </c>
      <c r="AY12" s="301">
        <f>(IF('Water Report'!$N$22&gt;0,'Water Report'!$N$22,0))</f>
        <v>0</v>
      </c>
      <c r="AZ12" s="301">
        <f>(IF('Water Report'!$N$23&gt;0,'Water Report'!$N$23,0))</f>
        <v>0</v>
      </c>
      <c r="BA12" s="301">
        <f>(IF('Water Report'!$N$14&gt;0,'Water Report'!$N$14,0))</f>
        <v>4</v>
      </c>
      <c r="BB12" s="301">
        <f>(IF('Water Report'!$N$15&gt;0,'Water Report'!$N$15,0))</f>
        <v>13</v>
      </c>
      <c r="BC12" s="301">
        <f>(IF('Water Report'!$N$13&gt;0,'Water Report'!$N$13,0))</f>
        <v>25</v>
      </c>
      <c r="BD12" s="301">
        <f>(IF('Water Report'!$N$24&gt;0,'Water Report'!$N$24,0))</f>
        <v>335</v>
      </c>
      <c r="BE12" s="301">
        <f>(IF('Water Report'!$N$25&gt;0,'Water Report'!$N$25,0))</f>
        <v>145</v>
      </c>
      <c r="BF12" s="301">
        <f>(IF('Water Report'!$N$27&gt;0,'Water Report'!$N$27,0))</f>
        <v>28</v>
      </c>
      <c r="BG12" s="296">
        <f>(IF('Section Load'!AN15&gt;0,'Section Load'!AN15,0))</f>
        <v>1018.7000000001863</v>
      </c>
      <c r="BH12" s="296">
        <f>(IF('Section Load'!AO15&gt;0,'Section Load'!AO15,0))</f>
        <v>297.17000000004191</v>
      </c>
      <c r="BI12" s="296">
        <f>(IF('Section Load'!AP15&gt;0,'Section Load'!AP15,0))</f>
        <v>0</v>
      </c>
      <c r="BJ12" s="296">
        <f>(IF('Section Load'!AQ15&gt;0,'Section Load'!AQ15,0))</f>
        <v>120.74000000001979</v>
      </c>
      <c r="BK12" s="296">
        <f>(IF('Section Load'!AR15&gt;0,'Section Load'!AR15,0))</f>
        <v>58.5</v>
      </c>
      <c r="BL12" s="296">
        <f>(IF('Section Load'!AS15&gt;0,'Section Load'!AS15,0))</f>
        <v>0</v>
      </c>
      <c r="BM12" s="296">
        <f>(IF('Section Load'!AT15&gt;0,'Section Load'!AT15,0))</f>
        <v>542.29000000012456</v>
      </c>
    </row>
    <row r="13" spans="1:65">
      <c r="A13" s="287" t="s">
        <v>268</v>
      </c>
      <c r="B13" s="288">
        <f t="shared" si="0"/>
        <v>12</v>
      </c>
      <c r="C13" s="288">
        <v>10</v>
      </c>
      <c r="D13" s="288">
        <v>2022</v>
      </c>
      <c r="E13" s="294">
        <f>(IF('Section Load'!F16&gt;0,'Section Load'!F16,0))</f>
        <v>3468.9200000000419</v>
      </c>
      <c r="F13" s="294">
        <f>(IF('Section Load'!G16&gt;0,'Section Load'!G16,0))</f>
        <v>1007.5999999999913</v>
      </c>
      <c r="G13" s="294">
        <f>(IF('Section Load'!H16&gt;0,'Section Load'!H16,0))</f>
        <v>2223.3999999999069</v>
      </c>
      <c r="H13" s="294">
        <f>(IF('Section Load'!I16&gt;0,'Section Load'!I16,0))</f>
        <v>4336.1600000000326</v>
      </c>
      <c r="I13" s="294">
        <f>(IF('Section Load'!J16&gt;0,'Section Load'!J16,0))</f>
        <v>4875.7099999999627</v>
      </c>
      <c r="J13" s="294">
        <f>(IF('Section Load'!K16&gt;0,'Section Load'!K16,0))</f>
        <v>2783.4400000000023</v>
      </c>
      <c r="K13" s="294">
        <f>(IF('Section Load'!L16&gt;0,'Section Load'!L16,0))</f>
        <v>1507.8800000000047</v>
      </c>
      <c r="L13" s="294">
        <f>(IF('Section Load'!M16&gt;0,'Section Load'!M16,0))</f>
        <v>1019.640000000014</v>
      </c>
      <c r="M13" s="294">
        <f>(IF('Section Load'!N16&gt;0,'Section Load'!N16,0))</f>
        <v>127</v>
      </c>
      <c r="N13" s="294">
        <f>(IF('Section Load'!O16&gt;0,'Section Load'!O16,0))</f>
        <v>148</v>
      </c>
      <c r="O13" s="294">
        <f>(IF('Section Load'!P16&gt;0,'Section Load'!P16,0))</f>
        <v>13.239999999999782</v>
      </c>
      <c r="P13" s="294">
        <f>(IF('Section Load'!Q16&gt;0,'Section Load'!Q16,0))</f>
        <v>218.99000000000524</v>
      </c>
      <c r="Q13" s="294">
        <f>(IF('Section Load'!R16&gt;0,'Section Load'!R16,0))</f>
        <v>95.690000000002328</v>
      </c>
      <c r="R13" s="294">
        <f>(IF('Section Load'!S16&gt;0,'Section Load'!S16,0))</f>
        <v>158.05999999999949</v>
      </c>
      <c r="S13" s="294">
        <f>(IF('Section Load'!T16&gt;0,'Section Load'!T16,0))</f>
        <v>40</v>
      </c>
      <c r="T13" s="294">
        <f>(IF('Section Load'!U16&gt;0,'Section Load'!U16,0))</f>
        <v>233</v>
      </c>
      <c r="U13" s="294">
        <f>(IF('Section Load'!V16&gt;0,'Section Load'!V16,0))</f>
        <v>407.76000000000931</v>
      </c>
      <c r="V13" s="294">
        <f>(IF('Section Load'!W16&gt;0,'Section Load'!W16,0))</f>
        <v>346.88000000000466</v>
      </c>
      <c r="W13" s="294">
        <f>(IF('Section Load'!X16&gt;0,'Section Load'!X16,0))</f>
        <v>29.159999999999854</v>
      </c>
      <c r="X13" s="294">
        <f>(IF('Section Load'!Y16&gt;0,'Section Load'!Y16,0))</f>
        <v>243.51000000000931</v>
      </c>
      <c r="Y13" s="294">
        <f>(IF('Section Load'!Z16&gt;0,'Section Load'!Z16,0))</f>
        <v>47</v>
      </c>
      <c r="Z13" s="294">
        <f>(IF('Section Load'!AA16&gt;0,'Section Load'!AA16,0))</f>
        <v>290.64000000001397</v>
      </c>
      <c r="AA13" s="294">
        <f>(IF('Section Load'!AB16&gt;0,'Section Load'!AB16,0))</f>
        <v>45.69999999999709</v>
      </c>
      <c r="AB13" s="294">
        <f>(IF('Section Load'!AC16&gt;0,'Section Load'!AC16,0))</f>
        <v>0</v>
      </c>
      <c r="AC13" s="294">
        <f>(IF('Section Load'!AD16&gt;0,'Section Load'!AD16,0))</f>
        <v>143.40000000000055</v>
      </c>
      <c r="AD13" s="294">
        <f>(IF('Section Load'!AE16&gt;0,'Section Load'!AE16,0))</f>
        <v>436.48000000001048</v>
      </c>
      <c r="AE13" s="294">
        <f>(IF('Section Load'!AF16&gt;0,'Section Load'!AF16,0))</f>
        <v>357.09999999999854</v>
      </c>
      <c r="AF13" s="294">
        <f>(IF('Section Load'!AG16&gt;0,'Section Load'!AG16,0))</f>
        <v>623.61999999999534</v>
      </c>
      <c r="AG13" s="294">
        <f>(IF('Section Load'!AH16&gt;0,'Section Load'!AH16,0))</f>
        <v>12.379999999997381</v>
      </c>
      <c r="AH13" s="294">
        <f>(IF('Section Load'!AI16&gt;0,'Section Load'!AI16,0))</f>
        <v>390.10999999998603</v>
      </c>
      <c r="AI13" s="294">
        <f>(IF('Section Load'!AJ16&gt;0,'Section Load'!AJ16,0))</f>
        <v>450.45999999999185</v>
      </c>
      <c r="AJ13" s="294">
        <f>(IF('Section Load'!AK16&gt;0,'Section Load'!AK16,0))</f>
        <v>388.47000000000116</v>
      </c>
      <c r="AK13" s="294">
        <f>(IF('Section Load'!AL16&gt;0,'Section Load'!AL16,0))</f>
        <v>302.68000000000029</v>
      </c>
      <c r="AL13" s="294">
        <f>(IF('Section Load'!AM16&gt;0,'Section Load'!AM16,0))</f>
        <v>952.79999999998836</v>
      </c>
      <c r="AM13" s="295">
        <f>(IF('Water Report'!$O$7&gt;0,'Water Report'!$O$7,0))</f>
        <v>107</v>
      </c>
      <c r="AN13" s="295">
        <f>(IF('Water Report'!$O$8&gt;0,'Water Report'!$O$8,0))</f>
        <v>0</v>
      </c>
      <c r="AO13" s="295">
        <f>(IF('Water Report'!$O$9&gt;0,'Water Report'!$O$9,0))</f>
        <v>123</v>
      </c>
      <c r="AP13" s="295">
        <f>(IF('Water Report'!$O$10&gt;0,'Water Report'!$O$10,0))</f>
        <v>9</v>
      </c>
      <c r="AQ13" s="295">
        <f>(IF('Water Report'!$O$11&gt;0,'Water Report'!$O$11,0))</f>
        <v>14</v>
      </c>
      <c r="AR13" s="295">
        <f>(IF('Water Report'!$O$13&gt;0,'Water Report'!$O$13,0))</f>
        <v>43</v>
      </c>
      <c r="AS13" s="295">
        <f>(IF('Water Report'!$O$14&gt;0,'Water Report'!$O$14,0))</f>
        <v>6</v>
      </c>
      <c r="AT13" s="295">
        <f>(IF('Water Report'!$O$15&gt;0,'Water Report'!$O$15,0))</f>
        <v>7</v>
      </c>
      <c r="AU13" s="295">
        <f>(IF('Water Report'!$O$17&gt;0,'Water Report'!$O$17,0))</f>
        <v>9</v>
      </c>
      <c r="AV13" s="295">
        <f>(IF('Water Report'!$O$18&gt;0,'Water Report'!$O$18,0))</f>
        <v>15</v>
      </c>
      <c r="AW13" s="295">
        <f>(IF('Water Report'!$O$19&gt;0,'Water Report'!$O$19,0))</f>
        <v>10</v>
      </c>
      <c r="AX13" s="301">
        <f>(IF('Water Report'!$O$21&gt;0,'Water Report'!$O$21,0))</f>
        <v>0</v>
      </c>
      <c r="AY13" s="301">
        <f>(IF('Water Report'!$O$22&gt;0,'Water Report'!$O$22,0))</f>
        <v>0</v>
      </c>
      <c r="AZ13" s="301">
        <f>(IF('Water Report'!$O$23&gt;0,'Water Report'!$O$23,0))</f>
        <v>0</v>
      </c>
      <c r="BA13" s="301">
        <f>(IF('Water Report'!$O$14&gt;0,'Water Report'!$O$14,0))</f>
        <v>6</v>
      </c>
      <c r="BB13" s="301">
        <f>(IF('Water Report'!$O$15&gt;0,'Water Report'!$O$15,0))</f>
        <v>7</v>
      </c>
      <c r="BC13" s="301">
        <f>(IF('Water Report'!$O$13&gt;0,'Water Report'!$O$13,0))</f>
        <v>43</v>
      </c>
      <c r="BD13" s="301">
        <f>(IF('Water Report'!$O$24&gt;0,'Water Report'!$O$24,0))</f>
        <v>307</v>
      </c>
      <c r="BE13" s="301">
        <f>(IF('Water Report'!$O$25&gt;0,'Water Report'!$O$25,0))</f>
        <v>159</v>
      </c>
      <c r="BF13" s="301">
        <f>(IF('Water Report'!$O$27&gt;0,'Water Report'!$O$27,0))</f>
        <v>43</v>
      </c>
      <c r="BG13" s="296">
        <f>(IF('Section Load'!AN16&gt;0,'Section Load'!AN16,0))</f>
        <v>1030.0099999997765</v>
      </c>
      <c r="BH13" s="296">
        <f>(IF('Section Load'!AO16&gt;0,'Section Load'!AO16,0))</f>
        <v>292.21999999997206</v>
      </c>
      <c r="BI13" s="296">
        <f>(IF('Section Load'!AP16&gt;0,'Section Load'!AP16,0))</f>
        <v>0</v>
      </c>
      <c r="BJ13" s="296">
        <f>(IF('Section Load'!AQ16&gt;0,'Section Load'!AQ16,0))</f>
        <v>128.83999999999651</v>
      </c>
      <c r="BK13" s="296">
        <f>(IF('Section Load'!AR16&gt;0,'Section Load'!AR16,0))</f>
        <v>56.5</v>
      </c>
      <c r="BL13" s="296">
        <f>(IF('Section Load'!AS16&gt;0,'Section Load'!AS16,0))</f>
        <v>0</v>
      </c>
      <c r="BM13" s="296">
        <f>(IF('Section Load'!AT16&gt;0,'Section Load'!AT16,0))</f>
        <v>552.84999999980755</v>
      </c>
    </row>
    <row r="14" spans="1:65">
      <c r="A14" s="287" t="s">
        <v>268</v>
      </c>
      <c r="B14" s="288">
        <f t="shared" si="0"/>
        <v>13</v>
      </c>
      <c r="C14" s="288">
        <v>10</v>
      </c>
      <c r="D14" s="288">
        <v>2022</v>
      </c>
      <c r="E14" s="294">
        <f>(IF('Section Load'!F17&gt;0,'Section Load'!F17,0))</f>
        <v>3683.0199999999604</v>
      </c>
      <c r="F14" s="294">
        <f>(IF('Section Load'!G17&gt;0,'Section Load'!G17,0))</f>
        <v>989.47000000000116</v>
      </c>
      <c r="G14" s="294">
        <f>(IF('Section Load'!H17&gt;0,'Section Load'!H17,0))</f>
        <v>2231.9300000000512</v>
      </c>
      <c r="H14" s="294">
        <f>(IF('Section Load'!I17&gt;0,'Section Load'!I17,0))</f>
        <v>4038.1699999999837</v>
      </c>
      <c r="I14" s="294">
        <f>(IF('Section Load'!J17&gt;0,'Section Load'!J17,0))</f>
        <v>4786.9599999999919</v>
      </c>
      <c r="J14" s="294">
        <f>(IF('Section Load'!K17&gt;0,'Section Load'!K17,0))</f>
        <v>2808.0900000000256</v>
      </c>
      <c r="K14" s="294">
        <f>(IF('Section Load'!L17&gt;0,'Section Load'!L17,0))</f>
        <v>2066.8499999999767</v>
      </c>
      <c r="L14" s="294">
        <f>(IF('Section Load'!M17&gt;0,'Section Load'!M17,0))</f>
        <v>870.45000000001164</v>
      </c>
      <c r="M14" s="294">
        <f>(IF('Section Load'!N17&gt;0,'Section Load'!N17,0))</f>
        <v>150</v>
      </c>
      <c r="N14" s="294">
        <f>(IF('Section Load'!O17&gt;0,'Section Load'!O17,0))</f>
        <v>177</v>
      </c>
      <c r="O14" s="294">
        <f>(IF('Section Load'!P17&gt;0,'Section Load'!P17,0))</f>
        <v>10.2800000000002</v>
      </c>
      <c r="P14" s="294">
        <f>(IF('Section Load'!Q17&gt;0,'Section Load'!Q17,0))</f>
        <v>218.00999999999476</v>
      </c>
      <c r="Q14" s="294">
        <f>(IF('Section Load'!R17&gt;0,'Section Load'!R17,0))</f>
        <v>87.360000000000582</v>
      </c>
      <c r="R14" s="294">
        <f>(IF('Section Load'!S17&gt;0,'Section Load'!S17,0))</f>
        <v>177.19000000000051</v>
      </c>
      <c r="S14" s="294">
        <f>(IF('Section Load'!T17&gt;0,'Section Load'!T17,0))</f>
        <v>62</v>
      </c>
      <c r="T14" s="294">
        <f>(IF('Section Load'!U17&gt;0,'Section Load'!U17,0))</f>
        <v>260</v>
      </c>
      <c r="U14" s="294">
        <f>(IF('Section Load'!V17&gt;0,'Section Load'!V17,0))</f>
        <v>424.43999999994412</v>
      </c>
      <c r="V14" s="294">
        <f>(IF('Section Load'!W17&gt;0,'Section Load'!W17,0))</f>
        <v>316.07999999995809</v>
      </c>
      <c r="W14" s="294">
        <f>(IF('Section Load'!X17&gt;0,'Section Load'!X17,0))</f>
        <v>26.139999999999418</v>
      </c>
      <c r="X14" s="294">
        <f>(IF('Section Load'!Y17&gt;0,'Section Load'!Y17,0))</f>
        <v>237.22999999999593</v>
      </c>
      <c r="Y14" s="294">
        <f>(IF('Section Load'!Z17&gt;0,'Section Load'!Z17,0))</f>
        <v>56</v>
      </c>
      <c r="Z14" s="294">
        <f>(IF('Section Load'!AA17&gt;0,'Section Load'!AA17,0))</f>
        <v>299.27999999996973</v>
      </c>
      <c r="AA14" s="294">
        <f>(IF('Section Load'!AB17&gt;0,'Section Load'!AB17,0))</f>
        <v>49.69999999999709</v>
      </c>
      <c r="AB14" s="294">
        <f>(IF('Section Load'!AC17&gt;0,'Section Load'!AC17,0))</f>
        <v>1.4400000000023283</v>
      </c>
      <c r="AC14" s="294">
        <f>(IF('Section Load'!AD17&gt;0,'Section Load'!AD17,0))</f>
        <v>102</v>
      </c>
      <c r="AD14" s="294">
        <f>(IF('Section Load'!AE17&gt;0,'Section Load'!AE17,0))</f>
        <v>149.97999999999593</v>
      </c>
      <c r="AE14" s="294">
        <f>(IF('Section Load'!AF17&gt;0,'Section Load'!AF17,0))</f>
        <v>330.98999999999796</v>
      </c>
      <c r="AF14" s="294">
        <f>(IF('Section Load'!AG17&gt;0,'Section Load'!AG17,0))</f>
        <v>574</v>
      </c>
      <c r="AG14" s="294">
        <f>(IF('Section Load'!AH17&gt;0,'Section Load'!AH17,0))</f>
        <v>13.290000000000873</v>
      </c>
      <c r="AH14" s="294">
        <f>(IF('Section Load'!AI17&gt;0,'Section Load'!AI17,0))</f>
        <v>400.82000000000698</v>
      </c>
      <c r="AI14" s="294">
        <f>(IF('Section Load'!AJ17&gt;0,'Section Load'!AJ17,0))</f>
        <v>476.57000000000698</v>
      </c>
      <c r="AJ14" s="294">
        <f>(IF('Section Load'!AK17&gt;0,'Section Load'!AK17,0))</f>
        <v>390.88999999999942</v>
      </c>
      <c r="AK14" s="294">
        <f>(IF('Section Load'!AL17&gt;0,'Section Load'!AL17,0))</f>
        <v>304.68000000000029</v>
      </c>
      <c r="AL14" s="294">
        <f>(IF('Section Load'!AM17&gt;0,'Section Load'!AM17,0))</f>
        <v>1033.1900000000023</v>
      </c>
      <c r="AM14" s="295">
        <f>(IF('Water Report'!$P$7&gt;0,'Water Report'!$P$7,0))</f>
        <v>100</v>
      </c>
      <c r="AN14" s="295">
        <f>(IF('Water Report'!$P$8&gt;0,'Water Report'!$P$8,0))</f>
        <v>0</v>
      </c>
      <c r="AO14" s="295">
        <f>(IF('Water Report'!$P$9&gt;0,'Water Report'!$P$9,0))</f>
        <v>113</v>
      </c>
      <c r="AP14" s="295">
        <f>(IF('Water Report'!$P$10&gt;0,'Water Report'!$P$10,0))</f>
        <v>9</v>
      </c>
      <c r="AQ14" s="295">
        <f>(IF('Water Report'!$P$11&gt;0,'Water Report'!$P$11,0))</f>
        <v>19</v>
      </c>
      <c r="AR14" s="295">
        <f>(IF('Water Report'!$P$13&gt;0,'Water Report'!$P$13,0))</f>
        <v>30</v>
      </c>
      <c r="AS14" s="295">
        <f>(IF('Water Report'!$P$14&gt;0,'Water Report'!$P$14,0))</f>
        <v>2</v>
      </c>
      <c r="AT14" s="295">
        <f>(IF('Water Report'!$P$15&gt;0,'Water Report'!$P$15,0))</f>
        <v>12</v>
      </c>
      <c r="AU14" s="295">
        <f>(IF('Water Report'!$P$17&gt;0,'Water Report'!$P$17,0))</f>
        <v>0</v>
      </c>
      <c r="AV14" s="295">
        <f>(IF('Water Report'!$P$18&gt;0,'Water Report'!$P$18,0))</f>
        <v>15</v>
      </c>
      <c r="AW14" s="295">
        <f>(IF('Water Report'!$P$19&gt;0,'Water Report'!$P$19,0))</f>
        <v>10</v>
      </c>
      <c r="AX14" s="301">
        <f>(IF('Water Report'!$P$21&gt;0,'Water Report'!$P$21,0))</f>
        <v>0</v>
      </c>
      <c r="AY14" s="301">
        <f>(IF('Water Report'!$P$22&gt;0,'Water Report'!$P$22,0))</f>
        <v>0</v>
      </c>
      <c r="AZ14" s="301">
        <f>(IF('Water Report'!$P$23&gt;0,'Water Report'!$P$23,0))</f>
        <v>0</v>
      </c>
      <c r="BA14" s="301">
        <f>(IF('Water Report'!$P$14&gt;0,'Water Report'!$P$14,0))</f>
        <v>2</v>
      </c>
      <c r="BB14" s="301">
        <f>(IF('Water Report'!$P$15&gt;0,'Water Report'!$P$15,0))</f>
        <v>12</v>
      </c>
      <c r="BC14" s="301">
        <f>(IF('Water Report'!$P$13&gt;0,'Water Report'!$P$13,0))</f>
        <v>30</v>
      </c>
      <c r="BD14" s="301">
        <f>(IF('Water Report'!$P$24&gt;0,'Water Report'!$P$24,0))</f>
        <v>309</v>
      </c>
      <c r="BE14" s="301">
        <f>(IF('Water Report'!$P$25&gt;0,'Water Report'!$P$25,0))</f>
        <v>155</v>
      </c>
      <c r="BF14" s="301">
        <f>(IF('Water Report'!$P$27&gt;0,'Water Report'!$P$27,0))</f>
        <v>30</v>
      </c>
      <c r="BG14" s="296">
        <f>(IF('Section Load'!AN17&gt;0,'Section Load'!AN17,0))</f>
        <v>1072.3700000001118</v>
      </c>
      <c r="BH14" s="296">
        <f>(IF('Section Load'!AO17&gt;0,'Section Load'!AO17,0))</f>
        <v>289.96999999997206</v>
      </c>
      <c r="BI14" s="296">
        <f>(IF('Section Load'!AP17&gt;0,'Section Load'!AP17,0))</f>
        <v>0</v>
      </c>
      <c r="BJ14" s="296">
        <f>(IF('Section Load'!AQ17&gt;0,'Section Load'!AQ17,0))</f>
        <v>118.98999999999069</v>
      </c>
      <c r="BK14" s="296">
        <f>(IF('Section Load'!AR17&gt;0,'Section Load'!AR17,0))</f>
        <v>60.5</v>
      </c>
      <c r="BL14" s="296">
        <f>(IF('Section Load'!AS17&gt;0,'Section Load'!AS17,0))</f>
        <v>0</v>
      </c>
      <c r="BM14" s="296">
        <f>(IF('Section Load'!AT17&gt;0,'Section Load'!AT17,0))</f>
        <v>602.91000000014901</v>
      </c>
    </row>
    <row r="15" spans="1:65">
      <c r="A15" s="287" t="s">
        <v>268</v>
      </c>
      <c r="B15" s="288">
        <f t="shared" si="0"/>
        <v>14</v>
      </c>
      <c r="C15" s="288">
        <v>10</v>
      </c>
      <c r="D15" s="288">
        <v>2022</v>
      </c>
      <c r="E15" s="294">
        <f>(IF('Section Load'!F18&gt;0,'Section Load'!F18,0))</f>
        <v>3733</v>
      </c>
      <c r="F15" s="294">
        <f>(IF('Section Load'!G18&gt;0,'Section Load'!G18,0))</f>
        <v>1049</v>
      </c>
      <c r="G15" s="294">
        <f>(IF('Section Load'!H18&gt;0,'Section Load'!H18,0))</f>
        <v>2349.2399999999998</v>
      </c>
      <c r="H15" s="294">
        <f>(IF('Section Load'!I18&gt;0,'Section Load'!I18,0))</f>
        <v>4081.8100000000559</v>
      </c>
      <c r="I15" s="294">
        <f>(IF('Section Load'!J18&gt;0,'Section Load'!J18,0))</f>
        <v>5095.0899999999674</v>
      </c>
      <c r="J15" s="294">
        <f>(IF('Section Load'!K18&gt;0,'Section Load'!K18,0))</f>
        <v>2926</v>
      </c>
      <c r="K15" s="294">
        <f>(IF('Section Load'!L18&gt;0,'Section Load'!L18,0))</f>
        <v>1895</v>
      </c>
      <c r="L15" s="294">
        <f>(IF('Section Load'!M18&gt;0,'Section Load'!M18,0))</f>
        <v>1103</v>
      </c>
      <c r="M15" s="294">
        <f>(IF('Section Load'!N18&gt;0,'Section Load'!N18,0))</f>
        <v>164</v>
      </c>
      <c r="N15" s="294">
        <f>(IF('Section Load'!O18&gt;0,'Section Load'!O18,0))</f>
        <v>155</v>
      </c>
      <c r="O15" s="294">
        <f>(IF('Section Load'!P18&gt;0,'Section Load'!P18,0))</f>
        <v>10</v>
      </c>
      <c r="P15" s="294">
        <f>(IF('Section Load'!Q18&gt;0,'Section Load'!Q18,0))</f>
        <v>214</v>
      </c>
      <c r="Q15" s="294">
        <f>(IF('Section Load'!R18&gt;0,'Section Load'!R18,0))</f>
        <v>90</v>
      </c>
      <c r="R15" s="294">
        <f>(IF('Section Load'!S18&gt;0,'Section Load'!S18,0))</f>
        <v>241</v>
      </c>
      <c r="S15" s="294">
        <f>(IF('Section Load'!T18&gt;0,'Section Load'!T18,0))</f>
        <v>49</v>
      </c>
      <c r="T15" s="294">
        <f>(IF('Section Load'!U18&gt;0,'Section Load'!U18,0))</f>
        <v>236</v>
      </c>
      <c r="U15" s="294">
        <f>(IF('Section Load'!V18&gt;0,'Section Load'!V18,0))</f>
        <v>431</v>
      </c>
      <c r="V15" s="294">
        <f>(IF('Section Load'!W18&gt;0,'Section Load'!W18,0))</f>
        <v>336</v>
      </c>
      <c r="W15" s="294">
        <f>(IF('Section Load'!X18&gt;0,'Section Load'!X18,0))</f>
        <v>32</v>
      </c>
      <c r="X15" s="294">
        <f>(IF('Section Load'!Y18&gt;0,'Section Load'!Y18,0))</f>
        <v>254</v>
      </c>
      <c r="Y15" s="294">
        <f>(IF('Section Load'!Z18&gt;0,'Section Load'!Z18,0))</f>
        <v>44</v>
      </c>
      <c r="Z15" s="294">
        <f>(IF('Section Load'!AA18&gt;0,'Section Load'!AA18,0))</f>
        <v>279.88000000000466</v>
      </c>
      <c r="AA15" s="294">
        <f>(IF('Section Load'!AB18&gt;0,'Section Load'!AB18,0))</f>
        <v>42</v>
      </c>
      <c r="AB15" s="294">
        <f>(IF('Section Load'!AC18&gt;0,'Section Load'!AC18,0))</f>
        <v>0.82999999999810825</v>
      </c>
      <c r="AC15" s="294">
        <f>(IF('Section Load'!AD18&gt;0,'Section Load'!AD18,0))</f>
        <v>150</v>
      </c>
      <c r="AD15" s="294">
        <f>(IF('Section Load'!AE18&gt;0,'Section Load'!AE18,0))</f>
        <v>218</v>
      </c>
      <c r="AE15" s="294">
        <f>(IF('Section Load'!AF18&gt;0,'Section Load'!AF18,0))</f>
        <v>277</v>
      </c>
      <c r="AF15" s="294">
        <f>(IF('Section Load'!AG18&gt;0,'Section Load'!AG18,0))</f>
        <v>637</v>
      </c>
      <c r="AG15" s="294">
        <f>(IF('Section Load'!AH18&gt;0,'Section Load'!AH18,0))</f>
        <v>13</v>
      </c>
      <c r="AH15" s="294">
        <f>(IF('Section Load'!AI18&gt;0,'Section Load'!AI18,0))</f>
        <v>406</v>
      </c>
      <c r="AI15" s="294">
        <f>(IF('Section Load'!AJ18&gt;0,'Section Load'!AJ18,0))</f>
        <v>459</v>
      </c>
      <c r="AJ15" s="294">
        <f>(IF('Section Load'!AK18&gt;0,'Section Load'!AK18,0))</f>
        <v>385</v>
      </c>
      <c r="AK15" s="294">
        <f>(IF('Section Load'!AL18&gt;0,'Section Load'!AL18,0))</f>
        <v>311</v>
      </c>
      <c r="AL15" s="294">
        <f>(IF('Section Load'!AM18&gt;0,'Section Load'!AM18,0))</f>
        <v>1037</v>
      </c>
      <c r="AM15" s="295">
        <f>(IF('Water Report'!$Q$7&gt;0,'Water Report'!$Q$7,0))</f>
        <v>110</v>
      </c>
      <c r="AN15" s="295">
        <f>(IF('Water Report'!$Q$8&gt;0,'Water Report'!$Q$8,0))</f>
        <v>0</v>
      </c>
      <c r="AO15" s="295">
        <f>(IF('Water Report'!$Q$9&gt;0,'Water Report'!$Q$9,0))</f>
        <v>118</v>
      </c>
      <c r="AP15" s="295">
        <f>(IF('Water Report'!$Q$10&gt;0,'Water Report'!$Q$10,0))</f>
        <v>18</v>
      </c>
      <c r="AQ15" s="295">
        <f>(IF('Water Report'!$Q$11&gt;0,'Water Report'!$Q$11,0))</f>
        <v>16</v>
      </c>
      <c r="AR15" s="295">
        <f>(IF('Water Report'!$Q$13&gt;0,'Water Report'!$Q$13,0))</f>
        <v>38</v>
      </c>
      <c r="AS15" s="295">
        <f>(IF('Water Report'!$Q$14&gt;0,'Water Report'!$Q$14,0))</f>
        <v>2</v>
      </c>
      <c r="AT15" s="295">
        <f>(IF('Water Report'!$Q$15&gt;0,'Water Report'!$Q$15,0))</f>
        <v>6</v>
      </c>
      <c r="AU15" s="295">
        <f>(IF('Water Report'!$Q$17&gt;0,'Water Report'!$Q$17,0))</f>
        <v>0</v>
      </c>
      <c r="AV15" s="295">
        <f>(IF('Water Report'!$Q$18&gt;0,'Water Report'!$Q$18,0))</f>
        <v>12</v>
      </c>
      <c r="AW15" s="295">
        <f>(IF('Water Report'!$Q$19&gt;0,'Water Report'!$Q$19,0))</f>
        <v>12</v>
      </c>
      <c r="AX15" s="301">
        <f>(IF('Water Report'!$Q$21&gt;0,'Water Report'!$Q$21,0))</f>
        <v>0</v>
      </c>
      <c r="AY15" s="301">
        <f>(IF('Water Report'!$Q$22&gt;0,'Water Report'!$Q$22,0))</f>
        <v>0</v>
      </c>
      <c r="AZ15" s="301">
        <f>(IF('Water Report'!$Q$23&gt;0,'Water Report'!$Q$23,0))</f>
        <v>0</v>
      </c>
      <c r="BA15" s="301">
        <f>(IF('Water Report'!$Q$14&gt;0,'Water Report'!$Q$14,0))</f>
        <v>2</v>
      </c>
      <c r="BB15" s="301">
        <f>(IF('Water Report'!$Q$15&gt;0,'Water Report'!$Q$15,0))</f>
        <v>6</v>
      </c>
      <c r="BC15" s="301">
        <f>(IF('Water Report'!$Q$13&gt;0,'Water Report'!$Q$13,0))</f>
        <v>38</v>
      </c>
      <c r="BD15" s="301">
        <f>(IF('Water Report'!$Q$24&gt;0,'Water Report'!$Q$24,0))</f>
        <v>267</v>
      </c>
      <c r="BE15" s="301">
        <f>(IF('Water Report'!$Q$25&gt;0,'Water Report'!$Q$25,0))</f>
        <v>160</v>
      </c>
      <c r="BF15" s="301">
        <f>(IF('Water Report'!$Q$27&gt;0,'Water Report'!$Q$27,0))</f>
        <v>38</v>
      </c>
      <c r="BG15" s="296">
        <f>(IF('Section Load'!AN18&gt;0,'Section Load'!AN18,0))</f>
        <v>1198</v>
      </c>
      <c r="BH15" s="296">
        <f>(IF('Section Load'!AO18&gt;0,'Section Load'!AO18,0))</f>
        <v>297</v>
      </c>
      <c r="BI15" s="296">
        <f>(IF('Section Load'!AP18&gt;0,'Section Load'!AP18,0))</f>
        <v>0</v>
      </c>
      <c r="BJ15" s="296">
        <f>(IF('Section Load'!AQ18&gt;0,'Section Load'!AQ18,0))</f>
        <v>125</v>
      </c>
      <c r="BK15" s="296">
        <f>(IF('Section Load'!AR18&gt;0,'Section Load'!AR18,0))</f>
        <v>53</v>
      </c>
      <c r="BL15" s="296">
        <f>(IF('Section Load'!AS18&gt;0,'Section Load'!AS18,0))</f>
        <v>0</v>
      </c>
      <c r="BM15" s="296">
        <f>(IF('Section Load'!AT18&gt;0,'Section Load'!AT18,0))</f>
        <v>723</v>
      </c>
    </row>
    <row r="16" spans="1:65">
      <c r="A16" s="287" t="s">
        <v>268</v>
      </c>
      <c r="B16" s="288">
        <f t="shared" si="0"/>
        <v>15</v>
      </c>
      <c r="C16" s="288">
        <v>10</v>
      </c>
      <c r="D16" s="288">
        <v>2022</v>
      </c>
      <c r="E16" s="294">
        <f>(IF('Section Load'!F19&gt;0,'Section Load'!F19,0))</f>
        <v>3550</v>
      </c>
      <c r="F16" s="294">
        <f>(IF('Section Load'!G19&gt;0,'Section Load'!G19,0))</f>
        <v>1047</v>
      </c>
      <c r="G16" s="294">
        <f>(IF('Section Load'!H19&gt;0,'Section Load'!H19,0))</f>
        <v>2442</v>
      </c>
      <c r="H16" s="294">
        <f>(IF('Section Load'!I19&gt;0,'Section Load'!I19,0))</f>
        <v>4192</v>
      </c>
      <c r="I16" s="294">
        <f>(IF('Section Load'!J19&gt;0,'Section Load'!J19,0))</f>
        <v>5793.4500000000116</v>
      </c>
      <c r="J16" s="294">
        <f>(IF('Section Load'!K19&gt;0,'Section Load'!K19,0))</f>
        <v>2989</v>
      </c>
      <c r="K16" s="294">
        <f>(IF('Section Load'!L19&gt;0,'Section Load'!L19,0))</f>
        <v>1909</v>
      </c>
      <c r="L16" s="294">
        <f>(IF('Section Load'!M19&gt;0,'Section Load'!M19,0))</f>
        <v>1089</v>
      </c>
      <c r="M16" s="294">
        <f>(IF('Section Load'!N19&gt;0,'Section Load'!N19,0))</f>
        <v>168</v>
      </c>
      <c r="N16" s="294">
        <f>(IF('Section Load'!O19&gt;0,'Section Load'!O19,0))</f>
        <v>139</v>
      </c>
      <c r="O16" s="294">
        <f>(IF('Section Load'!P19&gt;0,'Section Load'!P19,0))</f>
        <v>13</v>
      </c>
      <c r="P16" s="294">
        <f>(IF('Section Load'!Q19&gt;0,'Section Load'!Q19,0))</f>
        <v>224</v>
      </c>
      <c r="Q16" s="294">
        <f>(IF('Section Load'!R19&gt;0,'Section Load'!R19,0))</f>
        <v>98</v>
      </c>
      <c r="R16" s="294">
        <f>(IF('Section Load'!S19&gt;0,'Section Load'!S19,0))</f>
        <v>257</v>
      </c>
      <c r="S16" s="294">
        <f>(IF('Section Load'!T19&gt;0,'Section Load'!T19,0))</f>
        <v>58</v>
      </c>
      <c r="T16" s="294">
        <f>(IF('Section Load'!U19&gt;0,'Section Load'!U19,0))</f>
        <v>221</v>
      </c>
      <c r="U16" s="294">
        <f>(IF('Section Load'!V19&gt;0,'Section Load'!V19,0))</f>
        <v>422</v>
      </c>
      <c r="V16" s="294">
        <f>(IF('Section Load'!W19&gt;0,'Section Load'!W19,0))</f>
        <v>374</v>
      </c>
      <c r="W16" s="294">
        <f>(IF('Section Load'!X19&gt;0,'Section Load'!X19,0))</f>
        <v>31</v>
      </c>
      <c r="X16" s="294">
        <f>(IF('Section Load'!Y19&gt;0,'Section Load'!Y19,0))</f>
        <v>241</v>
      </c>
      <c r="Y16" s="294">
        <f>(IF('Section Load'!Z19&gt;0,'Section Load'!Z19,0))</f>
        <v>64</v>
      </c>
      <c r="Z16" s="294">
        <f>(IF('Section Load'!AA19&gt;0,'Section Load'!AA19,0))</f>
        <v>293</v>
      </c>
      <c r="AA16" s="294">
        <f>(IF('Section Load'!AB19&gt;0,'Section Load'!AB19,0))</f>
        <v>38</v>
      </c>
      <c r="AB16" s="294">
        <f>(IF('Section Load'!AC19&gt;0,'Section Load'!AC19,0))</f>
        <v>0</v>
      </c>
      <c r="AC16" s="294">
        <f>(IF('Section Load'!AD19&gt;0,'Section Load'!AD19,0))</f>
        <v>157</v>
      </c>
      <c r="AD16" s="294">
        <f>(IF('Section Load'!AE19&gt;0,'Section Load'!AE19,0))</f>
        <v>298</v>
      </c>
      <c r="AE16" s="294">
        <f>(IF('Section Load'!AF19&gt;0,'Section Load'!AF19,0))</f>
        <v>349</v>
      </c>
      <c r="AF16" s="294">
        <f>(IF('Section Load'!AG19&gt;0,'Section Load'!AG19,0))</f>
        <v>637</v>
      </c>
      <c r="AG16" s="294">
        <f>(IF('Section Load'!AH19&gt;0,'Section Load'!AH19,0))</f>
        <v>13</v>
      </c>
      <c r="AH16" s="294">
        <f>(IF('Section Load'!AI19&gt;0,'Section Load'!AI19,0))</f>
        <v>406</v>
      </c>
      <c r="AI16" s="294">
        <f>(IF('Section Load'!AJ19&gt;0,'Section Load'!AJ19,0))</f>
        <v>442</v>
      </c>
      <c r="AJ16" s="294">
        <f>(IF('Section Load'!AK19&gt;0,'Section Load'!AK19,0))</f>
        <v>384</v>
      </c>
      <c r="AK16" s="294">
        <f>(IF('Section Load'!AL19&gt;0,'Section Load'!AL19,0))</f>
        <v>305</v>
      </c>
      <c r="AL16" s="294">
        <f>(IF('Section Load'!AM19&gt;0,'Section Load'!AM19,0))</f>
        <v>896</v>
      </c>
      <c r="AM16" s="295">
        <f>(IF('Water Report'!$R$7&gt;0,'Water Report'!$R$7,0))</f>
        <v>124</v>
      </c>
      <c r="AN16" s="295">
        <f>(IF('Water Report'!$R$8&gt;0,'Water Report'!$R$8,0))</f>
        <v>0</v>
      </c>
      <c r="AO16" s="295">
        <f>(IF('Water Report'!$R$9&gt;0,'Water Report'!$R$9,0))</f>
        <v>133</v>
      </c>
      <c r="AP16" s="295">
        <f>(IF('Water Report'!$R$10&gt;0,'Water Report'!$R$10,0))</f>
        <v>7</v>
      </c>
      <c r="AQ16" s="295">
        <f>(IF('Water Report'!$R$11&gt;0,'Water Report'!$R$11,0))</f>
        <v>22</v>
      </c>
      <c r="AR16" s="295">
        <f>(IF('Water Report'!$R$13&gt;0,'Water Report'!$R$13,0))</f>
        <v>41</v>
      </c>
      <c r="AS16" s="295">
        <f>(IF('Water Report'!$R$14&gt;0,'Water Report'!$R$14,0))</f>
        <v>5</v>
      </c>
      <c r="AT16" s="295">
        <f>(IF('Water Report'!$R$15&gt;0,'Water Report'!$R$15,0))</f>
        <v>23</v>
      </c>
      <c r="AU16" s="295">
        <f>(IF('Water Report'!$R$17&gt;0,'Water Report'!$R$17,0))</f>
        <v>0</v>
      </c>
      <c r="AV16" s="295">
        <f>(IF('Water Report'!$R$18&gt;0,'Water Report'!$R$18,0))</f>
        <v>16</v>
      </c>
      <c r="AW16" s="295">
        <f>(IF('Water Report'!$R$19&gt;0,'Water Report'!$R$19,0))</f>
        <v>12</v>
      </c>
      <c r="AX16" s="301">
        <f>(IF('Water Report'!$R$21&gt;0,'Water Report'!$R$21,0))</f>
        <v>0</v>
      </c>
      <c r="AY16" s="301">
        <f>(IF('Water Report'!$R$22&gt;0,'Water Report'!$R$22,0))</f>
        <v>0</v>
      </c>
      <c r="AZ16" s="301">
        <f>(IF('Water Report'!$R$23&gt;0,'Water Report'!$R$23,0))</f>
        <v>0</v>
      </c>
      <c r="BA16" s="301">
        <f>(IF('Water Report'!$R$14&gt;0,'Water Report'!$R$14,0))</f>
        <v>5</v>
      </c>
      <c r="BB16" s="301">
        <f>(IF('Water Report'!$R$15&gt;0,'Water Report'!$R$15,0))</f>
        <v>23</v>
      </c>
      <c r="BC16" s="301">
        <f>(IF('Water Report'!$R$13&gt;0,'Water Report'!$R$13,0))</f>
        <v>41</v>
      </c>
      <c r="BD16" s="301">
        <f>(IF('Water Report'!$R$24&gt;0,'Water Report'!$R$24,0))</f>
        <v>322</v>
      </c>
      <c r="BE16" s="301">
        <f>(IF('Water Report'!$R$25&gt;0,'Water Report'!$R$25,0))</f>
        <v>190</v>
      </c>
      <c r="BF16" s="301">
        <f>(IF('Water Report'!$R$27&gt;0,'Water Report'!$R$27,0))</f>
        <v>41</v>
      </c>
      <c r="BG16" s="296">
        <f>(IF('Section Load'!AN19&gt;0,'Section Load'!AN19,0))</f>
        <v>917</v>
      </c>
      <c r="BH16" s="296">
        <f>(IF('Section Load'!AO19&gt;0,'Section Load'!AO19,0))</f>
        <v>278</v>
      </c>
      <c r="BI16" s="296">
        <f>(IF('Section Load'!AP19&gt;0,'Section Load'!AP19,0))</f>
        <v>0</v>
      </c>
      <c r="BJ16" s="296">
        <f>(IF('Section Load'!AQ19&gt;0,'Section Load'!AQ19,0))</f>
        <v>129</v>
      </c>
      <c r="BK16" s="296">
        <f>(IF('Section Load'!AR19&gt;0,'Section Load'!AR19,0))</f>
        <v>59</v>
      </c>
      <c r="BL16" s="296">
        <f>(IF('Section Load'!AS19&gt;0,'Section Load'!AS19,0))</f>
        <v>0</v>
      </c>
      <c r="BM16" s="296">
        <f>(IF('Section Load'!AT19&gt;0,'Section Load'!AT19,0))</f>
        <v>451</v>
      </c>
    </row>
    <row r="17" spans="1:65">
      <c r="A17" s="287" t="s">
        <v>268</v>
      </c>
      <c r="B17" s="288">
        <f t="shared" si="0"/>
        <v>16</v>
      </c>
      <c r="C17" s="288">
        <v>10</v>
      </c>
      <c r="D17" s="288">
        <v>2022</v>
      </c>
      <c r="E17" s="294">
        <f>(IF('Section Load'!F20&gt;0,'Section Load'!F20,0))</f>
        <v>3658.3600000000442</v>
      </c>
      <c r="F17" s="294">
        <f>(IF('Section Load'!G20&gt;0,'Section Load'!G20,0))</f>
        <v>996.01000000000931</v>
      </c>
      <c r="G17" s="294">
        <f>(IF('Section Load'!H20&gt;0,'Section Load'!H20,0))</f>
        <v>2438.6999999999534</v>
      </c>
      <c r="H17" s="294">
        <f>(IF('Section Load'!I20&gt;0,'Section Load'!I20,0))</f>
        <v>4307.4699999999721</v>
      </c>
      <c r="I17" s="294">
        <f>(IF('Section Load'!J20&gt;0,'Section Load'!J20,0))</f>
        <v>4009.2399999999907</v>
      </c>
      <c r="J17" s="294">
        <f>(IF('Section Load'!K20&gt;0,'Section Load'!K20,0))</f>
        <v>2689.5900000000256</v>
      </c>
      <c r="K17" s="294">
        <f>(IF('Section Load'!L20&gt;0,'Section Load'!L20,0))</f>
        <v>1710.9000000000233</v>
      </c>
      <c r="L17" s="294">
        <f>(IF('Section Load'!M20&gt;0,'Section Load'!M20,0))</f>
        <v>1115.5999999999767</v>
      </c>
      <c r="M17" s="294">
        <f>(IF('Section Load'!N20&gt;0,'Section Load'!N20,0))</f>
        <v>176</v>
      </c>
      <c r="N17" s="294">
        <f>(IF('Section Load'!O20&gt;0,'Section Load'!O20,0))</f>
        <v>149</v>
      </c>
      <c r="O17" s="294">
        <f>(IF('Section Load'!P20&gt;0,'Section Load'!P20,0))</f>
        <v>11.400000000000091</v>
      </c>
      <c r="P17" s="294">
        <f>(IF('Section Load'!Q20&gt;0,'Section Load'!Q20,0))</f>
        <v>249.89999999999418</v>
      </c>
      <c r="Q17" s="294">
        <f>(IF('Section Load'!R20&gt;0,'Section Load'!R20,0))</f>
        <v>114.69999999999709</v>
      </c>
      <c r="R17" s="294">
        <f>(IF('Section Load'!S20&gt;0,'Section Load'!S20,0))</f>
        <v>182.70000000000073</v>
      </c>
      <c r="S17" s="294">
        <f>(IF('Section Load'!T20&gt;0,'Section Load'!T20,0))</f>
        <v>41</v>
      </c>
      <c r="T17" s="294">
        <f>(IF('Section Load'!U20&gt;0,'Section Load'!U20,0))</f>
        <v>246</v>
      </c>
      <c r="U17" s="294">
        <f>(IF('Section Load'!V20&gt;0,'Section Load'!V20,0))</f>
        <v>417.76000000000931</v>
      </c>
      <c r="V17" s="294">
        <f>(IF('Section Load'!W20&gt;0,'Section Load'!W20,0))</f>
        <v>324.95999999996275</v>
      </c>
      <c r="W17" s="294">
        <f>(IF('Section Load'!X20&gt;0,'Section Load'!X20,0))</f>
        <v>29</v>
      </c>
      <c r="X17" s="294">
        <f>(IF('Section Load'!Y20&gt;0,'Section Load'!Y20,0))</f>
        <v>239.7899999999936</v>
      </c>
      <c r="Y17" s="294">
        <f>(IF('Section Load'!Z20&gt;0,'Section Load'!Z20,0))</f>
        <v>80</v>
      </c>
      <c r="Z17" s="294">
        <f>(IF('Section Load'!AA20&gt;0,'Section Load'!AA20,0))</f>
        <v>292.20000000001164</v>
      </c>
      <c r="AA17" s="294">
        <f>(IF('Section Load'!AB20&gt;0,'Section Load'!AB20,0))</f>
        <v>28.80000000000291</v>
      </c>
      <c r="AB17" s="294">
        <f>(IF('Section Load'!AC20&gt;0,'Section Load'!AC20,0))</f>
        <v>7.0000000014260877E-3</v>
      </c>
      <c r="AC17" s="294">
        <f>(IF('Section Load'!AD20&gt;0,'Section Load'!AD20,0))</f>
        <v>110.60000000000036</v>
      </c>
      <c r="AD17" s="294">
        <f>(IF('Section Load'!AE20&gt;0,'Section Load'!AE20,0))</f>
        <v>604</v>
      </c>
      <c r="AE17" s="294">
        <f>(IF('Section Load'!AF20&gt;0,'Section Load'!AF20,0))</f>
        <v>273.5</v>
      </c>
      <c r="AF17" s="294">
        <f>(IF('Section Load'!AG20&gt;0,'Section Load'!AG20,0))</f>
        <v>566.19999999999709</v>
      </c>
      <c r="AG17" s="294">
        <f>(IF('Section Load'!AH20&gt;0,'Section Load'!AH20,0))</f>
        <v>11.040000000000873</v>
      </c>
      <c r="AH17" s="294">
        <f>(IF('Section Load'!AI20&gt;0,'Section Load'!AI20,0))</f>
        <v>405.30000000000291</v>
      </c>
      <c r="AI17" s="294">
        <f>(IF('Section Load'!AJ20&gt;0,'Section Load'!AJ20,0))</f>
        <v>429.24000000000524</v>
      </c>
      <c r="AJ17" s="294">
        <f>(IF('Section Load'!AK20&gt;0,'Section Load'!AK20,0))</f>
        <v>397.19999999999709</v>
      </c>
      <c r="AK17" s="294">
        <f>(IF('Section Load'!AL20&gt;0,'Section Load'!AL20,0))</f>
        <v>309.16000000000349</v>
      </c>
      <c r="AL17" s="294">
        <f>(IF('Section Load'!AM20&gt;0,'Section Load'!AM20,0))</f>
        <v>850.46999999997206</v>
      </c>
      <c r="AM17" s="295">
        <f>(IF('Water Report'!$S$7&gt;0,'Water Report'!$S$7,0))</f>
        <v>125</v>
      </c>
      <c r="AN17" s="295">
        <f>(IF('Water Report'!$S$8&gt;0,'Water Report'!$S$8,0))</f>
        <v>0</v>
      </c>
      <c r="AO17" s="295">
        <f>(IF('Water Report'!$S$9&gt;0,'Water Report'!$S$9,0))</f>
        <v>123</v>
      </c>
      <c r="AP17" s="295">
        <f>(IF('Water Report'!$S$10&gt;0,'Water Report'!$D$10,0))</f>
        <v>9</v>
      </c>
      <c r="AQ17" s="295">
        <f>(IF('Water Report'!$S$11&gt;0,'Water Report'!$D$11,0))</f>
        <v>40</v>
      </c>
      <c r="AR17" s="295">
        <f>(IF('Water Report'!$S$13&gt;0,'Water Report'!$D$13,0))</f>
        <v>26</v>
      </c>
      <c r="AS17" s="295">
        <f>(IF('Water Report'!$S$14&gt;0,'Water Report'!$D$14,0))</f>
        <v>5</v>
      </c>
      <c r="AT17" s="295">
        <f>(IF('Water Report'!$S$15&gt;0,'Water Report'!$D$15,0))</f>
        <v>14</v>
      </c>
      <c r="AU17" s="295">
        <f>(IF('Water Report'!$S$17&gt;0,'Water Report'!$D$17,0))</f>
        <v>1</v>
      </c>
      <c r="AV17" s="295">
        <f>(IF('Water Report'!$S$18&gt;0,'Water Report'!$D$18,0))</f>
        <v>13</v>
      </c>
      <c r="AW17" s="295">
        <f>(IF('Water Report'!$S$19&gt;0,'Water Report'!$D$19,0))</f>
        <v>11</v>
      </c>
      <c r="AX17" s="301">
        <f>(IF('Water Report'!$S$21&gt;0,'Water Report'!$D$21,0))</f>
        <v>0</v>
      </c>
      <c r="AY17" s="301">
        <f>(IF('Water Report'!$S$22&gt;0,'Water Report'!$D$22,0))</f>
        <v>0</v>
      </c>
      <c r="AZ17" s="301">
        <f>(IF('Water Report'!$S$23&gt;0,'Water Report'!$D$23,0))</f>
        <v>0</v>
      </c>
      <c r="BA17" s="301">
        <f>(IF('Water Report'!$S$14&gt;0,'Water Report'!$D$14,0))</f>
        <v>5</v>
      </c>
      <c r="BB17" s="301">
        <f>(IF('Water Report'!$S$15&gt;0,'Water Report'!$D$15,0))</f>
        <v>14</v>
      </c>
      <c r="BC17" s="301">
        <f>(IF('Water Report'!$S$13&gt;0,'Water Report'!$D$13,0))</f>
        <v>26</v>
      </c>
      <c r="BD17" s="301">
        <f>(IF('Water Report'!$S$24&gt;0,'Water Report'!$D$24,0))</f>
        <v>304</v>
      </c>
      <c r="BE17" s="301">
        <f>(IF('Water Report'!$S$25&gt;0,'Water Report'!$D$25,0))</f>
        <v>171</v>
      </c>
      <c r="BF17" s="301">
        <f>(IF('Water Report'!$S$27&gt;0,'Water Report'!$D$27,0))</f>
        <v>26</v>
      </c>
      <c r="BG17" s="296">
        <f>(IF('Section Load'!AN20&gt;0,'Section Load'!AN20,0))</f>
        <v>1098</v>
      </c>
      <c r="BH17" s="296">
        <f>(IF('Section Load'!AO20&gt;0,'Section Load'!AO20,0))</f>
        <v>295.56999999994878</v>
      </c>
      <c r="BI17" s="296">
        <f>(IF('Section Load'!AP20&gt;0,'Section Load'!AP20,0))</f>
        <v>0.80000000000291038</v>
      </c>
      <c r="BJ17" s="296">
        <f>(IF('Section Load'!AQ20&gt;0,'Section Load'!AQ20,0))</f>
        <v>138.29999999998836</v>
      </c>
      <c r="BK17" s="296">
        <f>(IF('Section Load'!AR20&gt;0,'Section Load'!AR20,0))</f>
        <v>67</v>
      </c>
      <c r="BL17" s="296">
        <f>(IF('Section Load'!AS20&gt;0,'Section Load'!AS20,0))</f>
        <v>0</v>
      </c>
      <c r="BM17" s="296">
        <f>(IF('Section Load'!AT20&gt;0,'Section Load'!AT20,0))</f>
        <v>597.33000000005995</v>
      </c>
    </row>
    <row r="18" spans="1:65">
      <c r="A18" s="287" t="s">
        <v>268</v>
      </c>
      <c r="B18" s="288">
        <f t="shared" si="0"/>
        <v>17</v>
      </c>
      <c r="C18" s="288">
        <v>10</v>
      </c>
      <c r="D18" s="288">
        <v>2022</v>
      </c>
      <c r="E18" s="294">
        <f>(IF('Section Load'!F21&gt;0,'Section Load'!F21,0))</f>
        <v>3802.679999999993</v>
      </c>
      <c r="F18" s="294">
        <f>(IF('Section Load'!G21&gt;0,'Section Load'!G21,0))</f>
        <v>1050.8799999999901</v>
      </c>
      <c r="G18" s="294">
        <f>(IF('Section Load'!H21&gt;0,'Section Load'!H21,0))</f>
        <v>2335.6100000001024</v>
      </c>
      <c r="H18" s="294">
        <f>(IF('Section Load'!I21&gt;0,'Section Load'!I21,0))</f>
        <v>4426.0400000000373</v>
      </c>
      <c r="I18" s="294">
        <f>(IF('Section Load'!J21&gt;0,'Section Load'!J21,0))</f>
        <v>4623.9400000000314</v>
      </c>
      <c r="J18" s="294">
        <f>(IF('Section Load'!K21&gt;0,'Section Load'!K21,0))</f>
        <v>2939.1199999999953</v>
      </c>
      <c r="K18" s="294">
        <f>(IF('Section Load'!L21&gt;0,'Section Load'!L21,0))</f>
        <v>1442.69</v>
      </c>
      <c r="L18" s="294">
        <f>(IF('Section Load'!M21&gt;0,'Section Load'!M21,0))</f>
        <v>717.19000000000233</v>
      </c>
      <c r="M18" s="294">
        <f>(IF('Section Load'!N21&gt;0,'Section Load'!N21,0))</f>
        <v>177</v>
      </c>
      <c r="N18" s="294">
        <f>(IF('Section Load'!O21&gt;0,'Section Load'!O21,0))</f>
        <v>138</v>
      </c>
      <c r="O18" s="294">
        <f>(IF('Section Load'!P21&gt;0,'Section Load'!P21,0))</f>
        <v>11.199999999999818</v>
      </c>
      <c r="P18" s="294">
        <f>(IF('Section Load'!Q21&gt;0,'Section Load'!Q21,0))</f>
        <v>213.16000000000349</v>
      </c>
      <c r="Q18" s="294">
        <f>(IF('Section Load'!R21&gt;0,'Section Load'!R21,0))</f>
        <v>100.80000000000291</v>
      </c>
      <c r="R18" s="294">
        <f>(IF('Section Load'!S21&gt;0,'Section Load'!S21,0))</f>
        <v>199.89999999999782</v>
      </c>
      <c r="S18" s="294">
        <f>(IF('Section Load'!T21&gt;0,'Section Load'!T21,0))</f>
        <v>43</v>
      </c>
      <c r="T18" s="294">
        <f>(IF('Section Load'!U21&gt;0,'Section Load'!U21,0))</f>
        <v>252</v>
      </c>
      <c r="U18" s="294">
        <f>(IF('Section Load'!V21&gt;0,'Section Load'!V21,0))</f>
        <v>369.52000000001863</v>
      </c>
      <c r="V18" s="294">
        <f>(IF('Section Load'!W21&gt;0,'Section Load'!W21,0))</f>
        <v>284.80000000004657</v>
      </c>
      <c r="W18" s="294">
        <f>(IF('Section Load'!X21&gt;0,'Section Load'!X21,0))</f>
        <v>27</v>
      </c>
      <c r="X18" s="294">
        <f>(IF('Section Load'!Y21&gt;0,'Section Load'!Y21,0))</f>
        <v>247.81000000001222</v>
      </c>
      <c r="Y18" s="294">
        <f>(IF('Section Load'!Z21&gt;0,'Section Load'!Z21,0))</f>
        <v>45</v>
      </c>
      <c r="Z18" s="294">
        <f>(IF('Section Load'!AA21&gt;0,'Section Load'!AA21,0))</f>
        <v>323.8399999999674</v>
      </c>
      <c r="AA18" s="294">
        <f>(IF('Section Load'!AB21&gt;0,'Section Load'!AB21,0))</f>
        <v>43.599999999991269</v>
      </c>
      <c r="AB18" s="294">
        <f>(IF('Section Load'!AC21&gt;0,'Section Load'!AC21,0))</f>
        <v>2.9130000000004657</v>
      </c>
      <c r="AC18" s="294">
        <f>(IF('Section Load'!AD21&gt;0,'Section Load'!AD21,0))</f>
        <v>143.29999999999927</v>
      </c>
      <c r="AD18" s="294">
        <f>(IF('Section Load'!AE21&gt;0,'Section Load'!AE21,0))</f>
        <v>571.30000000000291</v>
      </c>
      <c r="AE18" s="294">
        <f>(IF('Section Load'!AF21&gt;0,'Section Load'!AF21,0))</f>
        <v>321.40000000000146</v>
      </c>
      <c r="AF18" s="294">
        <f>(IF('Section Load'!AG21&gt;0,'Section Load'!AG21,0))</f>
        <v>605.19999999999709</v>
      </c>
      <c r="AG18" s="294">
        <f>(IF('Section Load'!AH21&gt;0,'Section Load'!AH21,0))</f>
        <v>13.959999999999127</v>
      </c>
      <c r="AH18" s="294">
        <f>(IF('Section Load'!AI21&gt;0,'Section Load'!AI21,0))</f>
        <v>430.30000000000291</v>
      </c>
      <c r="AI18" s="294">
        <f>(IF('Section Load'!AJ21&gt;0,'Section Load'!AJ21,0))</f>
        <v>448.55999999999767</v>
      </c>
      <c r="AJ18" s="294">
        <f>(IF('Section Load'!AK21&gt;0,'Section Load'!AK21,0))</f>
        <v>387.10000000000582</v>
      </c>
      <c r="AK18" s="294">
        <f>(IF('Section Load'!AL21&gt;0,'Section Load'!AL21,0))</f>
        <v>303.63999999999942</v>
      </c>
      <c r="AL18" s="294">
        <f>(IF('Section Load'!AM21&gt;0,'Section Load'!AM21,0))</f>
        <v>840.3300000000163</v>
      </c>
      <c r="AM18" s="295">
        <f>(IF('Water Report'!$T$7&gt;0,'Water Report'!$T$7,0))</f>
        <v>117</v>
      </c>
      <c r="AN18" s="295">
        <f>(IF('Water Report'!$T$8&gt;0,'Water Report'!$T$8,0))</f>
        <v>0</v>
      </c>
      <c r="AO18" s="295">
        <f>(IF('Water Report'!$T$9&gt;0,'Water Report'!$T$9,0))</f>
        <v>108</v>
      </c>
      <c r="AP18" s="295">
        <f>(IF('Water Report'!$T$10&gt;0,'Water Report'!$T$10,0))</f>
        <v>10</v>
      </c>
      <c r="AQ18" s="295">
        <f>(IF('Water Report'!$T$11&gt;0,'Water Report'!$T$11,0))</f>
        <v>20</v>
      </c>
      <c r="AR18" s="295">
        <f>(IF('Water Report'!$T$13&gt;0,'Water Report'!$T$13,0))</f>
        <v>34</v>
      </c>
      <c r="AS18" s="295">
        <f>(IF('Water Report'!$T$14&gt;0,'Water Report'!$T$14,0))</f>
        <v>7</v>
      </c>
      <c r="AT18" s="295">
        <f>(IF('Water Report'!$T$15&gt;0,'Water Report'!$T$15,0))</f>
        <v>11</v>
      </c>
      <c r="AU18" s="295">
        <f>(IF('Water Report'!$T$17&gt;0,'Water Report'!$T$17,0))</f>
        <v>2</v>
      </c>
      <c r="AV18" s="295">
        <f>(IF('Water Report'!$T$18&gt;0,'Water Report'!$T$18,0))</f>
        <v>12</v>
      </c>
      <c r="AW18" s="295">
        <f>(IF('Water Report'!$T$19&gt;0,'Water Report'!$T$19,0))</f>
        <v>14</v>
      </c>
      <c r="AX18" s="301">
        <f>(IF('Water Report'!$T$21&gt;0,'Water Report'!$T$21,0))</f>
        <v>0</v>
      </c>
      <c r="AY18" s="301">
        <f>(IF('Water Report'!$T$22&gt;0,'Water Report'!$T$22,0))</f>
        <v>0</v>
      </c>
      <c r="AZ18" s="301">
        <f>(IF('Water Report'!$T$23&gt;0,'Water Report'!$T$23,0))</f>
        <v>0</v>
      </c>
      <c r="BA18" s="301">
        <f>(IF('Water Report'!$T$14&gt;0,'Water Report'!$T$14,0))</f>
        <v>7</v>
      </c>
      <c r="BB18" s="301">
        <f>(IF('Water Report'!$T$15&gt;0,'Water Report'!$T$15,0))</f>
        <v>11</v>
      </c>
      <c r="BC18" s="301">
        <f>(IF('Water Report'!$T$13&gt;0,'Water Report'!$T$13,0))</f>
        <v>34</v>
      </c>
      <c r="BD18" s="301">
        <f>(IF('Water Report'!$T$24&gt;0,'Water Report'!$T$24,0))</f>
        <v>302</v>
      </c>
      <c r="BE18" s="301">
        <f>(IF('Water Report'!$T$25&gt;0,'Water Report'!$T$25,0))</f>
        <v>156</v>
      </c>
      <c r="BF18" s="301">
        <f>(IF('Water Report'!$T$27&gt;0,'Water Report'!$T$27,0))</f>
        <v>34</v>
      </c>
      <c r="BG18" s="296">
        <f>(IF('Section Load'!AN21&gt;0,'Section Load'!AN21,0))</f>
        <v>1022</v>
      </c>
      <c r="BH18" s="296">
        <f>(IF('Section Load'!AO21&gt;0,'Section Load'!AO21,0))</f>
        <v>291.03000000002794</v>
      </c>
      <c r="BI18" s="296">
        <f>(IF('Section Load'!AP21&gt;0,'Section Load'!AP21,0))</f>
        <v>0</v>
      </c>
      <c r="BJ18" s="296">
        <f>(IF('Section Load'!AQ21&gt;0,'Section Load'!AQ21,0))</f>
        <v>100.90000000002328</v>
      </c>
      <c r="BK18" s="296">
        <f>(IF('Section Load'!AR21&gt;0,'Section Load'!AR21,0))</f>
        <v>43</v>
      </c>
      <c r="BL18" s="296">
        <f>(IF('Section Load'!AS21&gt;0,'Section Load'!AS21,0))</f>
        <v>0</v>
      </c>
      <c r="BM18" s="296">
        <f>(IF('Section Load'!AT21&gt;0,'Section Load'!AT21,0))</f>
        <v>588.86999999995169</v>
      </c>
    </row>
    <row r="19" spans="1:65">
      <c r="A19" s="287" t="s">
        <v>268</v>
      </c>
      <c r="B19" s="288">
        <f t="shared" si="0"/>
        <v>18</v>
      </c>
      <c r="C19" s="288">
        <v>10</v>
      </c>
      <c r="D19" s="288">
        <v>2022</v>
      </c>
      <c r="E19" s="294">
        <f>(IF('Section Load'!F22&gt;0,'Section Load'!F22,0))</f>
        <v>3749.2599999999511</v>
      </c>
      <c r="F19" s="294">
        <f>(IF('Section Load'!G22&gt;0,'Section Load'!G22,0))</f>
        <v>1041</v>
      </c>
      <c r="G19" s="294">
        <f>(IF('Section Load'!H22&gt;0,'Section Load'!H22,0))</f>
        <v>2281.5599999999395</v>
      </c>
      <c r="H19" s="294">
        <f>(IF('Section Load'!I22&gt;0,'Section Load'!I22,0))</f>
        <v>4369.1799999999348</v>
      </c>
      <c r="I19" s="294">
        <f>(IF('Section Load'!J22&gt;0,'Section Load'!J22,0))</f>
        <v>5273.7799999999988</v>
      </c>
      <c r="J19" s="294">
        <f>(IF('Section Load'!K22&gt;0,'Section Load'!K22,0))</f>
        <v>2706.4799999999814</v>
      </c>
      <c r="K19" s="294">
        <f>(IF('Section Load'!L22&gt;0,'Section Load'!L22,0))</f>
        <v>1410.0099999999511</v>
      </c>
      <c r="L19" s="294">
        <f>(IF('Section Load'!M22&gt;0,'Section Load'!M22,0))</f>
        <v>713.44000000000233</v>
      </c>
      <c r="M19" s="294">
        <f>(IF('Section Load'!N22&gt;0,'Section Load'!N22,0))</f>
        <v>177</v>
      </c>
      <c r="N19" s="294">
        <f>(IF('Section Load'!O22&gt;0,'Section Load'!O22,0))</f>
        <v>139</v>
      </c>
      <c r="O19" s="294">
        <f>(IF('Section Load'!P22&gt;0,'Section Load'!P22,0))</f>
        <v>12.050000000000182</v>
      </c>
      <c r="P19" s="294">
        <f>(IF('Section Load'!Q22&gt;0,'Section Load'!Q22,0))</f>
        <v>211.54000000000815</v>
      </c>
      <c r="Q19" s="294">
        <f>(IF('Section Load'!R22&gt;0,'Section Load'!R22,0))</f>
        <v>103.23999999999796</v>
      </c>
      <c r="R19" s="294">
        <f>(IF('Section Load'!S22&gt;0,'Section Load'!S22,0))</f>
        <v>186.68000000000029</v>
      </c>
      <c r="S19" s="294">
        <f>(IF('Section Load'!T22&gt;0,'Section Load'!T22,0))</f>
        <v>44</v>
      </c>
      <c r="T19" s="294">
        <f>(IF('Section Load'!U22&gt;0,'Section Load'!U22,0))</f>
        <v>250</v>
      </c>
      <c r="U19" s="294">
        <f>(IF('Section Load'!V22&gt;0,'Section Load'!V22,0))</f>
        <v>401.19999999995343</v>
      </c>
      <c r="V19" s="294">
        <f>(IF('Section Load'!W22&gt;0,'Section Load'!W22,0))</f>
        <v>271.8399999999674</v>
      </c>
      <c r="W19" s="294">
        <f>(IF('Section Load'!X22&gt;0,'Section Load'!X22,0))</f>
        <v>29.200000000000728</v>
      </c>
      <c r="X19" s="294">
        <f>(IF('Section Load'!Y22&gt;0,'Section Load'!Y22,0))</f>
        <v>250.31999999999243</v>
      </c>
      <c r="Y19" s="294">
        <f>(IF('Section Load'!Z22&gt;0,'Section Load'!Z22,0))</f>
        <v>35</v>
      </c>
      <c r="Z19" s="294">
        <f>(IF('Section Load'!AA22&gt;0,'Section Load'!AA22,0))</f>
        <v>378.28000000002794</v>
      </c>
      <c r="AA19" s="294">
        <f>(IF('Section Load'!AB22&gt;0,'Section Load'!AB22,0))</f>
        <v>46.400000000008731</v>
      </c>
      <c r="AB19" s="294">
        <f>(IF('Section Load'!AC22&gt;0,'Section Load'!AC22,0))</f>
        <v>0</v>
      </c>
      <c r="AC19" s="294">
        <f>(IF('Section Load'!AD22&gt;0,'Section Load'!AD22,0))</f>
        <v>149.10000000000036</v>
      </c>
      <c r="AD19" s="294">
        <f>(IF('Section Load'!AE22&gt;0,'Section Load'!AE22,0))</f>
        <v>500.59999999999127</v>
      </c>
      <c r="AE19" s="294">
        <f>(IF('Section Load'!AF22&gt;0,'Section Load'!AF22,0))</f>
        <v>323.09999999999854</v>
      </c>
      <c r="AF19" s="294">
        <f>(IF('Section Load'!AG22&gt;0,'Section Load'!AG22,0))</f>
        <v>628.75</v>
      </c>
      <c r="AG19" s="294">
        <f>(IF('Section Load'!AH22&gt;0,'Section Load'!AH22,0))</f>
        <v>12.80000000000291</v>
      </c>
      <c r="AH19" s="294">
        <f>(IF('Section Load'!AI22&gt;0,'Section Load'!AI22,0))</f>
        <v>418.09999999999127</v>
      </c>
      <c r="AI19" s="294">
        <f>(IF('Section Load'!AJ22&gt;0,'Section Load'!AJ22,0))</f>
        <v>442.59999999999127</v>
      </c>
      <c r="AJ19" s="294">
        <f>(IF('Section Load'!AK22&gt;0,'Section Load'!AK22,0))</f>
        <v>405.79999999999563</v>
      </c>
      <c r="AK19" s="294">
        <f>(IF('Section Load'!AL22&gt;0,'Section Load'!AL22,0))</f>
        <v>304.69999999999709</v>
      </c>
      <c r="AL19" s="294">
        <f>(IF('Section Load'!AM22&gt;0,'Section Load'!AM22,0))</f>
        <v>855.90000000002328</v>
      </c>
      <c r="AM19" s="295">
        <f>(IF('Water Report'!$U$7&gt;0,'Water Report'!$U$7,0))</f>
        <v>104</v>
      </c>
      <c r="AN19" s="295">
        <f>(IF('Water Report'!$U$8&gt;0,'Water Report'!$U$8,0))</f>
        <v>0</v>
      </c>
      <c r="AO19" s="295">
        <f>(IF('Water Report'!$U$9&gt;0,'Water Report'!$U$9,0))</f>
        <v>101</v>
      </c>
      <c r="AP19" s="295">
        <f>(IF('Water Report'!$U$10&gt;0,'Water Report'!$U$10,0))</f>
        <v>9</v>
      </c>
      <c r="AQ19" s="295">
        <f>(IF('Water Report'!$U$11&gt;0,'Water Report'!$U$11,0))</f>
        <v>20</v>
      </c>
      <c r="AR19" s="295">
        <f>(IF('Water Report'!$U$13&gt;0,'Water Report'!$U$13,0))</f>
        <v>42</v>
      </c>
      <c r="AS19" s="295">
        <f>(IF('Water Report'!$U$14&gt;0,'Water Report'!$U$14,0))</f>
        <v>8</v>
      </c>
      <c r="AT19" s="295">
        <f>(IF('Water Report'!$U$15&gt;0,'Water Report'!$U$15,0))</f>
        <v>7</v>
      </c>
      <c r="AU19" s="295">
        <f>(IF('Water Report'!$U$17&gt;0,'Water Report'!$U$17,0))</f>
        <v>1</v>
      </c>
      <c r="AV19" s="295">
        <f>(IF('Water Report'!$U$18&gt;0,'Water Report'!$U$18,0))</f>
        <v>14</v>
      </c>
      <c r="AW19" s="295">
        <f>(IF('Water Report'!$U$19&gt;0,'Water Report'!$U$19,0))</f>
        <v>12</v>
      </c>
      <c r="AX19" s="301">
        <f>(IF('Water Report'!$U$21&gt;0,'Water Report'!$U$21,0))</f>
        <v>0</v>
      </c>
      <c r="AY19" s="301">
        <f>(IF('Water Report'!$U$22&gt;0,'Water Report'!$U$22,0))</f>
        <v>0</v>
      </c>
      <c r="AZ19" s="301">
        <f>(IF('Water Report'!$U$23&gt;0,'Water Report'!$U$23,0))</f>
        <v>0</v>
      </c>
      <c r="BA19" s="301">
        <f>(IF('Water Report'!$U$14&gt;0,'Water Report'!$U$14,0))</f>
        <v>8</v>
      </c>
      <c r="BB19" s="301">
        <f>(IF('Water Report'!$U$15&gt;0,'Water Report'!$U$15,0))</f>
        <v>7</v>
      </c>
      <c r="BC19" s="301">
        <f>(IF('Water Report'!$U$13&gt;0,'Water Report'!$U$13,0))</f>
        <v>42</v>
      </c>
      <c r="BD19" s="301">
        <f>(IF('Water Report'!$U$24&gt;0,'Water Report'!$U$24,0))</f>
        <v>273</v>
      </c>
      <c r="BE19" s="301">
        <f>(IF('Water Report'!$U$25&gt;0,'Water Report'!$U$25,0))</f>
        <v>145</v>
      </c>
      <c r="BF19" s="301">
        <f>(IF('Water Report'!$U$27&gt;0,'Water Report'!$U$27,0))</f>
        <v>42</v>
      </c>
      <c r="BG19" s="296">
        <f>(IF('Section Load'!AN22&gt;0,'Section Load'!AN22,0))</f>
        <v>1031.5</v>
      </c>
      <c r="BH19" s="296">
        <f>(IF('Section Load'!AO22&gt;0,'Section Load'!AO22,0))</f>
        <v>290.09999999997672</v>
      </c>
      <c r="BI19" s="296">
        <f>(IF('Section Load'!AP22&gt;0,'Section Load'!AP22,0))</f>
        <v>0</v>
      </c>
      <c r="BJ19" s="296">
        <f>(IF('Section Load'!AQ22&gt;0,'Section Load'!AQ22,0))</f>
        <v>121.79999999998836</v>
      </c>
      <c r="BK19" s="296">
        <f>(IF('Section Load'!AR22&gt;0,'Section Load'!AR22,0))</f>
        <v>40</v>
      </c>
      <c r="BL19" s="296">
        <f>(IF('Section Load'!AS22&gt;0,'Section Load'!AS22,0))</f>
        <v>0</v>
      </c>
      <c r="BM19" s="296">
        <f>(IF('Section Load'!AT22&gt;0,'Section Load'!AT22,0))</f>
        <v>579.60000000003492</v>
      </c>
    </row>
    <row r="20" spans="1:65">
      <c r="A20" s="287" t="s">
        <v>268</v>
      </c>
      <c r="B20" s="288">
        <f t="shared" si="0"/>
        <v>19</v>
      </c>
      <c r="C20" s="288">
        <v>10</v>
      </c>
      <c r="D20" s="288">
        <v>2022</v>
      </c>
      <c r="E20" s="294">
        <f>(IF('Section Load'!F23&gt;0,'Section Load'!F23,0))</f>
        <v>4013.7000000000116</v>
      </c>
      <c r="F20" s="294">
        <f>(IF('Section Load'!G23&gt;0,'Section Load'!G23,0))</f>
        <v>1043.8000000000029</v>
      </c>
      <c r="G20" s="294">
        <f>(IF('Section Load'!H23&gt;0,'Section Load'!H23,0))</f>
        <v>2405.1300000000047</v>
      </c>
      <c r="H20" s="294">
        <f>(IF('Section Load'!I23&gt;0,'Section Load'!I23,0))</f>
        <v>4246.5</v>
      </c>
      <c r="I20" s="294">
        <f>(IF('Section Load'!J23&gt;0,'Section Load'!J23,0))</f>
        <v>7428.3400000000256</v>
      </c>
      <c r="J20" s="294">
        <f>(IF('Section Load'!K23&gt;0,'Section Load'!K23,0))</f>
        <v>2886.8099999999977</v>
      </c>
      <c r="K20" s="294">
        <f>(IF('Section Load'!L23&gt;0,'Section Load'!L23,0))</f>
        <v>1307.4000000000233</v>
      </c>
      <c r="L20" s="294">
        <f>(IF('Section Load'!M23&gt;0,'Section Load'!M23,0))</f>
        <v>903.77000000001863</v>
      </c>
      <c r="M20" s="294">
        <f>(IF('Section Load'!N23&gt;0,'Section Load'!N23,0))</f>
        <v>173</v>
      </c>
      <c r="N20" s="294">
        <f>(IF('Section Load'!O23&gt;0,'Section Load'!O23,0))</f>
        <v>174</v>
      </c>
      <c r="O20" s="294">
        <f>(IF('Section Load'!P23&gt;0,'Section Load'!P23,0))</f>
        <v>10.349999999999909</v>
      </c>
      <c r="P20" s="294">
        <f>(IF('Section Load'!Q23&gt;0,'Section Load'!Q23,0))</f>
        <v>241.39999999999418</v>
      </c>
      <c r="Q20" s="294">
        <f>(IF('Section Load'!R23&gt;0,'Section Load'!R23,0))</f>
        <v>110.26000000000204</v>
      </c>
      <c r="R20" s="294">
        <f>(IF('Section Load'!S23&gt;0,'Section Load'!S23,0))</f>
        <v>182.72000000000116</v>
      </c>
      <c r="S20" s="294">
        <f>(IF('Section Load'!T23&gt;0,'Section Load'!T23,0))</f>
        <v>47</v>
      </c>
      <c r="T20" s="294">
        <f>(IF('Section Load'!U23&gt;0,'Section Load'!U23,0))</f>
        <v>256</v>
      </c>
      <c r="U20" s="294">
        <f>(IF('Section Load'!V23&gt;0,'Section Load'!V23,0))</f>
        <v>360.52000000001863</v>
      </c>
      <c r="V20" s="294">
        <f>(IF('Section Load'!W23&gt;0,'Section Load'!W23,0))</f>
        <v>264.40000000002328</v>
      </c>
      <c r="W20" s="294">
        <f>(IF('Section Load'!X23&gt;0,'Section Load'!X23,0))</f>
        <v>31.799999999999272</v>
      </c>
      <c r="X20" s="294">
        <f>(IF('Section Load'!Y23&gt;0,'Section Load'!Y23,0))</f>
        <v>263.08000000000175</v>
      </c>
      <c r="Y20" s="294">
        <f>(IF('Section Load'!Z23&gt;0,'Section Load'!Z23,0))</f>
        <v>0</v>
      </c>
      <c r="Z20" s="294">
        <f>(IF('Section Load'!AA23&gt;0,'Section Load'!AA23,0))</f>
        <v>264.67999999999302</v>
      </c>
      <c r="AA20" s="294">
        <f>(IF('Section Load'!AB23&gt;0,'Section Load'!AB23,0))</f>
        <v>46.19999999999709</v>
      </c>
      <c r="AB20" s="294">
        <f>(IF('Section Load'!AC23&gt;0,'Section Load'!AC23,0))</f>
        <v>8.1699999999982538</v>
      </c>
      <c r="AC20" s="294">
        <f>(IF('Section Load'!AD23&gt;0,'Section Load'!AD23,0))</f>
        <v>163</v>
      </c>
      <c r="AD20" s="294">
        <f>(IF('Section Load'!AE23&gt;0,'Section Load'!AE23,0))</f>
        <v>501.10000000000582</v>
      </c>
      <c r="AE20" s="294">
        <f>(IF('Section Load'!AF23&gt;0,'Section Load'!AF23,0))</f>
        <v>260</v>
      </c>
      <c r="AF20" s="294">
        <f>(IF('Section Load'!AG23&gt;0,'Section Load'!AG23,0))</f>
        <v>639.85000000000582</v>
      </c>
      <c r="AG20" s="294">
        <f>(IF('Section Load'!AH23&gt;0,'Section Load'!AH23,0))</f>
        <v>12.19999999999709</v>
      </c>
      <c r="AH20" s="294">
        <f>(IF('Section Load'!AI23&gt;0,'Section Load'!AI23,0))</f>
        <v>390.30000000000291</v>
      </c>
      <c r="AI20" s="294">
        <f>(IF('Section Load'!AJ23&gt;0,'Section Load'!AJ23,0))</f>
        <v>437.60000000000582</v>
      </c>
      <c r="AJ20" s="294">
        <f>(IF('Section Load'!AK23&gt;0,'Section Load'!AK23,0))</f>
        <v>388.90000000000146</v>
      </c>
      <c r="AK20" s="294">
        <f>(IF('Section Load'!AL23&gt;0,'Section Load'!AL23,0))</f>
        <v>298.5</v>
      </c>
      <c r="AL20" s="294">
        <f>(IF('Section Load'!AM23&gt;0,'Section Load'!AM23,0))</f>
        <v>860.29999999998836</v>
      </c>
      <c r="AM20" s="295">
        <f>(IF('Water Report'!$V$7&gt;0,'Water Report'!$V$7,0))</f>
        <v>105</v>
      </c>
      <c r="AN20" s="295">
        <f>(IF('Water Report'!$V$8&gt;0,'Water Report'!$V$8,0))</f>
        <v>0</v>
      </c>
      <c r="AO20" s="295">
        <f>(IF('Water Report'!$V$9&gt;0,'Water Report'!$V$9,0))</f>
        <v>112</v>
      </c>
      <c r="AP20" s="295">
        <f>(IF('Water Report'!$V$10&gt;0,'Water Report'!$V$10,0))</f>
        <v>7</v>
      </c>
      <c r="AQ20" s="295">
        <f>(IF('Water Report'!$V$11&gt;0,'Water Report'!$V$11,0))</f>
        <v>14</v>
      </c>
      <c r="AR20" s="295">
        <f>(IF('Water Report'!$V$13&gt;0,'Water Report'!$V$13,0))</f>
        <v>37</v>
      </c>
      <c r="AS20" s="295">
        <f>(IF('Water Report'!$V$14&gt;0,'Water Report'!$V$14,0))</f>
        <v>10</v>
      </c>
      <c r="AT20" s="295">
        <f>(IF('Water Report'!$V$15&gt;0,'Water Report'!$V$15,0))</f>
        <v>7</v>
      </c>
      <c r="AU20" s="295">
        <f>(IF('Water Report'!$V$17&gt;0,'Water Report'!$V$17,0))</f>
        <v>0</v>
      </c>
      <c r="AV20" s="295">
        <f>(IF('Water Report'!$V$18&gt;0,'Water Report'!$V$18,0))</f>
        <v>12</v>
      </c>
      <c r="AW20" s="295">
        <f>(IF('Water Report'!$V$19&gt;0,'Water Report'!$V$19,0))</f>
        <v>15</v>
      </c>
      <c r="AX20" s="301">
        <f>(IF('Water Report'!$V$21&gt;0,'Water Report'!$V$21,0))</f>
        <v>0</v>
      </c>
      <c r="AY20" s="301">
        <f>(IF('Water Report'!$V$22&gt;0,'Water Report'!$V$22,0))</f>
        <v>0</v>
      </c>
      <c r="AZ20" s="301">
        <f>(IF('Water Report'!$V$23&gt;0,'Water Report'!$V$23,0))</f>
        <v>0</v>
      </c>
      <c r="BA20" s="301">
        <f>(IF('Water Report'!$V$14&gt;0,'Water Report'!$V$14,0))</f>
        <v>10</v>
      </c>
      <c r="BB20" s="301">
        <f>(IF('Water Report'!$V$15&gt;0,'Water Report'!$V$15,0))</f>
        <v>7</v>
      </c>
      <c r="BC20" s="301">
        <f>(IF('Water Report'!$V$13&gt;0,'Water Report'!$V$13,0))</f>
        <v>37</v>
      </c>
      <c r="BD20" s="301">
        <f>(IF('Water Report'!$V$24&gt;0,'Water Report'!$V$24,0))</f>
        <v>303</v>
      </c>
      <c r="BE20" s="301">
        <f>(IF('Water Report'!$V$25&gt;0,'Water Report'!$V$25,0))</f>
        <v>150</v>
      </c>
      <c r="BF20" s="301">
        <f>(IF('Water Report'!$V$27&gt;0,'Water Report'!$V$27,0))</f>
        <v>37</v>
      </c>
      <c r="BG20" s="296">
        <f>(IF('Section Load'!AN23&gt;0,'Section Load'!AN23,0))</f>
        <v>1137.5</v>
      </c>
      <c r="BH20" s="296">
        <f>(IF('Section Load'!AO23&gt;0,'Section Load'!AO23,0))</f>
        <v>289.30000000004657</v>
      </c>
      <c r="BI20" s="296">
        <f>(IF('Section Load'!AP23&gt;0,'Section Load'!AP23,0))</f>
        <v>0</v>
      </c>
      <c r="BJ20" s="296">
        <f>(IF('Section Load'!AQ23&gt;0,'Section Load'!AQ23,0))</f>
        <v>116</v>
      </c>
      <c r="BK20" s="296">
        <f>(IF('Section Load'!AR23&gt;0,'Section Load'!AR23,0))</f>
        <v>45</v>
      </c>
      <c r="BL20" s="296">
        <f>(IF('Section Load'!AS23&gt;0,'Section Load'!AS23,0))</f>
        <v>0</v>
      </c>
      <c r="BM20" s="296">
        <f>(IF('Section Load'!AT23&gt;0,'Section Load'!AT23,0))</f>
        <v>687.19999999995343</v>
      </c>
    </row>
    <row r="21" spans="1:65">
      <c r="A21" s="287" t="s">
        <v>268</v>
      </c>
      <c r="B21" s="288">
        <f t="shared" si="0"/>
        <v>20</v>
      </c>
      <c r="C21" s="288">
        <v>10</v>
      </c>
      <c r="D21" s="288">
        <v>2022</v>
      </c>
      <c r="E21" s="294">
        <f>(IF('Section Load'!F24&gt;0,'Section Load'!F24,0))</f>
        <v>3470</v>
      </c>
      <c r="F21" s="294">
        <f>(IF('Section Load'!G24&gt;0,'Section Load'!G24,0))</f>
        <v>1071</v>
      </c>
      <c r="G21" s="294">
        <f>(IF('Section Load'!H24&gt;0,'Section Load'!H24,0))</f>
        <v>2240</v>
      </c>
      <c r="H21" s="294">
        <f>(IF('Section Load'!I24&gt;0,'Section Load'!I24,0))</f>
        <v>4212</v>
      </c>
      <c r="I21" s="294">
        <f>(IF('Section Load'!J24&gt;0,'Section Load'!J24,0))</f>
        <v>8383.6999999999534</v>
      </c>
      <c r="J21" s="294">
        <f>(IF('Section Load'!K24&gt;0,'Section Load'!K24,0))</f>
        <v>3030</v>
      </c>
      <c r="K21" s="294">
        <f>(IF('Section Load'!L24&gt;0,'Section Load'!L24,0))</f>
        <v>1305</v>
      </c>
      <c r="L21" s="294">
        <f>(IF('Section Load'!M24&gt;0,'Section Load'!M24,0))</f>
        <v>1055</v>
      </c>
      <c r="M21" s="294">
        <f>(IF('Section Load'!N24&gt;0,'Section Load'!N24,0))</f>
        <v>167</v>
      </c>
      <c r="N21" s="294">
        <f>(IF('Section Load'!O24&gt;0,'Section Load'!O24,0))</f>
        <v>128</v>
      </c>
      <c r="O21" s="294">
        <f>(IF('Section Load'!P24&gt;0,'Section Load'!P24,0))</f>
        <v>12</v>
      </c>
      <c r="P21" s="294">
        <f>(IF('Section Load'!Q24&gt;0,'Section Load'!Q24,0))</f>
        <v>236</v>
      </c>
      <c r="Q21" s="294">
        <f>(IF('Section Load'!R24&gt;0,'Section Load'!R24,0))</f>
        <v>101</v>
      </c>
      <c r="R21" s="294">
        <f>(IF('Section Load'!S24&gt;0,'Section Load'!S24,0))</f>
        <v>169</v>
      </c>
      <c r="S21" s="294">
        <f>(IF('Section Load'!T24&gt;0,'Section Load'!T24,0))</f>
        <v>44</v>
      </c>
      <c r="T21" s="294">
        <f>(IF('Section Load'!U24&gt;0,'Section Load'!U24,0))</f>
        <v>237</v>
      </c>
      <c r="U21" s="294">
        <f>(IF('Section Load'!V24&gt;0,'Section Load'!V24,0))</f>
        <v>380</v>
      </c>
      <c r="V21" s="294">
        <f>(IF('Section Load'!W24&gt;0,'Section Load'!W24,0))</f>
        <v>345</v>
      </c>
      <c r="W21" s="294">
        <f>(IF('Section Load'!X24&gt;0,'Section Load'!X24,0))</f>
        <v>35</v>
      </c>
      <c r="X21" s="294">
        <f>(IF('Section Load'!Y24&gt;0,'Section Load'!Y24,0))</f>
        <v>252</v>
      </c>
      <c r="Y21" s="294">
        <f>(IF('Section Load'!Z24&gt;0,'Section Load'!Z24,0))</f>
        <v>67</v>
      </c>
      <c r="Z21" s="294">
        <f>(IF('Section Load'!AA24&gt;0,'Section Load'!AA24,0))</f>
        <v>346</v>
      </c>
      <c r="AA21" s="294">
        <f>(IF('Section Load'!AB24&gt;0,'Section Load'!AB24,0))</f>
        <v>47</v>
      </c>
      <c r="AB21" s="294">
        <f>(IF('Section Load'!AC24&gt;0,'Section Load'!AC24,0))</f>
        <v>7.9500000000007276</v>
      </c>
      <c r="AC21" s="294">
        <f>(IF('Section Load'!AD24&gt;0,'Section Load'!AD24,0))</f>
        <v>122</v>
      </c>
      <c r="AD21" s="294">
        <f>(IF('Section Load'!AE24&gt;0,'Section Load'!AE24,0))</f>
        <v>507</v>
      </c>
      <c r="AE21" s="294">
        <f>(IF('Section Load'!AF24&gt;0,'Section Load'!AF24,0))</f>
        <v>253</v>
      </c>
      <c r="AF21" s="294">
        <f>(IF('Section Load'!AG24&gt;0,'Section Load'!AG24,0))</f>
        <v>610</v>
      </c>
      <c r="AG21" s="294">
        <f>(IF('Section Load'!AH24&gt;0,'Section Load'!AH24,0))</f>
        <v>13</v>
      </c>
      <c r="AH21" s="294">
        <f>(IF('Section Load'!AI24&gt;0,'Section Load'!AI24,0))</f>
        <v>383</v>
      </c>
      <c r="AI21" s="294">
        <f>(IF('Section Load'!AJ24&gt;0,'Section Load'!AJ24,0))</f>
        <v>436</v>
      </c>
      <c r="AJ21" s="294">
        <f>(IF('Section Load'!AK24&gt;0,'Section Load'!AK24,0))</f>
        <v>371</v>
      </c>
      <c r="AK21" s="294">
        <f>(IF('Section Load'!AL24&gt;0,'Section Load'!AL24,0))</f>
        <v>299</v>
      </c>
      <c r="AL21" s="294">
        <f>(IF('Section Load'!AM24&gt;0,'Section Load'!AM24,0))</f>
        <v>835</v>
      </c>
      <c r="AM21" s="295">
        <f>(IF('Water Report'!$W$7&gt;0,'Water Report'!$W$7,0))</f>
        <v>100</v>
      </c>
      <c r="AN21" s="295">
        <f>(IF('Water Report'!$W$8&gt;0,'Water Report'!$W$8,0))</f>
        <v>0</v>
      </c>
      <c r="AO21" s="295">
        <f>(IF('Water Report'!$W$9&gt;0,'Water Report'!$W$9,0))</f>
        <v>115</v>
      </c>
      <c r="AP21" s="295">
        <f>(IF('Water Report'!$W$10&gt;0,'Water Report'!$W$10,0))</f>
        <v>8</v>
      </c>
      <c r="AQ21" s="295">
        <f>(IF('Water Report'!$W$11&gt;0,'Water Report'!$W$11,0))</f>
        <v>18</v>
      </c>
      <c r="AR21" s="295">
        <f>(IF('Water Report'!$W$13&gt;0,'Water Report'!$W$13,0))</f>
        <v>25</v>
      </c>
      <c r="AS21" s="295">
        <f>(IF('Water Report'!$W$14&gt;0,'Water Report'!$W$14,0))</f>
        <v>7</v>
      </c>
      <c r="AT21" s="295">
        <f>(IF('Water Report'!$W$15&gt;0,'Water Report'!$W$15,0))</f>
        <v>13</v>
      </c>
      <c r="AU21" s="295">
        <f>(IF('Water Report'!$W$17&gt;0,'Water Report'!$W$17,0))</f>
        <v>1</v>
      </c>
      <c r="AV21" s="295">
        <f>(IF('Water Report'!$W$18&gt;0,'Water Report'!$W$18,0))</f>
        <v>13</v>
      </c>
      <c r="AW21" s="295">
        <f>(IF('Water Report'!$W$19&gt;0,'Water Report'!$W$19,0))</f>
        <v>16</v>
      </c>
      <c r="AX21" s="301">
        <f>(IF('Water Report'!$W$21&gt;0,'Water Report'!$W$21,0))</f>
        <v>0</v>
      </c>
      <c r="AY21" s="301">
        <f>(IF('Water Report'!$W$22&gt;0,'Water Report'!$W$22,0))</f>
        <v>0</v>
      </c>
      <c r="AZ21" s="301">
        <f>(IF('Water Report'!$W$23&gt;0,'Water Report'!$W$23,0))</f>
        <v>0</v>
      </c>
      <c r="BA21" s="301">
        <f>(IF('Water Report'!$W$14&gt;0,'Water Report'!$W$14,0))</f>
        <v>7</v>
      </c>
      <c r="BB21" s="301">
        <f>(IF('Water Report'!$W$15&gt;0,'Water Report'!$W$15,0))</f>
        <v>13</v>
      </c>
      <c r="BC21" s="301">
        <f>(IF('Water Report'!$W$13&gt;0,'Water Report'!$W$13,0))</f>
        <v>25</v>
      </c>
      <c r="BD21" s="301">
        <f>(IF('Water Report'!$W$24&gt;0,'Water Report'!$W$24,0))</f>
        <v>341</v>
      </c>
      <c r="BE21" s="301">
        <f>(IF('Water Report'!$W$25&gt;0,'Water Report'!$W$25,0))</f>
        <v>161</v>
      </c>
      <c r="BF21" s="301">
        <f>(IF('Water Report'!$W$27&gt;0,'Water Report'!$W$27,0))</f>
        <v>25</v>
      </c>
      <c r="BG21" s="296">
        <f>(IF('Section Load'!AN24&gt;0,'Section Load'!AN24,0))</f>
        <v>1111</v>
      </c>
      <c r="BH21" s="296">
        <f>(IF('Section Load'!AO24&gt;0,'Section Load'!AO24,0))</f>
        <v>287</v>
      </c>
      <c r="BI21" s="296">
        <f>(IF('Section Load'!AP24&gt;0,'Section Load'!AP24,0))</f>
        <v>0</v>
      </c>
      <c r="BJ21" s="296">
        <f>(IF('Section Load'!AQ24&gt;0,'Section Load'!AQ24,0))</f>
        <v>121</v>
      </c>
      <c r="BK21" s="296">
        <f>(IF('Section Load'!AR24&gt;0,'Section Load'!AR24,0))</f>
        <v>51</v>
      </c>
      <c r="BL21" s="296">
        <f>(IF('Section Load'!AS24&gt;0,'Section Load'!AS24,0))</f>
        <v>0</v>
      </c>
      <c r="BM21" s="296">
        <f>(IF('Section Load'!AT24&gt;0,'Section Load'!AT24,0))</f>
        <v>652</v>
      </c>
    </row>
    <row r="22" spans="1:65">
      <c r="A22" s="287" t="s">
        <v>268</v>
      </c>
      <c r="B22" s="288">
        <f t="shared" si="0"/>
        <v>21</v>
      </c>
      <c r="C22" s="288">
        <v>10</v>
      </c>
      <c r="D22" s="288">
        <v>2022</v>
      </c>
      <c r="E22" s="294">
        <f>(IF('Section Load'!F25&gt;0,'Section Load'!F25,0))</f>
        <v>3655.5500000000466</v>
      </c>
      <c r="F22" s="294">
        <f>(IF('Section Load'!G25&gt;0,'Section Load'!G25,0))</f>
        <v>1102</v>
      </c>
      <c r="G22" s="294">
        <f>(IF('Section Load'!H25&gt;0,'Section Load'!H25,0))</f>
        <v>2256</v>
      </c>
      <c r="H22" s="294">
        <f>(IF('Section Load'!I25&gt;0,'Section Load'!I25,0))</f>
        <v>4287.8100000000559</v>
      </c>
      <c r="I22" s="294">
        <f>(IF('Section Load'!J25&gt;0,'Section Load'!J25,0))</f>
        <v>7334</v>
      </c>
      <c r="J22" s="294">
        <f>(IF('Section Load'!K25&gt;0,'Section Load'!K25,0))</f>
        <v>2848</v>
      </c>
      <c r="K22" s="294">
        <f>(IF('Section Load'!L25&gt;0,'Section Load'!L25,0))</f>
        <v>1421</v>
      </c>
      <c r="L22" s="294">
        <f>(IF('Section Load'!M25&gt;0,'Section Load'!M25,0))</f>
        <v>873</v>
      </c>
      <c r="M22" s="294">
        <f>(IF('Section Load'!N25&gt;0,'Section Load'!N25,0))</f>
        <v>180</v>
      </c>
      <c r="N22" s="294">
        <f>(IF('Section Load'!O25&gt;0,'Section Load'!O25,0))</f>
        <v>132</v>
      </c>
      <c r="O22" s="294">
        <f>(IF('Section Load'!P25&gt;0,'Section Load'!P25,0))</f>
        <v>10</v>
      </c>
      <c r="P22" s="294">
        <f>(IF('Section Load'!Q25&gt;0,'Section Load'!Q25,0))</f>
        <v>230</v>
      </c>
      <c r="Q22" s="294">
        <f>(IF('Section Load'!R25&gt;0,'Section Load'!R25,0))</f>
        <v>103</v>
      </c>
      <c r="R22" s="294">
        <f>(IF('Section Load'!S25&gt;0,'Section Load'!S25,0))</f>
        <v>160</v>
      </c>
      <c r="S22" s="294">
        <f>(IF('Section Load'!T25&gt;0,'Section Load'!T25,0))</f>
        <v>48</v>
      </c>
      <c r="T22" s="294">
        <f>(IF('Section Load'!U25&gt;0,'Section Load'!U25,0))</f>
        <v>204</v>
      </c>
      <c r="U22" s="294">
        <f>(IF('Section Load'!V25&gt;0,'Section Load'!V25,0))</f>
        <v>409</v>
      </c>
      <c r="V22" s="294">
        <f>(IF('Section Load'!W25&gt;0,'Section Load'!W25,0))</f>
        <v>320</v>
      </c>
      <c r="W22" s="294">
        <f>(IF('Section Load'!X25&gt;0,'Section Load'!X25,0))</f>
        <v>29</v>
      </c>
      <c r="X22" s="294">
        <f>(IF('Section Load'!Y25&gt;0,'Section Load'!Y25,0))</f>
        <v>253</v>
      </c>
      <c r="Y22" s="294">
        <f>(IF('Section Load'!Z25&gt;0,'Section Load'!Z25,0))</f>
        <v>32</v>
      </c>
      <c r="Z22" s="294">
        <f>(IF('Section Load'!AA25&gt;0,'Section Load'!AA25,0))</f>
        <v>233</v>
      </c>
      <c r="AA22" s="294">
        <f>(IF('Section Load'!AB25&gt;0,'Section Load'!AB25,0))</f>
        <v>43</v>
      </c>
      <c r="AB22" s="294">
        <f>(IF('Section Load'!AC25&gt;0,'Section Load'!AC25,0))</f>
        <v>0.18000000000029104</v>
      </c>
      <c r="AC22" s="294">
        <f>(IF('Section Load'!AD25&gt;0,'Section Load'!AD25,0))</f>
        <v>139</v>
      </c>
      <c r="AD22" s="294">
        <f>(IF('Section Load'!AE25&gt;0,'Section Load'!AE25,0))</f>
        <v>517</v>
      </c>
      <c r="AE22" s="294">
        <f>(IF('Section Load'!AF25&gt;0,'Section Load'!AF25,0))</f>
        <v>299</v>
      </c>
      <c r="AF22" s="294">
        <f>(IF('Section Load'!AG25&gt;0,'Section Load'!AG25,0))</f>
        <v>628</v>
      </c>
      <c r="AG22" s="294">
        <f>(IF('Section Load'!AH25&gt;0,'Section Load'!AH25,0))</f>
        <v>12</v>
      </c>
      <c r="AH22" s="294">
        <f>(IF('Section Load'!AI25&gt;0,'Section Load'!AI25,0))</f>
        <v>417</v>
      </c>
      <c r="AI22" s="294">
        <f>(IF('Section Load'!AJ25&gt;0,'Section Load'!AJ25,0))</f>
        <v>441</v>
      </c>
      <c r="AJ22" s="294">
        <f>(IF('Section Load'!AK25&gt;0,'Section Load'!AK25,0))</f>
        <v>384</v>
      </c>
      <c r="AK22" s="294">
        <f>(IF('Section Load'!AL25&gt;0,'Section Load'!AL25,0))</f>
        <v>300</v>
      </c>
      <c r="AL22" s="294">
        <f>(IF('Section Load'!AM25&gt;0,'Section Load'!AM25,0))</f>
        <v>839</v>
      </c>
      <c r="AM22" s="295">
        <f>(IF('Water Report'!$X$7&gt;0,'Water Report'!$X$7,0))</f>
        <v>110</v>
      </c>
      <c r="AN22" s="295">
        <f>(IF('Water Report'!$X$8&gt;0,'Water Report'!$X$8,0))</f>
        <v>0</v>
      </c>
      <c r="AO22" s="295">
        <f>(IF('Water Report'!$X$9&gt;0,'Water Report'!$X$9,0))</f>
        <v>125</v>
      </c>
      <c r="AP22" s="295">
        <f>(IF('Water Report'!$X$10&gt;0,'Water Report'!$X$10,0))</f>
        <v>7</v>
      </c>
      <c r="AQ22" s="295">
        <f>(IF('Water Report'!$X$11&gt;0,'Water Report'!$X$11,0))</f>
        <v>20</v>
      </c>
      <c r="AR22" s="295">
        <f>(IF('Water Report'!$X$13&gt;0,'Water Report'!$X$13,0))</f>
        <v>28</v>
      </c>
      <c r="AS22" s="295">
        <f>(IF('Water Report'!$X$14&gt;0,'Water Report'!$X$14,0))</f>
        <v>2</v>
      </c>
      <c r="AT22" s="295">
        <f>(IF('Water Report'!$X$15&gt;0,'Water Report'!$X$15,0))</f>
        <v>10</v>
      </c>
      <c r="AU22" s="295">
        <f>(IF('Water Report'!$X$17&gt;0,'Water Report'!$X$17,0))</f>
        <v>0</v>
      </c>
      <c r="AV22" s="295">
        <f>(IF('Water Report'!$X$18&gt;0,'Water Report'!$X$18,0))</f>
        <v>14</v>
      </c>
      <c r="AW22" s="295">
        <f>(IF('Water Report'!$X$19&gt;0,'Water Report'!$X$19,0))</f>
        <v>12</v>
      </c>
      <c r="AX22" s="301">
        <f>(IF('Water Report'!$X$21&gt;0,'Water Report'!$X$21,0))</f>
        <v>0</v>
      </c>
      <c r="AY22" s="301">
        <f>(IF('Water Report'!$X$22&gt;0,'Water Report'!$X$22,0))</f>
        <v>0</v>
      </c>
      <c r="AZ22" s="301">
        <f>(IF('Water Report'!$X$23&gt;0,'Water Report'!$X$23,0))</f>
        <v>0</v>
      </c>
      <c r="BA22" s="301">
        <f>(IF('Water Report'!$X$14&gt;0,'Water Report'!$X$14,0))</f>
        <v>2</v>
      </c>
      <c r="BB22" s="301">
        <f>(IF('Water Report'!$X$15&gt;0,'Water Report'!$X$15,0))</f>
        <v>10</v>
      </c>
      <c r="BC22" s="301">
        <f>(IF('Water Report'!$X$13&gt;0,'Water Report'!$X$13,0))</f>
        <v>28</v>
      </c>
      <c r="BD22" s="301">
        <f>(IF('Water Report'!$X$24&gt;0,'Water Report'!$X$24,0))</f>
        <v>311</v>
      </c>
      <c r="BE22" s="301">
        <f>(IF('Water Report'!$X$25&gt;0,'Water Report'!$X$25,0))</f>
        <v>164</v>
      </c>
      <c r="BF22" s="301">
        <f>(IF('Water Report'!$X$27&gt;0,'Water Report'!$X$27,0))</f>
        <v>28</v>
      </c>
      <c r="BG22" s="296">
        <f>(IF('Section Load'!AN25&gt;0,'Section Load'!AN25,0))</f>
        <v>987</v>
      </c>
      <c r="BH22" s="296">
        <f>(IF('Section Load'!AO25&gt;0,'Section Load'!AO25,0))</f>
        <v>290</v>
      </c>
      <c r="BI22" s="296">
        <f>(IF('Section Load'!AP25&gt;0,'Section Load'!AP25,0))</f>
        <v>0</v>
      </c>
      <c r="BJ22" s="296">
        <f>(IF('Section Load'!AQ25&gt;0,'Section Load'!AQ25,0))</f>
        <v>93</v>
      </c>
      <c r="BK22" s="296">
        <f>(IF('Section Load'!AR25&gt;0,'Section Load'!AR25,0))</f>
        <v>43</v>
      </c>
      <c r="BL22" s="296">
        <f>(IF('Section Load'!AS25&gt;0,'Section Load'!AS25,0))</f>
        <v>0</v>
      </c>
      <c r="BM22" s="296">
        <f>(IF('Section Load'!AT25&gt;0,'Section Load'!AT25,0))</f>
        <v>561</v>
      </c>
    </row>
    <row r="23" spans="1:65">
      <c r="A23" s="287" t="s">
        <v>268</v>
      </c>
      <c r="B23" s="288">
        <f t="shared" si="0"/>
        <v>22</v>
      </c>
      <c r="C23" s="288">
        <v>10</v>
      </c>
      <c r="D23" s="288">
        <v>2022</v>
      </c>
      <c r="E23" s="294">
        <f>(IF('Section Load'!F26&gt;0,'Section Load'!F26,0))</f>
        <v>3558.4499999999534</v>
      </c>
      <c r="F23" s="294">
        <f>(IF('Section Load'!G26&gt;0,'Section Load'!G26,0))</f>
        <v>1090</v>
      </c>
      <c r="G23" s="294">
        <f>(IF('Section Load'!H26&gt;0,'Section Load'!H26,0))</f>
        <v>2241</v>
      </c>
      <c r="H23" s="294">
        <f>(IF('Section Load'!I26&gt;0,'Section Load'!I26,0))</f>
        <v>4196</v>
      </c>
      <c r="I23" s="294">
        <f>(IF('Section Load'!J26&gt;0,'Section Load'!J26,0))</f>
        <v>6364</v>
      </c>
      <c r="J23" s="294">
        <f>(IF('Section Load'!K26&gt;0,'Section Load'!K26,0))</f>
        <v>2719</v>
      </c>
      <c r="K23" s="294">
        <f>(IF('Section Load'!L26&gt;0,'Section Load'!L26,0))</f>
        <v>1355</v>
      </c>
      <c r="L23" s="294">
        <f>(IF('Section Load'!M26&gt;0,'Section Load'!M26,0))</f>
        <v>979</v>
      </c>
      <c r="M23" s="294">
        <f>(IF('Section Load'!N26&gt;0,'Section Load'!N26,0))</f>
        <v>164</v>
      </c>
      <c r="N23" s="294">
        <f>(IF('Section Load'!O26&gt;0,'Section Load'!O26,0))</f>
        <v>127</v>
      </c>
      <c r="O23" s="294">
        <f>(IF('Section Load'!P26&gt;0,'Section Load'!P26,0))</f>
        <v>12</v>
      </c>
      <c r="P23" s="294">
        <f>(IF('Section Load'!Q26&gt;0,'Section Load'!Q26,0))</f>
        <v>229</v>
      </c>
      <c r="Q23" s="294">
        <f>(IF('Section Load'!R26&gt;0,'Section Load'!R26,0))</f>
        <v>82</v>
      </c>
      <c r="R23" s="294">
        <f>(IF('Section Load'!S26&gt;0,'Section Load'!S26,0))</f>
        <v>162</v>
      </c>
      <c r="S23" s="294">
        <f>(IF('Section Load'!T26&gt;0,'Section Load'!T26,0))</f>
        <v>56</v>
      </c>
      <c r="T23" s="294">
        <f>(IF('Section Load'!U26&gt;0,'Section Load'!U26,0))</f>
        <v>249</v>
      </c>
      <c r="U23" s="294">
        <f>(IF('Section Load'!V26&gt;0,'Section Load'!V26,0))</f>
        <v>402</v>
      </c>
      <c r="V23" s="294">
        <f>(IF('Section Load'!W26&gt;0,'Section Load'!W26,0))</f>
        <v>339</v>
      </c>
      <c r="W23" s="294">
        <f>(IF('Section Load'!X26&gt;0,'Section Load'!X26,0))</f>
        <v>28</v>
      </c>
      <c r="X23" s="294">
        <f>(IF('Section Load'!Y26&gt;0,'Section Load'!Y26,0))</f>
        <v>224</v>
      </c>
      <c r="Y23" s="294">
        <f>(IF('Section Load'!Z26&gt;0,'Section Load'!Z26,0))</f>
        <v>40</v>
      </c>
      <c r="Z23" s="294">
        <f>(IF('Section Load'!AA26&gt;0,'Section Load'!AA26,0))</f>
        <v>334</v>
      </c>
      <c r="AA23" s="294">
        <f>(IF('Section Load'!AB26&gt;0,'Section Load'!AB26,0))</f>
        <v>23</v>
      </c>
      <c r="AB23" s="294">
        <f>(IF('Section Load'!AC26&gt;0,'Section Load'!AC26,0))</f>
        <v>0</v>
      </c>
      <c r="AC23" s="294">
        <f>(IF('Section Load'!AD26&gt;0,'Section Load'!AD26,0))</f>
        <v>127</v>
      </c>
      <c r="AD23" s="294">
        <f>(IF('Section Load'!AE26&gt;0,'Section Load'!AE26,0))</f>
        <v>506</v>
      </c>
      <c r="AE23" s="294">
        <f>(IF('Section Load'!AF26&gt;0,'Section Load'!AF26,0))</f>
        <v>312</v>
      </c>
      <c r="AF23" s="294">
        <f>(IF('Section Load'!AG26&gt;0,'Section Load'!AG26,0))</f>
        <v>605</v>
      </c>
      <c r="AG23" s="294">
        <f>(IF('Section Load'!AH26&gt;0,'Section Load'!AH26,0))</f>
        <v>14</v>
      </c>
      <c r="AH23" s="294">
        <f>(IF('Section Load'!AI26&gt;0,'Section Load'!AI26,0))</f>
        <v>407</v>
      </c>
      <c r="AI23" s="294">
        <f>(IF('Section Load'!AJ26&gt;0,'Section Load'!AJ26,0))</f>
        <v>414</v>
      </c>
      <c r="AJ23" s="294">
        <f>(IF('Section Load'!AK26&gt;0,'Section Load'!AK26,0))</f>
        <v>342</v>
      </c>
      <c r="AK23" s="294">
        <f>(IF('Section Load'!AL26&gt;0,'Section Load'!AL26,0))</f>
        <v>296</v>
      </c>
      <c r="AL23" s="294">
        <f>(IF('Section Load'!AM26&gt;0,'Section Load'!AM26,0))</f>
        <v>863</v>
      </c>
      <c r="AM23" s="295">
        <f>(IF('Water Report'!$Y$7&gt;0,'Water Report'!$Y$7,0))</f>
        <v>118</v>
      </c>
      <c r="AN23" s="295">
        <f>(IF('Water Report'!$Y$8&gt;0,'Water Report'!$Y$8,0))</f>
        <v>0</v>
      </c>
      <c r="AO23" s="295">
        <f>(IF('Water Report'!$Y$9&gt;0,'Water Report'!$Y$9,0))</f>
        <v>139</v>
      </c>
      <c r="AP23" s="295">
        <f>(IF('Water Report'!$Y$10&gt;0,'Water Report'!$Y$10,0))</f>
        <v>7</v>
      </c>
      <c r="AQ23" s="295">
        <f>(IF('Water Report'!$Y$11&gt;0,'Water Report'!$Y$11,0))</f>
        <v>25</v>
      </c>
      <c r="AR23" s="295">
        <f>(IF('Water Report'!$Y$13&gt;0,'Water Report'!$Y$13,0))</f>
        <v>34</v>
      </c>
      <c r="AS23" s="295">
        <f>(IF('Water Report'!$Y$14&gt;0,'Water Report'!$Y$14,0))</f>
        <v>2</v>
      </c>
      <c r="AT23" s="295">
        <f>(IF('Water Report'!$Y$15&gt;0,'Water Report'!$Y$15,0))</f>
        <v>5</v>
      </c>
      <c r="AU23" s="295">
        <f>(IF('Water Report'!$Y$17&gt;0,'Water Report'!$Y$17,0))</f>
        <v>10</v>
      </c>
      <c r="AV23" s="295">
        <f>(IF('Water Report'!$Y$18&gt;0,'Water Report'!$Y$18,0))</f>
        <v>8</v>
      </c>
      <c r="AW23" s="295">
        <f>(IF('Water Report'!$Y$19&gt;0,'Water Report'!$Y$19,0))</f>
        <v>9</v>
      </c>
      <c r="AX23" s="301">
        <f>(IF('Water Report'!$Y$21&gt;0,'Water Report'!$Y$21,0))</f>
        <v>0</v>
      </c>
      <c r="AY23" s="301">
        <f>(IF('Water Report'!$Y$22&gt;0,'Water Report'!$Y$22,0))</f>
        <v>0</v>
      </c>
      <c r="AZ23" s="301">
        <f>(IF('Water Report'!$Y$23&gt;0,'Water Report'!$Y$23,0))</f>
        <v>0</v>
      </c>
      <c r="BA23" s="301">
        <f>(IF('Water Report'!$Y$14&gt;0,'Water Report'!$Y$14,0))</f>
        <v>2</v>
      </c>
      <c r="BB23" s="301">
        <f>(IF('Water Report'!$Y$15&gt;0,'Water Report'!$Y$15,0))</f>
        <v>5</v>
      </c>
      <c r="BC23" s="301">
        <f>(IF('Water Report'!$Y$13&gt;0,'Water Report'!$Y$13,0))</f>
        <v>34</v>
      </c>
      <c r="BD23" s="301">
        <f>(IF('Water Report'!$Y$24&gt;0,'Water Report'!$Y$24,0))</f>
        <v>389</v>
      </c>
      <c r="BE23" s="301">
        <f>(IF('Water Report'!$Y$25&gt;0,'Water Report'!$Y$25,0))</f>
        <v>178</v>
      </c>
      <c r="BF23" s="301">
        <f>(IF('Water Report'!$Y$27&gt;0,'Water Report'!$Y$27,0))</f>
        <v>34</v>
      </c>
      <c r="BG23" s="296">
        <f>(IF('Section Load'!AN26&gt;0,'Section Load'!AN26,0))</f>
        <v>1004</v>
      </c>
      <c r="BH23" s="296">
        <f>(IF('Section Load'!AO26&gt;0,'Section Load'!AO26,0))</f>
        <v>281</v>
      </c>
      <c r="BI23" s="296">
        <f>(IF('Section Load'!AP26&gt;0,'Section Load'!AP26,0))</f>
        <v>0</v>
      </c>
      <c r="BJ23" s="296">
        <f>(IF('Section Load'!AQ26&gt;0,'Section Load'!AQ26,0))</f>
        <v>121</v>
      </c>
      <c r="BK23" s="296">
        <f>(IF('Section Load'!AR26&gt;0,'Section Load'!AR26,0))</f>
        <v>43</v>
      </c>
      <c r="BL23" s="296">
        <f>(IF('Section Load'!AS26&gt;0,'Section Load'!AS26,0))</f>
        <v>0</v>
      </c>
      <c r="BM23" s="296">
        <f>(IF('Section Load'!AT26&gt;0,'Section Load'!AT26,0))</f>
        <v>559</v>
      </c>
    </row>
    <row r="24" spans="1:65">
      <c r="A24" s="287" t="s">
        <v>268</v>
      </c>
      <c r="B24" s="288">
        <f t="shared" si="0"/>
        <v>23</v>
      </c>
      <c r="C24" s="288">
        <v>10</v>
      </c>
      <c r="D24" s="288">
        <v>2022</v>
      </c>
      <c r="E24" s="294">
        <f>(IF('Section Load'!F27&gt;0,'Section Load'!F27,0))</f>
        <v>3551</v>
      </c>
      <c r="F24" s="294">
        <f>(IF('Section Load'!G27&gt;0,'Section Load'!G27,0))</f>
        <v>1015.3099999999977</v>
      </c>
      <c r="G24" s="294">
        <f>(IF('Section Load'!H27&gt;0,'Section Load'!H27,0))</f>
        <v>2217</v>
      </c>
      <c r="H24" s="294">
        <f>(IF('Section Load'!I27&gt;0,'Section Load'!I27,0))</f>
        <v>4329</v>
      </c>
      <c r="I24" s="294">
        <f>(IF('Section Load'!J27&gt;0,'Section Load'!J27,0))</f>
        <v>5177</v>
      </c>
      <c r="J24" s="294">
        <f>(IF('Section Load'!K27&gt;0,'Section Load'!K27,0))</f>
        <v>2488.0300000000279</v>
      </c>
      <c r="K24" s="294">
        <f>(IF('Section Load'!L27&gt;0,'Section Load'!L27,0))</f>
        <v>1165</v>
      </c>
      <c r="L24" s="294">
        <f>(IF('Section Load'!M27&gt;0,'Section Load'!M27,0))</f>
        <v>714</v>
      </c>
      <c r="M24" s="294">
        <f>(IF('Section Load'!N27&gt;0,'Section Load'!N27,0))</f>
        <v>171</v>
      </c>
      <c r="N24" s="294">
        <f>(IF('Section Load'!O27&gt;0,'Section Load'!O27,0))</f>
        <v>137</v>
      </c>
      <c r="O24" s="294">
        <f>(IF('Section Load'!P27&gt;0,'Section Load'!P27,0))</f>
        <v>11</v>
      </c>
      <c r="P24" s="294">
        <f>(IF('Section Load'!Q27&gt;0,'Section Load'!Q27,0))</f>
        <v>210</v>
      </c>
      <c r="Q24" s="294">
        <f>(IF('Section Load'!R27&gt;0,'Section Load'!R27,0))</f>
        <v>83</v>
      </c>
      <c r="R24" s="294">
        <f>(IF('Section Load'!S27&gt;0,'Section Load'!S27,0))</f>
        <v>122</v>
      </c>
      <c r="S24" s="294">
        <f>(IF('Section Load'!T27&gt;0,'Section Load'!T27,0))</f>
        <v>18</v>
      </c>
      <c r="T24" s="294">
        <f>(IF('Section Load'!U27&gt;0,'Section Load'!U27,0))</f>
        <v>242</v>
      </c>
      <c r="U24" s="294">
        <f>(IF('Section Load'!V27&gt;0,'Section Load'!V27,0))</f>
        <v>360</v>
      </c>
      <c r="V24" s="294">
        <f>(IF('Section Load'!W27&gt;0,'Section Load'!W27,0))</f>
        <v>254</v>
      </c>
      <c r="W24" s="294">
        <f>(IF('Section Load'!X27&gt;0,'Section Load'!X27,0))</f>
        <v>27</v>
      </c>
      <c r="X24" s="294">
        <f>(IF('Section Load'!Y27&gt;0,'Section Load'!Y27,0))</f>
        <v>237</v>
      </c>
      <c r="Y24" s="294">
        <f>(IF('Section Load'!Z27&gt;0,'Section Load'!Z27,0))</f>
        <v>19</v>
      </c>
      <c r="Z24" s="294">
        <f>(IF('Section Load'!AA27&gt;0,'Section Load'!AA27,0))</f>
        <v>68</v>
      </c>
      <c r="AA24" s="294">
        <f>(IF('Section Load'!AB27&gt;0,'Section Load'!AB27,0))</f>
        <v>23</v>
      </c>
      <c r="AB24" s="294">
        <f>(IF('Section Load'!AC27&gt;0,'Section Load'!AC27,0))</f>
        <v>6.069999999999709</v>
      </c>
      <c r="AC24" s="294">
        <f>(IF('Section Load'!AD27&gt;0,'Section Load'!AD27,0))</f>
        <v>131</v>
      </c>
      <c r="AD24" s="294">
        <f>(IF('Section Load'!AE27&gt;0,'Section Load'!AE27,0))</f>
        <v>663</v>
      </c>
      <c r="AE24" s="294">
        <f>(IF('Section Load'!AF27&gt;0,'Section Load'!AF27,0))</f>
        <v>307</v>
      </c>
      <c r="AF24" s="294">
        <f>(IF('Section Load'!AG27&gt;0,'Section Load'!AG27,0))</f>
        <v>574</v>
      </c>
      <c r="AG24" s="294">
        <f>(IF('Section Load'!AH27&gt;0,'Section Load'!AH27,0))</f>
        <v>10</v>
      </c>
      <c r="AH24" s="294">
        <f>(IF('Section Load'!AI27&gt;0,'Section Load'!AI27,0))</f>
        <v>400</v>
      </c>
      <c r="AI24" s="294">
        <f>(IF('Section Load'!AJ27&gt;0,'Section Load'!AJ27,0))</f>
        <v>409</v>
      </c>
      <c r="AJ24" s="294">
        <f>(IF('Section Load'!AK27&gt;0,'Section Load'!AK27,0))</f>
        <v>347</v>
      </c>
      <c r="AK24" s="294">
        <f>(IF('Section Load'!AL27&gt;0,'Section Load'!AL27,0))</f>
        <v>301</v>
      </c>
      <c r="AL24" s="294">
        <f>(IF('Section Load'!AM27&gt;0,'Section Load'!AM27,0))</f>
        <v>740</v>
      </c>
      <c r="AM24" s="295">
        <f>(IF('Water Report'!$Z$7&gt;0,'Water Report'!$Z$7,0))</f>
        <v>109</v>
      </c>
      <c r="AN24" s="295">
        <f>(IF('Water Report'!$Z$8&gt;0,'Water Report'!$Z$8,0))</f>
        <v>0</v>
      </c>
      <c r="AO24" s="295">
        <f>(IF('Water Report'!$Z$9&gt;0,'Water Report'!$Z$9,0))</f>
        <v>116</v>
      </c>
      <c r="AP24" s="295">
        <f>(IF('Water Report'!$Z$10&gt;0,'Water Report'!$Z$10,0))</f>
        <v>5</v>
      </c>
      <c r="AQ24" s="295">
        <f>(IF('Water Report'!$Z$11&gt;0,'Water Report'!$Z$11,0))</f>
        <v>24</v>
      </c>
      <c r="AR24" s="295">
        <f>(IF('Water Report'!$Z$13&gt;0,'Water Report'!$Z$13,0))</f>
        <v>42</v>
      </c>
      <c r="AS24" s="295">
        <f>(IF('Water Report'!$Z$14&gt;0,'Water Report'!$Z$14,0))</f>
        <v>3</v>
      </c>
      <c r="AT24" s="295">
        <f>(IF('Water Report'!$Z$15&gt;0,'Water Report'!$Z$15,0))</f>
        <v>3</v>
      </c>
      <c r="AU24" s="295">
        <f>(IF('Water Report'!$Z$17&gt;0,'Water Report'!$Z$17,0))</f>
        <v>0</v>
      </c>
      <c r="AV24" s="295">
        <f>(IF('Water Report'!$Z$18&gt;0,'Water Report'!$Z$18,0))</f>
        <v>11</v>
      </c>
      <c r="AW24" s="295">
        <f>(IF('Water Report'!$Z$19&gt;0,'Water Report'!$Z$19,0))</f>
        <v>12</v>
      </c>
      <c r="AX24" s="301">
        <f>(IF('Water Report'!$Z$21&gt;0,'Water Report'!$Z$21,0))</f>
        <v>0</v>
      </c>
      <c r="AY24" s="301">
        <f>(IF('Water Report'!$Z$22&gt;0,'Water Report'!$Z$22,0))</f>
        <v>0</v>
      </c>
      <c r="AZ24" s="301">
        <f>(IF('Water Report'!$Z$23&gt;0,'Water Report'!$Z$23,0))</f>
        <v>0</v>
      </c>
      <c r="BA24" s="301">
        <f>(IF('Water Report'!$Z$14&gt;0,'Water Report'!$Z$14,0))</f>
        <v>3</v>
      </c>
      <c r="BB24" s="301">
        <f>(IF('Water Report'!$Z$15&gt;0,'Water Report'!$Z$15,0))</f>
        <v>3</v>
      </c>
      <c r="BC24" s="301">
        <f>(IF('Water Report'!$Z$13&gt;0,'Water Report'!$Z$13,0))</f>
        <v>42</v>
      </c>
      <c r="BD24" s="301">
        <f>(IF('Water Report'!$Z$24&gt;0,'Water Report'!$Z$24,0))</f>
        <v>389</v>
      </c>
      <c r="BE24" s="301">
        <f>(IF('Water Report'!$Z$25&gt;0,'Water Report'!$Z$25,0))</f>
        <v>151</v>
      </c>
      <c r="BF24" s="301">
        <f>(IF('Water Report'!$Z$27&gt;0,'Water Report'!$Z$27,0))</f>
        <v>42</v>
      </c>
      <c r="BG24" s="296">
        <f>(IF('Section Load'!AN27&gt;0,'Section Load'!AN27,0))</f>
        <v>963</v>
      </c>
      <c r="BH24" s="296">
        <f>(IF('Section Load'!AO27&gt;0,'Section Load'!AO27,0))</f>
        <v>291</v>
      </c>
      <c r="BI24" s="296">
        <f>(IF('Section Load'!AP27&gt;0,'Section Load'!AP27,0))</f>
        <v>0</v>
      </c>
      <c r="BJ24" s="296">
        <f>(IF('Section Load'!AQ27&gt;0,'Section Load'!AQ27,0))</f>
        <v>103</v>
      </c>
      <c r="BK24" s="296">
        <f>(IF('Section Load'!AR27&gt;0,'Section Load'!AR27,0))</f>
        <v>40</v>
      </c>
      <c r="BL24" s="296">
        <f>(IF('Section Load'!AS27&gt;0,'Section Load'!AS27,0))</f>
        <v>0</v>
      </c>
      <c r="BM24" s="296">
        <f>(IF('Section Load'!AT27&gt;0,'Section Load'!AT27,0))</f>
        <v>529</v>
      </c>
    </row>
    <row r="25" spans="1:65">
      <c r="A25" s="287" t="s">
        <v>268</v>
      </c>
      <c r="B25" s="288">
        <f t="shared" si="0"/>
        <v>24</v>
      </c>
      <c r="C25" s="288">
        <v>10</v>
      </c>
      <c r="D25" s="288">
        <v>2022</v>
      </c>
      <c r="E25" s="294">
        <f>(IF('Section Load'!F28&gt;0,'Section Load'!F28,0))</f>
        <v>3434</v>
      </c>
      <c r="F25" s="294">
        <f>(IF('Section Load'!G28&gt;0,'Section Load'!G28,0))</f>
        <v>909.69000000000233</v>
      </c>
      <c r="G25" s="294">
        <f>(IF('Section Load'!H28&gt;0,'Section Load'!H28,0))</f>
        <v>2037</v>
      </c>
      <c r="H25" s="294">
        <f>(IF('Section Load'!I28&gt;0,'Section Load'!I28,0))</f>
        <v>4061.1899999999441</v>
      </c>
      <c r="I25" s="294">
        <f>(IF('Section Load'!J28&gt;0,'Section Load'!J28,0))</f>
        <v>4754</v>
      </c>
      <c r="J25" s="294">
        <f>(IF('Section Load'!K28&gt;0,'Section Load'!K28,0))</f>
        <v>2304</v>
      </c>
      <c r="K25" s="294">
        <f>(IF('Section Load'!L28&gt;0,'Section Load'!L28,0))</f>
        <v>1451</v>
      </c>
      <c r="L25" s="294">
        <f>(IF('Section Load'!M28&gt;0,'Section Load'!M28,0))</f>
        <v>605</v>
      </c>
      <c r="M25" s="294">
        <f>(IF('Section Load'!N28&gt;0,'Section Load'!N28,0))</f>
        <v>173</v>
      </c>
      <c r="N25" s="294">
        <f>(IF('Section Load'!O28&gt;0,'Section Load'!O28,0))</f>
        <v>124</v>
      </c>
      <c r="O25" s="294">
        <f>(IF('Section Load'!P28&gt;0,'Section Load'!P28,0))</f>
        <v>10</v>
      </c>
      <c r="P25" s="294">
        <f>(IF('Section Load'!Q28&gt;0,'Section Load'!Q28,0))</f>
        <v>218</v>
      </c>
      <c r="Q25" s="294">
        <f>(IF('Section Load'!R28&gt;0,'Section Load'!R28,0))</f>
        <v>88</v>
      </c>
      <c r="R25" s="294">
        <f>(IF('Section Load'!S28&gt;0,'Section Load'!S28,0))</f>
        <v>129</v>
      </c>
      <c r="S25" s="294">
        <f>(IF('Section Load'!T28&gt;0,'Section Load'!T28,0))</f>
        <v>41</v>
      </c>
      <c r="T25" s="294">
        <f>(IF('Section Load'!U28&gt;0,'Section Load'!U28,0))</f>
        <v>255</v>
      </c>
      <c r="U25" s="294">
        <f>(IF('Section Load'!V28&gt;0,'Section Load'!V28,0))</f>
        <v>397</v>
      </c>
      <c r="V25" s="294">
        <f>(IF('Section Load'!W28&gt;0,'Section Load'!W28,0))</f>
        <v>218</v>
      </c>
      <c r="W25" s="294">
        <f>(IF('Section Load'!X28&gt;0,'Section Load'!X28,0))</f>
        <v>23</v>
      </c>
      <c r="X25" s="294">
        <f>(IF('Section Load'!Y28&gt;0,'Section Load'!Y28,0))</f>
        <v>184</v>
      </c>
      <c r="Y25" s="294">
        <f>(IF('Section Load'!Z28&gt;0,'Section Load'!Z28,0))</f>
        <v>26</v>
      </c>
      <c r="Z25" s="294">
        <f>(IF('Section Load'!AA28&gt;0,'Section Load'!AA28,0))</f>
        <v>287</v>
      </c>
      <c r="AA25" s="294">
        <f>(IF('Section Load'!AB28&gt;0,'Section Load'!AB28,0))</f>
        <v>24</v>
      </c>
      <c r="AB25" s="294">
        <f>(IF('Section Load'!AC28&gt;0,'Section Load'!AC28,0))</f>
        <v>2.0200000000004366</v>
      </c>
      <c r="AC25" s="294">
        <f>(IF('Section Load'!AD28&gt;0,'Section Load'!AD28,0))</f>
        <v>93</v>
      </c>
      <c r="AD25" s="294">
        <f>(IF('Section Load'!AE28&gt;0,'Section Load'!AE28,0))</f>
        <v>573</v>
      </c>
      <c r="AE25" s="294">
        <f>(IF('Section Load'!AF28&gt;0,'Section Load'!AF28,0))</f>
        <v>309</v>
      </c>
      <c r="AF25" s="294">
        <f>(IF('Section Load'!AG28&gt;0,'Section Load'!AG28,0))</f>
        <v>536</v>
      </c>
      <c r="AG25" s="294">
        <f>(IF('Section Load'!AH28&gt;0,'Section Load'!AH28,0))</f>
        <v>410</v>
      </c>
      <c r="AH25" s="294">
        <f>(IF('Section Load'!AI28&gt;0,'Section Load'!AI28,0))</f>
        <v>370</v>
      </c>
      <c r="AI25" s="294">
        <f>(IF('Section Load'!AJ28&gt;0,'Section Load'!AJ28,0))</f>
        <v>388</v>
      </c>
      <c r="AJ25" s="294">
        <f>(IF('Section Load'!AK28&gt;0,'Section Load'!AK28,0))</f>
        <v>351</v>
      </c>
      <c r="AK25" s="294">
        <f>(IF('Section Load'!AL28&gt;0,'Section Load'!AL28,0))</f>
        <v>295</v>
      </c>
      <c r="AL25" s="294">
        <f>(IF('Section Load'!AM28&gt;0,'Section Load'!AM28,0))</f>
        <v>743</v>
      </c>
      <c r="AM25" s="295">
        <f>(IF('Water Report'!$AA$7&gt;0,'Water Report'!$AA$7,0))</f>
        <v>55</v>
      </c>
      <c r="AN25" s="295">
        <f>(IF('Water Report'!$AA$8&gt;0,'Water Report'!$AA$8,0))</f>
        <v>0</v>
      </c>
      <c r="AO25" s="295">
        <f>(IF('Water Report'!$AA$9&gt;0,'Water Report'!$AA$9,0))</f>
        <v>88</v>
      </c>
      <c r="AP25" s="295">
        <f>(IF('Water Report'!$AA$10&gt;0,'Water Report'!$AA$10,0))</f>
        <v>5</v>
      </c>
      <c r="AQ25" s="295">
        <f>(IF('Water Report'!$AA$11&gt;0,'Water Report'!$AA$11,0))</f>
        <v>8</v>
      </c>
      <c r="AR25" s="295">
        <f>(IF('Water Report'!$AA$13&gt;0,'Water Report'!$AA$13,0))</f>
        <v>16</v>
      </c>
      <c r="AS25" s="295">
        <f>(IF('Water Report'!$AA$14&gt;0,'Water Report'!$AA$14,0))</f>
        <v>2</v>
      </c>
      <c r="AT25" s="295">
        <f>(IF('Water Report'!$AA$15&gt;0,'Water Report'!$AA$15,0))</f>
        <v>2</v>
      </c>
      <c r="AU25" s="295">
        <f>(IF('Water Report'!$AA$17&gt;0,'Water Report'!$AA$17,0))</f>
        <v>0</v>
      </c>
      <c r="AV25" s="295">
        <f>(IF('Water Report'!$AA$18&gt;0,'Water Report'!$AA$18,0))</f>
        <v>8</v>
      </c>
      <c r="AW25" s="295">
        <f>(IF('Water Report'!$AA$19&gt;0,'Water Report'!$AA$19,0))</f>
        <v>8</v>
      </c>
      <c r="AX25" s="301">
        <f>(IF('Water Report'!$AA$21&gt;0,'Water Report'!$AA$21,0))</f>
        <v>0</v>
      </c>
      <c r="AY25" s="301">
        <f>(IF('Water Report'!$AA$22&gt;0,'Water Report'!$AA$22,0))</f>
        <v>0</v>
      </c>
      <c r="AZ25" s="301">
        <f>(IF('Water Report'!$AA$23&gt;0,'Water Report'!$AA$23,0))</f>
        <v>0</v>
      </c>
      <c r="BA25" s="301">
        <f>(IF('Water Report'!$AA$14&gt;0,'Water Report'!$AA$14,0))</f>
        <v>2</v>
      </c>
      <c r="BB25" s="301">
        <f>(IF('Water Report'!$AA$15&gt;0,'Water Report'!$AA$15,0))</f>
        <v>2</v>
      </c>
      <c r="BC25" s="301">
        <f>(IF('Water Report'!$AA$13&gt;0,'Water Report'!$AA$13,0))</f>
        <v>16</v>
      </c>
      <c r="BD25" s="301">
        <f>(IF('Water Report'!$AA$24&gt;0,'Water Report'!$AA$24,0))</f>
        <v>202</v>
      </c>
      <c r="BE25" s="301">
        <f>(IF('Water Report'!$AA$25&gt;0,'Water Report'!$AA$25,0))</f>
        <v>105</v>
      </c>
      <c r="BF25" s="301">
        <f>(IF('Water Report'!$AA$27&gt;0,'Water Report'!$AA$27,0))</f>
        <v>16</v>
      </c>
      <c r="BG25" s="296">
        <f>(IF('Section Load'!AN28&gt;0,'Section Load'!AN28,0))</f>
        <v>871</v>
      </c>
      <c r="BH25" s="296">
        <f>(IF('Section Load'!AO28&gt;0,'Section Load'!AO28,0))</f>
        <v>287</v>
      </c>
      <c r="BI25" s="296">
        <f>(IF('Section Load'!AP28&gt;0,'Section Load'!AP28,0))</f>
        <v>0</v>
      </c>
      <c r="BJ25" s="296">
        <f>(IF('Section Load'!AQ28&gt;0,'Section Load'!AQ28,0))</f>
        <v>97</v>
      </c>
      <c r="BK25" s="296">
        <f>(IF('Section Load'!AR28&gt;0,'Section Load'!AR28,0))</f>
        <v>45</v>
      </c>
      <c r="BL25" s="296">
        <f>(IF('Section Load'!AS28&gt;0,'Section Load'!AS28,0))</f>
        <v>0</v>
      </c>
      <c r="BM25" s="296">
        <f>(IF('Section Load'!AT28&gt;0,'Section Load'!AT28,0))</f>
        <v>442</v>
      </c>
    </row>
    <row r="26" spans="1:65">
      <c r="A26" s="287" t="s">
        <v>268</v>
      </c>
      <c r="B26" s="288">
        <f>B25+1</f>
        <v>25</v>
      </c>
      <c r="C26" s="288">
        <v>10</v>
      </c>
      <c r="D26" s="288">
        <v>2022</v>
      </c>
      <c r="E26" s="294">
        <f>(IF('Section Load'!F29&gt;0,'Section Load'!F29,0))</f>
        <v>3330</v>
      </c>
      <c r="F26" s="294">
        <f>(IF('Section Load'!G29&gt;0,'Section Load'!G29,0))</f>
        <v>961</v>
      </c>
      <c r="G26" s="294">
        <f>(IF('Section Load'!H29&gt;0,'Section Load'!H29,0))</f>
        <v>2095</v>
      </c>
      <c r="H26" s="294">
        <f>(IF('Section Load'!I29&gt;0,'Section Load'!I29,0))</f>
        <v>4086</v>
      </c>
      <c r="I26" s="294">
        <f>(IF('Section Load'!J29&gt;0,'Section Load'!J29,0))</f>
        <v>5468</v>
      </c>
      <c r="J26" s="294">
        <f>(IF('Section Load'!K29&gt;0,'Section Load'!K29,0))</f>
        <v>2391</v>
      </c>
      <c r="K26" s="294">
        <f>(IF('Section Load'!L29&gt;0,'Section Load'!L29,0))</f>
        <v>1464</v>
      </c>
      <c r="L26" s="294">
        <f>(IF('Section Load'!M29&gt;0,'Section Load'!M29,0))</f>
        <v>601</v>
      </c>
      <c r="M26" s="294">
        <f>(IF('Section Load'!N29&gt;0,'Section Load'!N29,0))</f>
        <v>166</v>
      </c>
      <c r="N26" s="294">
        <f>(IF('Section Load'!O29&gt;0,'Section Load'!O29,0))</f>
        <v>136</v>
      </c>
      <c r="O26" s="294">
        <f>(IF('Section Load'!P29&gt;0,'Section Load'!P29,0))</f>
        <v>9</v>
      </c>
      <c r="P26" s="294">
        <f>(IF('Section Load'!Q29&gt;0,'Section Load'!Q29,0))</f>
        <v>217</v>
      </c>
      <c r="Q26" s="294">
        <f>(IF('Section Load'!R29&gt;0,'Section Load'!R29,0))</f>
        <v>88</v>
      </c>
      <c r="R26" s="294">
        <f>(IF('Section Load'!S29&gt;0,'Section Load'!S29,0))</f>
        <v>162</v>
      </c>
      <c r="S26" s="294">
        <f>(IF('Section Load'!T29&gt;0,'Section Load'!T29,0))</f>
        <v>36</v>
      </c>
      <c r="T26" s="294">
        <f>(IF('Section Load'!U29&gt;0,'Section Load'!U29,0))</f>
        <v>219</v>
      </c>
      <c r="U26" s="294">
        <f>(IF('Section Load'!V29&gt;0,'Section Load'!V29,0))</f>
        <v>364</v>
      </c>
      <c r="V26" s="294">
        <f>(IF('Section Load'!W29&gt;0,'Section Load'!W29,0))</f>
        <v>250</v>
      </c>
      <c r="W26" s="294">
        <f>(IF('Section Load'!X29&gt;0,'Section Load'!X29,0))</f>
        <v>27</v>
      </c>
      <c r="X26" s="294">
        <f>(IF('Section Load'!Y29&gt;0,'Section Load'!Y29,0))</f>
        <v>176</v>
      </c>
      <c r="Y26" s="294">
        <f>(IF('Section Load'!Z29&gt;0,'Section Load'!Z29,0))</f>
        <v>37</v>
      </c>
      <c r="Z26" s="294">
        <f>(IF('Section Load'!AA29&gt;0,'Section Load'!AA29,0))</f>
        <v>390</v>
      </c>
      <c r="AA26" s="294">
        <f>(IF('Section Load'!AB29&gt;0,'Section Load'!AB29,0))</f>
        <v>37</v>
      </c>
      <c r="AB26" s="294">
        <f>(IF('Section Load'!AC29&gt;0,'Section Load'!AC29,0))</f>
        <v>0</v>
      </c>
      <c r="AC26" s="294">
        <f>(IF('Section Load'!AD29&gt;0,'Section Load'!AD29,0))</f>
        <v>130</v>
      </c>
      <c r="AD26" s="294">
        <f>(IF('Section Load'!AE29&gt;0,'Section Load'!AE29,0))</f>
        <v>451</v>
      </c>
      <c r="AE26" s="294">
        <f>(IF('Section Load'!AF29&gt;0,'Section Load'!AF29,0))</f>
        <v>323</v>
      </c>
      <c r="AF26" s="294">
        <f>(IF('Section Load'!AG29&gt;0,'Section Load'!AG29,0))</f>
        <v>561</v>
      </c>
      <c r="AG26" s="294">
        <f>(IF('Section Load'!AH29&gt;0,'Section Load'!AH29,0))</f>
        <v>11</v>
      </c>
      <c r="AH26" s="294">
        <f>(IF('Section Load'!AI29&gt;0,'Section Load'!AI29,0))</f>
        <v>389</v>
      </c>
      <c r="AI26" s="294">
        <f>(IF('Section Load'!AJ29&gt;0,'Section Load'!AJ29,0))</f>
        <v>400</v>
      </c>
      <c r="AJ26" s="294">
        <f>(IF('Section Load'!AK29&gt;0,'Section Load'!AK29,0))</f>
        <v>356</v>
      </c>
      <c r="AK26" s="294">
        <f>(IF('Section Load'!AL29&gt;0,'Section Load'!AL29,0))</f>
        <v>295</v>
      </c>
      <c r="AL26" s="294">
        <f>(IF('Section Load'!AM29&gt;0,'Section Load'!AM29,0))</f>
        <v>730</v>
      </c>
      <c r="AM26" s="295">
        <f>(IF('Water Report'!$AB$7&gt;0,'Water Report'!$AB$7,0))</f>
        <v>55</v>
      </c>
      <c r="AN26" s="295">
        <f>(IF('Water Report'!$AB$8&gt;0,'Water Report'!$AB$8,0))</f>
        <v>0</v>
      </c>
      <c r="AO26" s="295">
        <f>(IF('Water Report'!$AB$9&gt;0,'Water Report'!$AB$9,0))</f>
        <v>89</v>
      </c>
      <c r="AP26" s="295">
        <f>(IF('Water Report'!$AB$10&gt;0,'Water Report'!$AB$10,0))</f>
        <v>5</v>
      </c>
      <c r="AQ26" s="295">
        <f>(IF('Water Report'!$AB$11&gt;0,'Water Report'!$AB$11,0))</f>
        <v>11</v>
      </c>
      <c r="AR26" s="295">
        <f>(IF('Water Report'!$AB$13&gt;0,'Water Report'!$AB$13,0))</f>
        <v>16</v>
      </c>
      <c r="AS26" s="295">
        <f>(IF('Water Report'!$AB$14&gt;0,'Water Report'!$AB$14,0))</f>
        <v>2</v>
      </c>
      <c r="AT26" s="295">
        <f>(IF('Water Report'!$AB$15&gt;0,'Water Report'!$AB$15,0))</f>
        <v>5</v>
      </c>
      <c r="AU26" s="295">
        <f>(IF('Water Report'!$AB$17&gt;0,'Water Report'!$AB$17,0))</f>
        <v>0</v>
      </c>
      <c r="AV26" s="295">
        <f>(IF('Water Report'!$AB$18&gt;0,'Water Report'!$AB$18,0))</f>
        <v>7</v>
      </c>
      <c r="AW26" s="295">
        <f>(IF('Water Report'!$AB$19&gt;0,'Water Report'!$AB$19,0))</f>
        <v>7</v>
      </c>
      <c r="AX26" s="301">
        <f>(IF('Water Report'!$AB$21&gt;0,'Water Report'!$AB$21,0))</f>
        <v>0</v>
      </c>
      <c r="AY26" s="301">
        <f>(IF('Water Report'!$AB$22&gt;0,'Water Report'!$AB$22,0))</f>
        <v>0</v>
      </c>
      <c r="AZ26" s="301">
        <f>(IF('Water Report'!$AB$23&gt;0,'Water Report'!$AB$23,0))</f>
        <v>5</v>
      </c>
      <c r="BA26" s="301">
        <f>(IF('Water Report'!$AB$14&gt;0,'Water Report'!$AB$14,0))</f>
        <v>2</v>
      </c>
      <c r="BB26" s="301">
        <f>(IF('Water Report'!$AB$15&gt;0,'Water Report'!$AB$15,0))</f>
        <v>5</v>
      </c>
      <c r="BC26" s="301">
        <f>(IF('Water Report'!$AB$13&gt;0,'Water Report'!$AB$13,0))</f>
        <v>16</v>
      </c>
      <c r="BD26" s="301">
        <f>(IF('Water Report'!$AB$24&gt;0,'Water Report'!$AB$24,0))</f>
        <v>173</v>
      </c>
      <c r="BE26" s="301">
        <f>(IF('Water Report'!$AB$25&gt;0,'Water Report'!$AB$25,0))</f>
        <v>112</v>
      </c>
      <c r="BF26" s="301">
        <f>(IF('Water Report'!$AB$27&gt;0,'Water Report'!$AB$27,0))</f>
        <v>21</v>
      </c>
      <c r="BG26" s="296">
        <f>(IF('Section Load'!AN29&gt;0,'Section Load'!AN29,0))</f>
        <v>859</v>
      </c>
      <c r="BH26" s="296">
        <f>(IF('Section Load'!AO29&gt;0,'Section Load'!AO29,0))</f>
        <v>285</v>
      </c>
      <c r="BI26" s="296">
        <f>(IF('Section Load'!AP29&gt;0,'Section Load'!AP29,0))</f>
        <v>0</v>
      </c>
      <c r="BJ26" s="296">
        <f>(IF('Section Load'!AQ29&gt;0,'Section Load'!AQ29,0))</f>
        <v>92</v>
      </c>
      <c r="BK26" s="296">
        <f>(IF('Section Load'!AR29&gt;0,'Section Load'!AR29,0))</f>
        <v>40</v>
      </c>
      <c r="BL26" s="296">
        <f>(IF('Section Load'!AS29&gt;0,'Section Load'!AS29,0))</f>
        <v>0</v>
      </c>
      <c r="BM26" s="296">
        <f>(IF('Section Load'!AT29&gt;0,'Section Load'!AT29,0))</f>
        <v>442</v>
      </c>
    </row>
    <row r="27" spans="1:65">
      <c r="A27" s="287" t="s">
        <v>268</v>
      </c>
      <c r="B27" s="288">
        <f t="shared" si="0"/>
        <v>26</v>
      </c>
      <c r="C27" s="288">
        <v>10</v>
      </c>
      <c r="D27" s="288">
        <v>2022</v>
      </c>
      <c r="E27" s="294">
        <f>(IF('Section Load'!F30&gt;0,'Section Load'!F30,0))</f>
        <v>3688.9599999999627</v>
      </c>
      <c r="F27" s="294">
        <f>(IF('Section Load'!G30&gt;0,'Section Load'!G30,0))</f>
        <v>1059.4600000000064</v>
      </c>
      <c r="G27" s="294">
        <f>(IF('Section Load'!H30&gt;0,'Section Load'!H30,0))</f>
        <v>2105</v>
      </c>
      <c r="H27" s="294">
        <f>(IF('Section Load'!I30&gt;0,'Section Load'!I30,0))</f>
        <v>4206.8600000000442</v>
      </c>
      <c r="I27" s="294">
        <f>(IF('Section Load'!J30&gt;0,'Section Load'!J30,0))</f>
        <v>5816.8299999999872</v>
      </c>
      <c r="J27" s="294">
        <f>(IF('Section Load'!K30&gt;0,'Section Load'!K30,0))</f>
        <v>2720.7600000000093</v>
      </c>
      <c r="K27" s="294">
        <f>(IF('Section Load'!L30&gt;0,'Section Load'!L30,0))</f>
        <v>1300.039999999979</v>
      </c>
      <c r="L27" s="294">
        <f>(IF('Section Load'!M30&gt;0,'Section Load'!M30,0))</f>
        <v>908.81999999994878</v>
      </c>
      <c r="M27" s="294">
        <f>(IF('Section Load'!N30&gt;0,'Section Load'!N30,0))</f>
        <v>120</v>
      </c>
      <c r="N27" s="294">
        <f>(IF('Section Load'!O30&gt;0,'Section Load'!O30,0))</f>
        <v>142</v>
      </c>
      <c r="O27" s="294">
        <f>(IF('Section Load'!P30&gt;0,'Section Load'!P30,0))</f>
        <v>10.110000000000127</v>
      </c>
      <c r="P27" s="294">
        <f>(IF('Section Load'!Q30&gt;0,'Section Load'!Q30,0))</f>
        <v>229.50999999999476</v>
      </c>
      <c r="Q27" s="294">
        <f>(IF('Section Load'!R30&gt;0,'Section Load'!R30,0))</f>
        <v>86.319999999999709</v>
      </c>
      <c r="R27" s="294">
        <f>(IF('Section Load'!S30&gt;0,'Section Load'!S30,0))</f>
        <v>199.07999999999993</v>
      </c>
      <c r="S27" s="294">
        <f>(IF('Section Load'!T30&gt;0,'Section Load'!T30,0))</f>
        <v>55</v>
      </c>
      <c r="T27" s="294">
        <f>(IF('Section Load'!U30&gt;0,'Section Load'!U30,0))</f>
        <v>229</v>
      </c>
      <c r="U27" s="294">
        <f>(IF('Section Load'!V30&gt;0,'Section Load'!V30,0))</f>
        <v>390.31999999994878</v>
      </c>
      <c r="V27" s="294">
        <f>(IF('Section Load'!W30&gt;0,'Section Load'!W30,0))</f>
        <v>315.19999999995343</v>
      </c>
      <c r="W27" s="294">
        <f>(IF('Section Load'!X30&gt;0,'Section Load'!X30,0))</f>
        <v>31.019999999998618</v>
      </c>
      <c r="X27" s="294">
        <f>(IF('Section Load'!Y30&gt;0,'Section Load'!Y30,0))</f>
        <v>252.18000000000029</v>
      </c>
      <c r="Y27" s="294">
        <f>(IF('Section Load'!Z30&gt;0,'Section Load'!Z30,0))</f>
        <v>68</v>
      </c>
      <c r="Z27" s="294">
        <f>(IF('Section Load'!AA30&gt;0,'Section Load'!AA30,0))</f>
        <v>162.88000000000466</v>
      </c>
      <c r="AA27" s="294">
        <f>(IF('Section Load'!AB30&gt;0,'Section Load'!AB30,0))</f>
        <v>43</v>
      </c>
      <c r="AB27" s="294">
        <f>(IF('Section Load'!AC30&gt;0,'Section Load'!AC30,0))</f>
        <v>6.2299999999995634</v>
      </c>
      <c r="AC27" s="294">
        <f>(IF('Section Load'!AD30&gt;0,'Section Load'!AD30,0))</f>
        <v>151.40000000000055</v>
      </c>
      <c r="AD27" s="294">
        <f>(IF('Section Load'!AE30&gt;0,'Section Load'!AE30,0))</f>
        <v>394.66999999999825</v>
      </c>
      <c r="AE27" s="294">
        <f>(IF('Section Load'!AF30&gt;0,'Section Load'!AF30,0))</f>
        <v>283.22000000000116</v>
      </c>
      <c r="AF27" s="294">
        <f>(IF('Section Load'!AG30&gt;0,'Section Load'!AG30,0))</f>
        <v>628.90000000000873</v>
      </c>
      <c r="AG27" s="294">
        <f>(IF('Section Load'!AH30&gt;0,'Section Load'!AH30,0))</f>
        <v>11.94999999999709</v>
      </c>
      <c r="AH27" s="294">
        <f>(IF('Section Load'!AI30&gt;0,'Section Load'!AI30,0))</f>
        <v>417.80999999999767</v>
      </c>
      <c r="AI27" s="294">
        <f>(IF('Section Load'!AJ30&gt;0,'Section Load'!AJ30,0))</f>
        <v>451.65999999998894</v>
      </c>
      <c r="AJ27" s="294">
        <f>(IF('Section Load'!AK30&gt;0,'Section Load'!AK30,0))</f>
        <v>363.09000000000378</v>
      </c>
      <c r="AK27" s="294">
        <f>(IF('Section Load'!AL30&gt;0,'Section Load'!AL30,0))</f>
        <v>302.16999999999825</v>
      </c>
      <c r="AL27" s="294">
        <f>(IF('Section Load'!AM30&gt;0,'Section Load'!AM30,0))</f>
        <v>827.9199999999837</v>
      </c>
      <c r="AM27" s="295">
        <f>(IF('Water Report'!$AC$7&gt;0,'Water Report'!$AC$7,0))</f>
        <v>94</v>
      </c>
      <c r="AN27" s="295">
        <f>(IF('Water Report'!$AC$8&gt;0,'Water Report'!$AC$8,0))</f>
        <v>0</v>
      </c>
      <c r="AO27" s="295">
        <f>(IF('Water Report'!$AC$9&gt;0,'Water Report'!$AC$9,0))</f>
        <v>113</v>
      </c>
      <c r="AP27" s="295">
        <f>(IF('Water Report'!$AC$10&gt;0,'Water Report'!$AC$10,0))</f>
        <v>8</v>
      </c>
      <c r="AQ27" s="295">
        <f>(IF('Water Report'!$AC$11&gt;0,'Water Report'!$AC$11,0))</f>
        <v>16</v>
      </c>
      <c r="AR27" s="295">
        <f>(IF('Water Report'!$AC$13&gt;0,'Water Report'!$AC$13,0))</f>
        <v>14</v>
      </c>
      <c r="AS27" s="295">
        <f>(IF('Water Report'!$AC$14&gt;0,'Water Report'!$AC$14,0))</f>
        <v>3</v>
      </c>
      <c r="AT27" s="295">
        <f>(IF('Water Report'!$AC$15&gt;0,'Water Report'!$AC$15,0))</f>
        <v>7</v>
      </c>
      <c r="AU27" s="295">
        <f>(IF('Water Report'!$AC$17&gt;0,'Water Report'!$AC$17,0))</f>
        <v>3</v>
      </c>
      <c r="AV27" s="295">
        <f>(IF('Water Report'!$AC$18&gt;0,'Water Report'!$AC$18,0))</f>
        <v>13</v>
      </c>
      <c r="AW27" s="295">
        <f>(IF('Water Report'!$AC$19&gt;0,'Water Report'!$AC$19,0))</f>
        <v>12</v>
      </c>
      <c r="AX27" s="301">
        <f>(IF('Water Report'!$AC$21&gt;0,'Water Report'!$AC$21,0))</f>
        <v>0</v>
      </c>
      <c r="AY27" s="301">
        <f>(IF('Water Report'!$AC$22&gt;0,'Water Report'!$AC$22,0))</f>
        <v>0</v>
      </c>
      <c r="AZ27" s="301">
        <f>(IF('Water Report'!$AC$23&gt;0,'Water Report'!$AC$23,0))</f>
        <v>2</v>
      </c>
      <c r="BA27" s="301">
        <f>(IF('Water Report'!$AC$14&gt;0,'Water Report'!$AC$14,0))</f>
        <v>3</v>
      </c>
      <c r="BB27" s="301">
        <f>(IF('Water Report'!$AC$15&gt;0,'Water Report'!$AC$15,0))</f>
        <v>7</v>
      </c>
      <c r="BC27" s="301">
        <f>(IF('Water Report'!$AC$13&gt;0,'Water Report'!$AC$13,0))</f>
        <v>14</v>
      </c>
      <c r="BD27" s="301">
        <f>(IF('Water Report'!$AC$24&gt;0,'Water Report'!$AC$24,0))</f>
        <v>314</v>
      </c>
      <c r="BE27" s="301">
        <f>(IF('Water Report'!$AC$25&gt;0,'Water Report'!$AC$25,0))</f>
        <v>147</v>
      </c>
      <c r="BF27" s="301">
        <f>(IF('Water Report'!$AC$27&gt;0,'Water Report'!$AC$27,0))</f>
        <v>16</v>
      </c>
      <c r="BG27" s="296">
        <f>(IF('Section Load'!AN30&gt;0,'Section Load'!AN30,0))</f>
        <v>994.54000000003725</v>
      </c>
      <c r="BH27" s="296">
        <f>(IF('Section Load'!AO30&gt;0,'Section Load'!AO30,0))</f>
        <v>288.29999999993015</v>
      </c>
      <c r="BI27" s="296">
        <f>(IF('Section Load'!AP30&gt;0,'Section Load'!AP30,0))</f>
        <v>0</v>
      </c>
      <c r="BJ27" s="296">
        <f>(IF('Section Load'!AQ30&gt;0,'Section Load'!AQ30,0))</f>
        <v>136.95999999999185</v>
      </c>
      <c r="BK27" s="296">
        <f>(IF('Section Load'!AR30&gt;0,'Section Load'!AR30,0))</f>
        <v>41.599999999998545</v>
      </c>
      <c r="BL27" s="296">
        <f>(IF('Section Load'!AS30&gt;0,'Section Load'!AS30,0))</f>
        <v>0</v>
      </c>
      <c r="BM27" s="296">
        <f>(IF('Section Load'!AT30&gt;0,'Section Load'!AT30,0))</f>
        <v>527.68000000011671</v>
      </c>
    </row>
    <row r="28" spans="1:65">
      <c r="A28" s="287" t="s">
        <v>268</v>
      </c>
      <c r="B28" s="288">
        <f t="shared" si="0"/>
        <v>27</v>
      </c>
      <c r="C28" s="288">
        <v>10</v>
      </c>
      <c r="D28" s="288">
        <v>2022</v>
      </c>
      <c r="E28" s="294">
        <f>(IF('Section Load'!F31&gt;0,'Section Load'!F31,0))</f>
        <v>3695.5</v>
      </c>
      <c r="F28" s="294">
        <f>(IF('Section Load'!G31&gt;0,'Section Load'!G31,0))</f>
        <v>1033.0800000000017</v>
      </c>
      <c r="G28" s="294">
        <f>(IF('Section Load'!H31&gt;0,'Section Load'!H31,0))</f>
        <v>2064.3199999999488</v>
      </c>
      <c r="H28" s="294">
        <f>(IF('Section Load'!I31&gt;0,'Section Load'!I31,0))</f>
        <v>4100.4599999999627</v>
      </c>
      <c r="I28" s="294">
        <f>(IF('Section Load'!J31&gt;0,'Section Load'!J31,0))</f>
        <v>5911.460000000021</v>
      </c>
      <c r="J28" s="294">
        <f>(IF('Section Load'!K31&gt;0,'Section Load'!K31,0))</f>
        <v>2759.570000000007</v>
      </c>
      <c r="K28" s="294">
        <f>(IF('Section Load'!L31&gt;0,'Section Load'!L31,0))</f>
        <v>1498.039999999979</v>
      </c>
      <c r="L28" s="294">
        <f>(IF('Section Load'!M31&gt;0,'Section Load'!M31,0))</f>
        <v>1025.5900000000256</v>
      </c>
      <c r="M28" s="294">
        <f>(IF('Section Load'!N31&gt;0,'Section Load'!N31,0))</f>
        <v>119</v>
      </c>
      <c r="N28" s="294">
        <f>(IF('Section Load'!O31&gt;0,'Section Load'!O31,0))</f>
        <v>160</v>
      </c>
      <c r="O28" s="294">
        <f>(IF('Section Load'!P31&gt;0,'Section Load'!P31,0))</f>
        <v>10.25</v>
      </c>
      <c r="P28" s="294">
        <f>(IF('Section Load'!Q31&gt;0,'Section Load'!Q31,0))</f>
        <v>234.33000000000175</v>
      </c>
      <c r="Q28" s="294">
        <f>(IF('Section Load'!R31&gt;0,'Section Load'!R31,0))</f>
        <v>94.790000000000873</v>
      </c>
      <c r="R28" s="294">
        <f>(IF('Section Load'!S31&gt;0,'Section Load'!S31,0))</f>
        <v>203.79999999999927</v>
      </c>
      <c r="S28" s="294">
        <f>(IF('Section Load'!T31&gt;0,'Section Load'!T31,0))</f>
        <v>45</v>
      </c>
      <c r="T28" s="294">
        <f>(IF('Section Load'!U31&gt;0,'Section Load'!U31,0))</f>
        <v>229</v>
      </c>
      <c r="U28" s="294">
        <f>(IF('Section Load'!V31&gt;0,'Section Load'!V31,0))</f>
        <v>400.56000000005588</v>
      </c>
      <c r="V28" s="294">
        <f>(IF('Section Load'!W31&gt;0,'Section Load'!W31,0))</f>
        <v>337.28000000002794</v>
      </c>
      <c r="W28" s="294">
        <f>(IF('Section Load'!X31&gt;0,'Section Load'!X31,0))</f>
        <v>31.052999999999884</v>
      </c>
      <c r="X28" s="294">
        <f>(IF('Section Load'!Y31&gt;0,'Section Load'!Y31,0))</f>
        <v>250.52999999999884</v>
      </c>
      <c r="Y28" s="294">
        <f>(IF('Section Load'!Z31&gt;0,'Section Load'!Z31,0))</f>
        <v>26</v>
      </c>
      <c r="Z28" s="294">
        <f>(IF('Section Load'!AA31&gt;0,'Section Load'!AA31,0))</f>
        <v>163.23999999999069</v>
      </c>
      <c r="AA28" s="294">
        <f>(IF('Section Load'!AB31&gt;0,'Section Load'!AB31,0))</f>
        <v>45.600000000005821</v>
      </c>
      <c r="AB28" s="294">
        <f>(IF('Section Load'!AC31&gt;0,'Section Load'!AC31,0))</f>
        <v>2.930000000000291</v>
      </c>
      <c r="AC28" s="294">
        <f>(IF('Section Load'!AD31&gt;0,'Section Load'!AD31,0))</f>
        <v>158.40000000000055</v>
      </c>
      <c r="AD28" s="294">
        <f>(IF('Section Load'!AE31&gt;0,'Section Load'!AE31,0))</f>
        <v>337.88000000000466</v>
      </c>
      <c r="AE28" s="294">
        <f>(IF('Section Load'!AF31&gt;0,'Section Load'!AF31,0))</f>
        <v>230.15000000000146</v>
      </c>
      <c r="AF28" s="294">
        <f>(IF('Section Load'!AG31&gt;0,'Section Load'!AG31,0))</f>
        <v>134.91999999999825</v>
      </c>
      <c r="AG28" s="294">
        <f>(IF('Section Load'!AH31&gt;0,'Section Load'!AH31,0))</f>
        <v>13.200000000004366</v>
      </c>
      <c r="AH28" s="294">
        <f>(IF('Section Load'!AI31&gt;0,'Section Load'!AI31,0))</f>
        <v>409.58999999999651</v>
      </c>
      <c r="AI28" s="294">
        <f>(IF('Section Load'!AJ31&gt;0,'Section Load'!AJ31,0))</f>
        <v>460.13999999999942</v>
      </c>
      <c r="AJ28" s="294">
        <f>(IF('Section Load'!AK31&gt;0,'Section Load'!AK31,0))</f>
        <v>370.40999999999622</v>
      </c>
      <c r="AK28" s="294">
        <f>(IF('Section Load'!AL31&gt;0,'Section Load'!AL31,0))</f>
        <v>299.47999999999593</v>
      </c>
      <c r="AL28" s="294">
        <f>(IF('Section Load'!AM31&gt;0,'Section Load'!AM31,0))</f>
        <v>885.38000000000466</v>
      </c>
      <c r="AM28" s="295">
        <f>(IF('Water Report'!$AD$7&gt;0,'Water Report'!$AD$7,0))</f>
        <v>73</v>
      </c>
      <c r="AN28" s="295">
        <f>(IF('Water Report'!$AD$8&gt;0,'Water Report'!$AD$8,0))</f>
        <v>0</v>
      </c>
      <c r="AO28" s="295">
        <f>(IF('Water Report'!$AD$9&gt;0,'Water Report'!$AD$9,0))</f>
        <v>89</v>
      </c>
      <c r="AP28" s="295">
        <f>(IF('Water Report'!$AD$10&gt;0,'Water Report'!AD$10,0))</f>
        <v>7</v>
      </c>
      <c r="AQ28" s="295">
        <f>(IF('Water Report'!$AD$11&gt;0,'Water Report'!AE$11,0))</f>
        <v>15</v>
      </c>
      <c r="AR28" s="295">
        <f>(IF('Water Report'!$AD$13&gt;0,'Water Report'!AF$13,0))</f>
        <v>34</v>
      </c>
      <c r="AS28" s="295">
        <f>(IF('Water Report'!$AD$14&gt;0,'Water Report'!AG$14,0))</f>
        <v>3</v>
      </c>
      <c r="AT28" s="295">
        <f>(IF('Water Report'!$AD$15&gt;0,'Water Report'!AH$15,0))</f>
        <v>-237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996.47999999998137</v>
      </c>
      <c r="BH28" s="296">
        <f>(IF('Section Load'!AO31&gt;0,'Section Load'!AO31,0))</f>
        <v>282.96999999997206</v>
      </c>
      <c r="BI28" s="296">
        <f>(IF('Section Load'!AP31&gt;0,'Section Load'!AP31,0))</f>
        <v>0</v>
      </c>
      <c r="BJ28" s="296">
        <f>(IF('Section Load'!AQ31&gt;0,'Section Load'!AQ31,0))</f>
        <v>98</v>
      </c>
      <c r="BK28" s="296">
        <f>(IF('Section Load'!AR31&gt;0,'Section Load'!AR31,0))</f>
        <v>43.099999999998545</v>
      </c>
      <c r="BL28" s="296">
        <f>(IF('Section Load'!AS31&gt;0,'Section Load'!AS31,0))</f>
        <v>0</v>
      </c>
      <c r="BM28" s="296">
        <f>(IF('Section Load'!AT31&gt;0,'Section Load'!AT31,0))</f>
        <v>573.41000000001077</v>
      </c>
    </row>
    <row r="29" spans="1:65">
      <c r="A29" s="287" t="s">
        <v>268</v>
      </c>
      <c r="B29" s="288">
        <f t="shared" si="0"/>
        <v>28</v>
      </c>
      <c r="C29" s="288">
        <v>10</v>
      </c>
      <c r="D29" s="288">
        <v>2022</v>
      </c>
      <c r="E29" s="294">
        <f>(IF('Section Load'!F32&gt;0,'Section Load'!F32,0))</f>
        <v>3724.2600000000093</v>
      </c>
      <c r="F29" s="294">
        <f>(IF('Section Load'!G32&gt;0,'Section Load'!G32,0))</f>
        <v>1077.1299999999901</v>
      </c>
      <c r="G29" s="294">
        <f>(IF('Section Load'!H32&gt;0,'Section Load'!H32,0))</f>
        <v>2196.0400000000373</v>
      </c>
      <c r="H29" s="294">
        <f>(IF('Section Load'!I32&gt;0,'Section Load'!I32,0))</f>
        <v>4355.7800000000279</v>
      </c>
      <c r="I29" s="294">
        <f>(IF('Section Load'!J32&gt;0,'Section Load'!J32,0))</f>
        <v>9014.0400000000373</v>
      </c>
      <c r="J29" s="294">
        <f>(IF('Section Load'!K32&gt;0,'Section Load'!K32,0))</f>
        <v>3044.7600000000093</v>
      </c>
      <c r="K29" s="294">
        <f>(IF('Section Load'!L32&gt;0,'Section Load'!L32,0))</f>
        <v>1882.8400000000256</v>
      </c>
      <c r="L29" s="294">
        <f>(IF('Section Load'!M32&gt;0,'Section Load'!M32,0))</f>
        <v>1181.3099999999977</v>
      </c>
      <c r="M29" s="294">
        <f>(IF('Section Load'!N32&gt;0,'Section Load'!N32,0))</f>
        <v>100</v>
      </c>
      <c r="N29" s="294">
        <f>(IF('Section Load'!O32&gt;0,'Section Load'!O32,0))</f>
        <v>160</v>
      </c>
      <c r="O29" s="294">
        <f>(IF('Section Load'!P32&gt;0,'Section Load'!P32,0))</f>
        <v>10.710000000000036</v>
      </c>
      <c r="P29" s="294">
        <f>(IF('Section Load'!Q32&gt;0,'Section Load'!Q32,0))</f>
        <v>235.77000000000407</v>
      </c>
      <c r="Q29" s="294">
        <f>(IF('Section Load'!R32&gt;0,'Section Load'!R32,0))</f>
        <v>88.139999999999418</v>
      </c>
      <c r="R29" s="294">
        <f>(IF('Section Load'!S32&gt;0,'Section Load'!S32,0))</f>
        <v>243.70000000000073</v>
      </c>
      <c r="S29" s="294">
        <f>(IF('Section Load'!T32&gt;0,'Section Load'!T32,0))</f>
        <v>50</v>
      </c>
      <c r="T29" s="294">
        <f>(IF('Section Load'!U32&gt;0,'Section Load'!U32,0))</f>
        <v>226</v>
      </c>
      <c r="U29" s="294">
        <f>(IF('Section Load'!V32&gt;0,'Section Load'!V32,0))</f>
        <v>404.07999999995809</v>
      </c>
      <c r="V29" s="294">
        <f>(IF('Section Load'!W32&gt;0,'Section Load'!W32,0))</f>
        <v>298.23999999999069</v>
      </c>
      <c r="W29" s="294">
        <f>(IF('Section Load'!X32&gt;0,'Section Load'!X32,0))</f>
        <v>26.48700000000099</v>
      </c>
      <c r="X29" s="294">
        <f>(IF('Section Load'!Y32&gt;0,'Section Load'!Y32,0))</f>
        <v>259.95999999999913</v>
      </c>
      <c r="Y29" s="294">
        <f>(IF('Section Load'!Z32&gt;0,'Section Load'!Z32,0))</f>
        <v>81</v>
      </c>
      <c r="Z29" s="294">
        <f>(IF('Section Load'!AA32&gt;0,'Section Load'!AA32,0))</f>
        <v>185.23999999999069</v>
      </c>
      <c r="AA29" s="294">
        <f>(IF('Section Load'!AB32&gt;0,'Section Load'!AB32,0))</f>
        <v>47.899999999994179</v>
      </c>
      <c r="AB29" s="294">
        <f>(IF('Section Load'!AC32&gt;0,'Section Load'!AC32,0))</f>
        <v>0</v>
      </c>
      <c r="AC29" s="294">
        <f>(IF('Section Load'!AD32&gt;0,'Section Load'!AD32,0))</f>
        <v>156</v>
      </c>
      <c r="AD29" s="294">
        <f>(IF('Section Load'!AE32&gt;0,'Section Load'!AE32,0))</f>
        <v>566.72000000000116</v>
      </c>
      <c r="AE29" s="294">
        <f>(IF('Section Load'!AF32&gt;0,'Section Load'!AF32,0))</f>
        <v>208.7699999999968</v>
      </c>
      <c r="AF29" s="294">
        <f>(IF('Section Load'!AG32&gt;0,'Section Load'!AG32,0))</f>
        <v>1140.1100000000006</v>
      </c>
      <c r="AG29" s="294">
        <f>(IF('Section Load'!AH32&gt;0,'Section Load'!AH32,0))</f>
        <v>13</v>
      </c>
      <c r="AH29" s="294">
        <f>(IF('Section Load'!AI32&gt;0,'Section Load'!AI32,0))</f>
        <v>392.39999999999418</v>
      </c>
      <c r="AI29" s="294">
        <f>(IF('Section Load'!AJ32&gt;0,'Section Load'!AJ32,0))</f>
        <v>461.80000000000291</v>
      </c>
      <c r="AJ29" s="294">
        <f>(IF('Section Load'!AK32&gt;0,'Section Load'!AK32,0))</f>
        <v>378.93000000000029</v>
      </c>
      <c r="AK29" s="294">
        <f>(IF('Section Load'!AL32&gt;0,'Section Load'!AL32,0))</f>
        <v>304.44000000000233</v>
      </c>
      <c r="AL29" s="294">
        <f>(IF('Section Load'!AM32&gt;0,'Section Load'!AM32,0))</f>
        <v>855.26000000000931</v>
      </c>
      <c r="AM29" s="295">
        <f>(IF('Water Report'!$AE$7&gt;0,'Water Report'!$AE$7,0))</f>
        <v>106</v>
      </c>
      <c r="AN29" s="295">
        <f>(IF('Water Report'!$AE$8&gt;0,'Water Report'!$AE$8,0))</f>
        <v>0</v>
      </c>
      <c r="AO29" s="295">
        <f>(IF('Water Report'!$AE$9&gt;0,'Water Report'!$AE$9,0))</f>
        <v>118</v>
      </c>
      <c r="AP29" s="295">
        <f>(IF('Water Report'!$AE$10&gt;0,'Water Report'!$AE$10,0))</f>
        <v>7</v>
      </c>
      <c r="AQ29" s="295">
        <f>(IF('Water Report'!$AE$11&gt;0,'Water Report'!$AE$11,0))</f>
        <v>15</v>
      </c>
      <c r="AR29" s="295">
        <f>(IF('Water Report'!$AE$13&gt;0,'Water Report'!$AE$13,0))</f>
        <v>28</v>
      </c>
      <c r="AS29" s="295">
        <f>(IF('Water Report'!$AE$14&gt;0,'Water Report'!$AE$14,0))</f>
        <v>2</v>
      </c>
      <c r="AT29" s="295">
        <f>(IF('Water Report'!$AE$15&gt;0,'Water Report'!$AE$15,0))</f>
        <v>7</v>
      </c>
      <c r="AU29" s="295">
        <f>(IF('Water Report'!$AE$17&gt;0,'Water Report'!$AE$17,0))</f>
        <v>1</v>
      </c>
      <c r="AV29" s="295">
        <f>(IF('Water Report'!$AE$18&gt;0,'Water Report'!$AE$18,0))</f>
        <v>16</v>
      </c>
      <c r="AW29" s="295">
        <f>(IF('Water Report'!$AE$19&gt;0,'Water Report'!$AE$19,0))</f>
        <v>10</v>
      </c>
      <c r="AX29" s="301">
        <f>(IF('Water Report'!$AE$21&gt;0,'Water Report'!$AE$21,0))</f>
        <v>0</v>
      </c>
      <c r="AY29" s="301">
        <f>(IF('Water Report'!$AE$22&gt;0,'Water Report'!$AE$22,0))</f>
        <v>0</v>
      </c>
      <c r="AZ29" s="301">
        <f>(IF('Water Report'!$AE$23&gt;0,'Water Report'!$AE$23,0))</f>
        <v>0</v>
      </c>
      <c r="BA29" s="301">
        <f>(IF('Water Report'!$AE$14&gt;0,'Water Report'!$AE$14,0))</f>
        <v>2</v>
      </c>
      <c r="BB29" s="301">
        <f>(IF('Water Report'!$AE$15&gt;0,'Water Report'!$AE$15,0))</f>
        <v>7</v>
      </c>
      <c r="BC29" s="301">
        <f>(IF('Water Report'!$AE$13&gt;0,'Water Report'!$AE$13,0))</f>
        <v>28</v>
      </c>
      <c r="BD29" s="301">
        <f>(IF('Water Report'!$AE$24&gt;0,'Water Report'!$AE$24,0))</f>
        <v>249</v>
      </c>
      <c r="BE29" s="301">
        <f>(IF('Water Report'!$AE$25&gt;0,'Water Report'!$AE$25,0))</f>
        <v>149</v>
      </c>
      <c r="BF29" s="301">
        <f>(IF('Water Report'!$AE$27&gt;0,'Water Report'!$AE$27,0))</f>
        <v>28</v>
      </c>
      <c r="BG29" s="296">
        <f>(IF('Section Load'!AN32&gt;0,'Section Load'!AN32,0))</f>
        <v>986</v>
      </c>
      <c r="BH29" s="296">
        <f>(IF('Section Load'!AO32&gt;0,'Section Load'!AO32,0))</f>
        <v>280.71000000007916</v>
      </c>
      <c r="BI29" s="296">
        <f>(IF('Section Load'!AP32&gt;0,'Section Load'!AP32,0))</f>
        <v>0</v>
      </c>
      <c r="BJ29" s="296">
        <f>(IF('Section Load'!AQ32&gt;0,'Section Load'!AQ32,0))</f>
        <v>113</v>
      </c>
      <c r="BK29" s="296">
        <f>(IF('Section Load'!AR32&gt;0,'Section Load'!AR32,0))</f>
        <v>47</v>
      </c>
      <c r="BL29" s="296">
        <f>(IF('Section Load'!AS32&gt;0,'Section Load'!AS32,0))</f>
        <v>0</v>
      </c>
      <c r="BM29" s="296">
        <f>(IF('Section Load'!AT32&gt;0,'Section Load'!AT32,0))</f>
        <v>546.08999999992375</v>
      </c>
    </row>
    <row r="30" spans="1:65">
      <c r="A30" s="287" t="s">
        <v>268</v>
      </c>
      <c r="B30" s="288">
        <f t="shared" si="0"/>
        <v>29</v>
      </c>
      <c r="C30" s="288">
        <v>10</v>
      </c>
      <c r="D30" s="288">
        <v>2022</v>
      </c>
      <c r="E30" s="294">
        <f>(IF('Section Load'!F33&gt;0,'Section Load'!F33,0))</f>
        <v>3893.5999999999767</v>
      </c>
      <c r="F30" s="294">
        <f>(IF('Section Load'!G33&gt;0,'Section Load'!G33,0))</f>
        <v>1022.9200000000128</v>
      </c>
      <c r="G30" s="294">
        <f>(IF('Section Load'!H33&gt;0,'Section Load'!H33,0))</f>
        <v>2184</v>
      </c>
      <c r="H30" s="294">
        <f>(IF('Section Load'!I33&gt;0,'Section Load'!I33,0))</f>
        <v>4257.8600000000442</v>
      </c>
      <c r="I30" s="294">
        <f>(IF('Section Load'!J33&gt;0,'Section Load'!J33,0))</f>
        <v>8480.8199999999197</v>
      </c>
      <c r="J30" s="294">
        <f>(IF('Section Load'!K33&gt;0,'Section Load'!K33,0))</f>
        <v>3077.7999999999884</v>
      </c>
      <c r="K30" s="294">
        <f>(IF('Section Load'!L33&gt;0,'Section Load'!L33,0))</f>
        <v>1946.3699999999953</v>
      </c>
      <c r="L30" s="294">
        <f>(IF('Section Load'!M33&gt;0,'Section Load'!M33,0))</f>
        <v>1115.2600000000093</v>
      </c>
      <c r="M30" s="294">
        <f>(IF('Section Load'!N33&gt;0,'Section Load'!N33,0))</f>
        <v>109</v>
      </c>
      <c r="N30" s="294">
        <f>(IF('Section Load'!O33&gt;0,'Section Load'!O33,0))</f>
        <v>159</v>
      </c>
      <c r="O30" s="294">
        <f>(IF('Section Load'!P33&gt;0,'Section Load'!P33,0))</f>
        <v>12.369999999999891</v>
      </c>
      <c r="P30" s="294">
        <f>(IF('Section Load'!Q33&gt;0,'Section Load'!Q33,0))</f>
        <v>246.57000000000698</v>
      </c>
      <c r="Q30" s="294">
        <f>(IF('Section Load'!R33&gt;0,'Section Load'!R33,0))</f>
        <v>89.700000000004366</v>
      </c>
      <c r="R30" s="294">
        <f>(IF('Section Load'!S33&gt;0,'Section Load'!S33,0))</f>
        <v>223.70000000000073</v>
      </c>
      <c r="S30" s="294">
        <f>(IF('Section Load'!T33&gt;0,'Section Load'!T33,0))</f>
        <v>42</v>
      </c>
      <c r="T30" s="294">
        <f>(IF('Section Load'!U33&gt;0,'Section Load'!U33,0))</f>
        <v>240</v>
      </c>
      <c r="U30" s="294">
        <f>(IF('Section Load'!V33&gt;0,'Section Load'!V33,0))</f>
        <v>356.11999999999534</v>
      </c>
      <c r="V30" s="294">
        <f>(IF('Section Load'!W33&gt;0,'Section Load'!W33,0))</f>
        <v>264.40000000002328</v>
      </c>
      <c r="W30" s="294">
        <f>(IF('Section Load'!X33&gt;0,'Section Load'!X33,0))</f>
        <v>26</v>
      </c>
      <c r="X30" s="294">
        <f>(IF('Section Load'!Y33&gt;0,'Section Load'!Y33,0))</f>
        <v>238.23999999999796</v>
      </c>
      <c r="Y30" s="294">
        <f>(IF('Section Load'!Z33&gt;0,'Section Load'!Z33,0))</f>
        <v>54</v>
      </c>
      <c r="Z30" s="294">
        <f>(IF('Section Load'!AA33&gt;0,'Section Load'!AA33,0))</f>
        <v>251.67999999999302</v>
      </c>
      <c r="AA30" s="294">
        <f>(IF('Section Load'!AB33&gt;0,'Section Load'!AB33,0))</f>
        <v>48.80000000000291</v>
      </c>
      <c r="AB30" s="294">
        <f>(IF('Section Load'!AC33&gt;0,'Section Load'!AC33,0))</f>
        <v>0</v>
      </c>
      <c r="AC30" s="294">
        <f>(IF('Section Load'!AD33&gt;0,'Section Load'!AD33,0))</f>
        <v>165.89999999999873</v>
      </c>
      <c r="AD30" s="294">
        <f>(IF('Section Load'!AE33&gt;0,'Section Load'!AE33,0))</f>
        <v>495.80999999999767</v>
      </c>
      <c r="AE30" s="294">
        <f>(IF('Section Load'!AF33&gt;0,'Section Load'!AF33,0))</f>
        <v>242.75</v>
      </c>
      <c r="AF30" s="294">
        <f>(IF('Section Load'!AG33&gt;0,'Section Load'!AG33,0))</f>
        <v>646.08999999999651</v>
      </c>
      <c r="AG30" s="294">
        <f>(IF('Section Load'!AH33&gt;0,'Section Load'!AH33,0))</f>
        <v>13.5</v>
      </c>
      <c r="AH30" s="294">
        <f>(IF('Section Load'!AI33&gt;0,'Section Load'!AI33,0))</f>
        <v>389.60000000000582</v>
      </c>
      <c r="AI30" s="294">
        <f>(IF('Section Load'!AJ33&gt;0,'Section Load'!AJ33,0))</f>
        <v>464.5</v>
      </c>
      <c r="AJ30" s="294">
        <f>(IF('Section Load'!AK33&gt;0,'Section Load'!AK33,0))</f>
        <v>357.19999999999709</v>
      </c>
      <c r="AK30" s="294">
        <f>(IF('Section Load'!AL33&gt;0,'Section Load'!AL33,0))</f>
        <v>296.37000000000262</v>
      </c>
      <c r="AL30" s="294">
        <f>(IF('Section Load'!AM33&gt;0,'Section Load'!AM33,0))</f>
        <v>873.5800000000163</v>
      </c>
      <c r="AM30" s="295">
        <f>(IF('Water Report'!$AF$7&gt;0,'Water Report'!$AF$7,0))</f>
        <v>85</v>
      </c>
      <c r="AN30" s="295">
        <f>(IF('Water Report'!$AF$8&gt;0,'Water Report'!$AF$8,0))</f>
        <v>0</v>
      </c>
      <c r="AO30" s="295">
        <f>(IF('Water Report'!$AF$9&gt;0,'Water Report'!$AF$9,0))</f>
        <v>99</v>
      </c>
      <c r="AP30" s="295">
        <f>(IF('Water Report'!$AF$10&gt;0,'Water Report'!$AF$10,0))</f>
        <v>16</v>
      </c>
      <c r="AQ30" s="295">
        <f>(IF('Water Report'!$AF$11&gt;0,'Water Report'!$AF$11,0))</f>
        <v>15</v>
      </c>
      <c r="AR30" s="295">
        <f>(IF('Water Report'!$AF$13&gt;0,'Water Report'!$AF$13,0))</f>
        <v>34</v>
      </c>
      <c r="AS30" s="295">
        <f>(IF('Water Report'!$AF$14&gt;0,'Water Report'!$AF$14,0))</f>
        <v>2</v>
      </c>
      <c r="AT30" s="295">
        <f>(IF('Water Report'!$AF$15&gt;0,'Water Report'!$AF$15,0))</f>
        <v>9</v>
      </c>
      <c r="AU30" s="295">
        <f>(IF('Water Report'!$AF$17&gt;0,'Water Report'!$AF$17,0))</f>
        <v>3</v>
      </c>
      <c r="AV30" s="295">
        <f>(IF('Water Report'!$AF$18&gt;0,'Water Report'!$AF$18,0))</f>
        <v>10</v>
      </c>
      <c r="AW30" s="295">
        <f>(IF('Water Report'!$AF$19&gt;0,'Water Report'!$AF$19,0))</f>
        <v>11</v>
      </c>
      <c r="AX30" s="301">
        <f>(IF('Water Report'!$AF$21&gt;0,'Water Report'!$AF$21,0))</f>
        <v>0</v>
      </c>
      <c r="AY30" s="301">
        <f>(IF('Water Report'!$AF$22&gt;0,'Water Report'!$AF$22,0))</f>
        <v>0</v>
      </c>
      <c r="AZ30" s="301">
        <f>(IF('Water Report'!$AF$23&gt;0,'Water Report'!$AF$23,0))</f>
        <v>0</v>
      </c>
      <c r="BA30" s="301">
        <f>(IF('Water Report'!$AF$14&gt;0,'Water Report'!$AF$14,0))</f>
        <v>2</v>
      </c>
      <c r="BB30" s="301">
        <f>(IF('Water Report'!$AF$15&gt;0,'Water Report'!$AF$15,0))</f>
        <v>9</v>
      </c>
      <c r="BC30" s="301">
        <f>(IF('Water Report'!$AF$13&gt;0,'Water Report'!$AF$13,0))</f>
        <v>34</v>
      </c>
      <c r="BD30" s="301">
        <f>(IF('Water Report'!$AF$24&gt;0,'Water Report'!$AF$24,0))</f>
        <v>320</v>
      </c>
      <c r="BE30" s="301">
        <f>(IF('Water Report'!$AF$25&gt;0,'Water Report'!$AF$25,0))</f>
        <v>141</v>
      </c>
      <c r="BF30" s="301">
        <f>(IF('Water Report'!$AF$27&gt;0,'Water Report'!$AF$27,0))</f>
        <v>34</v>
      </c>
      <c r="BG30" s="296">
        <f>(IF('Section Load'!AN33&gt;0,'Section Load'!AN33,0))</f>
        <v>1028.2999999998137</v>
      </c>
      <c r="BH30" s="296">
        <f>(IF('Section Load'!AO33&gt;0,'Section Load'!AO33,0))</f>
        <v>289.71999999997206</v>
      </c>
      <c r="BI30" s="296">
        <f>(IF('Section Load'!AP33&gt;0,'Section Load'!AP33,0))</f>
        <v>0</v>
      </c>
      <c r="BJ30" s="296">
        <f>(IF('Section Load'!AQ33&gt;0,'Section Load'!AQ33,0))</f>
        <v>114</v>
      </c>
      <c r="BK30" s="296">
        <f>(IF('Section Load'!AR33&gt;0,'Section Load'!AR33,0))</f>
        <v>53</v>
      </c>
      <c r="BL30" s="296">
        <f>(IF('Section Load'!AS33&gt;0,'Section Load'!AS33,0))</f>
        <v>0.3999999999996362</v>
      </c>
      <c r="BM30" s="296">
        <f>(IF('Section Load'!AT33&gt;0,'Section Load'!AT33,0))</f>
        <v>571.17999999984204</v>
      </c>
    </row>
    <row r="31" spans="1:65">
      <c r="A31" s="287" t="s">
        <v>268</v>
      </c>
      <c r="B31" s="288">
        <f t="shared" si="0"/>
        <v>30</v>
      </c>
      <c r="C31" s="288">
        <v>10</v>
      </c>
      <c r="D31" s="288">
        <v>2022</v>
      </c>
      <c r="E31" s="294">
        <f>(IF('Section Load'!F34&gt;0,'Section Load'!F34,0))</f>
        <v>4039.25</v>
      </c>
      <c r="F31" s="294">
        <f>(IF('Section Load'!G34&gt;0,'Section Load'!G34,0))</f>
        <v>1064.679999999993</v>
      </c>
      <c r="G31" s="294">
        <f>(IF('Section Load'!H34&gt;0,'Section Load'!H34,0))</f>
        <v>2269.3699999999953</v>
      </c>
      <c r="H31" s="294">
        <f>(IF('Section Load'!I34&gt;0,'Section Load'!I34,0))</f>
        <v>4282.6899999999441</v>
      </c>
      <c r="I31" s="294">
        <f>(IF('Section Load'!J34&gt;0,'Section Load'!J34,0))</f>
        <v>6346.1800000000512</v>
      </c>
      <c r="J31" s="294">
        <f>(IF('Section Load'!K34&gt;0,'Section Load'!K34,0))</f>
        <v>2959.609999999986</v>
      </c>
      <c r="K31" s="294">
        <f>(IF('Section Load'!L34&gt;0,'Section Load'!L34,0))</f>
        <v>1771</v>
      </c>
      <c r="L31" s="294">
        <f>(IF('Section Load'!M34&gt;0,'Section Load'!M34,0))</f>
        <v>783.92999999999302</v>
      </c>
      <c r="M31" s="294">
        <f>(IF('Section Load'!N34&gt;0,'Section Load'!N34,0))</f>
        <v>120</v>
      </c>
      <c r="N31" s="294">
        <f>(IF('Section Load'!O34&gt;0,'Section Load'!O34,0))</f>
        <v>151</v>
      </c>
      <c r="O31" s="294">
        <f>(IF('Section Load'!P34&gt;0,'Section Load'!P34,0))</f>
        <v>11.309999999999945</v>
      </c>
      <c r="P31" s="294">
        <f>(IF('Section Load'!Q34&gt;0,'Section Load'!Q34,0))</f>
        <v>235.42999999999302</v>
      </c>
      <c r="Q31" s="294">
        <f>(IF('Section Load'!R34&gt;0,'Section Load'!R34,0))</f>
        <v>85.69999999999709</v>
      </c>
      <c r="R31" s="294">
        <f>(IF('Section Load'!S34&gt;0,'Section Load'!S34,0))</f>
        <v>230.29999999999927</v>
      </c>
      <c r="S31" s="294">
        <f>(IF('Section Load'!T34&gt;0,'Section Load'!T34,0))</f>
        <v>63</v>
      </c>
      <c r="T31" s="294">
        <f>(IF('Section Load'!U34&gt;0,'Section Load'!U34,0))</f>
        <v>236</v>
      </c>
      <c r="U31" s="294">
        <f>(IF('Section Load'!V34&gt;0,'Section Load'!V34,0))</f>
        <v>349</v>
      </c>
      <c r="V31" s="294">
        <f>(IF('Section Load'!W34&gt;0,'Section Load'!W34,0))</f>
        <v>263.76000000000931</v>
      </c>
      <c r="W31" s="294">
        <f>(IF('Section Load'!X34&gt;0,'Section Load'!X34,0))</f>
        <v>17.399999999999636</v>
      </c>
      <c r="X31" s="294">
        <f>(IF('Section Load'!Y34&gt;0,'Section Load'!Y34,0))</f>
        <v>260.40000000000146</v>
      </c>
      <c r="Y31" s="294">
        <f>(IF('Section Load'!Z34&gt;0,'Section Load'!Z34,0))</f>
        <v>36</v>
      </c>
      <c r="Z31" s="294">
        <f>(IF('Section Load'!AA34&gt;0,'Section Load'!AA34,0))</f>
        <v>305.28000000002794</v>
      </c>
      <c r="AA31" s="294">
        <f>(IF('Section Load'!AB34&gt;0,'Section Load'!AB34,0))</f>
        <v>47.30000000000291</v>
      </c>
      <c r="AB31" s="294">
        <f>(IF('Section Load'!AC34&gt;0,'Section Load'!AC34,0))</f>
        <v>10.459999999999127</v>
      </c>
      <c r="AC31" s="294">
        <f>(IF('Section Load'!AD34&gt;0,'Section Load'!AD34,0))</f>
        <v>151.30000000000109</v>
      </c>
      <c r="AD31" s="294">
        <f>(IF('Section Load'!AE34&gt;0,'Section Load'!AE34,0))</f>
        <v>508.88999999999942</v>
      </c>
      <c r="AE31" s="294">
        <f>(IF('Section Load'!AF34&gt;0,'Section Load'!AF34,0))</f>
        <v>591.25</v>
      </c>
      <c r="AF31" s="294">
        <f>(IF('Section Load'!AG34&gt;0,'Section Load'!AG34,0))</f>
        <v>616.30000000000291</v>
      </c>
      <c r="AG31" s="294">
        <f>(IF('Section Load'!AH34&gt;0,'Section Load'!AH34,0))</f>
        <v>14.099999999998545</v>
      </c>
      <c r="AH31" s="294">
        <f>(IF('Section Load'!AI34&gt;0,'Section Load'!AI34,0))</f>
        <v>405.5</v>
      </c>
      <c r="AI31" s="294">
        <f>(IF('Section Load'!AJ34&gt;0,'Section Load'!AJ34,0))</f>
        <v>483.80000000000291</v>
      </c>
      <c r="AJ31" s="294">
        <f>(IF('Section Load'!AK34&gt;0,'Section Load'!AK34,0))</f>
        <v>387.80000000000291</v>
      </c>
      <c r="AK31" s="294">
        <f>(IF('Section Load'!AL34&gt;0,'Section Load'!AL34,0))</f>
        <v>305.09999999999854</v>
      </c>
      <c r="AL31" s="294">
        <f>(IF('Section Load'!AM34&gt;0,'Section Load'!AM34,0))</f>
        <v>918.48999999999069</v>
      </c>
      <c r="AM31" s="295">
        <f>(IF('Water Report'!$AG$7&gt;0,'Water Report'!$AG$7,0))</f>
        <v>103</v>
      </c>
      <c r="AN31" s="295">
        <f>(IF('Water Report'!$AG$8&gt;0,'Water Report'!$AG$8,0))</f>
        <v>0</v>
      </c>
      <c r="AO31" s="295">
        <f>(IF('Water Report'!$AG$9&gt;0,'Water Report'!$AG$9,0))</f>
        <v>111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1020.7000000001863</v>
      </c>
      <c r="BH31" s="296">
        <f>(IF('Section Load'!AO34&gt;0,'Section Load'!AO34,0))</f>
        <v>289.98999999999069</v>
      </c>
      <c r="BI31" s="296">
        <f>(IF('Section Load'!AP34&gt;0,'Section Load'!AP34,0))</f>
        <v>0</v>
      </c>
      <c r="BJ31" s="296">
        <f>(IF('Section Load'!AQ34&gt;0,'Section Load'!AQ34,0))</f>
        <v>118</v>
      </c>
      <c r="BK31" s="296">
        <f>(IF('Section Load'!AR34&gt;0,'Section Load'!AR34,0))</f>
        <v>68</v>
      </c>
      <c r="BL31" s="296">
        <f>(IF('Section Load'!AS34&gt;0,'Section Load'!AS34,0))</f>
        <v>0</v>
      </c>
      <c r="BM31" s="296">
        <f>(IF('Section Load'!AT34&gt;0,'Section Load'!AT34,0))</f>
        <v>544.71000000019558</v>
      </c>
    </row>
    <row r="32" spans="1:65">
      <c r="A32" s="287" t="s">
        <v>268</v>
      </c>
      <c r="B32" s="288">
        <f t="shared" si="0"/>
        <v>31</v>
      </c>
      <c r="C32" s="288">
        <v>10</v>
      </c>
      <c r="D32" s="288">
        <v>2022</v>
      </c>
      <c r="E32" s="294">
        <f>(IF('Section Load'!F35&gt;0,'Section Load'!F35,0))</f>
        <v>0</v>
      </c>
      <c r="F32" s="294">
        <f>(IF('Section Load'!G35&gt;0,'Section Load'!G35,0))</f>
        <v>0</v>
      </c>
      <c r="G32" s="294">
        <f>(IF('Section Load'!H35&gt;0,'Section Load'!H35,0))</f>
        <v>0</v>
      </c>
      <c r="H32" s="294">
        <f>(IF('Section Load'!I35&gt;0,'Section Load'!I35,0))</f>
        <v>0</v>
      </c>
      <c r="I32" s="294">
        <f>(IF('Section Load'!J35&gt;0,'Section Load'!J35,0))</f>
        <v>0</v>
      </c>
      <c r="J32" s="294">
        <f>(IF('Section Load'!K35&gt;0,'Section Load'!K35,0))</f>
        <v>0</v>
      </c>
      <c r="K32" s="294">
        <f>(IF('Section Load'!L35&gt;0,'Section Load'!L35,0))</f>
        <v>0</v>
      </c>
      <c r="L32" s="294">
        <f>(IF('Section Load'!M35&gt;0,'Section Load'!M35,0))</f>
        <v>0</v>
      </c>
      <c r="M32" s="294">
        <f>(IF('Section Load'!N35&gt;0,'Section Load'!N35,0))</f>
        <v>0</v>
      </c>
      <c r="N32" s="294">
        <f>(IF('Section Load'!O35&gt;0,'Section Load'!O35,0))</f>
        <v>0</v>
      </c>
      <c r="O32" s="294">
        <f>(IF('Section Load'!P35&gt;0,'Section Load'!P35,0))</f>
        <v>0</v>
      </c>
      <c r="P32" s="294">
        <f>(IF('Section Load'!Q35&gt;0,'Section Load'!Q35,0))</f>
        <v>0</v>
      </c>
      <c r="Q32" s="294">
        <f>(IF('Section Load'!R35&gt;0,'Section Load'!R35,0))</f>
        <v>0</v>
      </c>
      <c r="R32" s="294">
        <f>(IF('Section Load'!S35&gt;0,'Section Load'!S35,0))</f>
        <v>0</v>
      </c>
      <c r="S32" s="294">
        <f>(IF('Section Load'!T35&gt;0,'Section Load'!T35,0))</f>
        <v>0</v>
      </c>
      <c r="T32" s="294">
        <f>(IF('Section Load'!U35&gt;0,'Section Load'!U35,0))</f>
        <v>0</v>
      </c>
      <c r="U32" s="294">
        <f>(IF('Section Load'!V35&gt;0,'Section Load'!V35,0))</f>
        <v>0</v>
      </c>
      <c r="V32" s="294">
        <f>(IF('Section Load'!W35&gt;0,'Section Load'!W35,0))</f>
        <v>0</v>
      </c>
      <c r="W32" s="294">
        <f>(IF('Section Load'!X35&gt;0,'Section Load'!X35,0))</f>
        <v>0</v>
      </c>
      <c r="X32" s="294">
        <f>(IF('Section Load'!Y35&gt;0,'Section Load'!Y35,0))</f>
        <v>0</v>
      </c>
      <c r="Y32" s="294">
        <f>(IF('Section Load'!Z35&gt;0,'Section Load'!Z35,0))</f>
        <v>0</v>
      </c>
      <c r="Z32" s="294">
        <f>(IF('Section Load'!AA35&gt;0,'Section Load'!AA35,0))</f>
        <v>0</v>
      </c>
      <c r="AA32" s="294">
        <f>(IF('Section Load'!AB35&gt;0,'Section Load'!AB35,0))</f>
        <v>0</v>
      </c>
      <c r="AB32" s="294">
        <f>(IF('Section Load'!AC35&gt;0,'Section Load'!AC35,0))</f>
        <v>0</v>
      </c>
      <c r="AC32" s="294">
        <f>(IF('Section Load'!AD35&gt;0,'Section Load'!AD35,0))</f>
        <v>0</v>
      </c>
      <c r="AD32" s="294">
        <f>(IF('Section Load'!AE35&gt;0,'Section Load'!AE35,0))</f>
        <v>0</v>
      </c>
      <c r="AE32" s="294">
        <f>(IF('Section Load'!AF35&gt;0,'Section Load'!AF35,0))</f>
        <v>0</v>
      </c>
      <c r="AF32" s="294">
        <f>(IF('Section Load'!AG35&gt;0,'Section Load'!AG35,0))</f>
        <v>0</v>
      </c>
      <c r="AG32" s="294">
        <f>(IF('Section Load'!AH35&gt;0,'Section Load'!AH35,0))</f>
        <v>0</v>
      </c>
      <c r="AH32" s="294">
        <f>(IF('Section Load'!AI35&gt;0,'Section Load'!AI35,0))</f>
        <v>0</v>
      </c>
      <c r="AI32" s="294">
        <f>(IF('Section Load'!AJ35&gt;0,'Section Load'!AJ35,0))</f>
        <v>0</v>
      </c>
      <c r="AJ32" s="294">
        <f>(IF('Section Load'!AK35&gt;0,'Section Load'!AK35,0))</f>
        <v>0</v>
      </c>
      <c r="AK32" s="294">
        <f>(IF('Section Load'!AL35&gt;0,'Section Load'!AL35,0))</f>
        <v>0</v>
      </c>
      <c r="AL32" s="294">
        <f>(IF('Section Load'!AM35&gt;0,'Section Load'!AM35,0))</f>
        <v>0</v>
      </c>
      <c r="AM32" s="295">
        <f>(IF('Water Report'!$AH$7&gt;0,'Water Report'!$AH$7,0))</f>
        <v>0</v>
      </c>
      <c r="AN32" s="295">
        <f>(IF('Water Report'!$AH$8&gt;0,'Water Report'!$AH$8,0))</f>
        <v>0</v>
      </c>
      <c r="AO32" s="295">
        <f>(IF('Water Report'!$AH$9&gt;0,'Water Report'!$AH$9,0))</f>
        <v>0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967</v>
      </c>
      <c r="BH32" s="296">
        <f>(IF('Section Load'!AO35&gt;0,'Section Load'!AO35,0))</f>
        <v>0</v>
      </c>
      <c r="BI32" s="296">
        <f>(IF('Section Load'!AP35&gt;0,'Section Load'!AP35,0))</f>
        <v>0.80000000000291038</v>
      </c>
      <c r="BJ32" s="296">
        <f>(IF('Section Load'!AQ35&gt;0,'Section Load'!AQ35,0))</f>
        <v>0</v>
      </c>
      <c r="BK32" s="296">
        <f>(IF('Section Load'!AR35&gt;0,'Section Load'!AR35,0))</f>
        <v>0</v>
      </c>
      <c r="BL32" s="296">
        <f>(IF('Section Load'!AS35&gt;0,'Section Load'!AS35,0))</f>
        <v>0</v>
      </c>
      <c r="BM32" s="296">
        <f>(IF('Section Load'!AT35&gt;0,'Section Load'!AT35,0))</f>
        <v>14421.319999999969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P4" sqref="P4:P3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1026"/>
      <c r="B1" s="1026"/>
      <c r="C1" s="1026"/>
      <c r="D1" s="1026"/>
      <c r="E1" s="1026"/>
      <c r="F1" s="1026"/>
      <c r="G1" s="1026"/>
      <c r="H1" s="1026"/>
      <c r="I1" s="1026"/>
      <c r="J1" s="1026"/>
      <c r="K1" s="1026"/>
      <c r="L1" s="1026"/>
      <c r="M1" s="1026"/>
      <c r="N1" s="1026"/>
      <c r="O1" s="1026"/>
      <c r="P1" s="1026"/>
      <c r="Q1" s="1026"/>
      <c r="R1" s="1026"/>
      <c r="S1" s="1026"/>
      <c r="T1" s="1026"/>
      <c r="U1" s="1026"/>
      <c r="V1" s="1026"/>
      <c r="W1" s="1026"/>
      <c r="X1" s="1026"/>
      <c r="Y1" s="1026"/>
      <c r="Z1" s="1026"/>
      <c r="AA1" s="1026"/>
      <c r="AB1" s="1026"/>
      <c r="AC1" s="1026"/>
      <c r="AD1" s="1026"/>
      <c r="AE1" s="1026"/>
      <c r="AF1" s="1026"/>
      <c r="AG1" s="1026"/>
      <c r="AH1" s="1026"/>
      <c r="AI1" s="1026"/>
      <c r="AJ1" s="1026"/>
      <c r="AK1" s="1026"/>
      <c r="AL1" s="1026"/>
      <c r="AM1" s="1026"/>
      <c r="AN1" s="1026"/>
      <c r="AO1" s="1026"/>
      <c r="AP1" s="1026"/>
      <c r="AQ1" s="1026"/>
      <c r="AR1" s="1026"/>
      <c r="AS1" s="1026"/>
      <c r="AT1" s="1026"/>
      <c r="AU1" s="1026"/>
      <c r="AV1" s="1026"/>
      <c r="AW1" s="1026"/>
      <c r="AX1" s="1026"/>
      <c r="AY1" s="1026"/>
      <c r="AZ1" s="1026"/>
      <c r="BA1" s="1026"/>
      <c r="BB1" s="1026"/>
      <c r="BC1" s="1026"/>
      <c r="BD1" s="1026"/>
      <c r="BE1" s="1026"/>
      <c r="BF1" s="1026"/>
      <c r="BG1" s="1026"/>
      <c r="BH1" s="1026"/>
      <c r="BI1" s="1026"/>
      <c r="BJ1" s="1026"/>
      <c r="BK1" s="1026"/>
      <c r="BL1" s="1026"/>
      <c r="BM1" s="1026"/>
      <c r="BN1" s="1026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1027" t="s">
        <v>5</v>
      </c>
      <c r="I2" s="1027"/>
      <c r="J2" s="1027"/>
      <c r="K2" s="44"/>
      <c r="L2" s="1028" t="s">
        <v>6</v>
      </c>
      <c r="M2" s="1028"/>
      <c r="N2" s="1028"/>
      <c r="O2" s="1029" t="s">
        <v>7</v>
      </c>
      <c r="P2" s="1029"/>
      <c r="Q2" s="1029"/>
      <c r="R2" s="44" t="s">
        <v>8</v>
      </c>
      <c r="S2" s="1030" t="s">
        <v>9</v>
      </c>
      <c r="T2" s="1030"/>
      <c r="U2" s="1030"/>
      <c r="V2" s="1031" t="s">
        <v>10</v>
      </c>
      <c r="W2" s="1032"/>
      <c r="X2" s="1033"/>
      <c r="Y2" s="263"/>
      <c r="Z2" s="1034" t="s">
        <v>11</v>
      </c>
      <c r="AA2" s="1034"/>
      <c r="AB2" s="1034"/>
      <c r="AC2" s="1034"/>
      <c r="AD2" s="264"/>
      <c r="AE2" s="264" t="s">
        <v>12</v>
      </c>
      <c r="AF2" s="264" t="s">
        <v>13</v>
      </c>
      <c r="AG2" s="1034" t="s">
        <v>14</v>
      </c>
      <c r="AH2" s="1034"/>
      <c r="AI2" s="1034"/>
      <c r="AJ2" s="264" t="s">
        <v>15</v>
      </c>
      <c r="AK2" s="1034" t="s">
        <v>16</v>
      </c>
      <c r="AL2" s="1034"/>
      <c r="AM2" s="1034"/>
      <c r="AN2" s="264" t="s">
        <v>17</v>
      </c>
      <c r="AO2" s="5" t="s">
        <v>18</v>
      </c>
      <c r="AP2" s="1035" t="s">
        <v>19</v>
      </c>
      <c r="AQ2" s="1036"/>
      <c r="AR2" s="1036"/>
      <c r="AS2" s="1036"/>
      <c r="AT2" s="1036"/>
      <c r="AU2" s="1036"/>
      <c r="AV2" s="1036"/>
      <c r="AW2" s="1036"/>
      <c r="AX2" s="1036"/>
      <c r="AY2" s="1037"/>
      <c r="AZ2" s="1035" t="s">
        <v>20</v>
      </c>
      <c r="BA2" s="1036"/>
      <c r="BB2" s="1036"/>
      <c r="BC2" s="1036"/>
      <c r="BD2" s="1036"/>
      <c r="BE2" s="1036"/>
      <c r="BF2" s="1036"/>
      <c r="BG2" s="1036"/>
      <c r="BH2" s="1036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28</v>
      </c>
      <c r="E4" s="50">
        <f>'1'!D4</f>
        <v>0.79</v>
      </c>
      <c r="F4" s="50">
        <f>'1'!D2</f>
        <v>0.52</v>
      </c>
      <c r="G4" s="19">
        <f>'1'!G7</f>
        <v>25316</v>
      </c>
      <c r="H4" s="19">
        <f>'1'!G8</f>
        <v>25669</v>
      </c>
      <c r="I4" s="19">
        <v>9.9700000000000006</v>
      </c>
      <c r="J4" s="49">
        <f>H4*I4</f>
        <v>255919.93000000002</v>
      </c>
      <c r="K4" s="45">
        <f>H4/202</f>
        <v>127.07425742574257</v>
      </c>
      <c r="L4" s="19">
        <f>'1'!G15</f>
        <v>967</v>
      </c>
      <c r="M4" s="19">
        <v>75</v>
      </c>
      <c r="N4" s="45">
        <f>L4*M4</f>
        <v>72525</v>
      </c>
      <c r="O4" s="19">
        <f>'1'!G20</f>
        <v>304</v>
      </c>
      <c r="P4" s="19">
        <v>110</v>
      </c>
      <c r="Q4" s="46">
        <f t="shared" ref="Q4:Q33" si="0">O4*P4</f>
        <v>33440</v>
      </c>
      <c r="R4" s="47">
        <f t="shared" ref="R4:R34" si="1">O4/(F4*202/100)</f>
        <v>289.41355674028944</v>
      </c>
      <c r="S4" s="19">
        <f>'1'!G24</f>
        <v>0</v>
      </c>
      <c r="T4" s="19">
        <v>69</v>
      </c>
      <c r="U4" s="48">
        <f>S4*T4</f>
        <v>0</v>
      </c>
      <c r="V4" s="22">
        <f>'1'!G65</f>
        <v>103</v>
      </c>
      <c r="W4" s="22">
        <f>'1'!G66</f>
        <v>9</v>
      </c>
      <c r="X4" s="22">
        <f>'1'!G67</f>
        <v>40</v>
      </c>
      <c r="Y4" s="22">
        <f>V4+W4+X4</f>
        <v>152</v>
      </c>
      <c r="Z4" s="19">
        <f>'1'!G84</f>
        <v>0</v>
      </c>
      <c r="AA4" s="19">
        <f>'1'!G85</f>
        <v>22.4399999999996</v>
      </c>
      <c r="AB4" s="19">
        <f>'1'!G86</f>
        <v>15.580000000001746</v>
      </c>
      <c r="AC4" s="19">
        <f>'1'!G87</f>
        <v>0</v>
      </c>
      <c r="AD4" s="19">
        <f>Z4+AA4+AB4+AC4</f>
        <v>38.020000000001346</v>
      </c>
      <c r="AE4" s="23">
        <f t="shared" ref="AE4:AE33" si="2">AU4+AV4+BE4+BF4</f>
        <v>7106</v>
      </c>
      <c r="AF4" s="23">
        <f>AE4/AD4</f>
        <v>186.9016307206667</v>
      </c>
      <c r="AG4" s="19">
        <f>'1'!G88</f>
        <v>10.490000000001601</v>
      </c>
      <c r="AH4" s="19">
        <f>'1'!G89</f>
        <v>0</v>
      </c>
      <c r="AI4" s="19">
        <f>'1'!G90</f>
        <v>10.819999999992433</v>
      </c>
      <c r="AJ4" s="19">
        <f>AG4+AH4+AI4</f>
        <v>21.309999999994034</v>
      </c>
      <c r="AK4" s="19">
        <f>'1'!G91</f>
        <v>10.569999999999709</v>
      </c>
      <c r="AL4" s="19">
        <f>'1'!G92</f>
        <v>0</v>
      </c>
      <c r="AM4" s="19"/>
      <c r="AN4" s="19">
        <f>AK4+AL4</f>
        <v>10.569999999999709</v>
      </c>
      <c r="AO4" s="52">
        <f>'1'!G74</f>
        <v>279</v>
      </c>
      <c r="AP4" s="55">
        <f>'1'!G35</f>
        <v>0</v>
      </c>
      <c r="AQ4" s="19">
        <f>'1'!G37</f>
        <v>0</v>
      </c>
      <c r="AR4" s="19">
        <f>'1'!G38</f>
        <v>2231</v>
      </c>
      <c r="AS4" s="19">
        <f>'1'!G39</f>
        <v>0</v>
      </c>
      <c r="AT4" s="19">
        <f>'1'!G40</f>
        <v>797</v>
      </c>
      <c r="AU4" s="19">
        <f>'1'!G41</f>
        <v>0</v>
      </c>
      <c r="AV4" s="19">
        <f>'1'!G42</f>
        <v>5009</v>
      </c>
      <c r="AW4" s="19">
        <f>'1'!G43</f>
        <v>0</v>
      </c>
      <c r="AX4" s="19">
        <f>'1'!G44</f>
        <v>0</v>
      </c>
      <c r="AY4" s="56">
        <f>'1'!G36</f>
        <v>694</v>
      </c>
      <c r="AZ4" s="55">
        <f>'1'!G49</f>
        <v>3617</v>
      </c>
      <c r="BA4" s="19">
        <f>'1'!G51</f>
        <v>1067</v>
      </c>
      <c r="BB4" s="19">
        <f>'1'!G52</f>
        <v>-0.24000000000000021</v>
      </c>
      <c r="BC4" s="19">
        <f>'1'!G53</f>
        <v>4405</v>
      </c>
      <c r="BD4" s="19">
        <f>'1'!G54</f>
        <v>208</v>
      </c>
      <c r="BE4" s="19">
        <f>'1'!G55</f>
        <v>2097</v>
      </c>
      <c r="BF4" s="19">
        <f>'1'!G56</f>
        <v>0</v>
      </c>
      <c r="BG4" s="19">
        <f>'1'!G57</f>
        <v>2965</v>
      </c>
      <c r="BH4" s="56">
        <f>'1'!G50</f>
        <v>1611</v>
      </c>
      <c r="BI4" s="60">
        <f>SUM(AU4,AV4,BE4,BF4)</f>
        <v>7106</v>
      </c>
      <c r="BJ4" s="60">
        <f>'1'!G133</f>
        <v>847</v>
      </c>
      <c r="BK4" s="23">
        <f>SUM(AP4,AU4,AV4,AW4,AZ4,BE4,BF4,BG4)/H4%</f>
        <v>53.325022400560989</v>
      </c>
      <c r="BL4" s="23">
        <f>SUM(AS4,BC4)/H4%</f>
        <v>17.160777591647513</v>
      </c>
      <c r="BM4" s="24">
        <f>(AR4+BB4)/H4</f>
        <v>8.6904826833924198E-2</v>
      </c>
      <c r="BN4" s="25">
        <f>J4+N4+Q4+U4</f>
        <v>361884.93000000005</v>
      </c>
      <c r="BO4" s="38">
        <f>SUM(AU4,AV4,AW4,BE4,BF4,BG4,BJ4)</f>
        <v>10918</v>
      </c>
      <c r="BP4">
        <f>BO4/(AD4*280)</f>
        <v>1.025588036371798</v>
      </c>
      <c r="BQ4" s="38">
        <f>SUM(AU4,AV4,BE4,BF4)/(AD4*400)</f>
        <v>0.46725407680166681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0.79</v>
      </c>
      <c r="F5" s="50">
        <f>'2'!D2</f>
        <v>0.98</v>
      </c>
      <c r="G5" s="19">
        <f>'2'!G7</f>
        <v>25316</v>
      </c>
      <c r="H5" s="19">
        <f>'2'!G8</f>
        <v>25669</v>
      </c>
      <c r="I5" s="19">
        <v>9.9700000000000006</v>
      </c>
      <c r="J5" s="49">
        <f t="shared" ref="J5:J34" si="3">H5*I5</f>
        <v>255919.93000000002</v>
      </c>
      <c r="K5" s="45">
        <f t="shared" ref="K5:K33" si="4">H5/202</f>
        <v>127.07425742574257</v>
      </c>
      <c r="L5" s="19">
        <f>'2'!G15</f>
        <v>1045</v>
      </c>
      <c r="M5" s="19">
        <v>75</v>
      </c>
      <c r="N5" s="45">
        <f t="shared" ref="N5:N33" si="5">L5*M5</f>
        <v>78375</v>
      </c>
      <c r="O5" s="19">
        <f>'2'!G20</f>
        <v>238</v>
      </c>
      <c r="P5" s="19">
        <v>110</v>
      </c>
      <c r="Q5" s="46">
        <f t="shared" si="0"/>
        <v>26180</v>
      </c>
      <c r="R5" s="47">
        <f t="shared" si="1"/>
        <v>120.22630834512023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461030</v>
      </c>
      <c r="W5" s="22">
        <f>'2'!G66</f>
        <v>12</v>
      </c>
      <c r="X5" s="22">
        <f>'2'!G67</f>
        <v>27</v>
      </c>
      <c r="Y5" s="22">
        <f t="shared" ref="Y5:Y33" si="7">V5+W5+X5</f>
        <v>461069</v>
      </c>
      <c r="Z5" s="19">
        <f>'2'!G84</f>
        <v>-0.62000000000261934</v>
      </c>
      <c r="AA5" s="19">
        <f>'2'!G85</f>
        <v>14.5600000000004</v>
      </c>
      <c r="AB5" s="19">
        <f>'2'!G86</f>
        <v>20.30000000000291</v>
      </c>
      <c r="AC5" s="19">
        <f>'2'!G87</f>
        <v>9.9999999998544808E-2</v>
      </c>
      <c r="AD5" s="19">
        <f t="shared" ref="AD5:AD33" si="8">Z5+AA5+AB5+AC5</f>
        <v>34.339999999999236</v>
      </c>
      <c r="AE5" s="23">
        <f t="shared" si="2"/>
        <v>6160.7999999999593</v>
      </c>
      <c r="AF5" s="23">
        <f t="shared" ref="AF5:AF33" si="9">AE5/AD5</f>
        <v>179.4059405940622</v>
      </c>
      <c r="AG5" s="19">
        <f>'2'!G88</f>
        <v>5.5499999999992724</v>
      </c>
      <c r="AH5" s="19">
        <f>'2'!G89</f>
        <v>4.2999999999992724</v>
      </c>
      <c r="AI5" s="19">
        <f>'2'!G90</f>
        <v>10.690000000002328</v>
      </c>
      <c r="AJ5" s="19">
        <f t="shared" ref="AJ5:AJ33" si="10">AG5+AH5+AI5</f>
        <v>20.540000000000873</v>
      </c>
      <c r="AK5" s="19">
        <f>'2'!G91</f>
        <v>11.140000000000327</v>
      </c>
      <c r="AL5" s="19">
        <f>'2'!G92</f>
        <v>0</v>
      </c>
      <c r="AM5" s="19"/>
      <c r="AN5" s="19">
        <f t="shared" ref="AN5:AN33" si="11">AK5+AL5</f>
        <v>11.140000000000327</v>
      </c>
      <c r="AO5" s="52">
        <f>'2'!G74</f>
        <v>283.20999999996275</v>
      </c>
      <c r="AP5" s="55">
        <f>'2'!G35</f>
        <v>0</v>
      </c>
      <c r="AQ5" s="19">
        <f>'2'!G37</f>
        <v>0</v>
      </c>
      <c r="AR5" s="19">
        <f>'2'!G38</f>
        <v>2199.7099999999627</v>
      </c>
      <c r="AS5" s="19">
        <f>'2'!G39</f>
        <v>0</v>
      </c>
      <c r="AT5" s="19">
        <f>'2'!G40</f>
        <v>773.11999999999534</v>
      </c>
      <c r="AU5" s="19">
        <f>'2'!G41</f>
        <v>-0.45000000001164153</v>
      </c>
      <c r="AV5" s="19">
        <f>'2'!G42</f>
        <v>3234.6300000000047</v>
      </c>
      <c r="AW5" s="19">
        <f>'2'!G43</f>
        <v>0</v>
      </c>
      <c r="AX5" s="19">
        <f>'2'!G44</f>
        <v>0</v>
      </c>
      <c r="AY5" s="56">
        <f>'2'!G36</f>
        <v>964.21000000002095</v>
      </c>
      <c r="AZ5" s="55">
        <f>'2'!G49</f>
        <v>3529.0999999999767</v>
      </c>
      <c r="BA5" s="19">
        <f>'2'!G51</f>
        <v>959.0399999999936</v>
      </c>
      <c r="BB5" s="19">
        <f>'2'!G52</f>
        <v>0</v>
      </c>
      <c r="BC5" s="19">
        <f>'2'!G53</f>
        <v>4057</v>
      </c>
      <c r="BD5" s="19">
        <f>'2'!G54</f>
        <v>169.91999999999825</v>
      </c>
      <c r="BE5" s="19">
        <f>'2'!G55</f>
        <v>2926.5999999999767</v>
      </c>
      <c r="BF5" s="19">
        <f>'2'!G56</f>
        <v>1.9999999989522621E-2</v>
      </c>
      <c r="BG5" s="19">
        <f>'2'!G57</f>
        <v>2991.7000000000116</v>
      </c>
      <c r="BH5" s="56">
        <f>'2'!G50</f>
        <v>1483.4000000000233</v>
      </c>
      <c r="BI5" s="60">
        <f t="shared" ref="BI5:BI32" si="12">SUM(AU5,AV5,BE5,BF5)</f>
        <v>6160.7999999999593</v>
      </c>
      <c r="BJ5" s="60">
        <f>'2'!G133</f>
        <v>839.5</v>
      </c>
      <c r="BK5" s="23">
        <f t="shared" ref="BK5:BK33" si="13">SUM(AP5,AU5,AV5,AW5,AZ5,BE5,BF5,BG5)/H5%</f>
        <v>49.404339865206857</v>
      </c>
      <c r="BL5" s="23">
        <f t="shared" ref="BL5:BL33" si="14">SUM(AS5,BC5)/H5%</f>
        <v>15.805056683158673</v>
      </c>
      <c r="BM5" s="24">
        <f t="shared" ref="BM5:BM33" si="15">(AR5+BB5)/H5</f>
        <v>8.5695196540572782E-2</v>
      </c>
      <c r="BN5" s="25">
        <f t="shared" ref="BN5:BN33" si="16">J5+N5+Q5+U5</f>
        <v>360474.93000000005</v>
      </c>
      <c r="BO5" s="38">
        <f t="shared" ref="BO5:BO35" si="17">SUM(AU5,AV5,AW5,BE5,BF5,BG5,BJ5)</f>
        <v>9991.9999999999709</v>
      </c>
      <c r="BP5">
        <f t="shared" ref="BP5:BP35" si="18">BO5/(AD5*280)</f>
        <v>1.0391879524087064</v>
      </c>
    </row>
    <row r="6" spans="1:69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0.8</v>
      </c>
      <c r="G6" s="19">
        <f>'3'!G7</f>
        <v>23302</v>
      </c>
      <c r="H6" s="19">
        <f>'3'!G8</f>
        <v>23596</v>
      </c>
      <c r="I6" s="19">
        <v>9.9700000000000006</v>
      </c>
      <c r="J6" s="49">
        <f t="shared" si="3"/>
        <v>235252.12000000002</v>
      </c>
      <c r="K6" s="45">
        <f t="shared" si="4"/>
        <v>116.81188118811882</v>
      </c>
      <c r="L6" s="19">
        <f>'3'!G15</f>
        <v>981</v>
      </c>
      <c r="M6" s="19">
        <v>75</v>
      </c>
      <c r="N6" s="45">
        <f t="shared" si="5"/>
        <v>73575</v>
      </c>
      <c r="O6" s="19">
        <f>'3'!G20</f>
        <v>344</v>
      </c>
      <c r="P6" s="19">
        <v>110</v>
      </c>
      <c r="Q6" s="46">
        <f t="shared" si="0"/>
        <v>37840</v>
      </c>
      <c r="R6" s="47">
        <f t="shared" si="1"/>
        <v>212.87128712871282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108</v>
      </c>
      <c r="W6" s="22">
        <f>'3'!G66</f>
        <v>4</v>
      </c>
      <c r="X6" s="22">
        <f>'3'!G67</f>
        <v>15</v>
      </c>
      <c r="Y6" s="22">
        <f>V6+W6+X6</f>
        <v>127</v>
      </c>
      <c r="Z6" s="19">
        <f>'3'!G84</f>
        <v>-0.18000000000029104</v>
      </c>
      <c r="AA6" s="19">
        <f>'3'!G85</f>
        <v>24.109999999999673</v>
      </c>
      <c r="AB6" s="19">
        <f>'3'!G86</f>
        <v>-0.30000000000291038</v>
      </c>
      <c r="AC6" s="19">
        <f>'3'!G87</f>
        <v>0</v>
      </c>
      <c r="AD6" s="19">
        <f t="shared" si="8"/>
        <v>23.629999999996471</v>
      </c>
      <c r="AE6" s="23">
        <f t="shared" si="2"/>
        <v>6605.8800000000338</v>
      </c>
      <c r="AF6" s="23">
        <f t="shared" si="9"/>
        <v>279.55480321629369</v>
      </c>
      <c r="AG6" s="19">
        <f>'3'!G88</f>
        <v>0.56000000000130967</v>
      </c>
      <c r="AH6" s="19">
        <f>'3'!G89</f>
        <v>9.4400000000023283</v>
      </c>
      <c r="AI6" s="19">
        <f>'3'!G90</f>
        <v>11.350000000005821</v>
      </c>
      <c r="AJ6" s="19">
        <f t="shared" si="10"/>
        <v>21.350000000009459</v>
      </c>
      <c r="AK6" s="19">
        <f>'3'!G91</f>
        <v>11.089999999999236</v>
      </c>
      <c r="AL6" s="19">
        <f>'3'!G92</f>
        <v>0</v>
      </c>
      <c r="AM6" s="19"/>
      <c r="AN6" s="19">
        <f t="shared" si="11"/>
        <v>11.089999999999236</v>
      </c>
      <c r="AO6" s="52">
        <f>'3'!G74</f>
        <v>288.48999999999069</v>
      </c>
      <c r="AP6" s="55">
        <f>'3'!G35</f>
        <v>0</v>
      </c>
      <c r="AQ6" s="19">
        <f>'3'!G37</f>
        <v>0</v>
      </c>
      <c r="AR6" s="19">
        <f>'3'!G38</f>
        <v>2275.4400000000605</v>
      </c>
      <c r="AS6" s="19">
        <f>'3'!G39</f>
        <v>0</v>
      </c>
      <c r="AT6" s="19">
        <f>'3'!G40</f>
        <v>761.45999999999185</v>
      </c>
      <c r="AU6" s="19">
        <f>'3'!G41</f>
        <v>-0.20000000001164153</v>
      </c>
      <c r="AV6" s="19">
        <f>'3'!G42</f>
        <v>5145.5200000000186</v>
      </c>
      <c r="AW6" s="19">
        <f>'3'!G43</f>
        <v>0</v>
      </c>
      <c r="AX6" s="19">
        <f>'3'!G44</f>
        <v>0</v>
      </c>
      <c r="AY6" s="56">
        <f>'3'!G36</f>
        <v>664.78999999997905</v>
      </c>
      <c r="AZ6" s="55">
        <f>'3'!G49</f>
        <v>3700.5700000000652</v>
      </c>
      <c r="BA6" s="19">
        <f>'3'!G51</f>
        <v>1017.4600000000064</v>
      </c>
      <c r="BB6" s="19">
        <f>'3'!G52</f>
        <v>0</v>
      </c>
      <c r="BC6" s="19">
        <f>'3'!G53</f>
        <v>4163.9000000000233</v>
      </c>
      <c r="BD6" s="19">
        <f>'3'!G54</f>
        <v>170.57000000000698</v>
      </c>
      <c r="BE6" s="19">
        <f>'3'!G55</f>
        <v>7.0000000006984919E-2</v>
      </c>
      <c r="BF6" s="19">
        <f>'3'!G56</f>
        <v>1460.4900000000198</v>
      </c>
      <c r="BG6" s="19">
        <f>'3'!G57</f>
        <v>3078.0100000000093</v>
      </c>
      <c r="BH6" s="56">
        <f>'3'!G50</f>
        <v>1436.429999999993</v>
      </c>
      <c r="BI6" s="60">
        <f t="shared" si="12"/>
        <v>6605.8800000000338</v>
      </c>
      <c r="BJ6" s="60">
        <f>'3'!G133</f>
        <v>826.27000000001863</v>
      </c>
      <c r="BK6" s="23">
        <f t="shared" si="13"/>
        <v>56.723427699610561</v>
      </c>
      <c r="BL6" s="23">
        <f t="shared" si="14"/>
        <v>17.646635022885334</v>
      </c>
      <c r="BM6" s="24">
        <f t="shared" si="15"/>
        <v>9.6433293778609111E-2</v>
      </c>
      <c r="BN6" s="25">
        <f t="shared" si="16"/>
        <v>346667.12</v>
      </c>
      <c r="BO6" s="38">
        <f t="shared" si="17"/>
        <v>10510.160000000062</v>
      </c>
      <c r="BP6">
        <f t="shared" si="18"/>
        <v>1.5885012998007424</v>
      </c>
    </row>
    <row r="7" spans="1:69">
      <c r="A7" s="16">
        <v>4</v>
      </c>
      <c r="B7" s="27">
        <v>4</v>
      </c>
      <c r="C7" s="27"/>
      <c r="D7" s="19">
        <f>'4'!D3</f>
        <v>0.28000000000000003</v>
      </c>
      <c r="E7" s="50">
        <f>'4'!D4</f>
        <v>0.79</v>
      </c>
      <c r="F7" s="50">
        <f>'4'!D2</f>
        <v>0.98</v>
      </c>
      <c r="G7" s="19">
        <f>'4'!G7</f>
        <v>25274</v>
      </c>
      <c r="H7" s="19">
        <f>'4'!G8</f>
        <v>25639</v>
      </c>
      <c r="I7" s="19">
        <v>9.9700000000000006</v>
      </c>
      <c r="J7" s="49">
        <f t="shared" si="3"/>
        <v>255620.83000000002</v>
      </c>
      <c r="K7" s="45">
        <f t="shared" si="4"/>
        <v>126.92574257425743</v>
      </c>
      <c r="L7" s="19">
        <f>'4'!G15</f>
        <v>977</v>
      </c>
      <c r="M7" s="19">
        <v>75</v>
      </c>
      <c r="N7" s="45">
        <f t="shared" si="5"/>
        <v>73275</v>
      </c>
      <c r="O7" s="19">
        <f>'4'!G20</f>
        <v>291</v>
      </c>
      <c r="P7" s="19">
        <v>110</v>
      </c>
      <c r="Q7" s="46">
        <f t="shared" si="0"/>
        <v>32010</v>
      </c>
      <c r="R7" s="47">
        <f t="shared" si="1"/>
        <v>146.99939381693272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89</v>
      </c>
      <c r="W7" s="22">
        <f>'4'!G66</f>
        <v>8</v>
      </c>
      <c r="X7" s="22">
        <f>'4'!G67</f>
        <v>17</v>
      </c>
      <c r="Y7" s="22">
        <f t="shared" si="7"/>
        <v>114</v>
      </c>
      <c r="Z7" s="19">
        <f>'4'!G84</f>
        <v>0.18000000000029104</v>
      </c>
      <c r="AA7" s="19">
        <f>'4'!G85</f>
        <v>23.890000000000327</v>
      </c>
      <c r="AB7" s="19">
        <f>'4'!G86</f>
        <v>13.400000000001455</v>
      </c>
      <c r="AC7" s="19">
        <f>'4'!G87</f>
        <v>-9.9999999998544808E-2</v>
      </c>
      <c r="AD7" s="19">
        <f t="shared" si="8"/>
        <v>37.370000000003529</v>
      </c>
      <c r="AE7" s="23">
        <f t="shared" si="2"/>
        <v>7399.4499999999534</v>
      </c>
      <c r="AF7" s="23">
        <f t="shared" si="9"/>
        <v>198.00508429219306</v>
      </c>
      <c r="AG7" s="19">
        <f>'4'!G88</f>
        <v>0</v>
      </c>
      <c r="AH7" s="19">
        <f>'4'!G89</f>
        <v>9.4599999999991269</v>
      </c>
      <c r="AI7" s="19">
        <f>'4'!G90</f>
        <v>10.399999999994179</v>
      </c>
      <c r="AJ7" s="19">
        <f t="shared" si="10"/>
        <v>19.859999999993306</v>
      </c>
      <c r="AK7" s="19">
        <f>'4'!G91</f>
        <v>9</v>
      </c>
      <c r="AL7" s="19">
        <f>'4'!G92</f>
        <v>0</v>
      </c>
      <c r="AM7" s="19"/>
      <c r="AN7" s="19">
        <f t="shared" si="11"/>
        <v>9</v>
      </c>
      <c r="AO7" s="52">
        <f>'4'!G74</f>
        <v>281.18000000005122</v>
      </c>
      <c r="AP7" s="55">
        <f>'4'!G35</f>
        <v>-4.9999999988358468E-2</v>
      </c>
      <c r="AQ7" s="19">
        <f>'4'!G37</f>
        <v>0</v>
      </c>
      <c r="AR7" s="19">
        <f>'4'!G38</f>
        <v>2197.640000000014</v>
      </c>
      <c r="AS7" s="19">
        <f>'4'!G39</f>
        <v>0</v>
      </c>
      <c r="AT7" s="19">
        <f>'4'!G40</f>
        <v>751.42000000001281</v>
      </c>
      <c r="AU7" s="19">
        <f>'4'!G41</f>
        <v>0.5</v>
      </c>
      <c r="AV7" s="19">
        <f>'4'!G42</f>
        <v>5555.6799999999348</v>
      </c>
      <c r="AW7" s="19">
        <f>'4'!G43</f>
        <v>0</v>
      </c>
      <c r="AX7" s="19">
        <f>'4'!G44</f>
        <v>0</v>
      </c>
      <c r="AY7" s="56">
        <f>'4'!G36</f>
        <v>691.59000000002561</v>
      </c>
      <c r="AZ7" s="55">
        <f>'4'!G49</f>
        <v>3963.0399999999208</v>
      </c>
      <c r="BA7" s="19">
        <f>'4'!G51</f>
        <v>1024.9199999999983</v>
      </c>
      <c r="BB7" s="19">
        <f>'4'!G52</f>
        <v>0</v>
      </c>
      <c r="BC7" s="19">
        <f>'4'!G53</f>
        <v>4052.8499999999767</v>
      </c>
      <c r="BD7" s="19">
        <f>'4'!G54</f>
        <v>170.38999999999942</v>
      </c>
      <c r="BE7" s="19">
        <f>'4'!G55</f>
        <v>1843.2800000000279</v>
      </c>
      <c r="BF7" s="19">
        <f>'4'!G56</f>
        <v>-1.0000000009313226E-2</v>
      </c>
      <c r="BG7" s="19">
        <f>'4'!G57</f>
        <v>3033.320000000007</v>
      </c>
      <c r="BH7" s="56">
        <f>'4'!G50</f>
        <v>1415</v>
      </c>
      <c r="BI7" s="60">
        <f t="shared" si="12"/>
        <v>7399.4499999999534</v>
      </c>
      <c r="BJ7" s="60">
        <f>'3'!G133</f>
        <v>826.27000000001863</v>
      </c>
      <c r="BK7" s="23">
        <f t="shared" si="13"/>
        <v>56.14789968407463</v>
      </c>
      <c r="BL7" s="23">
        <f t="shared" si="14"/>
        <v>15.807363781738667</v>
      </c>
      <c r="BM7" s="24">
        <f t="shared" si="15"/>
        <v>8.5714731463786178E-2</v>
      </c>
      <c r="BN7" s="25">
        <f t="shared" si="16"/>
        <v>360905.83</v>
      </c>
      <c r="BO7" s="38">
        <f t="shared" si="17"/>
        <v>11259.039999999979</v>
      </c>
      <c r="BP7">
        <f t="shared" si="18"/>
        <v>1.0760197255245725</v>
      </c>
    </row>
    <row r="8" spans="1:69">
      <c r="A8" s="16">
        <v>5</v>
      </c>
      <c r="B8" s="27">
        <v>5</v>
      </c>
      <c r="C8" s="27"/>
      <c r="D8" s="19">
        <f>'5'!D3</f>
        <v>0.28000000000000003</v>
      </c>
      <c r="E8" s="50">
        <f>'5'!D4</f>
        <v>0.79</v>
      </c>
      <c r="F8" s="50">
        <f>'5'!D2</f>
        <v>0.63</v>
      </c>
      <c r="G8" s="19">
        <f>'5'!G7</f>
        <v>24474</v>
      </c>
      <c r="H8" s="19">
        <f>'5'!G8</f>
        <v>24834</v>
      </c>
      <c r="I8" s="19">
        <v>9.9700000000000006</v>
      </c>
      <c r="J8" s="49">
        <f t="shared" si="3"/>
        <v>247594.98</v>
      </c>
      <c r="K8" s="45">
        <f t="shared" si="4"/>
        <v>122.94059405940594</v>
      </c>
      <c r="L8" s="19">
        <f>'5'!G15</f>
        <v>953</v>
      </c>
      <c r="M8" s="19">
        <v>75</v>
      </c>
      <c r="N8" s="45">
        <f t="shared" si="5"/>
        <v>71475</v>
      </c>
      <c r="O8" s="19">
        <f>'5'!G20</f>
        <v>251</v>
      </c>
      <c r="P8" s="19">
        <v>110</v>
      </c>
      <c r="Q8" s="46">
        <f t="shared" si="0"/>
        <v>27610</v>
      </c>
      <c r="R8" s="47">
        <f t="shared" si="1"/>
        <v>197.23400911519724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101</v>
      </c>
      <c r="W8" s="22">
        <f>'5'!G66</f>
        <v>6</v>
      </c>
      <c r="X8" s="22">
        <f>'5'!G67</f>
        <v>18</v>
      </c>
      <c r="Y8" s="22">
        <f t="shared" si="7"/>
        <v>125</v>
      </c>
      <c r="Z8" s="19">
        <f>'5'!G84</f>
        <v>0.31999999999970896</v>
      </c>
      <c r="AA8" s="19">
        <f>'5'!G85</f>
        <v>20</v>
      </c>
      <c r="AB8" s="19">
        <f>'5'!G86</f>
        <v>14.299999999995634</v>
      </c>
      <c r="AC8" s="19">
        <f>'5'!G87</f>
        <v>0</v>
      </c>
      <c r="AD8" s="19">
        <f t="shared" si="8"/>
        <v>34.619999999995343</v>
      </c>
      <c r="AE8" s="23">
        <f t="shared" si="2"/>
        <v>6958.7399999999907</v>
      </c>
      <c r="AF8" s="23">
        <f t="shared" si="9"/>
        <v>201.00346620453283</v>
      </c>
      <c r="AG8" s="19">
        <f>'5'!G88</f>
        <v>-6.0000000001309672E-2</v>
      </c>
      <c r="AH8" s="19">
        <f>'5'!G89</f>
        <v>6.7999999999992724</v>
      </c>
      <c r="AI8" s="19">
        <f>'5'!G90</f>
        <v>10.69999999999709</v>
      </c>
      <c r="AJ8" s="19">
        <f t="shared" si="10"/>
        <v>17.439999999995052</v>
      </c>
      <c r="AK8" s="19">
        <f>'5'!G91</f>
        <v>13.800000000000182</v>
      </c>
      <c r="AL8" s="19">
        <f>'5'!G92</f>
        <v>0</v>
      </c>
      <c r="AM8" s="19"/>
      <c r="AN8" s="19">
        <f t="shared" si="11"/>
        <v>13.800000000000182</v>
      </c>
      <c r="AO8" s="52">
        <f>'5'!G74</f>
        <v>308.71999999997206</v>
      </c>
      <c r="AP8" s="55">
        <f>'5'!G35</f>
        <v>0</v>
      </c>
      <c r="AQ8" s="19">
        <f>'5'!G37</f>
        <v>0</v>
      </c>
      <c r="AR8" s="19">
        <f>'5'!G38</f>
        <v>2219.4799999999814</v>
      </c>
      <c r="AS8" s="19">
        <f>'5'!G39</f>
        <v>0</v>
      </c>
      <c r="AT8" s="19">
        <f>'5'!G40</f>
        <v>760.20999999999185</v>
      </c>
      <c r="AU8" s="19">
        <f>'5'!G41</f>
        <v>-0.29999999998835847</v>
      </c>
      <c r="AV8" s="19">
        <f>'5'!G42</f>
        <v>4914.2399999999907</v>
      </c>
      <c r="AW8" s="19">
        <f>'5'!G43</f>
        <v>0</v>
      </c>
      <c r="AX8" s="19">
        <f>'5'!G44</f>
        <v>0</v>
      </c>
      <c r="AY8" s="56">
        <f>'5'!G36</f>
        <v>638.51999999996042</v>
      </c>
      <c r="AZ8" s="55">
        <f>'5'!G49</f>
        <v>3963.5200000000186</v>
      </c>
      <c r="BA8" s="19">
        <f>'5'!G51</f>
        <v>1015.4300000000076</v>
      </c>
      <c r="BB8" s="19">
        <f>'5'!G52</f>
        <v>0</v>
      </c>
      <c r="BC8" s="19">
        <f>'5'!G53</f>
        <v>4140.4400000000023</v>
      </c>
      <c r="BD8" s="19">
        <f>'5'!G54</f>
        <v>173.77999999999884</v>
      </c>
      <c r="BE8" s="19">
        <f>'5'!G55</f>
        <v>2044.7999999999884</v>
      </c>
      <c r="BF8" s="19">
        <f>'5'!G56</f>
        <v>0</v>
      </c>
      <c r="BG8" s="19">
        <f>'5'!G57</f>
        <v>2755.5999999999767</v>
      </c>
      <c r="BH8" s="56">
        <f>'5'!G50</f>
        <v>1359.320000000007</v>
      </c>
      <c r="BI8" s="60">
        <f t="shared" si="12"/>
        <v>6958.7399999999907</v>
      </c>
      <c r="BJ8" s="60">
        <f>'5'!G133</f>
        <v>866.88000000000466</v>
      </c>
      <c r="BK8" s="23">
        <f t="shared" si="13"/>
        <v>55.077152291213601</v>
      </c>
      <c r="BL8" s="23">
        <f t="shared" si="14"/>
        <v>16.672465168720311</v>
      </c>
      <c r="BM8" s="24">
        <f t="shared" si="15"/>
        <v>8.9372634291696118E-2</v>
      </c>
      <c r="BN8" s="25">
        <f t="shared" si="16"/>
        <v>346679.98</v>
      </c>
      <c r="BO8" s="38">
        <f t="shared" si="17"/>
        <v>10581.219999999972</v>
      </c>
      <c r="BP8">
        <f t="shared" si="18"/>
        <v>1.0915676322523515</v>
      </c>
    </row>
    <row r="9" spans="1:69">
      <c r="A9" s="16">
        <v>6</v>
      </c>
      <c r="B9" s="17">
        <v>6</v>
      </c>
      <c r="C9" s="26"/>
      <c r="D9" s="19">
        <f>'6'!D3</f>
        <v>28</v>
      </c>
      <c r="E9" s="50">
        <f>'6'!D4</f>
        <v>0.79</v>
      </c>
      <c r="F9" s="50">
        <f>'6'!D2</f>
        <v>0.48</v>
      </c>
      <c r="G9" s="19">
        <f>'6'!G7</f>
        <v>25107</v>
      </c>
      <c r="H9" s="19">
        <f>'6'!G8</f>
        <v>25510</v>
      </c>
      <c r="I9" s="19">
        <v>9.9700000000000006</v>
      </c>
      <c r="J9" s="49">
        <f t="shared" si="3"/>
        <v>254334.7</v>
      </c>
      <c r="K9" s="45">
        <f t="shared" si="4"/>
        <v>126.28712871287129</v>
      </c>
      <c r="L9" s="19">
        <f>'6'!G15</f>
        <v>1040</v>
      </c>
      <c r="M9" s="19">
        <v>75</v>
      </c>
      <c r="N9" s="45">
        <f t="shared" si="5"/>
        <v>78000</v>
      </c>
      <c r="O9" s="19">
        <f>'6'!G20</f>
        <v>290</v>
      </c>
      <c r="P9" s="19">
        <v>110</v>
      </c>
      <c r="Q9" s="46">
        <f t="shared" si="0"/>
        <v>31900</v>
      </c>
      <c r="R9" s="47">
        <f t="shared" si="1"/>
        <v>299.0924092409241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89</v>
      </c>
      <c r="W9" s="22">
        <f>'6'!G66</f>
        <v>11</v>
      </c>
      <c r="X9" s="22">
        <f>'6'!G67</f>
        <v>18</v>
      </c>
      <c r="Y9" s="22">
        <f t="shared" si="7"/>
        <v>118</v>
      </c>
      <c r="Z9" s="19">
        <f>'6'!G84</f>
        <v>0</v>
      </c>
      <c r="AA9" s="19">
        <f>'6'!G85</f>
        <v>0</v>
      </c>
      <c r="AB9" s="19">
        <f>'6'!G86</f>
        <v>23.30000000000291</v>
      </c>
      <c r="AC9" s="19">
        <f>'6'!G87</f>
        <v>14</v>
      </c>
      <c r="AD9" s="19">
        <f t="shared" si="8"/>
        <v>37.30000000000291</v>
      </c>
      <c r="AE9" s="23">
        <f t="shared" si="2"/>
        <v>5349.1300000000629</v>
      </c>
      <c r="AF9" s="23">
        <f t="shared" si="9"/>
        <v>143.40831099194759</v>
      </c>
      <c r="AG9" s="19">
        <f>'6'!G88</f>
        <v>6.0000000001309672E-2</v>
      </c>
      <c r="AH9" s="19">
        <f>'6'!G89</f>
        <v>8.4199999999982538</v>
      </c>
      <c r="AI9" s="19">
        <f>'6'!G90</f>
        <v>13.05000000000291</v>
      </c>
      <c r="AJ9" s="19">
        <f t="shared" si="10"/>
        <v>21.530000000002474</v>
      </c>
      <c r="AK9" s="19">
        <f>'6'!G91</f>
        <v>11.510000000000218</v>
      </c>
      <c r="AL9" s="19">
        <f>'6'!G92</f>
        <v>0</v>
      </c>
      <c r="AM9" s="19"/>
      <c r="AN9" s="19">
        <f t="shared" si="11"/>
        <v>11.510000000000218</v>
      </c>
      <c r="AO9" s="52">
        <f>'6'!G74</f>
        <v>298.40000000002328</v>
      </c>
      <c r="AP9" s="55">
        <f>'6'!G35</f>
        <v>0</v>
      </c>
      <c r="AQ9" s="19">
        <f>'6'!G37</f>
        <v>0</v>
      </c>
      <c r="AR9" s="19">
        <f>'6'!G38</f>
        <v>2197.7299999999814</v>
      </c>
      <c r="AS9" s="19">
        <f>'6'!G39</f>
        <v>-0.18999999994412065</v>
      </c>
      <c r="AT9" s="19">
        <f>'6'!G40</f>
        <v>703.79000000000815</v>
      </c>
      <c r="AU9" s="19">
        <f>'6'!G41</f>
        <v>0.45000000001164153</v>
      </c>
      <c r="AV9" s="19">
        <f>'6'!G42</f>
        <v>-6.9999999948777258E-2</v>
      </c>
      <c r="AW9" s="19">
        <f>'6'!G43</f>
        <v>0</v>
      </c>
      <c r="AX9" s="19">
        <f>'6'!G44</f>
        <v>0</v>
      </c>
      <c r="AY9" s="56">
        <f>'6'!G36</f>
        <v>638.89000000001397</v>
      </c>
      <c r="AZ9" s="55">
        <f>'6'!G49</f>
        <v>3669.7700000000186</v>
      </c>
      <c r="BA9" s="19">
        <f>'6'!G51</f>
        <v>997.14999999999418</v>
      </c>
      <c r="BB9" s="19">
        <f>'6'!G52</f>
        <v>0</v>
      </c>
      <c r="BC9" s="19">
        <f>'6'!G53</f>
        <v>4226.8099999999977</v>
      </c>
      <c r="BD9" s="19">
        <f>'6'!G54</f>
        <v>161.33999999999651</v>
      </c>
      <c r="BE9" s="19">
        <f>'6'!G55</f>
        <v>3535.25</v>
      </c>
      <c r="BF9" s="19">
        <f>'6'!G56</f>
        <v>1813.5</v>
      </c>
      <c r="BG9" s="19">
        <f>'6'!G57</f>
        <v>2958.3699999999953</v>
      </c>
      <c r="BH9" s="56">
        <f>'6'!G50</f>
        <v>1554.8499999999767</v>
      </c>
      <c r="BI9" s="60">
        <f t="shared" si="12"/>
        <v>5349.1300000000629</v>
      </c>
      <c r="BJ9" s="60">
        <f>'6'!G133</f>
        <v>844.27000000001863</v>
      </c>
      <c r="BK9" s="23">
        <f t="shared" si="13"/>
        <v>46.951274010192385</v>
      </c>
      <c r="BL9" s="23">
        <f t="shared" si="14"/>
        <v>16.568482947863792</v>
      </c>
      <c r="BM9" s="24">
        <f t="shared" si="15"/>
        <v>8.6151705213640975E-2</v>
      </c>
      <c r="BN9" s="25">
        <f t="shared" si="16"/>
        <v>364234.7</v>
      </c>
      <c r="BO9" s="38">
        <f t="shared" si="17"/>
        <v>9151.7700000000768</v>
      </c>
      <c r="BP9">
        <f t="shared" si="18"/>
        <v>0.87627058598232122</v>
      </c>
    </row>
    <row r="10" spans="1:69">
      <c r="A10" s="16">
        <v>7</v>
      </c>
      <c r="B10" s="26">
        <v>7</v>
      </c>
      <c r="C10" s="27"/>
      <c r="D10" s="19">
        <f>'7'!D3</f>
        <v>26</v>
      </c>
      <c r="E10" s="50">
        <f>'7'!D4</f>
        <v>0.78</v>
      </c>
      <c r="F10" s="50">
        <f>'7'!D2</f>
        <v>0.97</v>
      </c>
      <c r="G10" s="19">
        <f>'7'!G7</f>
        <v>25179</v>
      </c>
      <c r="H10" s="19">
        <f>'7'!G8</f>
        <v>25534</v>
      </c>
      <c r="I10" s="19">
        <v>9.9700000000000006</v>
      </c>
      <c r="J10" s="49">
        <f t="shared" si="3"/>
        <v>254573.98</v>
      </c>
      <c r="K10" s="45">
        <f t="shared" si="4"/>
        <v>126.4059405940594</v>
      </c>
      <c r="L10" s="19">
        <f>'7'!G15</f>
        <v>1021</v>
      </c>
      <c r="M10" s="19">
        <v>75</v>
      </c>
      <c r="N10" s="45">
        <f t="shared" si="5"/>
        <v>76575</v>
      </c>
      <c r="O10" s="19">
        <f>'7'!G20</f>
        <v>295</v>
      </c>
      <c r="P10" s="19">
        <v>110</v>
      </c>
      <c r="Q10" s="46">
        <f t="shared" si="0"/>
        <v>32450</v>
      </c>
      <c r="R10" s="47">
        <f t="shared" si="1"/>
        <v>150.55629274267633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103</v>
      </c>
      <c r="W10" s="22">
        <f>'7'!G66</f>
        <v>17</v>
      </c>
      <c r="X10" s="22">
        <f>'7'!G67</f>
        <v>20</v>
      </c>
      <c r="Y10" s="22">
        <f t="shared" si="7"/>
        <v>140</v>
      </c>
      <c r="Z10" s="19">
        <f>'7'!G84</f>
        <v>0</v>
      </c>
      <c r="AA10" s="19">
        <f>'7'!G85</f>
        <v>0</v>
      </c>
      <c r="AB10" s="19">
        <f>'7'!G86</f>
        <v>24</v>
      </c>
      <c r="AC10" s="19">
        <f>'7'!G87</f>
        <v>13</v>
      </c>
      <c r="AD10" s="19">
        <f t="shared" si="8"/>
        <v>37</v>
      </c>
      <c r="AE10" s="23">
        <f t="shared" si="2"/>
        <v>5136</v>
      </c>
      <c r="AF10" s="23">
        <f t="shared" si="9"/>
        <v>138.81081081081081</v>
      </c>
      <c r="AG10" s="19">
        <f>'7'!G88</f>
        <v>0</v>
      </c>
      <c r="AH10" s="19">
        <f>'7'!G89</f>
        <v>8.4200000000018917</v>
      </c>
      <c r="AI10" s="19">
        <f>'7'!G90</f>
        <v>10.25</v>
      </c>
      <c r="AJ10" s="19">
        <f t="shared" si="10"/>
        <v>18.670000000001892</v>
      </c>
      <c r="AK10" s="19">
        <f>'7'!G91</f>
        <v>11.460000000000036</v>
      </c>
      <c r="AL10" s="19">
        <f>'7'!G92</f>
        <v>0</v>
      </c>
      <c r="AM10" s="19"/>
      <c r="AN10" s="19">
        <f t="shared" si="11"/>
        <v>11.460000000000036</v>
      </c>
      <c r="AO10" s="52">
        <f>'7'!G74</f>
        <v>301</v>
      </c>
      <c r="AP10" s="55">
        <f>'7'!G35</f>
        <v>0</v>
      </c>
      <c r="AQ10" s="19">
        <f>'7'!G37</f>
        <v>0</v>
      </c>
      <c r="AR10" s="19">
        <f>'7'!G38</f>
        <v>2277</v>
      </c>
      <c r="AS10" s="19">
        <f>'7'!G39</f>
        <v>0</v>
      </c>
      <c r="AT10" s="19">
        <f>'7'!G40</f>
        <v>722</v>
      </c>
      <c r="AU10" s="19">
        <f>'7'!G41</f>
        <v>0</v>
      </c>
      <c r="AV10" s="19">
        <f>'7'!G42</f>
        <v>0</v>
      </c>
      <c r="AW10" s="19">
        <f>'7'!G43</f>
        <v>0</v>
      </c>
      <c r="AX10" s="19">
        <f>'7'!G44</f>
        <v>0</v>
      </c>
      <c r="AY10" s="56">
        <f>'7'!G36</f>
        <v>855</v>
      </c>
      <c r="AZ10" s="55">
        <f>'7'!G49</f>
        <v>3706</v>
      </c>
      <c r="BA10" s="19">
        <f>'7'!G51</f>
        <v>1011</v>
      </c>
      <c r="BB10" s="19">
        <f>'7'!G52</f>
        <v>0</v>
      </c>
      <c r="BC10" s="19">
        <f>'7'!G53</f>
        <v>4329</v>
      </c>
      <c r="BD10" s="19">
        <f>'7'!G54</f>
        <v>165</v>
      </c>
      <c r="BE10" s="19">
        <f>'7'!G55</f>
        <v>3520</v>
      </c>
      <c r="BF10" s="19">
        <f>'7'!G56</f>
        <v>1616</v>
      </c>
      <c r="BG10" s="19">
        <f>'7'!G57</f>
        <v>2960</v>
      </c>
      <c r="BH10" s="56">
        <f>'7'!G50</f>
        <v>1624</v>
      </c>
      <c r="BI10" s="60">
        <f t="shared" si="12"/>
        <v>5136</v>
      </c>
      <c r="BJ10" s="60">
        <f>'7'!G133</f>
        <v>841</v>
      </c>
      <c r="BK10" s="23">
        <f t="shared" si="13"/>
        <v>46.220725307433227</v>
      </c>
      <c r="BL10" s="23">
        <f t="shared" si="14"/>
        <v>16.953865434322864</v>
      </c>
      <c r="BM10" s="24">
        <f t="shared" si="15"/>
        <v>8.9175217357249162E-2</v>
      </c>
      <c r="BN10" s="25">
        <f t="shared" si="16"/>
        <v>363598.98</v>
      </c>
      <c r="BO10" s="38">
        <f t="shared" si="17"/>
        <v>8937</v>
      </c>
      <c r="BP10">
        <f t="shared" si="18"/>
        <v>0.86264478764478769</v>
      </c>
    </row>
    <row r="11" spans="1:69">
      <c r="A11" s="16">
        <v>8</v>
      </c>
      <c r="B11" s="26">
        <v>8</v>
      </c>
      <c r="C11" s="18"/>
      <c r="D11" s="19">
        <f>'8'!D3</f>
        <v>28</v>
      </c>
      <c r="E11" s="50">
        <f>'8'!D4</f>
        <v>0.78</v>
      </c>
      <c r="F11" s="50">
        <f>'8'!D2</f>
        <v>0.92</v>
      </c>
      <c r="G11" s="19">
        <f>'8'!G7</f>
        <v>24829</v>
      </c>
      <c r="H11" s="19">
        <f>'8'!G8</f>
        <v>25069</v>
      </c>
      <c r="I11" s="19">
        <v>9.9700000000000006</v>
      </c>
      <c r="J11" s="49">
        <f t="shared" si="3"/>
        <v>249937.93000000002</v>
      </c>
      <c r="K11" s="45">
        <f t="shared" si="4"/>
        <v>124.10396039603961</v>
      </c>
      <c r="L11" s="19">
        <f>'8'!G15</f>
        <v>1021</v>
      </c>
      <c r="M11" s="19">
        <v>75</v>
      </c>
      <c r="N11" s="45">
        <f t="shared" si="5"/>
        <v>76575</v>
      </c>
      <c r="O11" s="19">
        <f>'8'!G20</f>
        <v>297</v>
      </c>
      <c r="P11" s="19">
        <v>110</v>
      </c>
      <c r="Q11" s="46">
        <f t="shared" si="0"/>
        <v>32670</v>
      </c>
      <c r="R11" s="47">
        <f t="shared" si="1"/>
        <v>159.81489453293156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108</v>
      </c>
      <c r="W11" s="22">
        <f>'8'!G66</f>
        <v>26</v>
      </c>
      <c r="X11" s="22">
        <f>'8'!G67</f>
        <v>29</v>
      </c>
      <c r="Y11" s="22">
        <f t="shared" si="7"/>
        <v>163</v>
      </c>
      <c r="Z11" s="19">
        <f>'8'!G84</f>
        <v>0</v>
      </c>
      <c r="AA11" s="19">
        <f>'8'!G85</f>
        <v>13.449999999999818</v>
      </c>
      <c r="AB11" s="19">
        <f>'8'!G86</f>
        <v>24</v>
      </c>
      <c r="AC11" s="19">
        <f>'8'!G87</f>
        <v>0</v>
      </c>
      <c r="AD11" s="19">
        <f t="shared" si="8"/>
        <v>37.449999999999818</v>
      </c>
      <c r="AE11" s="23">
        <f t="shared" si="2"/>
        <v>7147.6300000000047</v>
      </c>
      <c r="AF11" s="23">
        <f t="shared" si="9"/>
        <v>190.85794392523471</v>
      </c>
      <c r="AG11" s="19">
        <f>'8'!G88</f>
        <v>0</v>
      </c>
      <c r="AH11" s="19">
        <f>'8'!G89</f>
        <v>8.9799999999995634</v>
      </c>
      <c r="AI11" s="19">
        <f>'8'!G90</f>
        <v>11.600000000005821</v>
      </c>
      <c r="AJ11" s="19">
        <f t="shared" si="10"/>
        <v>20.580000000005384</v>
      </c>
      <c r="AK11" s="19">
        <f>'8'!G91</f>
        <v>11.6899999999996</v>
      </c>
      <c r="AL11" s="19">
        <f>'8'!G92</f>
        <v>0.22999999999956344</v>
      </c>
      <c r="AM11" s="19"/>
      <c r="AN11" s="19">
        <f t="shared" si="11"/>
        <v>11.919999999999163</v>
      </c>
      <c r="AO11" s="52">
        <f>'8'!G74</f>
        <v>302</v>
      </c>
      <c r="AP11" s="55">
        <f>'8'!G35</f>
        <v>4.9999999988358468E-2</v>
      </c>
      <c r="AQ11" s="19">
        <f>'8'!G37</f>
        <v>0</v>
      </c>
      <c r="AR11" s="19">
        <f>'8'!G38</f>
        <v>2310</v>
      </c>
      <c r="AS11" s="19">
        <f>'8'!G39</f>
        <v>0.18999999994412065</v>
      </c>
      <c r="AT11" s="19">
        <f>'8'!G40</f>
        <v>720</v>
      </c>
      <c r="AU11" s="19">
        <f>'8'!G41</f>
        <v>1000</v>
      </c>
      <c r="AV11" s="19">
        <f>'8'!G42</f>
        <v>2799</v>
      </c>
      <c r="AW11" s="19">
        <f>'8'!G43</f>
        <v>0</v>
      </c>
      <c r="AX11" s="23">
        <f>'8'!G44</f>
        <v>0</v>
      </c>
      <c r="AY11" s="56">
        <f>'8'!G36</f>
        <v>863</v>
      </c>
      <c r="AZ11" s="55">
        <f>'8'!G49</f>
        <v>3651</v>
      </c>
      <c r="BA11" s="19">
        <f>'8'!G51</f>
        <v>1068</v>
      </c>
      <c r="BB11" s="19">
        <f>'8'!G52</f>
        <v>0</v>
      </c>
      <c r="BC11" s="19">
        <f>'8'!G53</f>
        <v>4330</v>
      </c>
      <c r="BD11" s="19">
        <f>'8'!G54</f>
        <v>169</v>
      </c>
      <c r="BE11" s="19">
        <f>'8'!G55</f>
        <v>3348.6300000000047</v>
      </c>
      <c r="BF11" s="19">
        <f>'8'!G56</f>
        <v>0</v>
      </c>
      <c r="BG11" s="19">
        <f>'8'!G57</f>
        <v>3052</v>
      </c>
      <c r="BH11" s="56">
        <f>'8'!G50</f>
        <v>1247</v>
      </c>
      <c r="BI11" s="60">
        <f t="shared" si="12"/>
        <v>7147.6300000000047</v>
      </c>
      <c r="BJ11" s="60">
        <f>'8'!G133</f>
        <v>775</v>
      </c>
      <c r="BK11" s="23">
        <f t="shared" si="13"/>
        <v>55.250229366947195</v>
      </c>
      <c r="BL11" s="23">
        <f t="shared" si="14"/>
        <v>17.273086281861836</v>
      </c>
      <c r="BM11" s="24">
        <f t="shared" si="15"/>
        <v>9.2145677928916189E-2</v>
      </c>
      <c r="BN11" s="25">
        <f t="shared" si="16"/>
        <v>359182.93000000005</v>
      </c>
      <c r="BO11" s="38">
        <f t="shared" si="17"/>
        <v>10974.630000000005</v>
      </c>
      <c r="BP11">
        <f t="shared" si="18"/>
        <v>1.0465983215716248</v>
      </c>
    </row>
    <row r="12" spans="1:69">
      <c r="A12" s="16">
        <v>9</v>
      </c>
      <c r="B12" s="27">
        <v>9</v>
      </c>
      <c r="C12" s="26"/>
      <c r="D12" s="19">
        <f>'9'!D3</f>
        <v>32</v>
      </c>
      <c r="E12" s="50">
        <f>'9'!D4</f>
        <v>0.7</v>
      </c>
      <c r="F12" s="50">
        <f>'9'!D2</f>
        <v>0.65</v>
      </c>
      <c r="G12" s="19">
        <f>'9'!G7</f>
        <v>25506.880000000005</v>
      </c>
      <c r="H12" s="19">
        <f>'9'!G8</f>
        <v>25853.950000000012</v>
      </c>
      <c r="I12" s="19">
        <v>9.9700000000000006</v>
      </c>
      <c r="J12" s="49">
        <f t="shared" si="3"/>
        <v>257763.88150000013</v>
      </c>
      <c r="K12" s="45">
        <f t="shared" si="4"/>
        <v>127.98985148514858</v>
      </c>
      <c r="L12" s="19">
        <f>'9'!G15</f>
        <v>1093</v>
      </c>
      <c r="M12" s="19">
        <v>75</v>
      </c>
      <c r="N12" s="45">
        <f t="shared" si="5"/>
        <v>81975</v>
      </c>
      <c r="O12" s="19">
        <f>'9'!G20</f>
        <v>332</v>
      </c>
      <c r="P12" s="19">
        <v>110</v>
      </c>
      <c r="Q12" s="46">
        <f t="shared" si="0"/>
        <v>36520</v>
      </c>
      <c r="R12" s="47">
        <f t="shared" si="1"/>
        <v>252.85605483625284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105</v>
      </c>
      <c r="W12" s="22">
        <f>'9'!G66</f>
        <v>12</v>
      </c>
      <c r="X12" s="22">
        <f>'9'!G67</f>
        <v>17</v>
      </c>
      <c r="Y12" s="22">
        <f t="shared" si="7"/>
        <v>134</v>
      </c>
      <c r="Z12" s="19">
        <f>'9'!G84</f>
        <v>-0.31999999999970896</v>
      </c>
      <c r="AA12" s="19">
        <f>'9'!G85</f>
        <v>15.600000000000364</v>
      </c>
      <c r="AB12" s="19">
        <f>'9'!G86</f>
        <v>24.410000000003492</v>
      </c>
      <c r="AC12" s="19">
        <f>'9'!G87</f>
        <v>0.16000000000349246</v>
      </c>
      <c r="AD12" s="19">
        <f t="shared" si="8"/>
        <v>39.85000000000764</v>
      </c>
      <c r="AE12" s="23">
        <f t="shared" si="2"/>
        <v>6669.6500000000524</v>
      </c>
      <c r="AF12" s="23">
        <f t="shared" si="9"/>
        <v>167.36888331239081</v>
      </c>
      <c r="AG12" s="19">
        <f>'9'!G88</f>
        <v>1.9499999999970896</v>
      </c>
      <c r="AH12" s="19">
        <f>'9'!G89</f>
        <v>9.180000000000291</v>
      </c>
      <c r="AI12" s="19">
        <f>'9'!G90</f>
        <v>9.3999999999941792</v>
      </c>
      <c r="AJ12" s="19">
        <f t="shared" si="10"/>
        <v>20.52999999999156</v>
      </c>
      <c r="AK12" s="19">
        <f>'9'!G91</f>
        <v>12.130000000000109</v>
      </c>
      <c r="AL12" s="19">
        <f>'9'!G92</f>
        <v>0</v>
      </c>
      <c r="AM12" s="19"/>
      <c r="AN12" s="19">
        <f t="shared" si="11"/>
        <v>12.130000000000109</v>
      </c>
      <c r="AO12" s="52">
        <f>'9'!G74</f>
        <v>313.02000000001863</v>
      </c>
      <c r="AP12" s="55">
        <f>'9'!G35</f>
        <v>1179.140000000014</v>
      </c>
      <c r="AQ12" s="19">
        <f>'9'!G37</f>
        <v>0</v>
      </c>
      <c r="AR12" s="19">
        <f>'9'!G38</f>
        <v>2271.7099999999627</v>
      </c>
      <c r="AS12" s="19">
        <f>'9'!G39</f>
        <v>0</v>
      </c>
      <c r="AT12" s="19">
        <f>'9'!G40</f>
        <v>618.45999999999185</v>
      </c>
      <c r="AU12" s="19">
        <f>'9'!G41</f>
        <v>0</v>
      </c>
      <c r="AV12" s="19">
        <f>'9'!G42</f>
        <v>3196.4300000000512</v>
      </c>
      <c r="AW12" s="19">
        <f>'9'!G43</f>
        <v>0</v>
      </c>
      <c r="AX12" s="23">
        <f>'9'!G44</f>
        <v>0</v>
      </c>
      <c r="AY12" s="56">
        <f>'9'!G36</f>
        <v>858.42999999999302</v>
      </c>
      <c r="AZ12" s="55">
        <f>'9'!G49</f>
        <v>2406.5899999999674</v>
      </c>
      <c r="BA12" s="19">
        <f>'9'!G51</f>
        <v>1033.5899999999965</v>
      </c>
      <c r="BB12" s="19">
        <f>'9'!G52</f>
        <v>0</v>
      </c>
      <c r="BC12" s="19">
        <f>'9'!G53</f>
        <v>4016.2299999999814</v>
      </c>
      <c r="BD12" s="19">
        <f>'9'!G54</f>
        <v>171.94000000000233</v>
      </c>
      <c r="BE12" s="19">
        <f>'9'!G55</f>
        <v>3472.8800000000047</v>
      </c>
      <c r="BF12" s="19">
        <f>'9'!G56</f>
        <v>0.33999999999650754</v>
      </c>
      <c r="BG12" s="19">
        <f>'9'!G57</f>
        <v>3267.0300000000279</v>
      </c>
      <c r="BH12" s="56">
        <f>'9'!G50</f>
        <v>1563.1500000000233</v>
      </c>
      <c r="BI12" s="60">
        <f t="shared" si="12"/>
        <v>6669.6500000000524</v>
      </c>
      <c r="BJ12" s="60">
        <f>'8'!G133</f>
        <v>775</v>
      </c>
      <c r="BK12" s="23">
        <f t="shared" si="13"/>
        <v>52.30307167763555</v>
      </c>
      <c r="BL12" s="23">
        <f t="shared" si="14"/>
        <v>15.534299401058561</v>
      </c>
      <c r="BM12" s="24">
        <f t="shared" si="15"/>
        <v>8.7867037725375102E-2</v>
      </c>
      <c r="BN12" s="25">
        <f t="shared" si="16"/>
        <v>376258.88150000013</v>
      </c>
      <c r="BO12" s="38">
        <f t="shared" si="17"/>
        <v>10711.68000000008</v>
      </c>
      <c r="BP12">
        <f t="shared" si="18"/>
        <v>0.95999999999982311</v>
      </c>
    </row>
    <row r="13" spans="1:69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0.35</v>
      </c>
      <c r="G13" s="19">
        <f>'10'!G7</f>
        <v>25354.440000000002</v>
      </c>
      <c r="H13" s="19">
        <f>'10'!G8</f>
        <v>25692.01999999996</v>
      </c>
      <c r="I13" s="19">
        <v>9.9700000000000006</v>
      </c>
      <c r="J13" s="49">
        <f t="shared" si="3"/>
        <v>256149.43939999962</v>
      </c>
      <c r="K13" s="45">
        <f t="shared" si="4"/>
        <v>127.18821782178198</v>
      </c>
      <c r="L13" s="19">
        <f>'10'!G15</f>
        <v>1003.9199999999255</v>
      </c>
      <c r="M13" s="19">
        <v>75</v>
      </c>
      <c r="N13" s="45">
        <f t="shared" si="5"/>
        <v>75293.999999994412</v>
      </c>
      <c r="O13" s="19">
        <f>'10'!G20</f>
        <v>230</v>
      </c>
      <c r="P13" s="19">
        <v>110</v>
      </c>
      <c r="Q13" s="46">
        <f t="shared" si="0"/>
        <v>25300</v>
      </c>
      <c r="R13" s="47">
        <f t="shared" si="1"/>
        <v>325.31824611032539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98</v>
      </c>
      <c r="W13" s="22">
        <f>'10'!G66</f>
        <v>11</v>
      </c>
      <c r="X13" s="22">
        <f>'10'!G67</f>
        <v>23</v>
      </c>
      <c r="Y13" s="22">
        <f t="shared" si="7"/>
        <v>132</v>
      </c>
      <c r="Z13" s="19">
        <f>'10'!G84</f>
        <v>0</v>
      </c>
      <c r="AA13" s="19">
        <f>'10'!G85</f>
        <v>1.0000000000218279E-2</v>
      </c>
      <c r="AB13" s="19">
        <f>'10'!G86</f>
        <v>24.429999999993015</v>
      </c>
      <c r="AC13" s="19">
        <f>'10'!G87</f>
        <v>12.279999999998836</v>
      </c>
      <c r="AD13" s="19">
        <f t="shared" si="8"/>
        <v>36.719999999992069</v>
      </c>
      <c r="AE13" s="23">
        <f t="shared" si="2"/>
        <v>5322.5899999999383</v>
      </c>
      <c r="AF13" s="23">
        <f t="shared" si="9"/>
        <v>144.9507080610318</v>
      </c>
      <c r="AG13" s="19">
        <f>'10'!G88</f>
        <v>0</v>
      </c>
      <c r="AH13" s="19">
        <f>'10'!G89</f>
        <v>8.6899999999986903</v>
      </c>
      <c r="AI13" s="19">
        <f>'10'!G90</f>
        <v>9.8999999999941792</v>
      </c>
      <c r="AJ13" s="19">
        <f t="shared" si="10"/>
        <v>18.58999999999287</v>
      </c>
      <c r="AK13" s="19">
        <f>'10'!G91</f>
        <v>12.360000000000582</v>
      </c>
      <c r="AL13" s="19">
        <f>'10'!G92</f>
        <v>0</v>
      </c>
      <c r="AM13" s="19"/>
      <c r="AN13" s="19">
        <f t="shared" si="11"/>
        <v>12.360000000000582</v>
      </c>
      <c r="AO13" s="52">
        <f>'10'!G74</f>
        <v>320.61999999999534</v>
      </c>
      <c r="AP13" s="55">
        <f>'10'!G35</f>
        <v>1904.6000000000058</v>
      </c>
      <c r="AQ13" s="19">
        <f>'10'!G37</f>
        <v>0</v>
      </c>
      <c r="AR13" s="19">
        <f>'10'!G38</f>
        <v>2128.3200000000652</v>
      </c>
      <c r="AS13" s="19">
        <f>'10'!G39</f>
        <v>0</v>
      </c>
      <c r="AT13" s="19">
        <f>'10'!G40</f>
        <v>733.85000000000582</v>
      </c>
      <c r="AU13" s="19">
        <f>'10'!G41</f>
        <v>0</v>
      </c>
      <c r="AV13" s="19">
        <f>'10'!G42</f>
        <v>34.479999999981374</v>
      </c>
      <c r="AW13" s="19">
        <f>'10'!G43</f>
        <v>0</v>
      </c>
      <c r="AX13" s="23">
        <f>'10'!G44</f>
        <v>0</v>
      </c>
      <c r="AY13" s="56">
        <f>'10'!G36</f>
        <v>777.17999999999302</v>
      </c>
      <c r="AZ13" s="55">
        <f>'10'!G49</f>
        <v>1604.0800000000745</v>
      </c>
      <c r="BA13" s="19">
        <f>'10'!G51</f>
        <v>1043.5599999999977</v>
      </c>
      <c r="BB13" s="19">
        <f>'10'!G52</f>
        <v>0</v>
      </c>
      <c r="BC13" s="19">
        <f>'10'!G53</f>
        <v>4009.1199999999953</v>
      </c>
      <c r="BD13" s="19">
        <f>'10'!G54</f>
        <v>168.72999999999593</v>
      </c>
      <c r="BE13" s="19">
        <f>'10'!G55</f>
        <v>3592.8399999999674</v>
      </c>
      <c r="BF13" s="19">
        <f>'10'!G56</f>
        <v>1695.2699999999895</v>
      </c>
      <c r="BG13" s="19">
        <f>'10'!G57</f>
        <v>3088.4399999999441</v>
      </c>
      <c r="BH13" s="56">
        <f>'10'!G50</f>
        <v>1987.3199999999488</v>
      </c>
      <c r="BI13" s="60">
        <f t="shared" si="12"/>
        <v>5322.5899999999383</v>
      </c>
      <c r="BJ13" s="60">
        <f>'8'!G133</f>
        <v>775</v>
      </c>
      <c r="BK13" s="23">
        <f t="shared" si="13"/>
        <v>46.39460034672237</v>
      </c>
      <c r="BL13" s="23">
        <f t="shared" si="14"/>
        <v>15.604534014841967</v>
      </c>
      <c r="BM13" s="24">
        <f t="shared" si="15"/>
        <v>8.2839730001769751E-2</v>
      </c>
      <c r="BN13" s="25">
        <f t="shared" si="16"/>
        <v>356743.43939999404</v>
      </c>
      <c r="BO13" s="38">
        <f t="shared" si="17"/>
        <v>9186.0299999998824</v>
      </c>
      <c r="BP13">
        <f t="shared" si="18"/>
        <v>0.8934436274511619</v>
      </c>
    </row>
    <row r="14" spans="1:69">
      <c r="A14" s="16">
        <v>11</v>
      </c>
      <c r="B14" s="17">
        <v>11</v>
      </c>
      <c r="C14" s="27"/>
      <c r="D14" s="19">
        <f>'11'!D3</f>
        <v>26</v>
      </c>
      <c r="E14" s="50">
        <f>'11'!D4</f>
        <v>0.95</v>
      </c>
      <c r="F14" s="50">
        <f>'11'!D2</f>
        <v>0.4</v>
      </c>
      <c r="G14" s="19">
        <f>'11'!G7</f>
        <v>24938.079999999987</v>
      </c>
      <c r="H14" s="19">
        <f>'11'!G8</f>
        <v>25252.900000000023</v>
      </c>
      <c r="I14" s="19">
        <v>9.9700000000000006</v>
      </c>
      <c r="J14" s="49">
        <f t="shared" si="3"/>
        <v>251771.41300000026</v>
      </c>
      <c r="K14" s="45">
        <f t="shared" si="4"/>
        <v>125.01435643564368</v>
      </c>
      <c r="L14" s="19">
        <f>'11'!G15</f>
        <v>1018.7000000001863</v>
      </c>
      <c r="M14" s="19">
        <v>75</v>
      </c>
      <c r="N14" s="45">
        <f t="shared" si="5"/>
        <v>76402.50000001397</v>
      </c>
      <c r="O14" s="19">
        <f>'11'!G20</f>
        <v>335</v>
      </c>
      <c r="P14" s="19">
        <v>110</v>
      </c>
      <c r="Q14" s="46">
        <f t="shared" si="0"/>
        <v>36850</v>
      </c>
      <c r="R14" s="47">
        <f t="shared" si="1"/>
        <v>414.6039603960395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95</v>
      </c>
      <c r="W14" s="22">
        <f>'11'!G66</f>
        <v>11</v>
      </c>
      <c r="X14" s="22">
        <f>'11'!G67</f>
        <v>22</v>
      </c>
      <c r="Y14" s="22">
        <f t="shared" si="7"/>
        <v>128</v>
      </c>
      <c r="Z14" s="19">
        <f>'11'!G84</f>
        <v>0</v>
      </c>
      <c r="AA14" s="19">
        <f>'11'!G85</f>
        <v>0</v>
      </c>
      <c r="AB14" s="19">
        <f>'11'!G86</f>
        <v>23.740000000005239</v>
      </c>
      <c r="AC14" s="19">
        <f>'11'!G87</f>
        <v>11.57999999999447</v>
      </c>
      <c r="AD14" s="19">
        <f t="shared" si="8"/>
        <v>35.319999999999709</v>
      </c>
      <c r="AE14" s="23">
        <f t="shared" si="2"/>
        <v>5153.3700000000827</v>
      </c>
      <c r="AF14" s="23">
        <f t="shared" si="9"/>
        <v>145.90515288788575</v>
      </c>
      <c r="AG14" s="19">
        <f>'11'!G88</f>
        <v>0</v>
      </c>
      <c r="AH14" s="19">
        <f>'11'!G89</f>
        <v>8.5500000000029104</v>
      </c>
      <c r="AI14" s="19">
        <f>'11'!G90</f>
        <v>9.0299999999988358</v>
      </c>
      <c r="AJ14" s="19">
        <f t="shared" si="10"/>
        <v>17.580000000001746</v>
      </c>
      <c r="AK14" s="19">
        <f>'11'!G91</f>
        <v>11.420000000000073</v>
      </c>
      <c r="AL14" s="19">
        <f>'11'!G92</f>
        <v>0</v>
      </c>
      <c r="AM14" s="19"/>
      <c r="AN14" s="19">
        <f t="shared" si="11"/>
        <v>11.420000000000073</v>
      </c>
      <c r="AO14" s="52">
        <f>'11'!G74</f>
        <v>297.17000000004191</v>
      </c>
      <c r="AP14" s="55">
        <f>'11'!G35</f>
        <v>1819.1600000000035</v>
      </c>
      <c r="AQ14" s="19">
        <f>'11'!G37</f>
        <v>0</v>
      </c>
      <c r="AR14" s="19">
        <f>'11'!G38</f>
        <v>2187.640000000014</v>
      </c>
      <c r="AS14" s="19">
        <f>'11'!G39</f>
        <v>0</v>
      </c>
      <c r="AT14" s="19">
        <f>'11'!G40</f>
        <v>727.80999999999767</v>
      </c>
      <c r="AU14" s="19">
        <f>'11'!G41</f>
        <v>0</v>
      </c>
      <c r="AV14" s="19">
        <f>'11'!G42</f>
        <v>0</v>
      </c>
      <c r="AW14" s="19">
        <f>'11'!G43</f>
        <v>0</v>
      </c>
      <c r="AX14" s="23">
        <f>'11'!G44</f>
        <v>0</v>
      </c>
      <c r="AY14" s="56">
        <f>'11'!G36</f>
        <v>1047.2999999999884</v>
      </c>
      <c r="AZ14" s="55">
        <f>'11'!G49</f>
        <v>1667.4399999999441</v>
      </c>
      <c r="BA14" s="19">
        <f>'11'!G51</f>
        <v>1017.0900000000111</v>
      </c>
      <c r="BB14" s="19">
        <f>'11'!G52</f>
        <v>0</v>
      </c>
      <c r="BC14" s="19">
        <f>'11'!G53</f>
        <v>4276.320000000007</v>
      </c>
      <c r="BD14" s="19">
        <f>'11'!G54</f>
        <v>139.25</v>
      </c>
      <c r="BE14" s="19">
        <f>'11'!G55</f>
        <v>3642.2000000000698</v>
      </c>
      <c r="BF14" s="19">
        <f>'11'!G56</f>
        <v>1511.1700000000128</v>
      </c>
      <c r="BG14" s="19">
        <f>'11'!G57</f>
        <v>2778</v>
      </c>
      <c r="BH14" s="56">
        <f>'11'!G50</f>
        <v>1539.8000000000466</v>
      </c>
      <c r="BI14" s="60">
        <f t="shared" si="12"/>
        <v>5153.3700000000827</v>
      </c>
      <c r="BJ14" s="60">
        <f>'11'!G133</f>
        <v>879.73999999999069</v>
      </c>
      <c r="BK14" s="23">
        <f t="shared" si="13"/>
        <v>45.21449021696526</v>
      </c>
      <c r="BL14" s="23">
        <f t="shared" si="14"/>
        <v>16.933975899797659</v>
      </c>
      <c r="BM14" s="24">
        <f t="shared" si="15"/>
        <v>8.6629258421805494E-2</v>
      </c>
      <c r="BN14" s="25">
        <f t="shared" si="16"/>
        <v>365023.91300001426</v>
      </c>
      <c r="BO14" s="38">
        <f t="shared" si="17"/>
        <v>8811.1100000000733</v>
      </c>
      <c r="BP14">
        <f t="shared" si="18"/>
        <v>0.89094705549265352</v>
      </c>
    </row>
    <row r="15" spans="1:69">
      <c r="A15" s="16">
        <v>12</v>
      </c>
      <c r="B15" s="26">
        <v>12</v>
      </c>
      <c r="C15" s="27"/>
      <c r="D15" s="19">
        <f>'12'!D3</f>
        <v>30</v>
      </c>
      <c r="E15" s="50">
        <f>'12'!D4</f>
        <v>0.77</v>
      </c>
      <c r="F15" s="50">
        <f>'12'!D2</f>
        <v>0.6</v>
      </c>
      <c r="G15" s="19">
        <f>'12'!G7</f>
        <v>24541.99000000002</v>
      </c>
      <c r="H15" s="19">
        <f>'12'!G8</f>
        <v>24898.200000000012</v>
      </c>
      <c r="I15" s="19">
        <v>9.9700000000000006</v>
      </c>
      <c r="J15" s="49">
        <f t="shared" si="3"/>
        <v>248235.05400000012</v>
      </c>
      <c r="K15" s="45">
        <f t="shared" si="4"/>
        <v>123.25841584158421</v>
      </c>
      <c r="L15" s="19">
        <f>'12'!G15</f>
        <v>1030.0099999997765</v>
      </c>
      <c r="M15" s="19">
        <v>75</v>
      </c>
      <c r="N15" s="41">
        <f t="shared" si="5"/>
        <v>77250.749999983236</v>
      </c>
      <c r="O15" s="19">
        <f>'12'!G20</f>
        <v>307</v>
      </c>
      <c r="P15" s="19">
        <v>110</v>
      </c>
      <c r="Q15" s="46">
        <f t="shared" si="0"/>
        <v>33770</v>
      </c>
      <c r="R15" s="47">
        <f t="shared" si="1"/>
        <v>253.30033003300332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123</v>
      </c>
      <c r="W15" s="22">
        <f>'12'!G66</f>
        <v>9</v>
      </c>
      <c r="X15" s="22">
        <f>'12'!G67</f>
        <v>14</v>
      </c>
      <c r="Y15" s="22">
        <f t="shared" si="7"/>
        <v>146</v>
      </c>
      <c r="Z15" s="19">
        <f>'12'!G84</f>
        <v>0</v>
      </c>
      <c r="AA15" s="19">
        <f>'12'!G85</f>
        <v>0</v>
      </c>
      <c r="AB15" s="19">
        <f>'12'!G86</f>
        <v>24.439999999995052</v>
      </c>
      <c r="AC15" s="19">
        <f>'12'!G87</f>
        <v>11.290000000000873</v>
      </c>
      <c r="AD15" s="19">
        <f t="shared" si="8"/>
        <v>35.729999999995925</v>
      </c>
      <c r="AE15" s="23">
        <f t="shared" si="2"/>
        <v>4875.7099999999627</v>
      </c>
      <c r="AF15" s="23">
        <f t="shared" si="9"/>
        <v>136.45983767143909</v>
      </c>
      <c r="AG15" s="19">
        <f>'12'!G88</f>
        <v>0</v>
      </c>
      <c r="AH15" s="19">
        <f>'12'!G89</f>
        <v>9.1199999999989814</v>
      </c>
      <c r="AI15" s="19">
        <f>'12'!G90</f>
        <v>10.120000000009895</v>
      </c>
      <c r="AJ15" s="19">
        <f t="shared" si="10"/>
        <v>19.240000000008877</v>
      </c>
      <c r="AK15" s="19">
        <f>'12'!G91</f>
        <v>11.239999999999782</v>
      </c>
      <c r="AL15" s="19">
        <f>'12'!G92</f>
        <v>0</v>
      </c>
      <c r="AM15" s="19"/>
      <c r="AN15" s="19">
        <f t="shared" si="11"/>
        <v>11.239999999999782</v>
      </c>
      <c r="AO15" s="52">
        <f>'12'!G74</f>
        <v>292.21999999997206</v>
      </c>
      <c r="AP15" s="55">
        <f>'12'!G35</f>
        <v>1838.5999999999767</v>
      </c>
      <c r="AQ15" s="19">
        <f>'12'!G37</f>
        <v>0</v>
      </c>
      <c r="AR15" s="19">
        <f>'12'!G38</f>
        <v>2223.3999999999069</v>
      </c>
      <c r="AS15" s="19">
        <f>'12'!G39</f>
        <v>0</v>
      </c>
      <c r="AT15" s="19">
        <f>'12'!G40</f>
        <v>723.02000000001863</v>
      </c>
      <c r="AU15" s="19">
        <f>'12'!G41</f>
        <v>0</v>
      </c>
      <c r="AV15" s="19">
        <f>'12'!G42</f>
        <v>0</v>
      </c>
      <c r="AW15" s="19">
        <f>'12'!G43</f>
        <v>0</v>
      </c>
      <c r="AX15" s="23">
        <f>'12'!G44</f>
        <v>0</v>
      </c>
      <c r="AY15" s="56">
        <f>'12'!G36</f>
        <v>1019.640000000014</v>
      </c>
      <c r="AZ15" s="55">
        <f>'12'!G49</f>
        <v>1630.3200000000652</v>
      </c>
      <c r="BA15" s="19">
        <f>'12'!G51</f>
        <v>1007.5999999999913</v>
      </c>
      <c r="BB15" s="19">
        <f>'12'!G52</f>
        <v>0</v>
      </c>
      <c r="BC15" s="19">
        <f>'12'!G53</f>
        <v>4336.1600000000326</v>
      </c>
      <c r="BD15" s="19">
        <f>'12'!G54</f>
        <v>1.8699999999953434</v>
      </c>
      <c r="BE15" s="19">
        <f>'12'!G55</f>
        <v>3439.0799999999581</v>
      </c>
      <c r="BF15" s="19">
        <f>'12'!G56</f>
        <v>1436.6300000000047</v>
      </c>
      <c r="BG15" s="19">
        <f>'12'!G57</f>
        <v>2783.4400000000023</v>
      </c>
      <c r="BH15" s="56">
        <f>'12'!G50</f>
        <v>1507.8800000000047</v>
      </c>
      <c r="BI15" s="60">
        <f t="shared" si="12"/>
        <v>4875.7099999999627</v>
      </c>
      <c r="BJ15" s="60">
        <f>'12'!G133</f>
        <v>952.79999999998836</v>
      </c>
      <c r="BK15" s="23">
        <f t="shared" si="13"/>
        <v>44.694275088158989</v>
      </c>
      <c r="BL15" s="23">
        <f t="shared" si="14"/>
        <v>17.415556144621018</v>
      </c>
      <c r="BM15" s="24">
        <f t="shared" si="15"/>
        <v>8.9299628085560634E-2</v>
      </c>
      <c r="BN15" s="25">
        <f t="shared" si="16"/>
        <v>359255.80399998336</v>
      </c>
      <c r="BO15" s="38">
        <f t="shared" si="17"/>
        <v>8611.9499999999534</v>
      </c>
      <c r="BP15">
        <f t="shared" si="18"/>
        <v>0.86081624085411779</v>
      </c>
    </row>
    <row r="16" spans="1:69">
      <c r="A16" s="16">
        <v>13</v>
      </c>
      <c r="B16" s="26">
        <v>13</v>
      </c>
      <c r="C16" s="26"/>
      <c r="D16" s="19">
        <f>'13'!D3</f>
        <v>27</v>
      </c>
      <c r="E16" s="50">
        <f>'13'!D4</f>
        <v>0.9</v>
      </c>
      <c r="F16" s="50">
        <f>'13'!D2</f>
        <v>0.48</v>
      </c>
      <c r="G16" s="19">
        <f>'13'!G7</f>
        <v>24531.609999999986</v>
      </c>
      <c r="H16" s="19">
        <f>'13'!G8</f>
        <v>24813.929999999993</v>
      </c>
      <c r="I16" s="19">
        <v>9.9700000000000006</v>
      </c>
      <c r="J16" s="49">
        <f t="shared" si="3"/>
        <v>247394.88209999996</v>
      </c>
      <c r="K16" s="45">
        <f t="shared" si="4"/>
        <v>122.84123762376234</v>
      </c>
      <c r="L16" s="19">
        <f>'13'!G15</f>
        <v>1072.3700000001118</v>
      </c>
      <c r="M16" s="19">
        <v>75</v>
      </c>
      <c r="N16" s="41">
        <f t="shared" si="5"/>
        <v>80427.750000008382</v>
      </c>
      <c r="O16" s="19">
        <f>'13'!G20</f>
        <v>309</v>
      </c>
      <c r="P16" s="19">
        <v>110</v>
      </c>
      <c r="Q16" s="46">
        <f t="shared" si="0"/>
        <v>33990</v>
      </c>
      <c r="R16" s="47">
        <f t="shared" si="1"/>
        <v>318.68811881188122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113</v>
      </c>
      <c r="W16" s="22">
        <f>'13'!G66</f>
        <v>9</v>
      </c>
      <c r="X16" s="22">
        <f>'13'!G67</f>
        <v>19</v>
      </c>
      <c r="Y16" s="22">
        <f t="shared" si="7"/>
        <v>141</v>
      </c>
      <c r="Z16" s="19">
        <f>'13'!G84</f>
        <v>0</v>
      </c>
      <c r="AA16" s="19">
        <f>'13'!G85</f>
        <v>0</v>
      </c>
      <c r="AB16" s="19">
        <f>'13'!G86</f>
        <v>23.980000000003201</v>
      </c>
      <c r="AC16" s="19">
        <f>'13'!G87</f>
        <v>11.690000000002328</v>
      </c>
      <c r="AD16" s="19">
        <f t="shared" si="8"/>
        <v>35.67000000000553</v>
      </c>
      <c r="AE16" s="23">
        <f t="shared" si="2"/>
        <v>4786.9599999999919</v>
      </c>
      <c r="AF16" s="23">
        <f t="shared" si="9"/>
        <v>134.20128959908186</v>
      </c>
      <c r="AG16" s="19">
        <f>'13'!G88</f>
        <v>1.4400000000023283</v>
      </c>
      <c r="AH16" s="19">
        <f>'13'!G89</f>
        <v>7.6399999999994179</v>
      </c>
      <c r="AI16" s="19">
        <f>'13'!G90</f>
        <v>10.669999999998254</v>
      </c>
      <c r="AJ16" s="19">
        <f t="shared" si="10"/>
        <v>19.75</v>
      </c>
      <c r="AK16" s="19">
        <f>'13'!G91</f>
        <v>11.139999999999418</v>
      </c>
      <c r="AL16" s="19">
        <f>'13'!G92</f>
        <v>0</v>
      </c>
      <c r="AM16" s="19"/>
      <c r="AN16" s="19">
        <f t="shared" si="11"/>
        <v>11.139999999999418</v>
      </c>
      <c r="AO16" s="52">
        <f>'13'!G74</f>
        <v>289.96999999997206</v>
      </c>
      <c r="AP16" s="55">
        <f>'13'!G35</f>
        <v>1897.4500000000116</v>
      </c>
      <c r="AQ16" s="19">
        <f>'13'!G37</f>
        <v>0.30999999999767169</v>
      </c>
      <c r="AR16" s="19">
        <f>'13'!G38</f>
        <v>2231.9300000000512</v>
      </c>
      <c r="AS16" s="19">
        <f>'13'!G39</f>
        <v>0</v>
      </c>
      <c r="AT16" s="19">
        <f>'13'!G40</f>
        <v>796.85999999998603</v>
      </c>
      <c r="AU16" s="19">
        <f>'13'!G41</f>
        <v>0</v>
      </c>
      <c r="AV16" s="19">
        <f>'13'!G42</f>
        <v>0</v>
      </c>
      <c r="AW16" s="19">
        <f>'13'!G43</f>
        <v>0</v>
      </c>
      <c r="AX16" s="23">
        <f>'13'!G44</f>
        <v>0</v>
      </c>
      <c r="AY16" s="56">
        <f>'13'!G36</f>
        <v>870.45000000001164</v>
      </c>
      <c r="AZ16" s="55">
        <f>'13'!G49</f>
        <v>1785.5699999999488</v>
      </c>
      <c r="BA16" s="19">
        <f>'13'!G51</f>
        <v>989.16000000000349</v>
      </c>
      <c r="BB16" s="19">
        <f>'13'!G52</f>
        <v>0</v>
      </c>
      <c r="BC16" s="19">
        <f>'13'!G53</f>
        <v>4038.1699999999837</v>
      </c>
      <c r="BD16" s="19">
        <f>'13'!G54</f>
        <v>0</v>
      </c>
      <c r="BE16" s="19">
        <f>'13'!G55</f>
        <v>3328.3699999999953</v>
      </c>
      <c r="BF16" s="19">
        <f>'13'!G56</f>
        <v>1458.5899999999965</v>
      </c>
      <c r="BG16" s="19">
        <f>'13'!G57</f>
        <v>2808.0900000000256</v>
      </c>
      <c r="BH16" s="56">
        <f>'13'!G50</f>
        <v>2066.8499999999767</v>
      </c>
      <c r="BI16" s="60">
        <f t="shared" si="12"/>
        <v>4786.9599999999919</v>
      </c>
      <c r="BJ16" s="60">
        <f>'13'!G133</f>
        <v>1033.1900000000023</v>
      </c>
      <c r="BK16" s="23">
        <f t="shared" si="13"/>
        <v>45.450559423678477</v>
      </c>
      <c r="BL16" s="23">
        <f t="shared" si="14"/>
        <v>16.273802658426071</v>
      </c>
      <c r="BM16" s="24">
        <f t="shared" si="15"/>
        <v>8.9946654963564895E-2</v>
      </c>
      <c r="BN16" s="25">
        <f t="shared" si="16"/>
        <v>361812.63210000831</v>
      </c>
      <c r="BO16" s="38">
        <f t="shared" si="17"/>
        <v>8628.2400000000198</v>
      </c>
      <c r="BP16">
        <f t="shared" si="18"/>
        <v>0.86389523008517388</v>
      </c>
    </row>
    <row r="17" spans="1:68">
      <c r="A17" s="16">
        <v>14</v>
      </c>
      <c r="B17" s="17">
        <v>14</v>
      </c>
      <c r="C17" s="27"/>
      <c r="D17" s="19">
        <f>'14'!D3</f>
        <v>27</v>
      </c>
      <c r="E17" s="50">
        <f>'14'!D4</f>
        <v>0.9</v>
      </c>
      <c r="F17" s="50">
        <f>'14'!D2</f>
        <v>0.52</v>
      </c>
      <c r="G17" s="19">
        <f>'14'!G7</f>
        <v>25568</v>
      </c>
      <c r="H17" s="19">
        <f>'14'!G8</f>
        <v>25893</v>
      </c>
      <c r="I17" s="19">
        <v>9.9700000000000006</v>
      </c>
      <c r="J17" s="49">
        <f t="shared" si="3"/>
        <v>258153.21000000002</v>
      </c>
      <c r="K17" s="45">
        <f t="shared" si="4"/>
        <v>128.18316831683168</v>
      </c>
      <c r="L17" s="19">
        <f>'14'!G15</f>
        <v>1198</v>
      </c>
      <c r="M17" s="19">
        <v>75</v>
      </c>
      <c r="N17" s="41">
        <f t="shared" si="5"/>
        <v>89850</v>
      </c>
      <c r="O17" s="19">
        <f>'14'!G20</f>
        <v>267</v>
      </c>
      <c r="P17" s="19">
        <v>110</v>
      </c>
      <c r="Q17" s="46">
        <f t="shared" si="0"/>
        <v>29370</v>
      </c>
      <c r="R17" s="47">
        <f t="shared" si="1"/>
        <v>254.1888804265042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118</v>
      </c>
      <c r="W17" s="22">
        <f>'14'!G66</f>
        <v>18</v>
      </c>
      <c r="X17" s="22">
        <f>'14'!G67</f>
        <v>16</v>
      </c>
      <c r="Y17" s="22">
        <f>V17+W17+X17</f>
        <v>152</v>
      </c>
      <c r="Z17" s="19">
        <f>'14'!G84</f>
        <v>0</v>
      </c>
      <c r="AA17" s="19">
        <f>'14'!G85</f>
        <v>0</v>
      </c>
      <c r="AB17" s="19">
        <f>'14'!G86</f>
        <v>24</v>
      </c>
      <c r="AC17" s="19">
        <f>'14'!G87</f>
        <v>14</v>
      </c>
      <c r="AD17" s="19">
        <f t="shared" si="8"/>
        <v>38</v>
      </c>
      <c r="AE17" s="23">
        <f t="shared" si="2"/>
        <v>5095.0899999999674</v>
      </c>
      <c r="AF17" s="23">
        <f t="shared" si="9"/>
        <v>134.08131578947282</v>
      </c>
      <c r="AG17" s="19">
        <f>'14'!G88</f>
        <v>0.82999999999810825</v>
      </c>
      <c r="AH17" s="19">
        <f>'14'!G89</f>
        <v>9</v>
      </c>
      <c r="AI17" s="19">
        <f>'14'!G90</f>
        <v>13.350000000005821</v>
      </c>
      <c r="AJ17" s="19">
        <f t="shared" si="10"/>
        <v>23.180000000003929</v>
      </c>
      <c r="AK17" s="19">
        <f>'14'!G91</f>
        <v>11.270000000000437</v>
      </c>
      <c r="AL17" s="19">
        <f>'14'!G92</f>
        <v>0</v>
      </c>
      <c r="AM17" s="19"/>
      <c r="AN17" s="19">
        <f t="shared" si="11"/>
        <v>11.270000000000437</v>
      </c>
      <c r="AO17" s="52">
        <f>'14'!G44</f>
        <v>0</v>
      </c>
      <c r="AP17" s="55">
        <f>'14'!G35</f>
        <v>1949</v>
      </c>
      <c r="AQ17" s="19">
        <f>'14'!G37</f>
        <v>0</v>
      </c>
      <c r="AR17" s="19">
        <f>'14'!G38</f>
        <v>2349</v>
      </c>
      <c r="AS17" s="19">
        <f>'14'!G39</f>
        <v>-0.18999999994412065</v>
      </c>
      <c r="AT17" s="19">
        <f>'14'!G40</f>
        <v>840</v>
      </c>
      <c r="AU17" s="19">
        <f>'14'!G41</f>
        <v>0</v>
      </c>
      <c r="AV17" s="19">
        <f>'14'!G42</f>
        <v>8.999999996740371E-2</v>
      </c>
      <c r="AW17" s="19">
        <f>'14'!G43</f>
        <v>0</v>
      </c>
      <c r="AX17" s="23">
        <f>'14'!G44</f>
        <v>0</v>
      </c>
      <c r="AY17" s="56">
        <f>'14'!G36</f>
        <v>1103</v>
      </c>
      <c r="AZ17" s="55">
        <f>'14'!G49</f>
        <v>1784</v>
      </c>
      <c r="BA17" s="19">
        <f>'14'!G51</f>
        <v>1049</v>
      </c>
      <c r="BB17" s="19">
        <f>'14'!G52</f>
        <v>0.24000000000000021</v>
      </c>
      <c r="BC17" s="19">
        <f>'14'!G53</f>
        <v>4082</v>
      </c>
      <c r="BD17" s="19">
        <f>'14'!G54</f>
        <v>0.21000000000640284</v>
      </c>
      <c r="BE17" s="19">
        <f>'14'!G55</f>
        <v>3346</v>
      </c>
      <c r="BF17" s="19">
        <f>'14'!G56</f>
        <v>1749</v>
      </c>
      <c r="BG17" s="19">
        <f>'14'!G57</f>
        <v>2926</v>
      </c>
      <c r="BH17" s="56">
        <f>'14'!G50</f>
        <v>1895</v>
      </c>
      <c r="BI17" s="60">
        <f t="shared" si="12"/>
        <v>5095.0899999999674</v>
      </c>
      <c r="BJ17" s="60">
        <f>'14'!G133</f>
        <v>1037</v>
      </c>
      <c r="BK17" s="23">
        <f t="shared" si="13"/>
        <v>45.394855752519859</v>
      </c>
      <c r="BL17" s="23">
        <f t="shared" si="14"/>
        <v>15.764144749546425</v>
      </c>
      <c r="BM17" s="24">
        <f t="shared" si="15"/>
        <v>9.0728768393001966E-2</v>
      </c>
      <c r="BN17" s="25">
        <f t="shared" si="16"/>
        <v>377373.21</v>
      </c>
      <c r="BO17" s="38">
        <f t="shared" si="17"/>
        <v>9058.0899999999674</v>
      </c>
      <c r="BP17">
        <f t="shared" si="18"/>
        <v>0.85132424812029772</v>
      </c>
    </row>
    <row r="18" spans="1:68">
      <c r="A18" s="16">
        <v>15</v>
      </c>
      <c r="B18" s="26">
        <v>15</v>
      </c>
      <c r="C18" s="18"/>
      <c r="D18" s="19">
        <f>'15'!D3</f>
        <v>27</v>
      </c>
      <c r="E18" s="50">
        <f>'15'!D4</f>
        <v>0.9</v>
      </c>
      <c r="F18" s="50">
        <f>'15'!D2</f>
        <v>0.5</v>
      </c>
      <c r="G18" s="19">
        <f>'15'!G7</f>
        <v>25505</v>
      </c>
      <c r="H18" s="19">
        <f>'15'!G8</f>
        <v>25818</v>
      </c>
      <c r="I18" s="19">
        <v>9.9700000000000006</v>
      </c>
      <c r="J18" s="49">
        <f t="shared" si="3"/>
        <v>257405.46000000002</v>
      </c>
      <c r="K18" s="45">
        <f t="shared" si="4"/>
        <v>127.81188118811882</v>
      </c>
      <c r="L18" s="19">
        <f>'15'!G15</f>
        <v>917</v>
      </c>
      <c r="M18" s="19">
        <v>75</v>
      </c>
      <c r="N18" s="41">
        <f t="shared" si="5"/>
        <v>68775</v>
      </c>
      <c r="O18" s="19">
        <f>'15'!G20</f>
        <v>322</v>
      </c>
      <c r="P18" s="19">
        <v>110</v>
      </c>
      <c r="Q18" s="46">
        <f t="shared" si="0"/>
        <v>35420</v>
      </c>
      <c r="R18" s="47">
        <f t="shared" si="1"/>
        <v>318.81188118811883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133</v>
      </c>
      <c r="W18" s="22">
        <f>'15'!G66</f>
        <v>7</v>
      </c>
      <c r="X18" s="22">
        <f>'15'!G67</f>
        <v>22</v>
      </c>
      <c r="Y18" s="22">
        <f t="shared" si="7"/>
        <v>162</v>
      </c>
      <c r="Z18" s="19">
        <f>'15'!G84</f>
        <v>0</v>
      </c>
      <c r="AA18" s="19">
        <f>'15'!G85</f>
        <v>11.9399999999996</v>
      </c>
      <c r="AB18" s="19">
        <f>'15'!G86</f>
        <v>10</v>
      </c>
      <c r="AC18" s="19">
        <f>'15'!G87</f>
        <v>15</v>
      </c>
      <c r="AD18" s="19">
        <f t="shared" si="8"/>
        <v>36.9399999999996</v>
      </c>
      <c r="AE18" s="23">
        <f t="shared" si="2"/>
        <v>5793.4500000000116</v>
      </c>
      <c r="AF18" s="23">
        <f t="shared" si="9"/>
        <v>156.8340552246907</v>
      </c>
      <c r="AG18" s="19">
        <f>'15'!G88</f>
        <v>0</v>
      </c>
      <c r="AH18" s="19">
        <f>'15'!G89</f>
        <v>9.5999999999985448</v>
      </c>
      <c r="AI18" s="19">
        <f>'15'!G90</f>
        <v>9.8699999999953434</v>
      </c>
      <c r="AJ18" s="19">
        <f t="shared" si="10"/>
        <v>19.469999999993888</v>
      </c>
      <c r="AK18" s="19">
        <f>'15'!G91</f>
        <v>10.710000000000036</v>
      </c>
      <c r="AL18" s="19">
        <f>'15'!G92</f>
        <v>0</v>
      </c>
      <c r="AM18" s="19"/>
      <c r="AN18" s="19">
        <f t="shared" si="11"/>
        <v>10.710000000000036</v>
      </c>
      <c r="AO18" s="52">
        <f>'15'!G74</f>
        <v>278</v>
      </c>
      <c r="AP18" s="55">
        <f>'15'!G35</f>
        <v>1941</v>
      </c>
      <c r="AQ18" s="19">
        <f>'15'!G37</f>
        <v>0</v>
      </c>
      <c r="AR18" s="19">
        <f>'15'!G38</f>
        <v>2442</v>
      </c>
      <c r="AS18" s="19">
        <f>'15'!G39</f>
        <v>0</v>
      </c>
      <c r="AT18" s="19">
        <f>'15'!G40</f>
        <v>807</v>
      </c>
      <c r="AU18" s="19">
        <f>'15'!G41</f>
        <v>0.45000000001164153</v>
      </c>
      <c r="AV18" s="19">
        <f>'15'!G42</f>
        <v>2616</v>
      </c>
      <c r="AW18" s="19">
        <f>'15'!G43</f>
        <v>0</v>
      </c>
      <c r="AX18" s="23">
        <f>'15'!G44</f>
        <v>0</v>
      </c>
      <c r="AY18" s="56">
        <f>'15'!G36</f>
        <v>1089</v>
      </c>
      <c r="AZ18" s="55">
        <f>'15'!G49</f>
        <v>1609</v>
      </c>
      <c r="BA18" s="19">
        <f>'15'!G51</f>
        <v>1047</v>
      </c>
      <c r="BB18" s="19">
        <f>'15'!G52</f>
        <v>0</v>
      </c>
      <c r="BC18" s="19">
        <f>'15'!G53</f>
        <v>4192</v>
      </c>
      <c r="BD18" s="19">
        <f>'15'!G54</f>
        <v>0</v>
      </c>
      <c r="BE18" s="19">
        <f>'15'!G55</f>
        <v>1360</v>
      </c>
      <c r="BF18" s="19">
        <f>'15'!G56</f>
        <v>1817</v>
      </c>
      <c r="BG18" s="19">
        <f>'15'!G57</f>
        <v>2989</v>
      </c>
      <c r="BH18" s="56">
        <f>'15'!G50</f>
        <v>1909</v>
      </c>
      <c r="BI18" s="60">
        <f t="shared" si="12"/>
        <v>5793.4500000000116</v>
      </c>
      <c r="BJ18" s="60">
        <f>'15'!G133</f>
        <v>896</v>
      </c>
      <c r="BK18" s="23">
        <f t="shared" si="13"/>
        <v>47.766868076535793</v>
      </c>
      <c r="BL18" s="23">
        <f t="shared" si="14"/>
        <v>16.236734061507477</v>
      </c>
      <c r="BM18" s="24">
        <f t="shared" si="15"/>
        <v>9.4585173135022071E-2</v>
      </c>
      <c r="BN18" s="25">
        <f t="shared" si="16"/>
        <v>361600.46</v>
      </c>
      <c r="BO18" s="38">
        <f t="shared" si="17"/>
        <v>9678.4500000000116</v>
      </c>
      <c r="BP18">
        <f t="shared" si="18"/>
        <v>0.93573072163354831</v>
      </c>
    </row>
    <row r="19" spans="1:68">
      <c r="A19" s="16">
        <v>16</v>
      </c>
      <c r="B19" s="26">
        <v>16</v>
      </c>
      <c r="C19" s="26"/>
      <c r="D19" s="19">
        <f>'16'!D3</f>
        <v>27</v>
      </c>
      <c r="E19" s="50">
        <f>'16'!D4</f>
        <v>0.9</v>
      </c>
      <c r="F19" s="50">
        <f>'16'!D2</f>
        <v>0.56000000000000005</v>
      </c>
      <c r="G19" s="19">
        <f>'16'!G7</f>
        <v>23934.599999999977</v>
      </c>
      <c r="H19" s="19">
        <f>'16'!G8</f>
        <v>24160</v>
      </c>
      <c r="I19" s="19">
        <v>9.9700000000000006</v>
      </c>
      <c r="J19" s="49">
        <f t="shared" si="3"/>
        <v>240875.2</v>
      </c>
      <c r="K19" s="45">
        <f t="shared" si="4"/>
        <v>119.60396039603961</v>
      </c>
      <c r="L19" s="19">
        <f>'16'!G15</f>
        <v>1098</v>
      </c>
      <c r="M19" s="19">
        <v>75</v>
      </c>
      <c r="N19" s="41">
        <f t="shared" si="5"/>
        <v>82350</v>
      </c>
      <c r="O19" s="19">
        <f>'16'!G20</f>
        <v>370</v>
      </c>
      <c r="P19" s="19">
        <v>110</v>
      </c>
      <c r="Q19" s="46">
        <f t="shared" si="0"/>
        <v>40700</v>
      </c>
      <c r="R19" s="47">
        <f t="shared" si="1"/>
        <v>327.0862800565771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123</v>
      </c>
      <c r="W19" s="22">
        <f>'16'!G66</f>
        <v>11</v>
      </c>
      <c r="X19" s="22">
        <f>'16'!G67</f>
        <v>32</v>
      </c>
      <c r="Y19" s="22">
        <f t="shared" si="7"/>
        <v>166</v>
      </c>
      <c r="Z19" s="19">
        <f>'16'!G84</f>
        <v>0</v>
      </c>
      <c r="AA19" s="19">
        <f>'16'!G85</f>
        <v>0</v>
      </c>
      <c r="AB19" s="19">
        <f>'16'!G86</f>
        <v>7.2200000000011642</v>
      </c>
      <c r="AC19" s="19">
        <f>'16'!G87</f>
        <v>24.30000000000291</v>
      </c>
      <c r="AD19" s="19">
        <f t="shared" si="8"/>
        <v>31.520000000004075</v>
      </c>
      <c r="AE19" s="23">
        <f t="shared" si="2"/>
        <v>4009.2399999999907</v>
      </c>
      <c r="AF19" s="23">
        <f t="shared" si="9"/>
        <v>127.19670050759747</v>
      </c>
      <c r="AG19" s="19">
        <f>'16'!G88</f>
        <v>7.0000000014260877E-3</v>
      </c>
      <c r="AH19" s="19">
        <f>'16'!G89</f>
        <v>9.3400000000001455</v>
      </c>
      <c r="AI19" s="19">
        <f>'16'!G90</f>
        <v>11.289999999993597</v>
      </c>
      <c r="AJ19" s="19">
        <f t="shared" si="10"/>
        <v>20.636999999995169</v>
      </c>
      <c r="AK19" s="19">
        <f>'16'!G91</f>
        <v>11.329999999999927</v>
      </c>
      <c r="AL19" s="19">
        <f>'16'!G92</f>
        <v>0</v>
      </c>
      <c r="AM19" s="19"/>
      <c r="AN19" s="19">
        <f t="shared" si="11"/>
        <v>11.329999999999927</v>
      </c>
      <c r="AO19" s="52">
        <f>'16'!G74</f>
        <v>295.56999999994878</v>
      </c>
      <c r="AP19" s="55">
        <f>'16'!G35</f>
        <v>2044.6900000000023</v>
      </c>
      <c r="AQ19" s="19">
        <f>'16'!G37</f>
        <v>-0.30999999999767169</v>
      </c>
      <c r="AR19" s="19">
        <f>'16'!G38</f>
        <v>2438.6999999999534</v>
      </c>
      <c r="AS19" s="19">
        <f>'16'!G39</f>
        <v>0</v>
      </c>
      <c r="AT19" s="19">
        <f>'16'!G40</f>
        <v>829</v>
      </c>
      <c r="AU19" s="19">
        <f>'16'!G41</f>
        <v>-0.15000000002328306</v>
      </c>
      <c r="AV19" s="19">
        <f>'16'!G42</f>
        <v>0</v>
      </c>
      <c r="AW19" s="19">
        <f>'16'!G43</f>
        <v>0</v>
      </c>
      <c r="AX19" s="23">
        <f>'16'!G44</f>
        <v>0</v>
      </c>
      <c r="AY19" s="56">
        <f>'16'!G36</f>
        <v>1115.5999999999767</v>
      </c>
      <c r="AZ19" s="55">
        <f>'16'!G49</f>
        <v>1613.6700000000419</v>
      </c>
      <c r="BA19" s="19">
        <f>'16'!G51</f>
        <v>996.32000000000698</v>
      </c>
      <c r="BB19" s="19">
        <f>'16'!G52</f>
        <v>0</v>
      </c>
      <c r="BC19" s="19">
        <f>'16'!G53</f>
        <v>4307.4699999999721</v>
      </c>
      <c r="BD19" s="19">
        <f>'16'!G54</f>
        <v>0.58999999999650754</v>
      </c>
      <c r="BE19" s="19">
        <f>'16'!G55</f>
        <v>999.27000000001863</v>
      </c>
      <c r="BF19" s="19">
        <f>'16'!G56</f>
        <v>3010.1199999999953</v>
      </c>
      <c r="BG19" s="19">
        <f>'16'!G57</f>
        <v>2689.5900000000256</v>
      </c>
      <c r="BH19" s="56">
        <f>'16'!G50</f>
        <v>1710.9000000000233</v>
      </c>
      <c r="BI19" s="60">
        <f t="shared" si="12"/>
        <v>4009.2399999999907</v>
      </c>
      <c r="BJ19" s="60">
        <f>'16'!G133</f>
        <v>850.46999999997206</v>
      </c>
      <c r="BK19" s="23">
        <f t="shared" si="13"/>
        <v>42.869163907285021</v>
      </c>
      <c r="BL19" s="23">
        <f t="shared" si="14"/>
        <v>17.828932119205184</v>
      </c>
      <c r="BM19" s="24">
        <f t="shared" si="15"/>
        <v>0.10093956953642191</v>
      </c>
      <c r="BN19" s="25">
        <f t="shared" si="16"/>
        <v>363925.2</v>
      </c>
      <c r="BO19" s="38">
        <f t="shared" si="17"/>
        <v>7549.2999999999884</v>
      </c>
      <c r="BP19">
        <f t="shared" si="18"/>
        <v>0.8553866026104755</v>
      </c>
    </row>
    <row r="20" spans="1:68">
      <c r="A20" s="16">
        <v>17</v>
      </c>
      <c r="B20" s="27">
        <v>17</v>
      </c>
      <c r="C20" s="26"/>
      <c r="D20" s="19">
        <f>'17'!D3</f>
        <v>26</v>
      </c>
      <c r="E20" s="50">
        <f>'17'!D4</f>
        <v>0.95</v>
      </c>
      <c r="F20" s="50">
        <f>'17'!D2</f>
        <v>0.5</v>
      </c>
      <c r="G20" s="19">
        <f>'17'!G7</f>
        <v>24604.400000000023</v>
      </c>
      <c r="H20" s="19">
        <f>'17'!G8</f>
        <v>24906</v>
      </c>
      <c r="I20" s="19">
        <v>9.9700000000000006</v>
      </c>
      <c r="J20" s="49">
        <f t="shared" si="3"/>
        <v>248312.82</v>
      </c>
      <c r="K20" s="45">
        <f t="shared" si="4"/>
        <v>123.29702970297029</v>
      </c>
      <c r="L20" s="19">
        <f>'17'!G15</f>
        <v>1022</v>
      </c>
      <c r="M20" s="19">
        <v>75</v>
      </c>
      <c r="N20" s="41">
        <f t="shared" si="5"/>
        <v>76650</v>
      </c>
      <c r="O20" s="19">
        <f>'17'!G20</f>
        <v>302</v>
      </c>
      <c r="P20" s="19">
        <v>110</v>
      </c>
      <c r="Q20" s="46">
        <f t="shared" si="0"/>
        <v>33220</v>
      </c>
      <c r="R20" s="47">
        <f t="shared" si="1"/>
        <v>299.00990099009903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108</v>
      </c>
      <c r="W20" s="22">
        <f>'17'!G66</f>
        <v>10</v>
      </c>
      <c r="X20" s="22">
        <f>'17'!G67</f>
        <v>20</v>
      </c>
      <c r="Y20" s="22">
        <f t="shared" si="7"/>
        <v>138</v>
      </c>
      <c r="Z20" s="19">
        <f>'17'!G84</f>
        <v>0</v>
      </c>
      <c r="AA20" s="19">
        <f>'17'!G85</f>
        <v>0</v>
      </c>
      <c r="AB20" s="19">
        <f>'17'!G86</f>
        <v>10.779999999998836</v>
      </c>
      <c r="AC20" s="19">
        <f>'17'!G87</f>
        <v>24.099999999998545</v>
      </c>
      <c r="AD20" s="19">
        <f t="shared" si="8"/>
        <v>34.879999999997381</v>
      </c>
      <c r="AE20" s="23">
        <f t="shared" si="2"/>
        <v>4623.9400000000314</v>
      </c>
      <c r="AF20" s="23">
        <f t="shared" si="9"/>
        <v>132.56708715597415</v>
      </c>
      <c r="AG20" s="19">
        <f>'17'!G88</f>
        <v>2.9130000000004657</v>
      </c>
      <c r="AH20" s="19">
        <f>'17'!G89</f>
        <v>10.120000000002619</v>
      </c>
      <c r="AI20" s="19">
        <f>'17'!G90</f>
        <v>4.9700000000011642</v>
      </c>
      <c r="AJ20" s="19">
        <f t="shared" si="10"/>
        <v>18.003000000004249</v>
      </c>
      <c r="AK20" s="19">
        <f>'17'!G91</f>
        <v>11.170000000000073</v>
      </c>
      <c r="AL20" s="19">
        <f>'17'!G92</f>
        <v>0</v>
      </c>
      <c r="AM20" s="19"/>
      <c r="AN20" s="19">
        <f t="shared" si="11"/>
        <v>11.170000000000073</v>
      </c>
      <c r="AO20" s="52">
        <f>'17'!G74</f>
        <v>291.03000000002794</v>
      </c>
      <c r="AP20" s="55">
        <f>'17'!G35</f>
        <v>2196.9199999999837</v>
      </c>
      <c r="AQ20" s="19">
        <f>'17'!G37</f>
        <v>0</v>
      </c>
      <c r="AR20" s="19">
        <f>'17'!G38</f>
        <v>2335.6100000001024</v>
      </c>
      <c r="AS20" s="19">
        <f>'17'!G39</f>
        <v>0</v>
      </c>
      <c r="AT20" s="19">
        <f>'17'!G40</f>
        <v>0</v>
      </c>
      <c r="AU20" s="19">
        <f>'17'!G41</f>
        <v>0</v>
      </c>
      <c r="AV20" s="19">
        <f>'17'!G42</f>
        <v>0.15000000002328306</v>
      </c>
      <c r="AW20" s="19">
        <f>'17'!G43</f>
        <v>0</v>
      </c>
      <c r="AX20" s="23">
        <f>'17'!G44</f>
        <v>0</v>
      </c>
      <c r="AY20" s="56">
        <f>'17'!G36</f>
        <v>717.19000000000233</v>
      </c>
      <c r="AZ20" s="55">
        <f>'17'!G49</f>
        <v>1605.7600000000093</v>
      </c>
      <c r="BA20" s="19">
        <f>'17'!G51</f>
        <v>1050.8799999999901</v>
      </c>
      <c r="BB20" s="19">
        <f>'17'!G52</f>
        <v>0</v>
      </c>
      <c r="BC20" s="19">
        <f>'17'!G53</f>
        <v>4426.0400000000373</v>
      </c>
      <c r="BD20" s="19">
        <f>'17'!G54</f>
        <v>0.1200000000098953</v>
      </c>
      <c r="BE20" s="19">
        <f>'17'!G55</f>
        <v>1479.1199999999953</v>
      </c>
      <c r="BF20" s="19">
        <f>'17'!G56</f>
        <v>3144.6700000000128</v>
      </c>
      <c r="BG20" s="19">
        <f>'17'!G57</f>
        <v>2939.1199999999953</v>
      </c>
      <c r="BH20" s="56">
        <f>'17'!G50</f>
        <v>1442.69</v>
      </c>
      <c r="BI20" s="60">
        <f t="shared" si="12"/>
        <v>4623.9400000000314</v>
      </c>
      <c r="BJ20" s="60">
        <f>'17'!G133</f>
        <v>840.3300000000163</v>
      </c>
      <c r="BK20" s="23">
        <f t="shared" si="13"/>
        <v>45.634545892556091</v>
      </c>
      <c r="BL20" s="23">
        <f t="shared" si="14"/>
        <v>17.770978880591173</v>
      </c>
      <c r="BM20" s="24">
        <f t="shared" si="15"/>
        <v>9.377700152574088E-2</v>
      </c>
      <c r="BN20" s="25">
        <f t="shared" si="16"/>
        <v>358182.82</v>
      </c>
      <c r="BO20" s="38">
        <f t="shared" si="17"/>
        <v>8403.3900000000431</v>
      </c>
      <c r="BP20">
        <f t="shared" si="18"/>
        <v>0.86043885157280819</v>
      </c>
    </row>
    <row r="21" spans="1:68">
      <c r="A21" s="16">
        <v>18</v>
      </c>
      <c r="B21" s="27">
        <v>18</v>
      </c>
      <c r="C21" s="27"/>
      <c r="D21" s="19">
        <f>'18 '!D3</f>
        <v>28</v>
      </c>
      <c r="E21" s="50">
        <f>'18 '!D4</f>
        <v>0.78</v>
      </c>
      <c r="F21" s="50">
        <f>'18 '!D2</f>
        <v>0.98</v>
      </c>
      <c r="G21" s="19">
        <f>'18 '!G7</f>
        <v>24257</v>
      </c>
      <c r="H21" s="19">
        <f>'18 '!G8</f>
        <v>24462.5</v>
      </c>
      <c r="I21" s="19">
        <v>9.9700000000000006</v>
      </c>
      <c r="J21" s="49">
        <f t="shared" si="3"/>
        <v>243891.12500000003</v>
      </c>
      <c r="K21" s="45">
        <f t="shared" si="4"/>
        <v>121.10148514851485</v>
      </c>
      <c r="L21" s="19">
        <f>'18 '!G15</f>
        <v>1031.5</v>
      </c>
      <c r="M21" s="19">
        <v>75</v>
      </c>
      <c r="N21" s="41">
        <f t="shared" si="5"/>
        <v>77362.5</v>
      </c>
      <c r="O21" s="19">
        <f>'18 '!G20</f>
        <v>273</v>
      </c>
      <c r="P21" s="19">
        <v>110</v>
      </c>
      <c r="Q21" s="46">
        <f t="shared" si="0"/>
        <v>30030</v>
      </c>
      <c r="R21" s="47">
        <f t="shared" si="1"/>
        <v>137.90664780763791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101</v>
      </c>
      <c r="W21" s="22">
        <f>'18 '!G66</f>
        <v>9</v>
      </c>
      <c r="X21" s="22">
        <f>'18 '!G67</f>
        <v>20</v>
      </c>
      <c r="Y21" s="22">
        <f t="shared" si="7"/>
        <v>130</v>
      </c>
      <c r="Z21" s="19">
        <f>'18 '!G84</f>
        <v>0</v>
      </c>
      <c r="AA21" s="19">
        <f>'18 '!G85</f>
        <v>9.5</v>
      </c>
      <c r="AB21" s="19">
        <f>'18 '!G86</f>
        <v>0</v>
      </c>
      <c r="AC21" s="19">
        <f>'18 '!G87</f>
        <v>22.799999999995634</v>
      </c>
      <c r="AD21" s="19">
        <f t="shared" si="8"/>
        <v>32.299999999995634</v>
      </c>
      <c r="AE21" s="23">
        <f t="shared" si="2"/>
        <v>5273.7799999999988</v>
      </c>
      <c r="AF21" s="23">
        <f t="shared" si="9"/>
        <v>163.27492260064122</v>
      </c>
      <c r="AG21" s="19">
        <f>'18 '!G88</f>
        <v>0</v>
      </c>
      <c r="AH21" s="19">
        <f>'18 '!G89</f>
        <v>9.6399999999994179</v>
      </c>
      <c r="AI21" s="19">
        <f>'18 '!G90</f>
        <v>10.5</v>
      </c>
      <c r="AJ21" s="19">
        <f t="shared" si="10"/>
        <v>20.139999999999418</v>
      </c>
      <c r="AK21" s="19">
        <f>'18 '!G91</f>
        <v>11.109999999999673</v>
      </c>
      <c r="AL21" s="19">
        <f>'18 '!G92</f>
        <v>0</v>
      </c>
      <c r="AM21" s="19"/>
      <c r="AN21" s="19">
        <f t="shared" si="11"/>
        <v>11.109999999999673</v>
      </c>
      <c r="AO21" s="52">
        <f>'18 '!G74</f>
        <v>290.09999999997672</v>
      </c>
      <c r="AP21" s="55">
        <f>'18 '!G35</f>
        <v>2033.0900000000256</v>
      </c>
      <c r="AQ21" s="19">
        <f>'18 '!G37</f>
        <v>0</v>
      </c>
      <c r="AR21" s="19">
        <f>'18 '!G38</f>
        <v>2281.5599999999395</v>
      </c>
      <c r="AS21" s="19">
        <f>'18 '!G39</f>
        <v>0.18999999994412065</v>
      </c>
      <c r="AT21" s="19">
        <f>'18 '!G40</f>
        <v>853.36999999999534</v>
      </c>
      <c r="AU21" s="19">
        <f>'18 '!G41</f>
        <v>-0.29999999998835847</v>
      </c>
      <c r="AV21" s="19">
        <f>'18 '!G42</f>
        <v>2086.9599999999627</v>
      </c>
      <c r="AW21" s="19">
        <f>'18 '!G43</f>
        <v>0</v>
      </c>
      <c r="AX21" s="23">
        <f>'18 '!G44</f>
        <v>0</v>
      </c>
      <c r="AY21" s="56">
        <f>'18 '!G36</f>
        <v>713.44000000000233</v>
      </c>
      <c r="AZ21" s="55">
        <f>'18 '!G49</f>
        <v>1716.1699999999255</v>
      </c>
      <c r="BA21" s="19">
        <f>'18 '!G51</f>
        <v>1041</v>
      </c>
      <c r="BB21" s="19">
        <f>'18 '!G52</f>
        <v>0</v>
      </c>
      <c r="BC21" s="19">
        <f>'18 '!G53</f>
        <v>4368.9899999999907</v>
      </c>
      <c r="BD21" s="19">
        <f>'18 '!G54</f>
        <v>0.15999999998894054</v>
      </c>
      <c r="BE21" s="19">
        <f>'18 '!G55</f>
        <v>-8.999999996740371E-2</v>
      </c>
      <c r="BF21" s="19">
        <f>'18 '!G56</f>
        <v>3187.2099999999919</v>
      </c>
      <c r="BG21" s="19">
        <f>'18 '!G57</f>
        <v>2706.4799999999814</v>
      </c>
      <c r="BH21" s="56">
        <f>'18 '!G50</f>
        <v>1410.0099999999511</v>
      </c>
      <c r="BI21" s="60">
        <f t="shared" si="12"/>
        <v>5273.7799999999988</v>
      </c>
      <c r="BJ21" s="60">
        <f>'18 '!G133</f>
        <v>855.90000000002328</v>
      </c>
      <c r="BK21" s="23">
        <f t="shared" si="13"/>
        <v>47.948983137455009</v>
      </c>
      <c r="BL21" s="23">
        <f t="shared" si="14"/>
        <v>17.860725600408522</v>
      </c>
      <c r="BM21" s="24">
        <f t="shared" si="15"/>
        <v>9.3267654573324046E-2</v>
      </c>
      <c r="BN21" s="25">
        <f t="shared" si="16"/>
        <v>351283.625</v>
      </c>
      <c r="BO21" s="38">
        <f t="shared" si="17"/>
        <v>8836.1600000000035</v>
      </c>
      <c r="BP21">
        <f t="shared" si="18"/>
        <v>0.97701901813370162</v>
      </c>
    </row>
    <row r="22" spans="1:68">
      <c r="A22" s="16">
        <v>19</v>
      </c>
      <c r="B22" s="17">
        <v>19</v>
      </c>
      <c r="C22" s="27"/>
      <c r="D22" s="19">
        <f>'19'!D3</f>
        <v>27</v>
      </c>
      <c r="E22" s="50">
        <f>'19'!D4</f>
        <v>0.78</v>
      </c>
      <c r="F22" s="50">
        <f>'19'!D2</f>
        <v>0.52</v>
      </c>
      <c r="G22" s="19">
        <f>'19'!G7</f>
        <v>26011</v>
      </c>
      <c r="H22" s="19">
        <f>'19'!G8</f>
        <v>26332.5</v>
      </c>
      <c r="I22" s="19">
        <v>9.9700000000000006</v>
      </c>
      <c r="J22" s="49">
        <f t="shared" si="3"/>
        <v>262535.02500000002</v>
      </c>
      <c r="K22" s="45">
        <f t="shared" si="4"/>
        <v>130.3589108910891</v>
      </c>
      <c r="L22" s="19">
        <f>'19'!G15</f>
        <v>1137.5</v>
      </c>
      <c r="M22" s="19">
        <v>75</v>
      </c>
      <c r="N22" s="41">
        <f t="shared" si="5"/>
        <v>85312.5</v>
      </c>
      <c r="O22" s="19">
        <f>'19'!G20</f>
        <v>303</v>
      </c>
      <c r="P22" s="19">
        <v>110</v>
      </c>
      <c r="Q22" s="46">
        <f t="shared" si="0"/>
        <v>33330</v>
      </c>
      <c r="R22" s="47">
        <f t="shared" si="1"/>
        <v>288.46153846153845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112</v>
      </c>
      <c r="W22" s="22">
        <f>'19'!G66</f>
        <v>7</v>
      </c>
      <c r="X22" s="22">
        <f>'19'!G67</f>
        <v>14</v>
      </c>
      <c r="Y22" s="22">
        <f t="shared" si="7"/>
        <v>133</v>
      </c>
      <c r="Z22" s="19">
        <f>'19'!G84</f>
        <v>0</v>
      </c>
      <c r="AA22" s="19">
        <f>'19'!G85</f>
        <v>23.5</v>
      </c>
      <c r="AB22" s="19">
        <f>'19'!G86</f>
        <v>0</v>
      </c>
      <c r="AC22" s="19">
        <f>'19'!G87</f>
        <v>12.80000000000291</v>
      </c>
      <c r="AD22" s="19">
        <f t="shared" si="8"/>
        <v>36.30000000000291</v>
      </c>
      <c r="AE22" s="23">
        <f t="shared" si="2"/>
        <v>7428.3400000000256</v>
      </c>
      <c r="AF22" s="23">
        <f t="shared" si="9"/>
        <v>204.63746556472259</v>
      </c>
      <c r="AG22" s="19">
        <f>'19'!G88</f>
        <v>8.1699999999982538</v>
      </c>
      <c r="AH22" s="19">
        <f>'19'!G89</f>
        <v>10.299999999999272</v>
      </c>
      <c r="AI22" s="19">
        <f>'19'!G90</f>
        <v>7.0000000006984919E-2</v>
      </c>
      <c r="AJ22" s="19">
        <f t="shared" si="10"/>
        <v>18.540000000004511</v>
      </c>
      <c r="AK22" s="19">
        <f>'19'!G91</f>
        <v>11.0600000000004</v>
      </c>
      <c r="AL22" s="19">
        <f>'19'!G92</f>
        <v>0</v>
      </c>
      <c r="AM22" s="19"/>
      <c r="AN22" s="19">
        <f t="shared" si="11"/>
        <v>11.0600000000004</v>
      </c>
      <c r="AO22" s="52">
        <f>'19'!G74</f>
        <v>289.30000000004657</v>
      </c>
      <c r="AP22" s="55">
        <f>'19'!G35</f>
        <v>2127.2999999999884</v>
      </c>
      <c r="AQ22" s="19">
        <f>'19'!G37</f>
        <v>0</v>
      </c>
      <c r="AR22" s="19">
        <f>'19'!G38</f>
        <v>2405.1300000000047</v>
      </c>
      <c r="AS22" s="19">
        <f>'19'!G39</f>
        <v>0</v>
      </c>
      <c r="AT22" s="19">
        <f>'19'!G40</f>
        <v>841.63000000000466</v>
      </c>
      <c r="AU22" s="19">
        <f>'19'!G41</f>
        <v>0.45000000001164153</v>
      </c>
      <c r="AV22" s="19">
        <f>'19'!G42</f>
        <v>5650.890000000014</v>
      </c>
      <c r="AW22" s="19">
        <f>'19'!G43</f>
        <v>0</v>
      </c>
      <c r="AX22" s="23">
        <f>'19'!G44</f>
        <v>0</v>
      </c>
      <c r="AY22" s="56">
        <f>'19'!G36</f>
        <v>903.77000000001863</v>
      </c>
      <c r="AZ22" s="55">
        <f>'19'!G49</f>
        <v>1886.4000000000233</v>
      </c>
      <c r="BA22" s="19">
        <f>'19'!G51</f>
        <v>1043.8000000000029</v>
      </c>
      <c r="BB22" s="19">
        <f>'19'!G52</f>
        <v>0</v>
      </c>
      <c r="BC22" s="19">
        <f>'19'!G53</f>
        <v>4246.5</v>
      </c>
      <c r="BD22" s="19">
        <f>'19'!G54</f>
        <v>5.1300000000046566</v>
      </c>
      <c r="BE22" s="19">
        <f>'19'!G55</f>
        <v>0</v>
      </c>
      <c r="BF22" s="19">
        <f>'19'!G56</f>
        <v>1777</v>
      </c>
      <c r="BG22" s="19">
        <f>'19'!G57</f>
        <v>2886.8099999999977</v>
      </c>
      <c r="BH22" s="56">
        <f>'19'!G50</f>
        <v>1307.4000000000233</v>
      </c>
      <c r="BI22" s="60">
        <f t="shared" si="12"/>
        <v>7428.3400000000256</v>
      </c>
      <c r="BJ22" s="60">
        <f>'19'!G133</f>
        <v>860.29999999998836</v>
      </c>
      <c r="BK22" s="23">
        <f t="shared" si="13"/>
        <v>54.415076426469327</v>
      </c>
      <c r="BL22" s="23">
        <f t="shared" si="14"/>
        <v>16.126459698091711</v>
      </c>
      <c r="BM22" s="24">
        <f t="shared" si="15"/>
        <v>9.1336941042438224E-2</v>
      </c>
      <c r="BN22" s="25">
        <f t="shared" si="16"/>
        <v>381177.52500000002</v>
      </c>
      <c r="BO22" s="38">
        <f t="shared" si="17"/>
        <v>11175.450000000012</v>
      </c>
      <c r="BP22">
        <f t="shared" si="18"/>
        <v>1.0995129870128999</v>
      </c>
    </row>
    <row r="23" spans="1:68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0.52</v>
      </c>
      <c r="G23" s="19">
        <f>'20'!G7</f>
        <v>25788</v>
      </c>
      <c r="H23" s="19">
        <f>'20'!G8</f>
        <v>25922</v>
      </c>
      <c r="I23" s="19">
        <v>9.9700000000000006</v>
      </c>
      <c r="J23" s="49">
        <f t="shared" si="3"/>
        <v>258442.34000000003</v>
      </c>
      <c r="K23" s="45">
        <f t="shared" si="4"/>
        <v>128.32673267326732</v>
      </c>
      <c r="L23" s="19">
        <f>'20'!G15</f>
        <v>1111</v>
      </c>
      <c r="M23" s="19">
        <v>75</v>
      </c>
      <c r="N23" s="41">
        <f t="shared" si="5"/>
        <v>83325</v>
      </c>
      <c r="O23" s="19">
        <f>'20'!G20</f>
        <v>341</v>
      </c>
      <c r="P23" s="19">
        <v>110</v>
      </c>
      <c r="Q23" s="46">
        <f t="shared" si="0"/>
        <v>37510</v>
      </c>
      <c r="R23" s="47">
        <f t="shared" si="1"/>
        <v>324.63823305407465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115</v>
      </c>
      <c r="W23" s="22">
        <f>'20'!G66</f>
        <v>8</v>
      </c>
      <c r="X23" s="22">
        <f>'20'!G67</f>
        <v>18</v>
      </c>
      <c r="Y23" s="22">
        <f t="shared" si="7"/>
        <v>141</v>
      </c>
      <c r="Z23" s="19">
        <f>'20'!G84</f>
        <v>11.819999999999709</v>
      </c>
      <c r="AA23" s="19">
        <f>'20'!G85</f>
        <v>24.449999999999818</v>
      </c>
      <c r="AB23" s="19">
        <f>'20'!G86</f>
        <v>0</v>
      </c>
      <c r="AC23" s="19">
        <f>'20'!G87</f>
        <v>0</v>
      </c>
      <c r="AD23" s="19">
        <f t="shared" si="8"/>
        <v>36.269999999999527</v>
      </c>
      <c r="AE23" s="23">
        <f t="shared" si="2"/>
        <v>8383.6999999999534</v>
      </c>
      <c r="AF23" s="23">
        <f t="shared" si="9"/>
        <v>231.14695340501964</v>
      </c>
      <c r="AG23" s="19">
        <f>'20'!G88</f>
        <v>7.9500000000007276</v>
      </c>
      <c r="AH23" s="19">
        <f>'20'!G89</f>
        <v>9.8800000000010186</v>
      </c>
      <c r="AI23" s="19">
        <f>'20'!G90</f>
        <v>0</v>
      </c>
      <c r="AJ23" s="19">
        <f t="shared" si="10"/>
        <v>17.830000000001746</v>
      </c>
      <c r="AK23" s="19">
        <f>'20'!G91</f>
        <v>11.019999999999527</v>
      </c>
      <c r="AL23" s="19">
        <f>'20'!G92</f>
        <v>0</v>
      </c>
      <c r="AM23" s="19"/>
      <c r="AN23" s="19">
        <f t="shared" si="11"/>
        <v>11.019999999999527</v>
      </c>
      <c r="AO23" s="52">
        <f>'20'!G74</f>
        <v>287</v>
      </c>
      <c r="AP23" s="55">
        <f>'20'!G35</f>
        <v>2030</v>
      </c>
      <c r="AQ23" s="19">
        <f>'20'!G37</f>
        <v>0</v>
      </c>
      <c r="AR23" s="19">
        <f>'20'!G38</f>
        <v>2240</v>
      </c>
      <c r="AS23" s="19">
        <f>'20'!G39</f>
        <v>0</v>
      </c>
      <c r="AT23" s="19">
        <f>'20'!G40</f>
        <v>939</v>
      </c>
      <c r="AU23" s="19">
        <f>'20'!G41</f>
        <v>2573</v>
      </c>
      <c r="AV23" s="19">
        <f>'20'!G42</f>
        <v>5811</v>
      </c>
      <c r="AW23" s="19">
        <f>'20'!G43</f>
        <v>0</v>
      </c>
      <c r="AX23" s="23">
        <f>'20'!G44</f>
        <v>0</v>
      </c>
      <c r="AY23" s="56">
        <f>'20'!G36</f>
        <v>1055</v>
      </c>
      <c r="AZ23" s="55">
        <f>'20'!G49</f>
        <v>1440</v>
      </c>
      <c r="BA23" s="19">
        <f>'20'!G51</f>
        <v>1071</v>
      </c>
      <c r="BB23" s="19">
        <f>'20'!G52</f>
        <v>0</v>
      </c>
      <c r="BC23" s="19">
        <f>'20'!G588</f>
        <v>0</v>
      </c>
      <c r="BD23" s="19">
        <f>'20'!G54</f>
        <v>10</v>
      </c>
      <c r="BE23" s="19">
        <f>'20'!G55</f>
        <v>-0.30000000004656613</v>
      </c>
      <c r="BF23" s="19">
        <f>'20'!G56</f>
        <v>0</v>
      </c>
      <c r="BG23" s="19">
        <f>'20'!G57</f>
        <v>3030</v>
      </c>
      <c r="BH23" s="56">
        <f>'20'!G50</f>
        <v>1305</v>
      </c>
      <c r="BI23" s="60">
        <f t="shared" si="12"/>
        <v>8383.6999999999534</v>
      </c>
      <c r="BJ23" s="60">
        <f>'20'!G133</f>
        <v>835</v>
      </c>
      <c r="BK23" s="23">
        <f t="shared" si="13"/>
        <v>57.41725175526561</v>
      </c>
      <c r="BL23" s="23">
        <f t="shared" si="14"/>
        <v>0</v>
      </c>
      <c r="BM23" s="24">
        <f t="shared" si="15"/>
        <v>8.6413085410076376E-2</v>
      </c>
      <c r="BN23" s="25">
        <f t="shared" si="16"/>
        <v>379277.34</v>
      </c>
      <c r="BO23" s="38">
        <f t="shared" si="17"/>
        <v>12248.699999999953</v>
      </c>
      <c r="BP23">
        <f t="shared" si="18"/>
        <v>1.2061030367482093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0.52</v>
      </c>
      <c r="G24" s="19">
        <f>'21'!G7</f>
        <v>25493</v>
      </c>
      <c r="H24" s="19">
        <f>'21'!G8</f>
        <v>25776</v>
      </c>
      <c r="I24" s="19">
        <v>9.9700000000000006</v>
      </c>
      <c r="J24" s="49">
        <f t="shared" si="3"/>
        <v>256986.72000000003</v>
      </c>
      <c r="K24" s="45">
        <f t="shared" si="4"/>
        <v>127.60396039603961</v>
      </c>
      <c r="L24" s="19">
        <f>'21'!G15</f>
        <v>987</v>
      </c>
      <c r="M24" s="19">
        <v>75</v>
      </c>
      <c r="N24" s="41">
        <f t="shared" si="5"/>
        <v>74025</v>
      </c>
      <c r="O24" s="19">
        <f>'21'!G20</f>
        <v>311</v>
      </c>
      <c r="P24" s="19">
        <v>110</v>
      </c>
      <c r="Q24" s="46">
        <f t="shared" si="0"/>
        <v>34210</v>
      </c>
      <c r="R24" s="47">
        <f t="shared" si="1"/>
        <v>296.0776846915461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125</v>
      </c>
      <c r="W24" s="22">
        <f>'21'!G66</f>
        <v>7</v>
      </c>
      <c r="X24" s="22">
        <f>'21'!G67</f>
        <v>20</v>
      </c>
      <c r="Y24" s="22">
        <f t="shared" si="7"/>
        <v>152</v>
      </c>
      <c r="Z24" s="19">
        <f>'21'!G84</f>
        <v>24</v>
      </c>
      <c r="AA24" s="19">
        <f>'21'!G85</f>
        <v>0.65999999999985448</v>
      </c>
      <c r="AB24" s="19">
        <f>'21'!G86</f>
        <v>0</v>
      </c>
      <c r="AC24" s="19">
        <f>'21'!G87</f>
        <v>10.440000000002328</v>
      </c>
      <c r="AD24" s="19">
        <f t="shared" si="8"/>
        <v>35.100000000002183</v>
      </c>
      <c r="AE24" s="23">
        <f t="shared" si="2"/>
        <v>7334</v>
      </c>
      <c r="AF24" s="23">
        <f t="shared" si="9"/>
        <v>208.94586894585595</v>
      </c>
      <c r="AG24" s="19">
        <f>'21'!G88</f>
        <v>0.18000000000029104</v>
      </c>
      <c r="AH24" s="19">
        <f>'21'!G89</f>
        <v>9.7899999999972351</v>
      </c>
      <c r="AI24" s="19">
        <f>'21'!G90</f>
        <v>10.229999999995925</v>
      </c>
      <c r="AJ24" s="19">
        <f t="shared" si="10"/>
        <v>20.199999999993452</v>
      </c>
      <c r="AK24" s="19">
        <f>'21'!G91</f>
        <v>11.110000000000582</v>
      </c>
      <c r="AL24" s="19">
        <f>'21'!G92</f>
        <v>0</v>
      </c>
      <c r="AM24" s="19"/>
      <c r="AN24" s="19">
        <f t="shared" si="11"/>
        <v>11.110000000000582</v>
      </c>
      <c r="AO24" s="52">
        <f>'21'!G74</f>
        <v>290</v>
      </c>
      <c r="AP24" s="55">
        <f>'21'!G35</f>
        <v>2047</v>
      </c>
      <c r="AQ24" s="19">
        <f>'21'!G37</f>
        <v>0</v>
      </c>
      <c r="AR24" s="19">
        <f>'21'!G38</f>
        <v>2256</v>
      </c>
      <c r="AS24" s="19">
        <f>'21'!G39</f>
        <v>-0.18999999994412065</v>
      </c>
      <c r="AT24" s="19">
        <f>'21'!G40</f>
        <v>843</v>
      </c>
      <c r="AU24" s="19">
        <f>'21'!G41</f>
        <v>5709</v>
      </c>
      <c r="AV24" s="19">
        <f>'21'!G42</f>
        <v>57</v>
      </c>
      <c r="AW24" s="19">
        <f>'21'!G43</f>
        <v>0</v>
      </c>
      <c r="AX24" s="23">
        <f>'21'!G44</f>
        <v>0</v>
      </c>
      <c r="AY24" s="56">
        <f>'21'!G36</f>
        <v>873</v>
      </c>
      <c r="AZ24" s="55">
        <f>'21'!G49</f>
        <v>1608.5500000000466</v>
      </c>
      <c r="BA24" s="19">
        <f>'21'!G51</f>
        <v>1102</v>
      </c>
      <c r="BB24" s="19">
        <f>'21'!G52</f>
        <v>0</v>
      </c>
      <c r="BC24" s="19">
        <f>'21'!G53</f>
        <v>4288</v>
      </c>
      <c r="BD24" s="19">
        <f>'21'!G54</f>
        <v>74</v>
      </c>
      <c r="BE24" s="19">
        <f>'21'!G55</f>
        <v>0</v>
      </c>
      <c r="BF24" s="19">
        <f>'21'!G56</f>
        <v>1568</v>
      </c>
      <c r="BG24" s="19">
        <f>'21'!G57</f>
        <v>2848</v>
      </c>
      <c r="BH24" s="56">
        <f>'21'!G50</f>
        <v>1421</v>
      </c>
      <c r="BI24" s="60">
        <f t="shared" si="12"/>
        <v>7334</v>
      </c>
      <c r="BJ24" s="60">
        <f>'21'!G133</f>
        <v>839</v>
      </c>
      <c r="BK24" s="23">
        <f t="shared" si="13"/>
        <v>53.683853196772375</v>
      </c>
      <c r="BL24" s="23">
        <f t="shared" si="14"/>
        <v>16.634892923650124</v>
      </c>
      <c r="BM24" s="24">
        <f t="shared" si="15"/>
        <v>8.752327746741155E-2</v>
      </c>
      <c r="BN24" s="25">
        <f t="shared" si="16"/>
        <v>365221.72000000003</v>
      </c>
      <c r="BO24" s="38">
        <f t="shared" si="17"/>
        <v>11021</v>
      </c>
      <c r="BP24">
        <f t="shared" si="18"/>
        <v>1.1213878713878016</v>
      </c>
    </row>
    <row r="25" spans="1:68">
      <c r="A25" s="16">
        <v>22</v>
      </c>
      <c r="B25" s="27">
        <v>22</v>
      </c>
      <c r="C25" s="28"/>
      <c r="D25" s="19">
        <f>'22'!D3</f>
        <v>28</v>
      </c>
      <c r="E25" s="50">
        <f>'22'!D4</f>
        <v>0.79</v>
      </c>
      <c r="F25" s="50">
        <f>'22'!D2</f>
        <v>0.54</v>
      </c>
      <c r="G25" s="19">
        <f>'22'!G7</f>
        <v>23759</v>
      </c>
      <c r="H25" s="19">
        <f>'22'!G8</f>
        <v>23946</v>
      </c>
      <c r="I25" s="19">
        <v>9.9700000000000006</v>
      </c>
      <c r="J25" s="49">
        <f t="shared" si="3"/>
        <v>238741.62000000002</v>
      </c>
      <c r="K25" s="45">
        <f t="shared" si="4"/>
        <v>118.54455445544555</v>
      </c>
      <c r="L25" s="19">
        <f>'22'!G15</f>
        <v>1004</v>
      </c>
      <c r="M25" s="19">
        <v>75</v>
      </c>
      <c r="N25" s="41">
        <f t="shared" si="5"/>
        <v>75300</v>
      </c>
      <c r="O25" s="19">
        <f>'22'!G20</f>
        <v>389</v>
      </c>
      <c r="P25" s="19">
        <v>110</v>
      </c>
      <c r="Q25" s="46">
        <f t="shared" si="0"/>
        <v>42790</v>
      </c>
      <c r="R25" s="47">
        <f t="shared" si="1"/>
        <v>356.61899523285655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139</v>
      </c>
      <c r="W25" s="22">
        <f>'22'!G66</f>
        <v>7</v>
      </c>
      <c r="X25" s="22">
        <f>'22'!G67</f>
        <v>25</v>
      </c>
      <c r="Y25" s="22">
        <f t="shared" si="7"/>
        <v>171</v>
      </c>
      <c r="Z25" s="19">
        <f>'22'!G84</f>
        <v>23.370000000002619</v>
      </c>
      <c r="AA25" s="19">
        <f>'22'!G85</f>
        <v>-0.10999999999967258</v>
      </c>
      <c r="AB25" s="19">
        <f>'22'!G86</f>
        <v>0</v>
      </c>
      <c r="AC25" s="19">
        <f>'22'!G87</f>
        <v>7.5599999999976717</v>
      </c>
      <c r="AD25" s="19">
        <f t="shared" si="8"/>
        <v>30.820000000000618</v>
      </c>
      <c r="AE25" s="23">
        <f t="shared" si="2"/>
        <v>6364</v>
      </c>
      <c r="AF25" s="23">
        <f t="shared" si="9"/>
        <v>206.48929266709516</v>
      </c>
      <c r="AG25" s="19">
        <f>'22'!G88</f>
        <v>-9.0000000000145519E-2</v>
      </c>
      <c r="AH25" s="19">
        <f>'22'!G89</f>
        <v>8.3300000000017462</v>
      </c>
      <c r="AI25" s="19">
        <f>'22'!G90</f>
        <v>10</v>
      </c>
      <c r="AJ25" s="19">
        <f t="shared" si="10"/>
        <v>18.240000000001601</v>
      </c>
      <c r="AK25" s="19">
        <f>'22'!G91</f>
        <v>10.819999999999709</v>
      </c>
      <c r="AL25" s="19">
        <f>'22'!G92</f>
        <v>-0.22999999999956344</v>
      </c>
      <c r="AM25" s="19"/>
      <c r="AN25" s="19">
        <f t="shared" si="11"/>
        <v>10.590000000000146</v>
      </c>
      <c r="AO25" s="52">
        <f>'22'!G74</f>
        <v>281</v>
      </c>
      <c r="AP25" s="55">
        <f>'22'!G35</f>
        <v>1912</v>
      </c>
      <c r="AQ25" s="19">
        <f>'22'!G37</f>
        <v>0</v>
      </c>
      <c r="AR25" s="19">
        <f>'22'!G38</f>
        <v>2241</v>
      </c>
      <c r="AS25" s="19">
        <f>'22'!G39</f>
        <v>0</v>
      </c>
      <c r="AT25" s="19">
        <f>'22'!G40</f>
        <v>814</v>
      </c>
      <c r="AU25" s="19">
        <f>'22'!G41</f>
        <v>5518</v>
      </c>
      <c r="AV25" s="19">
        <f>'22'!G42</f>
        <v>0</v>
      </c>
      <c r="AW25" s="19">
        <f>'22'!G43</f>
        <v>0</v>
      </c>
      <c r="AX25" s="23">
        <f>'22'!G44</f>
        <v>0</v>
      </c>
      <c r="AY25" s="56">
        <f>'22'!G36</f>
        <v>979</v>
      </c>
      <c r="AZ25" s="55">
        <f>'22'!G49</f>
        <v>1646.4499999999534</v>
      </c>
      <c r="BA25" s="19">
        <f>'22'!G51</f>
        <v>1090</v>
      </c>
      <c r="BB25" s="19">
        <f>'22'!G52</f>
        <v>0</v>
      </c>
      <c r="BC25" s="19">
        <f>'22'!G53</f>
        <v>4196</v>
      </c>
      <c r="BD25" s="19">
        <f>'22'!G54</f>
        <v>92</v>
      </c>
      <c r="BE25" s="19">
        <f>'22'!G55</f>
        <v>0</v>
      </c>
      <c r="BF25" s="19">
        <f>'22'!G56</f>
        <v>846</v>
      </c>
      <c r="BG25" s="19">
        <f>'22'!G57</f>
        <v>2719</v>
      </c>
      <c r="BH25" s="56">
        <f>'22'!G50</f>
        <v>1355</v>
      </c>
      <c r="BI25" s="60">
        <f t="shared" si="12"/>
        <v>6364</v>
      </c>
      <c r="BJ25" s="60">
        <f>'22'!G133</f>
        <v>863</v>
      </c>
      <c r="BK25" s="23">
        <f t="shared" si="13"/>
        <v>52.791489183997129</v>
      </c>
      <c r="BL25" s="23">
        <f t="shared" si="14"/>
        <v>17.522759542303515</v>
      </c>
      <c r="BM25" s="24">
        <f t="shared" si="15"/>
        <v>9.3585567526935601E-2</v>
      </c>
      <c r="BN25" s="25">
        <f t="shared" si="16"/>
        <v>356831.62</v>
      </c>
      <c r="BO25" s="38">
        <f t="shared" si="17"/>
        <v>9946</v>
      </c>
      <c r="BP25">
        <f t="shared" si="18"/>
        <v>1.1525447297672893</v>
      </c>
    </row>
    <row r="26" spans="1:68">
      <c r="A26" s="16">
        <v>23</v>
      </c>
      <c r="B26" s="27">
        <v>23</v>
      </c>
      <c r="C26" s="28"/>
      <c r="D26" s="19">
        <f>'23'!D3</f>
        <v>26</v>
      </c>
      <c r="E26" s="50">
        <f>'23'!D4</f>
        <v>0.79</v>
      </c>
      <c r="F26" s="50">
        <f>'23'!D2</f>
        <v>0.55000000000000004</v>
      </c>
      <c r="G26" s="19">
        <f>'23'!G7</f>
        <v>21485</v>
      </c>
      <c r="H26" s="19">
        <f>'23'!G8</f>
        <v>21573</v>
      </c>
      <c r="I26" s="19">
        <v>9.9700000000000006</v>
      </c>
      <c r="J26" s="49">
        <f t="shared" si="3"/>
        <v>215082.81000000003</v>
      </c>
      <c r="K26" s="45">
        <f t="shared" si="4"/>
        <v>106.79702970297029</v>
      </c>
      <c r="L26" s="19">
        <f>'23'!G15</f>
        <v>963</v>
      </c>
      <c r="M26" s="19">
        <v>75</v>
      </c>
      <c r="N26" s="41">
        <f t="shared" si="5"/>
        <v>72225</v>
      </c>
      <c r="O26" s="19">
        <f>'23'!G20</f>
        <v>389</v>
      </c>
      <c r="P26" s="19">
        <v>110</v>
      </c>
      <c r="Q26" s="46">
        <f t="shared" si="0"/>
        <v>42790</v>
      </c>
      <c r="R26" s="47">
        <f t="shared" si="1"/>
        <v>350.13501350135016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116</v>
      </c>
      <c r="W26" s="22">
        <f>'23'!G66</f>
        <v>5</v>
      </c>
      <c r="X26" s="22">
        <f>'23'!G67</f>
        <v>24</v>
      </c>
      <c r="Y26" s="22">
        <f t="shared" si="7"/>
        <v>145</v>
      </c>
      <c r="Z26" s="19">
        <f>'23'!G84</f>
        <v>24.180000000000291</v>
      </c>
      <c r="AA26" s="19">
        <f>'23'!G85</f>
        <v>0</v>
      </c>
      <c r="AB26" s="19">
        <f>'23'!G86</f>
        <v>0</v>
      </c>
      <c r="AC26" s="19">
        <f>'23'!G87</f>
        <v>0</v>
      </c>
      <c r="AD26" s="19">
        <f t="shared" si="8"/>
        <v>24.180000000000291</v>
      </c>
      <c r="AE26" s="23">
        <f t="shared" si="2"/>
        <v>5177</v>
      </c>
      <c r="AF26" s="23">
        <f t="shared" si="9"/>
        <v>214.10256410256153</v>
      </c>
      <c r="AG26" s="19">
        <f>'23'!G88</f>
        <v>6.069999999999709</v>
      </c>
      <c r="AH26" s="19">
        <f>'23'!G89</f>
        <v>3.9500000000007276</v>
      </c>
      <c r="AI26" s="19">
        <f>'23'!G90</f>
        <v>9.9499999999970896</v>
      </c>
      <c r="AJ26" s="19">
        <f t="shared" si="10"/>
        <v>19.969999999997526</v>
      </c>
      <c r="AK26" s="19">
        <f>'23'!G91</f>
        <v>11.180000000000291</v>
      </c>
      <c r="AL26" s="19">
        <f>'23'!G92</f>
        <v>0</v>
      </c>
      <c r="AM26" s="19"/>
      <c r="AN26" s="19">
        <f t="shared" si="11"/>
        <v>11.180000000000291</v>
      </c>
      <c r="AO26" s="52">
        <f>'23'!G74</f>
        <v>291</v>
      </c>
      <c r="AP26" s="55">
        <f>'23'!G35</f>
        <v>2057</v>
      </c>
      <c r="AQ26" s="19">
        <f>'23'!G37</f>
        <v>0.30999999999767169</v>
      </c>
      <c r="AR26" s="19">
        <f>'23'!G38</f>
        <v>2217</v>
      </c>
      <c r="AS26" s="19">
        <f>'23'!G39</f>
        <v>0</v>
      </c>
      <c r="AT26" s="19">
        <f>'23'!G40</f>
        <v>792</v>
      </c>
      <c r="AU26" s="19">
        <f>'23'!G41</f>
        <v>5177</v>
      </c>
      <c r="AV26" s="19">
        <f>'23'!G42</f>
        <v>0</v>
      </c>
      <c r="AW26" s="19">
        <f>'23'!G43</f>
        <v>3.0000000027939677E-2</v>
      </c>
      <c r="AX26" s="23">
        <f>'23'!G44</f>
        <v>0</v>
      </c>
      <c r="AY26" s="56">
        <f>'23'!G36</f>
        <v>714</v>
      </c>
      <c r="AZ26" s="55">
        <f>'23'!G49</f>
        <v>1494</v>
      </c>
      <c r="BA26" s="19">
        <f>'23'!G51</f>
        <v>1015</v>
      </c>
      <c r="BB26" s="19">
        <f>'23'!G52</f>
        <v>0</v>
      </c>
      <c r="BC26" s="19">
        <f>'23'!G53</f>
        <v>4329</v>
      </c>
      <c r="BD26" s="19">
        <f>'23'!G54</f>
        <v>142</v>
      </c>
      <c r="BE26" s="19">
        <f>'23'!G55</f>
        <v>0</v>
      </c>
      <c r="BF26" s="19">
        <f>'23'!G56</f>
        <v>0</v>
      </c>
      <c r="BG26" s="19">
        <f>'23'!G57</f>
        <v>2488</v>
      </c>
      <c r="BH26" s="56">
        <f>'23'!G50</f>
        <v>1165</v>
      </c>
      <c r="BI26" s="60">
        <f t="shared" si="12"/>
        <v>5177</v>
      </c>
      <c r="BJ26" s="60">
        <f>'23'!G133</f>
        <v>740</v>
      </c>
      <c r="BK26" s="23">
        <f t="shared" si="13"/>
        <v>51.991053631854768</v>
      </c>
      <c r="BL26" s="23">
        <f t="shared" si="14"/>
        <v>20.066750104297039</v>
      </c>
      <c r="BM26" s="24">
        <f t="shared" si="15"/>
        <v>0.10276734807398137</v>
      </c>
      <c r="BN26" s="25">
        <f t="shared" si="16"/>
        <v>330097.81000000006</v>
      </c>
      <c r="BO26" s="38">
        <f t="shared" si="17"/>
        <v>8405.0300000000279</v>
      </c>
      <c r="BP26">
        <f t="shared" si="18"/>
        <v>1.2414377289377181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0.43</v>
      </c>
      <c r="G27" s="19">
        <f>'24'!G7</f>
        <v>20236</v>
      </c>
      <c r="H27" s="19">
        <f>'24'!G8</f>
        <v>20323</v>
      </c>
      <c r="I27" s="19">
        <v>9.9700000000000006</v>
      </c>
      <c r="J27" s="49">
        <f t="shared" si="3"/>
        <v>202620.31000000003</v>
      </c>
      <c r="K27" s="45">
        <f t="shared" si="4"/>
        <v>100.60891089108911</v>
      </c>
      <c r="L27" s="19">
        <f>'24'!G15</f>
        <v>871</v>
      </c>
      <c r="M27" s="19">
        <v>75</v>
      </c>
      <c r="N27" s="41">
        <f t="shared" si="5"/>
        <v>65325</v>
      </c>
      <c r="O27" s="19">
        <f>'24'!G20</f>
        <v>202</v>
      </c>
      <c r="P27" s="19">
        <v>110</v>
      </c>
      <c r="Q27" s="46">
        <f t="shared" si="0"/>
        <v>22220</v>
      </c>
      <c r="R27" s="47">
        <f t="shared" si="1"/>
        <v>232.55813953488371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88</v>
      </c>
      <c r="W27" s="22">
        <f>'24'!G66</f>
        <v>5</v>
      </c>
      <c r="X27" s="22">
        <f>'24'!G67</f>
        <v>8</v>
      </c>
      <c r="Y27" s="22">
        <f t="shared" si="7"/>
        <v>101</v>
      </c>
      <c r="Z27" s="19">
        <f>'24'!G84</f>
        <v>24.44999999999709</v>
      </c>
      <c r="AA27" s="19">
        <f>'24'!G85</f>
        <v>0</v>
      </c>
      <c r="AB27" s="19">
        <f>'24'!G86</f>
        <v>0</v>
      </c>
      <c r="AC27" s="19">
        <f>'24'!G87</f>
        <v>0</v>
      </c>
      <c r="AD27" s="19">
        <f t="shared" si="8"/>
        <v>24.44999999999709</v>
      </c>
      <c r="AE27" s="23">
        <f t="shared" si="2"/>
        <v>4754</v>
      </c>
      <c r="AF27" s="23">
        <f t="shared" si="9"/>
        <v>194.43762781188408</v>
      </c>
      <c r="AG27" s="19">
        <f>'24'!G88</f>
        <v>2.0200000000004366</v>
      </c>
      <c r="AH27" s="19">
        <f>'24'!G89</f>
        <v>5.0499999999992724</v>
      </c>
      <c r="AI27" s="19">
        <f>'24'!G90</f>
        <v>8.4199999999982538</v>
      </c>
      <c r="AJ27" s="19">
        <f t="shared" si="10"/>
        <v>15.489999999997963</v>
      </c>
      <c r="AK27" s="19">
        <f>'24'!G91</f>
        <v>11.079999999999927</v>
      </c>
      <c r="AL27" s="19">
        <f>'24'!G92</f>
        <v>0.22999999999956344</v>
      </c>
      <c r="AM27" s="19"/>
      <c r="AN27" s="19">
        <f t="shared" si="11"/>
        <v>11.309999999999491</v>
      </c>
      <c r="AO27" s="52">
        <f>'24'!G74</f>
        <v>287</v>
      </c>
      <c r="AP27" s="55">
        <f>'24'!G35</f>
        <v>1945</v>
      </c>
      <c r="AQ27" s="19">
        <f>'24'!G37</f>
        <v>-0.30999999999767169</v>
      </c>
      <c r="AR27" s="19">
        <f>'24'!G38</f>
        <v>2037</v>
      </c>
      <c r="AS27" s="19">
        <f>'24'!G39</f>
        <v>0.18999999994412065</v>
      </c>
      <c r="AT27" s="19">
        <f>'24'!G40</f>
        <v>727</v>
      </c>
      <c r="AU27" s="19">
        <f>'24'!G41</f>
        <v>4754</v>
      </c>
      <c r="AV27" s="19">
        <f>'24'!G42</f>
        <v>0</v>
      </c>
      <c r="AW27" s="19">
        <f>'24'!G43</f>
        <v>0</v>
      </c>
      <c r="AX27" s="23">
        <f>'24'!G44</f>
        <v>0</v>
      </c>
      <c r="AY27" s="56">
        <f>'24'!G36</f>
        <v>605</v>
      </c>
      <c r="AZ27" s="55">
        <f>'24'!G49</f>
        <v>1489</v>
      </c>
      <c r="BA27" s="19">
        <f>'24'!G51</f>
        <v>910</v>
      </c>
      <c r="BB27" s="19">
        <f>'24'!G52</f>
        <v>0</v>
      </c>
      <c r="BC27" s="19">
        <f>'24'!G53</f>
        <v>4061</v>
      </c>
      <c r="BD27" s="19">
        <f>'24'!G54</f>
        <v>140</v>
      </c>
      <c r="BE27" s="19">
        <f>'24'!G55</f>
        <v>0</v>
      </c>
      <c r="BF27" s="19">
        <f>'24'!G56</f>
        <v>0</v>
      </c>
      <c r="BG27" s="19">
        <f>'24'!G57</f>
        <v>2304</v>
      </c>
      <c r="BH27" s="56">
        <f>'24'!G50</f>
        <v>1451</v>
      </c>
      <c r="BI27" s="60">
        <f t="shared" si="12"/>
        <v>4754</v>
      </c>
      <c r="BJ27" s="60">
        <f>'24'!G133</f>
        <v>743</v>
      </c>
      <c r="BK27" s="23">
        <f t="shared" si="13"/>
        <v>51.626236284013189</v>
      </c>
      <c r="BL27" s="23">
        <f t="shared" si="14"/>
        <v>19.983220981154084</v>
      </c>
      <c r="BM27" s="24">
        <f t="shared" si="15"/>
        <v>0.10023126506913349</v>
      </c>
      <c r="BN27" s="25">
        <f t="shared" si="16"/>
        <v>290165.31000000006</v>
      </c>
      <c r="BO27" s="38">
        <f t="shared" si="17"/>
        <v>7801</v>
      </c>
      <c r="BP27">
        <f t="shared" si="18"/>
        <v>1.1394975167982659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0.79</v>
      </c>
      <c r="F28" s="50">
        <f>'25'!D2</f>
        <v>0.4</v>
      </c>
      <c r="G28" s="19">
        <f>'25'!G7</f>
        <v>21091</v>
      </c>
      <c r="H28" s="19">
        <f>'25'!G8</f>
        <v>21168</v>
      </c>
      <c r="I28" s="19">
        <v>9.9700000000000006</v>
      </c>
      <c r="J28" s="49">
        <f t="shared" si="3"/>
        <v>211044.96000000002</v>
      </c>
      <c r="K28" s="45">
        <f t="shared" si="4"/>
        <v>104.79207920792079</v>
      </c>
      <c r="L28" s="19">
        <f>'25'!G15</f>
        <v>859</v>
      </c>
      <c r="M28" s="19">
        <v>75</v>
      </c>
      <c r="N28" s="41">
        <f t="shared" si="5"/>
        <v>64425</v>
      </c>
      <c r="O28" s="19">
        <f>'25'!G20</f>
        <v>173</v>
      </c>
      <c r="P28" s="19">
        <v>110</v>
      </c>
      <c r="Q28" s="46">
        <f t="shared" si="0"/>
        <v>19030</v>
      </c>
      <c r="R28" s="47">
        <f t="shared" si="1"/>
        <v>214.10891089108907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89</v>
      </c>
      <c r="W28" s="22">
        <f>'25'!G66</f>
        <v>5</v>
      </c>
      <c r="X28" s="22">
        <f>'25'!G67</f>
        <v>11</v>
      </c>
      <c r="Y28" s="22">
        <f t="shared" si="7"/>
        <v>105</v>
      </c>
      <c r="Z28" s="19">
        <f>'25'!G84</f>
        <v>24</v>
      </c>
      <c r="AA28" s="19">
        <f>'25'!G85</f>
        <v>0</v>
      </c>
      <c r="AB28" s="19">
        <f>'25'!G86</f>
        <v>0</v>
      </c>
      <c r="AC28" s="19">
        <f>'25'!G87</f>
        <v>0</v>
      </c>
      <c r="AD28" s="19">
        <f t="shared" si="8"/>
        <v>24</v>
      </c>
      <c r="AE28" s="23">
        <f t="shared" si="2"/>
        <v>5468</v>
      </c>
      <c r="AF28" s="23">
        <f t="shared" si="9"/>
        <v>227.83333333333334</v>
      </c>
      <c r="AG28" s="19">
        <f>'25'!G88</f>
        <v>0</v>
      </c>
      <c r="AH28" s="19">
        <f>'25'!G89</f>
        <v>6.5900000000001455</v>
      </c>
      <c r="AI28" s="19">
        <f>'25'!G90</f>
        <v>8.6300000000046566</v>
      </c>
      <c r="AJ28" s="19">
        <f t="shared" si="10"/>
        <v>15.220000000004802</v>
      </c>
      <c r="AK28" s="19">
        <f>'25'!G91</f>
        <v>10.970000000000255</v>
      </c>
      <c r="AL28" s="19">
        <f>'25'!G92</f>
        <v>0</v>
      </c>
      <c r="AM28" s="19"/>
      <c r="AN28" s="19">
        <f t="shared" si="11"/>
        <v>10.970000000000255</v>
      </c>
      <c r="AO28" s="52">
        <f>'25'!G74</f>
        <v>285</v>
      </c>
      <c r="AP28" s="55">
        <f>'25'!G35</f>
        <v>1845</v>
      </c>
      <c r="AQ28" s="19">
        <f>'25'!G37</f>
        <v>0</v>
      </c>
      <c r="AR28" s="19">
        <f>'25'!G38</f>
        <v>2095</v>
      </c>
      <c r="AS28" s="19">
        <f>'25'!G39</f>
        <v>0</v>
      </c>
      <c r="AT28" s="19">
        <f>'25'!G40</f>
        <v>708</v>
      </c>
      <c r="AU28" s="19">
        <f>'25'!G41</f>
        <v>5468</v>
      </c>
      <c r="AV28" s="19"/>
      <c r="AW28" s="19">
        <f>'25'!G43</f>
        <v>0</v>
      </c>
      <c r="AX28" s="23">
        <f>'25'!G44</f>
        <v>0</v>
      </c>
      <c r="AY28" s="56">
        <f>'25'!G36</f>
        <v>601</v>
      </c>
      <c r="AZ28" s="55">
        <f>'25'!G49</f>
        <v>1485</v>
      </c>
      <c r="BA28" s="19">
        <f>'25'!G51</f>
        <v>961</v>
      </c>
      <c r="BB28" s="19">
        <f>'25'!G52</f>
        <v>0</v>
      </c>
      <c r="BC28" s="19">
        <f>'25'!G53</f>
        <v>4086</v>
      </c>
      <c r="BD28" s="19">
        <f>'24'!G54</f>
        <v>140</v>
      </c>
      <c r="BE28" s="19">
        <f>'25'!G55</f>
        <v>0</v>
      </c>
      <c r="BF28" s="19">
        <f>'25'!G56</f>
        <v>0</v>
      </c>
      <c r="BG28" s="19">
        <f>'25'!G57</f>
        <v>2391</v>
      </c>
      <c r="BH28" s="56">
        <f>'25'!G50</f>
        <v>1464</v>
      </c>
      <c r="BI28" s="60">
        <f t="shared" si="12"/>
        <v>5468</v>
      </c>
      <c r="BJ28" s="60">
        <f>'25'!G133</f>
        <v>730</v>
      </c>
      <c r="BK28" s="23">
        <f t="shared" si="13"/>
        <v>52.858087679516252</v>
      </c>
      <c r="BL28" s="23">
        <f t="shared" si="14"/>
        <v>19.302721088435373</v>
      </c>
      <c r="BM28" s="24">
        <f t="shared" si="15"/>
        <v>9.8970143613000758E-2</v>
      </c>
      <c r="BN28" s="25">
        <f t="shared" si="16"/>
        <v>294499.96000000002</v>
      </c>
      <c r="BO28" s="38">
        <f t="shared" si="17"/>
        <v>8589</v>
      </c>
      <c r="BP28">
        <f t="shared" si="18"/>
        <v>1.278125</v>
      </c>
    </row>
    <row r="29" spans="1:68">
      <c r="A29" s="16">
        <v>26</v>
      </c>
      <c r="B29" s="26">
        <v>26</v>
      </c>
      <c r="C29" s="29"/>
      <c r="D29" s="19">
        <f>'26'!D3</f>
        <v>28</v>
      </c>
      <c r="E29" s="50">
        <f>'26'!D4</f>
        <v>0.79</v>
      </c>
      <c r="F29" s="50">
        <f>'26'!D2</f>
        <v>0.54449999999999998</v>
      </c>
      <c r="G29" s="19">
        <f>'26'!G7</f>
        <v>22760.240000000107</v>
      </c>
      <c r="H29" s="19">
        <f>'26'!G8</f>
        <v>22938.400000000023</v>
      </c>
      <c r="I29" s="19">
        <v>9.9700000000000006</v>
      </c>
      <c r="J29" s="49">
        <f t="shared" si="3"/>
        <v>228695.84800000026</v>
      </c>
      <c r="K29" s="45">
        <f t="shared" si="4"/>
        <v>113.55643564356447</v>
      </c>
      <c r="L29" s="19">
        <f>'26'!G15</f>
        <v>994.54000000003725</v>
      </c>
      <c r="M29" s="19">
        <v>75</v>
      </c>
      <c r="N29" s="41">
        <f t="shared" si="5"/>
        <v>74590.500000002794</v>
      </c>
      <c r="O29" s="19">
        <f>'26'!G20</f>
        <v>314</v>
      </c>
      <c r="P29" s="19">
        <v>110</v>
      </c>
      <c r="Q29" s="46">
        <f t="shared" si="0"/>
        <v>34540</v>
      </c>
      <c r="R29" s="47">
        <f t="shared" si="1"/>
        <v>285.48309376392189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113</v>
      </c>
      <c r="W29" s="22">
        <f>'26'!G66</f>
        <v>8</v>
      </c>
      <c r="X29" s="22">
        <f>'26'!G67</f>
        <v>16</v>
      </c>
      <c r="Y29" s="22">
        <f t="shared" si="7"/>
        <v>137</v>
      </c>
      <c r="Z29" s="19">
        <f>'26'!G84</f>
        <v>23.559999999997672</v>
      </c>
      <c r="AA29" s="19">
        <f>'26'!G85</f>
        <v>0.1999999999998181</v>
      </c>
      <c r="AB29" s="19">
        <f>'26'!G86</f>
        <v>0</v>
      </c>
      <c r="AC29" s="19">
        <f>'26'!G87</f>
        <v>4.6299999999973807</v>
      </c>
      <c r="AD29" s="19">
        <f t="shared" si="8"/>
        <v>28.38999999999487</v>
      </c>
      <c r="AE29" s="23">
        <f t="shared" si="2"/>
        <v>5816.8299999999872</v>
      </c>
      <c r="AF29" s="23">
        <f t="shared" si="9"/>
        <v>204.89010214868046</v>
      </c>
      <c r="AG29" s="19">
        <f>'26'!G88</f>
        <v>6.2299999999995634</v>
      </c>
      <c r="AH29" s="19">
        <f>'26'!G89</f>
        <v>3.8999999999978172</v>
      </c>
      <c r="AI29" s="19">
        <f>'26'!G90</f>
        <v>10.239999999990687</v>
      </c>
      <c r="AJ29" s="19">
        <f t="shared" si="10"/>
        <v>20.369999999988067</v>
      </c>
      <c r="AK29" s="19">
        <f>'26'!G91</f>
        <v>11.119999999999891</v>
      </c>
      <c r="AL29" s="19">
        <f>'26'!G92</f>
        <v>0</v>
      </c>
      <c r="AM29" s="19"/>
      <c r="AN29" s="19">
        <f t="shared" si="11"/>
        <v>11.119999999999891</v>
      </c>
      <c r="AO29" s="52">
        <f>'26'!G74</f>
        <v>288.29999999993015</v>
      </c>
      <c r="AP29" s="55">
        <f>'26'!G35</f>
        <v>0</v>
      </c>
      <c r="AQ29" s="19">
        <f>'26'!G37</f>
        <v>0</v>
      </c>
      <c r="AR29" s="19">
        <f>'26'!G38</f>
        <v>2105</v>
      </c>
      <c r="AS29" s="19">
        <f>'26'!G39</f>
        <v>0</v>
      </c>
      <c r="AT29" s="19">
        <f>'26'!G40</f>
        <v>795.80999999999767</v>
      </c>
      <c r="AU29" s="19">
        <f>'26'!G41</f>
        <v>5286.1599999999744</v>
      </c>
      <c r="AV29" s="19">
        <f>'26'!G42</f>
        <v>0</v>
      </c>
      <c r="AW29" s="19">
        <f>'26'!G43</f>
        <v>0</v>
      </c>
      <c r="AX29" s="23">
        <f>'26'!G44</f>
        <v>0</v>
      </c>
      <c r="AY29" s="56">
        <f>'26'!G36</f>
        <v>908.81999999994878</v>
      </c>
      <c r="AZ29" s="55">
        <f>'26'!G49</f>
        <v>3688.9599999999627</v>
      </c>
      <c r="BA29" s="19">
        <f>'26'!G51</f>
        <v>1059.4600000000064</v>
      </c>
      <c r="BB29" s="19">
        <f>'26'!G52</f>
        <v>0</v>
      </c>
      <c r="BC29" s="19">
        <f>'26'!G53</f>
        <v>4206.8600000000442</v>
      </c>
      <c r="BD29" s="19">
        <f>'26'!G54</f>
        <v>186.58000000000175</v>
      </c>
      <c r="BE29" s="19">
        <f>'26'!G55</f>
        <v>0</v>
      </c>
      <c r="BF29" s="19">
        <f>'26'!G56</f>
        <v>530.67000000001281</v>
      </c>
      <c r="BG29" s="19">
        <f>'26'!G57</f>
        <v>2720.7600000000093</v>
      </c>
      <c r="BH29" s="56">
        <f>'26'!G50</f>
        <v>1300.039999999979</v>
      </c>
      <c r="BI29" s="60">
        <f t="shared" si="12"/>
        <v>5816.8299999999872</v>
      </c>
      <c r="BJ29" s="60">
        <f>'26'!G133</f>
        <v>827.9199999999837</v>
      </c>
      <c r="BK29" s="23">
        <f t="shared" si="13"/>
        <v>53.30166881735407</v>
      </c>
      <c r="BL29" s="23">
        <f t="shared" si="14"/>
        <v>18.339814459596308</v>
      </c>
      <c r="BM29" s="24">
        <f t="shared" si="15"/>
        <v>9.1767516478917358E-2</v>
      </c>
      <c r="BN29" s="25">
        <f t="shared" si="16"/>
        <v>337826.34800000302</v>
      </c>
      <c r="BO29" s="38">
        <f t="shared" si="17"/>
        <v>9365.5099999999802</v>
      </c>
      <c r="BP29">
        <f t="shared" si="18"/>
        <v>1.1781701303277905</v>
      </c>
    </row>
    <row r="30" spans="1:68">
      <c r="A30" s="16">
        <v>27</v>
      </c>
      <c r="B30" s="17">
        <v>27</v>
      </c>
      <c r="C30" s="28"/>
      <c r="D30" s="19">
        <f>'27'!D3</f>
        <v>32</v>
      </c>
      <c r="E30" s="50">
        <f>'27'!D4</f>
        <v>0.76</v>
      </c>
      <c r="F30" s="50">
        <f>'27'!D2</f>
        <v>0.76</v>
      </c>
      <c r="G30" s="19">
        <f>'27'!G7</f>
        <v>23422.689999999944</v>
      </c>
      <c r="H30" s="19">
        <f>'27'!G8</f>
        <v>23600.689999999944</v>
      </c>
      <c r="I30" s="19">
        <v>9.9700000000000006</v>
      </c>
      <c r="J30" s="49">
        <f t="shared" si="3"/>
        <v>235298.87929999945</v>
      </c>
      <c r="K30" s="45">
        <f t="shared" si="4"/>
        <v>116.83509900990072</v>
      </c>
      <c r="L30" s="19">
        <f>'27'!G15</f>
        <v>996.47999999998137</v>
      </c>
      <c r="M30" s="19">
        <v>75</v>
      </c>
      <c r="N30" s="41">
        <f t="shared" si="5"/>
        <v>74735.999999998603</v>
      </c>
      <c r="O30" s="19">
        <f>'27'!G20</f>
        <v>272</v>
      </c>
      <c r="P30" s="19">
        <v>110</v>
      </c>
      <c r="Q30" s="46">
        <f t="shared" si="0"/>
        <v>29920</v>
      </c>
      <c r="R30" s="47">
        <f t="shared" si="1"/>
        <v>177.17561229807191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89</v>
      </c>
      <c r="W30" s="22">
        <f>'27'!G66</f>
        <v>7</v>
      </c>
      <c r="X30" s="22">
        <f>'27'!G67</f>
        <v>19</v>
      </c>
      <c r="Y30" s="22">
        <f t="shared" si="7"/>
        <v>115</v>
      </c>
      <c r="Z30" s="19">
        <f>'27'!G84</f>
        <v>23.529999999998836</v>
      </c>
      <c r="AA30" s="19">
        <f>'27'!G85</f>
        <v>0</v>
      </c>
      <c r="AB30" s="19">
        <f>'27'!G86</f>
        <v>1.0000000002037268E-2</v>
      </c>
      <c r="AC30" s="19">
        <f>'27'!G87</f>
        <v>10.860000000000582</v>
      </c>
      <c r="AD30" s="19">
        <f t="shared" si="8"/>
        <v>34.400000000001455</v>
      </c>
      <c r="AE30" s="23">
        <f t="shared" si="2"/>
        <v>5911.460000000021</v>
      </c>
      <c r="AF30" s="23">
        <f t="shared" si="9"/>
        <v>171.8447674418538</v>
      </c>
      <c r="AG30" s="19">
        <f>'27'!G88</f>
        <v>2.930000000000291</v>
      </c>
      <c r="AH30" s="19">
        <f>'27'!G89</f>
        <v>7.4099999999998545</v>
      </c>
      <c r="AI30" s="19">
        <f>'27'!G90</f>
        <v>9.3200000000069849</v>
      </c>
      <c r="AJ30" s="19">
        <f t="shared" si="10"/>
        <v>19.66000000000713</v>
      </c>
      <c r="AK30" s="19">
        <f>'27'!G91</f>
        <v>10.960000000000036</v>
      </c>
      <c r="AL30" s="19">
        <f>'27'!G92</f>
        <v>0</v>
      </c>
      <c r="AM30" s="19"/>
      <c r="AN30" s="19">
        <f t="shared" si="11"/>
        <v>10.960000000000036</v>
      </c>
      <c r="AO30" s="52">
        <f>'27'!G74</f>
        <v>282.96999999997206</v>
      </c>
      <c r="AP30" s="55">
        <f>'27'!G35</f>
        <v>0</v>
      </c>
      <c r="AQ30" s="19">
        <f>'27'!G37</f>
        <v>0</v>
      </c>
      <c r="AR30" s="19">
        <f>'27'!G38</f>
        <v>2064.3199999999488</v>
      </c>
      <c r="AS30" s="19">
        <f>'27'!G39</f>
        <v>0</v>
      </c>
      <c r="AT30" s="19">
        <f>'27'!G40</f>
        <v>778.20999999999185</v>
      </c>
      <c r="AU30" s="19">
        <f>'27'!G41</f>
        <v>4673.2000000000116</v>
      </c>
      <c r="AV30" s="19">
        <f>'27'!G42</f>
        <v>0</v>
      </c>
      <c r="AW30" s="19">
        <f>'27'!G43</f>
        <v>0</v>
      </c>
      <c r="AX30" s="23">
        <f>'27'!G44</f>
        <v>0</v>
      </c>
      <c r="AY30" s="56">
        <f>'27'!G36</f>
        <v>1025.5900000000256</v>
      </c>
      <c r="AZ30" s="55">
        <f>'27'!G49</f>
        <v>3695.5</v>
      </c>
      <c r="BA30" s="19">
        <f>'27'!G51</f>
        <v>1033.0800000000017</v>
      </c>
      <c r="BB30" s="19">
        <f>'27'!G52</f>
        <v>0</v>
      </c>
      <c r="BC30" s="19">
        <f>'27'!G53</f>
        <v>4100.4599999999627</v>
      </c>
      <c r="BD30" s="19">
        <f>'27'!G54</f>
        <v>168.94000000000233</v>
      </c>
      <c r="BE30" s="19">
        <f>'27'!G55</f>
        <v>0</v>
      </c>
      <c r="BF30" s="19">
        <f>'27'!G56</f>
        <v>1238.2600000000093</v>
      </c>
      <c r="BG30" s="19">
        <f>'27'!G57</f>
        <v>2759.570000000007</v>
      </c>
      <c r="BH30" s="56">
        <f>'27'!G50</f>
        <v>1498.039999999979</v>
      </c>
      <c r="BI30" s="60">
        <f t="shared" si="12"/>
        <v>5911.460000000021</v>
      </c>
      <c r="BJ30" s="60">
        <f>'27'!G133</f>
        <v>885.38000000000466</v>
      </c>
      <c r="BK30" s="23">
        <f t="shared" si="13"/>
        <v>52.399018842245958</v>
      </c>
      <c r="BL30" s="23">
        <f t="shared" si="14"/>
        <v>17.374322530400477</v>
      </c>
      <c r="BM30" s="24">
        <f t="shared" si="15"/>
        <v>8.7468629095164327E-2</v>
      </c>
      <c r="BN30" s="25">
        <f t="shared" si="16"/>
        <v>339954.87929999805</v>
      </c>
      <c r="BO30" s="38">
        <f t="shared" si="17"/>
        <v>9556.4100000000326</v>
      </c>
      <c r="BP30">
        <f t="shared" si="18"/>
        <v>0.99215220099663914</v>
      </c>
    </row>
    <row r="31" spans="1:68">
      <c r="A31" s="16">
        <v>28</v>
      </c>
      <c r="B31" s="26">
        <v>28</v>
      </c>
      <c r="C31" s="28"/>
      <c r="D31" s="19">
        <f>'28'!D3</f>
        <v>32</v>
      </c>
      <c r="E31" s="50">
        <f>'28'!D4</f>
        <v>0.7</v>
      </c>
      <c r="F31" s="50">
        <f>'28'!D2</f>
        <v>0.8</v>
      </c>
      <c r="G31" s="19">
        <f>'28'!G7</f>
        <v>27093</v>
      </c>
      <c r="H31" s="19">
        <f>'28'!G8</f>
        <v>27370.080000000075</v>
      </c>
      <c r="I31" s="19">
        <v>9.9700000000000006</v>
      </c>
      <c r="J31" s="49">
        <f t="shared" si="3"/>
        <v>272879.69760000077</v>
      </c>
      <c r="K31" s="45">
        <f t="shared" si="4"/>
        <v>135.49544554455483</v>
      </c>
      <c r="L31" s="19">
        <f>'28'!G15</f>
        <v>986</v>
      </c>
      <c r="M31" s="19">
        <v>75</v>
      </c>
      <c r="N31" s="41">
        <f t="shared" si="5"/>
        <v>73950</v>
      </c>
      <c r="O31" s="19">
        <f>'28'!G20</f>
        <v>249</v>
      </c>
      <c r="P31" s="19">
        <v>110</v>
      </c>
      <c r="Q31" s="46">
        <f t="shared" si="0"/>
        <v>27390</v>
      </c>
      <c r="R31" s="47">
        <f t="shared" si="1"/>
        <v>154.08415841584156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118</v>
      </c>
      <c r="W31" s="22">
        <f>'28'!G66</f>
        <v>7</v>
      </c>
      <c r="X31" s="22">
        <f>'28'!G67</f>
        <v>15</v>
      </c>
      <c r="Y31" s="22">
        <f t="shared" si="7"/>
        <v>140</v>
      </c>
      <c r="Z31" s="19">
        <f>'28'!G84</f>
        <v>24.180000000000291</v>
      </c>
      <c r="AA31" s="19">
        <f>'28'!G85</f>
        <v>15.940000000000509</v>
      </c>
      <c r="AB31" s="19">
        <f>'28'!G86</f>
        <v>-0.12999999999738066</v>
      </c>
      <c r="AC31" s="19">
        <f>'28'!G87</f>
        <v>0</v>
      </c>
      <c r="AD31" s="19">
        <f t="shared" si="8"/>
        <v>39.99000000000342</v>
      </c>
      <c r="AE31" s="23">
        <f t="shared" si="2"/>
        <v>9014.0400000000373</v>
      </c>
      <c r="AF31" s="23">
        <f t="shared" si="9"/>
        <v>225.40735183794115</v>
      </c>
      <c r="AG31" s="19">
        <f>'28'!G88</f>
        <v>0</v>
      </c>
      <c r="AH31" s="19">
        <f>'28'!G89</f>
        <v>8.7800000000024738</v>
      </c>
      <c r="AI31" s="19">
        <f>'28'!G90</f>
        <v>10.25</v>
      </c>
      <c r="AJ31" s="19">
        <f t="shared" si="10"/>
        <v>19.030000000002474</v>
      </c>
      <c r="AK31" s="19">
        <f>'28'!G91</f>
        <v>10.830000000000837</v>
      </c>
      <c r="AL31" s="19">
        <f>'28'!G92</f>
        <v>0</v>
      </c>
      <c r="AM31" s="19"/>
      <c r="AN31" s="19">
        <f t="shared" si="11"/>
        <v>10.830000000000837</v>
      </c>
      <c r="AO31" s="52">
        <f>'28'!G74</f>
        <v>280.71000000007916</v>
      </c>
      <c r="AP31" s="55">
        <f>'28'!G35</f>
        <v>0</v>
      </c>
      <c r="AQ31" s="19">
        <f>'28'!G37</f>
        <v>0</v>
      </c>
      <c r="AR31" s="19">
        <f>'28'!G38</f>
        <v>2196.0400000000373</v>
      </c>
      <c r="AS31" s="19">
        <f>'28'!G39</f>
        <v>0</v>
      </c>
      <c r="AT31" s="19">
        <f>'28'!G40</f>
        <v>924.04000000000815</v>
      </c>
      <c r="AU31" s="19">
        <f>'28'!G41</f>
        <v>5388.5100000000093</v>
      </c>
      <c r="AV31" s="19">
        <f>'28'!G42</f>
        <v>3625.5300000000279</v>
      </c>
      <c r="AW31" s="86">
        <f>'28'!G43</f>
        <v>-3.0000000027939677E-2</v>
      </c>
      <c r="AX31" s="23">
        <f>'28'!G44</f>
        <v>0</v>
      </c>
      <c r="AY31" s="56">
        <f>'28'!G36</f>
        <v>1181.3099999999977</v>
      </c>
      <c r="AZ31" s="55">
        <f>'28'!G49</f>
        <v>3724.2600000000093</v>
      </c>
      <c r="BA31" s="19">
        <f>'28'!G51</f>
        <v>1077.1299999999901</v>
      </c>
      <c r="BB31" s="19">
        <f>'28'!G52</f>
        <v>0</v>
      </c>
      <c r="BC31" s="19">
        <f>'28'!G53</f>
        <v>4355.7800000000279</v>
      </c>
      <c r="BD31" s="19">
        <f>'28'!G54</f>
        <v>170.79999999998836</v>
      </c>
      <c r="BE31" s="19">
        <f>'28'!G55</f>
        <v>0</v>
      </c>
      <c r="BF31" s="19">
        <f>'28'!G56</f>
        <v>0</v>
      </c>
      <c r="BG31" s="19">
        <f>'28'!G57</f>
        <v>3044.7900000000373</v>
      </c>
      <c r="BH31" s="56">
        <f>'28'!G50</f>
        <v>1882.8400000000256</v>
      </c>
      <c r="BI31" s="60">
        <f t="shared" si="12"/>
        <v>9014.0400000000373</v>
      </c>
      <c r="BJ31" s="60">
        <f>'28'!G133</f>
        <v>855.26000000000931</v>
      </c>
      <c r="BK31" s="23">
        <f>SUM(AP31,AU31,AV31,AW31,AZ31,BE31,BF31,BG31)/H31%</f>
        <v>57.66537766787679</v>
      </c>
      <c r="BL31" s="23">
        <f t="shared" si="14"/>
        <v>15.914385343411549</v>
      </c>
      <c r="BM31" s="24">
        <f t="shared" si="15"/>
        <v>8.0235059597927053E-2</v>
      </c>
      <c r="BN31" s="25">
        <f t="shared" si="16"/>
        <v>374219.69760000077</v>
      </c>
      <c r="BO31" s="38">
        <f t="shared" si="17"/>
        <v>12914.060000000056</v>
      </c>
      <c r="BP31">
        <f t="shared" si="18"/>
        <v>1.1533294037794226</v>
      </c>
    </row>
    <row r="32" spans="1:68">
      <c r="A32" s="16">
        <v>29</v>
      </c>
      <c r="B32" s="26">
        <v>29</v>
      </c>
      <c r="C32" s="28"/>
      <c r="D32" s="19">
        <f>'29'!D3</f>
        <v>27</v>
      </c>
      <c r="E32" s="50">
        <f>'29'!D4</f>
        <v>0.79</v>
      </c>
      <c r="F32" s="50">
        <f>'29'!D2</f>
        <v>0.75</v>
      </c>
      <c r="G32" s="19">
        <f>'29'!G7</f>
        <v>26774</v>
      </c>
      <c r="H32" s="19">
        <f>'29'!G8</f>
        <v>27051</v>
      </c>
      <c r="I32" s="19">
        <v>9.9700000000000006</v>
      </c>
      <c r="J32" s="49">
        <f t="shared" si="3"/>
        <v>269698.47000000003</v>
      </c>
      <c r="K32" s="45">
        <f t="shared" si="4"/>
        <v>133.91584158415841</v>
      </c>
      <c r="L32" s="19">
        <f>'29'!G15</f>
        <v>1028.2999999998137</v>
      </c>
      <c r="M32" s="19">
        <v>75</v>
      </c>
      <c r="N32" s="41">
        <f t="shared" si="5"/>
        <v>77122.49999998603</v>
      </c>
      <c r="O32" s="19">
        <f>'29'!G20</f>
        <v>320</v>
      </c>
      <c r="P32" s="19">
        <v>110</v>
      </c>
      <c r="Q32" s="46">
        <f t="shared" si="0"/>
        <v>35200</v>
      </c>
      <c r="R32" s="47">
        <f t="shared" si="1"/>
        <v>211.22112211221125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99</v>
      </c>
      <c r="W32" s="22">
        <f>'29'!G66</f>
        <v>16</v>
      </c>
      <c r="X32" s="22">
        <f>'29'!G67</f>
        <v>15</v>
      </c>
      <c r="Y32" s="22">
        <f t="shared" si="7"/>
        <v>130</v>
      </c>
      <c r="Z32" s="19">
        <f>'29'!G84</f>
        <v>19.520000000004075</v>
      </c>
      <c r="AA32" s="19">
        <f>'29'!G85</f>
        <v>16.059999999999491</v>
      </c>
      <c r="AB32" s="19">
        <f>'29'!G86</f>
        <v>0.11999999999534339</v>
      </c>
      <c r="AC32" s="19">
        <f>'29'!G87</f>
        <v>2.3700000000026193</v>
      </c>
      <c r="AD32" s="19">
        <f t="shared" si="8"/>
        <v>38.070000000001528</v>
      </c>
      <c r="AE32" s="23">
        <f t="shared" si="2"/>
        <v>8480.8199999999197</v>
      </c>
      <c r="AF32" s="23">
        <f t="shared" si="9"/>
        <v>222.76910953505592</v>
      </c>
      <c r="AG32" s="19">
        <f>'29'!G88</f>
        <v>-6.9999999999708962E-2</v>
      </c>
      <c r="AH32" s="19">
        <f>'29'!G89</f>
        <v>9.0099999999983993</v>
      </c>
      <c r="AI32" s="19">
        <f>'29'!G90</f>
        <v>11.309999999997672</v>
      </c>
      <c r="AJ32" s="19">
        <f t="shared" si="10"/>
        <v>20.249999999996362</v>
      </c>
      <c r="AK32" s="19">
        <f>'29'!G91</f>
        <v>11.1899999999996</v>
      </c>
      <c r="AL32" s="19">
        <f>'29'!G92</f>
        <v>-0.22999999999956344</v>
      </c>
      <c r="AM32" s="19"/>
      <c r="AN32" s="19">
        <f t="shared" si="11"/>
        <v>10.960000000000036</v>
      </c>
      <c r="AO32" s="52">
        <f>'29'!G74</f>
        <v>289.71999999997206</v>
      </c>
      <c r="AP32" s="55">
        <f>'29'!G35</f>
        <v>0</v>
      </c>
      <c r="AQ32" s="19">
        <f>'29'!G37</f>
        <v>0</v>
      </c>
      <c r="AR32" s="19">
        <f>'29'!G38</f>
        <v>2184</v>
      </c>
      <c r="AS32" s="19">
        <f>'29'!G39</f>
        <v>-0.18999999994412065</v>
      </c>
      <c r="AT32" s="19">
        <f>'29'!G40</f>
        <v>914.29999999998836</v>
      </c>
      <c r="AU32" s="19">
        <f>'29'!G41</f>
        <v>3994.8499999999767</v>
      </c>
      <c r="AV32" s="19">
        <f>'29'!G42</f>
        <v>4125.8299999999581</v>
      </c>
      <c r="AW32" s="19">
        <f>'29'!G43</f>
        <v>0</v>
      </c>
      <c r="AX32" s="23">
        <f>'29'!G44</f>
        <v>0</v>
      </c>
      <c r="AY32" s="56">
        <f>'29'!G36</f>
        <v>1115.2600000000093</v>
      </c>
      <c r="AZ32" s="55">
        <f>'29'!G49</f>
        <v>3893.5999999999767</v>
      </c>
      <c r="BA32" s="19">
        <f>'29'!G51</f>
        <v>1022.9200000000128</v>
      </c>
      <c r="BB32" s="19">
        <f>'29'!G52</f>
        <v>0</v>
      </c>
      <c r="BC32" s="19">
        <f>'29'!G53</f>
        <v>4258.0499999999884</v>
      </c>
      <c r="BD32" s="19">
        <f>'29'!G54</f>
        <v>171.10000000000582</v>
      </c>
      <c r="BE32" s="19">
        <f>'29'!G55</f>
        <v>0</v>
      </c>
      <c r="BF32" s="19">
        <f>'29'!G56</f>
        <v>360.13999999998487</v>
      </c>
      <c r="BG32" s="19">
        <f>'29'!G57</f>
        <v>3077.7999999999884</v>
      </c>
      <c r="BH32" s="56">
        <f>'29'!G50</f>
        <v>1946.3699999999953</v>
      </c>
      <c r="BI32" s="60">
        <f t="shared" si="12"/>
        <v>8480.8199999999197</v>
      </c>
      <c r="BJ32" s="60">
        <f>'29'!G133</f>
        <v>873.5800000000163</v>
      </c>
      <c r="BK32" s="23">
        <f t="shared" si="13"/>
        <v>57.122546301430205</v>
      </c>
      <c r="BL32" s="23">
        <f t="shared" si="14"/>
        <v>15.74012051310504</v>
      </c>
      <c r="BM32" s="24">
        <f t="shared" si="15"/>
        <v>8.0736386824886319E-2</v>
      </c>
      <c r="BN32" s="25">
        <f t="shared" si="16"/>
        <v>382020.96999998606</v>
      </c>
      <c r="BO32" s="38">
        <f t="shared" si="17"/>
        <v>12432.199999999924</v>
      </c>
      <c r="BP32">
        <f t="shared" si="18"/>
        <v>1.1662914180644137</v>
      </c>
    </row>
    <row r="33" spans="1:68">
      <c r="A33" s="16">
        <v>30</v>
      </c>
      <c r="B33" s="27">
        <v>30</v>
      </c>
      <c r="C33" s="28"/>
      <c r="D33" s="19">
        <f>'30'!D3</f>
        <v>27</v>
      </c>
      <c r="E33" s="50">
        <f>'30'!D4</f>
        <v>0.79</v>
      </c>
      <c r="F33" s="50">
        <f>'30'!D2</f>
        <v>0.68</v>
      </c>
      <c r="G33" s="19">
        <f>'30'!G7</f>
        <v>26158</v>
      </c>
      <c r="H33" s="19">
        <f>'30'!G8</f>
        <v>26551</v>
      </c>
      <c r="I33" s="19">
        <v>9.9700000000000006</v>
      </c>
      <c r="J33" s="49">
        <f t="shared" si="3"/>
        <v>264713.47000000003</v>
      </c>
      <c r="K33" s="45">
        <f t="shared" si="4"/>
        <v>131.44059405940595</v>
      </c>
      <c r="L33" s="19">
        <f>'30'!G15</f>
        <v>1020.7000000001863</v>
      </c>
      <c r="M33" s="19">
        <v>75</v>
      </c>
      <c r="N33" s="41">
        <f t="shared" si="5"/>
        <v>76552.50000001397</v>
      </c>
      <c r="O33" s="19">
        <f>'30'!G20</f>
        <v>320</v>
      </c>
      <c r="P33" s="19">
        <v>110</v>
      </c>
      <c r="Q33" s="46">
        <f t="shared" si="0"/>
        <v>35200</v>
      </c>
      <c r="R33" s="47">
        <f t="shared" si="1"/>
        <v>232.96447291787999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111</v>
      </c>
      <c r="W33" s="22">
        <f>'30'!G66</f>
        <v>22</v>
      </c>
      <c r="X33" s="22">
        <f>'30'!G67</f>
        <v>0</v>
      </c>
      <c r="Y33" s="22">
        <f t="shared" si="7"/>
        <v>133</v>
      </c>
      <c r="Z33" s="19">
        <f>'30'!G84</f>
        <v>0</v>
      </c>
      <c r="AA33" s="19">
        <f>'30'!G85</f>
        <v>12.800000000000182</v>
      </c>
      <c r="AB33" s="19">
        <f>'30'!G86</f>
        <v>0</v>
      </c>
      <c r="AC33" s="19">
        <f>'30'!G87</f>
        <v>23.599999999998545</v>
      </c>
      <c r="AD33" s="19">
        <f t="shared" si="8"/>
        <v>36.399999999998727</v>
      </c>
      <c r="AE33" s="23">
        <f t="shared" si="2"/>
        <v>6346.1800000000512</v>
      </c>
      <c r="AF33" s="23">
        <f t="shared" si="9"/>
        <v>174.3456043956119</v>
      </c>
      <c r="AG33" s="19">
        <f>'30'!G88</f>
        <v>10.459999999999127</v>
      </c>
      <c r="AH33" s="19">
        <f>'30'!G89</f>
        <v>-6.9999999999708962E-2</v>
      </c>
      <c r="AI33" s="19">
        <f>'30'!G90</f>
        <v>13.490000000005239</v>
      </c>
      <c r="AJ33" s="19">
        <f t="shared" si="10"/>
        <v>23.880000000004657</v>
      </c>
      <c r="AK33" s="19">
        <f>'30'!G91</f>
        <v>11.220000000000255</v>
      </c>
      <c r="AL33" s="19">
        <f>'30'!G92</f>
        <v>0</v>
      </c>
      <c r="AM33" s="19"/>
      <c r="AN33" s="19">
        <f t="shared" si="11"/>
        <v>11.220000000000255</v>
      </c>
      <c r="AO33" s="52">
        <f>'30'!G74</f>
        <v>289.98999999999069</v>
      </c>
      <c r="AP33" s="55">
        <f>'30'!G35</f>
        <v>0</v>
      </c>
      <c r="AQ33" s="19">
        <f>'30'!G37</f>
        <v>0</v>
      </c>
      <c r="AR33" s="19">
        <f>'30'!G38</f>
        <v>2269.3699999999953</v>
      </c>
      <c r="AS33" s="19">
        <f>'30'!G39</f>
        <v>0.18999999994412065</v>
      </c>
      <c r="AT33" s="19">
        <f>'30'!G40</f>
        <v>813.97000000000116</v>
      </c>
      <c r="AU33" s="19">
        <f>'30'!G41</f>
        <v>0.45000000001164153</v>
      </c>
      <c r="AV33" s="19">
        <f>'30'!G42</f>
        <v>2931.1700000000419</v>
      </c>
      <c r="AW33" s="19">
        <f>'30'!G43</f>
        <v>0</v>
      </c>
      <c r="AX33" s="23">
        <f>'30'!G44</f>
        <v>0</v>
      </c>
      <c r="AY33" s="56">
        <f>'30'!G36</f>
        <v>783.92999999999302</v>
      </c>
      <c r="AZ33" s="55">
        <f>'30'!G49</f>
        <v>4039.25</v>
      </c>
      <c r="BA33" s="19">
        <f>'30'!G51</f>
        <v>1064.679999999993</v>
      </c>
      <c r="BB33" s="19">
        <f>'30'!G52</f>
        <v>0</v>
      </c>
      <c r="BC33" s="19">
        <f>'30'!G53</f>
        <v>4282.5</v>
      </c>
      <c r="BD33" s="19">
        <f>'30'!G54</f>
        <v>166.25</v>
      </c>
      <c r="BE33" s="19">
        <f>'30'!G55</f>
        <v>0.48999999999068677</v>
      </c>
      <c r="BF33" s="19">
        <f>'30'!G56</f>
        <v>3414.070000000007</v>
      </c>
      <c r="BG33" s="19">
        <f>'30'!G57</f>
        <v>2959.609999999986</v>
      </c>
      <c r="BH33" s="56">
        <f>'30'!G50</f>
        <v>1771</v>
      </c>
      <c r="BI33" s="60">
        <f t="shared" ref="BI33" si="19">SUM(AU33,AV33,BE33,BF33)</f>
        <v>6346.1800000000512</v>
      </c>
      <c r="BJ33" s="60">
        <f>'30'!G133</f>
        <v>918.48999999999069</v>
      </c>
      <c r="BK33" s="23">
        <f t="shared" si="13"/>
        <v>50.261911039132379</v>
      </c>
      <c r="BL33" s="23">
        <f t="shared" si="14"/>
        <v>16.130051598809629</v>
      </c>
      <c r="BM33" s="24">
        <f t="shared" si="15"/>
        <v>8.5472110278332097E-2</v>
      </c>
      <c r="BN33" s="25">
        <f t="shared" si="16"/>
        <v>376465.970000014</v>
      </c>
      <c r="BO33" s="38">
        <f t="shared" si="17"/>
        <v>10224.280000000028</v>
      </c>
      <c r="BP33">
        <f t="shared" si="18"/>
        <v>1.003167189952942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27</v>
      </c>
      <c r="G34" s="19">
        <f>'31'!G7</f>
        <v>-758506</v>
      </c>
      <c r="H34" s="19">
        <f>'31'!G8</f>
        <v>233466</v>
      </c>
      <c r="I34" s="19">
        <v>9.9700000000000006</v>
      </c>
      <c r="J34" s="49">
        <f t="shared" si="3"/>
        <v>2327656.02</v>
      </c>
      <c r="K34" s="45">
        <f t="shared" ref="K34" si="20">H34/202</f>
        <v>1155.7722772277227</v>
      </c>
      <c r="L34" s="19">
        <f>'31'!G15</f>
        <v>967</v>
      </c>
      <c r="M34" s="19">
        <v>75</v>
      </c>
      <c r="N34" s="41">
        <f t="shared" ref="N34" si="21">L34*M34</f>
        <v>72525</v>
      </c>
      <c r="O34" s="19">
        <f>'31'!G20</f>
        <v>-1420</v>
      </c>
      <c r="P34" s="19">
        <v>110</v>
      </c>
      <c r="Q34" s="46">
        <f t="shared" ref="Q34" si="22">O34*P34</f>
        <v>-156200</v>
      </c>
      <c r="R34" s="47">
        <f t="shared" si="1"/>
        <v>-26.035936927026036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-2998</v>
      </c>
      <c r="W34" s="22">
        <f>'31'!G66</f>
        <v>-308</v>
      </c>
      <c r="X34" s="22">
        <f>'31'!G67</f>
        <v>-510</v>
      </c>
      <c r="Y34" s="22">
        <f t="shared" ref="Y34" si="24">V34+W34+X34</f>
        <v>-3816</v>
      </c>
      <c r="Z34" s="19">
        <f>'31'!G84</f>
        <v>-454.25</v>
      </c>
      <c r="AA34" s="19">
        <f>'31'!G85</f>
        <v>-112</v>
      </c>
      <c r="AB34" s="19">
        <f>'31'!G86</f>
        <v>-350.04999999999563</v>
      </c>
      <c r="AC34" s="19">
        <f>'31'!G87</f>
        <v>-169.19999999999709</v>
      </c>
      <c r="AD34" s="19">
        <f t="shared" ref="AD34" si="25">Z34+AA34+AB34+AC34</f>
        <v>-1085.4999999999927</v>
      </c>
      <c r="AE34" s="23">
        <f t="shared" ref="AE34" si="26">AU34+AV34+BE34+BF34</f>
        <v>-200191.93999999994</v>
      </c>
      <c r="AF34" s="23">
        <f t="shared" ref="AF34" si="27">AE34/AD34</f>
        <v>184.42371257485149</v>
      </c>
      <c r="AG34" s="19">
        <f>'31'!G88</f>
        <v>-88.799999999999272</v>
      </c>
      <c r="AH34" s="19">
        <f>'31'!G89</f>
        <v>-185.97999999999956</v>
      </c>
      <c r="AI34" s="19">
        <f>'31'!G90</f>
        <v>-313.02000000000407</v>
      </c>
      <c r="AJ34" s="19">
        <f t="shared" ref="AJ34" si="28">AG34+AH34+AI34</f>
        <v>-587.80000000000291</v>
      </c>
      <c r="AK34" s="19">
        <f>'31'!G91</f>
        <v>-330.28000000000065</v>
      </c>
      <c r="AL34" s="19">
        <f>'31'!G92</f>
        <v>0</v>
      </c>
      <c r="AM34" s="19"/>
      <c r="AN34" s="19">
        <f t="shared" ref="AN34" si="29">AK34+AL34</f>
        <v>-330.28000000000065</v>
      </c>
      <c r="AO34" s="52">
        <f>'31'!G74</f>
        <v>-8628.2199999999721</v>
      </c>
      <c r="AP34" s="55">
        <f>'31'!G35</f>
        <v>0</v>
      </c>
      <c r="AQ34" s="19">
        <f>'31'!G37</f>
        <v>0</v>
      </c>
      <c r="AR34" s="19">
        <f>'31'!G38</f>
        <v>-67961.5</v>
      </c>
      <c r="AS34" s="19">
        <f>'31'!G39</f>
        <v>0</v>
      </c>
      <c r="AT34" s="19">
        <f>'31'!G40</f>
        <v>-24708.76999999999</v>
      </c>
      <c r="AU34" s="19">
        <f>'31'!G41</f>
        <v>-99138.93</v>
      </c>
      <c r="AV34" s="19">
        <f>'31'!G42</f>
        <v>-26068.449999999953</v>
      </c>
      <c r="AW34" s="19">
        <f>'31'!G43</f>
        <v>0</v>
      </c>
      <c r="AX34" s="23">
        <f>'31'!G44</f>
        <v>0</v>
      </c>
      <c r="AY34" s="56">
        <f>'31'!G36</f>
        <v>-27665.950000000012</v>
      </c>
      <c r="AZ34" s="55">
        <f>'31'!G49</f>
        <v>-113669.41000000003</v>
      </c>
      <c r="BA34" s="19">
        <f>'31'!G51</f>
        <v>-30865.739999999998</v>
      </c>
      <c r="BB34" s="19">
        <f>'31'!G52</f>
        <v>0</v>
      </c>
      <c r="BC34" s="19">
        <f>'31'!G53</f>
        <v>-126826.31</v>
      </c>
      <c r="BD34" s="19">
        <f>'31'!G54</f>
        <v>-5658.9100000000035</v>
      </c>
      <c r="BE34" s="19">
        <f>'31'!G55</f>
        <v>-51313.25</v>
      </c>
      <c r="BF34" s="19">
        <f>'31'!G56</f>
        <v>-23671.309999999998</v>
      </c>
      <c r="BG34" s="19">
        <f>'31'!G57</f>
        <v>-86827.07</v>
      </c>
      <c r="BH34" s="56">
        <f>'31'!G50</f>
        <v>-45038.109999999986</v>
      </c>
      <c r="BI34" s="60">
        <f t="shared" ref="BI34" si="30">SUM(AU34,AV34,BE34,BF34)</f>
        <v>-200191.93999999994</v>
      </c>
      <c r="BJ34" s="60">
        <f>'31'!G133</f>
        <v>-25025</v>
      </c>
      <c r="BK34" s="23">
        <f t="shared" ref="BK34" si="31">SUM(AP34,AU34,AV34,AW34,AZ34,BE34,BF34,BG34)/H34%</f>
        <v>-171.62602691612483</v>
      </c>
      <c r="BL34" s="23">
        <f t="shared" ref="BL34" si="32">SUM(AS34,BC34)/H34%</f>
        <v>-54.32324621143978</v>
      </c>
      <c r="BM34" s="24">
        <f t="shared" ref="BM34" si="33">(AR34+BB34)/H34</f>
        <v>-0.29109806138795369</v>
      </c>
      <c r="BN34" s="25">
        <f t="shared" ref="BN34" si="34">J34+N34+Q34+U34</f>
        <v>2243981.02</v>
      </c>
      <c r="BO34" s="38">
        <f t="shared" ref="BO34" si="35">SUM(AU34,AV34,AW34,BE34,BF34,BG34,BJ34)</f>
        <v>-312044.00999999995</v>
      </c>
      <c r="BP34">
        <f t="shared" ref="BP34" si="36">BO34/(AD34*280)</f>
        <v>1.0266631901033165</v>
      </c>
    </row>
    <row r="35" spans="1:68">
      <c r="A35" s="16" t="s">
        <v>196</v>
      </c>
      <c r="B35" s="30"/>
      <c r="C35" s="31"/>
      <c r="D35" s="32">
        <f>AVERAGE(D4:D34)</f>
        <v>25.985806451612902</v>
      </c>
      <c r="E35" s="33"/>
      <c r="F35" s="73">
        <f>AVERAGE(F4:F34)</f>
        <v>1.4785322580645162</v>
      </c>
      <c r="G35" s="34">
        <f>SUM(G4:G34)</f>
        <v>-20896.069999999949</v>
      </c>
      <c r="H35" s="34">
        <f t="shared" ref="H35:BN35" si="37">SUM(H4:H34)</f>
        <v>979288.17</v>
      </c>
      <c r="I35" s="19">
        <v>9</v>
      </c>
      <c r="J35" s="34">
        <f t="shared" si="37"/>
        <v>9763503.054899998</v>
      </c>
      <c r="K35" s="34">
        <f t="shared" si="37"/>
        <v>4847.9612376237619</v>
      </c>
      <c r="L35" s="34">
        <f t="shared" si="37"/>
        <v>31415.020000000019</v>
      </c>
      <c r="M35" s="34">
        <f t="shared" si="37"/>
        <v>2325</v>
      </c>
      <c r="N35" s="34">
        <f t="shared" si="37"/>
        <v>2356126.5000000014</v>
      </c>
      <c r="O35" s="34">
        <f t="shared" si="37"/>
        <v>7520</v>
      </c>
      <c r="P35" s="34">
        <f t="shared" si="37"/>
        <v>3410</v>
      </c>
      <c r="Q35" s="34">
        <f t="shared" si="37"/>
        <v>827200</v>
      </c>
      <c r="R35" s="34">
        <f t="shared" si="37"/>
        <v>7575.4694902674619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461164</v>
      </c>
      <c r="W35" s="34">
        <f t="shared" si="37"/>
        <v>-4</v>
      </c>
      <c r="X35" s="34">
        <f t="shared" si="37"/>
        <v>64</v>
      </c>
      <c r="Y35" s="34">
        <f t="shared" si="37"/>
        <v>461224</v>
      </c>
      <c r="Z35" s="34">
        <f t="shared" si="37"/>
        <v>-232.26000000000204</v>
      </c>
      <c r="AA35" s="34">
        <f t="shared" si="37"/>
        <v>137</v>
      </c>
      <c r="AB35" s="34">
        <f t="shared" si="37"/>
        <v>-42.469999999993888</v>
      </c>
      <c r="AC35" s="34">
        <f t="shared" si="37"/>
        <v>77.260000000002037</v>
      </c>
      <c r="AD35" s="34">
        <f t="shared" si="37"/>
        <v>-60.469999999993888</v>
      </c>
      <c r="AE35" s="34">
        <f t="shared" si="37"/>
        <v>-16246.159999999916</v>
      </c>
      <c r="AF35" s="34">
        <f t="shared" si="37"/>
        <v>5632.061697330415</v>
      </c>
      <c r="AG35" s="34">
        <f t="shared" si="37"/>
        <v>-21.209999999999127</v>
      </c>
      <c r="AH35" s="34">
        <f t="shared" si="37"/>
        <v>43.639999999999418</v>
      </c>
      <c r="AI35" s="34">
        <f t="shared" si="37"/>
        <v>-23.150000000008731</v>
      </c>
      <c r="AJ35" s="34">
        <f t="shared" si="37"/>
        <v>-0.72000000000844011</v>
      </c>
      <c r="AK35" s="34">
        <f t="shared" si="37"/>
        <v>6.4200000000000728</v>
      </c>
      <c r="AL35" s="34">
        <f t="shared" si="37"/>
        <v>0</v>
      </c>
      <c r="AM35" s="34">
        <f t="shared" si="37"/>
        <v>0</v>
      </c>
      <c r="AN35" s="34">
        <f t="shared" si="37"/>
        <v>6.4200000000000728</v>
      </c>
      <c r="AO35" s="34">
        <f t="shared" si="37"/>
        <v>-176.53000000002794</v>
      </c>
      <c r="AP35" s="34">
        <f t="shared" si="37"/>
        <v>32766.950000000012</v>
      </c>
      <c r="AQ35" s="34">
        <f t="shared" si="37"/>
        <v>0</v>
      </c>
      <c r="AR35" s="34">
        <f t="shared" si="37"/>
        <v>-853.77000000001863</v>
      </c>
      <c r="AS35" s="34">
        <f t="shared" si="37"/>
        <v>0</v>
      </c>
      <c r="AT35" s="34">
        <f t="shared" si="37"/>
        <v>-1899.4400000000023</v>
      </c>
      <c r="AU35" s="34">
        <f t="shared" si="37"/>
        <v>-49596.31</v>
      </c>
      <c r="AV35" s="34">
        <f t="shared" si="37"/>
        <v>30725.080000000075</v>
      </c>
      <c r="AW35" s="34">
        <f t="shared" si="37"/>
        <v>0</v>
      </c>
      <c r="AX35" s="34">
        <f t="shared" si="37"/>
        <v>0</v>
      </c>
      <c r="AY35" s="34">
        <f t="shared" si="37"/>
        <v>-1599.0400000000373</v>
      </c>
      <c r="AZ35" s="34">
        <f t="shared" si="37"/>
        <v>-36355.840000000084</v>
      </c>
      <c r="BA35" s="34">
        <f t="shared" si="37"/>
        <v>19.530000000006112</v>
      </c>
      <c r="BB35" s="34">
        <f t="shared" si="37"/>
        <v>0</v>
      </c>
      <c r="BC35" s="34">
        <f t="shared" si="37"/>
        <v>-4658.6599999999744</v>
      </c>
      <c r="BD35" s="34">
        <f t="shared" si="37"/>
        <v>-2321.2400000000052</v>
      </c>
      <c r="BE35" s="34">
        <f t="shared" si="37"/>
        <v>-7337.7600000000093</v>
      </c>
      <c r="BF35" s="34">
        <f t="shared" si="37"/>
        <v>9962.8300000000163</v>
      </c>
      <c r="BG35" s="34">
        <f t="shared" si="37"/>
        <v>-828.53999999997905</v>
      </c>
      <c r="BH35" s="34">
        <f t="shared" si="37"/>
        <v>1592.179999999993</v>
      </c>
      <c r="BI35" s="34">
        <f t="shared" si="37"/>
        <v>-16246.159999999916</v>
      </c>
      <c r="BJ35" s="34">
        <f t="shared" si="37"/>
        <v>507.55000000004657</v>
      </c>
      <c r="BK35" s="34">
        <f t="shared" si="37"/>
        <v>1356.6790280545556</v>
      </c>
      <c r="BL35" s="34">
        <f t="shared" si="37"/>
        <v>439.92366901401806</v>
      </c>
      <c r="BM35" s="34">
        <f t="shared" si="37"/>
        <v>2.4168830288602319</v>
      </c>
      <c r="BN35" s="34">
        <f t="shared" si="37"/>
        <v>12946829.554900004</v>
      </c>
      <c r="BO35" s="38">
        <f t="shared" si="17"/>
        <v>-16567.149999999849</v>
      </c>
      <c r="BP35">
        <f t="shared" si="18"/>
        <v>0.97847515887462044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0</v>
      </c>
      <c r="F36" s="35">
        <f t="shared" si="38"/>
        <v>-2.0000000000000018E-2</v>
      </c>
      <c r="G36" s="35"/>
      <c r="H36" s="35">
        <f t="shared" ref="H36:AN36" si="39">H18-H17</f>
        <v>-75</v>
      </c>
      <c r="I36" s="35">
        <f t="shared" si="39"/>
        <v>0</v>
      </c>
      <c r="J36" s="42">
        <f t="shared" si="39"/>
        <v>-747.75</v>
      </c>
      <c r="K36" s="42">
        <f t="shared" si="39"/>
        <v>-0.37128712871286496</v>
      </c>
      <c r="L36" s="35">
        <f t="shared" si="39"/>
        <v>-281</v>
      </c>
      <c r="M36" s="35">
        <f t="shared" si="39"/>
        <v>0</v>
      </c>
      <c r="N36" s="42">
        <f t="shared" si="39"/>
        <v>-21075</v>
      </c>
      <c r="O36" s="35">
        <f t="shared" si="39"/>
        <v>55</v>
      </c>
      <c r="P36" s="35">
        <f t="shared" si="39"/>
        <v>0</v>
      </c>
      <c r="Q36" s="42">
        <f t="shared" si="39"/>
        <v>6050</v>
      </c>
      <c r="R36" s="42">
        <f t="shared" si="39"/>
        <v>64.623000761614634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15</v>
      </c>
      <c r="W36" s="35">
        <f t="shared" si="39"/>
        <v>-11</v>
      </c>
      <c r="X36" s="35">
        <f t="shared" si="39"/>
        <v>6</v>
      </c>
      <c r="Y36" s="35">
        <f t="shared" si="39"/>
        <v>10</v>
      </c>
      <c r="Z36" s="35">
        <f t="shared" si="39"/>
        <v>0</v>
      </c>
      <c r="AA36" s="35">
        <f t="shared" si="39"/>
        <v>11.9399999999996</v>
      </c>
      <c r="AB36" s="35">
        <f t="shared" si="39"/>
        <v>-14</v>
      </c>
      <c r="AC36" s="35">
        <f t="shared" si="39"/>
        <v>1</v>
      </c>
      <c r="AD36" s="35">
        <f t="shared" si="39"/>
        <v>-1.0600000000004002</v>
      </c>
      <c r="AE36" s="35">
        <f t="shared" si="39"/>
        <v>698.36000000004424</v>
      </c>
      <c r="AF36" s="35">
        <f t="shared" si="39"/>
        <v>22.752739435217876</v>
      </c>
      <c r="AG36" s="35">
        <f t="shared" si="39"/>
        <v>-0.82999999999810825</v>
      </c>
      <c r="AH36" s="35">
        <f t="shared" si="39"/>
        <v>0.59999999999854481</v>
      </c>
      <c r="AI36" s="35">
        <f t="shared" si="39"/>
        <v>-3.4800000000104774</v>
      </c>
      <c r="AJ36" s="35">
        <f t="shared" si="39"/>
        <v>-3.7100000000100408</v>
      </c>
      <c r="AK36" s="35">
        <f t="shared" si="39"/>
        <v>-0.56000000000040018</v>
      </c>
      <c r="AL36" s="35">
        <f t="shared" si="39"/>
        <v>0</v>
      </c>
      <c r="AM36" s="35">
        <f t="shared" si="39"/>
        <v>0</v>
      </c>
      <c r="AN36" s="35">
        <f t="shared" si="39"/>
        <v>-0.56000000000040018</v>
      </c>
      <c r="AO36" s="35"/>
      <c r="AP36" s="35">
        <f t="shared" ref="AP36:AW36" si="40">AP18-AP17</f>
        <v>-8</v>
      </c>
      <c r="AQ36" s="35">
        <f t="shared" si="40"/>
        <v>0</v>
      </c>
      <c r="AR36" s="35">
        <f t="shared" si="40"/>
        <v>93</v>
      </c>
      <c r="AS36" s="35">
        <f t="shared" si="40"/>
        <v>0.18999999994412065</v>
      </c>
      <c r="AT36" s="35">
        <f t="shared" si="40"/>
        <v>-33</v>
      </c>
      <c r="AU36" s="35">
        <f t="shared" si="40"/>
        <v>0.45000000001164153</v>
      </c>
      <c r="AV36" s="35">
        <f t="shared" si="40"/>
        <v>2615.9100000000326</v>
      </c>
      <c r="AW36" s="35">
        <f t="shared" si="40"/>
        <v>0</v>
      </c>
      <c r="AX36" s="35"/>
      <c r="AY36" s="35"/>
      <c r="AZ36" s="35">
        <f t="shared" ref="AZ36:BG36" si="41">AZ18-AZ17</f>
        <v>-175</v>
      </c>
      <c r="BA36" s="35">
        <f t="shared" si="41"/>
        <v>-2</v>
      </c>
      <c r="BB36" s="35">
        <f t="shared" si="41"/>
        <v>-0.24000000000000021</v>
      </c>
      <c r="BC36" s="35">
        <f t="shared" si="41"/>
        <v>110</v>
      </c>
      <c r="BD36" s="35">
        <f t="shared" si="41"/>
        <v>-0.21000000000640284</v>
      </c>
      <c r="BE36" s="35">
        <f t="shared" si="41"/>
        <v>-1986</v>
      </c>
      <c r="BF36" s="35">
        <f t="shared" si="41"/>
        <v>68</v>
      </c>
      <c r="BG36" s="35">
        <f t="shared" si="41"/>
        <v>63</v>
      </c>
      <c r="BH36" s="35"/>
      <c r="BI36" s="35"/>
      <c r="BJ36" s="35"/>
      <c r="BK36" s="35">
        <f>BK18-BK17</f>
        <v>2.3720123240159339</v>
      </c>
      <c r="BL36" s="35">
        <f>BL18-BL17</f>
        <v>0.47258931196105181</v>
      </c>
      <c r="BM36" s="35"/>
      <c r="BN36" s="35">
        <f>BN18-BN17</f>
        <v>-15772.75</v>
      </c>
      <c r="BO36" s="35">
        <f>BO18-BO17</f>
        <v>620.36000000004424</v>
      </c>
    </row>
    <row r="37" spans="1:68">
      <c r="F37" s="38">
        <f>AVERAGE(F4:F35)</f>
        <v>1.4785322580645162</v>
      </c>
      <c r="G37" s="38"/>
      <c r="H37" s="38">
        <f>AVERAGE(H4:H35)</f>
        <v>61205.510625000003</v>
      </c>
    </row>
    <row r="38" spans="1:68">
      <c r="B38" s="36" t="s">
        <v>66</v>
      </c>
      <c r="F38" s="72">
        <f>AVERAGE(F4:F35)</f>
        <v>1.4785322580645162</v>
      </c>
      <c r="G38" s="72"/>
    </row>
    <row r="41" spans="1:68">
      <c r="BI41">
        <f>(BI31+BJ31)/400</f>
        <v>24.673250000000117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workbookViewId="0">
      <selection activeCell="E2" sqref="E2:E15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68" t="s">
        <v>352</v>
      </c>
    </row>
    <row r="2" spans="1:17">
      <c r="A2" s="248">
        <v>1</v>
      </c>
      <c r="B2" s="369">
        <f>C2/202%</f>
        <v>57.920792079207921</v>
      </c>
      <c r="C2" s="369">
        <v>117</v>
      </c>
      <c r="D2" s="369">
        <v>2</v>
      </c>
      <c r="E2" s="369">
        <f>(C2+D2)/202%</f>
        <v>58.910891089108908</v>
      </c>
      <c r="F2" s="370">
        <v>306</v>
      </c>
      <c r="G2" s="370">
        <f>C2+D2</f>
        <v>119</v>
      </c>
      <c r="H2" s="371">
        <f>C2/202%</f>
        <v>57.920792079207921</v>
      </c>
      <c r="I2" s="372"/>
      <c r="J2" s="371">
        <f>'Section Load'!C5/G2</f>
        <v>215.70588235294119</v>
      </c>
      <c r="K2">
        <f>10/202</f>
        <v>4.9504950495049507E-2</v>
      </c>
    </row>
    <row r="3" spans="1:17">
      <c r="A3" s="248">
        <v>2</v>
      </c>
      <c r="B3" s="369">
        <f t="shared" ref="B3:B32" si="0">C3/202%</f>
        <v>63.366336633663366</v>
      </c>
      <c r="C3" s="369">
        <v>128</v>
      </c>
      <c r="D3" s="369">
        <v>2</v>
      </c>
      <c r="E3" s="369">
        <f t="shared" ref="E3:E32" si="1">(C3+D3)/202%</f>
        <v>64.356435643564353</v>
      </c>
      <c r="F3" s="370">
        <v>406</v>
      </c>
      <c r="G3" s="370">
        <f t="shared" ref="G3:G31" si="2">C3+D3</f>
        <v>130</v>
      </c>
      <c r="H3" s="371">
        <f t="shared" ref="H3:H32" si="3">C3/202%</f>
        <v>63.366336633663366</v>
      </c>
      <c r="I3" s="372"/>
      <c r="J3" s="371">
        <f>'Section Load'!C6/G3</f>
        <v>197.45384615384614</v>
      </c>
    </row>
    <row r="4" spans="1:17">
      <c r="A4" s="248">
        <v>3</v>
      </c>
      <c r="B4" s="369">
        <f t="shared" si="0"/>
        <v>67.821782178217816</v>
      </c>
      <c r="C4" s="369">
        <v>137</v>
      </c>
      <c r="D4" s="369">
        <v>3</v>
      </c>
      <c r="E4" s="369">
        <f t="shared" si="1"/>
        <v>69.306930693069305</v>
      </c>
      <c r="F4" s="370">
        <v>744</v>
      </c>
      <c r="G4" s="370">
        <f t="shared" si="2"/>
        <v>140</v>
      </c>
      <c r="H4" s="371">
        <f t="shared" si="3"/>
        <v>67.821782178217816</v>
      </c>
      <c r="I4" s="372"/>
      <c r="J4" s="371">
        <f>'Section Load'!C7/G4</f>
        <v>168.54285714285714</v>
      </c>
      <c r="Q4" s="386">
        <f>C2/202</f>
        <v>0.57920792079207917</v>
      </c>
    </row>
    <row r="5" spans="1:17">
      <c r="A5" s="248">
        <v>4</v>
      </c>
      <c r="B5" s="369">
        <f t="shared" si="0"/>
        <v>70.792079207920793</v>
      </c>
      <c r="C5" s="369">
        <v>143</v>
      </c>
      <c r="D5" s="369">
        <v>4</v>
      </c>
      <c r="E5" s="369">
        <f t="shared" si="1"/>
        <v>72.772277227722768</v>
      </c>
      <c r="F5" s="370">
        <v>534</v>
      </c>
      <c r="G5" s="370">
        <f t="shared" si="2"/>
        <v>147</v>
      </c>
      <c r="H5" s="371">
        <f t="shared" si="3"/>
        <v>70.792079207920793</v>
      </c>
      <c r="I5" s="372"/>
      <c r="J5" s="371">
        <f>'Section Load'!C8/G5</f>
        <v>174.41496598639455</v>
      </c>
    </row>
    <row r="6" spans="1:17">
      <c r="A6" s="248">
        <v>5</v>
      </c>
      <c r="B6" s="369">
        <f t="shared" si="0"/>
        <v>68.316831683168317</v>
      </c>
      <c r="C6" s="369">
        <v>138</v>
      </c>
      <c r="D6" s="369">
        <v>5</v>
      </c>
      <c r="E6" s="369">
        <f t="shared" si="1"/>
        <v>70.792079207920793</v>
      </c>
      <c r="F6" s="370">
        <v>428</v>
      </c>
      <c r="G6" s="370">
        <f t="shared" si="2"/>
        <v>143</v>
      </c>
      <c r="H6" s="371">
        <f t="shared" si="3"/>
        <v>68.316831683168317</v>
      </c>
      <c r="I6" s="372"/>
      <c r="J6" s="371">
        <f>'Section Load'!C9/G6</f>
        <v>173.66433566433565</v>
      </c>
    </row>
    <row r="7" spans="1:17">
      <c r="A7" s="248">
        <v>6</v>
      </c>
      <c r="B7" s="369">
        <f t="shared" si="0"/>
        <v>67.32673267326733</v>
      </c>
      <c r="C7" s="369">
        <v>136</v>
      </c>
      <c r="D7" s="369">
        <v>2</v>
      </c>
      <c r="E7" s="369">
        <f t="shared" si="1"/>
        <v>68.316831683168317</v>
      </c>
      <c r="F7" s="370">
        <v>596</v>
      </c>
      <c r="G7" s="370">
        <f t="shared" si="2"/>
        <v>138</v>
      </c>
      <c r="H7" s="371">
        <f t="shared" si="3"/>
        <v>67.32673267326733</v>
      </c>
      <c r="I7" s="372"/>
      <c r="J7" s="371">
        <f>'Section Load'!C10/G7</f>
        <v>184.85507246376812</v>
      </c>
    </row>
    <row r="8" spans="1:17">
      <c r="A8" s="248">
        <v>7</v>
      </c>
      <c r="B8" s="369">
        <f t="shared" si="0"/>
        <v>60.396039603960396</v>
      </c>
      <c r="C8" s="369">
        <v>122</v>
      </c>
      <c r="D8" s="369">
        <v>3</v>
      </c>
      <c r="E8" s="369">
        <f t="shared" si="1"/>
        <v>61.881188118811878</v>
      </c>
      <c r="F8" s="370">
        <v>315</v>
      </c>
      <c r="G8" s="370">
        <f t="shared" si="2"/>
        <v>125</v>
      </c>
      <c r="H8" s="371">
        <f t="shared" si="3"/>
        <v>60.396039603960396</v>
      </c>
      <c r="I8" s="372"/>
      <c r="J8" s="371">
        <f>'Section Load'!C11/G8</f>
        <v>204.27199999999999</v>
      </c>
      <c r="K8" s="506"/>
    </row>
    <row r="9" spans="1:17">
      <c r="A9" s="248">
        <v>8</v>
      </c>
      <c r="B9" s="369">
        <f t="shared" si="0"/>
        <v>66.336633663366342</v>
      </c>
      <c r="C9" s="369">
        <v>134</v>
      </c>
      <c r="D9" s="369">
        <v>6</v>
      </c>
      <c r="E9" s="369">
        <f t="shared" si="1"/>
        <v>69.306930693069305</v>
      </c>
      <c r="F9" s="370">
        <v>361</v>
      </c>
      <c r="G9" s="370">
        <f t="shared" si="2"/>
        <v>140</v>
      </c>
      <c r="H9" s="371">
        <f t="shared" si="3"/>
        <v>66.336633663366342</v>
      </c>
      <c r="I9" s="372"/>
      <c r="J9" s="371">
        <f>'Section Load'!C12/G9</f>
        <v>179.06428571428572</v>
      </c>
    </row>
    <row r="10" spans="1:17">
      <c r="A10" s="248">
        <v>9</v>
      </c>
      <c r="B10" s="369">
        <f t="shared" si="0"/>
        <v>58.910891089108908</v>
      </c>
      <c r="C10" s="369">
        <v>119</v>
      </c>
      <c r="D10" s="369">
        <v>6</v>
      </c>
      <c r="E10" s="369">
        <f t="shared" si="1"/>
        <v>61.881188118811878</v>
      </c>
      <c r="F10" s="370">
        <v>667</v>
      </c>
      <c r="G10" s="370">
        <f t="shared" si="2"/>
        <v>125</v>
      </c>
      <c r="H10" s="371">
        <f t="shared" si="3"/>
        <v>58.910891089108908</v>
      </c>
      <c r="I10" s="372"/>
      <c r="J10" s="371">
        <f>'Section Load'!C13/G10</f>
        <v>206.83160000000009</v>
      </c>
      <c r="K10" s="617"/>
      <c r="L10" s="617"/>
    </row>
    <row r="11" spans="1:17">
      <c r="A11" s="248">
        <v>10</v>
      </c>
      <c r="B11" s="369">
        <f t="shared" si="0"/>
        <v>48.019801980198018</v>
      </c>
      <c r="C11" s="369">
        <v>97</v>
      </c>
      <c r="D11" s="369">
        <v>5</v>
      </c>
      <c r="E11" s="369">
        <f t="shared" si="1"/>
        <v>50.495049504950494</v>
      </c>
      <c r="F11" s="370">
        <v>795</v>
      </c>
      <c r="G11" s="370">
        <f t="shared" si="2"/>
        <v>102</v>
      </c>
      <c r="H11" s="371">
        <f t="shared" si="3"/>
        <v>48.019801980198018</v>
      </c>
      <c r="I11" s="372"/>
      <c r="J11" s="371">
        <f>'Section Load'!C14/G11</f>
        <v>251.88254901960747</v>
      </c>
      <c r="K11" s="617"/>
      <c r="L11" s="617"/>
    </row>
    <row r="12" spans="1:17">
      <c r="A12" s="248">
        <v>11</v>
      </c>
      <c r="B12" s="369">
        <f t="shared" si="0"/>
        <v>46.039603960396036</v>
      </c>
      <c r="C12" s="369">
        <v>93</v>
      </c>
      <c r="D12" s="369">
        <v>3</v>
      </c>
      <c r="E12" s="369">
        <f t="shared" si="1"/>
        <v>47.524752475247524</v>
      </c>
      <c r="F12" s="370">
        <v>363</v>
      </c>
      <c r="G12" s="370">
        <f t="shared" si="2"/>
        <v>96</v>
      </c>
      <c r="H12" s="371">
        <f t="shared" si="3"/>
        <v>46.039603960396036</v>
      </c>
      <c r="I12" s="372"/>
      <c r="J12" s="371">
        <f>'Section Load'!C15/G12</f>
        <v>263.05104166666689</v>
      </c>
      <c r="K12" s="617"/>
      <c r="L12" s="617"/>
    </row>
    <row r="13" spans="1:17">
      <c r="A13" s="248">
        <v>12</v>
      </c>
      <c r="B13" s="369">
        <f>C14/202%</f>
        <v>60.89108910891089</v>
      </c>
      <c r="D13" s="369"/>
      <c r="E13" s="369">
        <f>(C14+D13)/202%</f>
        <v>60.89108910891089</v>
      </c>
      <c r="F13" s="369"/>
      <c r="G13" s="370">
        <f>C14+D13</f>
        <v>123</v>
      </c>
      <c r="H13" s="371">
        <f>C14/202%</f>
        <v>60.89108910891089</v>
      </c>
      <c r="I13" s="372"/>
      <c r="J13" s="371">
        <f>'Section Load'!C16/G13</f>
        <v>202.42439024390254</v>
      </c>
    </row>
    <row r="14" spans="1:17">
      <c r="A14" s="248">
        <v>13</v>
      </c>
      <c r="B14" s="369">
        <f>C15/202%</f>
        <v>59.405940594059409</v>
      </c>
      <c r="C14" s="369">
        <v>123</v>
      </c>
      <c r="D14" s="369">
        <v>4</v>
      </c>
      <c r="E14" s="369">
        <f>(C15+D14)/202%</f>
        <v>61.386138613861384</v>
      </c>
      <c r="F14" s="369">
        <v>575</v>
      </c>
      <c r="G14" s="370">
        <f>C15+D14</f>
        <v>124</v>
      </c>
      <c r="H14" s="371">
        <f>C15/202%</f>
        <v>59.405940594059409</v>
      </c>
      <c r="I14" s="372"/>
      <c r="J14" s="371">
        <f>'Section Load'!C17/G14</f>
        <v>200.11233870967737</v>
      </c>
    </row>
    <row r="15" spans="1:17">
      <c r="A15" s="248">
        <v>14</v>
      </c>
      <c r="B15" s="369">
        <f>C16/202%</f>
        <v>48.019801980198018</v>
      </c>
      <c r="C15" s="369">
        <v>120</v>
      </c>
      <c r="D15" s="369">
        <v>3</v>
      </c>
      <c r="E15" s="369">
        <f>(C16+D15)/202%</f>
        <v>49.504950495049506</v>
      </c>
      <c r="F15" s="369">
        <v>390</v>
      </c>
      <c r="G15" s="370">
        <f>C16+D15</f>
        <v>100</v>
      </c>
      <c r="H15" s="371">
        <f>C16/202%</f>
        <v>48.019801980198018</v>
      </c>
      <c r="I15" s="372"/>
      <c r="J15" s="371">
        <f>'Section Load'!C18/G15</f>
        <v>258.93</v>
      </c>
    </row>
    <row r="16" spans="1:17">
      <c r="A16" s="248">
        <v>15</v>
      </c>
      <c r="B16" s="369" t="e">
        <f>#REF!/202%</f>
        <v>#REF!</v>
      </c>
      <c r="C16" s="369">
        <v>97</v>
      </c>
      <c r="D16" s="369"/>
      <c r="E16" s="369" t="e">
        <f>(#REF!+D16)/202%</f>
        <v>#REF!</v>
      </c>
      <c r="F16" s="369"/>
      <c r="G16" s="370" t="e">
        <f>#REF!+D16</f>
        <v>#REF!</v>
      </c>
      <c r="H16" s="371" t="e">
        <f>#REF!/202%</f>
        <v>#REF!</v>
      </c>
      <c r="I16" s="372"/>
      <c r="J16" s="371" t="e">
        <f>'Section Load'!C19/G16</f>
        <v>#REF!</v>
      </c>
    </row>
    <row r="17" spans="1:10">
      <c r="A17" s="248">
        <v>16</v>
      </c>
      <c r="B17" s="369">
        <f t="shared" si="0"/>
        <v>0</v>
      </c>
      <c r="C17" s="369"/>
      <c r="D17" s="369"/>
      <c r="E17" s="369">
        <f t="shared" si="1"/>
        <v>0</v>
      </c>
      <c r="F17" s="369"/>
      <c r="G17" s="370">
        <f t="shared" si="2"/>
        <v>0</v>
      </c>
      <c r="H17" s="371">
        <f t="shared" si="3"/>
        <v>0</v>
      </c>
      <c r="I17" s="372"/>
      <c r="J17" s="371" t="e">
        <f>'Section Load'!C20/G17</f>
        <v>#DIV/0!</v>
      </c>
    </row>
    <row r="18" spans="1:10">
      <c r="A18" s="248">
        <v>17</v>
      </c>
      <c r="B18" s="369">
        <f t="shared" si="0"/>
        <v>0</v>
      </c>
      <c r="C18" s="369"/>
      <c r="D18" s="369"/>
      <c r="E18" s="369">
        <f t="shared" si="1"/>
        <v>0</v>
      </c>
      <c r="F18" s="369"/>
      <c r="G18" s="370">
        <f t="shared" si="2"/>
        <v>0</v>
      </c>
      <c r="H18" s="371">
        <f t="shared" si="3"/>
        <v>0</v>
      </c>
      <c r="I18" s="372"/>
      <c r="J18" s="371" t="e">
        <f>'Section Load'!C21/G18</f>
        <v>#DIV/0!</v>
      </c>
    </row>
    <row r="19" spans="1:10">
      <c r="A19" s="248">
        <v>18</v>
      </c>
      <c r="B19" s="369">
        <f t="shared" si="0"/>
        <v>0</v>
      </c>
      <c r="C19" s="373"/>
      <c r="D19" s="373"/>
      <c r="E19" s="369">
        <f t="shared" si="1"/>
        <v>0</v>
      </c>
      <c r="F19" s="373"/>
      <c r="G19" s="370">
        <f t="shared" si="2"/>
        <v>0</v>
      </c>
      <c r="H19" s="371">
        <f t="shared" si="3"/>
        <v>0</v>
      </c>
      <c r="I19" s="372"/>
      <c r="J19" s="371" t="e">
        <f>'Section Load'!C22/G19</f>
        <v>#DIV/0!</v>
      </c>
    </row>
    <row r="20" spans="1:10">
      <c r="A20" s="248">
        <v>19</v>
      </c>
      <c r="B20" s="369">
        <f t="shared" si="0"/>
        <v>0</v>
      </c>
      <c r="C20" s="369"/>
      <c r="D20" s="369"/>
      <c r="E20" s="369">
        <f t="shared" si="1"/>
        <v>0</v>
      </c>
      <c r="F20" s="369"/>
      <c r="G20" s="370">
        <f t="shared" si="2"/>
        <v>0</v>
      </c>
      <c r="H20" s="371">
        <f t="shared" si="3"/>
        <v>0</v>
      </c>
      <c r="I20" s="372"/>
      <c r="J20" s="371" t="e">
        <f>'Section Load'!C23/G20</f>
        <v>#DIV/0!</v>
      </c>
    </row>
    <row r="21" spans="1:10">
      <c r="A21" s="248">
        <v>20</v>
      </c>
      <c r="B21" s="369">
        <f t="shared" si="0"/>
        <v>0</v>
      </c>
      <c r="C21" s="369"/>
      <c r="D21" s="369"/>
      <c r="E21" s="369">
        <f t="shared" si="1"/>
        <v>0</v>
      </c>
      <c r="F21" s="369"/>
      <c r="G21" s="370">
        <f t="shared" si="2"/>
        <v>0</v>
      </c>
      <c r="H21" s="371">
        <f t="shared" si="3"/>
        <v>0</v>
      </c>
      <c r="I21" s="372"/>
      <c r="J21" s="371" t="e">
        <f>'Section Load'!C24/G21</f>
        <v>#DIV/0!</v>
      </c>
    </row>
    <row r="22" spans="1:10">
      <c r="A22" s="248">
        <v>21</v>
      </c>
      <c r="B22" s="369">
        <f t="shared" si="0"/>
        <v>0</v>
      </c>
      <c r="C22" s="369"/>
      <c r="D22" s="369"/>
      <c r="E22" s="369">
        <f t="shared" si="1"/>
        <v>0</v>
      </c>
      <c r="F22" s="369"/>
      <c r="G22" s="370">
        <f t="shared" si="2"/>
        <v>0</v>
      </c>
      <c r="H22" s="371">
        <f t="shared" si="3"/>
        <v>0</v>
      </c>
      <c r="I22" s="372"/>
      <c r="J22" s="371" t="e">
        <f>'Section Load'!C25/G22</f>
        <v>#DIV/0!</v>
      </c>
    </row>
    <row r="23" spans="1:10">
      <c r="A23" s="248">
        <v>22</v>
      </c>
      <c r="B23" s="369">
        <v>83</v>
      </c>
      <c r="C23" s="369"/>
      <c r="D23" s="369"/>
      <c r="E23" s="369">
        <f t="shared" si="1"/>
        <v>0</v>
      </c>
      <c r="F23" s="369"/>
      <c r="G23" s="370">
        <f t="shared" si="2"/>
        <v>0</v>
      </c>
      <c r="H23" s="371">
        <f t="shared" si="3"/>
        <v>0</v>
      </c>
      <c r="I23" s="372"/>
      <c r="J23" s="371" t="e">
        <f>'Section Load'!C26/G23</f>
        <v>#DIV/0!</v>
      </c>
    </row>
    <row r="24" spans="1:10">
      <c r="A24" s="248">
        <v>23</v>
      </c>
      <c r="B24" s="369">
        <v>98</v>
      </c>
      <c r="C24" s="369"/>
      <c r="D24" s="369"/>
      <c r="E24" s="369">
        <f t="shared" si="1"/>
        <v>0</v>
      </c>
      <c r="F24" s="369"/>
      <c r="G24" s="370">
        <f t="shared" si="2"/>
        <v>0</v>
      </c>
      <c r="H24" s="371">
        <f t="shared" si="3"/>
        <v>0</v>
      </c>
      <c r="I24" s="372"/>
      <c r="J24" s="371" t="e">
        <f>'Section Load'!C27/G24</f>
        <v>#DIV/0!</v>
      </c>
    </row>
    <row r="25" spans="1:10">
      <c r="A25" s="248">
        <v>24</v>
      </c>
      <c r="B25" s="369">
        <f t="shared" si="0"/>
        <v>0</v>
      </c>
      <c r="C25" s="369"/>
      <c r="D25" s="369"/>
      <c r="E25" s="369">
        <f t="shared" si="1"/>
        <v>0</v>
      </c>
      <c r="F25" s="369"/>
      <c r="G25" s="370">
        <f t="shared" si="2"/>
        <v>0</v>
      </c>
      <c r="H25" s="371">
        <f t="shared" si="3"/>
        <v>0</v>
      </c>
      <c r="I25" s="372"/>
      <c r="J25" s="371" t="e">
        <f>'Section Load'!C28/G25</f>
        <v>#DIV/0!</v>
      </c>
    </row>
    <row r="26" spans="1:10">
      <c r="A26" s="248">
        <v>25</v>
      </c>
      <c r="B26" s="369">
        <f t="shared" si="0"/>
        <v>0</v>
      </c>
      <c r="C26" s="369"/>
      <c r="D26" s="369"/>
      <c r="E26" s="369">
        <f t="shared" si="1"/>
        <v>0</v>
      </c>
      <c r="F26" s="369"/>
      <c r="G26" s="370">
        <f t="shared" si="2"/>
        <v>0</v>
      </c>
      <c r="H26" s="371">
        <f t="shared" si="3"/>
        <v>0</v>
      </c>
      <c r="I26" s="372"/>
      <c r="J26" s="371" t="e">
        <f>'Section Load'!C29/G26</f>
        <v>#DIV/0!</v>
      </c>
    </row>
    <row r="27" spans="1:10">
      <c r="A27" s="248">
        <v>26</v>
      </c>
      <c r="B27" s="369">
        <f t="shared" si="0"/>
        <v>0</v>
      </c>
      <c r="C27" s="369"/>
      <c r="D27" s="369"/>
      <c r="E27" s="369">
        <f t="shared" si="1"/>
        <v>0</v>
      </c>
      <c r="F27" s="369"/>
      <c r="G27" s="370">
        <f t="shared" si="2"/>
        <v>0</v>
      </c>
      <c r="H27" s="371">
        <f t="shared" si="3"/>
        <v>0</v>
      </c>
      <c r="I27" s="372"/>
      <c r="J27" s="371" t="e">
        <f>'Section Load'!C30/G27</f>
        <v>#DIV/0!</v>
      </c>
    </row>
    <row r="28" spans="1:10">
      <c r="A28" s="248">
        <v>27</v>
      </c>
      <c r="B28" s="369">
        <f t="shared" si="0"/>
        <v>0</v>
      </c>
      <c r="C28" s="369"/>
      <c r="D28" s="369"/>
      <c r="E28" s="369">
        <f t="shared" si="1"/>
        <v>0</v>
      </c>
      <c r="F28" s="369"/>
      <c r="G28" s="370">
        <f t="shared" si="2"/>
        <v>0</v>
      </c>
      <c r="H28" s="371">
        <f t="shared" si="3"/>
        <v>0</v>
      </c>
      <c r="I28" s="372"/>
      <c r="J28" s="371" t="e">
        <f>'Section Load'!C31/G28</f>
        <v>#DIV/0!</v>
      </c>
    </row>
    <row r="29" spans="1:10">
      <c r="A29" s="248">
        <v>28</v>
      </c>
      <c r="B29" s="369">
        <f t="shared" si="0"/>
        <v>0</v>
      </c>
      <c r="C29" s="369"/>
      <c r="D29" s="369"/>
      <c r="E29" s="369">
        <f t="shared" si="1"/>
        <v>0</v>
      </c>
      <c r="F29" s="369"/>
      <c r="G29" s="370">
        <f t="shared" si="2"/>
        <v>0</v>
      </c>
      <c r="H29" s="371">
        <f t="shared" si="3"/>
        <v>0</v>
      </c>
      <c r="I29" s="372"/>
      <c r="J29" s="371" t="e">
        <f>'Section Load'!C32/G29</f>
        <v>#DIV/0!</v>
      </c>
    </row>
    <row r="30" spans="1:10">
      <c r="A30" s="248">
        <v>29</v>
      </c>
      <c r="B30" s="369">
        <f>C30/202%</f>
        <v>0</v>
      </c>
      <c r="C30" s="369"/>
      <c r="D30" s="369"/>
      <c r="E30" s="369">
        <f t="shared" si="1"/>
        <v>0</v>
      </c>
      <c r="F30" s="369"/>
      <c r="G30" s="370">
        <f t="shared" si="2"/>
        <v>0</v>
      </c>
      <c r="H30" s="371">
        <f>C30/202%</f>
        <v>0</v>
      </c>
      <c r="I30" s="372"/>
      <c r="J30" s="371" t="e">
        <f>'Section Load'!C33/G30</f>
        <v>#DIV/0!</v>
      </c>
    </row>
    <row r="31" spans="1:10">
      <c r="A31" s="248">
        <v>30</v>
      </c>
      <c r="B31" s="369">
        <f t="shared" si="0"/>
        <v>0</v>
      </c>
      <c r="C31" s="369"/>
      <c r="D31" s="369"/>
      <c r="E31" s="369">
        <f t="shared" si="1"/>
        <v>0</v>
      </c>
      <c r="F31" s="369"/>
      <c r="G31" s="374">
        <f t="shared" si="2"/>
        <v>0</v>
      </c>
      <c r="H31" s="371">
        <f t="shared" si="3"/>
        <v>0</v>
      </c>
      <c r="I31" s="372"/>
      <c r="J31" s="371" t="e">
        <f>'Section Load'!C34/G31</f>
        <v>#DIV/0!</v>
      </c>
    </row>
    <row r="32" spans="1:10">
      <c r="A32" s="248">
        <v>31</v>
      </c>
      <c r="B32" s="369">
        <f t="shared" si="0"/>
        <v>0</v>
      </c>
      <c r="C32" s="369"/>
      <c r="D32" s="369"/>
      <c r="E32" s="369">
        <f t="shared" si="1"/>
        <v>0</v>
      </c>
      <c r="F32" s="369"/>
      <c r="G32" s="374"/>
      <c r="H32" s="371">
        <f t="shared" si="3"/>
        <v>0</v>
      </c>
      <c r="I32" s="372"/>
      <c r="J32" s="371" t="e">
        <f>'Section Load'!C35/G32</f>
        <v>#DIV/0!</v>
      </c>
    </row>
    <row r="33" spans="1:8">
      <c r="A33" t="s">
        <v>316</v>
      </c>
      <c r="B33" s="275" t="e">
        <f>AVERAGE(B2:B31)</f>
        <v>#REF!</v>
      </c>
      <c r="C33" s="275">
        <v>154</v>
      </c>
      <c r="D33" s="275">
        <f t="shared" ref="D33:H33" si="4">AVERAGE(D2:D31)</f>
        <v>3.6923076923076925</v>
      </c>
      <c r="E33" s="275" t="e">
        <f t="shared" si="4"/>
        <v>#REF!</v>
      </c>
      <c r="F33" s="275">
        <f t="shared" si="4"/>
        <v>498.46153846153845</v>
      </c>
      <c r="G33" s="275" t="e">
        <f t="shared" si="4"/>
        <v>#REF!</v>
      </c>
      <c r="H33" s="275" t="e">
        <f t="shared" si="4"/>
        <v>#REF!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D5" sqref="D5:AG5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9" width="4.77734375" customWidth="1"/>
    <col min="10" max="11" width="3.77734375" customWidth="1"/>
    <col min="12" max="12" width="4.21875" customWidth="1"/>
    <col min="13" max="13" width="4.109375" customWidth="1"/>
    <col min="14" max="14" width="3.77734375" customWidth="1"/>
    <col min="15" max="15" width="4.5546875" customWidth="1"/>
    <col min="16" max="28" width="3.77734375" customWidth="1"/>
    <col min="29" max="29" width="5.21875" customWidth="1"/>
    <col min="30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57.920792079207921</v>
      </c>
      <c r="E4" s="91">
        <f>Occupancy!B3</f>
        <v>63.366336633663366</v>
      </c>
      <c r="F4" s="91">
        <f>Occupancy!C3</f>
        <v>128</v>
      </c>
      <c r="G4" s="91">
        <f>Occupancy!D3</f>
        <v>2</v>
      </c>
      <c r="H4" s="91">
        <f>Occupancy!E3</f>
        <v>64.356435643564353</v>
      </c>
      <c r="I4" s="91">
        <f>Occupancy!F3</f>
        <v>406</v>
      </c>
      <c r="J4" s="91">
        <f>Occupancy!G3</f>
        <v>130</v>
      </c>
      <c r="K4" s="91">
        <f>Occupancy!H3</f>
        <v>63.366336633663366</v>
      </c>
      <c r="L4" s="91">
        <f>Occupancy!I3</f>
        <v>0</v>
      </c>
      <c r="M4" s="91">
        <f>Occupancy!J3</f>
        <v>197.45384615384614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250</v>
      </c>
      <c r="E5" s="91">
        <f>'2'!G18</f>
        <v>180</v>
      </c>
      <c r="F5" s="91">
        <f>'3'!G18</f>
        <v>290</v>
      </c>
      <c r="G5" s="91">
        <f>'4'!G18</f>
        <v>240</v>
      </c>
      <c r="H5" s="91">
        <f>'5'!G18</f>
        <v>200</v>
      </c>
      <c r="I5" s="91">
        <f>'6'!G18</f>
        <v>240</v>
      </c>
      <c r="J5" s="91">
        <f>'7'!G18</f>
        <v>240</v>
      </c>
      <c r="K5" s="91">
        <f>'8'!G18</f>
        <v>240</v>
      </c>
      <c r="L5" s="91">
        <f>'9'!G18</f>
        <v>280</v>
      </c>
      <c r="M5" s="91">
        <f>'10'!G18</f>
        <v>180</v>
      </c>
      <c r="N5" s="91">
        <f>'11'!G18</f>
        <v>290</v>
      </c>
      <c r="O5" s="91">
        <f>'12'!G18</f>
        <v>260</v>
      </c>
      <c r="P5" s="91">
        <f>'13'!G18</f>
        <v>260</v>
      </c>
      <c r="Q5" s="91">
        <f>'14'!G18</f>
        <v>220</v>
      </c>
      <c r="R5" s="91">
        <f>'15'!G18</f>
        <v>270</v>
      </c>
      <c r="S5" s="91">
        <f>'16'!G18</f>
        <v>320</v>
      </c>
      <c r="T5" s="91">
        <f>'17'!G18</f>
        <v>250</v>
      </c>
      <c r="U5" s="91">
        <f>'18 '!G18</f>
        <v>230</v>
      </c>
      <c r="V5" s="91">
        <f>'19'!G18</f>
        <v>260</v>
      </c>
      <c r="W5" s="91">
        <f>'20'!G18</f>
        <v>290</v>
      </c>
      <c r="X5" s="91">
        <f>'21'!G18</f>
        <v>260</v>
      </c>
      <c r="Y5" s="91">
        <f>'22'!G18</f>
        <v>340</v>
      </c>
      <c r="Z5" s="91">
        <f>'23'!G18</f>
        <v>340</v>
      </c>
      <c r="AA5" s="91">
        <f>'24'!G18</f>
        <v>150</v>
      </c>
      <c r="AB5" s="91">
        <f>'25'!G18</f>
        <v>120</v>
      </c>
      <c r="AC5" s="91">
        <f>'26'!G18</f>
        <v>260</v>
      </c>
      <c r="AD5" s="91">
        <f>'27'!G18</f>
        <v>220</v>
      </c>
      <c r="AE5" s="91">
        <f>'28'!G18</f>
        <v>200</v>
      </c>
      <c r="AF5" s="91">
        <f>'29'!G18</f>
        <v>270</v>
      </c>
      <c r="AG5" s="91">
        <f>'30'!G18</f>
        <v>270</v>
      </c>
      <c r="AH5" s="91">
        <f>'31'!G18</f>
        <v>130</v>
      </c>
      <c r="AI5" s="90"/>
    </row>
    <row r="6" spans="2:35">
      <c r="B6" s="93"/>
      <c r="C6" s="90" t="s">
        <v>69</v>
      </c>
      <c r="D6" s="91">
        <f>'1'!G19</f>
        <v>54</v>
      </c>
      <c r="E6" s="91">
        <f>'2'!G19</f>
        <v>58</v>
      </c>
      <c r="F6" s="91">
        <f>'3'!G19</f>
        <v>54</v>
      </c>
      <c r="G6" s="91">
        <f>'4'!G19</f>
        <v>51</v>
      </c>
      <c r="H6" s="91">
        <f>'5'!G19</f>
        <v>51</v>
      </c>
      <c r="I6" s="91">
        <f>'6'!G19</f>
        <v>50</v>
      </c>
      <c r="J6" s="91">
        <f>'7'!G19</f>
        <v>55</v>
      </c>
      <c r="K6" s="91">
        <f>'8'!G19</f>
        <v>57</v>
      </c>
      <c r="L6" s="91">
        <f>'9'!G19</f>
        <v>52</v>
      </c>
      <c r="M6" s="91">
        <f>'10'!G19</f>
        <v>50</v>
      </c>
      <c r="N6" s="91">
        <f>'11'!G19</f>
        <v>45</v>
      </c>
      <c r="O6" s="91">
        <f>'12'!G19</f>
        <v>47</v>
      </c>
      <c r="P6" s="91">
        <f>'13'!G19</f>
        <v>49</v>
      </c>
      <c r="Q6" s="91">
        <f>'14'!G19</f>
        <v>47</v>
      </c>
      <c r="R6" s="91">
        <f>'15'!G19</f>
        <v>52</v>
      </c>
      <c r="S6" s="91">
        <f>'16'!G19</f>
        <v>50</v>
      </c>
      <c r="T6" s="91">
        <f>'17'!G19</f>
        <v>52</v>
      </c>
      <c r="U6" s="91">
        <f>'18 '!G19</f>
        <v>43</v>
      </c>
      <c r="V6" s="91">
        <f>'19'!G19</f>
        <v>43</v>
      </c>
      <c r="W6" s="91">
        <f>'20'!G19</f>
        <v>51</v>
      </c>
      <c r="X6" s="91">
        <f>'21'!G19</f>
        <v>51</v>
      </c>
      <c r="Y6" s="91">
        <f>'22'!G19</f>
        <v>49</v>
      </c>
      <c r="Z6" s="91">
        <f>'23'!G19</f>
        <v>49</v>
      </c>
      <c r="AA6" s="91">
        <f>'24'!G19</f>
        <v>52</v>
      </c>
      <c r="AB6" s="91">
        <f>'25'!G19</f>
        <v>53</v>
      </c>
      <c r="AC6" s="91">
        <f>'26'!G19</f>
        <v>54</v>
      </c>
      <c r="AD6" s="91">
        <f>'27'!G19</f>
        <v>52</v>
      </c>
      <c r="AE6" s="91">
        <f>'28'!G19</f>
        <v>49</v>
      </c>
      <c r="AF6" s="91">
        <f>'29'!G19</f>
        <v>50</v>
      </c>
      <c r="AG6" s="91">
        <f>'30'!G19</f>
        <v>50</v>
      </c>
      <c r="AH6" s="91">
        <f>'31'!G19</f>
        <v>-1550</v>
      </c>
      <c r="AI6" s="90"/>
    </row>
    <row r="7" spans="2:35">
      <c r="B7" s="93"/>
      <c r="C7" s="90" t="s">
        <v>70</v>
      </c>
      <c r="D7" s="91">
        <f>'1'!G62</f>
        <v>98</v>
      </c>
      <c r="E7" s="91">
        <f>'2'!G62</f>
        <v>94</v>
      </c>
      <c r="F7" s="91">
        <f>'3'!G62</f>
        <v>86</v>
      </c>
      <c r="G7" s="91">
        <f>'4'!G62</f>
        <v>75</v>
      </c>
      <c r="H7" s="91">
        <f>'5'!G62</f>
        <v>80</v>
      </c>
      <c r="I7" s="91">
        <f>'6'!G62</f>
        <v>76</v>
      </c>
      <c r="J7" s="91">
        <f>'7'!G62</f>
        <v>96</v>
      </c>
      <c r="K7" s="91">
        <f>'8'!G62</f>
        <v>102</v>
      </c>
      <c r="L7" s="91">
        <f>'9'!G62</f>
        <v>106</v>
      </c>
      <c r="M7" s="91">
        <f>'10'!G62</f>
        <v>75</v>
      </c>
      <c r="N7" s="91">
        <f>'11'!G62</f>
        <v>107</v>
      </c>
      <c r="O7" s="91">
        <f>'12'!G62</f>
        <v>107</v>
      </c>
      <c r="P7" s="91">
        <f>'13'!G62</f>
        <v>100</v>
      </c>
      <c r="Q7" s="91">
        <f>'14'!G62</f>
        <v>110</v>
      </c>
      <c r="R7" s="91">
        <f>'15'!G62</f>
        <v>124</v>
      </c>
      <c r="S7" s="91">
        <f>'16'!G62</f>
        <v>125</v>
      </c>
      <c r="T7" s="91">
        <f>'17'!G62</f>
        <v>117</v>
      </c>
      <c r="U7" s="91">
        <f>'18 '!G62</f>
        <v>104</v>
      </c>
      <c r="V7" s="91">
        <f>'19'!G62</f>
        <v>105</v>
      </c>
      <c r="W7" s="91">
        <f>'20'!G62</f>
        <v>100</v>
      </c>
      <c r="X7" s="91">
        <f>'21'!G62</f>
        <v>110</v>
      </c>
      <c r="Y7" s="91">
        <f>'22'!G62</f>
        <v>118</v>
      </c>
      <c r="Z7" s="91">
        <f>'23'!G62</f>
        <v>109</v>
      </c>
      <c r="AA7" s="91">
        <f>'24'!G62</f>
        <v>55</v>
      </c>
      <c r="AB7" s="91">
        <f>'25'!G62</f>
        <v>55</v>
      </c>
      <c r="AC7" s="91">
        <f>'26'!G62</f>
        <v>94</v>
      </c>
      <c r="AD7" s="91">
        <f>'27'!G62</f>
        <v>73</v>
      </c>
      <c r="AE7" s="91">
        <f>'28'!G62</f>
        <v>106</v>
      </c>
      <c r="AF7" s="91">
        <f>'29'!G62</f>
        <v>85</v>
      </c>
      <c r="AG7" s="91">
        <f>'30'!G62</f>
        <v>103</v>
      </c>
      <c r="AH7" s="91">
        <f>'31'!G62</f>
        <v>-2592</v>
      </c>
      <c r="AI7" s="90"/>
    </row>
    <row r="8" spans="2:35">
      <c r="B8" s="93"/>
      <c r="C8" s="90" t="s">
        <v>299</v>
      </c>
      <c r="D8" s="91">
        <f>'1'!G63</f>
        <v>0</v>
      </c>
      <c r="E8" s="91">
        <f>'2'!G63</f>
        <v>0</v>
      </c>
      <c r="F8" s="91">
        <f>'3'!G63</f>
        <v>0</v>
      </c>
      <c r="G8" s="91">
        <f>'4'!G63</f>
        <v>0</v>
      </c>
      <c r="H8" s="91">
        <f>'5'!G63</f>
        <v>0</v>
      </c>
      <c r="I8" s="91">
        <f>'6'!G63</f>
        <v>0</v>
      </c>
      <c r="J8" s="91">
        <f>'7'!G63</f>
        <v>0</v>
      </c>
      <c r="K8" s="91">
        <f>'8'!G63</f>
        <v>0</v>
      </c>
      <c r="L8" s="91">
        <f>'9'!G63</f>
        <v>0</v>
      </c>
      <c r="M8" s="91">
        <f>'10'!G63</f>
        <v>0</v>
      </c>
      <c r="N8" s="91">
        <f>'11'!G63</f>
        <v>0</v>
      </c>
      <c r="O8" s="91">
        <f>'12'!G63</f>
        <v>0</v>
      </c>
      <c r="P8" s="91">
        <f>'13'!G63</f>
        <v>0</v>
      </c>
      <c r="Q8" s="91">
        <f>'14'!G63</f>
        <v>0</v>
      </c>
      <c r="R8" s="91">
        <f>'15'!G63</f>
        <v>0</v>
      </c>
      <c r="S8" s="91">
        <f>'16'!G63</f>
        <v>0</v>
      </c>
      <c r="T8" s="91">
        <f>'17'!G63</f>
        <v>0</v>
      </c>
      <c r="U8" s="91">
        <f>'18 '!G63</f>
        <v>0</v>
      </c>
      <c r="V8" s="91">
        <f>'19'!G63</f>
        <v>0</v>
      </c>
      <c r="W8" s="91">
        <f>'20'!G63</f>
        <v>0</v>
      </c>
      <c r="X8" s="91">
        <f>'21'!G63</f>
        <v>0</v>
      </c>
      <c r="Y8" s="91">
        <f>'22'!G63</f>
        <v>0</v>
      </c>
      <c r="Z8" s="91">
        <f>'23'!G63</f>
        <v>0</v>
      </c>
      <c r="AA8" s="91">
        <f>'24'!G63</f>
        <v>0</v>
      </c>
      <c r="AB8" s="91">
        <f>'25'!G63</f>
        <v>0</v>
      </c>
      <c r="AC8" s="91">
        <f>'26'!G63</f>
        <v>0</v>
      </c>
      <c r="AD8" s="91">
        <f>'27'!G63</f>
        <v>0</v>
      </c>
      <c r="AE8" s="91">
        <f>'28'!G63</f>
        <v>0</v>
      </c>
      <c r="AF8" s="91">
        <f>'29'!G63</f>
        <v>0</v>
      </c>
      <c r="AG8" s="91">
        <f>'30'!G63</f>
        <v>0</v>
      </c>
      <c r="AH8" s="91">
        <f>'31'!G63</f>
        <v>-2547</v>
      </c>
      <c r="AI8" s="90"/>
    </row>
    <row r="9" spans="2:35">
      <c r="B9" s="1038" t="s">
        <v>71</v>
      </c>
      <c r="C9" s="90" t="s">
        <v>31</v>
      </c>
      <c r="D9" s="91">
        <f>'1'!G65</f>
        <v>103</v>
      </c>
      <c r="E9" s="91">
        <f>'2'!G65</f>
        <v>103</v>
      </c>
      <c r="F9" s="91">
        <f>'3'!G65</f>
        <v>108</v>
      </c>
      <c r="G9" s="91">
        <f>'4'!G65</f>
        <v>89</v>
      </c>
      <c r="H9" s="91">
        <f>'5'!G65</f>
        <v>101</v>
      </c>
      <c r="I9" s="91">
        <f>'6'!G65</f>
        <v>89</v>
      </c>
      <c r="J9" s="91">
        <f>'7'!G65</f>
        <v>103</v>
      </c>
      <c r="K9" s="91">
        <f>'8'!G65</f>
        <v>108</v>
      </c>
      <c r="L9" s="91">
        <f>'9'!G65</f>
        <v>105</v>
      </c>
      <c r="M9" s="91">
        <f>'10'!G65</f>
        <v>98</v>
      </c>
      <c r="N9" s="91">
        <f>'11'!G65</f>
        <v>95</v>
      </c>
      <c r="O9" s="91">
        <f>'12'!G65</f>
        <v>123</v>
      </c>
      <c r="P9" s="91">
        <f>'13'!G65</f>
        <v>113</v>
      </c>
      <c r="Q9" s="91">
        <f>'14'!G65</f>
        <v>118</v>
      </c>
      <c r="R9" s="91">
        <f>'15'!G65</f>
        <v>133</v>
      </c>
      <c r="S9" s="91">
        <f>'16'!G65</f>
        <v>123</v>
      </c>
      <c r="T9" s="91">
        <f>'17'!G65</f>
        <v>108</v>
      </c>
      <c r="U9" s="91">
        <f>'18 '!G65</f>
        <v>101</v>
      </c>
      <c r="V9" s="91">
        <f>'19'!G65</f>
        <v>112</v>
      </c>
      <c r="W9" s="91">
        <f>'20'!G65</f>
        <v>115</v>
      </c>
      <c r="X9" s="91">
        <f>'21'!G65</f>
        <v>125</v>
      </c>
      <c r="Y9" s="91">
        <f>'22'!G65</f>
        <v>139</v>
      </c>
      <c r="Z9" s="91">
        <f>'23'!G65</f>
        <v>116</v>
      </c>
      <c r="AA9" s="91">
        <f>'24'!G65</f>
        <v>88</v>
      </c>
      <c r="AB9" s="91">
        <f>'25'!G65</f>
        <v>89</v>
      </c>
      <c r="AC9" s="91">
        <f>'26'!G65</f>
        <v>113</v>
      </c>
      <c r="AD9" s="91">
        <f>'27'!G65</f>
        <v>89</v>
      </c>
      <c r="AE9" s="91">
        <f>'28'!G65</f>
        <v>118</v>
      </c>
      <c r="AF9" s="91">
        <f>'29'!G65</f>
        <v>99</v>
      </c>
      <c r="AG9" s="91">
        <f>'30'!G65</f>
        <v>111</v>
      </c>
      <c r="AH9" s="91">
        <f>'31'!G65</f>
        <v>-2998</v>
      </c>
      <c r="AI9" s="90"/>
    </row>
    <row r="10" spans="2:35">
      <c r="B10" s="1038"/>
      <c r="C10" s="90" t="s">
        <v>32</v>
      </c>
      <c r="D10" s="91">
        <f>'1'!G66</f>
        <v>9</v>
      </c>
      <c r="E10" s="91">
        <f>'2'!G66</f>
        <v>12</v>
      </c>
      <c r="F10" s="91">
        <f>'3'!G66</f>
        <v>4</v>
      </c>
      <c r="G10" s="91">
        <f>'4'!G66</f>
        <v>8</v>
      </c>
      <c r="H10" s="91">
        <f>'5'!G66</f>
        <v>6</v>
      </c>
      <c r="I10" s="91">
        <f>'6'!G66</f>
        <v>11</v>
      </c>
      <c r="J10" s="91">
        <f>'7'!G66</f>
        <v>17</v>
      </c>
      <c r="K10" s="91">
        <f>'8'!G66</f>
        <v>26</v>
      </c>
      <c r="L10" s="91">
        <f>'9'!G66</f>
        <v>12</v>
      </c>
      <c r="M10" s="91">
        <f>'10'!G66</f>
        <v>11</v>
      </c>
      <c r="N10" s="91">
        <f>'11'!G66</f>
        <v>11</v>
      </c>
      <c r="O10" s="91">
        <f>'12'!G66</f>
        <v>9</v>
      </c>
      <c r="P10" s="91">
        <f>'13'!G66</f>
        <v>9</v>
      </c>
      <c r="Q10" s="91">
        <f>'14'!G66</f>
        <v>18</v>
      </c>
      <c r="R10" s="91">
        <f>'15'!G66</f>
        <v>7</v>
      </c>
      <c r="S10" s="91">
        <f>'16'!G66</f>
        <v>11</v>
      </c>
      <c r="T10" s="91">
        <f>'17'!G66</f>
        <v>10</v>
      </c>
      <c r="U10" s="91">
        <f>'18 '!G66</f>
        <v>9</v>
      </c>
      <c r="V10" s="91">
        <f>'19'!G66</f>
        <v>7</v>
      </c>
      <c r="W10" s="91">
        <f>'20'!G66</f>
        <v>8</v>
      </c>
      <c r="X10" s="91">
        <f>'21'!G66</f>
        <v>7</v>
      </c>
      <c r="Y10" s="91">
        <f>'22'!G66</f>
        <v>7</v>
      </c>
      <c r="Z10" s="91">
        <f>'23'!G66</f>
        <v>5</v>
      </c>
      <c r="AA10" s="91">
        <f>'24'!G66</f>
        <v>5</v>
      </c>
      <c r="AB10" s="91">
        <f>'25'!G66</f>
        <v>5</v>
      </c>
      <c r="AC10" s="91">
        <f>'26'!G66</f>
        <v>8</v>
      </c>
      <c r="AD10" s="91">
        <f>'27'!G66</f>
        <v>7</v>
      </c>
      <c r="AE10" s="91">
        <f>'28'!G66</f>
        <v>7</v>
      </c>
      <c r="AF10" s="91">
        <f>'29'!G66</f>
        <v>16</v>
      </c>
      <c r="AG10" s="91">
        <f>'30'!G66</f>
        <v>22</v>
      </c>
      <c r="AH10" s="91">
        <f>'31'!G66</f>
        <v>-308</v>
      </c>
      <c r="AI10" s="90"/>
    </row>
    <row r="11" spans="2:35">
      <c r="B11" s="1038"/>
      <c r="C11" s="90" t="s">
        <v>33</v>
      </c>
      <c r="D11" s="91">
        <f>'1'!G67</f>
        <v>40</v>
      </c>
      <c r="E11" s="91">
        <f>'2'!G67</f>
        <v>27</v>
      </c>
      <c r="F11" s="91">
        <f>'3'!G67</f>
        <v>15</v>
      </c>
      <c r="G11" s="91">
        <f>'4'!G67</f>
        <v>17</v>
      </c>
      <c r="H11" s="91">
        <f>'5'!G67</f>
        <v>18</v>
      </c>
      <c r="I11" s="91">
        <f>'6'!G67</f>
        <v>18</v>
      </c>
      <c r="J11" s="91">
        <f>'7'!G67</f>
        <v>20</v>
      </c>
      <c r="K11" s="91">
        <f>'8'!G67</f>
        <v>29</v>
      </c>
      <c r="L11" s="91">
        <f>'9'!G67</f>
        <v>17</v>
      </c>
      <c r="M11" s="91">
        <f>'10'!G67</f>
        <v>23</v>
      </c>
      <c r="N11" s="91">
        <f>'11'!G67</f>
        <v>22</v>
      </c>
      <c r="O11" s="91">
        <f>'12'!G67</f>
        <v>14</v>
      </c>
      <c r="P11" s="91">
        <f>'13'!G67</f>
        <v>19</v>
      </c>
      <c r="Q11" s="91">
        <f>'14'!G67</f>
        <v>16</v>
      </c>
      <c r="R11" s="91">
        <f>'15'!G67</f>
        <v>22</v>
      </c>
      <c r="S11" s="91">
        <f>'16'!G67</f>
        <v>32</v>
      </c>
      <c r="T11" s="91">
        <f>'17'!G67</f>
        <v>20</v>
      </c>
      <c r="U11" s="91">
        <f>'18 '!G67</f>
        <v>20</v>
      </c>
      <c r="V11" s="91">
        <f>'19'!G67</f>
        <v>14</v>
      </c>
      <c r="W11" s="91">
        <f>'20'!G67</f>
        <v>18</v>
      </c>
      <c r="X11" s="91">
        <f>'21'!G67</f>
        <v>20</v>
      </c>
      <c r="Y11" s="91">
        <f>'22'!G67</f>
        <v>25</v>
      </c>
      <c r="Z11" s="91">
        <f>'23'!G67</f>
        <v>24</v>
      </c>
      <c r="AA11" s="91">
        <f>'24'!G67</f>
        <v>8</v>
      </c>
      <c r="AB11" s="91">
        <f>'25'!G67</f>
        <v>11</v>
      </c>
      <c r="AC11" s="91">
        <f>'26'!G67</f>
        <v>16</v>
      </c>
      <c r="AD11" s="91">
        <f>'27'!G67</f>
        <v>19</v>
      </c>
      <c r="AE11" s="91">
        <f>'28'!G67</f>
        <v>15</v>
      </c>
      <c r="AF11" s="91">
        <f>'29'!G67</f>
        <v>15</v>
      </c>
      <c r="AG11" s="91">
        <f>'30'!G67</f>
        <v>0</v>
      </c>
      <c r="AH11" s="91">
        <f>'31'!G67</f>
        <v>-510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1038" t="s">
        <v>72</v>
      </c>
      <c r="C13" s="90" t="s">
        <v>31</v>
      </c>
      <c r="D13" s="91">
        <f>'1'!G68</f>
        <v>26</v>
      </c>
      <c r="E13" s="91">
        <f>'2'!G68</f>
        <v>15</v>
      </c>
      <c r="F13" s="91">
        <f>'3'!G68</f>
        <v>24</v>
      </c>
      <c r="G13" s="91">
        <f>'4'!G68</f>
        <v>38</v>
      </c>
      <c r="H13" s="91">
        <f>'5'!G68</f>
        <v>44</v>
      </c>
      <c r="I13" s="91">
        <f>'6'!G68</f>
        <v>37</v>
      </c>
      <c r="J13" s="91">
        <f>'7'!G68</f>
        <v>16</v>
      </c>
      <c r="K13" s="91">
        <f>'8'!G68</f>
        <v>25</v>
      </c>
      <c r="L13" s="91">
        <f>'9'!G68</f>
        <v>32</v>
      </c>
      <c r="M13" s="91">
        <f>'10'!G68</f>
        <v>49</v>
      </c>
      <c r="N13" s="91">
        <f>'11'!G68</f>
        <v>25</v>
      </c>
      <c r="O13" s="91">
        <f>'12'!G68</f>
        <v>43</v>
      </c>
      <c r="P13" s="91">
        <f>'13'!G68</f>
        <v>30</v>
      </c>
      <c r="Q13" s="91">
        <f>'14'!G68</f>
        <v>38</v>
      </c>
      <c r="R13" s="91">
        <f>'15'!G68</f>
        <v>41</v>
      </c>
      <c r="S13" s="91">
        <f>'16'!G68</f>
        <v>25</v>
      </c>
      <c r="T13" s="91">
        <f>'17'!G68</f>
        <v>34</v>
      </c>
      <c r="U13" s="91">
        <f>'18 '!G68</f>
        <v>42</v>
      </c>
      <c r="V13" s="91">
        <f>'19'!G68</f>
        <v>37</v>
      </c>
      <c r="W13" s="91">
        <f>'20'!G68</f>
        <v>25</v>
      </c>
      <c r="X13" s="91">
        <f>'21'!G68</f>
        <v>28</v>
      </c>
      <c r="Y13" s="91">
        <f>'22'!G68</f>
        <v>34</v>
      </c>
      <c r="Z13" s="91">
        <f>'23'!G68</f>
        <v>42</v>
      </c>
      <c r="AA13" s="402">
        <f>'24'!G68</f>
        <v>16</v>
      </c>
      <c r="AB13" s="91">
        <f>'25'!G68</f>
        <v>16</v>
      </c>
      <c r="AC13" s="91">
        <f>'26'!G68</f>
        <v>14</v>
      </c>
      <c r="AD13" s="91">
        <f>'27'!G68</f>
        <v>26</v>
      </c>
      <c r="AE13" s="91">
        <f>'28'!G68</f>
        <v>28</v>
      </c>
      <c r="AF13" s="91">
        <f>'29'!G68</f>
        <v>34</v>
      </c>
      <c r="AG13" s="91">
        <f>'30'!G68</f>
        <v>38</v>
      </c>
      <c r="AH13" s="91">
        <f>'31'!G68</f>
        <v>-1025</v>
      </c>
      <c r="AI13" s="90"/>
    </row>
    <row r="14" spans="2:35">
      <c r="B14" s="1038"/>
      <c r="C14" s="90" t="s">
        <v>32</v>
      </c>
      <c r="D14" s="91">
        <f>'1'!G69</f>
        <v>5</v>
      </c>
      <c r="E14" s="91">
        <f>'2'!G69</f>
        <v>4</v>
      </c>
      <c r="F14" s="91">
        <f>'3'!G69</f>
        <v>1</v>
      </c>
      <c r="G14" s="91">
        <f>'4'!G69</f>
        <v>3</v>
      </c>
      <c r="H14" s="91">
        <f>'5'!G69</f>
        <v>2</v>
      </c>
      <c r="I14" s="91">
        <f>'6'!G69</f>
        <v>4</v>
      </c>
      <c r="J14" s="91">
        <f>'7'!G69</f>
        <v>1</v>
      </c>
      <c r="K14" s="91">
        <f>'8'!G69</f>
        <v>4</v>
      </c>
      <c r="L14" s="91">
        <f>'9'!G69</f>
        <v>6</v>
      </c>
      <c r="M14" s="91">
        <f>'10'!G69</f>
        <v>3</v>
      </c>
      <c r="N14" s="91">
        <f>'11'!G69</f>
        <v>4</v>
      </c>
      <c r="O14" s="91">
        <f>'12'!G69</f>
        <v>6</v>
      </c>
      <c r="P14" s="91">
        <f>'13'!G69</f>
        <v>2</v>
      </c>
      <c r="Q14" s="91">
        <f>'14'!G69</f>
        <v>2</v>
      </c>
      <c r="R14" s="91">
        <f>'15'!G69</f>
        <v>5</v>
      </c>
      <c r="S14" s="91">
        <f>'16'!G69</f>
        <v>7</v>
      </c>
      <c r="T14" s="91">
        <f>'17'!G69</f>
        <v>7</v>
      </c>
      <c r="U14" s="91">
        <f>'18 '!G69</f>
        <v>8</v>
      </c>
      <c r="V14" s="91">
        <f>'19'!G69</f>
        <v>10</v>
      </c>
      <c r="W14" s="91">
        <f>'20'!G69</f>
        <v>7</v>
      </c>
      <c r="X14" s="91">
        <f>'21'!G69</f>
        <v>2</v>
      </c>
      <c r="Y14" s="91">
        <f>'22'!G69</f>
        <v>2</v>
      </c>
      <c r="Z14" s="91">
        <f>'23'!G69</f>
        <v>3</v>
      </c>
      <c r="AA14" s="91">
        <f>'24'!G69</f>
        <v>2</v>
      </c>
      <c r="AB14" s="91">
        <f>'25'!G69</f>
        <v>2</v>
      </c>
      <c r="AC14" s="91">
        <f>'26'!G69</f>
        <v>3</v>
      </c>
      <c r="AD14" s="91">
        <f>'27'!G69</f>
        <v>4</v>
      </c>
      <c r="AE14" s="91">
        <f>'28'!G69</f>
        <v>2</v>
      </c>
      <c r="AF14" s="91">
        <f>'29'!G69</f>
        <v>2</v>
      </c>
      <c r="AG14" s="91">
        <f>'30'!G69</f>
        <v>3</v>
      </c>
      <c r="AH14" s="91">
        <f>'31'!G69</f>
        <v>-126</v>
      </c>
      <c r="AI14" s="90"/>
    </row>
    <row r="15" spans="2:35">
      <c r="B15" s="1038"/>
      <c r="C15" s="90" t="s">
        <v>33</v>
      </c>
      <c r="D15" s="91">
        <f>'1'!G70</f>
        <v>14</v>
      </c>
      <c r="E15" s="91">
        <f>'2'!G70</f>
        <v>8</v>
      </c>
      <c r="F15" s="91">
        <f>'3'!G70</f>
        <v>13</v>
      </c>
      <c r="G15" s="91">
        <f>'4'!G70</f>
        <v>8</v>
      </c>
      <c r="H15" s="91">
        <f>'5'!G70</f>
        <v>8</v>
      </c>
      <c r="I15" s="91">
        <f>'6'!G70</f>
        <v>7</v>
      </c>
      <c r="J15" s="91">
        <f>'7'!G70</f>
        <v>8</v>
      </c>
      <c r="K15" s="91">
        <f>'8'!G70</f>
        <v>9</v>
      </c>
      <c r="L15" s="91">
        <f>'9'!G70</f>
        <v>6</v>
      </c>
      <c r="M15" s="91">
        <f>'10'!G70</f>
        <v>7</v>
      </c>
      <c r="N15" s="91">
        <f>'11'!G70</f>
        <v>13</v>
      </c>
      <c r="O15" s="91">
        <f>'12'!G70</f>
        <v>7</v>
      </c>
      <c r="P15" s="91">
        <f>'13'!G70</f>
        <v>12</v>
      </c>
      <c r="Q15" s="91">
        <f>'14'!G70</f>
        <v>6</v>
      </c>
      <c r="R15" s="91">
        <f>'15'!G70</f>
        <v>23</v>
      </c>
      <c r="S15" s="91">
        <f>'16'!G70</f>
        <v>12</v>
      </c>
      <c r="T15" s="91">
        <f>'17'!G70</f>
        <v>11</v>
      </c>
      <c r="U15" s="91">
        <f>'18 '!G70</f>
        <v>7</v>
      </c>
      <c r="V15" s="91">
        <f>'19'!G70</f>
        <v>7</v>
      </c>
      <c r="W15" s="91">
        <f>'20'!G70</f>
        <v>13</v>
      </c>
      <c r="X15" s="91">
        <f>'21'!G70</f>
        <v>10</v>
      </c>
      <c r="Y15" s="91">
        <f>'22'!G70</f>
        <v>5</v>
      </c>
      <c r="Z15" s="91">
        <f>'23'!G70</f>
        <v>3</v>
      </c>
      <c r="AA15" s="91">
        <f>'24'!G70</f>
        <v>2</v>
      </c>
      <c r="AB15" s="91">
        <f>'25'!G70</f>
        <v>5</v>
      </c>
      <c r="AC15" s="91">
        <f>'26'!G70</f>
        <v>7</v>
      </c>
      <c r="AD15" s="91">
        <f>'27'!G70</f>
        <v>12</v>
      </c>
      <c r="AE15" s="91">
        <f>'28'!G70</f>
        <v>7</v>
      </c>
      <c r="AF15" s="91">
        <f>'29'!G70</f>
        <v>9</v>
      </c>
      <c r="AG15" s="91">
        <f>'30'!G70</f>
        <v>0</v>
      </c>
      <c r="AH15" s="91">
        <f>'31'!G70</f>
        <v>-237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1038" t="s">
        <v>73</v>
      </c>
      <c r="C17" s="90" t="s">
        <v>74</v>
      </c>
      <c r="D17" s="90">
        <f>'1'!G173</f>
        <v>1</v>
      </c>
      <c r="E17" s="91">
        <f>'2'!G173</f>
        <v>4</v>
      </c>
      <c r="F17" s="91">
        <f>'3'!G173</f>
        <v>0</v>
      </c>
      <c r="G17" s="91">
        <f>'4'!G173</f>
        <v>3</v>
      </c>
      <c r="H17" s="91">
        <f>'5'!G173</f>
        <v>1</v>
      </c>
      <c r="I17" s="91">
        <f>'6'!G173</f>
        <v>1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2</v>
      </c>
      <c r="N17" s="91">
        <f>'11'!G173</f>
        <v>2</v>
      </c>
      <c r="O17" s="91">
        <f>'12'!G173</f>
        <v>9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2</v>
      </c>
      <c r="T17" s="91">
        <f>'17'!G173</f>
        <v>2</v>
      </c>
      <c r="U17" s="91">
        <f>'18 '!G173</f>
        <v>1</v>
      </c>
      <c r="V17" s="91">
        <f>'19'!G173</f>
        <v>0</v>
      </c>
      <c r="W17" s="91">
        <f>'20'!G173</f>
        <v>1</v>
      </c>
      <c r="X17" s="91">
        <f>'21'!G173</f>
        <v>0</v>
      </c>
      <c r="Y17" s="91">
        <f>'22'!G173</f>
        <v>10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3</v>
      </c>
      <c r="AD17" s="91">
        <f>'27'!G173</f>
        <v>2</v>
      </c>
      <c r="AE17" s="91">
        <f>'28'!G173</f>
        <v>1</v>
      </c>
      <c r="AF17" s="91">
        <f>'29'!G173</f>
        <v>3</v>
      </c>
      <c r="AG17" s="91">
        <f>'30'!G173</f>
        <v>1</v>
      </c>
      <c r="AH17" s="91">
        <f>'31'!G173</f>
        <v>3</v>
      </c>
      <c r="AI17" s="90"/>
    </row>
    <row r="18" spans="2:35">
      <c r="B18" s="1038"/>
      <c r="C18" s="90" t="s">
        <v>75</v>
      </c>
      <c r="D18" s="90">
        <f>'1'!G174</f>
        <v>13</v>
      </c>
      <c r="E18" s="91">
        <f>'2'!G174</f>
        <v>12</v>
      </c>
      <c r="F18" s="91">
        <f>'3'!G174</f>
        <v>12</v>
      </c>
      <c r="G18" s="91">
        <f>'4'!G174</f>
        <v>12</v>
      </c>
      <c r="H18" s="91">
        <f>'5'!G174</f>
        <v>9</v>
      </c>
      <c r="I18" s="91">
        <f>'6'!G174</f>
        <v>14</v>
      </c>
      <c r="J18" s="91">
        <f>'7'!G174</f>
        <v>12</v>
      </c>
      <c r="K18" s="91">
        <f>'8'!G174</f>
        <v>16</v>
      </c>
      <c r="L18" s="91">
        <f>'9'!G174</f>
        <v>15</v>
      </c>
      <c r="M18" s="91">
        <f>'10'!G174</f>
        <v>12</v>
      </c>
      <c r="N18" s="91">
        <f>'11'!G174</f>
        <v>15</v>
      </c>
      <c r="O18" s="91">
        <f>'12'!G174</f>
        <v>15</v>
      </c>
      <c r="P18" s="91">
        <f>'13'!G174</f>
        <v>15</v>
      </c>
      <c r="Q18" s="91">
        <f>'14'!G174</f>
        <v>12</v>
      </c>
      <c r="R18" s="91">
        <f>'15'!G174</f>
        <v>16</v>
      </c>
      <c r="S18" s="91">
        <f>'16'!G174</f>
        <v>15</v>
      </c>
      <c r="T18" s="91">
        <f>'17'!G174</f>
        <v>12</v>
      </c>
      <c r="U18" s="91">
        <f>'18 '!G174</f>
        <v>14</v>
      </c>
      <c r="V18" s="91">
        <f>'19'!G174</f>
        <v>12</v>
      </c>
      <c r="W18" s="91">
        <f>'20'!G174</f>
        <v>13</v>
      </c>
      <c r="X18" s="91">
        <f>'21'!G174</f>
        <v>14</v>
      </c>
      <c r="Y18" s="91">
        <f>'22'!G174</f>
        <v>8</v>
      </c>
      <c r="Z18" s="91">
        <f>'23'!G174</f>
        <v>11</v>
      </c>
      <c r="AA18" s="91">
        <f>'24'!G174</f>
        <v>8</v>
      </c>
      <c r="AB18" s="91">
        <f>'25'!G174</f>
        <v>7</v>
      </c>
      <c r="AC18" s="91">
        <f>'26'!G174</f>
        <v>13</v>
      </c>
      <c r="AD18" s="91">
        <f>'27'!G174</f>
        <v>11</v>
      </c>
      <c r="AE18" s="91">
        <f>'28'!G174</f>
        <v>16</v>
      </c>
      <c r="AF18" s="91">
        <f>'29'!G174</f>
        <v>10</v>
      </c>
      <c r="AG18" s="91">
        <f>'30'!G174</f>
        <v>14</v>
      </c>
      <c r="AH18" s="91">
        <f>'31'!G174</f>
        <v>-356</v>
      </c>
      <c r="AI18" s="90"/>
    </row>
    <row r="19" spans="2:35">
      <c r="B19" s="1038"/>
      <c r="C19" s="90" t="s">
        <v>76</v>
      </c>
      <c r="D19" s="90">
        <f>'1'!G175</f>
        <v>11</v>
      </c>
      <c r="E19" s="91">
        <f>'2'!G175</f>
        <v>13</v>
      </c>
      <c r="F19" s="91">
        <f>'3'!G175</f>
        <v>12</v>
      </c>
      <c r="G19" s="91">
        <f>'4'!G175</f>
        <v>10</v>
      </c>
      <c r="H19" s="91">
        <f>'5'!G175</f>
        <v>9</v>
      </c>
      <c r="I19" s="91">
        <f>'6'!G175</f>
        <v>12</v>
      </c>
      <c r="J19" s="91">
        <f>'7'!G175</f>
        <v>9</v>
      </c>
      <c r="K19" s="91">
        <f>'8'!G175</f>
        <v>10</v>
      </c>
      <c r="L19" s="91">
        <f>'9'!G175</f>
        <v>13</v>
      </c>
      <c r="M19" s="91">
        <f>'10'!G175</f>
        <v>9</v>
      </c>
      <c r="N19" s="91">
        <f>'11'!G175</f>
        <v>10</v>
      </c>
      <c r="O19" s="91">
        <f>'12'!G175</f>
        <v>10</v>
      </c>
      <c r="P19" s="91">
        <f>'13'!G175</f>
        <v>10</v>
      </c>
      <c r="Q19" s="91">
        <f>'14'!G175</f>
        <v>12</v>
      </c>
      <c r="R19" s="91">
        <f>'15'!G175</f>
        <v>12</v>
      </c>
      <c r="S19" s="91">
        <f>'16'!G175</f>
        <v>11</v>
      </c>
      <c r="T19" s="91">
        <f>'17'!G175</f>
        <v>14</v>
      </c>
      <c r="U19" s="91">
        <f>'18 '!G175</f>
        <v>12</v>
      </c>
      <c r="V19" s="91">
        <f>'19'!G175</f>
        <v>15</v>
      </c>
      <c r="W19" s="91">
        <f>'20'!G175</f>
        <v>16</v>
      </c>
      <c r="X19" s="91">
        <f>'21'!G175</f>
        <v>12</v>
      </c>
      <c r="Y19" s="91">
        <f>'22'!G175</f>
        <v>9</v>
      </c>
      <c r="Z19" s="91">
        <f>'23'!G175</f>
        <v>12</v>
      </c>
      <c r="AA19" s="91">
        <f>'24'!G175</f>
        <v>8</v>
      </c>
      <c r="AB19" s="91">
        <f>'25'!G175</f>
        <v>7</v>
      </c>
      <c r="AC19" s="91">
        <f>'26'!G175</f>
        <v>12</v>
      </c>
      <c r="AD19" s="91">
        <f>'27'!G175</f>
        <v>13</v>
      </c>
      <c r="AE19" s="91">
        <f>'28'!G175</f>
        <v>10</v>
      </c>
      <c r="AF19" s="91">
        <f>'29'!G175</f>
        <v>11</v>
      </c>
      <c r="AG19" s="91">
        <f>'30'!G175</f>
        <v>14</v>
      </c>
      <c r="AH19" s="91">
        <f>'31'!G175</f>
        <v>-330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1038" t="s">
        <v>77</v>
      </c>
      <c r="C21" s="90" t="s">
        <v>78</v>
      </c>
      <c r="D21" s="90">
        <f>'1'!G178</f>
        <v>0</v>
      </c>
      <c r="E21" s="91">
        <f>'2'!G178</f>
        <v>0</v>
      </c>
      <c r="F21" s="91">
        <f>'3'!G178</f>
        <v>0</v>
      </c>
      <c r="G21" s="91">
        <f>'4'!G178</f>
        <v>0</v>
      </c>
      <c r="H21" s="91">
        <f>'5'!G178</f>
        <v>0</v>
      </c>
      <c r="I21" s="91">
        <f>'6'!G178</f>
        <v>0</v>
      </c>
      <c r="J21" s="91">
        <f>'7'!G178</f>
        <v>0</v>
      </c>
      <c r="K21" s="91">
        <f>'8'!G178</f>
        <v>0</v>
      </c>
      <c r="L21" s="91">
        <f>'9'!G178</f>
        <v>0</v>
      </c>
      <c r="M21" s="91">
        <f>'10'!G178</f>
        <v>0</v>
      </c>
      <c r="N21" s="91">
        <f>'11'!G178</f>
        <v>3</v>
      </c>
      <c r="O21" s="91">
        <f>'12'!G178</f>
        <v>0</v>
      </c>
      <c r="P21" s="91">
        <f>'13'!G178</f>
        <v>0</v>
      </c>
      <c r="Q21" s="91">
        <f>'14'!G178</f>
        <v>0</v>
      </c>
      <c r="R21" s="91">
        <f>'15'!G178</f>
        <v>0</v>
      </c>
      <c r="S21" s="91">
        <f>'16'!G178</f>
        <v>0</v>
      </c>
      <c r="T21" s="91">
        <f>'17'!G178</f>
        <v>0</v>
      </c>
      <c r="U21" s="91">
        <f>'18 '!G178</f>
        <v>0</v>
      </c>
      <c r="V21" s="91">
        <f>'19'!G178</f>
        <v>0</v>
      </c>
      <c r="W21" s="91">
        <f>'20'!G178</f>
        <v>0</v>
      </c>
      <c r="X21" s="91">
        <f>'21'!G178</f>
        <v>0</v>
      </c>
      <c r="Y21" s="91">
        <f>'22'!G178</f>
        <v>0</v>
      </c>
      <c r="Z21" s="91">
        <f>'23'!G178</f>
        <v>0</v>
      </c>
      <c r="AA21" s="91">
        <f>'24'!G178</f>
        <v>0</v>
      </c>
      <c r="AB21" s="91">
        <f>'25'!G178</f>
        <v>0</v>
      </c>
      <c r="AC21" s="91">
        <f>'26'!G178</f>
        <v>0</v>
      </c>
      <c r="AD21" s="91">
        <f>'27'!G178</f>
        <v>0</v>
      </c>
      <c r="AE21" s="91">
        <f>'28'!G178</f>
        <v>0</v>
      </c>
      <c r="AF21" s="91">
        <f>'29'!G178</f>
        <v>0</v>
      </c>
      <c r="AG21" s="91">
        <f>'30'!G178</f>
        <v>0</v>
      </c>
      <c r="AH21" s="91">
        <f>'31'!G178</f>
        <v>-2030</v>
      </c>
      <c r="AI21" s="90"/>
    </row>
    <row r="22" spans="2:35">
      <c r="B22" s="1038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0</v>
      </c>
      <c r="AA22" s="91">
        <f>'24'!G179</f>
        <v>0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0</v>
      </c>
      <c r="AG22" s="91">
        <f>'30'!G179</f>
        <v>0</v>
      </c>
      <c r="AH22" s="91">
        <f>'31'!G179</f>
        <v>-206</v>
      </c>
      <c r="AI22" s="90"/>
    </row>
    <row r="23" spans="2:35">
      <c r="B23" s="1038"/>
      <c r="C23" s="90" t="s">
        <v>80</v>
      </c>
      <c r="D23" s="90">
        <f>'1'!G180</f>
        <v>0</v>
      </c>
      <c r="E23" s="91">
        <f>'2'!G180</f>
        <v>0</v>
      </c>
      <c r="F23" s="91">
        <f>'3'!G180</f>
        <v>0</v>
      </c>
      <c r="G23" s="91">
        <f>'4'!G180</f>
        <v>0</v>
      </c>
      <c r="H23" s="91">
        <f>'5'!G180</f>
        <v>0</v>
      </c>
      <c r="I23" s="91">
        <f>'6'!G180</f>
        <v>0</v>
      </c>
      <c r="J23" s="91">
        <f>'7'!G180</f>
        <v>0</v>
      </c>
      <c r="K23" s="91">
        <f>'8'!G180</f>
        <v>0</v>
      </c>
      <c r="L23" s="91">
        <f>'9'!G180</f>
        <v>0</v>
      </c>
      <c r="M23" s="91">
        <f>'10'!G180</f>
        <v>0</v>
      </c>
      <c r="N23" s="91">
        <f>'11'!G180</f>
        <v>0</v>
      </c>
      <c r="O23" s="91">
        <f>'12'!G180</f>
        <v>0</v>
      </c>
      <c r="P23" s="91">
        <f>'13'!G180</f>
        <v>0</v>
      </c>
      <c r="Q23" s="91">
        <f>'14'!G180</f>
        <v>0</v>
      </c>
      <c r="R23" s="91">
        <f>'15'!G180</f>
        <v>0</v>
      </c>
      <c r="S23" s="91">
        <f>'16'!G180</f>
        <v>0</v>
      </c>
      <c r="T23" s="91">
        <f>'17'!G180</f>
        <v>0</v>
      </c>
      <c r="U23" s="91">
        <f>'18 '!G180</f>
        <v>0</v>
      </c>
      <c r="V23" s="91">
        <f>'19'!G180</f>
        <v>0</v>
      </c>
      <c r="W23" s="91">
        <f>'20'!G180</f>
        <v>0</v>
      </c>
      <c r="X23" s="91">
        <f>'21'!G180</f>
        <v>0</v>
      </c>
      <c r="Y23" s="91">
        <f>'22'!G180</f>
        <v>0</v>
      </c>
      <c r="Z23" s="91">
        <f>'23'!G180</f>
        <v>0</v>
      </c>
      <c r="AA23" s="91">
        <f>'24'!G180</f>
        <v>0</v>
      </c>
      <c r="AB23" s="91">
        <f>'25'!G180</f>
        <v>5</v>
      </c>
      <c r="AC23" s="91">
        <f>'26'!G180</f>
        <v>2</v>
      </c>
      <c r="AD23" s="91">
        <f>'27'!G180</f>
        <v>1</v>
      </c>
      <c r="AE23" s="91">
        <f>'28'!G180</f>
        <v>0</v>
      </c>
      <c r="AF23" s="91">
        <f>'29'!G180</f>
        <v>0</v>
      </c>
      <c r="AG23" s="91">
        <f>'30'!G180</f>
        <v>0</v>
      </c>
      <c r="AH23" s="91">
        <f>'31'!G180</f>
        <v>-40</v>
      </c>
      <c r="AI23" s="90"/>
    </row>
    <row r="24" spans="2:35" ht="30">
      <c r="B24" s="93" t="s">
        <v>301</v>
      </c>
      <c r="C24" s="90"/>
      <c r="D24" s="91">
        <f>SUM(D5:D6)</f>
        <v>304</v>
      </c>
      <c r="E24" s="91">
        <f t="shared" ref="E24:AH24" si="0">SUM(E5:E6)</f>
        <v>238</v>
      </c>
      <c r="F24" s="91">
        <f t="shared" si="0"/>
        <v>344</v>
      </c>
      <c r="G24" s="91">
        <f t="shared" si="0"/>
        <v>291</v>
      </c>
      <c r="H24" s="91">
        <f t="shared" si="0"/>
        <v>251</v>
      </c>
      <c r="I24" s="91">
        <f t="shared" si="0"/>
        <v>290</v>
      </c>
      <c r="J24" s="91">
        <f t="shared" si="0"/>
        <v>295</v>
      </c>
      <c r="K24" s="91">
        <f t="shared" si="0"/>
        <v>297</v>
      </c>
      <c r="L24" s="91">
        <f t="shared" si="0"/>
        <v>332</v>
      </c>
      <c r="M24" s="91">
        <f t="shared" si="0"/>
        <v>230</v>
      </c>
      <c r="N24" s="91">
        <f t="shared" si="0"/>
        <v>335</v>
      </c>
      <c r="O24" s="91">
        <f t="shared" si="0"/>
        <v>307</v>
      </c>
      <c r="P24" s="91">
        <f t="shared" si="0"/>
        <v>309</v>
      </c>
      <c r="Q24" s="91">
        <f t="shared" si="0"/>
        <v>267</v>
      </c>
      <c r="R24" s="91">
        <f t="shared" si="0"/>
        <v>322</v>
      </c>
      <c r="S24" s="91">
        <f t="shared" si="0"/>
        <v>370</v>
      </c>
      <c r="T24" s="91">
        <f t="shared" si="0"/>
        <v>302</v>
      </c>
      <c r="U24" s="91">
        <f t="shared" si="0"/>
        <v>273</v>
      </c>
      <c r="V24" s="91">
        <f t="shared" si="0"/>
        <v>303</v>
      </c>
      <c r="W24" s="91">
        <f t="shared" si="0"/>
        <v>341</v>
      </c>
      <c r="X24" s="91">
        <f t="shared" si="0"/>
        <v>311</v>
      </c>
      <c r="Y24" s="91">
        <f t="shared" si="0"/>
        <v>389</v>
      </c>
      <c r="Z24" s="91">
        <f t="shared" si="0"/>
        <v>389</v>
      </c>
      <c r="AA24" s="91">
        <f>SUM(AA5:AA6)</f>
        <v>202</v>
      </c>
      <c r="AB24" s="91">
        <f t="shared" si="0"/>
        <v>173</v>
      </c>
      <c r="AC24" s="91">
        <f t="shared" si="0"/>
        <v>314</v>
      </c>
      <c r="AD24" s="91">
        <f t="shared" si="0"/>
        <v>272</v>
      </c>
      <c r="AE24" s="91">
        <f t="shared" si="0"/>
        <v>249</v>
      </c>
      <c r="AF24" s="91">
        <f t="shared" si="0"/>
        <v>320</v>
      </c>
      <c r="AG24" s="91">
        <f t="shared" si="0"/>
        <v>320</v>
      </c>
      <c r="AH24" s="91">
        <f t="shared" si="0"/>
        <v>-1420</v>
      </c>
      <c r="AI24" s="90"/>
    </row>
    <row r="25" spans="2:35" ht="30">
      <c r="B25" s="93" t="s">
        <v>81</v>
      </c>
      <c r="C25" s="90"/>
      <c r="D25" s="91">
        <f>SUM(D9:D11,D14:D15,)</f>
        <v>171</v>
      </c>
      <c r="E25" s="91">
        <f t="shared" ref="E25:AI25" si="1">SUM(E9:E11,E14:E15,)</f>
        <v>154</v>
      </c>
      <c r="F25" s="91">
        <f t="shared" si="1"/>
        <v>141</v>
      </c>
      <c r="G25" s="91">
        <f t="shared" si="1"/>
        <v>125</v>
      </c>
      <c r="H25" s="91">
        <f t="shared" si="1"/>
        <v>135</v>
      </c>
      <c r="I25" s="91">
        <f t="shared" si="1"/>
        <v>129</v>
      </c>
      <c r="J25" s="91">
        <f t="shared" si="1"/>
        <v>149</v>
      </c>
      <c r="K25" s="91">
        <f>SUM(K9:K11,K14:K15,)</f>
        <v>176</v>
      </c>
      <c r="L25" s="91">
        <f t="shared" si="1"/>
        <v>146</v>
      </c>
      <c r="M25" s="91">
        <f t="shared" si="1"/>
        <v>142</v>
      </c>
      <c r="N25" s="91">
        <f t="shared" si="1"/>
        <v>145</v>
      </c>
      <c r="O25" s="91">
        <f t="shared" si="1"/>
        <v>159</v>
      </c>
      <c r="P25" s="91">
        <f t="shared" si="1"/>
        <v>155</v>
      </c>
      <c r="Q25" s="91">
        <f t="shared" si="1"/>
        <v>160</v>
      </c>
      <c r="R25" s="91">
        <f t="shared" si="1"/>
        <v>190</v>
      </c>
      <c r="S25" s="91">
        <f t="shared" si="1"/>
        <v>185</v>
      </c>
      <c r="T25" s="91">
        <f>SUM(T9:T11,T14:T15,)</f>
        <v>156</v>
      </c>
      <c r="U25" s="91">
        <f t="shared" si="1"/>
        <v>145</v>
      </c>
      <c r="V25" s="91">
        <f t="shared" si="1"/>
        <v>150</v>
      </c>
      <c r="W25" s="91">
        <f t="shared" si="1"/>
        <v>161</v>
      </c>
      <c r="X25" s="91">
        <f t="shared" si="1"/>
        <v>164</v>
      </c>
      <c r="Y25" s="91">
        <f t="shared" si="1"/>
        <v>178</v>
      </c>
      <c r="Z25" s="91">
        <f t="shared" si="1"/>
        <v>151</v>
      </c>
      <c r="AA25" s="91">
        <f t="shared" si="1"/>
        <v>105</v>
      </c>
      <c r="AB25" s="91">
        <f t="shared" si="1"/>
        <v>112</v>
      </c>
      <c r="AC25" s="91">
        <f t="shared" si="1"/>
        <v>147</v>
      </c>
      <c r="AD25" s="91">
        <f t="shared" si="1"/>
        <v>131</v>
      </c>
      <c r="AE25" s="91">
        <f t="shared" si="1"/>
        <v>149</v>
      </c>
      <c r="AF25" s="91">
        <f t="shared" si="1"/>
        <v>141</v>
      </c>
      <c r="AG25" s="91">
        <f t="shared" si="1"/>
        <v>136</v>
      </c>
      <c r="AH25" s="91">
        <f t="shared" si="1"/>
        <v>-4179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26</v>
      </c>
      <c r="E27" s="91">
        <f t="shared" ref="E27:AH27" si="2">SUM(E13,E21,E23)</f>
        <v>15</v>
      </c>
      <c r="F27" s="91">
        <f>SUM(F13,F21,F23)</f>
        <v>24</v>
      </c>
      <c r="G27" s="91">
        <f t="shared" si="2"/>
        <v>38</v>
      </c>
      <c r="H27" s="91">
        <f t="shared" si="2"/>
        <v>44</v>
      </c>
      <c r="I27" s="91">
        <f t="shared" si="2"/>
        <v>37</v>
      </c>
      <c r="J27" s="91">
        <f t="shared" si="2"/>
        <v>16</v>
      </c>
      <c r="K27" s="91">
        <f t="shared" si="2"/>
        <v>25</v>
      </c>
      <c r="L27" s="91">
        <f t="shared" si="2"/>
        <v>32</v>
      </c>
      <c r="M27" s="91">
        <f t="shared" si="2"/>
        <v>49</v>
      </c>
      <c r="N27" s="91">
        <f t="shared" si="2"/>
        <v>28</v>
      </c>
      <c r="O27" s="91">
        <f t="shared" si="2"/>
        <v>43</v>
      </c>
      <c r="P27" s="91">
        <f t="shared" si="2"/>
        <v>30</v>
      </c>
      <c r="Q27" s="91">
        <f t="shared" si="2"/>
        <v>38</v>
      </c>
      <c r="R27" s="91">
        <f t="shared" si="2"/>
        <v>41</v>
      </c>
      <c r="S27" s="91">
        <f t="shared" si="2"/>
        <v>25</v>
      </c>
      <c r="T27" s="91">
        <f t="shared" si="2"/>
        <v>34</v>
      </c>
      <c r="U27" s="91">
        <f t="shared" si="2"/>
        <v>42</v>
      </c>
      <c r="V27" s="91">
        <f t="shared" si="2"/>
        <v>37</v>
      </c>
      <c r="W27" s="91">
        <f t="shared" si="2"/>
        <v>25</v>
      </c>
      <c r="X27" s="91">
        <f t="shared" si="2"/>
        <v>28</v>
      </c>
      <c r="Y27" s="91">
        <f t="shared" si="2"/>
        <v>34</v>
      </c>
      <c r="Z27" s="91">
        <f t="shared" si="2"/>
        <v>42</v>
      </c>
      <c r="AA27" s="91">
        <f t="shared" si="2"/>
        <v>16</v>
      </c>
      <c r="AB27" s="91">
        <f t="shared" si="2"/>
        <v>21</v>
      </c>
      <c r="AC27" s="91">
        <f t="shared" si="2"/>
        <v>16</v>
      </c>
      <c r="AD27" s="91">
        <f t="shared" si="2"/>
        <v>27</v>
      </c>
      <c r="AE27" s="91">
        <f t="shared" si="2"/>
        <v>28</v>
      </c>
      <c r="AF27" s="91">
        <f t="shared" si="2"/>
        <v>34</v>
      </c>
      <c r="AG27" s="91">
        <f t="shared" si="2"/>
        <v>38</v>
      </c>
      <c r="AH27" s="91">
        <f t="shared" si="2"/>
        <v>-3095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103</v>
      </c>
      <c r="E29" s="249">
        <f t="shared" ref="E29:AH29" si="4">E9</f>
        <v>103</v>
      </c>
      <c r="F29" s="249">
        <f t="shared" si="4"/>
        <v>108</v>
      </c>
      <c r="G29" s="249">
        <f t="shared" si="4"/>
        <v>89</v>
      </c>
      <c r="H29" s="249">
        <f t="shared" si="4"/>
        <v>101</v>
      </c>
      <c r="I29" s="249">
        <f t="shared" si="4"/>
        <v>89</v>
      </c>
      <c r="J29" s="249">
        <f t="shared" si="4"/>
        <v>103</v>
      </c>
      <c r="K29" s="249">
        <f t="shared" si="4"/>
        <v>108</v>
      </c>
      <c r="L29" s="249">
        <f t="shared" si="4"/>
        <v>105</v>
      </c>
      <c r="M29" s="249">
        <f t="shared" si="4"/>
        <v>98</v>
      </c>
      <c r="N29" s="249">
        <f t="shared" si="4"/>
        <v>95</v>
      </c>
      <c r="O29" s="249">
        <f t="shared" si="4"/>
        <v>123</v>
      </c>
      <c r="P29" s="249">
        <f t="shared" si="4"/>
        <v>113</v>
      </c>
      <c r="Q29" s="249">
        <f t="shared" si="4"/>
        <v>118</v>
      </c>
      <c r="R29" s="249">
        <f t="shared" si="4"/>
        <v>133</v>
      </c>
      <c r="S29" s="249">
        <f t="shared" si="4"/>
        <v>123</v>
      </c>
      <c r="T29" s="249">
        <f t="shared" si="4"/>
        <v>108</v>
      </c>
      <c r="U29" s="249">
        <f t="shared" si="4"/>
        <v>101</v>
      </c>
      <c r="V29" s="249">
        <f t="shared" si="4"/>
        <v>112</v>
      </c>
      <c r="W29" s="249">
        <f t="shared" si="4"/>
        <v>115</v>
      </c>
      <c r="X29" s="249">
        <f t="shared" si="4"/>
        <v>125</v>
      </c>
      <c r="Y29" s="249">
        <f t="shared" si="4"/>
        <v>139</v>
      </c>
      <c r="Z29" s="249">
        <f t="shared" si="4"/>
        <v>116</v>
      </c>
      <c r="AA29" s="249">
        <f t="shared" si="4"/>
        <v>88</v>
      </c>
      <c r="AB29" s="249">
        <f t="shared" si="4"/>
        <v>89</v>
      </c>
      <c r="AC29" s="249">
        <f t="shared" si="4"/>
        <v>113</v>
      </c>
      <c r="AD29" s="249">
        <f t="shared" si="4"/>
        <v>89</v>
      </c>
      <c r="AE29" s="249">
        <f t="shared" si="4"/>
        <v>118</v>
      </c>
      <c r="AF29" s="249">
        <f t="shared" si="4"/>
        <v>99</v>
      </c>
      <c r="AG29" s="249">
        <f t="shared" si="4"/>
        <v>111</v>
      </c>
      <c r="AH29" s="249">
        <f t="shared" si="4"/>
        <v>-2998</v>
      </c>
      <c r="AI29" s="248"/>
    </row>
    <row r="30" spans="2:35">
      <c r="B30" s="247" t="s">
        <v>84</v>
      </c>
      <c r="C30" s="248"/>
      <c r="D30" s="249">
        <f>SUM(D10:D11,D14:D15)</f>
        <v>68</v>
      </c>
      <c r="E30" s="249">
        <f t="shared" ref="E30:AH30" si="5">SUM(E10:E11,E14:E15)</f>
        <v>51</v>
      </c>
      <c r="F30" s="249">
        <f t="shared" si="5"/>
        <v>33</v>
      </c>
      <c r="G30" s="249">
        <f t="shared" si="5"/>
        <v>36</v>
      </c>
      <c r="H30" s="249">
        <f t="shared" si="5"/>
        <v>34</v>
      </c>
      <c r="I30" s="249">
        <f t="shared" si="5"/>
        <v>40</v>
      </c>
      <c r="J30" s="249">
        <f t="shared" si="5"/>
        <v>46</v>
      </c>
      <c r="K30" s="249">
        <f t="shared" si="5"/>
        <v>68</v>
      </c>
      <c r="L30" s="249">
        <f t="shared" si="5"/>
        <v>41</v>
      </c>
      <c r="M30" s="249">
        <f t="shared" si="5"/>
        <v>44</v>
      </c>
      <c r="N30" s="249">
        <f t="shared" si="5"/>
        <v>50</v>
      </c>
      <c r="O30" s="249">
        <f t="shared" si="5"/>
        <v>36</v>
      </c>
      <c r="P30" s="249">
        <f t="shared" si="5"/>
        <v>42</v>
      </c>
      <c r="Q30" s="249">
        <f t="shared" si="5"/>
        <v>42</v>
      </c>
      <c r="R30" s="249">
        <f t="shared" si="5"/>
        <v>57</v>
      </c>
      <c r="S30" s="249">
        <f t="shared" si="5"/>
        <v>62</v>
      </c>
      <c r="T30" s="249">
        <f t="shared" si="5"/>
        <v>48</v>
      </c>
      <c r="U30" s="249">
        <f t="shared" si="5"/>
        <v>44</v>
      </c>
      <c r="V30" s="249">
        <f t="shared" si="5"/>
        <v>38</v>
      </c>
      <c r="W30" s="249">
        <f t="shared" si="5"/>
        <v>46</v>
      </c>
      <c r="X30" s="249">
        <f t="shared" si="5"/>
        <v>39</v>
      </c>
      <c r="Y30" s="249">
        <f t="shared" si="5"/>
        <v>39</v>
      </c>
      <c r="Z30" s="249">
        <f t="shared" si="5"/>
        <v>35</v>
      </c>
      <c r="AA30" s="249">
        <f t="shared" si="5"/>
        <v>17</v>
      </c>
      <c r="AB30" s="249">
        <f t="shared" si="5"/>
        <v>23</v>
      </c>
      <c r="AC30" s="249">
        <f t="shared" si="5"/>
        <v>34</v>
      </c>
      <c r="AD30" s="249">
        <f t="shared" si="5"/>
        <v>42</v>
      </c>
      <c r="AE30" s="249">
        <f t="shared" si="5"/>
        <v>31</v>
      </c>
      <c r="AF30" s="249">
        <f t="shared" si="5"/>
        <v>42</v>
      </c>
      <c r="AG30" s="249">
        <f t="shared" si="5"/>
        <v>25</v>
      </c>
      <c r="AH30" s="249">
        <f t="shared" si="5"/>
        <v>-1181</v>
      </c>
      <c r="AI30" s="248"/>
    </row>
    <row r="31" spans="2:35">
      <c r="B31" s="247" t="s">
        <v>85</v>
      </c>
      <c r="C31" s="248"/>
      <c r="D31" s="248">
        <f>D30/SUM(D29:D30)%</f>
        <v>39.76608187134503</v>
      </c>
      <c r="E31" s="248">
        <f t="shared" ref="E31:AH31" si="6">E30/SUM(E29:E30)%</f>
        <v>33.116883116883116</v>
      </c>
      <c r="F31" s="248">
        <f t="shared" si="6"/>
        <v>23.404255319148938</v>
      </c>
      <c r="G31" s="248">
        <f t="shared" si="6"/>
        <v>28.8</v>
      </c>
      <c r="H31" s="248">
        <f t="shared" si="6"/>
        <v>25.185185185185183</v>
      </c>
      <c r="I31" s="248">
        <f t="shared" si="6"/>
        <v>31.007751937984494</v>
      </c>
      <c r="J31" s="248">
        <f t="shared" si="6"/>
        <v>30.872483221476511</v>
      </c>
      <c r="K31" s="248">
        <f t="shared" si="6"/>
        <v>38.636363636363633</v>
      </c>
      <c r="L31" s="248">
        <f t="shared" si="6"/>
        <v>28.082191780821919</v>
      </c>
      <c r="M31" s="248">
        <f t="shared" si="6"/>
        <v>30.985915492957748</v>
      </c>
      <c r="N31" s="248">
        <f t="shared" si="6"/>
        <v>34.482758620689658</v>
      </c>
      <c r="O31" s="248">
        <f t="shared" si="6"/>
        <v>22.641509433962263</v>
      </c>
      <c r="P31" s="248">
        <f t="shared" si="6"/>
        <v>27.096774193548388</v>
      </c>
      <c r="Q31" s="248">
        <f t="shared" si="6"/>
        <v>26.25</v>
      </c>
      <c r="R31" s="248">
        <f t="shared" si="6"/>
        <v>30</v>
      </c>
      <c r="S31" s="248">
        <f t="shared" si="6"/>
        <v>33.513513513513509</v>
      </c>
      <c r="T31" s="248">
        <f t="shared" si="6"/>
        <v>30.769230769230766</v>
      </c>
      <c r="U31" s="248">
        <f t="shared" si="6"/>
        <v>30.344827586206897</v>
      </c>
      <c r="V31" s="248">
        <f t="shared" si="6"/>
        <v>25.333333333333332</v>
      </c>
      <c r="W31" s="248">
        <f t="shared" si="6"/>
        <v>28.571428571428569</v>
      </c>
      <c r="X31" s="248">
        <f t="shared" si="6"/>
        <v>23.780487804878049</v>
      </c>
      <c r="Y31" s="248">
        <f t="shared" si="6"/>
        <v>21.91011235955056</v>
      </c>
      <c r="Z31" s="248">
        <f t="shared" si="6"/>
        <v>23.178807947019866</v>
      </c>
      <c r="AA31" s="248">
        <f t="shared" si="6"/>
        <v>16.19047619047619</v>
      </c>
      <c r="AB31" s="248">
        <f t="shared" si="6"/>
        <v>20.535714285714285</v>
      </c>
      <c r="AC31" s="248">
        <f t="shared" si="6"/>
        <v>23.129251700680271</v>
      </c>
      <c r="AD31" s="248">
        <f t="shared" si="6"/>
        <v>32.061068702290072</v>
      </c>
      <c r="AE31" s="248">
        <f t="shared" si="6"/>
        <v>20.80536912751678</v>
      </c>
      <c r="AF31" s="248">
        <f t="shared" si="6"/>
        <v>29.787234042553195</v>
      </c>
      <c r="AG31" s="248">
        <f t="shared" si="6"/>
        <v>18.382352941176471</v>
      </c>
      <c r="AH31" s="248">
        <f t="shared" si="6"/>
        <v>28.260349365877005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abSelected="1" zoomScale="70" zoomScaleNormal="70" workbookViewId="0">
      <pane xSplit="1" topLeftCell="B1" activePane="topRight" state="frozen"/>
      <selection activeCell="A4" sqref="A4"/>
      <selection pane="topRight" activeCell="E5" sqref="E5:E29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1042" t="s">
        <v>308</v>
      </c>
      <c r="G2" s="1043"/>
      <c r="H2" s="1043"/>
      <c r="I2" s="1043"/>
      <c r="J2" s="1043"/>
      <c r="K2" s="1043"/>
      <c r="L2" s="1043"/>
      <c r="M2" s="1044"/>
      <c r="N2" s="1041" t="s">
        <v>86</v>
      </c>
      <c r="O2" s="1041"/>
      <c r="P2" s="1041"/>
      <c r="Q2" s="1041"/>
      <c r="R2" s="1041"/>
      <c r="S2" s="1041"/>
      <c r="T2" s="1041"/>
      <c r="U2" s="1041"/>
      <c r="V2" s="1041"/>
      <c r="W2" s="1041"/>
      <c r="X2" s="1041"/>
      <c r="Y2" s="1041"/>
      <c r="Z2" s="1041"/>
      <c r="AA2" s="1041"/>
      <c r="AB2" s="1041"/>
      <c r="AC2" s="1041"/>
      <c r="AD2" s="1041"/>
      <c r="AE2" s="1041"/>
      <c r="AF2" s="1041"/>
      <c r="AG2" s="1041"/>
      <c r="AH2" s="1041"/>
      <c r="AI2" s="1041"/>
      <c r="AJ2" s="1041"/>
      <c r="AK2" s="1041"/>
      <c r="AL2" s="1041"/>
      <c r="AM2" s="1041"/>
      <c r="AN2" s="1040"/>
      <c r="AO2" s="1040"/>
      <c r="AP2" s="1040"/>
      <c r="AQ2" s="1040"/>
      <c r="AR2" s="1040"/>
      <c r="AS2" s="1040"/>
      <c r="AT2" s="1040"/>
      <c r="AU2" s="481"/>
      <c r="AV2" s="1039" t="s">
        <v>87</v>
      </c>
      <c r="AW2" s="1039"/>
      <c r="AX2" s="1039"/>
      <c r="AY2" s="1039"/>
      <c r="BB2" s="318" t="s">
        <v>334</v>
      </c>
      <c r="BC2" s="318" t="s">
        <v>335</v>
      </c>
    </row>
    <row r="3" spans="1:55">
      <c r="F3" s="483"/>
      <c r="G3" s="484"/>
      <c r="H3" s="484"/>
      <c r="I3" s="484"/>
      <c r="J3" s="484"/>
      <c r="K3" s="484"/>
      <c r="L3" s="484"/>
      <c r="M3" s="485"/>
      <c r="N3" s="482"/>
      <c r="O3" s="482"/>
      <c r="P3" s="482"/>
      <c r="Q3" s="482"/>
      <c r="R3" s="482"/>
      <c r="S3" s="482"/>
      <c r="T3" s="482"/>
      <c r="U3" s="482"/>
      <c r="V3" s="482"/>
      <c r="W3" s="482"/>
      <c r="X3" s="482"/>
      <c r="Y3" s="482"/>
      <c r="Z3" s="48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482"/>
      <c r="AN3" s="1045" t="s">
        <v>138</v>
      </c>
      <c r="AO3" s="1045"/>
      <c r="AP3" s="1045"/>
      <c r="AQ3" s="1045"/>
      <c r="AR3" s="1045"/>
      <c r="AS3" s="1045"/>
      <c r="AT3" s="1045"/>
      <c r="AU3" s="1046" t="s">
        <v>283</v>
      </c>
      <c r="AV3" s="1046"/>
      <c r="AW3" s="1046"/>
      <c r="AX3" s="1046"/>
      <c r="AY3" s="1046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486" t="s">
        <v>284</v>
      </c>
      <c r="G4" s="487" t="s">
        <v>285</v>
      </c>
      <c r="H4" s="487" t="s">
        <v>286</v>
      </c>
      <c r="I4" s="487" t="s">
        <v>287</v>
      </c>
      <c r="J4" s="487" t="s">
        <v>282</v>
      </c>
      <c r="K4" s="487" t="s">
        <v>51</v>
      </c>
      <c r="L4" s="488" t="s">
        <v>60</v>
      </c>
      <c r="M4" s="488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6">
        <v>1</v>
      </c>
      <c r="B5" s="489">
        <f>'1'!G7</f>
        <v>25316</v>
      </c>
      <c r="C5" s="489">
        <f>'1'!G8</f>
        <v>25669</v>
      </c>
      <c r="D5" s="489">
        <f>'1'!G15</f>
        <v>967</v>
      </c>
      <c r="E5" s="489">
        <f>'1'!G20</f>
        <v>304</v>
      </c>
      <c r="F5" s="489">
        <f>SUM('1'!G35,'1'!G49)</f>
        <v>3617</v>
      </c>
      <c r="G5" s="489">
        <f>SUM('1'!H37,'1'!H51)</f>
        <v>1067</v>
      </c>
      <c r="H5" s="489">
        <f>SUM('1'!G38,'1'!G52)</f>
        <v>2230.7600000000002</v>
      </c>
      <c r="I5" s="489">
        <f>SUM('1'!G39,'1'!G53)</f>
        <v>4405</v>
      </c>
      <c r="J5" s="489">
        <f>SUM('1'!G41,'1'!G42,'1'!G55,'1'!G56)</f>
        <v>7106</v>
      </c>
      <c r="K5" s="489">
        <f>SUM('1'!G43,'1'!G57)</f>
        <v>2965</v>
      </c>
      <c r="L5" s="254">
        <f>'1'!G50</f>
        <v>1611</v>
      </c>
      <c r="M5" s="254">
        <f>'1'!G36</f>
        <v>694</v>
      </c>
      <c r="N5" s="254">
        <f>'1'!G138</f>
        <v>133</v>
      </c>
      <c r="O5" s="254">
        <f>'1'!G139</f>
        <v>142</v>
      </c>
      <c r="P5" s="254">
        <f>'1'!G140</f>
        <v>11</v>
      </c>
      <c r="Q5" s="254">
        <f>'1'!G141</f>
        <v>237</v>
      </c>
      <c r="R5" s="254">
        <f>'1'!G142</f>
        <v>93</v>
      </c>
      <c r="S5" s="254">
        <f>'1'!$G$145</f>
        <v>221</v>
      </c>
      <c r="T5" s="254">
        <f>'1'!$G$146</f>
        <v>0</v>
      </c>
      <c r="U5" s="254">
        <f>'1'!$G$144</f>
        <v>209</v>
      </c>
      <c r="V5" s="254">
        <f>'1'!$G$147</f>
        <v>383</v>
      </c>
      <c r="W5" s="254">
        <f>'1'!$G$148</f>
        <v>255</v>
      </c>
      <c r="X5" s="254">
        <f>'1'!$G$143</f>
        <v>20</v>
      </c>
      <c r="Y5" s="254">
        <f>'1'!$G$58</f>
        <v>256</v>
      </c>
      <c r="Z5" s="254">
        <f>'1'!$G$151</f>
        <v>27</v>
      </c>
      <c r="AA5" s="254">
        <f>'1'!G161</f>
        <v>309</v>
      </c>
      <c r="AB5" s="254">
        <f>'1'!G162</f>
        <v>46</v>
      </c>
      <c r="AC5" s="254"/>
      <c r="AD5" s="254">
        <f>'1'!G163+'1'!G164</f>
        <v>124</v>
      </c>
      <c r="AE5" s="254">
        <f>'1'!$G$116</f>
        <v>535</v>
      </c>
      <c r="AF5" s="254">
        <f>'1'!$G$117</f>
        <v>311</v>
      </c>
      <c r="AG5" s="254">
        <f>'1'!$G$118</f>
        <v>612</v>
      </c>
      <c r="AH5" s="254">
        <f>'1'!$G$119</f>
        <v>11</v>
      </c>
      <c r="AI5" s="254">
        <f>'1'!$G$120</f>
        <v>436</v>
      </c>
      <c r="AJ5" s="254">
        <f>'1'!$G$121</f>
        <v>484</v>
      </c>
      <c r="AK5" s="254">
        <f>'1'!$G$122</f>
        <v>372</v>
      </c>
      <c r="AL5" s="254">
        <f>'1'!$G$123</f>
        <v>314</v>
      </c>
      <c r="AM5" s="254">
        <f>'1'!$G$133</f>
        <v>847</v>
      </c>
      <c r="AN5" s="254">
        <f>'1'!$G$15</f>
        <v>967</v>
      </c>
      <c r="AO5" s="254">
        <f>'1'!$G$74</f>
        <v>279</v>
      </c>
      <c r="AP5" s="254">
        <f>'1'!$G$75</f>
        <v>0</v>
      </c>
      <c r="AQ5" s="254">
        <f>'1'!$G$76</f>
        <v>118</v>
      </c>
      <c r="AR5" s="254">
        <f>'1'!$G$77</f>
        <v>28</v>
      </c>
      <c r="AS5" s="254">
        <f>'1'!$G$78</f>
        <v>0</v>
      </c>
      <c r="AT5" s="254">
        <f>AN5-SUM(AO5:AS5)</f>
        <v>542</v>
      </c>
      <c r="AU5" s="254">
        <f>SUM('1'!G91:G92)</f>
        <v>10.569999999999709</v>
      </c>
      <c r="AV5" s="254">
        <f>'1'!$G$88</f>
        <v>10.490000000001601</v>
      </c>
      <c r="AW5" s="254">
        <f>'1'!$G$89</f>
        <v>0</v>
      </c>
      <c r="AX5" s="254">
        <f>'1'!$G$90</f>
        <v>10.819999999992433</v>
      </c>
      <c r="AY5" s="252">
        <f>SUM(AV5:AX5)</f>
        <v>21.309999999994034</v>
      </c>
      <c r="AZ5" s="311">
        <f>AO5/AU5</f>
        <v>26.395458845790699</v>
      </c>
      <c r="BA5" s="311">
        <f>AT5/AY5</f>
        <v>25.434068512442597</v>
      </c>
      <c r="BB5" s="351">
        <f>C5-SUM(F5:K5,Y5)</f>
        <v>4022.239999999998</v>
      </c>
      <c r="BC5" s="351">
        <f>BB5/B5%</f>
        <v>15.888133986411747</v>
      </c>
    </row>
    <row r="6" spans="1:55">
      <c r="A6" s="356">
        <v>2</v>
      </c>
      <c r="B6" s="489">
        <f>'2'!G7</f>
        <v>25316</v>
      </c>
      <c r="C6" s="489">
        <f>'2'!G8</f>
        <v>25669</v>
      </c>
      <c r="D6" s="489">
        <f>'2'!G15</f>
        <v>1045</v>
      </c>
      <c r="E6" s="489">
        <f>'2'!G20</f>
        <v>238</v>
      </c>
      <c r="F6" s="489">
        <f>SUM('2'!G35,'2'!G49)</f>
        <v>3529.0999999999767</v>
      </c>
      <c r="G6" s="489">
        <f>SUM('2'!G37,'2'!G51)</f>
        <v>959.0399999999936</v>
      </c>
      <c r="H6" s="489">
        <f>SUM('2'!G38,'2'!G52)</f>
        <v>2199.7099999999627</v>
      </c>
      <c r="I6" s="489">
        <f>SUM('2'!G39,'2'!G53)</f>
        <v>4057</v>
      </c>
      <c r="J6" s="489">
        <f>SUM('2'!G41,'2'!G42,'2'!G55,'2'!G56)</f>
        <v>6160.7999999999593</v>
      </c>
      <c r="K6" s="489">
        <f>SUM('2'!G43,'2'!G57)</f>
        <v>2991.7000000000116</v>
      </c>
      <c r="L6" s="254">
        <f>'2'!G50</f>
        <v>1483.4000000000233</v>
      </c>
      <c r="M6" s="254">
        <f>'2'!G36</f>
        <v>964.21000000002095</v>
      </c>
      <c r="N6" s="254">
        <f>'2'!G138</f>
        <v>130</v>
      </c>
      <c r="O6" s="254">
        <f>'2'!$G$139</f>
        <v>122</v>
      </c>
      <c r="P6" s="254">
        <f>'2'!$G$140</f>
        <v>10.199999999999818</v>
      </c>
      <c r="Q6" s="254">
        <f>'2'!$G$141</f>
        <v>212.89999999999418</v>
      </c>
      <c r="R6" s="254">
        <f>'2'!$G$142</f>
        <v>97.599999999998545</v>
      </c>
      <c r="S6" s="254">
        <f>'2'!$G$145</f>
        <v>213.89999999999964</v>
      </c>
      <c r="T6" s="254">
        <f>'2'!$G$146</f>
        <v>113</v>
      </c>
      <c r="U6" s="254">
        <f>'2'!$G$144</f>
        <v>281</v>
      </c>
      <c r="V6" s="254">
        <f>'2'!$G$147</f>
        <v>401.47999999998137</v>
      </c>
      <c r="W6" s="251">
        <f>'2'!$G$148</f>
        <v>344.04000000003725</v>
      </c>
      <c r="X6" s="251">
        <f>'2'!$G$143</f>
        <v>20.829999999999927</v>
      </c>
      <c r="Y6" s="251">
        <f>'2'!$G$58</f>
        <v>248.02999999999884</v>
      </c>
      <c r="Z6" s="251">
        <f>'2'!$G$151</f>
        <v>83</v>
      </c>
      <c r="AA6" s="251">
        <f>'2'!G161</f>
        <v>313.44000000000233</v>
      </c>
      <c r="AB6" s="254">
        <f>'2'!G162</f>
        <v>23.5</v>
      </c>
      <c r="AC6" s="254"/>
      <c r="AD6" s="254">
        <f>'2'!G163+'2'!G164</f>
        <v>72.700000000000728</v>
      </c>
      <c r="AE6" s="254">
        <f>'2'!$G$116</f>
        <v>412</v>
      </c>
      <c r="AF6" s="254">
        <f>'2'!$G$117</f>
        <v>334</v>
      </c>
      <c r="AG6" s="254">
        <f>'2'!$G$118</f>
        <v>518.5</v>
      </c>
      <c r="AH6" s="254">
        <f>'2'!$G$119</f>
        <v>11</v>
      </c>
      <c r="AI6" s="254">
        <f>'2'!$G$120</f>
        <v>421.19999999999709</v>
      </c>
      <c r="AJ6" s="254">
        <f>'2'!$G$121</f>
        <v>446.19999999999709</v>
      </c>
      <c r="AK6" s="254">
        <f>'2'!$G$122</f>
        <v>349.09999999999854</v>
      </c>
      <c r="AL6" s="254">
        <f>'2'!$G$123</f>
        <v>320</v>
      </c>
      <c r="AM6" s="254">
        <f>'2'!$G$133</f>
        <v>839.5</v>
      </c>
      <c r="AN6" s="254">
        <f>'2'!$G$15</f>
        <v>1045</v>
      </c>
      <c r="AO6" s="254">
        <f>'2'!$G$74</f>
        <v>283.20999999996275</v>
      </c>
      <c r="AP6" s="254">
        <f>'2'!$G$75</f>
        <v>0.80000000000291038</v>
      </c>
      <c r="AQ6" s="254">
        <f>'2'!$G$76</f>
        <v>110</v>
      </c>
      <c r="AR6" s="254">
        <f>'2'!$G$77</f>
        <v>46</v>
      </c>
      <c r="AS6" s="254">
        <f>'2'!$G$78</f>
        <v>-0.3999999999996362</v>
      </c>
      <c r="AT6" s="254">
        <f t="shared" ref="AT6:AT34" si="0">AN6-SUM(AO6:AS6)</f>
        <v>605.39000000003398</v>
      </c>
      <c r="AU6" s="254">
        <f>SUM('2'!G91:G92)</f>
        <v>11.140000000000327</v>
      </c>
      <c r="AV6" s="254">
        <f>'2'!$G$88</f>
        <v>5.5499999999992724</v>
      </c>
      <c r="AW6" s="254">
        <f>'2'!$G$89</f>
        <v>4.2999999999992724</v>
      </c>
      <c r="AX6" s="254">
        <f>'2'!$G$90</f>
        <v>10.690000000002328</v>
      </c>
      <c r="AY6" s="252">
        <f t="shared" ref="AY6:AY34" si="1">SUM(AV6:AX6)</f>
        <v>20.540000000000873</v>
      </c>
      <c r="AZ6" s="311">
        <f t="shared" ref="AZ6:AZ8" si="2">AO6/AU6</f>
        <v>25.422800718128762</v>
      </c>
      <c r="BA6" s="311">
        <f t="shared" ref="BA6:BA35" si="3">AT6/AY6</f>
        <v>29.47370983446973</v>
      </c>
      <c r="BB6" s="351">
        <f t="shared" ref="BB6:BB35" si="4">C6-SUM(F6:K6,Y6)</f>
        <v>5523.6200000000972</v>
      </c>
      <c r="BC6" s="351">
        <f t="shared" ref="BC6:BC35" si="5">BB6/B6%</f>
        <v>21.81869173645164</v>
      </c>
    </row>
    <row r="7" spans="1:55" s="313" customFormat="1">
      <c r="A7" s="356">
        <v>3</v>
      </c>
      <c r="B7" s="489">
        <f>'3'!G7</f>
        <v>23302</v>
      </c>
      <c r="C7" s="489">
        <f>'3'!G8</f>
        <v>23596</v>
      </c>
      <c r="D7" s="489">
        <f>'3'!G15</f>
        <v>981</v>
      </c>
      <c r="E7" s="489">
        <f>'3'!G20</f>
        <v>344</v>
      </c>
      <c r="F7" s="489">
        <f>SUM('3'!G35,'3'!G49)</f>
        <v>3700.5700000000652</v>
      </c>
      <c r="G7" s="489">
        <f>SUM('3'!G37,'3'!G51)</f>
        <v>1017.4600000000064</v>
      </c>
      <c r="H7" s="489">
        <f>SUM('3'!G38,'3'!G52)</f>
        <v>2275.4400000000605</v>
      </c>
      <c r="I7" s="489">
        <f>SUM('3'!G39,'3'!G53)</f>
        <v>4163.9000000000233</v>
      </c>
      <c r="J7" s="489">
        <f>SUM('3'!G41,'3'!G42,'3'!G55,'3'!G56)</f>
        <v>6605.8800000000338</v>
      </c>
      <c r="K7" s="489">
        <f>SUM('3'!G43,'3'!G57)</f>
        <v>3078.0100000000093</v>
      </c>
      <c r="L7" s="251">
        <f>'3'!G50</f>
        <v>1436.429999999993</v>
      </c>
      <c r="M7" s="251">
        <f>'3'!G36</f>
        <v>664.78999999997905</v>
      </c>
      <c r="N7" s="251">
        <f>'3'!G138</f>
        <v>170.31000000005588</v>
      </c>
      <c r="O7" s="251">
        <f>'3'!$G$139</f>
        <v>180.31000000005588</v>
      </c>
      <c r="P7" s="251">
        <f>'3'!$G$140</f>
        <v>11.400000000000091</v>
      </c>
      <c r="Q7" s="251">
        <f>'3'!$G$141</f>
        <v>229.90000000000873</v>
      </c>
      <c r="R7" s="251">
        <f>'3'!$G$142</f>
        <v>90.200000000004366</v>
      </c>
      <c r="S7" s="251">
        <f>'3'!$G$145</f>
        <v>247.10000000000036</v>
      </c>
      <c r="T7" s="251">
        <f>'3'!$G$146</f>
        <v>53</v>
      </c>
      <c r="U7" s="251">
        <f>'3'!$G$144</f>
        <v>213</v>
      </c>
      <c r="V7" s="251">
        <f>'3'!$G$147</f>
        <v>416.1600000000326</v>
      </c>
      <c r="W7" s="251">
        <f>'3'!$G$148</f>
        <v>257.43999999994412</v>
      </c>
      <c r="X7" s="251">
        <f>'3'!$G$143</f>
        <v>30.8700000000008</v>
      </c>
      <c r="Y7" s="251">
        <f>'3'!$G$58</f>
        <v>250.76000000000204</v>
      </c>
      <c r="Z7" s="251">
        <f>'3'!$G$151</f>
        <v>61</v>
      </c>
      <c r="AA7" s="254">
        <f>'3'!G161</f>
        <v>291.35999999998603</v>
      </c>
      <c r="AB7" s="254">
        <f>'3'!G162</f>
        <v>39.69999999999709</v>
      </c>
      <c r="AC7" s="254"/>
      <c r="AD7" s="254">
        <f>'3'!G163+'3'!G164</f>
        <v>134.39999999999873</v>
      </c>
      <c r="AE7" s="251">
        <f>'3'!$G$116</f>
        <v>290.30000000000291</v>
      </c>
      <c r="AF7" s="251">
        <f>'3'!$G$117</f>
        <v>362.90000000000146</v>
      </c>
      <c r="AG7" s="251">
        <f>'3'!$G$118</f>
        <v>612.39999999999418</v>
      </c>
      <c r="AH7" s="251">
        <f>'3'!$G$119</f>
        <v>11.69999999999709</v>
      </c>
      <c r="AI7" s="251">
        <f>'3'!$G$120</f>
        <v>414.30000000000291</v>
      </c>
      <c r="AJ7" s="251">
        <f>'3'!$G$121</f>
        <v>460.80000000000291</v>
      </c>
      <c r="AK7" s="251">
        <f>'3'!$G$122</f>
        <v>371.20000000000437</v>
      </c>
      <c r="AL7" s="251">
        <f>'3'!$G$123</f>
        <v>313</v>
      </c>
      <c r="AM7" s="251">
        <f>'3'!$G$133</f>
        <v>826.27000000001863</v>
      </c>
      <c r="AN7" s="251">
        <f>'3'!$G$15</f>
        <v>981</v>
      </c>
      <c r="AO7" s="251">
        <f>'3'!$G$74</f>
        <v>288.48999999999069</v>
      </c>
      <c r="AP7" s="251">
        <f>'3'!$G$75</f>
        <v>0.19999999999708962</v>
      </c>
      <c r="AQ7" s="251">
        <f>'3'!$G$76</f>
        <v>103</v>
      </c>
      <c r="AR7" s="251">
        <f>'3'!$G$77</f>
        <v>36</v>
      </c>
      <c r="AS7" s="251">
        <f>'3'!$G$78</f>
        <v>0</v>
      </c>
      <c r="AT7" s="251">
        <f t="shared" si="0"/>
        <v>553.31000000001222</v>
      </c>
      <c r="AU7" s="254">
        <f>SUM('3'!G91:G92)</f>
        <v>11.089999999999236</v>
      </c>
      <c r="AV7" s="251">
        <f>'3'!$G$88</f>
        <v>0.56000000000130967</v>
      </c>
      <c r="AW7" s="251">
        <f>'3'!$G$89</f>
        <v>9.4400000000023283</v>
      </c>
      <c r="AX7" s="251">
        <f>'3'!$G$90</f>
        <v>11.350000000005821</v>
      </c>
      <c r="AY7" s="255">
        <f t="shared" si="1"/>
        <v>21.350000000009459</v>
      </c>
      <c r="AZ7" s="311">
        <f t="shared" si="2"/>
        <v>26.013525698828726</v>
      </c>
      <c r="BA7" s="311">
        <f t="shared" si="3"/>
        <v>25.916159250574569</v>
      </c>
      <c r="BB7" s="351">
        <f t="shared" si="4"/>
        <v>2503.9799999997995</v>
      </c>
      <c r="BC7" s="351">
        <f t="shared" si="5"/>
        <v>10.745772895029608</v>
      </c>
    </row>
    <row r="8" spans="1:55">
      <c r="A8" s="356">
        <v>4</v>
      </c>
      <c r="B8" s="489">
        <f>'4'!G7</f>
        <v>25274</v>
      </c>
      <c r="C8" s="489">
        <f>'4'!G8</f>
        <v>25639</v>
      </c>
      <c r="D8" s="489">
        <f>'4'!G15</f>
        <v>977</v>
      </c>
      <c r="E8" s="489">
        <f>'4'!G20</f>
        <v>291</v>
      </c>
      <c r="F8" s="489">
        <f>SUM('4'!G35,'4'!G49)</f>
        <v>3962.9899999999325</v>
      </c>
      <c r="G8" s="489">
        <f>SUM('4'!G37,'4'!G51)</f>
        <v>1024.9199999999983</v>
      </c>
      <c r="H8" s="489">
        <f>SUM('4'!G38,'4'!G52)</f>
        <v>2197.640000000014</v>
      </c>
      <c r="I8" s="489">
        <f>SUM('4'!G39,'4'!G53)</f>
        <v>4052.8499999999767</v>
      </c>
      <c r="J8" s="489">
        <f>SUM('4'!G41,'4'!G42,'4'!G55,'4'!G56)</f>
        <v>7399.4499999999534</v>
      </c>
      <c r="K8" s="489">
        <f>SUM('4'!G43,'4'!G57)</f>
        <v>3033.320000000007</v>
      </c>
      <c r="L8" s="254">
        <f>'4'!G50</f>
        <v>1415</v>
      </c>
      <c r="M8" s="254">
        <f>'4'!G36</f>
        <v>691.59000000002561</v>
      </c>
      <c r="N8" s="254">
        <f>'4'!G138</f>
        <v>134.68999999994412</v>
      </c>
      <c r="O8" s="254">
        <f>'4'!$G$139</f>
        <v>167.68999999994412</v>
      </c>
      <c r="P8" s="254">
        <f>'4'!$G$140</f>
        <v>11.5</v>
      </c>
      <c r="Q8" s="254">
        <f>'4'!$G$141</f>
        <v>208.69999999999709</v>
      </c>
      <c r="R8" s="254">
        <f>'4'!$G$142</f>
        <v>87.799999999995634</v>
      </c>
      <c r="S8" s="254">
        <f>'4'!$G$145</f>
        <v>232.70000000000073</v>
      </c>
      <c r="T8" s="254">
        <f>'4'!$G$146</f>
        <v>41</v>
      </c>
      <c r="U8" s="254">
        <f>'4'!$G$144</f>
        <v>226</v>
      </c>
      <c r="V8" s="251">
        <f>'4'!$G$147</f>
        <v>368.1600000000326</v>
      </c>
      <c r="W8" s="251">
        <f>'4'!$G$148</f>
        <v>225.59999999997672</v>
      </c>
      <c r="X8" s="254">
        <f>'4'!$G$143</f>
        <v>30.5</v>
      </c>
      <c r="Y8" s="254">
        <f>'4'!$G$58</f>
        <v>256.62999999999738</v>
      </c>
      <c r="Z8" s="254">
        <f>'4'!$G$151</f>
        <v>28</v>
      </c>
      <c r="AA8" s="254">
        <f>'4'!G161</f>
        <v>289.32000000000698</v>
      </c>
      <c r="AB8" s="254">
        <f>'4'!G162</f>
        <v>46.900000000008731</v>
      </c>
      <c r="AC8" s="254"/>
      <c r="AD8" s="254">
        <f>'4'!G163+'4'!G164</f>
        <v>156.59999999999945</v>
      </c>
      <c r="AE8" s="254">
        <f>'4'!$G$116</f>
        <v>252.59999999999127</v>
      </c>
      <c r="AF8" s="254">
        <f>'4'!$G$117</f>
        <v>338.09999999999854</v>
      </c>
      <c r="AG8" s="254">
        <f>'4'!$G$118</f>
        <v>646.5</v>
      </c>
      <c r="AH8" s="254">
        <f>'4'!$G$119</f>
        <v>11.400000000001455</v>
      </c>
      <c r="AI8" s="254">
        <f>'4'!$G$120</f>
        <v>389.30000000000291</v>
      </c>
      <c r="AJ8" s="254">
        <f>'4'!$G$121</f>
        <v>441.60000000000582</v>
      </c>
      <c r="AK8" s="254">
        <f>'4'!$G$122</f>
        <v>382.19999999999709</v>
      </c>
      <c r="AL8" s="254">
        <f>'4'!$G$123</f>
        <v>300.69999999999709</v>
      </c>
      <c r="AM8" s="254">
        <f>'4'!$G$133</f>
        <v>867.07999999995809</v>
      </c>
      <c r="AN8" s="254">
        <f>'4'!$G$15</f>
        <v>977</v>
      </c>
      <c r="AO8" s="254">
        <f>'4'!$G$74</f>
        <v>281.18000000005122</v>
      </c>
      <c r="AP8" s="254">
        <f>'4'!$G$75</f>
        <v>-0.19999999999708962</v>
      </c>
      <c r="AQ8" s="254">
        <f>'4'!$G$76</f>
        <v>84.799999999988358</v>
      </c>
      <c r="AR8" s="254">
        <f>'4'!$G$77</f>
        <v>46.80000000000291</v>
      </c>
      <c r="AS8" s="254">
        <f>'4'!$G$78</f>
        <v>0</v>
      </c>
      <c r="AT8" s="254">
        <f t="shared" si="0"/>
        <v>564.4199999999546</v>
      </c>
      <c r="AU8" s="254">
        <f>SUM('4'!G91:G92)</f>
        <v>9</v>
      </c>
      <c r="AV8" s="254">
        <f>'4'!$G$88</f>
        <v>0</v>
      </c>
      <c r="AW8" s="254">
        <f>'4'!$G$89</f>
        <v>9.4599999999991269</v>
      </c>
      <c r="AX8" s="254">
        <f>'4'!$G$90</f>
        <v>10.399999999994179</v>
      </c>
      <c r="AY8" s="252">
        <f t="shared" si="1"/>
        <v>19.859999999993306</v>
      </c>
      <c r="AZ8" s="311">
        <f t="shared" si="2"/>
        <v>31.242222222227912</v>
      </c>
      <c r="BA8" s="311">
        <f t="shared" si="3"/>
        <v>28.419939577046566</v>
      </c>
      <c r="BB8" s="351">
        <f t="shared" si="4"/>
        <v>3711.2000000001208</v>
      </c>
      <c r="BC8" s="351">
        <f t="shared" si="5"/>
        <v>14.683864841339403</v>
      </c>
    </row>
    <row r="9" spans="1:55">
      <c r="A9" s="356">
        <v>5</v>
      </c>
      <c r="B9" s="489">
        <f>'5'!G7</f>
        <v>24474</v>
      </c>
      <c r="C9" s="489">
        <f>'5'!G8</f>
        <v>24834</v>
      </c>
      <c r="D9" s="489">
        <f>'5'!G15</f>
        <v>953</v>
      </c>
      <c r="E9" s="489">
        <f>'5'!G20</f>
        <v>251</v>
      </c>
      <c r="F9" s="489">
        <f>SUM('5'!G35,'5'!G49)</f>
        <v>3963.5200000000186</v>
      </c>
      <c r="G9" s="489">
        <f>SUM('5'!G37,'5'!G51)</f>
        <v>1015.4300000000076</v>
      </c>
      <c r="H9" s="489">
        <f>SUM('5'!G38,'5'!G52)</f>
        <v>2219.4799999999814</v>
      </c>
      <c r="I9" s="489">
        <f>SUM('5'!G39,'5'!G53)</f>
        <v>4140.4400000000023</v>
      </c>
      <c r="J9" s="489">
        <f>SUM('5'!G41,'5'!G42,'5'!G55,'5'!G56)</f>
        <v>6958.7399999999907</v>
      </c>
      <c r="K9" s="489">
        <f>SUM('5'!G43,'5'!G57)</f>
        <v>2755.5999999999767</v>
      </c>
      <c r="L9" s="254">
        <f>'5'!G50</f>
        <v>1359.320000000007</v>
      </c>
      <c r="M9" s="254">
        <f>'5'!G36</f>
        <v>638.51999999996042</v>
      </c>
      <c r="N9" s="254">
        <f>'5'!G138</f>
        <v>138</v>
      </c>
      <c r="O9" s="254">
        <f>'5'!$G$139</f>
        <v>137</v>
      </c>
      <c r="P9" s="254">
        <f>'5'!$G$140</f>
        <v>13</v>
      </c>
      <c r="Q9" s="258">
        <f>'5'!$G$141</f>
        <v>226.89999999999418</v>
      </c>
      <c r="R9" s="254">
        <f>'5'!$G$142</f>
        <v>96</v>
      </c>
      <c r="S9" s="251">
        <f>'5'!$G$145</f>
        <v>228.69999999999891</v>
      </c>
      <c r="T9" s="254">
        <f>'5'!$G$146</f>
        <v>37</v>
      </c>
      <c r="U9" s="254">
        <f>'5'!$G$144</f>
        <v>257</v>
      </c>
      <c r="V9" s="256">
        <f>'5'!$G$147</f>
        <v>374.23999999999069</v>
      </c>
      <c r="W9" s="254">
        <f>'5'!$G$148</f>
        <v>237.60000000009313</v>
      </c>
      <c r="X9" s="254">
        <f>'5'!$G$143</f>
        <v>26.299999999999272</v>
      </c>
      <c r="Y9" s="254">
        <f>'5'!$G$58</f>
        <v>213.9800000000032</v>
      </c>
      <c r="Z9" s="254">
        <f>'5'!$G$151</f>
        <v>26</v>
      </c>
      <c r="AA9" s="254">
        <f>'5'!G161</f>
        <v>270.52000000001863</v>
      </c>
      <c r="AB9" s="254">
        <f>'5'!G162</f>
        <v>27.299999999988358</v>
      </c>
      <c r="AC9" s="254"/>
      <c r="AD9" s="254">
        <f>'5'!G163+'5'!G164</f>
        <v>99.200000000000728</v>
      </c>
      <c r="AE9" s="254">
        <f>'5'!$G$116</f>
        <v>356.10000000000582</v>
      </c>
      <c r="AF9" s="254">
        <f>'5'!$G$117</f>
        <v>339</v>
      </c>
      <c r="AG9" s="254">
        <f>'5'!$G$118</f>
        <v>573.60000000000582</v>
      </c>
      <c r="AH9" s="254">
        <f>'5'!$G$119</f>
        <v>11.700000000004366</v>
      </c>
      <c r="AI9" s="254">
        <f>'5'!$G$120</f>
        <v>397.89999999999418</v>
      </c>
      <c r="AJ9" s="254">
        <f>'5'!$G$121</f>
        <v>452.39999999999418</v>
      </c>
      <c r="AK9" s="254">
        <f>'5'!$G$122</f>
        <v>395.5</v>
      </c>
      <c r="AL9" s="254">
        <f>'5'!$G$123</f>
        <v>305.70000000000437</v>
      </c>
      <c r="AM9" s="254">
        <f>'5'!$G$133</f>
        <v>866.88000000000466</v>
      </c>
      <c r="AN9" s="254">
        <f>'5'!$G$15</f>
        <v>953</v>
      </c>
      <c r="AO9" s="256">
        <f>'5'!$G$74</f>
        <v>308.71999999997206</v>
      </c>
      <c r="AP9" s="256">
        <f>'5'!$G$75</f>
        <v>-0.80000000000291038</v>
      </c>
      <c r="AQ9" s="256">
        <f>'5'!$G$76</f>
        <v>108.20000000001164</v>
      </c>
      <c r="AR9" s="256">
        <f>'5'!$G$77</f>
        <v>46.19999999999709</v>
      </c>
      <c r="AS9" s="256">
        <f>'5'!$G$78</f>
        <v>0</v>
      </c>
      <c r="AT9" s="256">
        <f t="shared" si="0"/>
        <v>490.68000000002212</v>
      </c>
      <c r="AU9" s="254">
        <f>SUM('5'!G91:G92)</f>
        <v>13.800000000000182</v>
      </c>
      <c r="AV9" s="254">
        <f>'5'!$G$88</f>
        <v>-6.0000000001309672E-2</v>
      </c>
      <c r="AW9" s="254">
        <f>'5'!$G$89</f>
        <v>6.7999999999992724</v>
      </c>
      <c r="AX9" s="254">
        <f>'5'!$G$90</f>
        <v>10.69999999999709</v>
      </c>
      <c r="AY9" s="252">
        <f t="shared" si="1"/>
        <v>17.439999999995052</v>
      </c>
      <c r="AZ9" s="311">
        <f>AO9/AU9</f>
        <v>22.371014492751303</v>
      </c>
      <c r="BA9" s="311">
        <f t="shared" si="3"/>
        <v>28.135321100926681</v>
      </c>
      <c r="BB9" s="351">
        <f t="shared" si="4"/>
        <v>3566.8100000000195</v>
      </c>
      <c r="BC9" s="351">
        <f t="shared" si="5"/>
        <v>14.573874315600309</v>
      </c>
    </row>
    <row r="10" spans="1:55">
      <c r="A10" s="356">
        <v>6</v>
      </c>
      <c r="B10" s="489">
        <f>'6'!G7</f>
        <v>25107</v>
      </c>
      <c r="C10" s="489">
        <f>'6'!G8</f>
        <v>25510</v>
      </c>
      <c r="D10" s="489">
        <f>'6'!G15</f>
        <v>1040</v>
      </c>
      <c r="E10" s="489">
        <f>'6'!G20</f>
        <v>290</v>
      </c>
      <c r="F10" s="489">
        <f>SUM('6'!G35,'6'!G49)</f>
        <v>3669.7700000000186</v>
      </c>
      <c r="G10" s="489">
        <f>SUM('6'!G37,'6'!G51)</f>
        <v>997.14999999999418</v>
      </c>
      <c r="H10" s="489">
        <f>SUM('6'!G38,'6'!G52)</f>
        <v>2197.7299999999814</v>
      </c>
      <c r="I10" s="489">
        <f>SUM('6'!G39,'6'!G53)</f>
        <v>4226.6200000000536</v>
      </c>
      <c r="J10" s="489">
        <f>SUM('6'!G41,'6'!G42,'6'!G55,'6'!G56)</f>
        <v>5349.1300000000629</v>
      </c>
      <c r="K10" s="489">
        <f>SUM('6'!G43,'6'!G57)</f>
        <v>2958.3699999999953</v>
      </c>
      <c r="L10" s="254">
        <f>'6'!G50</f>
        <v>1554.8499999999767</v>
      </c>
      <c r="M10" s="254">
        <f>'6'!G36</f>
        <v>638.89000000001397</v>
      </c>
      <c r="N10" s="254">
        <f>'6'!G138</f>
        <v>174</v>
      </c>
      <c r="O10" s="254">
        <f>'6'!$G$139</f>
        <v>149</v>
      </c>
      <c r="P10" s="254">
        <f>'6'!$G$140</f>
        <v>11.900000000000091</v>
      </c>
      <c r="Q10" s="254">
        <f>'6'!$G$141</f>
        <v>222.60000000000582</v>
      </c>
      <c r="R10" s="254">
        <f>'6'!$G$142</f>
        <v>85.400000000001455</v>
      </c>
      <c r="S10" s="254">
        <f>'6'!$G$145</f>
        <v>237.60000000000036</v>
      </c>
      <c r="T10" s="251">
        <f>'6'!$G$146</f>
        <v>44</v>
      </c>
      <c r="U10" s="251">
        <f>'6'!$G$144</f>
        <v>251</v>
      </c>
      <c r="V10" s="251">
        <f>'6'!$G$147</f>
        <v>434.95999999996275</v>
      </c>
      <c r="W10" s="251">
        <f>'6'!$G$148</f>
        <v>264.31999999994878</v>
      </c>
      <c r="X10" s="251">
        <f>'6'!$G$143</f>
        <v>26.5</v>
      </c>
      <c r="Y10" s="251">
        <f>'6'!$G$58</f>
        <v>242.59999999999854</v>
      </c>
      <c r="Z10" s="251">
        <f>'6'!$G$151</f>
        <v>44</v>
      </c>
      <c r="AA10" s="251">
        <f>'6'!G161</f>
        <v>294.35999999998603</v>
      </c>
      <c r="AB10" s="251">
        <f>'6'!G162</f>
        <v>43.600000000005821</v>
      </c>
      <c r="AC10" s="251"/>
      <c r="AD10" s="251">
        <f>'6'!G163+'6'!G164</f>
        <v>129.10000000000036</v>
      </c>
      <c r="AE10" s="254">
        <f>'6'!$G$116</f>
        <v>527</v>
      </c>
      <c r="AF10" s="254">
        <f>'6'!$G$117</f>
        <v>317</v>
      </c>
      <c r="AG10" s="254">
        <f>'6'!$G$118</f>
        <v>594</v>
      </c>
      <c r="AH10" s="254">
        <f>'6'!$G$119</f>
        <v>11.19999999999709</v>
      </c>
      <c r="AI10" s="254">
        <f>'6'!$G$120</f>
        <v>379.30000000000291</v>
      </c>
      <c r="AJ10" s="254">
        <f>'6'!$G$121</f>
        <v>433</v>
      </c>
      <c r="AK10" s="254">
        <f>'6'!$G$122</f>
        <v>362</v>
      </c>
      <c r="AL10" s="254">
        <f>'6'!$G$123</f>
        <v>290.59999999999854</v>
      </c>
      <c r="AM10" s="254">
        <f>'6'!$G$133</f>
        <v>844.27000000001863</v>
      </c>
      <c r="AN10" s="254">
        <f>'6'!$G$15</f>
        <v>1040</v>
      </c>
      <c r="AO10" s="256">
        <f>'6'!$G$74</f>
        <v>298.40000000002328</v>
      </c>
      <c r="AP10" s="256">
        <f>'6'!$G$75</f>
        <v>0</v>
      </c>
      <c r="AQ10" s="256">
        <f>'6'!$G$76</f>
        <v>112</v>
      </c>
      <c r="AR10" s="256">
        <f>'6'!$G$77</f>
        <v>49</v>
      </c>
      <c r="AS10" s="256">
        <f>'6'!$G$78</f>
        <v>0.3999999999996362</v>
      </c>
      <c r="AT10" s="256">
        <f t="shared" si="0"/>
        <v>580.19999999997708</v>
      </c>
      <c r="AU10" s="254">
        <f>SUM('6'!G91:G92)</f>
        <v>11.510000000000218</v>
      </c>
      <c r="AV10" s="254">
        <f>'6'!$G$88</f>
        <v>6.0000000001309672E-2</v>
      </c>
      <c r="AW10" s="254">
        <f>'6'!$G$89</f>
        <v>8.4199999999982538</v>
      </c>
      <c r="AX10" s="254">
        <f>'6'!$G$90</f>
        <v>13.05000000000291</v>
      </c>
      <c r="AY10" s="252">
        <f t="shared" si="1"/>
        <v>21.530000000002474</v>
      </c>
      <c r="AZ10" s="311">
        <f t="shared" ref="AZ10:AZ28" si="6">AO10/AU10</f>
        <v>25.925282363163998</v>
      </c>
      <c r="BA10" s="311">
        <f t="shared" si="3"/>
        <v>26.948444031579676</v>
      </c>
      <c r="BB10" s="351">
        <f t="shared" si="4"/>
        <v>5868.6299999998955</v>
      </c>
      <c r="BC10" s="351">
        <f t="shared" si="5"/>
        <v>23.37447723742341</v>
      </c>
    </row>
    <row r="11" spans="1:55">
      <c r="A11" s="356">
        <v>7</v>
      </c>
      <c r="B11" s="489">
        <f>'7'!G7</f>
        <v>25179</v>
      </c>
      <c r="C11" s="489">
        <f>'7'!G8</f>
        <v>25534</v>
      </c>
      <c r="D11" s="489">
        <f>'7'!G15</f>
        <v>1021</v>
      </c>
      <c r="E11" s="489">
        <f>'7'!G20</f>
        <v>295</v>
      </c>
      <c r="F11" s="489">
        <f>SUM('7'!G35,'7'!G49)</f>
        <v>3706</v>
      </c>
      <c r="G11" s="489">
        <f>SUM('7'!G37,'7'!G51)</f>
        <v>1011</v>
      </c>
      <c r="H11" s="489">
        <f>SUM('7'!G38,'7'!G52)</f>
        <v>2277</v>
      </c>
      <c r="I11" s="489">
        <f>SUM('7'!G39,'7'!G53)</f>
        <v>4329</v>
      </c>
      <c r="J11" s="489">
        <f>SUM('7'!G41,'7'!G42,'7'!G55,'7'!G56)</f>
        <v>5136</v>
      </c>
      <c r="K11" s="489">
        <f>SUM('7'!G43,'7'!G57)</f>
        <v>2960</v>
      </c>
      <c r="L11" s="254">
        <f>'7'!G50</f>
        <v>1624</v>
      </c>
      <c r="M11" s="254">
        <f>'7'!G36</f>
        <v>855</v>
      </c>
      <c r="N11" s="254">
        <f>'7'!G138</f>
        <v>143</v>
      </c>
      <c r="O11" s="254">
        <f>'7'!$G$139</f>
        <v>154</v>
      </c>
      <c r="P11" s="254">
        <f>'7'!$G$140</f>
        <v>11</v>
      </c>
      <c r="Q11" s="254">
        <f>'7'!$G$141</f>
        <v>220</v>
      </c>
      <c r="R11" s="254">
        <f>'7'!$G$142</f>
        <v>94</v>
      </c>
      <c r="S11" s="254">
        <f>'7'!$G$145</f>
        <v>233</v>
      </c>
      <c r="T11" s="251">
        <f>'7'!$G$146</f>
        <v>36</v>
      </c>
      <c r="U11" s="251">
        <f>'7'!$G$144</f>
        <v>256</v>
      </c>
      <c r="V11" s="251">
        <f>'7'!$G$147</f>
        <v>381</v>
      </c>
      <c r="W11" s="251">
        <f>'7'!$G$148</f>
        <v>292</v>
      </c>
      <c r="X11" s="251">
        <f>'7'!$G$143</f>
        <v>30</v>
      </c>
      <c r="Y11" s="251">
        <f>'7'!$G$58</f>
        <v>225</v>
      </c>
      <c r="Z11" s="256">
        <f>'7'!$G$151</f>
        <v>88</v>
      </c>
      <c r="AA11" s="256">
        <f>'7'!G161</f>
        <v>272</v>
      </c>
      <c r="AB11" s="251">
        <f>'7'!G162</f>
        <v>34</v>
      </c>
      <c r="AC11" s="251"/>
      <c r="AD11" s="251">
        <f>'7'!G163+'7'!G164</f>
        <v>131</v>
      </c>
      <c r="AE11" s="254">
        <f>'7'!$G$116</f>
        <v>537</v>
      </c>
      <c r="AF11" s="254">
        <f>'7'!$G$117</f>
        <v>351</v>
      </c>
      <c r="AG11" s="254">
        <f>'7'!$G$118</f>
        <v>617</v>
      </c>
      <c r="AH11" s="254">
        <f>'7'!$G$119</f>
        <v>14</v>
      </c>
      <c r="AI11" s="254">
        <f>'7'!$G$120</f>
        <v>392</v>
      </c>
      <c r="AJ11" s="254">
        <f>'7'!$G$121</f>
        <v>450</v>
      </c>
      <c r="AK11" s="256">
        <f>'7'!$G$122</f>
        <v>378</v>
      </c>
      <c r="AL11" s="254">
        <f>'7'!$G$123</f>
        <v>297</v>
      </c>
      <c r="AM11" s="254">
        <f>'7'!$G$133</f>
        <v>841</v>
      </c>
      <c r="AN11" s="254">
        <f>'7'!$G$15</f>
        <v>1021</v>
      </c>
      <c r="AO11" s="256">
        <f>'7'!$G$74</f>
        <v>301</v>
      </c>
      <c r="AP11" s="256">
        <f>'7'!$G$75</f>
        <v>0</v>
      </c>
      <c r="AQ11" s="256">
        <f>'7'!$G$76</f>
        <v>116</v>
      </c>
      <c r="AR11" s="256">
        <f>'7'!$G$77</f>
        <v>51</v>
      </c>
      <c r="AS11" s="256">
        <f>'7'!$G$78</f>
        <v>0</v>
      </c>
      <c r="AT11" s="256">
        <f t="shared" si="0"/>
        <v>553</v>
      </c>
      <c r="AU11" s="254">
        <f>SUM('7'!G91:G92)</f>
        <v>11.460000000000036</v>
      </c>
      <c r="AV11" s="254">
        <f>'7'!$G$88</f>
        <v>0</v>
      </c>
      <c r="AW11" s="254">
        <f>'7'!$G$89</f>
        <v>8.4200000000018917</v>
      </c>
      <c r="AX11" s="254">
        <f>'7'!$G$90</f>
        <v>10.25</v>
      </c>
      <c r="AY11" s="252">
        <f t="shared" si="1"/>
        <v>18.670000000001892</v>
      </c>
      <c r="AZ11" s="311">
        <f>AO11/AU11</f>
        <v>26.26527050610812</v>
      </c>
      <c r="BA11" s="311">
        <f t="shared" si="3"/>
        <v>29.619710765931654</v>
      </c>
      <c r="BB11" s="351">
        <f t="shared" si="4"/>
        <v>5890</v>
      </c>
      <c r="BC11" s="351">
        <f t="shared" si="5"/>
        <v>23.39250963104174</v>
      </c>
    </row>
    <row r="12" spans="1:55">
      <c r="A12" s="356">
        <v>8</v>
      </c>
      <c r="B12" s="489">
        <f>'8'!G7</f>
        <v>24829</v>
      </c>
      <c r="C12" s="489">
        <f>'8'!G8</f>
        <v>25069</v>
      </c>
      <c r="D12" s="489">
        <f>'8'!G15</f>
        <v>1021</v>
      </c>
      <c r="E12" s="489">
        <f>'8'!G20</f>
        <v>297</v>
      </c>
      <c r="F12" s="489">
        <f>SUM('8'!G35,'8'!G49)</f>
        <v>3651.0499999999884</v>
      </c>
      <c r="G12" s="489">
        <f>SUM('8'!G37,'8'!G51)</f>
        <v>1068</v>
      </c>
      <c r="H12" s="489">
        <f>SUM('8'!G38,'8'!G52)</f>
        <v>2310</v>
      </c>
      <c r="I12" s="489">
        <f>SUM('8'!G39,'8'!G53)</f>
        <v>4330.1899999999441</v>
      </c>
      <c r="J12" s="489">
        <f>SUM('8'!G41,'8'!G42,'8'!G55,'8'!G56)</f>
        <v>7147.6300000000047</v>
      </c>
      <c r="K12" s="489">
        <f>SUM('8'!G43,'8'!G57)</f>
        <v>3052</v>
      </c>
      <c r="L12" s="254">
        <f>'8'!G50</f>
        <v>1247</v>
      </c>
      <c r="M12" s="254">
        <f>'8'!G36</f>
        <v>863</v>
      </c>
      <c r="N12" s="254">
        <f>'8'!G138</f>
        <v>164</v>
      </c>
      <c r="O12" s="254">
        <f>'8'!$G$139</f>
        <v>152</v>
      </c>
      <c r="P12" s="254">
        <f>'8'!$G$140</f>
        <v>14</v>
      </c>
      <c r="Q12" s="254">
        <f>'8'!$G$141</f>
        <v>236</v>
      </c>
      <c r="R12" s="254">
        <f>'8'!$G$142</f>
        <v>89</v>
      </c>
      <c r="S12" s="254">
        <f>'8'!$G$145</f>
        <v>226</v>
      </c>
      <c r="T12" s="251">
        <f>'8'!$G$146</f>
        <v>41</v>
      </c>
      <c r="U12" s="251">
        <f>'8'!$G$144</f>
        <v>225</v>
      </c>
      <c r="V12" s="251">
        <f>'8'!$G$147</f>
        <v>407</v>
      </c>
      <c r="W12" s="251">
        <f>'8'!$G$148</f>
        <v>322</v>
      </c>
      <c r="X12" s="251">
        <f>'8'!$G$143</f>
        <v>29</v>
      </c>
      <c r="Y12" s="251">
        <f>'8'!$G$58</f>
        <v>244</v>
      </c>
      <c r="Z12" s="251">
        <f>'8'!$G$151</f>
        <v>69</v>
      </c>
      <c r="AA12" s="251">
        <f>'8'!G161</f>
        <v>289</v>
      </c>
      <c r="AB12" s="251">
        <f>'8'!G162</f>
        <v>24</v>
      </c>
      <c r="AC12" s="251"/>
      <c r="AD12" s="251">
        <f>'8'!G163+'8'!G164</f>
        <v>144</v>
      </c>
      <c r="AE12" s="254">
        <f>'8'!$G$116</f>
        <v>526</v>
      </c>
      <c r="AF12" s="254">
        <f>'8'!$G$117</f>
        <v>370</v>
      </c>
      <c r="AG12" s="254">
        <f>'8'!$G$118</f>
        <v>569</v>
      </c>
      <c r="AH12" s="254">
        <f>'8'!$G$119</f>
        <v>14</v>
      </c>
      <c r="AI12" s="254">
        <f>'8'!$G$120</f>
        <v>384</v>
      </c>
      <c r="AJ12" s="254">
        <f>'8'!$G$121</f>
        <v>434</v>
      </c>
      <c r="AK12" s="254">
        <f>'8'!$G$122</f>
        <v>389</v>
      </c>
      <c r="AL12" s="254">
        <f>'8'!$G$123</f>
        <v>298</v>
      </c>
      <c r="AM12" s="254">
        <f>'8'!$G$133</f>
        <v>775</v>
      </c>
      <c r="AN12" s="254">
        <f>'8'!$G$15</f>
        <v>1021</v>
      </c>
      <c r="AO12" s="256">
        <f>'8'!$G$74</f>
        <v>302</v>
      </c>
      <c r="AP12" s="256">
        <f>'8'!$G$75</f>
        <v>0</v>
      </c>
      <c r="AQ12" s="256">
        <f>'8'!$G$76</f>
        <v>110</v>
      </c>
      <c r="AR12" s="256">
        <f>'8'!$G$77</f>
        <v>52</v>
      </c>
      <c r="AS12" s="256">
        <f>'8'!$G$78</f>
        <v>0</v>
      </c>
      <c r="AT12" s="256">
        <f t="shared" si="0"/>
        <v>557</v>
      </c>
      <c r="AU12" s="254">
        <f>SUM('8'!G91:G92)</f>
        <v>11.919999999999163</v>
      </c>
      <c r="AV12" s="254">
        <f>'8'!$G$88</f>
        <v>0</v>
      </c>
      <c r="AW12" s="254">
        <f>'8'!$G$89</f>
        <v>8.9799999999995634</v>
      </c>
      <c r="AX12" s="254">
        <f>'8'!$G$90</f>
        <v>11.600000000005821</v>
      </c>
      <c r="AY12" s="252">
        <f t="shared" si="1"/>
        <v>20.580000000005384</v>
      </c>
      <c r="AZ12" s="311">
        <f t="shared" si="6"/>
        <v>25.335570469800437</v>
      </c>
      <c r="BA12" s="311">
        <f t="shared" si="3"/>
        <v>27.06511175898223</v>
      </c>
      <c r="BB12" s="351">
        <f t="shared" si="4"/>
        <v>3266.1300000000629</v>
      </c>
      <c r="BC12" s="351">
        <f t="shared" si="5"/>
        <v>13.154496757823766</v>
      </c>
    </row>
    <row r="13" spans="1:55">
      <c r="A13" s="356">
        <v>9</v>
      </c>
      <c r="B13" s="489">
        <f>'9'!G7</f>
        <v>25506.880000000005</v>
      </c>
      <c r="C13" s="489">
        <f>'9'!G8</f>
        <v>25853.950000000012</v>
      </c>
      <c r="D13" s="489">
        <f>'9'!G15</f>
        <v>1093</v>
      </c>
      <c r="E13" s="489">
        <f>'9'!G20</f>
        <v>332</v>
      </c>
      <c r="F13" s="489">
        <f>SUM('9'!G35,'9'!G49)</f>
        <v>3585.7299999999814</v>
      </c>
      <c r="G13" s="489">
        <f>SUM('9'!G37,'9'!G51)</f>
        <v>1033.5899999999965</v>
      </c>
      <c r="H13" s="489">
        <f>SUM('9'!G38,'9'!G52)</f>
        <v>2271.7099999999627</v>
      </c>
      <c r="I13" s="489">
        <f>SUM('9'!G39,'9'!G53)</f>
        <v>4016.2299999999814</v>
      </c>
      <c r="J13" s="489">
        <f>SUM('9'!G41,'9'!G42,'9'!G55,'9'!G56)</f>
        <v>6669.6500000000524</v>
      </c>
      <c r="K13" s="489">
        <f>SUM('9'!G43,'9'!G57)</f>
        <v>3267.0300000000279</v>
      </c>
      <c r="L13" s="254">
        <f>'9'!G50</f>
        <v>1563.1500000000233</v>
      </c>
      <c r="M13" s="254">
        <f>'9'!G36</f>
        <v>858.42999999999302</v>
      </c>
      <c r="N13" s="254">
        <f>'9'!G138</f>
        <v>168</v>
      </c>
      <c r="O13" s="254">
        <f>'9'!$G$139</f>
        <v>157</v>
      </c>
      <c r="P13" s="254">
        <f>'9'!$G$140</f>
        <v>11.489999999999782</v>
      </c>
      <c r="Q13" s="254">
        <f>'9'!$G$141</f>
        <v>227.36999999999534</v>
      </c>
      <c r="R13" s="254">
        <f>'9'!$G$142</f>
        <v>79.139999999999418</v>
      </c>
      <c r="S13" s="254">
        <f>'9'!$G$145</f>
        <v>220.15999999999985</v>
      </c>
      <c r="T13" s="251">
        <f>'9'!$G$146</f>
        <v>40</v>
      </c>
      <c r="U13" s="251">
        <f>'9'!$G$144</f>
        <v>237</v>
      </c>
      <c r="V13" s="251">
        <f>'9'!$G$147</f>
        <v>390</v>
      </c>
      <c r="W13" s="251">
        <f>'9'!$G$148</f>
        <v>283.92000000004191</v>
      </c>
      <c r="X13" s="251">
        <f>'9'!$G$143</f>
        <v>26.559999999999491</v>
      </c>
      <c r="Y13" s="251">
        <f>'9'!$G$58</f>
        <v>258.64999999999418</v>
      </c>
      <c r="Z13" s="251">
        <f>'9'!$G$151</f>
        <v>51</v>
      </c>
      <c r="AA13" s="251">
        <f>'9'!G161</f>
        <v>261.32000000000698</v>
      </c>
      <c r="AB13" s="251">
        <f>'9'!G162</f>
        <v>16.5</v>
      </c>
      <c r="AC13" s="251"/>
      <c r="AD13" s="251">
        <f>'9'!G163+'9'!G164</f>
        <v>27.899999999999636</v>
      </c>
      <c r="AE13" s="254">
        <f>'9'!$G$116</f>
        <v>372.30999999999767</v>
      </c>
      <c r="AF13" s="254">
        <f>'9'!$G$117</f>
        <v>321.62999999999738</v>
      </c>
      <c r="AG13" s="254">
        <f>'9'!$G$118</f>
        <v>522.0399999999936</v>
      </c>
      <c r="AH13" s="254">
        <f>'9'!$G$119</f>
        <v>10.110000000000582</v>
      </c>
      <c r="AI13" s="254">
        <f>'9'!$G$120</f>
        <v>399.32000000000698</v>
      </c>
      <c r="AJ13" s="254">
        <f>'9'!$G$121</f>
        <v>420.85000000000582</v>
      </c>
      <c r="AK13" s="254">
        <f>'9'!$G$122</f>
        <v>364.08000000000175</v>
      </c>
      <c r="AL13" s="254">
        <f>'9'!$G$123</f>
        <v>309.9800000000032</v>
      </c>
      <c r="AM13" s="254">
        <f>'9'!$G$133</f>
        <v>876.19000000000233</v>
      </c>
      <c r="AN13" s="254">
        <f>'9'!$G$15</f>
        <v>1093</v>
      </c>
      <c r="AO13" s="256">
        <f>'9'!$G$74</f>
        <v>313.02000000001863</v>
      </c>
      <c r="AP13" s="256">
        <f>'9'!$G$75</f>
        <v>0</v>
      </c>
      <c r="AQ13" s="256">
        <f>'9'!$G$76</f>
        <v>107.64000000001397</v>
      </c>
      <c r="AR13" s="256">
        <f>'9'!$G$77</f>
        <v>53</v>
      </c>
      <c r="AS13" s="256">
        <f>'9'!$G$78</f>
        <v>0</v>
      </c>
      <c r="AT13" s="256">
        <f t="shared" si="0"/>
        <v>619.3399999999674</v>
      </c>
      <c r="AU13" s="254">
        <f>SUM('9'!G91:G92)</f>
        <v>12.130000000000109</v>
      </c>
      <c r="AV13" s="254">
        <f>'9'!$G$88</f>
        <v>1.9499999999970896</v>
      </c>
      <c r="AW13" s="254">
        <f>'9'!$G$89</f>
        <v>9.180000000000291</v>
      </c>
      <c r="AX13" s="254">
        <f>'9'!$G$90</f>
        <v>9.3999999999941792</v>
      </c>
      <c r="AY13" s="252">
        <f t="shared" si="1"/>
        <v>20.52999999999156</v>
      </c>
      <c r="AZ13" s="311">
        <f t="shared" si="6"/>
        <v>25.805441055236258</v>
      </c>
      <c r="BA13" s="311">
        <f t="shared" si="3"/>
        <v>30.167559668788215</v>
      </c>
      <c r="BB13" s="351">
        <f t="shared" si="4"/>
        <v>4751.3600000000151</v>
      </c>
      <c r="BC13" s="351">
        <f t="shared" si="5"/>
        <v>18.627758471439918</v>
      </c>
    </row>
    <row r="14" spans="1:55">
      <c r="A14" s="356">
        <v>10</v>
      </c>
      <c r="B14" s="489">
        <f>'10'!G7</f>
        <v>25354.440000000002</v>
      </c>
      <c r="C14" s="489">
        <f>'10'!G8</f>
        <v>25692.01999999996</v>
      </c>
      <c r="D14" s="489">
        <f>'10'!G15</f>
        <v>1003.9199999999255</v>
      </c>
      <c r="E14" s="489">
        <f>'10'!G20</f>
        <v>230</v>
      </c>
      <c r="F14" s="489">
        <f>SUM('10'!G35,'10'!G49)</f>
        <v>3508.6800000000803</v>
      </c>
      <c r="G14" s="489">
        <f>SUM('10'!G37,'10'!G51)</f>
        <v>1043.5599999999977</v>
      </c>
      <c r="H14" s="489">
        <f>SUM('10'!G38,'10'!G52)</f>
        <v>2128.3200000000652</v>
      </c>
      <c r="I14" s="489">
        <f>SUM('10'!G39,'10'!G53)</f>
        <v>4009.1199999999953</v>
      </c>
      <c r="J14" s="489">
        <f>SUM('10'!G41,'10'!G42,'10'!G55,'10'!G56)</f>
        <v>5322.5899999999383</v>
      </c>
      <c r="K14" s="489">
        <f>SUM('10'!G43,'10'!G57)</f>
        <v>3088.4399999999441</v>
      </c>
      <c r="L14" s="254">
        <f>'10'!G50</f>
        <v>1987.3199999999488</v>
      </c>
      <c r="M14" s="254">
        <f>'10'!G36</f>
        <v>777.17999999999302</v>
      </c>
      <c r="N14" s="254">
        <f>'10'!G138</f>
        <v>124</v>
      </c>
      <c r="O14" s="254">
        <f>'10'!$G$139</f>
        <v>152</v>
      </c>
      <c r="P14" s="254">
        <f>'10'!$G$140</f>
        <v>12.160000000000309</v>
      </c>
      <c r="Q14" s="254">
        <f>'10'!$G$141</f>
        <v>224.99000000000524</v>
      </c>
      <c r="R14" s="254">
        <f>'10'!$G$142</f>
        <v>83.459999999999127</v>
      </c>
      <c r="S14" s="254">
        <f>'10'!$G$145</f>
        <v>192.23999999999978</v>
      </c>
      <c r="T14" s="251">
        <f>'10'!$G$146</f>
        <v>41</v>
      </c>
      <c r="U14" s="251">
        <f>'10'!$G$144</f>
        <v>235</v>
      </c>
      <c r="V14" s="257">
        <f>'10'!$G$147</f>
        <v>417.43999999994412</v>
      </c>
      <c r="W14" s="257">
        <f>'10'!$G$148</f>
        <v>305.27999999991152</v>
      </c>
      <c r="X14" s="251">
        <f>'10'!$G$143</f>
        <v>28.440000000000509</v>
      </c>
      <c r="Y14" s="251">
        <f>'10'!$G$58</f>
        <v>256.60000000000582</v>
      </c>
      <c r="Z14" s="251">
        <f>'10'!$G$151</f>
        <v>54</v>
      </c>
      <c r="AA14" s="251">
        <f>'10'!G161</f>
        <v>296.67999999999302</v>
      </c>
      <c r="AB14" s="251">
        <f>'10'!G162</f>
        <v>41.399999999994179</v>
      </c>
      <c r="AC14" s="251"/>
      <c r="AD14" s="251">
        <f>'10'!G163+'10'!G164</f>
        <v>126.39999999999964</v>
      </c>
      <c r="AE14" s="254">
        <f>'10'!$G$116</f>
        <v>190.72999999999593</v>
      </c>
      <c r="AF14" s="254">
        <f>'10'!$G$117</f>
        <v>293.35000000000582</v>
      </c>
      <c r="AG14" s="254">
        <f>'10'!$G$118</f>
        <v>600.27000000000407</v>
      </c>
      <c r="AH14" s="254">
        <f>'10'!$G$119</f>
        <v>12.430000000000291</v>
      </c>
      <c r="AI14" s="254">
        <f>'10'!$G$120</f>
        <v>398.77999999999884</v>
      </c>
      <c r="AJ14" s="254">
        <f>'10'!$G$121</f>
        <v>430.73999999999069</v>
      </c>
      <c r="AK14" s="254">
        <f>'10'!$G$122</f>
        <v>393.25999999999476</v>
      </c>
      <c r="AL14" s="254">
        <f>'10'!$G$123</f>
        <v>307.80999999999767</v>
      </c>
      <c r="AM14" s="254">
        <f>'10'!$G$133</f>
        <v>860.0800000000163</v>
      </c>
      <c r="AN14" s="254">
        <f>'10'!$G$15</f>
        <v>1003.9199999999255</v>
      </c>
      <c r="AO14" s="256">
        <f>'10'!$G$74</f>
        <v>320.61999999999534</v>
      </c>
      <c r="AP14" s="256">
        <f>'10'!$G$75</f>
        <v>0</v>
      </c>
      <c r="AQ14" s="256">
        <f>'10'!$G$76</f>
        <v>94.789999999979045</v>
      </c>
      <c r="AR14" s="256">
        <f>'10'!$G$77</f>
        <v>62.5</v>
      </c>
      <c r="AS14" s="256">
        <f>'10'!$G$78</f>
        <v>0</v>
      </c>
      <c r="AT14" s="256">
        <f t="shared" si="0"/>
        <v>526.00999999995111</v>
      </c>
      <c r="AU14" s="254">
        <f>SUM('10'!G91:G92)</f>
        <v>12.360000000000582</v>
      </c>
      <c r="AV14" s="254">
        <f>'10'!$G$88</f>
        <v>0</v>
      </c>
      <c r="AW14" s="254">
        <f>'10'!$G$89</f>
        <v>8.6899999999986903</v>
      </c>
      <c r="AX14" s="254">
        <f>'10'!$G$90</f>
        <v>9.8999999999941792</v>
      </c>
      <c r="AY14" s="252">
        <f t="shared" si="1"/>
        <v>18.58999999999287</v>
      </c>
      <c r="AZ14" s="311">
        <f t="shared" si="6"/>
        <v>25.94012944983659</v>
      </c>
      <c r="BA14" s="311">
        <f t="shared" si="3"/>
        <v>28.295320064559057</v>
      </c>
      <c r="BB14" s="351">
        <f t="shared" si="4"/>
        <v>6334.7099999999336</v>
      </c>
      <c r="BC14" s="351">
        <f t="shared" si="5"/>
        <v>24.984618078726776</v>
      </c>
    </row>
    <row r="15" spans="1:55">
      <c r="A15" s="356">
        <v>11</v>
      </c>
      <c r="B15" s="489">
        <f>'11'!G7</f>
        <v>24938.079999999987</v>
      </c>
      <c r="C15" s="489">
        <f>'11'!G8</f>
        <v>25252.900000000023</v>
      </c>
      <c r="D15" s="489">
        <f>'11'!G15</f>
        <v>1018.7000000001863</v>
      </c>
      <c r="E15" s="489">
        <f>'11'!G20</f>
        <v>335</v>
      </c>
      <c r="F15" s="489">
        <f>SUM('11'!G35,'11'!G49)</f>
        <v>3486.5999999999476</v>
      </c>
      <c r="G15" s="489">
        <f>SUM('11'!G37,'11'!G51)</f>
        <v>1017.0900000000111</v>
      </c>
      <c r="H15" s="489">
        <f>SUM('11'!G38,'11'!G52)</f>
        <v>2187.640000000014</v>
      </c>
      <c r="I15" s="489">
        <f>SUM('11'!G39,'11'!G53)</f>
        <v>4276.320000000007</v>
      </c>
      <c r="J15" s="489">
        <f>SUM('11'!G41,'11'!G42,'11'!G55,'11'!G56)</f>
        <v>5153.3700000000827</v>
      </c>
      <c r="K15" s="489">
        <f>SUM('11'!G43,'11'!G57)</f>
        <v>2778</v>
      </c>
      <c r="L15" s="254">
        <f>'11'!G50</f>
        <v>1539.8000000000466</v>
      </c>
      <c r="M15" s="254">
        <f>'11'!G36</f>
        <v>1047.2999999999884</v>
      </c>
      <c r="N15" s="254">
        <f>'11'!G138</f>
        <v>85</v>
      </c>
      <c r="O15" s="254">
        <f>'11'!$G$139</f>
        <v>166</v>
      </c>
      <c r="P15" s="254">
        <f>'11'!$G$140</f>
        <v>10.829999999999927</v>
      </c>
      <c r="Q15" s="254">
        <f>'11'!$G$141</f>
        <v>217.63999999999942</v>
      </c>
      <c r="R15" s="254">
        <f>'11'!$G$142</f>
        <v>88.349999999998545</v>
      </c>
      <c r="S15" s="254">
        <f>'11'!$G$145</f>
        <v>176.35000000000036</v>
      </c>
      <c r="T15" s="251">
        <f>'11'!$G$146</f>
        <v>40</v>
      </c>
      <c r="U15" s="251">
        <f>'11'!$G$144</f>
        <v>246</v>
      </c>
      <c r="V15" s="251">
        <f>'11'!$G$147</f>
        <v>377.36000000010245</v>
      </c>
      <c r="W15" s="251">
        <f>'11'!$G$148</f>
        <v>339.84000000008382</v>
      </c>
      <c r="X15" s="251">
        <f>'11'!$G$143</f>
        <v>22.700000000000728</v>
      </c>
      <c r="Y15" s="251">
        <f>'11'!$G$58</f>
        <v>218.00999999999476</v>
      </c>
      <c r="Z15" s="251">
        <f>'11'!$G$151</f>
        <v>63</v>
      </c>
      <c r="AA15" s="251">
        <f>'11'!G161</f>
        <v>288.20000000001164</v>
      </c>
      <c r="AB15" s="251">
        <f>'11'!G162</f>
        <v>37.700000000011642</v>
      </c>
      <c r="AC15" s="251">
        <f>'11'!G88</f>
        <v>0</v>
      </c>
      <c r="AD15" s="251">
        <f>'11'!G163+'11'!G164</f>
        <v>150.30000000000018</v>
      </c>
      <c r="AE15" s="254">
        <f>'11'!$G$116</f>
        <v>511.5</v>
      </c>
      <c r="AF15" s="254">
        <f>'11'!$G$117</f>
        <v>283.93000000000029</v>
      </c>
      <c r="AG15" s="254">
        <f>'11'!$G$118</f>
        <v>623.07000000000698</v>
      </c>
      <c r="AH15" s="254">
        <f>'11'!$G$119</f>
        <v>12.790000000000873</v>
      </c>
      <c r="AI15" s="254">
        <f>'11'!$G$120</f>
        <v>396.97000000000116</v>
      </c>
      <c r="AJ15" s="254">
        <f>'11'!$G$121</f>
        <v>424.38000000000466</v>
      </c>
      <c r="AK15" s="254">
        <f>'11'!$G$122</f>
        <v>375.30000000000291</v>
      </c>
      <c r="AL15" s="254">
        <f>'11'!$G$123</f>
        <v>299.84999999999854</v>
      </c>
      <c r="AM15" s="254">
        <f>'11'!$G$133</f>
        <v>879.73999999999069</v>
      </c>
      <c r="AN15" s="254">
        <f>'11'!$G$15</f>
        <v>1018.7000000001863</v>
      </c>
      <c r="AO15" s="256">
        <f>'11'!$G$74</f>
        <v>297.17000000004191</v>
      </c>
      <c r="AP15" s="256">
        <f>'11'!$G$75</f>
        <v>0</v>
      </c>
      <c r="AQ15" s="256">
        <f>'11'!$G$76</f>
        <v>120.74000000001979</v>
      </c>
      <c r="AR15" s="256">
        <f>'11'!$G$77</f>
        <v>58.5</v>
      </c>
      <c r="AS15" s="256">
        <f>'11'!$G$78</f>
        <v>0</v>
      </c>
      <c r="AT15" s="256">
        <f t="shared" si="0"/>
        <v>542.29000000012456</v>
      </c>
      <c r="AU15" s="254">
        <f>SUM('11'!G91:G92)</f>
        <v>11.420000000000073</v>
      </c>
      <c r="AV15" s="254">
        <f>'11'!$G$88</f>
        <v>0</v>
      </c>
      <c r="AW15" s="254">
        <f>'11'!$G$89</f>
        <v>8.5500000000029104</v>
      </c>
      <c r="AX15" s="254">
        <f>'11'!$G$90</f>
        <v>9.0299999999988358</v>
      </c>
      <c r="AY15" s="252">
        <f t="shared" si="1"/>
        <v>17.580000000001746</v>
      </c>
      <c r="AZ15" s="311">
        <f t="shared" si="6"/>
        <v>26.021891418567428</v>
      </c>
      <c r="BA15" s="311">
        <f t="shared" si="3"/>
        <v>30.846985210470461</v>
      </c>
      <c r="BB15" s="351">
        <f t="shared" si="4"/>
        <v>6135.8699999999662</v>
      </c>
      <c r="BC15" s="351">
        <f t="shared" si="5"/>
        <v>24.60442022802064</v>
      </c>
    </row>
    <row r="16" spans="1:55">
      <c r="A16" s="356">
        <v>12</v>
      </c>
      <c r="B16" s="489">
        <f>'12'!G7</f>
        <v>24541.99000000002</v>
      </c>
      <c r="C16" s="489">
        <f>'12'!G8</f>
        <v>24898.200000000012</v>
      </c>
      <c r="D16" s="489">
        <f>'12'!G15</f>
        <v>1030.0099999997765</v>
      </c>
      <c r="E16" s="489">
        <f>'12'!G20</f>
        <v>307</v>
      </c>
      <c r="F16" s="489">
        <f>SUM('12'!G35,'12'!G49)</f>
        <v>3468.9200000000419</v>
      </c>
      <c r="G16" s="489">
        <f>SUM('12'!G37,'12'!G51)</f>
        <v>1007.5999999999913</v>
      </c>
      <c r="H16" s="489">
        <f>SUM('12'!G38,'12'!G52)</f>
        <v>2223.3999999999069</v>
      </c>
      <c r="I16" s="489">
        <f>SUM('12'!G39,'12'!G53)</f>
        <v>4336.1600000000326</v>
      </c>
      <c r="J16" s="489">
        <f>SUM('12'!G41,'12'!G42,'12'!G55,'12'!G56)</f>
        <v>4875.7099999999627</v>
      </c>
      <c r="K16" s="489">
        <f>SUM('12'!G43,'12'!G57)</f>
        <v>2783.4400000000023</v>
      </c>
      <c r="L16" s="254">
        <f>'12'!G50</f>
        <v>1507.8800000000047</v>
      </c>
      <c r="M16" s="254">
        <f>'12'!G36</f>
        <v>1019.640000000014</v>
      </c>
      <c r="N16" s="254">
        <f>'12'!G138</f>
        <v>127</v>
      </c>
      <c r="O16" s="254">
        <f>'12'!$G$139</f>
        <v>148</v>
      </c>
      <c r="P16" s="254">
        <f>'12'!$G$140</f>
        <v>13.239999999999782</v>
      </c>
      <c r="Q16" s="254">
        <f>'12'!$G$141</f>
        <v>218.99000000000524</v>
      </c>
      <c r="R16" s="254">
        <f>'12'!$G$142</f>
        <v>95.690000000002328</v>
      </c>
      <c r="S16" s="254">
        <f>'12'!$G$145</f>
        <v>158.05999999999949</v>
      </c>
      <c r="T16" s="251">
        <f>'12'!$G$146</f>
        <v>40</v>
      </c>
      <c r="U16" s="251">
        <f>'12'!$G$144</f>
        <v>233</v>
      </c>
      <c r="V16" s="251">
        <f>'12'!$G$147</f>
        <v>407.76000000000931</v>
      </c>
      <c r="W16" s="251">
        <f>'12'!$G$148</f>
        <v>346.88000000000466</v>
      </c>
      <c r="X16" s="251">
        <f>'12'!$G$143</f>
        <v>29.159999999999854</v>
      </c>
      <c r="Y16" s="251">
        <f>'12'!$G$58</f>
        <v>243.51000000000931</v>
      </c>
      <c r="Z16" s="251">
        <f>'12'!$G$151</f>
        <v>47</v>
      </c>
      <c r="AA16" s="251">
        <f>'12'!G161</f>
        <v>290.64000000001397</v>
      </c>
      <c r="AB16" s="251">
        <f>'12'!G162</f>
        <v>45.69999999999709</v>
      </c>
      <c r="AC16" s="251">
        <f>'12'!G88</f>
        <v>0</v>
      </c>
      <c r="AD16" s="251">
        <f>'12'!G163+'12'!G164</f>
        <v>143.40000000000055</v>
      </c>
      <c r="AE16" s="254">
        <f>'12'!$G$116</f>
        <v>436.48000000001048</v>
      </c>
      <c r="AF16" s="254">
        <f>'12'!$G$117</f>
        <v>357.09999999999854</v>
      </c>
      <c r="AG16" s="254">
        <f>'12'!$G$118</f>
        <v>623.61999999999534</v>
      </c>
      <c r="AH16" s="254">
        <f>'12'!$G$119</f>
        <v>12.379999999997381</v>
      </c>
      <c r="AI16" s="254">
        <f>'12'!$G$120</f>
        <v>390.10999999998603</v>
      </c>
      <c r="AJ16" s="254">
        <f>'12'!$G$121</f>
        <v>450.45999999999185</v>
      </c>
      <c r="AK16" s="254">
        <f>'12'!$G$122</f>
        <v>388.47000000000116</v>
      </c>
      <c r="AL16" s="254">
        <f>'12'!$G$123</f>
        <v>302.68000000000029</v>
      </c>
      <c r="AM16" s="254">
        <f>'12'!$G$133</f>
        <v>952.79999999998836</v>
      </c>
      <c r="AN16" s="254">
        <f>'12'!$G$15</f>
        <v>1030.0099999997765</v>
      </c>
      <c r="AO16" s="256">
        <f>'12'!$G$74</f>
        <v>292.21999999997206</v>
      </c>
      <c r="AP16" s="256">
        <f>'12'!$G$75</f>
        <v>0</v>
      </c>
      <c r="AQ16" s="256">
        <f>'12'!$G$76</f>
        <v>128.83999999999651</v>
      </c>
      <c r="AR16" s="256">
        <f>'12'!$G$77</f>
        <v>56.5</v>
      </c>
      <c r="AS16" s="256">
        <f>'12'!$G$78</f>
        <v>-0.3999999999996362</v>
      </c>
      <c r="AT16" s="256">
        <f t="shared" si="0"/>
        <v>552.84999999980755</v>
      </c>
      <c r="AU16" s="254">
        <f>SUM('12'!G91:G92)</f>
        <v>11.239999999999782</v>
      </c>
      <c r="AV16" s="254">
        <f>'12'!$G$88</f>
        <v>0</v>
      </c>
      <c r="AW16" s="254">
        <f>'12'!$G$89</f>
        <v>9.1199999999989814</v>
      </c>
      <c r="AX16" s="254">
        <f>'12'!$G$90</f>
        <v>10.120000000009895</v>
      </c>
      <c r="AY16" s="252">
        <f t="shared" si="1"/>
        <v>19.240000000008877</v>
      </c>
      <c r="AZ16" s="311">
        <f t="shared" si="6"/>
        <v>25.998220640567414</v>
      </c>
      <c r="BA16" s="311">
        <f t="shared" si="3"/>
        <v>28.734407484384224</v>
      </c>
      <c r="BB16" s="351">
        <f t="shared" si="4"/>
        <v>5959.4600000000646</v>
      </c>
      <c r="BC16" s="351">
        <f t="shared" si="5"/>
        <v>24.282708940880749</v>
      </c>
    </row>
    <row r="17" spans="1:55">
      <c r="A17" s="356">
        <v>13</v>
      </c>
      <c r="B17" s="489">
        <f>'13'!G7</f>
        <v>24531.609999999986</v>
      </c>
      <c r="C17" s="489">
        <f>'13'!G8</f>
        <v>24813.929999999993</v>
      </c>
      <c r="D17" s="489">
        <f>'13'!G15</f>
        <v>1072.3700000001118</v>
      </c>
      <c r="E17" s="489">
        <f>'13'!G20</f>
        <v>309</v>
      </c>
      <c r="F17" s="489">
        <f>SUM('13'!G35,'13'!G49)</f>
        <v>3683.0199999999604</v>
      </c>
      <c r="G17" s="489">
        <f>SUM('13'!G37,'13'!G51)</f>
        <v>989.47000000000116</v>
      </c>
      <c r="H17" s="489">
        <f>SUM('13'!G38,'13'!G52)</f>
        <v>2231.9300000000512</v>
      </c>
      <c r="I17" s="489">
        <f>SUM('13'!G39,'13'!G53)</f>
        <v>4038.1699999999837</v>
      </c>
      <c r="J17" s="489">
        <f>SUM('13'!G41,'13'!G42,'13'!G55,'13'!G56)</f>
        <v>4786.9599999999919</v>
      </c>
      <c r="K17" s="489">
        <f>SUM('13'!G43,'13'!G57)</f>
        <v>2808.0900000000256</v>
      </c>
      <c r="L17" s="254">
        <f>'13'!G50</f>
        <v>2066.8499999999767</v>
      </c>
      <c r="M17" s="254">
        <f>'13'!G36</f>
        <v>870.45000000001164</v>
      </c>
      <c r="N17" s="254">
        <f>'13'!G138</f>
        <v>150</v>
      </c>
      <c r="O17" s="254">
        <f>'13'!$G$139</f>
        <v>177</v>
      </c>
      <c r="P17" s="254">
        <f>'13'!$G$140</f>
        <v>10.2800000000002</v>
      </c>
      <c r="Q17" s="254">
        <f>'13'!$G$141</f>
        <v>218.00999999999476</v>
      </c>
      <c r="R17" s="254">
        <f>'13'!$G$142</f>
        <v>87.360000000000582</v>
      </c>
      <c r="S17" s="254">
        <f>'13'!$G$145</f>
        <v>177.19000000000051</v>
      </c>
      <c r="T17" s="251">
        <f>'13'!$G$146</f>
        <v>62</v>
      </c>
      <c r="U17" s="251">
        <f>'13'!$G$144</f>
        <v>260</v>
      </c>
      <c r="V17" s="251">
        <f>'13'!$G$147</f>
        <v>424.43999999994412</v>
      </c>
      <c r="W17" s="251">
        <f>'13'!$G$148</f>
        <v>316.07999999995809</v>
      </c>
      <c r="X17" s="251">
        <f>'13'!$G$143</f>
        <v>26.139999999999418</v>
      </c>
      <c r="Y17" s="251">
        <f>'13'!$G$58</f>
        <v>237.22999999999593</v>
      </c>
      <c r="Z17" s="251">
        <f>'13'!$G$151</f>
        <v>56</v>
      </c>
      <c r="AA17" s="251">
        <f>'13'!G161</f>
        <v>299.27999999996973</v>
      </c>
      <c r="AB17" s="251">
        <f>'13'!G162</f>
        <v>49.69999999999709</v>
      </c>
      <c r="AC17" s="251">
        <f>'13'!G88</f>
        <v>1.4400000000023283</v>
      </c>
      <c r="AD17" s="251">
        <f>'13'!G163+'13'!G164</f>
        <v>102</v>
      </c>
      <c r="AE17" s="254">
        <f>'13'!$G$116</f>
        <v>149.97999999999593</v>
      </c>
      <c r="AF17" s="254">
        <f>'13'!$G$117</f>
        <v>330.98999999999796</v>
      </c>
      <c r="AG17" s="254">
        <f>'13'!$G$118</f>
        <v>574</v>
      </c>
      <c r="AH17" s="254">
        <f>'13'!$G$119</f>
        <v>13.290000000000873</v>
      </c>
      <c r="AI17" s="254">
        <f>'13'!$G$120</f>
        <v>400.82000000000698</v>
      </c>
      <c r="AJ17" s="254">
        <f>'13'!$G$121</f>
        <v>476.57000000000698</v>
      </c>
      <c r="AK17" s="254">
        <f>'13'!$G$122</f>
        <v>390.88999999999942</v>
      </c>
      <c r="AL17" s="254">
        <f>'13'!$G$123</f>
        <v>304.68000000000029</v>
      </c>
      <c r="AM17" s="254">
        <f>'13'!$G$133</f>
        <v>1033.1900000000023</v>
      </c>
      <c r="AN17" s="254">
        <f>'13'!$G$15</f>
        <v>1072.3700000001118</v>
      </c>
      <c r="AO17" s="256">
        <f>'13'!$G$74</f>
        <v>289.96999999997206</v>
      </c>
      <c r="AP17" s="256">
        <f>'13'!$G$75</f>
        <v>0</v>
      </c>
      <c r="AQ17" s="256">
        <f>'13'!$G$76</f>
        <v>118.98999999999069</v>
      </c>
      <c r="AR17" s="256">
        <f>'13'!$G$77</f>
        <v>60.5</v>
      </c>
      <c r="AS17" s="256">
        <f>'13'!$G$78</f>
        <v>0</v>
      </c>
      <c r="AT17" s="256">
        <f t="shared" si="0"/>
        <v>602.91000000014901</v>
      </c>
      <c r="AU17" s="254">
        <f>SUM('13'!G91:G92)</f>
        <v>11.139999999999418</v>
      </c>
      <c r="AV17" s="254">
        <f>'13'!$G$88</f>
        <v>1.4400000000023283</v>
      </c>
      <c r="AW17" s="254">
        <f>'13'!$G$89</f>
        <v>7.6399999999994179</v>
      </c>
      <c r="AX17" s="254">
        <f>'13'!$G$90</f>
        <v>10.669999999998254</v>
      </c>
      <c r="AY17" s="252">
        <f t="shared" si="1"/>
        <v>19.75</v>
      </c>
      <c r="AZ17" s="311">
        <f t="shared" si="6"/>
        <v>26.029622980250199</v>
      </c>
      <c r="BA17" s="311">
        <f t="shared" si="3"/>
        <v>30.527088607602483</v>
      </c>
      <c r="BB17" s="351">
        <f t="shared" si="4"/>
        <v>6039.0599999999831</v>
      </c>
      <c r="BC17" s="351">
        <f t="shared" si="5"/>
        <v>24.617462938632997</v>
      </c>
    </row>
    <row r="18" spans="1:55">
      <c r="A18" s="356">
        <v>14</v>
      </c>
      <c r="B18" s="489">
        <f>'14'!G7</f>
        <v>25568</v>
      </c>
      <c r="C18" s="489">
        <f>'14'!G8</f>
        <v>25893</v>
      </c>
      <c r="D18" s="489">
        <f>'14'!G15</f>
        <v>1198</v>
      </c>
      <c r="E18" s="489">
        <f>'14'!G20</f>
        <v>267</v>
      </c>
      <c r="F18" s="489">
        <f>SUM('14'!G35,'14'!G49)</f>
        <v>3733</v>
      </c>
      <c r="G18" s="489">
        <f>SUM('14'!G37,'14'!G51)</f>
        <v>1049</v>
      </c>
      <c r="H18" s="489">
        <f>SUM('14'!G38,'14'!G52)</f>
        <v>2349.2399999999998</v>
      </c>
      <c r="I18" s="489">
        <f>SUM('14'!G39,'14'!G53)</f>
        <v>4081.8100000000559</v>
      </c>
      <c r="J18" s="489">
        <f>SUM('14'!G41,'14'!G42,'14'!G55,'14'!G56)</f>
        <v>5095.0899999999674</v>
      </c>
      <c r="K18" s="489">
        <f>SUM('14'!G43,'14'!G57)</f>
        <v>2926</v>
      </c>
      <c r="L18" s="254">
        <f>'14'!G50</f>
        <v>1895</v>
      </c>
      <c r="M18" s="254">
        <f>'14'!G36</f>
        <v>1103</v>
      </c>
      <c r="N18" s="254">
        <f>'14'!G138</f>
        <v>164</v>
      </c>
      <c r="O18" s="254">
        <f>'14'!$G$139</f>
        <v>155</v>
      </c>
      <c r="P18" s="254">
        <f>'14'!$G$140</f>
        <v>10</v>
      </c>
      <c r="Q18" s="254">
        <f>'14'!$G$141</f>
        <v>214</v>
      </c>
      <c r="R18" s="254">
        <f>'14'!$G$142</f>
        <v>90</v>
      </c>
      <c r="S18" s="254">
        <f>'14'!$G$145</f>
        <v>241</v>
      </c>
      <c r="T18" s="251">
        <f>'14'!$G$146</f>
        <v>49</v>
      </c>
      <c r="U18" s="251">
        <f>'14'!$G$144</f>
        <v>236</v>
      </c>
      <c r="V18" s="251">
        <f>'14'!$G$147</f>
        <v>431</v>
      </c>
      <c r="W18" s="251">
        <f>'14'!$G$148</f>
        <v>336</v>
      </c>
      <c r="X18" s="251">
        <f>'14'!$G$143</f>
        <v>32</v>
      </c>
      <c r="Y18" s="251">
        <f>'14'!$G$58</f>
        <v>254</v>
      </c>
      <c r="Z18" s="251">
        <f>'14'!$G$151</f>
        <v>44</v>
      </c>
      <c r="AA18" s="251">
        <f>'14'!G161</f>
        <v>279.88000000000466</v>
      </c>
      <c r="AB18" s="251">
        <f>'14'!G162</f>
        <v>42</v>
      </c>
      <c r="AC18" s="251">
        <f>'14'!G88</f>
        <v>0.82999999999810825</v>
      </c>
      <c r="AD18" s="251">
        <f>'14'!G163+'14'!G164</f>
        <v>150</v>
      </c>
      <c r="AE18" s="254">
        <f>'14'!$G$116</f>
        <v>218</v>
      </c>
      <c r="AF18" s="254">
        <f>'14'!$G$117</f>
        <v>277</v>
      </c>
      <c r="AG18" s="254">
        <f>'14'!$G$118</f>
        <v>637</v>
      </c>
      <c r="AH18" s="254">
        <f>'14'!$G$119</f>
        <v>13</v>
      </c>
      <c r="AI18" s="254">
        <f>'14'!$G$120</f>
        <v>406</v>
      </c>
      <c r="AJ18" s="254">
        <f>'14'!$G$121</f>
        <v>459</v>
      </c>
      <c r="AK18" s="254">
        <f>'14'!$G$122</f>
        <v>385</v>
      </c>
      <c r="AL18" s="254">
        <f>'14'!$G$123</f>
        <v>311</v>
      </c>
      <c r="AM18" s="254">
        <f>'14'!$G$133</f>
        <v>1037</v>
      </c>
      <c r="AN18" s="254">
        <f>'14'!$G$15</f>
        <v>1198</v>
      </c>
      <c r="AO18" s="256">
        <f>'14'!$G$74</f>
        <v>297</v>
      </c>
      <c r="AP18" s="256">
        <f>'14'!$G$75</f>
        <v>0</v>
      </c>
      <c r="AQ18" s="256">
        <f>'14'!$G$76</f>
        <v>125</v>
      </c>
      <c r="AR18" s="256">
        <f>'14'!$G$77</f>
        <v>53</v>
      </c>
      <c r="AS18" s="256">
        <f>'14'!$G$78</f>
        <v>0</v>
      </c>
      <c r="AT18" s="256">
        <f t="shared" si="0"/>
        <v>723</v>
      </c>
      <c r="AU18" s="254">
        <f>SUM('14'!G91:G92)</f>
        <v>11.270000000000437</v>
      </c>
      <c r="AV18" s="254">
        <f>'14'!$G$88</f>
        <v>0.82999999999810825</v>
      </c>
      <c r="AW18" s="254">
        <f>'14'!$G$89</f>
        <v>9</v>
      </c>
      <c r="AX18" s="254">
        <f>'14'!$G$90</f>
        <v>13.350000000005821</v>
      </c>
      <c r="AY18" s="252">
        <f t="shared" si="1"/>
        <v>23.180000000003929</v>
      </c>
      <c r="AZ18" s="311">
        <f t="shared" si="6"/>
        <v>26.353149955633405</v>
      </c>
      <c r="BA18" s="311">
        <f t="shared" si="3"/>
        <v>31.190681622082721</v>
      </c>
      <c r="BB18" s="351">
        <f t="shared" si="4"/>
        <v>6404.8599999999788</v>
      </c>
      <c r="BC18" s="351">
        <f t="shared" si="5"/>
        <v>25.050297246558113</v>
      </c>
    </row>
    <row r="19" spans="1:55">
      <c r="A19" s="356">
        <v>15</v>
      </c>
      <c r="B19" s="489">
        <f>'15'!G7</f>
        <v>25505</v>
      </c>
      <c r="C19" s="489">
        <f>'15'!G8</f>
        <v>25818</v>
      </c>
      <c r="D19" s="489">
        <f>'15'!G15</f>
        <v>917</v>
      </c>
      <c r="E19" s="489">
        <f>'15'!G20</f>
        <v>322</v>
      </c>
      <c r="F19" s="489">
        <f>SUM('15'!G35,'15'!G49)</f>
        <v>3550</v>
      </c>
      <c r="G19" s="489">
        <f>SUM('15'!G37,'15'!G51)</f>
        <v>1047</v>
      </c>
      <c r="H19" s="489">
        <f>SUM('15'!G38,'15'!G52)</f>
        <v>2442</v>
      </c>
      <c r="I19" s="489">
        <f>SUM('15'!G39,'15'!G53)</f>
        <v>4192</v>
      </c>
      <c r="J19" s="489">
        <f>SUM('15'!G41,'15'!G42,'15'!G55,'15'!G56)</f>
        <v>5793.4500000000116</v>
      </c>
      <c r="K19" s="489">
        <f>SUM('15'!G43,'15'!G57)</f>
        <v>2989</v>
      </c>
      <c r="L19" s="254">
        <f>'15'!G50</f>
        <v>1909</v>
      </c>
      <c r="M19" s="254">
        <f>'15'!G36</f>
        <v>1089</v>
      </c>
      <c r="N19" s="254">
        <f>'15'!G138</f>
        <v>168</v>
      </c>
      <c r="O19" s="254">
        <f>'15'!$G$139</f>
        <v>139</v>
      </c>
      <c r="P19" s="254">
        <f>'15'!$G$140</f>
        <v>13</v>
      </c>
      <c r="Q19" s="254">
        <f>'15'!$G$141</f>
        <v>224</v>
      </c>
      <c r="R19" s="254">
        <f>'15'!$G$142</f>
        <v>98</v>
      </c>
      <c r="S19" s="254">
        <f>'15'!$G$145</f>
        <v>257</v>
      </c>
      <c r="T19" s="251">
        <f>'15'!$G$146</f>
        <v>58</v>
      </c>
      <c r="U19" s="251">
        <f>'15'!$G$144</f>
        <v>221</v>
      </c>
      <c r="V19" s="251">
        <f>'15'!$G$147</f>
        <v>422</v>
      </c>
      <c r="W19" s="251">
        <f>'15'!$G$148</f>
        <v>374</v>
      </c>
      <c r="X19" s="251">
        <f>'15'!$G$143</f>
        <v>31</v>
      </c>
      <c r="Y19" s="251">
        <f>'15'!$G$58</f>
        <v>241</v>
      </c>
      <c r="Z19" s="251">
        <f>'15'!$G$151</f>
        <v>64</v>
      </c>
      <c r="AA19" s="251">
        <f>'15'!G161</f>
        <v>293</v>
      </c>
      <c r="AB19" s="251">
        <f>'15'!G162</f>
        <v>38</v>
      </c>
      <c r="AC19" s="251">
        <f>'15'!G88</f>
        <v>0</v>
      </c>
      <c r="AD19" s="251">
        <f>'15'!G163+'15'!G164</f>
        <v>157</v>
      </c>
      <c r="AE19" s="254">
        <f>'15'!$G$116</f>
        <v>298</v>
      </c>
      <c r="AF19" s="254">
        <f>'15'!$G$117</f>
        <v>349</v>
      </c>
      <c r="AG19" s="254">
        <f>'15'!$G$118</f>
        <v>637</v>
      </c>
      <c r="AH19" s="254">
        <f>'15'!$G$119</f>
        <v>13</v>
      </c>
      <c r="AI19" s="254">
        <f>'15'!$G$120</f>
        <v>406</v>
      </c>
      <c r="AJ19" s="254">
        <f>'15'!$G$121</f>
        <v>442</v>
      </c>
      <c r="AK19" s="254">
        <f>'15'!$G$122</f>
        <v>384</v>
      </c>
      <c r="AL19" s="254">
        <f>'15'!$G$123</f>
        <v>305</v>
      </c>
      <c r="AM19" s="254">
        <f>'15'!$G$133</f>
        <v>896</v>
      </c>
      <c r="AN19" s="254">
        <f>'15'!$G$15</f>
        <v>917</v>
      </c>
      <c r="AO19" s="256">
        <f>'15'!$G$74</f>
        <v>278</v>
      </c>
      <c r="AP19" s="256">
        <f>'15'!$G$75</f>
        <v>0</v>
      </c>
      <c r="AQ19" s="256">
        <f>'15'!$G$76</f>
        <v>129</v>
      </c>
      <c r="AR19" s="256">
        <f>'15'!$G$77</f>
        <v>59</v>
      </c>
      <c r="AS19" s="256">
        <f>'15'!$G$78</f>
        <v>0</v>
      </c>
      <c r="AT19" s="256">
        <f t="shared" si="0"/>
        <v>451</v>
      </c>
      <c r="AU19" s="254">
        <f>SUM('15'!G91:G92)</f>
        <v>10.710000000000036</v>
      </c>
      <c r="AV19" s="254">
        <f>'15'!$G$88</f>
        <v>0</v>
      </c>
      <c r="AW19" s="254">
        <f>'15'!$G$89</f>
        <v>9.5999999999985448</v>
      </c>
      <c r="AX19" s="254">
        <f>'15'!$G$90</f>
        <v>9.8699999999953434</v>
      </c>
      <c r="AY19" s="252">
        <f t="shared" si="1"/>
        <v>19.469999999993888</v>
      </c>
      <c r="AZ19" s="311">
        <f t="shared" si="6"/>
        <v>25.957049486461163</v>
      </c>
      <c r="BA19" s="311">
        <f t="shared" si="3"/>
        <v>23.163841807916874</v>
      </c>
      <c r="BB19" s="351">
        <f t="shared" si="4"/>
        <v>5563.5499999999884</v>
      </c>
      <c r="BC19" s="351">
        <f t="shared" si="5"/>
        <v>21.813565967457315</v>
      </c>
    </row>
    <row r="20" spans="1:55">
      <c r="A20" s="356">
        <v>16</v>
      </c>
      <c r="B20" s="489">
        <f>'16'!G7</f>
        <v>23934.599999999977</v>
      </c>
      <c r="C20" s="489">
        <f>'16'!G8</f>
        <v>24160</v>
      </c>
      <c r="D20" s="489">
        <f>'16'!G15</f>
        <v>1098</v>
      </c>
      <c r="E20" s="489">
        <f>'16'!G20</f>
        <v>370</v>
      </c>
      <c r="F20" s="489">
        <f>SUM('16'!G35,'16'!G49)</f>
        <v>3658.3600000000442</v>
      </c>
      <c r="G20" s="489">
        <f>SUM('16'!G37,'16'!G51)</f>
        <v>996.01000000000931</v>
      </c>
      <c r="H20" s="489">
        <f>SUM('16'!G38,'16'!G52)</f>
        <v>2438.6999999999534</v>
      </c>
      <c r="I20" s="489">
        <f>SUM('16'!G39,'16'!G53)</f>
        <v>4307.4699999999721</v>
      </c>
      <c r="J20" s="489">
        <f>SUM('16'!G41,'16'!G42,'16'!G55,'16'!G56)</f>
        <v>4009.2399999999907</v>
      </c>
      <c r="K20" s="489">
        <f>SUM('16'!G43,'16'!G57)</f>
        <v>2689.5900000000256</v>
      </c>
      <c r="L20" s="254">
        <f>'16'!G50</f>
        <v>1710.9000000000233</v>
      </c>
      <c r="M20" s="254">
        <f>'16'!G36</f>
        <v>1115.5999999999767</v>
      </c>
      <c r="N20" s="254">
        <f>'16'!G138</f>
        <v>176</v>
      </c>
      <c r="O20" s="254">
        <f>'16'!$G$139</f>
        <v>149</v>
      </c>
      <c r="P20" s="254">
        <f>'16'!$G$140</f>
        <v>11.400000000000091</v>
      </c>
      <c r="Q20" s="254">
        <f>'16'!$G$141</f>
        <v>249.89999999999418</v>
      </c>
      <c r="R20" s="254">
        <f>'16'!$G$142</f>
        <v>114.69999999999709</v>
      </c>
      <c r="S20" s="254">
        <f>'16'!$G$145</f>
        <v>182.70000000000073</v>
      </c>
      <c r="T20" s="251">
        <f>'16'!$G$146</f>
        <v>41</v>
      </c>
      <c r="U20" s="251">
        <f>'16'!$G$144</f>
        <v>246</v>
      </c>
      <c r="V20" s="251">
        <f>'16'!$G$147</f>
        <v>417.76000000000931</v>
      </c>
      <c r="W20" s="251">
        <f>'16'!$G$148</f>
        <v>324.95999999996275</v>
      </c>
      <c r="X20" s="251">
        <f>'16'!$G$143</f>
        <v>29</v>
      </c>
      <c r="Y20" s="251">
        <f>'16'!$G$58</f>
        <v>239.7899999999936</v>
      </c>
      <c r="Z20" s="251">
        <f>'16'!$G$151</f>
        <v>80</v>
      </c>
      <c r="AA20" s="251">
        <f>'16'!G161</f>
        <v>292.20000000001164</v>
      </c>
      <c r="AB20" s="251">
        <f>'16'!G162</f>
        <v>28.80000000000291</v>
      </c>
      <c r="AC20" s="251">
        <f>'16'!G88</f>
        <v>7.0000000014260877E-3</v>
      </c>
      <c r="AD20" s="251">
        <f>'16'!G163+'16'!G164</f>
        <v>110.60000000000036</v>
      </c>
      <c r="AE20" s="254">
        <f>'16'!$G$116</f>
        <v>604</v>
      </c>
      <c r="AF20" s="254">
        <f>'16'!$G$117</f>
        <v>273.5</v>
      </c>
      <c r="AG20" s="254">
        <f>'16'!$G$118</f>
        <v>566.19999999999709</v>
      </c>
      <c r="AH20" s="254">
        <f>'16'!$G$119</f>
        <v>11.040000000000873</v>
      </c>
      <c r="AI20" s="254">
        <f>'16'!$G$120</f>
        <v>405.30000000000291</v>
      </c>
      <c r="AJ20" s="254">
        <f>'16'!$G$121</f>
        <v>429.24000000000524</v>
      </c>
      <c r="AK20" s="254">
        <f>'16'!$G$122</f>
        <v>397.19999999999709</v>
      </c>
      <c r="AL20" s="254">
        <f>'16'!$G$123</f>
        <v>309.16000000000349</v>
      </c>
      <c r="AM20" s="254">
        <f>'16'!$G$133</f>
        <v>850.46999999997206</v>
      </c>
      <c r="AN20" s="254">
        <f>'16'!$G$15</f>
        <v>1098</v>
      </c>
      <c r="AO20" s="256">
        <f>'16'!$G$74</f>
        <v>295.56999999994878</v>
      </c>
      <c r="AP20" s="256">
        <f>'16'!$G$75</f>
        <v>0.80000000000291038</v>
      </c>
      <c r="AQ20" s="256">
        <f>'16'!$G$76</f>
        <v>138.29999999998836</v>
      </c>
      <c r="AR20" s="256">
        <f>'16'!$G$77</f>
        <v>67</v>
      </c>
      <c r="AS20" s="256">
        <f>'16'!$G$78</f>
        <v>-1</v>
      </c>
      <c r="AT20" s="256">
        <f t="shared" si="0"/>
        <v>597.33000000005995</v>
      </c>
      <c r="AU20" s="254">
        <f>SUM('16'!G91:G92)</f>
        <v>11.329999999999927</v>
      </c>
      <c r="AV20" s="254">
        <f>'16'!$G$88</f>
        <v>7.0000000014260877E-3</v>
      </c>
      <c r="AW20" s="254">
        <f>'16'!$G$89</f>
        <v>9.3400000000001455</v>
      </c>
      <c r="AX20" s="254">
        <f>'16'!$G$90</f>
        <v>11.289999999993597</v>
      </c>
      <c r="AY20" s="252">
        <f t="shared" si="1"/>
        <v>20.636999999995169</v>
      </c>
      <c r="AZ20" s="311">
        <f t="shared" si="6"/>
        <v>26.087378640772346</v>
      </c>
      <c r="BA20" s="311">
        <f t="shared" si="3"/>
        <v>28.944614042748452</v>
      </c>
      <c r="BB20" s="351">
        <f t="shared" si="4"/>
        <v>5820.8400000000111</v>
      </c>
      <c r="BC20" s="351">
        <f t="shared" si="5"/>
        <v>24.3197713770024</v>
      </c>
    </row>
    <row r="21" spans="1:55">
      <c r="A21" s="356">
        <v>17</v>
      </c>
      <c r="B21" s="489">
        <f>'17'!G7</f>
        <v>24604.400000000023</v>
      </c>
      <c r="C21" s="489">
        <f>'17'!G8</f>
        <v>24906</v>
      </c>
      <c r="D21" s="489">
        <f>'17'!G15</f>
        <v>1022</v>
      </c>
      <c r="E21" s="489">
        <f>'17'!G20</f>
        <v>302</v>
      </c>
      <c r="F21" s="489">
        <f>SUM('17'!G35,'17'!G49)</f>
        <v>3802.679999999993</v>
      </c>
      <c r="G21" s="489">
        <f>SUM('17'!G37,'17'!G51)</f>
        <v>1050.8799999999901</v>
      </c>
      <c r="H21" s="489">
        <f>SUM('17'!G38,'17'!G52)</f>
        <v>2335.6100000001024</v>
      </c>
      <c r="I21" s="489">
        <f>SUM('17'!G39,'17'!G53)</f>
        <v>4426.0400000000373</v>
      </c>
      <c r="J21" s="489">
        <f>SUM('17'!G41,'17'!G42,'17'!G55,'17'!G56)</f>
        <v>4623.9400000000314</v>
      </c>
      <c r="K21" s="489">
        <f>SUM('17'!G43,'17'!G57)</f>
        <v>2939.1199999999953</v>
      </c>
      <c r="L21" s="254">
        <f>'17'!G50</f>
        <v>1442.69</v>
      </c>
      <c r="M21" s="254">
        <f>'17'!G36</f>
        <v>717.19000000000233</v>
      </c>
      <c r="N21" s="254">
        <f>'18 '!G138</f>
        <v>177</v>
      </c>
      <c r="O21" s="254">
        <f>'17'!$G$139</f>
        <v>138</v>
      </c>
      <c r="P21" s="254">
        <f>'17'!$G$140</f>
        <v>11.199999999999818</v>
      </c>
      <c r="Q21" s="254">
        <f>'17'!$G$141</f>
        <v>213.16000000000349</v>
      </c>
      <c r="R21" s="254">
        <f>'17'!$G$142</f>
        <v>100.80000000000291</v>
      </c>
      <c r="S21" s="254">
        <f>'17'!$G$145</f>
        <v>199.89999999999782</v>
      </c>
      <c r="T21" s="251">
        <f>'17'!$G$146</f>
        <v>43</v>
      </c>
      <c r="U21" s="251">
        <f>'17'!$G$144</f>
        <v>252</v>
      </c>
      <c r="V21" s="251">
        <f>'17'!$G$147</f>
        <v>369.52000000001863</v>
      </c>
      <c r="W21" s="251">
        <f>'17'!$G$148</f>
        <v>284.80000000004657</v>
      </c>
      <c r="X21" s="251">
        <f>'17'!$G$143</f>
        <v>27</v>
      </c>
      <c r="Y21" s="251">
        <f>'17'!$G$58</f>
        <v>247.81000000001222</v>
      </c>
      <c r="Z21" s="251">
        <f>'17'!$G$151</f>
        <v>45</v>
      </c>
      <c r="AA21" s="251">
        <f>'17'!G161</f>
        <v>323.8399999999674</v>
      </c>
      <c r="AB21" s="251">
        <f>'17'!G162</f>
        <v>43.599999999991269</v>
      </c>
      <c r="AC21" s="251">
        <f>'17'!G88</f>
        <v>2.9130000000004657</v>
      </c>
      <c r="AD21" s="251">
        <f>'17'!G163+'17'!G164</f>
        <v>143.29999999999927</v>
      </c>
      <c r="AE21" s="254">
        <f>'17'!$G$116</f>
        <v>571.30000000000291</v>
      </c>
      <c r="AF21" s="254">
        <f>'17'!$G$117</f>
        <v>321.40000000000146</v>
      </c>
      <c r="AG21" s="254">
        <f>'17'!$G$118</f>
        <v>605.19999999999709</v>
      </c>
      <c r="AH21" s="254">
        <f>'17'!$G$119</f>
        <v>13.959999999999127</v>
      </c>
      <c r="AI21" s="254">
        <f>'17'!$G$120</f>
        <v>430.30000000000291</v>
      </c>
      <c r="AJ21" s="254">
        <f>'17'!$G$121</f>
        <v>448.55999999999767</v>
      </c>
      <c r="AK21" s="254">
        <f>'17'!$G$122</f>
        <v>387.10000000000582</v>
      </c>
      <c r="AL21" s="254">
        <f>'17'!$G$123</f>
        <v>303.63999999999942</v>
      </c>
      <c r="AM21" s="254">
        <f>'17'!$G$133</f>
        <v>840.3300000000163</v>
      </c>
      <c r="AN21" s="254">
        <f>'17'!$G$15</f>
        <v>1022</v>
      </c>
      <c r="AO21" s="256">
        <f>'17'!$G$74</f>
        <v>291.03000000002794</v>
      </c>
      <c r="AP21" s="256">
        <f>'17'!$G$75</f>
        <v>-0.80000000000291038</v>
      </c>
      <c r="AQ21" s="256">
        <f>'17'!$G$76</f>
        <v>100.90000000002328</v>
      </c>
      <c r="AR21" s="256">
        <f>'17'!$G$77</f>
        <v>43</v>
      </c>
      <c r="AS21" s="256">
        <f>'17'!$G$78</f>
        <v>-1</v>
      </c>
      <c r="AT21" s="256">
        <f t="shared" si="0"/>
        <v>588.86999999995169</v>
      </c>
      <c r="AU21" s="254">
        <f>SUM('17'!G91:G92)</f>
        <v>11.170000000000073</v>
      </c>
      <c r="AV21" s="254">
        <f>'17'!$G$88</f>
        <v>2.9130000000004657</v>
      </c>
      <c r="AW21" s="254">
        <f>'17'!$G$89</f>
        <v>10.120000000002619</v>
      </c>
      <c r="AX21" s="254">
        <f>'17'!$G$90</f>
        <v>4.9700000000011642</v>
      </c>
      <c r="AY21" s="252">
        <f t="shared" si="1"/>
        <v>18.003000000004249</v>
      </c>
      <c r="AZ21" s="311">
        <f t="shared" si="6"/>
        <v>26.054610564013075</v>
      </c>
      <c r="BA21" s="311">
        <f t="shared" si="3"/>
        <v>32.709548408588162</v>
      </c>
      <c r="BB21" s="351">
        <f t="shared" si="4"/>
        <v>5479.9199999998382</v>
      </c>
      <c r="BC21" s="351">
        <f t="shared" si="5"/>
        <v>22.272113930840959</v>
      </c>
    </row>
    <row r="22" spans="1:55">
      <c r="A22" s="356">
        <v>18</v>
      </c>
      <c r="B22" s="489">
        <f>'18 '!G7</f>
        <v>24257</v>
      </c>
      <c r="C22" s="489">
        <f>'18 '!G8</f>
        <v>24462.5</v>
      </c>
      <c r="D22" s="489">
        <f>'18 '!G15</f>
        <v>1031.5</v>
      </c>
      <c r="E22" s="489">
        <f>'18 '!G20</f>
        <v>273</v>
      </c>
      <c r="F22" s="489">
        <f>SUM('18 '!G35,'18 '!G49)</f>
        <v>3749.2599999999511</v>
      </c>
      <c r="G22" s="489">
        <f>SUM('18 '!G37,'18 '!G51)</f>
        <v>1041</v>
      </c>
      <c r="H22" s="489">
        <f>SUM('18 '!G38,'18 '!G52)</f>
        <v>2281.5599999999395</v>
      </c>
      <c r="I22" s="489">
        <f>SUM('18 '!G39,'18 '!G53)</f>
        <v>4369.1799999999348</v>
      </c>
      <c r="J22" s="489">
        <f>SUM('18 '!G41,'18 '!G42,'18 '!G55,'18 '!G56)</f>
        <v>5273.7799999999988</v>
      </c>
      <c r="K22" s="489">
        <f>SUM('18 '!G43,'18 '!G57)</f>
        <v>2706.4799999999814</v>
      </c>
      <c r="L22" s="254">
        <f>'18 '!G50</f>
        <v>1410.0099999999511</v>
      </c>
      <c r="M22" s="254">
        <f>'18 '!G36</f>
        <v>713.44000000000233</v>
      </c>
      <c r="N22" s="254">
        <f>'18 '!G138</f>
        <v>177</v>
      </c>
      <c r="O22" s="254">
        <f>'18 '!$G$139</f>
        <v>139</v>
      </c>
      <c r="P22" s="254">
        <f>'18 '!$G$140</f>
        <v>12.050000000000182</v>
      </c>
      <c r="Q22" s="254">
        <f>'18 '!$G$141</f>
        <v>211.54000000000815</v>
      </c>
      <c r="R22" s="254">
        <f>'18 '!$G$142</f>
        <v>103.23999999999796</v>
      </c>
      <c r="S22" s="254">
        <f>'18 '!$G$145</f>
        <v>186.68000000000029</v>
      </c>
      <c r="T22" s="251">
        <f>'18 '!$G$146</f>
        <v>44</v>
      </c>
      <c r="U22" s="251">
        <f>'18 '!$G$144</f>
        <v>250</v>
      </c>
      <c r="V22" s="256">
        <f>'18 '!$G$147</f>
        <v>401.19999999995343</v>
      </c>
      <c r="W22" s="256">
        <f>'18 '!$G$148</f>
        <v>271.8399999999674</v>
      </c>
      <c r="X22" s="256">
        <f>'18 '!$G$143</f>
        <v>29.200000000000728</v>
      </c>
      <c r="Y22" s="256">
        <f>'18 '!$G$58</f>
        <v>250.31999999999243</v>
      </c>
      <c r="Z22" s="256">
        <f>'18 '!$G$151</f>
        <v>35</v>
      </c>
      <c r="AA22" s="256">
        <f>'18 '!G161</f>
        <v>378.28000000002794</v>
      </c>
      <c r="AB22" s="251">
        <f>'18 '!G162</f>
        <v>46.400000000008731</v>
      </c>
      <c r="AC22" s="251">
        <f>'18 '!G88</f>
        <v>0</v>
      </c>
      <c r="AD22" s="251">
        <f>'18 '!G163+'18 '!G164</f>
        <v>149.10000000000036</v>
      </c>
      <c r="AE22" s="254">
        <f>'18 '!$G$116</f>
        <v>500.59999999999127</v>
      </c>
      <c r="AF22" s="254">
        <f>'18 '!$G$117</f>
        <v>323.09999999999854</v>
      </c>
      <c r="AG22" s="254">
        <f>'18 '!$G$118</f>
        <v>628.75</v>
      </c>
      <c r="AH22" s="254">
        <f>'18 '!$G$119</f>
        <v>12.80000000000291</v>
      </c>
      <c r="AI22" s="254">
        <f>'18 '!$G$120</f>
        <v>418.09999999999127</v>
      </c>
      <c r="AJ22" s="254">
        <f>'18 '!$G$121</f>
        <v>442.59999999999127</v>
      </c>
      <c r="AK22" s="254">
        <f>'18 '!$G$122</f>
        <v>405.79999999999563</v>
      </c>
      <c r="AL22" s="254">
        <f>'18 '!$G$123</f>
        <v>304.69999999999709</v>
      </c>
      <c r="AM22" s="254">
        <f>'18 '!$G$133</f>
        <v>855.90000000002328</v>
      </c>
      <c r="AN22" s="254">
        <f>'18 '!$G$15</f>
        <v>1031.5</v>
      </c>
      <c r="AO22" s="256">
        <f>'18 '!$G$74</f>
        <v>290.09999999997672</v>
      </c>
      <c r="AP22" s="256">
        <f>'18 '!$G$75</f>
        <v>0</v>
      </c>
      <c r="AQ22" s="256">
        <f>'18 '!$G$76</f>
        <v>121.79999999998836</v>
      </c>
      <c r="AR22" s="256">
        <f>'18 '!$G$77</f>
        <v>40</v>
      </c>
      <c r="AS22" s="256">
        <f>'18 '!$G$78</f>
        <v>0</v>
      </c>
      <c r="AT22" s="256">
        <f t="shared" si="0"/>
        <v>579.60000000003492</v>
      </c>
      <c r="AU22" s="254">
        <f>SUM('18 '!G91:G92)</f>
        <v>11.109999999999673</v>
      </c>
      <c r="AV22" s="254">
        <f>'18 '!$G$88</f>
        <v>0</v>
      </c>
      <c r="AW22" s="254">
        <f>'18 '!$G$89</f>
        <v>9.6399999999994179</v>
      </c>
      <c r="AX22" s="254">
        <f>'18 '!$G$90</f>
        <v>10.5</v>
      </c>
      <c r="AY22" s="252">
        <f t="shared" si="1"/>
        <v>20.139999999999418</v>
      </c>
      <c r="AZ22" s="311">
        <f t="shared" si="6"/>
        <v>26.111611161114787</v>
      </c>
      <c r="BA22" s="311">
        <f t="shared" si="3"/>
        <v>28.778550148959866</v>
      </c>
      <c r="BB22" s="351">
        <f t="shared" si="4"/>
        <v>4790.920000000202</v>
      </c>
      <c r="BC22" s="351">
        <f t="shared" si="5"/>
        <v>19.750669909717615</v>
      </c>
    </row>
    <row r="23" spans="1:55" s="313" customFormat="1">
      <c r="A23" s="356">
        <v>19</v>
      </c>
      <c r="B23" s="489">
        <f>'19'!G7</f>
        <v>26011</v>
      </c>
      <c r="C23" s="489">
        <f>'19'!G8</f>
        <v>26332.5</v>
      </c>
      <c r="D23" s="489">
        <f>'19'!G15</f>
        <v>1137.5</v>
      </c>
      <c r="E23" s="489">
        <f>'19'!G20</f>
        <v>303</v>
      </c>
      <c r="F23" s="489">
        <f>SUM('19'!G35,'19'!G49)</f>
        <v>4013.7000000000116</v>
      </c>
      <c r="G23" s="489">
        <f>SUM('19'!G37,'19'!G51)</f>
        <v>1043.8000000000029</v>
      </c>
      <c r="H23" s="489">
        <f>SUM('19'!G38,'19'!G52)</f>
        <v>2405.1300000000047</v>
      </c>
      <c r="I23" s="489">
        <f>SUM('19'!G39,'19'!G53)</f>
        <v>4246.5</v>
      </c>
      <c r="J23" s="489">
        <f>SUM('19'!G41,'19'!G42,'19'!G55,'19'!G56)</f>
        <v>7428.3400000000256</v>
      </c>
      <c r="K23" s="489">
        <f>SUM('19'!G43,'19'!G57)</f>
        <v>2886.8099999999977</v>
      </c>
      <c r="L23" s="251">
        <f>'19'!G50</f>
        <v>1307.4000000000233</v>
      </c>
      <c r="M23" s="251">
        <f>'19'!G36</f>
        <v>903.77000000001863</v>
      </c>
      <c r="N23" s="251">
        <f>'19'!G138</f>
        <v>173</v>
      </c>
      <c r="O23" s="251">
        <f>'19'!$G$139</f>
        <v>174</v>
      </c>
      <c r="P23" s="251">
        <f>'19'!$G$140</f>
        <v>10.349999999999909</v>
      </c>
      <c r="Q23" s="251">
        <f>'19'!$G$141</f>
        <v>241.39999999999418</v>
      </c>
      <c r="R23" s="254">
        <f>'19'!G142</f>
        <v>110.26000000000204</v>
      </c>
      <c r="S23" s="251">
        <f>'19'!$G$145</f>
        <v>182.72000000000116</v>
      </c>
      <c r="T23" s="251">
        <f>'19'!$G$146</f>
        <v>47</v>
      </c>
      <c r="U23" s="251">
        <f>'19'!$G$144</f>
        <v>256</v>
      </c>
      <c r="V23" s="251">
        <f>'19'!$G$147</f>
        <v>360.52000000001863</v>
      </c>
      <c r="W23" s="251">
        <f>'19'!$G$148</f>
        <v>264.40000000002328</v>
      </c>
      <c r="X23" s="251">
        <f>'19'!$G$143</f>
        <v>31.799999999999272</v>
      </c>
      <c r="Y23" s="251">
        <f>'19'!$G$58</f>
        <v>263.08000000000175</v>
      </c>
      <c r="Z23" s="251">
        <f>'19'!$G$151</f>
        <v>0</v>
      </c>
      <c r="AA23" s="251">
        <f>'19'!G161</f>
        <v>264.67999999999302</v>
      </c>
      <c r="AB23" s="251">
        <f>'19'!G162</f>
        <v>46.19999999999709</v>
      </c>
      <c r="AC23" s="251">
        <f>'19'!G88</f>
        <v>8.1699999999982538</v>
      </c>
      <c r="AD23" s="251">
        <f>'19'!G163+'19'!G164</f>
        <v>163</v>
      </c>
      <c r="AE23" s="251">
        <f>'19'!$G$116</f>
        <v>501.10000000000582</v>
      </c>
      <c r="AF23" s="251">
        <f>'19'!$G$117</f>
        <v>260</v>
      </c>
      <c r="AG23" s="251">
        <f>'19'!$G$118</f>
        <v>639.85000000000582</v>
      </c>
      <c r="AH23" s="251">
        <f>'19'!$G$119</f>
        <v>12.19999999999709</v>
      </c>
      <c r="AI23" s="251">
        <f>'19'!$G$120</f>
        <v>390.30000000000291</v>
      </c>
      <c r="AJ23" s="251">
        <f>'19'!$G$121</f>
        <v>437.60000000000582</v>
      </c>
      <c r="AK23" s="251">
        <f>'19'!$G$122</f>
        <v>388.90000000000146</v>
      </c>
      <c r="AL23" s="251">
        <f>'19'!$G$123</f>
        <v>298.5</v>
      </c>
      <c r="AM23" s="251">
        <f>'19'!$G$133</f>
        <v>860.29999999998836</v>
      </c>
      <c r="AN23" s="251">
        <f>'19'!$G$15</f>
        <v>1137.5</v>
      </c>
      <c r="AO23" s="256">
        <f>'19'!$G$74</f>
        <v>289.30000000004657</v>
      </c>
      <c r="AP23" s="256">
        <f>'19'!$G$75</f>
        <v>0</v>
      </c>
      <c r="AQ23" s="256">
        <f>'19'!$G$76</f>
        <v>116</v>
      </c>
      <c r="AR23" s="256">
        <f>'19'!$G$77</f>
        <v>45</v>
      </c>
      <c r="AS23" s="256">
        <f>'19'!$G$78</f>
        <v>0</v>
      </c>
      <c r="AT23" s="256">
        <f t="shared" si="0"/>
        <v>687.19999999995343</v>
      </c>
      <c r="AU23" s="251">
        <f>SUM('19'!G91:G92)</f>
        <v>11.0600000000004</v>
      </c>
      <c r="AV23" s="251">
        <f>'19'!$G$88</f>
        <v>8.1699999999982538</v>
      </c>
      <c r="AW23" s="251">
        <f>'19'!$G$89</f>
        <v>10.299999999999272</v>
      </c>
      <c r="AX23" s="251">
        <f>'19'!$G$90</f>
        <v>7.0000000006984919E-2</v>
      </c>
      <c r="AY23" s="255">
        <f t="shared" si="1"/>
        <v>18.540000000004511</v>
      </c>
      <c r="AZ23" s="311">
        <f t="shared" si="6"/>
        <v>26.157323688972522</v>
      </c>
      <c r="BA23" s="311">
        <f t="shared" si="3"/>
        <v>37.065803667733888</v>
      </c>
      <c r="BB23" s="351">
        <f t="shared" si="4"/>
        <v>4045.1399999999558</v>
      </c>
      <c r="BC23" s="351">
        <f t="shared" si="5"/>
        <v>15.551651224481779</v>
      </c>
    </row>
    <row r="24" spans="1:55">
      <c r="A24" s="356">
        <v>20</v>
      </c>
      <c r="B24" s="489">
        <f>'20'!G7</f>
        <v>25788</v>
      </c>
      <c r="C24" s="489">
        <f>'20'!G8</f>
        <v>25922</v>
      </c>
      <c r="D24" s="489">
        <f>'20'!G15</f>
        <v>1111</v>
      </c>
      <c r="E24" s="489">
        <f>'20'!G20</f>
        <v>341</v>
      </c>
      <c r="F24" s="489">
        <f>SUM('20'!G35,'20'!G49)</f>
        <v>3470</v>
      </c>
      <c r="G24" s="489">
        <f>SUM('20'!G37,'20'!G51)</f>
        <v>1071</v>
      </c>
      <c r="H24" s="489">
        <f>SUM('20'!G38,'20'!G52)</f>
        <v>2240</v>
      </c>
      <c r="I24" s="489">
        <f>SUM('20'!G39,'20'!G53)</f>
        <v>4212</v>
      </c>
      <c r="J24" s="489">
        <f>SUM('20'!G41,'20'!G42,'20'!G55,'20'!G56)</f>
        <v>8383.6999999999534</v>
      </c>
      <c r="K24" s="489">
        <f>SUM('20'!G43,'20'!G57)</f>
        <v>3030</v>
      </c>
      <c r="L24" s="254">
        <f>'20'!G50</f>
        <v>1305</v>
      </c>
      <c r="M24" s="254">
        <f>'20'!G36</f>
        <v>1055</v>
      </c>
      <c r="N24" s="254">
        <f>'20'!G138</f>
        <v>167</v>
      </c>
      <c r="O24" s="254">
        <f>'20'!$G$139</f>
        <v>128</v>
      </c>
      <c r="P24" s="254">
        <f>'20'!$G$140</f>
        <v>12</v>
      </c>
      <c r="Q24" s="254">
        <f>'20'!$G$141</f>
        <v>236</v>
      </c>
      <c r="R24" s="254">
        <f>'20'!$G$142</f>
        <v>101</v>
      </c>
      <c r="S24" s="254">
        <f>'20'!$G$145</f>
        <v>169</v>
      </c>
      <c r="T24" s="251">
        <f>'20'!$G$146</f>
        <v>44</v>
      </c>
      <c r="U24" s="251">
        <f>'20'!$G$144</f>
        <v>237</v>
      </c>
      <c r="V24" s="251">
        <f>'20'!$G$147</f>
        <v>380</v>
      </c>
      <c r="W24" s="251">
        <f>'20'!$G$148</f>
        <v>345</v>
      </c>
      <c r="X24" s="251">
        <f>'20'!$G$143</f>
        <v>35</v>
      </c>
      <c r="Y24" s="251">
        <f>'20'!$G$58</f>
        <v>252</v>
      </c>
      <c r="Z24" s="251">
        <f>'20'!$G$151</f>
        <v>67</v>
      </c>
      <c r="AA24" s="251">
        <f>'20'!G161</f>
        <v>346</v>
      </c>
      <c r="AB24" s="251">
        <f>'20'!G162</f>
        <v>47</v>
      </c>
      <c r="AC24" s="251">
        <f>'20'!G88</f>
        <v>7.9500000000007276</v>
      </c>
      <c r="AD24" s="251">
        <f>'20'!G163+'20'!G164</f>
        <v>122</v>
      </c>
      <c r="AE24" s="254">
        <f>'20'!$G$116</f>
        <v>507</v>
      </c>
      <c r="AF24" s="254">
        <f>'20'!$G$117</f>
        <v>253</v>
      </c>
      <c r="AG24" s="254">
        <f>'20'!$G$118</f>
        <v>610</v>
      </c>
      <c r="AH24" s="254">
        <f>'20'!$G$119</f>
        <v>13</v>
      </c>
      <c r="AI24" s="254">
        <f>'20'!$G$120</f>
        <v>383</v>
      </c>
      <c r="AJ24" s="254">
        <f>'20'!$G$121</f>
        <v>436</v>
      </c>
      <c r="AK24" s="254">
        <f>'20'!$G$122</f>
        <v>371</v>
      </c>
      <c r="AL24" s="254">
        <f>'20'!$G$123</f>
        <v>299</v>
      </c>
      <c r="AM24" s="254">
        <f>'20'!$G$133</f>
        <v>835</v>
      </c>
      <c r="AN24" s="254">
        <f>'20'!$G$15</f>
        <v>1111</v>
      </c>
      <c r="AO24" s="256">
        <f>'20'!$G$74</f>
        <v>287</v>
      </c>
      <c r="AP24" s="256">
        <f>'20'!$G$75</f>
        <v>0</v>
      </c>
      <c r="AQ24" s="256">
        <f>'20'!$G$76</f>
        <v>121</v>
      </c>
      <c r="AR24" s="256">
        <f>'20'!$G$77</f>
        <v>51</v>
      </c>
      <c r="AS24" s="256">
        <f>'20'!$G$78</f>
        <v>0</v>
      </c>
      <c r="AT24" s="256">
        <f t="shared" si="0"/>
        <v>652</v>
      </c>
      <c r="AU24" s="254">
        <f>SUM('20'!G91:G92)</f>
        <v>11.019999999999527</v>
      </c>
      <c r="AV24" s="254">
        <f>'20'!$G$88</f>
        <v>7.9500000000007276</v>
      </c>
      <c r="AW24" s="254">
        <f>'20'!$G$89</f>
        <v>9.8800000000010186</v>
      </c>
      <c r="AX24" s="254">
        <f>'20'!$G$90</f>
        <v>0</v>
      </c>
      <c r="AY24" s="252">
        <f t="shared" si="1"/>
        <v>17.830000000001746</v>
      </c>
      <c r="AZ24" s="311">
        <f t="shared" si="6"/>
        <v>26.043557168785146</v>
      </c>
      <c r="BA24" s="311">
        <f t="shared" si="3"/>
        <v>36.567582725739548</v>
      </c>
      <c r="BB24" s="351">
        <f t="shared" si="4"/>
        <v>3263.3000000000466</v>
      </c>
      <c r="BC24" s="351">
        <f t="shared" si="5"/>
        <v>12.65433534977527</v>
      </c>
    </row>
    <row r="25" spans="1:55">
      <c r="A25" s="356">
        <v>21</v>
      </c>
      <c r="B25" s="489">
        <f>'21'!G7</f>
        <v>25493</v>
      </c>
      <c r="C25" s="489">
        <f>'21'!G8</f>
        <v>25776</v>
      </c>
      <c r="D25" s="489">
        <f>'21'!G15</f>
        <v>987</v>
      </c>
      <c r="E25" s="489">
        <f>'21'!G20</f>
        <v>311</v>
      </c>
      <c r="F25" s="489">
        <f>SUM('21'!G35,'21'!G49)</f>
        <v>3655.5500000000466</v>
      </c>
      <c r="G25" s="489">
        <f>SUM('21'!G37,'21'!G51)</f>
        <v>1102</v>
      </c>
      <c r="H25" s="489">
        <f>SUM('21'!G38,'21'!G52)</f>
        <v>2256</v>
      </c>
      <c r="I25" s="489">
        <f>SUM('21'!G39,'21'!G53)</f>
        <v>4287.8100000000559</v>
      </c>
      <c r="J25" s="489">
        <f>SUM('21'!G41,'21'!G42,'21'!G55,'21'!G56)</f>
        <v>7334</v>
      </c>
      <c r="K25" s="489">
        <f>SUM('21'!G43,'21'!G57)</f>
        <v>2848</v>
      </c>
      <c r="L25" s="254">
        <f>'21'!G50</f>
        <v>1421</v>
      </c>
      <c r="M25" s="254">
        <f>'21'!G36</f>
        <v>873</v>
      </c>
      <c r="N25" s="254">
        <f>'21'!G138</f>
        <v>180</v>
      </c>
      <c r="O25" s="254">
        <f>'21'!$G$139</f>
        <v>132</v>
      </c>
      <c r="P25" s="254">
        <f>'21'!$G$140</f>
        <v>10</v>
      </c>
      <c r="Q25" s="254">
        <f>'21'!$G$141</f>
        <v>230</v>
      </c>
      <c r="R25" s="254">
        <f>'21'!$G$142</f>
        <v>103</v>
      </c>
      <c r="S25" s="254">
        <f>'21'!$G$145</f>
        <v>160</v>
      </c>
      <c r="T25" s="251">
        <f>'21'!$G$146</f>
        <v>48</v>
      </c>
      <c r="U25" s="251">
        <f>'21'!$G$144</f>
        <v>204</v>
      </c>
      <c r="V25" s="251">
        <f>'21'!$G$147</f>
        <v>409</v>
      </c>
      <c r="W25" s="251">
        <f>'21'!$G$148</f>
        <v>320</v>
      </c>
      <c r="X25" s="251">
        <f>'21'!$G$143</f>
        <v>29</v>
      </c>
      <c r="Y25" s="251">
        <f>'21'!$G$58</f>
        <v>253</v>
      </c>
      <c r="Z25" s="251">
        <f>'21'!$G$151</f>
        <v>32</v>
      </c>
      <c r="AA25" s="251">
        <f>'21'!G161</f>
        <v>233</v>
      </c>
      <c r="AB25" s="251">
        <f>'21'!G162</f>
        <v>43</v>
      </c>
      <c r="AC25" s="251">
        <f>'21'!G88</f>
        <v>0.18000000000029104</v>
      </c>
      <c r="AD25" s="251">
        <f>'21'!G163+'21'!G164</f>
        <v>139</v>
      </c>
      <c r="AE25" s="254">
        <f>'21'!$G$116</f>
        <v>517</v>
      </c>
      <c r="AF25" s="254">
        <f>'21'!$G$117</f>
        <v>299</v>
      </c>
      <c r="AG25" s="254">
        <f>'21'!$G$118</f>
        <v>628</v>
      </c>
      <c r="AH25" s="254">
        <f>'21'!$G$119</f>
        <v>12</v>
      </c>
      <c r="AI25" s="254">
        <f>'21'!$G$120</f>
        <v>417</v>
      </c>
      <c r="AJ25" s="254">
        <f>'21'!$G$121</f>
        <v>441</v>
      </c>
      <c r="AK25" s="254">
        <f>'21'!$G$122</f>
        <v>384</v>
      </c>
      <c r="AL25" s="254">
        <f>'21'!$G$123</f>
        <v>300</v>
      </c>
      <c r="AM25" s="254">
        <f>'21'!$G$133</f>
        <v>839</v>
      </c>
      <c r="AN25" s="254">
        <f>'21'!$G$15</f>
        <v>987</v>
      </c>
      <c r="AO25" s="256">
        <f>'21'!$G$74</f>
        <v>290</v>
      </c>
      <c r="AP25" s="256">
        <f>'21'!$G$75</f>
        <v>0</v>
      </c>
      <c r="AQ25" s="256">
        <f>'21'!$G$76</f>
        <v>93</v>
      </c>
      <c r="AR25" s="256">
        <f>'21'!$G$77</f>
        <v>43</v>
      </c>
      <c r="AS25" s="256">
        <f>'21'!$G$78</f>
        <v>0</v>
      </c>
      <c r="AT25" s="256">
        <f t="shared" si="0"/>
        <v>561</v>
      </c>
      <c r="AU25" s="254">
        <f>SUM('21'!G91:G92)</f>
        <v>11.110000000000582</v>
      </c>
      <c r="AV25" s="254">
        <f>'21'!$G$88</f>
        <v>0.18000000000029104</v>
      </c>
      <c r="AW25" s="254">
        <f>'21'!$G$89</f>
        <v>9.7899999999972351</v>
      </c>
      <c r="AX25" s="254">
        <f>'21'!$G$90</f>
        <v>10.229999999995925</v>
      </c>
      <c r="AY25" s="252">
        <f t="shared" si="1"/>
        <v>20.199999999993452</v>
      </c>
      <c r="AZ25" s="311">
        <f t="shared" si="6"/>
        <v>26.102610261024736</v>
      </c>
      <c r="BA25" s="311">
        <f t="shared" si="3"/>
        <v>27.772277227731774</v>
      </c>
      <c r="BB25" s="351">
        <f t="shared" si="4"/>
        <v>4039.6399999998976</v>
      </c>
      <c r="BC25" s="351">
        <f t="shared" si="5"/>
        <v>15.846075393244803</v>
      </c>
    </row>
    <row r="26" spans="1:55">
      <c r="A26" s="356">
        <v>22</v>
      </c>
      <c r="B26" s="489">
        <f>'22'!G7</f>
        <v>23759</v>
      </c>
      <c r="C26" s="489">
        <f>'22'!G8</f>
        <v>23946</v>
      </c>
      <c r="D26" s="489">
        <f>'22'!G15</f>
        <v>1004</v>
      </c>
      <c r="E26" s="489">
        <f>'22'!G20</f>
        <v>389</v>
      </c>
      <c r="F26" s="489">
        <f>SUM('22'!G35,'22'!G49)</f>
        <v>3558.4499999999534</v>
      </c>
      <c r="G26" s="489">
        <f>SUM('22'!G37,'22'!G51)</f>
        <v>1090</v>
      </c>
      <c r="H26" s="489">
        <f>SUM('22'!G38,'22'!G52)</f>
        <v>2241</v>
      </c>
      <c r="I26" s="489">
        <f>SUM('22'!G39,'22'!G53)</f>
        <v>4196</v>
      </c>
      <c r="J26" s="489">
        <f>SUM('22'!G41,'22'!G42,'22'!G55,'22'!G56)</f>
        <v>6364</v>
      </c>
      <c r="K26" s="489">
        <f>SUM('22'!G43,'22'!G57)</f>
        <v>2719</v>
      </c>
      <c r="L26" s="254">
        <f>'22'!G50</f>
        <v>1355</v>
      </c>
      <c r="M26" s="254">
        <f>'22'!G36</f>
        <v>979</v>
      </c>
      <c r="N26" s="254">
        <f>'22'!G138</f>
        <v>164</v>
      </c>
      <c r="O26" s="254">
        <f>'22'!$G$139</f>
        <v>127</v>
      </c>
      <c r="P26" s="254">
        <f>'22'!$G$140</f>
        <v>12</v>
      </c>
      <c r="Q26" s="254">
        <f>'22'!$G$141</f>
        <v>229</v>
      </c>
      <c r="R26" s="254">
        <f>'22'!$G$142</f>
        <v>82</v>
      </c>
      <c r="S26" s="254">
        <f>'22'!$G$145</f>
        <v>162</v>
      </c>
      <c r="T26" s="251">
        <f>'22'!$G$146</f>
        <v>56</v>
      </c>
      <c r="U26" s="251">
        <f>'22'!$G$144</f>
        <v>249</v>
      </c>
      <c r="V26" s="251">
        <f>'22'!$G$147</f>
        <v>402</v>
      </c>
      <c r="W26" s="251">
        <f>'22'!$G$148</f>
        <v>339</v>
      </c>
      <c r="X26" s="251">
        <f>'22'!$G$143</f>
        <v>28</v>
      </c>
      <c r="Y26" s="251">
        <f>'22'!$G$58</f>
        <v>224</v>
      </c>
      <c r="Z26" s="251">
        <f>'22'!$G$151</f>
        <v>40</v>
      </c>
      <c r="AA26" s="251">
        <f>'22'!G161</f>
        <v>334</v>
      </c>
      <c r="AB26" s="251">
        <f>'22'!G162</f>
        <v>23</v>
      </c>
      <c r="AC26" s="251">
        <f>'22'!G88</f>
        <v>-9.0000000000145519E-2</v>
      </c>
      <c r="AD26" s="251">
        <f>'22'!G163+'22'!G164</f>
        <v>127</v>
      </c>
      <c r="AE26" s="254">
        <f>'22'!$G$116</f>
        <v>506</v>
      </c>
      <c r="AF26" s="254">
        <f>'22'!$G$117</f>
        <v>312</v>
      </c>
      <c r="AG26" s="254">
        <f>'22'!$G$118</f>
        <v>605</v>
      </c>
      <c r="AH26" s="254">
        <f>'22'!$G$119</f>
        <v>14</v>
      </c>
      <c r="AI26" s="254">
        <f>'22'!$G$120</f>
        <v>407</v>
      </c>
      <c r="AJ26" s="254">
        <f>'22'!$G$121</f>
        <v>414</v>
      </c>
      <c r="AK26" s="254">
        <f>'22'!$G$122</f>
        <v>342</v>
      </c>
      <c r="AL26" s="254">
        <f>'22'!$G$123</f>
        <v>296</v>
      </c>
      <c r="AM26" s="254">
        <f>'22'!$G$133</f>
        <v>863</v>
      </c>
      <c r="AN26" s="254">
        <f>'22'!$G$15</f>
        <v>1004</v>
      </c>
      <c r="AO26" s="256">
        <f>'22'!$G$74</f>
        <v>281</v>
      </c>
      <c r="AP26" s="256">
        <f>'22'!$G$75</f>
        <v>0</v>
      </c>
      <c r="AQ26" s="256">
        <f>'22'!$G$76</f>
        <v>121</v>
      </c>
      <c r="AR26" s="256">
        <f>'22'!$G$77</f>
        <v>43</v>
      </c>
      <c r="AS26" s="256">
        <f>'22'!$G$78</f>
        <v>0</v>
      </c>
      <c r="AT26" s="256">
        <f t="shared" si="0"/>
        <v>559</v>
      </c>
      <c r="AU26" s="254">
        <f>SUM('22'!G91:G92)</f>
        <v>10.590000000000146</v>
      </c>
      <c r="AV26" s="254">
        <f>'22'!$G$88</f>
        <v>-9.0000000000145519E-2</v>
      </c>
      <c r="AW26" s="254">
        <f>'22'!$G$89</f>
        <v>8.3300000000017462</v>
      </c>
      <c r="AX26" s="254">
        <f>'22'!$G$90</f>
        <v>10</v>
      </c>
      <c r="AY26" s="252">
        <f t="shared" si="1"/>
        <v>18.240000000001601</v>
      </c>
      <c r="AZ26" s="311">
        <f t="shared" si="6"/>
        <v>26.534466477808888</v>
      </c>
      <c r="BA26" s="311">
        <f t="shared" si="3"/>
        <v>30.646929824558715</v>
      </c>
      <c r="BB26" s="351">
        <f t="shared" si="4"/>
        <v>3553.5500000000466</v>
      </c>
      <c r="BC26" s="351">
        <f t="shared" si="5"/>
        <v>14.9566480070712</v>
      </c>
    </row>
    <row r="27" spans="1:55">
      <c r="A27" s="356">
        <v>23</v>
      </c>
      <c r="B27" s="489">
        <f>'23'!G7</f>
        <v>21485</v>
      </c>
      <c r="C27" s="489">
        <f>'23'!G8</f>
        <v>21573</v>
      </c>
      <c r="D27" s="489">
        <f>'23'!G15</f>
        <v>963</v>
      </c>
      <c r="E27" s="489">
        <f>'23'!G20</f>
        <v>389</v>
      </c>
      <c r="F27" s="489">
        <f>SUM('23'!G35,'23'!G49)</f>
        <v>3551</v>
      </c>
      <c r="G27" s="489">
        <f>SUM('23'!G37,'23'!G51)</f>
        <v>1015.3099999999977</v>
      </c>
      <c r="H27" s="489">
        <f>SUM('23'!G38,'23'!G52)</f>
        <v>2217</v>
      </c>
      <c r="I27" s="489">
        <f>SUM('23'!G39,'23'!G53)</f>
        <v>4329</v>
      </c>
      <c r="J27" s="489">
        <f>SUM('23'!G41,'23'!G42,'23'!G55,'23'!G56)</f>
        <v>5177</v>
      </c>
      <c r="K27" s="489">
        <f>SUM('23'!G43,'23'!G57)</f>
        <v>2488.0300000000279</v>
      </c>
      <c r="L27" s="254">
        <f>'23'!G50</f>
        <v>1165</v>
      </c>
      <c r="M27" s="254">
        <f>'23'!G36</f>
        <v>714</v>
      </c>
      <c r="N27" s="254">
        <f>'23'!G138</f>
        <v>171</v>
      </c>
      <c r="O27" s="254">
        <f>'23'!G139</f>
        <v>137</v>
      </c>
      <c r="P27" s="254">
        <f>'23'!$G$140</f>
        <v>11</v>
      </c>
      <c r="Q27" s="254">
        <f>'23'!$G$141</f>
        <v>210</v>
      </c>
      <c r="R27" s="254">
        <f>'23'!$G$142</f>
        <v>83</v>
      </c>
      <c r="S27" s="254">
        <f>'23'!$G$145</f>
        <v>122</v>
      </c>
      <c r="T27" s="251">
        <f>'23'!$G$146</f>
        <v>18</v>
      </c>
      <c r="U27" s="251">
        <f>'23'!$G$144</f>
        <v>242</v>
      </c>
      <c r="V27" s="251">
        <f>'23'!$G$147</f>
        <v>360</v>
      </c>
      <c r="W27" s="251">
        <f>'23'!$G$148</f>
        <v>254</v>
      </c>
      <c r="X27" s="251">
        <f>'23'!$G$143</f>
        <v>27</v>
      </c>
      <c r="Y27" s="251">
        <f>'23'!$G$58</f>
        <v>237</v>
      </c>
      <c r="Z27" s="251">
        <f>'23'!$G$151</f>
        <v>19</v>
      </c>
      <c r="AA27" s="251">
        <f>'23'!$G$161</f>
        <v>68</v>
      </c>
      <c r="AB27" s="251">
        <f>'23'!G162</f>
        <v>23</v>
      </c>
      <c r="AC27" s="251">
        <f>'23'!G88</f>
        <v>6.069999999999709</v>
      </c>
      <c r="AD27" s="251">
        <f>'23'!G163+'23'!G164</f>
        <v>131</v>
      </c>
      <c r="AE27" s="254">
        <f>'23'!$G$116</f>
        <v>663</v>
      </c>
      <c r="AF27" s="254">
        <f>'23'!$G$117</f>
        <v>307</v>
      </c>
      <c r="AG27" s="254">
        <f>'23'!$G$118</f>
        <v>574</v>
      </c>
      <c r="AH27" s="254">
        <f>'23'!$G$119</f>
        <v>10</v>
      </c>
      <c r="AI27" s="254">
        <f>'23'!$G$120</f>
        <v>400</v>
      </c>
      <c r="AJ27" s="254">
        <f>'23'!$G$121</f>
        <v>409</v>
      </c>
      <c r="AK27" s="254">
        <f>'23'!$G$122</f>
        <v>347</v>
      </c>
      <c r="AL27" s="254">
        <f>'23'!$G$123</f>
        <v>301</v>
      </c>
      <c r="AM27" s="254">
        <f>'23'!$G$133</f>
        <v>740</v>
      </c>
      <c r="AN27" s="254">
        <f>'23'!$G$15</f>
        <v>963</v>
      </c>
      <c r="AO27" s="256">
        <f>'23'!$G$74</f>
        <v>291</v>
      </c>
      <c r="AP27" s="256">
        <f>'23'!$G$75</f>
        <v>0</v>
      </c>
      <c r="AQ27" s="256">
        <f>'23'!$G$76</f>
        <v>103</v>
      </c>
      <c r="AR27" s="256">
        <f>'23'!$G$77</f>
        <v>40</v>
      </c>
      <c r="AS27" s="256">
        <f>'23'!$G$78</f>
        <v>0</v>
      </c>
      <c r="AT27" s="256">
        <f t="shared" si="0"/>
        <v>529</v>
      </c>
      <c r="AU27" s="254">
        <f>SUM('23'!G91:G92)</f>
        <v>11.180000000000291</v>
      </c>
      <c r="AV27" s="254">
        <f>'23'!$G$88</f>
        <v>6.069999999999709</v>
      </c>
      <c r="AW27" s="254">
        <f>'23'!$G$89</f>
        <v>3.9500000000007276</v>
      </c>
      <c r="AX27" s="254">
        <f>'23'!$G$90</f>
        <v>9.9499999999970896</v>
      </c>
      <c r="AY27" s="252">
        <f t="shared" si="1"/>
        <v>19.969999999997526</v>
      </c>
      <c r="AZ27" s="311">
        <f t="shared" si="6"/>
        <v>26.028622540249771</v>
      </c>
      <c r="BA27" s="311">
        <f t="shared" si="3"/>
        <v>26.489734601906136</v>
      </c>
      <c r="BB27" s="351">
        <f t="shared" si="4"/>
        <v>2558.6599999999744</v>
      </c>
      <c r="BC27" s="351">
        <f t="shared" si="5"/>
        <v>11.909052827553989</v>
      </c>
    </row>
    <row r="28" spans="1:55" s="315" customFormat="1">
      <c r="A28" s="356">
        <v>24</v>
      </c>
      <c r="B28" s="489">
        <f>'24'!G7</f>
        <v>20236</v>
      </c>
      <c r="C28" s="489">
        <f>'24'!G8</f>
        <v>20323</v>
      </c>
      <c r="D28" s="489">
        <f>'24'!G15</f>
        <v>871</v>
      </c>
      <c r="E28" s="489">
        <f>'24'!G20</f>
        <v>202</v>
      </c>
      <c r="F28" s="489">
        <f>SUM('24'!G35,'24'!G49)</f>
        <v>3434</v>
      </c>
      <c r="G28" s="489">
        <f>SUM('24'!G37,'24'!G51)</f>
        <v>909.69000000000233</v>
      </c>
      <c r="H28" s="489">
        <f>SUM('24'!G38,'24'!G52)</f>
        <v>2037</v>
      </c>
      <c r="I28" s="489">
        <f>SUM('24'!G39,'24'!G53)</f>
        <v>4061.1899999999441</v>
      </c>
      <c r="J28" s="489">
        <f>SUM('24'!G41,'24'!G42,'24'!G55,'24'!G56)</f>
        <v>4754</v>
      </c>
      <c r="K28" s="489">
        <f>SUM('24'!G43,'24'!G57)</f>
        <v>2304</v>
      </c>
      <c r="L28" s="254">
        <f>'24'!G50</f>
        <v>1451</v>
      </c>
      <c r="M28" s="251">
        <f>'24'!G36</f>
        <v>605</v>
      </c>
      <c r="N28" s="251">
        <f>'24'!G138</f>
        <v>173</v>
      </c>
      <c r="O28" s="251">
        <f>'24'!G139</f>
        <v>124</v>
      </c>
      <c r="P28" s="251">
        <f>'24'!$G$140</f>
        <v>10</v>
      </c>
      <c r="Q28" s="251">
        <f>'24'!$G$141</f>
        <v>218</v>
      </c>
      <c r="R28" s="251">
        <f>'24'!$G$142</f>
        <v>88</v>
      </c>
      <c r="S28" s="251">
        <f>'24'!$G$145</f>
        <v>129</v>
      </c>
      <c r="T28" s="251">
        <f>'24'!$G$146</f>
        <v>41</v>
      </c>
      <c r="U28" s="251">
        <f>'24'!$G$144</f>
        <v>255</v>
      </c>
      <c r="V28" s="251">
        <f>'24'!$G$147</f>
        <v>397</v>
      </c>
      <c r="W28" s="251">
        <f>'24'!$G$148</f>
        <v>218</v>
      </c>
      <c r="X28" s="251">
        <f>'24'!$G$143</f>
        <v>23</v>
      </c>
      <c r="Y28" s="251">
        <f>'24'!$G$58</f>
        <v>184</v>
      </c>
      <c r="Z28" s="251">
        <f>'24'!$G$151</f>
        <v>26</v>
      </c>
      <c r="AA28" s="251">
        <f>'24'!G161</f>
        <v>287</v>
      </c>
      <c r="AB28" s="251">
        <f>'24'!G162</f>
        <v>24</v>
      </c>
      <c r="AC28" s="251">
        <f>'24'!G88</f>
        <v>2.0200000000004366</v>
      </c>
      <c r="AD28" s="251">
        <f>'24'!G163+'24'!G164</f>
        <v>93</v>
      </c>
      <c r="AE28" s="251">
        <f>'24'!$G$116</f>
        <v>573</v>
      </c>
      <c r="AF28" s="251">
        <f>'24'!$G$117</f>
        <v>309</v>
      </c>
      <c r="AG28" s="251">
        <f>'24'!$G$118</f>
        <v>536</v>
      </c>
      <c r="AH28" s="251">
        <f>'24'!$G$119</f>
        <v>410</v>
      </c>
      <c r="AI28" s="251">
        <f>'24'!$G$120</f>
        <v>370</v>
      </c>
      <c r="AJ28" s="251">
        <f>'24'!$G$121</f>
        <v>388</v>
      </c>
      <c r="AK28" s="251">
        <f>'24'!$G$122</f>
        <v>351</v>
      </c>
      <c r="AL28" s="251">
        <f>'24'!$G$123</f>
        <v>295</v>
      </c>
      <c r="AM28" s="251">
        <f>'24'!$G$133</f>
        <v>743</v>
      </c>
      <c r="AN28" s="251">
        <f>'24'!$G$15</f>
        <v>871</v>
      </c>
      <c r="AO28" s="256">
        <f>'24'!$G$74</f>
        <v>287</v>
      </c>
      <c r="AP28" s="256">
        <f>'24'!$G$75</f>
        <v>0</v>
      </c>
      <c r="AQ28" s="256">
        <f>'24'!$G$76</f>
        <v>97</v>
      </c>
      <c r="AR28" s="256">
        <f>'24'!$G$77</f>
        <v>45</v>
      </c>
      <c r="AS28" s="256">
        <f>'24'!$G$78</f>
        <v>0</v>
      </c>
      <c r="AT28" s="256">
        <f>AN28-SUM(AO28:AS28)</f>
        <v>442</v>
      </c>
      <c r="AU28" s="251">
        <f>SUM('24'!G91:G92)</f>
        <v>11.309999999999491</v>
      </c>
      <c r="AV28" s="251">
        <f>'24'!$G$88</f>
        <v>2.0200000000004366</v>
      </c>
      <c r="AW28" s="251">
        <f>'24'!$G$89</f>
        <v>5.0499999999992724</v>
      </c>
      <c r="AX28" s="251">
        <f>'24'!$G$90</f>
        <v>8.4199999999982538</v>
      </c>
      <c r="AY28" s="255">
        <f t="shared" si="1"/>
        <v>15.489999999997963</v>
      </c>
      <c r="AZ28" s="311">
        <f t="shared" si="6"/>
        <v>25.375773651636862</v>
      </c>
      <c r="BA28" s="311">
        <f t="shared" si="3"/>
        <v>28.534538411882384</v>
      </c>
      <c r="BB28" s="351">
        <f t="shared" si="4"/>
        <v>2639.1200000000536</v>
      </c>
      <c r="BC28" s="351">
        <f t="shared" si="5"/>
        <v>13.041707847400936</v>
      </c>
    </row>
    <row r="29" spans="1:55">
      <c r="A29" s="356">
        <v>25</v>
      </c>
      <c r="B29" s="489">
        <f>'25'!G7</f>
        <v>21091</v>
      </c>
      <c r="C29" s="489">
        <f>'25'!G8</f>
        <v>21168</v>
      </c>
      <c r="D29" s="489">
        <f>'25'!G15</f>
        <v>859</v>
      </c>
      <c r="E29" s="489">
        <f>'25'!G20</f>
        <v>173</v>
      </c>
      <c r="F29" s="489">
        <f>SUM('25'!G35,'25'!G49)</f>
        <v>3330</v>
      </c>
      <c r="G29" s="489">
        <f>SUM('25'!G37,'25'!G51)</f>
        <v>961</v>
      </c>
      <c r="H29" s="489">
        <f>SUM('25'!G38,'25'!G52)</f>
        <v>2095</v>
      </c>
      <c r="I29" s="489">
        <f>SUM('25'!G39,'25'!G53)</f>
        <v>4086</v>
      </c>
      <c r="J29" s="489">
        <f>SUM('25'!G41,'25'!G42,'25'!G55,'25'!G56)</f>
        <v>5468</v>
      </c>
      <c r="K29" s="489">
        <f>SUM('25'!G43,'25'!G57)</f>
        <v>2391</v>
      </c>
      <c r="L29" s="254">
        <f>'25'!G50</f>
        <v>1464</v>
      </c>
      <c r="M29" s="254">
        <f>'25'!G36</f>
        <v>601</v>
      </c>
      <c r="N29" s="254">
        <f>'25'!G138</f>
        <v>166</v>
      </c>
      <c r="O29" s="254">
        <f>'25'!$G$139</f>
        <v>136</v>
      </c>
      <c r="P29" s="254">
        <f>'25'!$G$140</f>
        <v>9</v>
      </c>
      <c r="Q29" s="254">
        <f>'25'!$G$141</f>
        <v>217</v>
      </c>
      <c r="R29" s="254">
        <f>'25'!$G$142</f>
        <v>88</v>
      </c>
      <c r="S29" s="254">
        <f>'25'!$G$145</f>
        <v>162</v>
      </c>
      <c r="T29" s="251">
        <f>'25'!$G$146</f>
        <v>36</v>
      </c>
      <c r="U29" s="251">
        <f>'25'!$G$144</f>
        <v>219</v>
      </c>
      <c r="V29" s="251">
        <f>'25'!$G$147</f>
        <v>364</v>
      </c>
      <c r="W29" s="251">
        <f>'25'!$G$148</f>
        <v>250</v>
      </c>
      <c r="X29" s="251">
        <f>'25'!$G$143</f>
        <v>27</v>
      </c>
      <c r="Y29" s="251">
        <f>'25'!$G$58</f>
        <v>176</v>
      </c>
      <c r="Z29" s="251">
        <f>'25'!$G$151</f>
        <v>37</v>
      </c>
      <c r="AA29" s="251">
        <f>'25'!G161</f>
        <v>390</v>
      </c>
      <c r="AB29" s="251">
        <f>'25'!G162</f>
        <v>37</v>
      </c>
      <c r="AC29" s="251">
        <f>'25'!G88</f>
        <v>0</v>
      </c>
      <c r="AD29" s="251">
        <f>'25'!G163+'25'!G164</f>
        <v>130</v>
      </c>
      <c r="AE29" s="254">
        <f>'25'!$G$116</f>
        <v>451</v>
      </c>
      <c r="AF29" s="254">
        <f>'25'!$G$117</f>
        <v>323</v>
      </c>
      <c r="AG29" s="254">
        <f>'25'!$G$118</f>
        <v>561</v>
      </c>
      <c r="AH29" s="254">
        <f>'25'!$G$119</f>
        <v>11</v>
      </c>
      <c r="AI29" s="254">
        <f>'25'!$G$120</f>
        <v>389</v>
      </c>
      <c r="AJ29" s="254">
        <f>'25'!$G$121</f>
        <v>400</v>
      </c>
      <c r="AK29" s="254">
        <f>'25'!$G$122</f>
        <v>356</v>
      </c>
      <c r="AL29" s="254">
        <f>'25'!$G$123</f>
        <v>295</v>
      </c>
      <c r="AM29" s="254">
        <f>'25'!$G$133</f>
        <v>730</v>
      </c>
      <c r="AN29" s="254">
        <f>'25'!$G$15</f>
        <v>859</v>
      </c>
      <c r="AO29" s="256">
        <f>'25'!$G$74</f>
        <v>285</v>
      </c>
      <c r="AP29" s="256">
        <f>'25'!$G$75</f>
        <v>0</v>
      </c>
      <c r="AQ29" s="256">
        <f>'25'!$G$76</f>
        <v>92</v>
      </c>
      <c r="AR29" s="256">
        <f>'25'!$G$77</f>
        <v>40</v>
      </c>
      <c r="AS29" s="256">
        <f>'25'!$G$78</f>
        <v>0</v>
      </c>
      <c r="AT29" s="256">
        <f t="shared" si="0"/>
        <v>442</v>
      </c>
      <c r="AU29" s="254">
        <f>SUM('25'!G91:G92)</f>
        <v>10.970000000000255</v>
      </c>
      <c r="AV29" s="254">
        <f>'25'!$G$88</f>
        <v>0</v>
      </c>
      <c r="AW29" s="254">
        <f>'25'!$G$89</f>
        <v>6.5900000000001455</v>
      </c>
      <c r="AX29" s="254">
        <f>'25'!$G$90</f>
        <v>8.6300000000046566</v>
      </c>
      <c r="AY29" s="252">
        <f t="shared" si="1"/>
        <v>15.220000000004802</v>
      </c>
      <c r="BA29" s="311">
        <f t="shared" si="3"/>
        <v>29.040735873841033</v>
      </c>
      <c r="BB29" s="351">
        <f t="shared" si="4"/>
        <v>2661</v>
      </c>
      <c r="BC29" s="351">
        <f t="shared" si="5"/>
        <v>12.616755962258784</v>
      </c>
    </row>
    <row r="30" spans="1:55">
      <c r="A30" s="356">
        <v>26</v>
      </c>
      <c r="B30" s="489">
        <f>'26'!G7</f>
        <v>22760.240000000107</v>
      </c>
      <c r="C30" s="489">
        <f>'26'!G8</f>
        <v>22938.400000000023</v>
      </c>
      <c r="D30" s="489">
        <f>'26'!G15</f>
        <v>994.54000000003725</v>
      </c>
      <c r="E30" s="489">
        <f>'26'!G20</f>
        <v>314</v>
      </c>
      <c r="F30" s="489">
        <f>SUM('26'!G35,'26'!G49)</f>
        <v>3688.9599999999627</v>
      </c>
      <c r="G30" s="489">
        <f>SUM('26'!G37,'26'!G51)</f>
        <v>1059.4600000000064</v>
      </c>
      <c r="H30" s="489">
        <f>SUM('26'!G38,'26'!G52)</f>
        <v>2105</v>
      </c>
      <c r="I30" s="489">
        <f>SUM('26'!G39,'26'!G53)</f>
        <v>4206.8600000000442</v>
      </c>
      <c r="J30" s="489">
        <f>SUM('26'!G41,'26'!G42,'26'!G55,'26'!G56)</f>
        <v>5816.8299999999872</v>
      </c>
      <c r="K30" s="489">
        <f>SUM('26'!G43,'26'!G57)</f>
        <v>2720.7600000000093</v>
      </c>
      <c r="L30" s="254">
        <f>'26'!G50</f>
        <v>1300.039999999979</v>
      </c>
      <c r="M30" s="254">
        <f>'26'!G36</f>
        <v>908.81999999994878</v>
      </c>
      <c r="N30" s="254">
        <f>'26'!G138</f>
        <v>120</v>
      </c>
      <c r="O30" s="254">
        <f>'26'!$G$139</f>
        <v>142</v>
      </c>
      <c r="P30" s="254">
        <f>'26'!$G$140</f>
        <v>10.110000000000127</v>
      </c>
      <c r="Q30" s="254">
        <f>'26'!$G$141</f>
        <v>229.50999999999476</v>
      </c>
      <c r="R30" s="254">
        <f>'26'!$G$142</f>
        <v>86.319999999999709</v>
      </c>
      <c r="S30" s="254">
        <f>'26'!$G$145</f>
        <v>199.07999999999993</v>
      </c>
      <c r="T30" s="251">
        <f>'26'!$G$146</f>
        <v>55</v>
      </c>
      <c r="U30" s="251">
        <f>'26'!$G$144</f>
        <v>229</v>
      </c>
      <c r="V30" s="251">
        <f>'26'!$G$147</f>
        <v>390.31999999994878</v>
      </c>
      <c r="W30" s="251">
        <f>'26'!$G$148</f>
        <v>315.19999999995343</v>
      </c>
      <c r="X30" s="251">
        <f>'26'!$G$143</f>
        <v>31.019999999998618</v>
      </c>
      <c r="Y30" s="251">
        <f>'26'!$G$58</f>
        <v>252.18000000000029</v>
      </c>
      <c r="Z30" s="251">
        <f>'26'!$G$151</f>
        <v>68</v>
      </c>
      <c r="AA30" s="251">
        <f>'26'!G161</f>
        <v>162.88000000000466</v>
      </c>
      <c r="AB30" s="251">
        <f>'26'!G162</f>
        <v>43</v>
      </c>
      <c r="AC30" s="251">
        <f>'26'!G88</f>
        <v>6.2299999999995634</v>
      </c>
      <c r="AD30" s="251">
        <f>'26'!G163+'26'!G164</f>
        <v>151.40000000000055</v>
      </c>
      <c r="AE30" s="254">
        <f>'26'!$G$116</f>
        <v>394.66999999999825</v>
      </c>
      <c r="AF30" s="254">
        <f>'26'!$G$117</f>
        <v>283.22000000000116</v>
      </c>
      <c r="AG30" s="254">
        <f>'26'!$G$118</f>
        <v>628.90000000000873</v>
      </c>
      <c r="AH30" s="254">
        <f>'26'!$G$119</f>
        <v>11.94999999999709</v>
      </c>
      <c r="AI30" s="254">
        <f>'26'!$G$120</f>
        <v>417.80999999999767</v>
      </c>
      <c r="AJ30" s="254">
        <f>'26'!$G$121</f>
        <v>451.65999999998894</v>
      </c>
      <c r="AK30" s="254">
        <f>'26'!$G$122</f>
        <v>363.09000000000378</v>
      </c>
      <c r="AL30" s="254">
        <f>'26'!$G$123</f>
        <v>302.16999999999825</v>
      </c>
      <c r="AM30" s="254">
        <f>'26'!$G$133</f>
        <v>827.9199999999837</v>
      </c>
      <c r="AN30" s="254">
        <f>'26'!$G$15</f>
        <v>994.54000000003725</v>
      </c>
      <c r="AO30" s="256">
        <f>'26'!$G$74</f>
        <v>288.29999999993015</v>
      </c>
      <c r="AP30" s="256">
        <f>'26'!$G$75</f>
        <v>0</v>
      </c>
      <c r="AQ30" s="256">
        <f>'26'!$G$76</f>
        <v>136.95999999999185</v>
      </c>
      <c r="AR30" s="256">
        <f>'26'!$G$77</f>
        <v>41.599999999998545</v>
      </c>
      <c r="AS30" s="256">
        <f>'26'!$G$78</f>
        <v>0</v>
      </c>
      <c r="AT30" s="256">
        <f t="shared" si="0"/>
        <v>527.68000000011671</v>
      </c>
      <c r="AU30" s="254">
        <f>SUM('26'!G91:G92)</f>
        <v>11.119999999999891</v>
      </c>
      <c r="AV30" s="254">
        <f>'26'!$G$88</f>
        <v>6.2299999999995634</v>
      </c>
      <c r="AW30" s="254">
        <f>'26'!$G$89</f>
        <v>3.8999999999978172</v>
      </c>
      <c r="AX30" s="254">
        <f>'26'!$G$90</f>
        <v>10.239999999990687</v>
      </c>
      <c r="AY30" s="252">
        <f t="shared" si="1"/>
        <v>20.369999999988067</v>
      </c>
      <c r="BA30" s="311">
        <f t="shared" si="3"/>
        <v>25.904761904782809</v>
      </c>
      <c r="BB30" s="351">
        <f t="shared" si="4"/>
        <v>3088.3500000000131</v>
      </c>
      <c r="BC30" s="351">
        <f t="shared" si="5"/>
        <v>13.569057268288905</v>
      </c>
    </row>
    <row r="31" spans="1:55">
      <c r="A31" s="356">
        <v>27</v>
      </c>
      <c r="B31" s="489">
        <f>'27'!G7</f>
        <v>23422.689999999944</v>
      </c>
      <c r="C31" s="489">
        <f>'27'!G8</f>
        <v>23600.689999999944</v>
      </c>
      <c r="D31" s="489">
        <f>'27'!G15</f>
        <v>996.47999999998137</v>
      </c>
      <c r="E31" s="489">
        <f>'27'!G20</f>
        <v>272</v>
      </c>
      <c r="F31" s="489">
        <f>SUM('27'!G35,'27'!G49)</f>
        <v>3695.5</v>
      </c>
      <c r="G31" s="489">
        <f>SUM('27'!G37,'27'!G51)</f>
        <v>1033.0800000000017</v>
      </c>
      <c r="H31" s="489">
        <f>SUM('27'!G38,'27'!G52)</f>
        <v>2064.3199999999488</v>
      </c>
      <c r="I31" s="489">
        <f>SUM('27'!G39,'27'!G53)</f>
        <v>4100.4599999999627</v>
      </c>
      <c r="J31" s="489">
        <f>SUM('27'!G41,'27'!G42,'27'!G55,'27'!G56)</f>
        <v>5911.460000000021</v>
      </c>
      <c r="K31" s="489">
        <f>SUM('27'!G43,'27'!G57)</f>
        <v>2759.570000000007</v>
      </c>
      <c r="L31" s="254">
        <f>'27'!G50</f>
        <v>1498.039999999979</v>
      </c>
      <c r="M31" s="254">
        <f>'27'!G36</f>
        <v>1025.5900000000256</v>
      </c>
      <c r="N31" s="254">
        <f>'27'!G138</f>
        <v>119</v>
      </c>
      <c r="O31" s="254">
        <f>'27'!$G$139</f>
        <v>160</v>
      </c>
      <c r="P31" s="254">
        <f>'27'!$G$140</f>
        <v>10.25</v>
      </c>
      <c r="Q31" s="254">
        <f>'27'!$G$141</f>
        <v>234.33000000000175</v>
      </c>
      <c r="R31" s="254">
        <f>'27'!$G$142</f>
        <v>94.790000000000873</v>
      </c>
      <c r="S31" s="254">
        <f>'27'!$G$145</f>
        <v>203.79999999999927</v>
      </c>
      <c r="T31" s="251">
        <f>'27'!$G$146</f>
        <v>45</v>
      </c>
      <c r="U31" s="251">
        <f>'27'!$G$144</f>
        <v>229</v>
      </c>
      <c r="V31" s="251">
        <f>'27'!$G$147</f>
        <v>400.56000000005588</v>
      </c>
      <c r="W31" s="251">
        <f>'27'!$G$148</f>
        <v>337.28000000002794</v>
      </c>
      <c r="X31" s="251">
        <f>'27'!$G$143</f>
        <v>31.052999999999884</v>
      </c>
      <c r="Y31" s="251">
        <f>'27'!$G$58</f>
        <v>250.52999999999884</v>
      </c>
      <c r="Z31" s="251">
        <f>'27'!$G$151</f>
        <v>26</v>
      </c>
      <c r="AA31" s="251">
        <f>'27'!G161</f>
        <v>163.23999999999069</v>
      </c>
      <c r="AB31" s="251">
        <f>'27'!G162</f>
        <v>45.600000000005821</v>
      </c>
      <c r="AC31" s="251">
        <f>'27'!G88</f>
        <v>2.930000000000291</v>
      </c>
      <c r="AD31" s="251">
        <f>'27'!G163+'27'!G164</f>
        <v>158.40000000000055</v>
      </c>
      <c r="AE31" s="254">
        <f>'27'!$G$116</f>
        <v>337.88000000000466</v>
      </c>
      <c r="AF31" s="254">
        <f>'27'!$G$117</f>
        <v>230.15000000000146</v>
      </c>
      <c r="AG31" s="254">
        <f>'27'!$G$118</f>
        <v>134.91999999999825</v>
      </c>
      <c r="AH31" s="254">
        <f>'27'!$G$119</f>
        <v>13.200000000004366</v>
      </c>
      <c r="AI31" s="254">
        <f>'27'!$G$120</f>
        <v>409.58999999999651</v>
      </c>
      <c r="AJ31" s="254">
        <f>'27'!$G$121</f>
        <v>460.13999999999942</v>
      </c>
      <c r="AK31" s="254">
        <f>'27'!$G$122</f>
        <v>370.40999999999622</v>
      </c>
      <c r="AL31" s="254">
        <f>'27'!$G$123</f>
        <v>299.47999999999593</v>
      </c>
      <c r="AM31" s="254">
        <f>'27'!$G$133</f>
        <v>885.38000000000466</v>
      </c>
      <c r="AN31" s="254">
        <f>'27'!$G$15</f>
        <v>996.47999999998137</v>
      </c>
      <c r="AO31" s="254">
        <f>'27'!$G$74</f>
        <v>282.96999999997206</v>
      </c>
      <c r="AP31" s="254">
        <f>'27'!$G$75</f>
        <v>0</v>
      </c>
      <c r="AQ31" s="254">
        <f>'27'!$G$76</f>
        <v>98</v>
      </c>
      <c r="AR31" s="254">
        <f>'27'!$G$77</f>
        <v>43.099999999998545</v>
      </c>
      <c r="AS31" s="254">
        <f>'27'!$G$78</f>
        <v>-1</v>
      </c>
      <c r="AT31" s="254">
        <f t="shared" si="0"/>
        <v>573.41000000001077</v>
      </c>
      <c r="AU31" s="254">
        <f>SUM('27'!G91:G92)</f>
        <v>10.960000000000036</v>
      </c>
      <c r="AV31" s="254">
        <f>'27'!$G$88</f>
        <v>2.930000000000291</v>
      </c>
      <c r="AW31" s="254">
        <f>'27'!$G$89</f>
        <v>7.4099999999998545</v>
      </c>
      <c r="AX31" s="254">
        <f>'27'!$G$90</f>
        <v>9.3200000000069849</v>
      </c>
      <c r="AY31" s="252">
        <f t="shared" si="1"/>
        <v>19.66000000000713</v>
      </c>
      <c r="BA31" s="311">
        <f t="shared" si="3"/>
        <v>29.166327568657316</v>
      </c>
      <c r="BB31" s="351">
        <f t="shared" si="4"/>
        <v>3785.7700000000041</v>
      </c>
      <c r="BC31" s="351">
        <f t="shared" si="5"/>
        <v>16.162831852362018</v>
      </c>
    </row>
    <row r="32" spans="1:55">
      <c r="A32" s="356">
        <v>28</v>
      </c>
      <c r="B32" s="489">
        <f>'28'!G7</f>
        <v>27093</v>
      </c>
      <c r="C32" s="489">
        <f>'28'!G8</f>
        <v>27370.080000000075</v>
      </c>
      <c r="D32" s="489">
        <f>'28'!G15</f>
        <v>986</v>
      </c>
      <c r="E32" s="489">
        <f>'28'!G20</f>
        <v>249</v>
      </c>
      <c r="F32" s="489">
        <f>SUM('28'!G35,'28'!G49)</f>
        <v>3724.2600000000093</v>
      </c>
      <c r="G32" s="489">
        <f>SUM('28'!G37,'28'!G51)</f>
        <v>1077.1299999999901</v>
      </c>
      <c r="H32" s="489">
        <f>SUM('28'!G38,'28'!G52)</f>
        <v>2196.0400000000373</v>
      </c>
      <c r="I32" s="489">
        <f>SUM('28'!G39,'28'!G53)</f>
        <v>4355.7800000000279</v>
      </c>
      <c r="J32" s="489">
        <f>SUM('28'!G41,'28'!G42,'28'!G55,'28'!G56)</f>
        <v>9014.0400000000373</v>
      </c>
      <c r="K32" s="489">
        <f>SUM('28'!G43,'28'!G57)</f>
        <v>3044.7600000000093</v>
      </c>
      <c r="L32" s="254">
        <f>'28'!G50</f>
        <v>1882.8400000000256</v>
      </c>
      <c r="M32" s="254">
        <f>'28'!G36</f>
        <v>1181.3099999999977</v>
      </c>
      <c r="N32" s="254">
        <f>'28'!G138</f>
        <v>100</v>
      </c>
      <c r="O32" s="254">
        <f>'28'!$G$139</f>
        <v>160</v>
      </c>
      <c r="P32" s="254">
        <f>'28'!$G$140</f>
        <v>10.710000000000036</v>
      </c>
      <c r="Q32" s="254">
        <f>'28'!$G$141</f>
        <v>235.77000000000407</v>
      </c>
      <c r="R32" s="254">
        <f>'28'!$G$142</f>
        <v>88.139999999999418</v>
      </c>
      <c r="S32" s="254">
        <f>'28'!$G$145</f>
        <v>243.70000000000073</v>
      </c>
      <c r="T32" s="251">
        <f>'28'!$G$146</f>
        <v>50</v>
      </c>
      <c r="U32" s="251">
        <f>'28'!$G$144</f>
        <v>226</v>
      </c>
      <c r="V32" s="251">
        <f>'28'!$G$147</f>
        <v>404.07999999995809</v>
      </c>
      <c r="W32" s="251">
        <f>'28'!$G$148</f>
        <v>298.23999999999069</v>
      </c>
      <c r="X32" s="251">
        <f>'28'!$G$143</f>
        <v>26.48700000000099</v>
      </c>
      <c r="Y32" s="251">
        <f>'28'!$G$58</f>
        <v>259.95999999999913</v>
      </c>
      <c r="Z32" s="251">
        <f>'28'!$G$151</f>
        <v>81</v>
      </c>
      <c r="AA32" s="251">
        <f>'28'!G161</f>
        <v>185.23999999999069</v>
      </c>
      <c r="AB32" s="251">
        <f>'28'!G162</f>
        <v>47.899999999994179</v>
      </c>
      <c r="AC32" s="251">
        <f>'28'!G88</f>
        <v>0</v>
      </c>
      <c r="AD32" s="251">
        <f>'28'!G163+'28'!G164</f>
        <v>156</v>
      </c>
      <c r="AE32" s="254">
        <f>'28'!$G$116</f>
        <v>566.72000000000116</v>
      </c>
      <c r="AF32" s="254">
        <f>'28'!$G$117</f>
        <v>208.7699999999968</v>
      </c>
      <c r="AG32" s="254">
        <f>'28'!$G$118</f>
        <v>1140.1100000000006</v>
      </c>
      <c r="AH32" s="254">
        <f>'28'!$G$119</f>
        <v>13</v>
      </c>
      <c r="AI32" s="254">
        <f>'28'!$G$120</f>
        <v>392.39999999999418</v>
      </c>
      <c r="AJ32" s="254">
        <f>'28'!$G$121</f>
        <v>461.80000000000291</v>
      </c>
      <c r="AK32" s="254">
        <f>'28'!$G$122</f>
        <v>378.93000000000029</v>
      </c>
      <c r="AL32" s="254">
        <f>'28'!$G$123</f>
        <v>304.44000000000233</v>
      </c>
      <c r="AM32" s="254">
        <f>'28'!$G$133</f>
        <v>855.26000000000931</v>
      </c>
      <c r="AN32" s="254">
        <f>'28'!$G$15</f>
        <v>986</v>
      </c>
      <c r="AO32" s="254">
        <f>'28'!$G$74</f>
        <v>280.71000000007916</v>
      </c>
      <c r="AP32" s="254">
        <f>'28'!$G$75</f>
        <v>-0.80000000000291038</v>
      </c>
      <c r="AQ32" s="254">
        <f>'28'!$G$76</f>
        <v>113</v>
      </c>
      <c r="AR32" s="254">
        <f>'28'!$G$77</f>
        <v>47</v>
      </c>
      <c r="AS32" s="254">
        <f>'28'!$G$78</f>
        <v>0</v>
      </c>
      <c r="AT32" s="254">
        <f t="shared" si="0"/>
        <v>546.08999999992375</v>
      </c>
      <c r="AU32" s="254">
        <f>SUM('28'!G91:G92)</f>
        <v>10.830000000000837</v>
      </c>
      <c r="AV32" s="254">
        <f>'28'!$G$88</f>
        <v>0</v>
      </c>
      <c r="AW32" s="254">
        <f>'28'!$G$89</f>
        <v>8.7800000000024738</v>
      </c>
      <c r="AX32" s="254">
        <f>'28'!$G$90</f>
        <v>10.25</v>
      </c>
      <c r="AY32" s="252">
        <f t="shared" si="1"/>
        <v>19.030000000002474</v>
      </c>
      <c r="BA32" s="311">
        <f t="shared" si="3"/>
        <v>28.696269048862469</v>
      </c>
      <c r="BB32" s="351">
        <f t="shared" si="4"/>
        <v>3698.1099999999642</v>
      </c>
      <c r="BC32" s="351">
        <f t="shared" si="5"/>
        <v>13.649688111320135</v>
      </c>
    </row>
    <row r="33" spans="1:55">
      <c r="A33" s="356">
        <v>29</v>
      </c>
      <c r="B33" s="489">
        <f>'29'!G7</f>
        <v>26774</v>
      </c>
      <c r="C33" s="489">
        <f>'29'!G8</f>
        <v>27051</v>
      </c>
      <c r="D33" s="489">
        <f>'29'!G15</f>
        <v>1028.2999999998137</v>
      </c>
      <c r="E33" s="489">
        <f>'29'!G20</f>
        <v>320</v>
      </c>
      <c r="F33" s="489">
        <f>SUM('29'!G35,'29'!G49)</f>
        <v>3893.5999999999767</v>
      </c>
      <c r="G33" s="489">
        <f>SUM('29'!G37,'29'!G51)</f>
        <v>1022.9200000000128</v>
      </c>
      <c r="H33" s="489">
        <f>SUM('29'!G38,'29'!G52)</f>
        <v>2184</v>
      </c>
      <c r="I33" s="489">
        <f>SUM('29'!G39,'29'!G53)</f>
        <v>4257.8600000000442</v>
      </c>
      <c r="J33" s="489">
        <f>SUM('29'!G41,'29'!G42,'29'!G55,'29'!G56)</f>
        <v>8480.8199999999197</v>
      </c>
      <c r="K33" s="489">
        <f>SUM('29'!G43,'29'!G57)</f>
        <v>3077.7999999999884</v>
      </c>
      <c r="L33" s="254">
        <f>'29'!G50</f>
        <v>1946.3699999999953</v>
      </c>
      <c r="M33" s="254">
        <f>'29'!G36</f>
        <v>1115.2600000000093</v>
      </c>
      <c r="N33" s="254">
        <f>'29'!G138</f>
        <v>109</v>
      </c>
      <c r="O33" s="254">
        <f>'29'!$G$139</f>
        <v>159</v>
      </c>
      <c r="P33" s="254">
        <f>'29'!$G$140</f>
        <v>12.369999999999891</v>
      </c>
      <c r="Q33" s="254">
        <f>'29'!$G$141</f>
        <v>246.57000000000698</v>
      </c>
      <c r="R33" s="254">
        <f>'29'!$G$142</f>
        <v>89.700000000004366</v>
      </c>
      <c r="S33" s="254">
        <f>'29'!$G$145</f>
        <v>223.70000000000073</v>
      </c>
      <c r="T33" s="254">
        <f>'29'!$G$146</f>
        <v>42</v>
      </c>
      <c r="U33" s="254">
        <f>'29'!$G$144</f>
        <v>240</v>
      </c>
      <c r="V33" s="254">
        <f>'29'!$G$147</f>
        <v>356.11999999999534</v>
      </c>
      <c r="W33" s="254">
        <f>'29'!$G$148</f>
        <v>264.40000000002328</v>
      </c>
      <c r="X33" s="254">
        <f>'29'!$G$143</f>
        <v>26</v>
      </c>
      <c r="Y33" s="254">
        <f>'29'!$G$58</f>
        <v>238.23999999999796</v>
      </c>
      <c r="Z33" s="254">
        <f>'29'!$G$151</f>
        <v>54</v>
      </c>
      <c r="AA33" s="254">
        <f>'29'!G161</f>
        <v>251.67999999999302</v>
      </c>
      <c r="AB33" s="254">
        <f>'29'!G162</f>
        <v>48.80000000000291</v>
      </c>
      <c r="AC33" s="254">
        <f>'29'!G88</f>
        <v>-6.9999999999708962E-2</v>
      </c>
      <c r="AD33" s="254">
        <f>'29'!G163+'29'!G164</f>
        <v>165.89999999999873</v>
      </c>
      <c r="AE33" s="254">
        <f>'29'!$G$116</f>
        <v>495.80999999999767</v>
      </c>
      <c r="AF33" s="254">
        <f>'29'!$G$117</f>
        <v>242.75</v>
      </c>
      <c r="AG33" s="254">
        <f>'29'!$G$118</f>
        <v>646.08999999999651</v>
      </c>
      <c r="AH33" s="254">
        <f>'29'!$G$119</f>
        <v>13.5</v>
      </c>
      <c r="AI33" s="254">
        <f>'29'!$G$120</f>
        <v>389.60000000000582</v>
      </c>
      <c r="AJ33" s="254">
        <f>'29'!$G$121</f>
        <v>464.5</v>
      </c>
      <c r="AK33" s="254">
        <f>'29'!$G$122</f>
        <v>357.19999999999709</v>
      </c>
      <c r="AL33" s="254">
        <f>'29'!$G$123</f>
        <v>296.37000000000262</v>
      </c>
      <c r="AM33" s="254">
        <f>'29'!$G$133</f>
        <v>873.5800000000163</v>
      </c>
      <c r="AN33" s="254">
        <f>'29'!$G$15</f>
        <v>1028.2999999998137</v>
      </c>
      <c r="AO33" s="254">
        <f>'29'!$G$74</f>
        <v>289.71999999997206</v>
      </c>
      <c r="AP33" s="254">
        <f>'29'!$G$75</f>
        <v>0</v>
      </c>
      <c r="AQ33" s="254">
        <f>'29'!$G$76</f>
        <v>114</v>
      </c>
      <c r="AR33" s="254">
        <f>'29'!$G$77</f>
        <v>53</v>
      </c>
      <c r="AS33" s="254">
        <f>'29'!$G$78</f>
        <v>0.3999999999996362</v>
      </c>
      <c r="AT33" s="254">
        <f t="shared" si="0"/>
        <v>571.17999999984204</v>
      </c>
      <c r="AU33" s="254">
        <f>SUM('29'!G91:G92)</f>
        <v>10.960000000000036</v>
      </c>
      <c r="AV33" s="254">
        <f>'29'!$G$88</f>
        <v>-6.9999999999708962E-2</v>
      </c>
      <c r="AW33" s="254">
        <f>'29'!$G$89</f>
        <v>9.0099999999983993</v>
      </c>
      <c r="AX33" s="254">
        <f>'29'!$G$90</f>
        <v>11.309999999997672</v>
      </c>
      <c r="AY33" s="252">
        <f t="shared" si="1"/>
        <v>20.249999999996362</v>
      </c>
      <c r="BA33" s="311">
        <f t="shared" si="3"/>
        <v>28.206419753083686</v>
      </c>
      <c r="BB33" s="351">
        <f t="shared" si="4"/>
        <v>3895.7600000000602</v>
      </c>
      <c r="BC33" s="351">
        <f t="shared" si="5"/>
        <v>14.550534100246733</v>
      </c>
    </row>
    <row r="34" spans="1:55" s="313" customFormat="1">
      <c r="A34" s="356">
        <v>30</v>
      </c>
      <c r="B34" s="489">
        <f>'31'!G6</f>
        <v>0</v>
      </c>
      <c r="C34" s="489">
        <f>'30'!G8</f>
        <v>26551</v>
      </c>
      <c r="D34" s="489">
        <f>'30'!G15</f>
        <v>1020.7000000001863</v>
      </c>
      <c r="E34" s="489">
        <f>'30'!G20</f>
        <v>320</v>
      </c>
      <c r="F34" s="489">
        <f>SUM('30'!G35,'30'!G49)</f>
        <v>4039.25</v>
      </c>
      <c r="G34" s="489">
        <f>SUM('30'!G37,'30'!G51)</f>
        <v>1064.679999999993</v>
      </c>
      <c r="H34" s="489">
        <f>SUM('30'!G38,'30'!G52)</f>
        <v>2269.3699999999953</v>
      </c>
      <c r="I34" s="489">
        <f>SUM('30'!G39,'30'!G53)</f>
        <v>4282.6899999999441</v>
      </c>
      <c r="J34" s="489">
        <f>SUM('30'!G41,'30'!G42,'30'!G55,'30'!G56)</f>
        <v>6346.1800000000512</v>
      </c>
      <c r="K34" s="489">
        <f>SUM('30'!G43,'30'!G57)</f>
        <v>2959.609999999986</v>
      </c>
      <c r="L34" s="251">
        <f>'30'!G50</f>
        <v>1771</v>
      </c>
      <c r="M34" s="251">
        <f>'30'!G36</f>
        <v>783.92999999999302</v>
      </c>
      <c r="N34" s="251">
        <f>'30'!G138</f>
        <v>120</v>
      </c>
      <c r="O34" s="251">
        <f>'30'!$G$139</f>
        <v>151</v>
      </c>
      <c r="P34" s="251">
        <f>'30'!$G$140</f>
        <v>11.309999999999945</v>
      </c>
      <c r="Q34" s="251">
        <f>'30'!$G$141</f>
        <v>235.42999999999302</v>
      </c>
      <c r="R34" s="251">
        <f>'30'!$G$142</f>
        <v>85.69999999999709</v>
      </c>
      <c r="S34" s="251">
        <f>'30'!$G$145</f>
        <v>230.29999999999927</v>
      </c>
      <c r="T34" s="251">
        <f>'30'!$G$146</f>
        <v>63</v>
      </c>
      <c r="U34" s="251">
        <f>'30'!$G$144</f>
        <v>236</v>
      </c>
      <c r="V34" s="251">
        <f>'30'!$G$147</f>
        <v>349</v>
      </c>
      <c r="W34" s="251">
        <f>'30'!$G$148</f>
        <v>263.76000000000931</v>
      </c>
      <c r="X34" s="251">
        <f>'30'!$G$143</f>
        <v>17.399999999999636</v>
      </c>
      <c r="Y34" s="251">
        <f>'30'!$G$58</f>
        <v>260.40000000000146</v>
      </c>
      <c r="Z34" s="251">
        <f>'30'!$G$151</f>
        <v>36</v>
      </c>
      <c r="AA34" s="251">
        <f>'30'!G161</f>
        <v>305.28000000002794</v>
      </c>
      <c r="AB34" s="251">
        <f>'30'!G162</f>
        <v>47.30000000000291</v>
      </c>
      <c r="AC34" s="251">
        <f>'30'!G88</f>
        <v>10.459999999999127</v>
      </c>
      <c r="AD34" s="251">
        <f>'30'!G163+'30'!G164</f>
        <v>151.30000000000109</v>
      </c>
      <c r="AE34" s="251">
        <f>'30'!$G$116</f>
        <v>508.88999999999942</v>
      </c>
      <c r="AF34" s="251">
        <f>'30'!$G$117</f>
        <v>591.25</v>
      </c>
      <c r="AG34" s="251">
        <f>'30'!$G$118</f>
        <v>616.30000000000291</v>
      </c>
      <c r="AH34" s="251">
        <f>'30'!$G$119</f>
        <v>14.099999999998545</v>
      </c>
      <c r="AI34" s="251">
        <f>'30'!$G$120</f>
        <v>405.5</v>
      </c>
      <c r="AJ34" s="251">
        <f>'30'!$G$121</f>
        <v>483.80000000000291</v>
      </c>
      <c r="AK34" s="251">
        <f>'30'!$G$122</f>
        <v>387.80000000000291</v>
      </c>
      <c r="AL34" s="251">
        <f>'30'!$G$123</f>
        <v>305.09999999999854</v>
      </c>
      <c r="AM34" s="251">
        <f>'30'!$G$133</f>
        <v>918.48999999999069</v>
      </c>
      <c r="AN34" s="251">
        <f>'30'!$G$15</f>
        <v>1020.7000000001863</v>
      </c>
      <c r="AO34" s="251">
        <f>'30'!$G$74</f>
        <v>289.98999999999069</v>
      </c>
      <c r="AP34" s="251">
        <f>'30'!$G$75</f>
        <v>0</v>
      </c>
      <c r="AQ34" s="251">
        <f>'30'!$G$76</f>
        <v>118</v>
      </c>
      <c r="AR34" s="251">
        <f>'30'!$G$77</f>
        <v>68</v>
      </c>
      <c r="AS34" s="251">
        <f>'30'!$G$78</f>
        <v>0</v>
      </c>
      <c r="AT34" s="251">
        <f t="shared" si="0"/>
        <v>544.71000000019558</v>
      </c>
      <c r="AU34" s="251">
        <f>SUM('30'!G91:G92)</f>
        <v>11.220000000000255</v>
      </c>
      <c r="AV34" s="251">
        <f>'30'!$G$88</f>
        <v>10.459999999999127</v>
      </c>
      <c r="AW34" s="251">
        <f>'30'!$G$89</f>
        <v>-6.9999999999708962E-2</v>
      </c>
      <c r="AX34" s="251">
        <f>'30'!$G$90</f>
        <v>13.490000000005239</v>
      </c>
      <c r="AY34" s="255">
        <f t="shared" si="1"/>
        <v>23.880000000004657</v>
      </c>
      <c r="BA34" s="311">
        <f t="shared" si="3"/>
        <v>22.810301507541432</v>
      </c>
      <c r="BB34" s="351">
        <f t="shared" si="4"/>
        <v>5328.8200000000288</v>
      </c>
      <c r="BC34" s="351" t="e">
        <f t="shared" si="5"/>
        <v>#DIV/0!</v>
      </c>
    </row>
    <row r="35" spans="1:55">
      <c r="A35" s="356">
        <v>31</v>
      </c>
      <c r="B35" s="489">
        <f>'31'!G7</f>
        <v>-758506</v>
      </c>
      <c r="C35" s="489">
        <f>'31'!G8</f>
        <v>233466</v>
      </c>
      <c r="D35" s="489">
        <f>'31'!G15</f>
        <v>967</v>
      </c>
      <c r="E35" s="489">
        <f>'31'!G20</f>
        <v>-1420</v>
      </c>
      <c r="F35" s="489">
        <f>SUM('31'!G35,'31'!G49)</f>
        <v>-113669.41000000003</v>
      </c>
      <c r="G35" s="489">
        <f>SUM('31'!G37,'31'!G51)</f>
        <v>-30865.739999999998</v>
      </c>
      <c r="H35" s="489">
        <f>SUM('31'!G38,'31'!G52)</f>
        <v>-67961.5</v>
      </c>
      <c r="I35" s="489">
        <f>SUM('31'!G39,'31'!G53)</f>
        <v>-126826.31</v>
      </c>
      <c r="J35" s="489">
        <f>SUM('31'!G41,'31'!G42,'31'!G55,'31'!G56)</f>
        <v>-200191.93999999994</v>
      </c>
      <c r="K35" s="489">
        <f>SUM('31'!G43,'31'!G57)</f>
        <v>-86827.07</v>
      </c>
      <c r="L35" s="251">
        <f>'31'!G50</f>
        <v>-45038.109999999986</v>
      </c>
      <c r="M35" s="251">
        <f>'31'!G36</f>
        <v>-27665.950000000012</v>
      </c>
      <c r="N35" s="251">
        <f>'31'!G138</f>
        <v>-3164</v>
      </c>
      <c r="O35" s="251">
        <f>'31'!$G$139</f>
        <v>-4605</v>
      </c>
      <c r="P35" s="251">
        <f>'31'!$G$140</f>
        <v>-375.24</v>
      </c>
      <c r="Q35" s="251">
        <f>'31'!$G$141</f>
        <v>-6947</v>
      </c>
      <c r="R35" s="251">
        <f>'31'!$G$142</f>
        <v>-2640</v>
      </c>
      <c r="S35" s="251">
        <f>'31'!$G$145</f>
        <v>-5734.8</v>
      </c>
      <c r="T35" s="251">
        <f>'31'!$G$146</f>
        <v>-1531</v>
      </c>
      <c r="U35" s="251">
        <f>'31'!$G$144</f>
        <v>-6897</v>
      </c>
      <c r="V35" s="251">
        <f>'31'!$G$147</f>
        <v>-11850.459999999963</v>
      </c>
      <c r="W35" s="251">
        <f>'31'!$G$148</f>
        <v>-8659.5200000000186</v>
      </c>
      <c r="X35" s="251">
        <f>'31'!$G$143</f>
        <v>-798</v>
      </c>
      <c r="Y35" s="251">
        <f>'31'!$G$58</f>
        <v>-7390</v>
      </c>
      <c r="Z35" s="251">
        <f>'31'!$G$151</f>
        <v>-6250</v>
      </c>
      <c r="AA35" s="251">
        <f>'31'!G161</f>
        <v>-6247.960000000021</v>
      </c>
      <c r="AB35" s="251">
        <f>'31'!G162</f>
        <v>-1167</v>
      </c>
      <c r="AC35" s="251">
        <f>'31'!G89</f>
        <v>-185.97999999999956</v>
      </c>
      <c r="AD35" s="251">
        <f>'31'!G163+'31'!G164</f>
        <v>-4230.2999999999993</v>
      </c>
      <c r="AE35" s="251">
        <f>'31'!$G$116</f>
        <v>-13709.699999999997</v>
      </c>
      <c r="AF35" s="251">
        <f>'31'!$G$117</f>
        <v>-8196</v>
      </c>
      <c r="AG35" s="251">
        <f>'31'!$G$118</f>
        <v>-18501.199999999997</v>
      </c>
      <c r="AH35" s="251">
        <f>'31'!$G$119</f>
        <v>-489.59999999999854</v>
      </c>
      <c r="AI35" s="251">
        <f>'31'!$G$120</f>
        <v>-12329.599999999999</v>
      </c>
      <c r="AJ35" s="251">
        <f>'31'!$G$121</f>
        <v>-13593</v>
      </c>
      <c r="AK35" s="251">
        <f>'31'!$G$122</f>
        <v>-10494.099999999999</v>
      </c>
      <c r="AL35" s="251">
        <f>'31'!$G$123</f>
        <v>-9386.1999999999971</v>
      </c>
      <c r="AM35" s="251">
        <f>'31'!$G$133</f>
        <v>-25025</v>
      </c>
      <c r="AN35" s="251">
        <f>'31'!$G$15</f>
        <v>967</v>
      </c>
      <c r="AO35" s="251">
        <f>'31'!$G$74</f>
        <v>-8628.2199999999721</v>
      </c>
      <c r="AP35" s="251">
        <f>'31'!$G$75</f>
        <v>0.80000000000291038</v>
      </c>
      <c r="AQ35" s="251">
        <f>'31'!$G$76</f>
        <v>-3314.5</v>
      </c>
      <c r="AR35" s="251">
        <f>'31'!$G$77</f>
        <v>-1512</v>
      </c>
      <c r="AS35" s="251">
        <f>'31'!$G$78</f>
        <v>-0.3999999999996362</v>
      </c>
      <c r="AT35" s="251">
        <f t="shared" ref="AT35" si="7">AN35-SUM(AO35:AS35)</f>
        <v>14421.319999999969</v>
      </c>
      <c r="AU35" s="251">
        <f>SUM('31'!G92:G142)</f>
        <v>-1092776.0683909021</v>
      </c>
      <c r="AV35" s="251">
        <f>'31'!$G$88</f>
        <v>-88.799999999999272</v>
      </c>
      <c r="AW35" s="251">
        <f>'31'!$G$89</f>
        <v>-185.97999999999956</v>
      </c>
      <c r="AX35" s="251">
        <f>'30'!$G$90</f>
        <v>13.490000000005239</v>
      </c>
      <c r="AY35" s="255">
        <f t="shared" ref="AY35" si="8">SUM(AV35:AX35)</f>
        <v>-261.2899999999936</v>
      </c>
      <c r="BA35" s="311">
        <f t="shared" si="3"/>
        <v>-55.192774312068288</v>
      </c>
      <c r="BB35" s="351">
        <f t="shared" si="4"/>
        <v>867197.97</v>
      </c>
      <c r="BC35" s="351">
        <f t="shared" si="5"/>
        <v>-114.32974426042773</v>
      </c>
    </row>
    <row r="36" spans="1:55" s="316" customFormat="1">
      <c r="A36" s="304" t="s">
        <v>356</v>
      </c>
      <c r="B36" s="305">
        <f>AVERAGE(B5:B35)</f>
        <v>-1517.8732258064499</v>
      </c>
      <c r="C36" s="305">
        <f>AVERAGE(C5:C35)</f>
        <v>31589.940967741935</v>
      </c>
      <c r="D36" s="305">
        <f t="shared" ref="D36:BC36" si="9">AVERAGE(D5:D35)</f>
        <v>1013.3877419354844</v>
      </c>
      <c r="E36" s="305">
        <f t="shared" si="9"/>
        <v>242.58064516129033</v>
      </c>
      <c r="F36" s="305">
        <f t="shared" si="9"/>
        <v>-115.77064516129265</v>
      </c>
      <c r="G36" s="305">
        <f t="shared" si="9"/>
        <v>0.63000000000019718</v>
      </c>
      <c r="H36" s="305">
        <f t="shared" si="9"/>
        <v>-27.540967741936086</v>
      </c>
      <c r="I36" s="305">
        <f t="shared" si="9"/>
        <v>-14.408387096773367</v>
      </c>
      <c r="J36" s="305">
        <f t="shared" si="9"/>
        <v>-524.06967741935216</v>
      </c>
      <c r="K36" s="305">
        <f t="shared" si="9"/>
        <v>-26.727096774192873</v>
      </c>
      <c r="L36" s="305">
        <f t="shared" si="9"/>
        <v>51.360645161290094</v>
      </c>
      <c r="M36" s="305">
        <f t="shared" si="9"/>
        <v>-51.581935483872172</v>
      </c>
      <c r="N36" s="305">
        <f t="shared" si="9"/>
        <v>41.967741935483872</v>
      </c>
      <c r="O36" s="305">
        <f t="shared" si="9"/>
        <v>-4.870967741935484</v>
      </c>
      <c r="P36" s="305">
        <f t="shared" si="9"/>
        <v>-1.1770967741935487</v>
      </c>
      <c r="Q36" s="305">
        <f t="shared" si="9"/>
        <v>-5.4964516129032068</v>
      </c>
      <c r="R36" s="305">
        <f t="shared" si="9"/>
        <v>4.3112903225806924</v>
      </c>
      <c r="S36" s="305">
        <f t="shared" si="9"/>
        <v>9.154193548387088</v>
      </c>
      <c r="T36" s="305">
        <f t="shared" si="9"/>
        <v>-5.258064516129032</v>
      </c>
      <c r="U36" s="305">
        <f t="shared" si="9"/>
        <v>8.3548387096774199</v>
      </c>
      <c r="V36" s="305">
        <f t="shared" si="9"/>
        <v>-1.7219354838711181</v>
      </c>
      <c r="W36" s="305">
        <f t="shared" si="9"/>
        <v>6.1729032258060013</v>
      </c>
      <c r="X36" s="305">
        <f t="shared" si="9"/>
        <v>0.96645161290319759</v>
      </c>
      <c r="Y36" s="305">
        <f t="shared" si="9"/>
        <v>-5.0222580645162038</v>
      </c>
      <c r="Z36" s="305">
        <f t="shared" si="9"/>
        <v>-154.80645161290323</v>
      </c>
      <c r="AA36" s="305">
        <f t="shared" si="9"/>
        <v>66.947096774193099</v>
      </c>
      <c r="AB36" s="305">
        <f t="shared" si="9"/>
        <v>-0.52903225806432841</v>
      </c>
      <c r="AC36" s="305">
        <f t="shared" si="9"/>
        <v>-6.5209523809523189</v>
      </c>
      <c r="AD36" s="305">
        <f t="shared" si="9"/>
        <v>-9.3967741935483335</v>
      </c>
      <c r="AE36" s="305">
        <f t="shared" si="9"/>
        <v>-12.862258064515997</v>
      </c>
      <c r="AF36" s="305">
        <f t="shared" si="9"/>
        <v>41.198064516129016</v>
      </c>
      <c r="AG36" s="305">
        <f t="shared" si="9"/>
        <v>-13.576774193548069</v>
      </c>
      <c r="AH36" s="305">
        <f t="shared" si="9"/>
        <v>9.0048387096774665</v>
      </c>
      <c r="AI36" s="305">
        <f t="shared" si="9"/>
        <v>-9.4419354838711094</v>
      </c>
      <c r="AJ36" s="305">
        <f t="shared" si="9"/>
        <v>-10.293548387096962</v>
      </c>
      <c r="AK36" s="305">
        <f t="shared" si="9"/>
        <v>24.946129032258121</v>
      </c>
      <c r="AL36" s="305">
        <f t="shared" si="9"/>
        <v>-9.5690322580644978</v>
      </c>
      <c r="AM36" s="305">
        <f t="shared" si="9"/>
        <v>23.697741935484022</v>
      </c>
      <c r="AN36" s="305">
        <f t="shared" si="9"/>
        <v>1013.3877419354844</v>
      </c>
      <c r="AO36" s="305">
        <f t="shared" si="9"/>
        <v>3.8861290322571631</v>
      </c>
      <c r="AP36" s="305">
        <f t="shared" si="9"/>
        <v>0</v>
      </c>
      <c r="AQ36" s="305">
        <f t="shared" si="9"/>
        <v>1.8212903225803823</v>
      </c>
      <c r="AR36" s="305">
        <f t="shared" si="9"/>
        <v>-1.42903225806461</v>
      </c>
      <c r="AS36" s="305">
        <f t="shared" si="9"/>
        <v>-0.10967741935482697</v>
      </c>
      <c r="AT36" s="305">
        <f t="shared" si="9"/>
        <v>1009.2190322580665</v>
      </c>
      <c r="AU36" s="305">
        <f t="shared" si="9"/>
        <v>-35239.979625512977</v>
      </c>
      <c r="AV36" s="305">
        <f t="shared" si="9"/>
        <v>-0.68419354838706858</v>
      </c>
      <c r="AW36" s="305">
        <f t="shared" si="9"/>
        <v>1.4077419354838523</v>
      </c>
      <c r="AX36" s="305">
        <f t="shared" si="9"/>
        <v>9.7858064516129222</v>
      </c>
      <c r="AY36" s="305">
        <f t="shared" si="9"/>
        <v>10.509354838709706</v>
      </c>
      <c r="AZ36" s="305">
        <f t="shared" si="9"/>
        <v>26.065525185738778</v>
      </c>
      <c r="BA36" s="305">
        <f t="shared" si="9"/>
        <v>26.131611925880872</v>
      </c>
      <c r="BB36" s="305">
        <f t="shared" si="9"/>
        <v>32302.85</v>
      </c>
      <c r="BC36" s="305" t="e">
        <f t="shared" si="9"/>
        <v>#DIV/0!</v>
      </c>
    </row>
    <row r="37" spans="1:55">
      <c r="A37" s="261" t="s">
        <v>196</v>
      </c>
      <c r="B37" s="305">
        <f>SUM(B5:B35)</f>
        <v>-47054.069999999949</v>
      </c>
      <c r="C37" s="305">
        <f t="shared" ref="C37:BC37" si="10">SUM(C5:C35)</f>
        <v>979288.17</v>
      </c>
      <c r="D37" s="305">
        <f t="shared" si="10"/>
        <v>31415.020000000019</v>
      </c>
      <c r="E37" s="305">
        <f t="shared" si="10"/>
        <v>7520</v>
      </c>
      <c r="F37" s="305">
        <f>SUM(F5:F35)</f>
        <v>-3588.8900000000722</v>
      </c>
      <c r="G37" s="305">
        <f t="shared" si="10"/>
        <v>19.530000000006112</v>
      </c>
      <c r="H37" s="305">
        <f t="shared" si="10"/>
        <v>-853.77000000001863</v>
      </c>
      <c r="I37" s="305">
        <f t="shared" si="10"/>
        <v>-446.65999999997439</v>
      </c>
      <c r="J37" s="305">
        <f t="shared" si="10"/>
        <v>-16246.159999999916</v>
      </c>
      <c r="K37" s="305">
        <f t="shared" si="10"/>
        <v>-828.53999999997905</v>
      </c>
      <c r="L37" s="305">
        <f t="shared" si="10"/>
        <v>1592.179999999993</v>
      </c>
      <c r="M37" s="305">
        <f t="shared" si="10"/>
        <v>-1599.0400000000373</v>
      </c>
      <c r="N37" s="305">
        <f t="shared" si="10"/>
        <v>1301</v>
      </c>
      <c r="O37" s="305">
        <f t="shared" si="10"/>
        <v>-151</v>
      </c>
      <c r="P37" s="305">
        <f t="shared" si="10"/>
        <v>-36.490000000000009</v>
      </c>
      <c r="Q37" s="305">
        <f t="shared" si="10"/>
        <v>-170.38999999999942</v>
      </c>
      <c r="R37" s="305">
        <f t="shared" si="10"/>
        <v>133.65000000000146</v>
      </c>
      <c r="S37" s="305">
        <f t="shared" si="10"/>
        <v>283.77999999999975</v>
      </c>
      <c r="T37" s="305">
        <f t="shared" si="10"/>
        <v>-163</v>
      </c>
      <c r="U37" s="305">
        <f t="shared" si="10"/>
        <v>259</v>
      </c>
      <c r="V37" s="305">
        <f t="shared" si="10"/>
        <v>-53.380000000004657</v>
      </c>
      <c r="W37" s="305">
        <f t="shared" si="10"/>
        <v>191.35999999998603</v>
      </c>
      <c r="X37" s="305">
        <f t="shared" si="10"/>
        <v>29.959999999999127</v>
      </c>
      <c r="Y37" s="305">
        <f t="shared" si="10"/>
        <v>-155.69000000000233</v>
      </c>
      <c r="Z37" s="305">
        <f t="shared" si="10"/>
        <v>-4799</v>
      </c>
      <c r="AA37" s="305">
        <f t="shared" si="10"/>
        <v>2075.359999999986</v>
      </c>
      <c r="AB37" s="305">
        <f t="shared" si="10"/>
        <v>-16.399999999994179</v>
      </c>
      <c r="AC37" s="305">
        <f t="shared" si="10"/>
        <v>-136.93999999999869</v>
      </c>
      <c r="AD37" s="305">
        <f t="shared" si="10"/>
        <v>-291.29999999999836</v>
      </c>
      <c r="AE37" s="305">
        <f t="shared" si="10"/>
        <v>-398.72999999999593</v>
      </c>
      <c r="AF37" s="305">
        <f t="shared" si="10"/>
        <v>1277.1399999999994</v>
      </c>
      <c r="AG37" s="305">
        <f t="shared" si="10"/>
        <v>-420.8799999999901</v>
      </c>
      <c r="AH37" s="305">
        <f t="shared" si="10"/>
        <v>279.15000000000146</v>
      </c>
      <c r="AI37" s="305">
        <f t="shared" si="10"/>
        <v>-292.70000000000437</v>
      </c>
      <c r="AJ37" s="305">
        <f t="shared" si="10"/>
        <v>-319.10000000000582</v>
      </c>
      <c r="AK37" s="305">
        <f t="shared" si="10"/>
        <v>773.33000000000175</v>
      </c>
      <c r="AL37" s="305">
        <f t="shared" si="10"/>
        <v>-296.63999999999942</v>
      </c>
      <c r="AM37" s="305">
        <f t="shared" si="10"/>
        <v>734.63000000000466</v>
      </c>
      <c r="AN37" s="305">
        <f t="shared" si="10"/>
        <v>31415.020000000019</v>
      </c>
      <c r="AO37" s="305">
        <f t="shared" si="10"/>
        <v>120.46999999997206</v>
      </c>
      <c r="AP37" s="305">
        <f t="shared" si="10"/>
        <v>0</v>
      </c>
      <c r="AQ37" s="305">
        <f t="shared" si="10"/>
        <v>56.459999999991851</v>
      </c>
      <c r="AR37" s="305">
        <f t="shared" si="10"/>
        <v>-44.30000000000291</v>
      </c>
      <c r="AS37" s="305">
        <f t="shared" si="10"/>
        <v>-3.3999999999996362</v>
      </c>
      <c r="AT37" s="305">
        <f t="shared" si="10"/>
        <v>31285.790000000059</v>
      </c>
      <c r="AU37" s="305">
        <f t="shared" si="10"/>
        <v>-1092439.3683909022</v>
      </c>
      <c r="AV37" s="305">
        <f t="shared" si="10"/>
        <v>-21.209999999999127</v>
      </c>
      <c r="AW37" s="305">
        <f t="shared" si="10"/>
        <v>43.639999999999418</v>
      </c>
      <c r="AX37" s="305">
        <f t="shared" si="10"/>
        <v>303.36000000000058</v>
      </c>
      <c r="AY37" s="305">
        <f t="shared" si="10"/>
        <v>325.79000000000087</v>
      </c>
      <c r="AZ37" s="305">
        <f t="shared" si="10"/>
        <v>625.57260445773068</v>
      </c>
      <c r="BA37" s="305">
        <f t="shared" si="10"/>
        <v>810.07996970230704</v>
      </c>
      <c r="BB37" s="305">
        <f t="shared" si="10"/>
        <v>1001388.35</v>
      </c>
      <c r="BC37" s="305" t="e">
        <f t="shared" si="10"/>
        <v>#DIV/0!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490">
        <f t="shared" ref="F39:K39" si="11">F19-F18</f>
        <v>-183</v>
      </c>
      <c r="G39" s="490">
        <f t="shared" si="11"/>
        <v>-2</v>
      </c>
      <c r="H39" s="490">
        <f t="shared" si="11"/>
        <v>92.760000000000218</v>
      </c>
      <c r="I39" s="490">
        <f t="shared" si="11"/>
        <v>110.18999999994412</v>
      </c>
      <c r="J39" s="490">
        <f t="shared" si="11"/>
        <v>698.36000000004424</v>
      </c>
      <c r="K39" s="490">
        <f t="shared" si="11"/>
        <v>63</v>
      </c>
      <c r="L39" s="490"/>
      <c r="M39" s="490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16" zoomScale="60" zoomScaleNormal="61" zoomScalePageLayoutView="70" workbookViewId="0">
      <selection activeCell="F28" sqref="F28"/>
    </sheetView>
  </sheetViews>
  <sheetFormatPr defaultColWidth="22.33203125" defaultRowHeight="21.95" customHeight="1"/>
  <cols>
    <col min="1" max="1" width="50.21875" style="527" customWidth="1"/>
    <col min="2" max="2" width="23" style="515" bestFit="1" customWidth="1"/>
    <col min="3" max="3" width="14.44140625" style="515" customWidth="1"/>
    <col min="4" max="4" width="13.6640625" style="515" customWidth="1"/>
    <col min="5" max="5" width="30" style="395" customWidth="1"/>
    <col min="6" max="6" width="19.44140625" style="395" customWidth="1"/>
    <col min="7" max="7" width="18.109375" style="664" bestFit="1" customWidth="1"/>
    <col min="8" max="8" width="24.6640625" style="181" customWidth="1"/>
    <col min="9" max="9" width="23.5546875" style="395" customWidth="1"/>
    <col min="10" max="10" width="24" style="181" customWidth="1"/>
    <col min="11" max="11" width="43.21875" style="515" hidden="1" customWidth="1"/>
    <col min="12" max="13" width="0" style="515" hidden="1" customWidth="1"/>
    <col min="14" max="14" width="25.109375" style="515" customWidth="1"/>
    <col min="15" max="16" width="22.33203125" style="515"/>
    <col min="17" max="17" width="44.77734375" style="515" customWidth="1"/>
    <col min="18" max="16384" width="22.33203125" style="515"/>
  </cols>
  <sheetData>
    <row r="1" spans="1:15" ht="26.25">
      <c r="A1" s="1109" t="s">
        <v>115</v>
      </c>
      <c r="B1" s="1110"/>
      <c r="C1" s="1110"/>
      <c r="D1" s="1110"/>
      <c r="E1" s="1110"/>
      <c r="F1" s="1110"/>
      <c r="G1" s="1110"/>
      <c r="H1" s="1110"/>
      <c r="I1" s="1110"/>
      <c r="J1" s="1111"/>
    </row>
    <row r="2" spans="1:15" ht="26.25">
      <c r="A2" s="516" t="s">
        <v>354</v>
      </c>
      <c r="B2" s="672">
        <v>44835</v>
      </c>
      <c r="C2" s="612" t="s">
        <v>67</v>
      </c>
      <c r="D2" s="613">
        <v>0.52</v>
      </c>
      <c r="E2" s="633"/>
      <c r="F2" s="634"/>
      <c r="G2" s="635" t="s">
        <v>116</v>
      </c>
      <c r="H2" s="634" t="s">
        <v>5</v>
      </c>
      <c r="I2" s="634" t="s">
        <v>7</v>
      </c>
      <c r="J2" s="636" t="s">
        <v>117</v>
      </c>
    </row>
    <row r="3" spans="1:15" ht="26.25">
      <c r="A3" s="517"/>
      <c r="B3" s="614"/>
      <c r="C3" s="612" t="s">
        <v>118</v>
      </c>
      <c r="D3" s="615">
        <v>28</v>
      </c>
      <c r="E3" s="1118" t="s">
        <v>119</v>
      </c>
      <c r="F3" s="1119"/>
      <c r="G3" s="635"/>
      <c r="H3" s="637"/>
      <c r="I3" s="637"/>
      <c r="J3" s="636"/>
      <c r="K3" s="518"/>
      <c r="L3" s="519"/>
    </row>
    <row r="4" spans="1:15" ht="26.25">
      <c r="A4" s="520"/>
      <c r="B4" s="616"/>
      <c r="C4" s="612" t="s">
        <v>120</v>
      </c>
      <c r="D4" s="613">
        <v>0.79</v>
      </c>
      <c r="E4" s="638"/>
      <c r="F4" s="638"/>
      <c r="G4" s="635"/>
      <c r="H4" s="638"/>
      <c r="I4" s="639"/>
      <c r="J4" s="636"/>
      <c r="K4" s="521"/>
      <c r="L4" s="519"/>
    </row>
    <row r="5" spans="1:15" s="527" customFormat="1" ht="26.25">
      <c r="A5" s="522" t="s">
        <v>121</v>
      </c>
      <c r="B5" s="523"/>
      <c r="C5" s="523"/>
      <c r="D5" s="523" t="s">
        <v>122</v>
      </c>
      <c r="E5" s="106" t="s">
        <v>123</v>
      </c>
      <c r="F5" s="120" t="s">
        <v>110</v>
      </c>
      <c r="G5" s="411" t="s">
        <v>124</v>
      </c>
      <c r="H5" s="95" t="s">
        <v>125</v>
      </c>
      <c r="I5" s="99" t="s">
        <v>126</v>
      </c>
      <c r="J5" s="173" t="s">
        <v>127</v>
      </c>
      <c r="K5" s="525"/>
      <c r="L5" s="526"/>
    </row>
    <row r="6" spans="1:15" s="527" customFormat="1" ht="26.25">
      <c r="A6" s="1112" t="s">
        <v>128</v>
      </c>
      <c r="B6" s="1113"/>
      <c r="C6" s="1114"/>
      <c r="D6" s="528"/>
      <c r="E6" s="110"/>
      <c r="F6" s="111"/>
      <c r="G6" s="423"/>
      <c r="H6" s="111"/>
      <c r="I6" s="111"/>
      <c r="J6" s="174"/>
      <c r="K6" s="530"/>
      <c r="L6" s="526"/>
    </row>
    <row r="7" spans="1:15" ht="27" thickBot="1">
      <c r="A7" s="531" t="s">
        <v>129</v>
      </c>
      <c r="B7" s="574"/>
      <c r="C7" s="574"/>
      <c r="D7" s="532" t="s">
        <v>130</v>
      </c>
      <c r="E7" s="95">
        <v>881732</v>
      </c>
      <c r="F7" s="99">
        <v>907048</v>
      </c>
      <c r="G7" s="640">
        <f>F7-E7</f>
        <v>25316</v>
      </c>
      <c r="H7" s="99">
        <f>G7</f>
        <v>25316</v>
      </c>
      <c r="I7" s="124">
        <v>12000</v>
      </c>
      <c r="J7" s="175">
        <f>H7/DAY(B2)</f>
        <v>25316</v>
      </c>
      <c r="K7" s="533">
        <v>1375467</v>
      </c>
      <c r="L7" s="519"/>
      <c r="N7" s="534"/>
      <c r="O7" s="535"/>
    </row>
    <row r="8" spans="1:15" ht="27" thickBot="1">
      <c r="A8" s="536" t="s">
        <v>131</v>
      </c>
      <c r="B8" s="575"/>
      <c r="C8" s="576"/>
      <c r="D8" s="537" t="s">
        <v>24</v>
      </c>
      <c r="E8" s="95">
        <v>49380</v>
      </c>
      <c r="F8" s="99">
        <v>75049</v>
      </c>
      <c r="G8" s="640">
        <f>F8-E8</f>
        <v>25669</v>
      </c>
      <c r="H8" s="99">
        <f>G8</f>
        <v>25669</v>
      </c>
      <c r="I8" s="116">
        <v>12000</v>
      </c>
      <c r="J8" s="175">
        <f>H8/DAY(B2)</f>
        <v>25669</v>
      </c>
      <c r="K8" s="533">
        <v>1715917</v>
      </c>
      <c r="L8" s="538">
        <v>1728480</v>
      </c>
      <c r="M8" s="534">
        <f>L8-K8</f>
        <v>12563</v>
      </c>
      <c r="N8" s="534"/>
      <c r="O8" s="535"/>
    </row>
    <row r="9" spans="1:15" ht="26.25">
      <c r="A9" s="539" t="s">
        <v>132</v>
      </c>
      <c r="B9" s="577"/>
      <c r="C9" s="577"/>
      <c r="D9" s="532" t="s">
        <v>130</v>
      </c>
      <c r="E9" s="447">
        <v>3706707</v>
      </c>
      <c r="F9" s="632">
        <v>3714457</v>
      </c>
      <c r="G9" s="641">
        <f>F9-E9</f>
        <v>7750</v>
      </c>
      <c r="H9" s="99">
        <f t="shared" ref="H9:H13" si="0">G9</f>
        <v>7750</v>
      </c>
      <c r="I9" s="124">
        <f>I8-J8</f>
        <v>-13669</v>
      </c>
      <c r="J9" s="175">
        <f>H9/DAY(B2)</f>
        <v>7750</v>
      </c>
      <c r="K9" s="540">
        <f>K8-100</f>
        <v>1715817</v>
      </c>
      <c r="L9" s="519"/>
      <c r="N9" s="534"/>
      <c r="O9" s="535"/>
    </row>
    <row r="10" spans="1:15" ht="26.25">
      <c r="A10" s="531" t="s">
        <v>133</v>
      </c>
      <c r="B10" s="574"/>
      <c r="C10" s="574"/>
      <c r="D10" s="532" t="s">
        <v>130</v>
      </c>
      <c r="E10" s="353">
        <v>2742694</v>
      </c>
      <c r="F10" s="632">
        <v>2759593</v>
      </c>
      <c r="G10" s="641">
        <f t="shared" ref="G10:G11" si="1">F10-E10</f>
        <v>16899</v>
      </c>
      <c r="H10" s="99">
        <f t="shared" si="0"/>
        <v>16899</v>
      </c>
      <c r="I10" s="99"/>
      <c r="J10" s="175">
        <f>H10/DAY(B2)</f>
        <v>16899</v>
      </c>
      <c r="K10" s="540"/>
      <c r="L10" s="519"/>
      <c r="N10" s="534"/>
      <c r="O10" s="535"/>
    </row>
    <row r="11" spans="1:15" ht="26.25">
      <c r="A11" s="531" t="s">
        <v>134</v>
      </c>
      <c r="B11" s="574"/>
      <c r="C11" s="574"/>
      <c r="D11" s="532" t="s">
        <v>130</v>
      </c>
      <c r="E11" s="95">
        <v>37560</v>
      </c>
      <c r="F11" s="99">
        <v>37560</v>
      </c>
      <c r="G11" s="641">
        <f t="shared" si="1"/>
        <v>0</v>
      </c>
      <c r="H11" s="99">
        <f t="shared" si="0"/>
        <v>0</v>
      </c>
      <c r="I11" s="99"/>
      <c r="J11" s="175">
        <f>H11/DAY(B2)</f>
        <v>0</v>
      </c>
      <c r="K11" s="540"/>
      <c r="L11" s="519"/>
      <c r="N11" s="534"/>
      <c r="O11" s="535"/>
    </row>
    <row r="12" spans="1:15" ht="26.25">
      <c r="A12" s="531" t="s">
        <v>135</v>
      </c>
      <c r="B12" s="574"/>
      <c r="C12" s="574"/>
      <c r="D12" s="532" t="s">
        <v>130</v>
      </c>
      <c r="E12" s="117">
        <v>40380</v>
      </c>
      <c r="F12" s="632">
        <v>40380</v>
      </c>
      <c r="G12" s="641">
        <f>F12-E12</f>
        <v>0</v>
      </c>
      <c r="H12" s="99">
        <f t="shared" si="0"/>
        <v>0</v>
      </c>
      <c r="I12" s="99"/>
      <c r="J12" s="175">
        <f>H12/DAY(B2)</f>
        <v>0</v>
      </c>
      <c r="K12" s="540"/>
      <c r="L12" s="519"/>
      <c r="N12" s="534"/>
      <c r="O12" s="535"/>
    </row>
    <row r="13" spans="1:15" ht="26.25">
      <c r="A13" s="541" t="s">
        <v>136</v>
      </c>
      <c r="B13" s="578"/>
      <c r="C13" s="578"/>
      <c r="D13" s="532"/>
      <c r="E13" s="95"/>
      <c r="F13" s="99"/>
      <c r="G13" s="641">
        <v>26109</v>
      </c>
      <c r="H13" s="99">
        <f t="shared" si="0"/>
        <v>26109</v>
      </c>
      <c r="I13" s="124">
        <f>G7-G13</f>
        <v>-793</v>
      </c>
      <c r="J13" s="175">
        <f>H13/DAY(B2)</f>
        <v>26109</v>
      </c>
      <c r="K13" s="540"/>
      <c r="L13" s="519"/>
      <c r="N13" s="534"/>
      <c r="O13" s="535"/>
    </row>
    <row r="14" spans="1:15" ht="26.25">
      <c r="A14" s="1115" t="s">
        <v>137</v>
      </c>
      <c r="B14" s="1116"/>
      <c r="C14" s="1117"/>
      <c r="D14" s="529"/>
      <c r="E14" s="111"/>
      <c r="F14" s="385"/>
      <c r="G14" s="125"/>
      <c r="H14" s="385"/>
      <c r="I14" s="385"/>
      <c r="J14" s="642"/>
      <c r="K14" s="542"/>
      <c r="L14" s="519"/>
      <c r="N14" s="534"/>
      <c r="O14" s="535"/>
    </row>
    <row r="15" spans="1:15" ht="26.25">
      <c r="A15" s="543" t="s">
        <v>138</v>
      </c>
      <c r="B15" s="579"/>
      <c r="C15" s="579"/>
      <c r="D15" s="532" t="s">
        <v>139</v>
      </c>
      <c r="E15" s="447">
        <v>2161515</v>
      </c>
      <c r="F15" s="643">
        <f>+E15+967</f>
        <v>2162482</v>
      </c>
      <c r="G15" s="644">
        <f>(F15-E15)</f>
        <v>967</v>
      </c>
      <c r="H15" s="124">
        <f>G15</f>
        <v>967</v>
      </c>
      <c r="I15" s="124">
        <v>800</v>
      </c>
      <c r="J15" s="175">
        <f>H15/DAY(B2)</f>
        <v>967</v>
      </c>
      <c r="K15" s="540"/>
      <c r="L15" s="519"/>
      <c r="N15" s="534"/>
      <c r="O15" s="535"/>
    </row>
    <row r="16" spans="1:15" ht="26.25">
      <c r="A16" s="544"/>
      <c r="B16" s="580"/>
      <c r="C16" s="580"/>
      <c r="D16" s="581"/>
      <c r="E16" s="123"/>
      <c r="F16" s="645"/>
      <c r="G16" s="641"/>
      <c r="H16" s="124"/>
      <c r="I16" s="124">
        <f>I15-J15</f>
        <v>-167</v>
      </c>
      <c r="J16" s="176"/>
      <c r="K16" s="540"/>
      <c r="L16" s="519"/>
      <c r="N16" s="534"/>
      <c r="O16" s="535"/>
    </row>
    <row r="17" spans="1:15" ht="26.25">
      <c r="A17" s="1115" t="s">
        <v>140</v>
      </c>
      <c r="B17" s="1116"/>
      <c r="C17" s="1117"/>
      <c r="D17" s="529"/>
      <c r="E17" s="111"/>
      <c r="F17" s="385"/>
      <c r="G17" s="125"/>
      <c r="H17" s="385"/>
      <c r="I17" s="385"/>
      <c r="J17" s="642"/>
      <c r="K17" s="540"/>
      <c r="L17" s="519"/>
      <c r="N17" s="534"/>
      <c r="O17" s="535"/>
    </row>
    <row r="18" spans="1:15" ht="26.25">
      <c r="A18" s="1083" t="s">
        <v>141</v>
      </c>
      <c r="B18" s="1084"/>
      <c r="C18" s="1085"/>
      <c r="D18" s="532" t="s">
        <v>142</v>
      </c>
      <c r="E18" s="122">
        <v>27</v>
      </c>
      <c r="F18" s="646">
        <v>25</v>
      </c>
      <c r="G18" s="491">
        <f>F18*10</f>
        <v>250</v>
      </c>
      <c r="H18" s="99">
        <f>G18</f>
        <v>250</v>
      </c>
      <c r="I18" s="124">
        <v>65</v>
      </c>
      <c r="J18" s="175">
        <f>H18/DAY(B2)</f>
        <v>250</v>
      </c>
      <c r="K18" s="540"/>
      <c r="L18" s="519"/>
      <c r="N18" s="534"/>
      <c r="O18" s="535"/>
    </row>
    <row r="19" spans="1:15" ht="26.25">
      <c r="A19" s="1083" t="s">
        <v>69</v>
      </c>
      <c r="B19" s="1084"/>
      <c r="C19" s="1085"/>
      <c r="D19" s="532" t="s">
        <v>142</v>
      </c>
      <c r="E19" s="122">
        <v>165441</v>
      </c>
      <c r="F19" s="646">
        <v>165495</v>
      </c>
      <c r="G19" s="641">
        <f t="shared" ref="G19" si="2">F19-E19</f>
        <v>54</v>
      </c>
      <c r="H19" s="99">
        <f t="shared" ref="H19" si="3">G19</f>
        <v>54</v>
      </c>
      <c r="I19" s="632"/>
      <c r="J19" s="175">
        <f>H19/DAY(B2)</f>
        <v>54</v>
      </c>
      <c r="K19" s="540"/>
      <c r="L19" s="519"/>
      <c r="N19" s="534"/>
      <c r="O19" s="535"/>
    </row>
    <row r="20" spans="1:15" ht="26.25">
      <c r="A20" s="541" t="s">
        <v>143</v>
      </c>
      <c r="B20" s="578"/>
      <c r="C20" s="578"/>
      <c r="D20" s="582"/>
      <c r="E20" s="126"/>
      <c r="F20" s="647"/>
      <c r="G20" s="648">
        <f>G18+G19</f>
        <v>304</v>
      </c>
      <c r="H20" s="99">
        <f>G20</f>
        <v>304</v>
      </c>
      <c r="I20" s="336">
        <f>I18-J20</f>
        <v>-239</v>
      </c>
      <c r="J20" s="175">
        <f>H20/DAY(B2)</f>
        <v>304</v>
      </c>
      <c r="K20" s="540"/>
      <c r="L20" s="519"/>
      <c r="N20" s="534"/>
      <c r="O20" s="535"/>
    </row>
    <row r="21" spans="1:15" ht="26.25">
      <c r="A21" s="1115" t="s">
        <v>144</v>
      </c>
      <c r="B21" s="1116"/>
      <c r="C21" s="1117"/>
      <c r="D21" s="529"/>
      <c r="E21" s="111"/>
      <c r="F21" s="385"/>
      <c r="G21" s="125"/>
      <c r="H21" s="385"/>
      <c r="I21" s="385"/>
      <c r="J21" s="642"/>
      <c r="K21" s="540"/>
      <c r="L21" s="519"/>
      <c r="N21" s="534"/>
      <c r="O21" s="535"/>
    </row>
    <row r="22" spans="1:15" ht="26.25">
      <c r="A22" s="543" t="s">
        <v>145</v>
      </c>
      <c r="B22" s="579"/>
      <c r="C22" s="579"/>
      <c r="D22" s="532" t="s">
        <v>146</v>
      </c>
      <c r="E22" s="122">
        <v>2970</v>
      </c>
      <c r="F22" s="646">
        <v>2970</v>
      </c>
      <c r="G22" s="491">
        <f>(F22-E22)</f>
        <v>0</v>
      </c>
      <c r="H22" s="99">
        <f>G22</f>
        <v>0</v>
      </c>
      <c r="I22" s="99"/>
      <c r="J22" s="175">
        <f>H22/DAY(B2)</f>
        <v>0</v>
      </c>
      <c r="K22" s="540"/>
      <c r="L22" s="519"/>
      <c r="N22" s="534"/>
      <c r="O22" s="535"/>
    </row>
    <row r="23" spans="1:15" ht="26.25">
      <c r="A23" s="543" t="s">
        <v>147</v>
      </c>
      <c r="B23" s="579"/>
      <c r="C23" s="579"/>
      <c r="D23" s="532" t="s">
        <v>146</v>
      </c>
      <c r="E23" s="122">
        <v>2000</v>
      </c>
      <c r="F23" s="646">
        <v>2000</v>
      </c>
      <c r="G23" s="491">
        <f t="shared" ref="G23" si="4">(F23-E23)</f>
        <v>0</v>
      </c>
      <c r="H23" s="99">
        <f t="shared" ref="H23:H24" si="5">G23</f>
        <v>0</v>
      </c>
      <c r="I23" s="99"/>
      <c r="J23" s="175">
        <f>H23/DAY(B2)</f>
        <v>0</v>
      </c>
      <c r="K23" s="540"/>
      <c r="L23" s="519"/>
      <c r="N23" s="534"/>
      <c r="O23" s="535"/>
    </row>
    <row r="24" spans="1:15" ht="26.25">
      <c r="A24" s="545" t="s">
        <v>148</v>
      </c>
      <c r="B24" s="583"/>
      <c r="C24" s="583"/>
      <c r="D24" s="523" t="s">
        <v>146</v>
      </c>
      <c r="E24" s="128">
        <v>4970</v>
      </c>
      <c r="F24" s="649">
        <v>4970</v>
      </c>
      <c r="G24" s="491">
        <f>SUM(G22:G23)</f>
        <v>0</v>
      </c>
      <c r="H24" s="99">
        <f t="shared" si="5"/>
        <v>0</v>
      </c>
      <c r="I24" s="99"/>
      <c r="J24" s="175">
        <f>H24/DAY(B2)</f>
        <v>0</v>
      </c>
      <c r="K24" s="540"/>
      <c r="L24" s="519"/>
      <c r="N24" s="534"/>
      <c r="O24" s="535"/>
    </row>
    <row r="25" spans="1:15" ht="26.25">
      <c r="A25" s="1112" t="s">
        <v>149</v>
      </c>
      <c r="B25" s="1113"/>
      <c r="C25" s="1114"/>
      <c r="D25" s="528"/>
      <c r="E25" s="110"/>
      <c r="F25" s="385"/>
      <c r="G25" s="125"/>
      <c r="H25" s="385"/>
      <c r="I25" s="650"/>
      <c r="J25" s="642"/>
      <c r="K25" s="540"/>
      <c r="L25" s="519"/>
      <c r="N25" s="534"/>
      <c r="O25" s="535"/>
    </row>
    <row r="26" spans="1:15" ht="26.25">
      <c r="A26" s="546" t="s">
        <v>150</v>
      </c>
      <c r="B26" s="584"/>
      <c r="C26" s="585"/>
      <c r="D26" s="586" t="s">
        <v>151</v>
      </c>
      <c r="E26" s="132"/>
      <c r="F26" s="651"/>
      <c r="G26" s="652"/>
      <c r="H26" s="99"/>
      <c r="I26" s="134"/>
      <c r="J26" s="175"/>
      <c r="K26" s="542"/>
      <c r="L26" s="519"/>
      <c r="N26" s="534"/>
      <c r="O26" s="535"/>
    </row>
    <row r="27" spans="1:15" ht="26.25">
      <c r="A27" s="546" t="s">
        <v>5</v>
      </c>
      <c r="B27" s="584"/>
      <c r="C27" s="585"/>
      <c r="D27" s="587" t="s">
        <v>24</v>
      </c>
      <c r="E27" s="136">
        <f>G8</f>
        <v>25669</v>
      </c>
      <c r="F27" s="136">
        <v>10</v>
      </c>
      <c r="G27" s="653">
        <f>E27*F27</f>
        <v>256690</v>
      </c>
      <c r="H27" s="99">
        <f t="shared" ref="H27:H32" si="6">G27</f>
        <v>256690</v>
      </c>
      <c r="I27" s="654"/>
      <c r="J27" s="175">
        <f>H27/DAY(B2)</f>
        <v>256690</v>
      </c>
      <c r="K27" s="540"/>
      <c r="L27" s="519"/>
      <c r="N27" s="534"/>
      <c r="O27" s="535"/>
    </row>
    <row r="28" spans="1:15" ht="26.25">
      <c r="A28" s="546" t="s">
        <v>152</v>
      </c>
      <c r="B28" s="584"/>
      <c r="C28" s="585"/>
      <c r="D28" s="587" t="s">
        <v>153</v>
      </c>
      <c r="E28" s="136">
        <f>G15</f>
        <v>967</v>
      </c>
      <c r="F28" s="136">
        <v>75</v>
      </c>
      <c r="G28" s="653">
        <f>E28*F28</f>
        <v>72525</v>
      </c>
      <c r="H28" s="99">
        <f t="shared" si="6"/>
        <v>72525</v>
      </c>
      <c r="I28" s="134"/>
      <c r="J28" s="175">
        <f>H28/DAY(B2)</f>
        <v>72525</v>
      </c>
      <c r="K28" s="540"/>
      <c r="L28" s="519"/>
      <c r="N28" s="534"/>
      <c r="O28" s="535"/>
    </row>
    <row r="29" spans="1:15" ht="26.25">
      <c r="A29" s="546" t="s">
        <v>154</v>
      </c>
      <c r="B29" s="584"/>
      <c r="C29" s="585"/>
      <c r="D29" s="587" t="s">
        <v>155</v>
      </c>
      <c r="E29" s="136">
        <f>G24</f>
        <v>0</v>
      </c>
      <c r="F29" s="136">
        <v>69</v>
      </c>
      <c r="G29" s="653">
        <f>E29*F29</f>
        <v>0</v>
      </c>
      <c r="H29" s="99">
        <f t="shared" si="6"/>
        <v>0</v>
      </c>
      <c r="I29" s="134"/>
      <c r="J29" s="175">
        <f>H29/DAY(B2)</f>
        <v>0</v>
      </c>
      <c r="K29" s="540"/>
      <c r="L29" s="519"/>
      <c r="N29" s="534"/>
      <c r="O29" s="535"/>
    </row>
    <row r="30" spans="1:15" ht="26.25">
      <c r="A30" s="546" t="s">
        <v>156</v>
      </c>
      <c r="B30" s="584"/>
      <c r="C30" s="585"/>
      <c r="D30" s="587" t="s">
        <v>157</v>
      </c>
      <c r="E30" s="136">
        <f>G19</f>
        <v>54</v>
      </c>
      <c r="F30" s="136">
        <v>151</v>
      </c>
      <c r="G30" s="653">
        <f>E30*F30</f>
        <v>8154</v>
      </c>
      <c r="H30" s="99">
        <f t="shared" si="6"/>
        <v>8154</v>
      </c>
      <c r="I30" s="134"/>
      <c r="J30" s="175">
        <f>H30/DAY(B2)</f>
        <v>8154</v>
      </c>
      <c r="K30" s="540"/>
      <c r="L30" s="519"/>
      <c r="N30" s="534"/>
      <c r="O30" s="535"/>
    </row>
    <row r="31" spans="1:15" ht="26.25">
      <c r="A31" s="546" t="s">
        <v>158</v>
      </c>
      <c r="B31" s="584"/>
      <c r="C31" s="585"/>
      <c r="D31" s="587" t="s">
        <v>142</v>
      </c>
      <c r="E31" s="136">
        <f>G18</f>
        <v>250</v>
      </c>
      <c r="F31" s="136">
        <v>80</v>
      </c>
      <c r="G31" s="653">
        <f>E31*F31</f>
        <v>20000</v>
      </c>
      <c r="H31" s="99">
        <f t="shared" si="6"/>
        <v>20000</v>
      </c>
      <c r="I31" s="134"/>
      <c r="J31" s="175">
        <f>H31/DAY(B2)</f>
        <v>20000</v>
      </c>
      <c r="K31" s="540"/>
      <c r="L31" s="519"/>
      <c r="N31" s="534"/>
      <c r="O31" s="535"/>
    </row>
    <row r="32" spans="1:15" ht="26.25">
      <c r="A32" s="547" t="s">
        <v>159</v>
      </c>
      <c r="B32" s="588"/>
      <c r="C32" s="589"/>
      <c r="D32" s="590"/>
      <c r="E32" s="142"/>
      <c r="F32" s="655"/>
      <c r="G32" s="656">
        <f>G27+G28+G29+G30+G31</f>
        <v>357369</v>
      </c>
      <c r="H32" s="671">
        <f t="shared" si="6"/>
        <v>357369</v>
      </c>
      <c r="I32" s="657"/>
      <c r="J32" s="673">
        <f>H32/DAY(B2)</f>
        <v>357369</v>
      </c>
      <c r="K32" s="540"/>
      <c r="L32" s="519"/>
      <c r="N32" s="534"/>
      <c r="O32" s="535"/>
    </row>
    <row r="33" spans="1:15" ht="25.5" customHeight="1">
      <c r="A33" s="1120" t="s">
        <v>331</v>
      </c>
      <c r="B33" s="1121"/>
      <c r="C33" s="1121"/>
      <c r="D33" s="591"/>
      <c r="E33" s="658"/>
      <c r="F33" s="659"/>
      <c r="G33" s="659"/>
      <c r="H33" s="659"/>
      <c r="I33" s="659"/>
      <c r="J33" s="660"/>
      <c r="K33" s="540"/>
      <c r="L33" s="519"/>
      <c r="N33" s="534"/>
      <c r="O33" s="535"/>
    </row>
    <row r="34" spans="1:15" ht="26.25">
      <c r="A34" s="548" t="s">
        <v>160</v>
      </c>
      <c r="B34" s="592"/>
      <c r="C34" s="592"/>
      <c r="D34" s="529"/>
      <c r="E34" s="110"/>
      <c r="F34" s="385"/>
      <c r="G34" s="385"/>
      <c r="H34" s="385"/>
      <c r="I34" s="385"/>
      <c r="J34" s="642"/>
      <c r="K34" s="540"/>
      <c r="L34" s="519"/>
      <c r="N34" s="534"/>
      <c r="O34" s="535"/>
    </row>
    <row r="35" spans="1:15" ht="26.25">
      <c r="A35" s="531" t="s">
        <v>161</v>
      </c>
      <c r="B35" s="574"/>
      <c r="C35" s="574"/>
      <c r="D35" s="532" t="s">
        <v>130</v>
      </c>
      <c r="E35" s="145">
        <v>238713.05</v>
      </c>
      <c r="F35" s="632">
        <v>238713.05</v>
      </c>
      <c r="G35" s="641">
        <f t="shared" ref="G35:G46" si="7">F35-E35</f>
        <v>0</v>
      </c>
      <c r="H35" s="99">
        <f t="shared" ref="H35:H47" si="8">G35</f>
        <v>0</v>
      </c>
      <c r="I35" s="99"/>
      <c r="J35" s="175">
        <f>H35/DAY(B2)</f>
        <v>0</v>
      </c>
      <c r="K35" s="540"/>
      <c r="L35" s="519"/>
      <c r="N35" s="534"/>
      <c r="O35" s="535"/>
    </row>
    <row r="36" spans="1:15" ht="26.25">
      <c r="A36" s="531" t="s">
        <v>162</v>
      </c>
      <c r="B36" s="574"/>
      <c r="C36" s="574"/>
      <c r="D36" s="532" t="s">
        <v>130</v>
      </c>
      <c r="E36" s="145">
        <v>269483</v>
      </c>
      <c r="F36" s="632">
        <v>270177</v>
      </c>
      <c r="G36" s="641">
        <f t="shared" si="7"/>
        <v>694</v>
      </c>
      <c r="H36" s="99">
        <f t="shared" si="8"/>
        <v>694</v>
      </c>
      <c r="I36" s="99"/>
      <c r="J36" s="175">
        <f>H36/DAY(B2)</f>
        <v>694</v>
      </c>
      <c r="K36" s="540"/>
      <c r="L36" s="519"/>
      <c r="N36" s="534"/>
      <c r="O36" s="549"/>
    </row>
    <row r="37" spans="1:15" ht="26.25">
      <c r="A37" s="531" t="s">
        <v>163</v>
      </c>
      <c r="B37" s="574"/>
      <c r="C37" s="574"/>
      <c r="D37" s="532" t="s">
        <v>130</v>
      </c>
      <c r="E37" s="145">
        <v>322998.69</v>
      </c>
      <c r="F37" s="632">
        <v>322998.69</v>
      </c>
      <c r="G37" s="641">
        <f t="shared" si="7"/>
        <v>0</v>
      </c>
      <c r="H37" s="99">
        <f t="shared" si="8"/>
        <v>0</v>
      </c>
      <c r="I37" s="99"/>
      <c r="J37" s="175">
        <f>H37/DAY(B2)</f>
        <v>0</v>
      </c>
      <c r="K37" s="540"/>
      <c r="L37" s="519"/>
      <c r="N37" s="534"/>
      <c r="O37" s="550"/>
    </row>
    <row r="38" spans="1:15" ht="26.25">
      <c r="A38" s="531" t="s">
        <v>164</v>
      </c>
      <c r="B38" s="574"/>
      <c r="C38" s="574"/>
      <c r="D38" s="532" t="s">
        <v>130</v>
      </c>
      <c r="E38" s="108">
        <v>593717</v>
      </c>
      <c r="F38" s="99">
        <v>595948</v>
      </c>
      <c r="G38" s="641">
        <f t="shared" si="7"/>
        <v>2231</v>
      </c>
      <c r="H38" s="99">
        <f t="shared" si="8"/>
        <v>2231</v>
      </c>
      <c r="I38" s="99"/>
      <c r="J38" s="175">
        <f>H38/DAY(B2)</f>
        <v>2231</v>
      </c>
      <c r="K38" s="540"/>
      <c r="L38" s="519"/>
      <c r="N38" s="534"/>
      <c r="O38" s="535"/>
    </row>
    <row r="39" spans="1:15" ht="26.25">
      <c r="A39" s="531" t="s">
        <v>165</v>
      </c>
      <c r="B39" s="574"/>
      <c r="C39" s="574"/>
      <c r="D39" s="532" t="s">
        <v>130</v>
      </c>
      <c r="E39" s="145">
        <v>591584.18999999994</v>
      </c>
      <c r="F39" s="632">
        <v>591584.18999999994</v>
      </c>
      <c r="G39" s="641">
        <f t="shared" si="7"/>
        <v>0</v>
      </c>
      <c r="H39" s="99">
        <f t="shared" si="8"/>
        <v>0</v>
      </c>
      <c r="I39" s="99"/>
      <c r="J39" s="175">
        <f>H39/DAY(B2)</f>
        <v>0</v>
      </c>
      <c r="K39" s="540"/>
      <c r="L39" s="519"/>
      <c r="N39" s="534"/>
      <c r="O39" s="535"/>
    </row>
    <row r="40" spans="1:15" ht="26.25">
      <c r="A40" s="551" t="s">
        <v>166</v>
      </c>
      <c r="B40" s="593"/>
      <c r="C40" s="593"/>
      <c r="D40" s="532" t="s">
        <v>130</v>
      </c>
      <c r="E40" s="145">
        <v>157980</v>
      </c>
      <c r="F40" s="632">
        <v>158777</v>
      </c>
      <c r="G40" s="641">
        <f t="shared" si="7"/>
        <v>797</v>
      </c>
      <c r="H40" s="99">
        <f t="shared" si="8"/>
        <v>797</v>
      </c>
      <c r="I40" s="99"/>
      <c r="J40" s="175">
        <f>H40/DAY(B2)</f>
        <v>797</v>
      </c>
      <c r="K40" s="542"/>
      <c r="L40" s="519"/>
      <c r="N40" s="534"/>
      <c r="O40" s="535"/>
    </row>
    <row r="41" spans="1:15" ht="26.25">
      <c r="A41" s="531" t="s">
        <v>167</v>
      </c>
      <c r="B41" s="574"/>
      <c r="C41" s="574"/>
      <c r="D41" s="532" t="s">
        <v>130</v>
      </c>
      <c r="E41" s="145">
        <v>381352</v>
      </c>
      <c r="F41" s="632">
        <v>381352</v>
      </c>
      <c r="G41" s="641">
        <f t="shared" si="7"/>
        <v>0</v>
      </c>
      <c r="H41" s="99">
        <f t="shared" si="8"/>
        <v>0</v>
      </c>
      <c r="I41" s="99"/>
      <c r="J41" s="175">
        <f>H41/DAY(B2)</f>
        <v>0</v>
      </c>
      <c r="K41" s="540"/>
      <c r="L41" s="519"/>
      <c r="N41" s="534"/>
      <c r="O41" s="535"/>
    </row>
    <row r="42" spans="1:15" ht="26.25">
      <c r="A42" s="531" t="s">
        <v>168</v>
      </c>
      <c r="B42" s="574"/>
      <c r="C42" s="574"/>
      <c r="D42" s="532" t="s">
        <v>130</v>
      </c>
      <c r="E42" s="405">
        <v>825087</v>
      </c>
      <c r="F42" s="632">
        <v>830096</v>
      </c>
      <c r="G42" s="641">
        <f t="shared" si="7"/>
        <v>5009</v>
      </c>
      <c r="H42" s="99">
        <f t="shared" si="8"/>
        <v>5009</v>
      </c>
      <c r="I42" s="99"/>
      <c r="J42" s="175">
        <f>H42/DAY(B2)</f>
        <v>5009</v>
      </c>
      <c r="K42" s="540"/>
      <c r="L42" s="519"/>
      <c r="N42" s="534"/>
      <c r="O42" s="535"/>
    </row>
    <row r="43" spans="1:15" ht="26.25">
      <c r="A43" s="531" t="s">
        <v>169</v>
      </c>
      <c r="B43" s="574"/>
      <c r="C43" s="574"/>
      <c r="D43" s="532" t="s">
        <v>130</v>
      </c>
      <c r="E43" s="145">
        <v>407028</v>
      </c>
      <c r="F43" s="632">
        <v>407028</v>
      </c>
      <c r="G43" s="641">
        <f t="shared" si="7"/>
        <v>0</v>
      </c>
      <c r="H43" s="99">
        <f t="shared" si="8"/>
        <v>0</v>
      </c>
      <c r="I43" s="99"/>
      <c r="J43" s="175">
        <f>H43/DAY(B2)</f>
        <v>0</v>
      </c>
      <c r="K43" s="540"/>
      <c r="L43" s="519"/>
      <c r="N43" s="534"/>
      <c r="O43" s="535"/>
    </row>
    <row r="44" spans="1:15" ht="26.25">
      <c r="A44" s="531" t="s">
        <v>170</v>
      </c>
      <c r="B44" s="574"/>
      <c r="C44" s="574"/>
      <c r="D44" s="532" t="s">
        <v>130</v>
      </c>
      <c r="E44" s="145">
        <v>0</v>
      </c>
      <c r="F44" s="632">
        <v>0</v>
      </c>
      <c r="G44" s="641">
        <f t="shared" si="7"/>
        <v>0</v>
      </c>
      <c r="H44" s="99">
        <f t="shared" si="8"/>
        <v>0</v>
      </c>
      <c r="I44" s="99"/>
      <c r="J44" s="175">
        <f>H44/DAY(B2)</f>
        <v>0</v>
      </c>
      <c r="K44" s="540"/>
      <c r="L44" s="519"/>
      <c r="N44" s="534"/>
      <c r="O44" s="535"/>
    </row>
    <row r="45" spans="1:15" ht="26.25">
      <c r="A45" s="531" t="s">
        <v>171</v>
      </c>
      <c r="B45" s="574"/>
      <c r="C45" s="574"/>
      <c r="D45" s="532" t="s">
        <v>130</v>
      </c>
      <c r="E45" s="145">
        <v>0</v>
      </c>
      <c r="F45" s="632">
        <v>0</v>
      </c>
      <c r="G45" s="641">
        <f t="shared" si="7"/>
        <v>0</v>
      </c>
      <c r="H45" s="99">
        <f t="shared" si="8"/>
        <v>0</v>
      </c>
      <c r="I45" s="99"/>
      <c r="J45" s="175">
        <f>H45/DAY(B2)</f>
        <v>0</v>
      </c>
      <c r="K45" s="540"/>
      <c r="L45" s="519"/>
      <c r="N45" s="534"/>
      <c r="O45" s="535"/>
    </row>
    <row r="46" spans="1:15" ht="26.25">
      <c r="A46" s="531" t="s">
        <v>172</v>
      </c>
      <c r="B46" s="574"/>
      <c r="C46" s="574"/>
      <c r="D46" s="532" t="s">
        <v>130</v>
      </c>
      <c r="E46" s="145">
        <v>0</v>
      </c>
      <c r="F46" s="632">
        <v>0</v>
      </c>
      <c r="G46" s="641">
        <f t="shared" si="7"/>
        <v>0</v>
      </c>
      <c r="H46" s="99">
        <f t="shared" si="8"/>
        <v>0</v>
      </c>
      <c r="I46" s="99"/>
      <c r="J46" s="175">
        <f>H46/DAY(B2)</f>
        <v>0</v>
      </c>
      <c r="K46" s="540"/>
      <c r="L46" s="519"/>
      <c r="N46" s="534"/>
      <c r="O46" s="535"/>
    </row>
    <row r="47" spans="1:15" ht="26.25">
      <c r="A47" s="541" t="s">
        <v>173</v>
      </c>
      <c r="B47" s="578"/>
      <c r="C47" s="578"/>
      <c r="D47" s="594"/>
      <c r="E47" s="146"/>
      <c r="F47" s="99"/>
      <c r="G47" s="491">
        <f>G35+G36+G37+G38+G39+G40+G41+G42+G43+G44+G45+G46</f>
        <v>8731</v>
      </c>
      <c r="H47" s="99">
        <f t="shared" si="8"/>
        <v>8731</v>
      </c>
      <c r="I47" s="99"/>
      <c r="J47" s="175">
        <f>H47/DAY(B2)</f>
        <v>8731</v>
      </c>
      <c r="K47" s="540"/>
      <c r="L47" s="519"/>
      <c r="N47" s="534"/>
      <c r="O47" s="535"/>
    </row>
    <row r="48" spans="1:15" ht="26.25">
      <c r="A48" s="548" t="s">
        <v>174</v>
      </c>
      <c r="B48" s="592"/>
      <c r="C48" s="592"/>
      <c r="D48" s="529"/>
      <c r="E48" s="110"/>
      <c r="F48" s="385"/>
      <c r="G48" s="385"/>
      <c r="H48" s="385"/>
      <c r="I48" s="385"/>
      <c r="J48" s="642"/>
      <c r="K48" s="540"/>
      <c r="L48" s="519"/>
      <c r="N48" s="534"/>
      <c r="O48" s="535"/>
    </row>
    <row r="49" spans="1:15" ht="26.25">
      <c r="A49" s="531" t="s">
        <v>161</v>
      </c>
      <c r="B49" s="595"/>
      <c r="C49" s="595"/>
      <c r="D49" s="532" t="s">
        <v>130</v>
      </c>
      <c r="E49" s="145">
        <v>720287</v>
      </c>
      <c r="F49" s="632">
        <v>723904</v>
      </c>
      <c r="G49" s="641">
        <f t="shared" ref="G49:G58" si="9">F49-E49</f>
        <v>3617</v>
      </c>
      <c r="H49" s="99">
        <f t="shared" ref="H49:H60" si="10">G49</f>
        <v>3617</v>
      </c>
      <c r="I49" s="99"/>
      <c r="J49" s="175">
        <f>H49/DAY(B2)</f>
        <v>3617</v>
      </c>
      <c r="K49" s="540"/>
      <c r="L49" s="519"/>
      <c r="N49" s="534"/>
      <c r="O49" s="535"/>
    </row>
    <row r="50" spans="1:15" ht="26.25">
      <c r="A50" s="531" t="s">
        <v>175</v>
      </c>
      <c r="B50" s="595"/>
      <c r="C50" s="595"/>
      <c r="D50" s="532" t="s">
        <v>130</v>
      </c>
      <c r="E50" s="145">
        <v>365771</v>
      </c>
      <c r="F50" s="632">
        <v>367382</v>
      </c>
      <c r="G50" s="641">
        <f t="shared" si="9"/>
        <v>1611</v>
      </c>
      <c r="H50" s="99">
        <f t="shared" si="10"/>
        <v>1611</v>
      </c>
      <c r="I50" s="99"/>
      <c r="J50" s="175">
        <f>H50/DAY(B2)</f>
        <v>1611</v>
      </c>
      <c r="K50" s="540"/>
      <c r="L50" s="519"/>
      <c r="N50" s="534"/>
      <c r="O50" s="535"/>
    </row>
    <row r="51" spans="1:15" ht="26.25">
      <c r="A51" s="531" t="s">
        <v>163</v>
      </c>
      <c r="B51" s="595"/>
      <c r="C51" s="595"/>
      <c r="D51" s="532" t="s">
        <v>130</v>
      </c>
      <c r="E51" s="145">
        <v>71727</v>
      </c>
      <c r="F51" s="632">
        <v>72794</v>
      </c>
      <c r="G51" s="641">
        <f t="shared" si="9"/>
        <v>1067</v>
      </c>
      <c r="H51" s="99">
        <f t="shared" si="10"/>
        <v>1067</v>
      </c>
      <c r="I51" s="99"/>
      <c r="J51" s="175">
        <f>H51/DAY(B2)</f>
        <v>1067</v>
      </c>
      <c r="K51" s="540"/>
      <c r="L51" s="519"/>
      <c r="N51" s="534"/>
      <c r="O51" s="535"/>
    </row>
    <row r="52" spans="1:15" ht="26.25">
      <c r="A52" s="531" t="s">
        <v>176</v>
      </c>
      <c r="B52" s="595"/>
      <c r="C52" s="595"/>
      <c r="D52" s="532" t="s">
        <v>130</v>
      </c>
      <c r="E52" s="145">
        <v>10</v>
      </c>
      <c r="F52" s="632">
        <v>9.76</v>
      </c>
      <c r="G52" s="641">
        <f t="shared" si="9"/>
        <v>-0.24000000000000021</v>
      </c>
      <c r="H52" s="99">
        <f t="shared" si="10"/>
        <v>-0.24000000000000021</v>
      </c>
      <c r="I52" s="99"/>
      <c r="J52" s="175">
        <f>H52/DAY(B2)</f>
        <v>-0.24000000000000021</v>
      </c>
      <c r="K52" s="540"/>
      <c r="L52" s="519"/>
      <c r="N52" s="534"/>
      <c r="O52" s="535"/>
    </row>
    <row r="53" spans="1:15" ht="26.25">
      <c r="A53" s="531" t="s">
        <v>165</v>
      </c>
      <c r="B53" s="595"/>
      <c r="C53" s="595"/>
      <c r="D53" s="532" t="s">
        <v>130</v>
      </c>
      <c r="E53" s="401">
        <v>294101</v>
      </c>
      <c r="F53" s="632">
        <v>298506</v>
      </c>
      <c r="G53" s="641">
        <f t="shared" si="9"/>
        <v>4405</v>
      </c>
      <c r="H53" s="99">
        <f t="shared" si="10"/>
        <v>4405</v>
      </c>
      <c r="I53" s="99"/>
      <c r="J53" s="175">
        <f>H53/DAY(B2)</f>
        <v>4405</v>
      </c>
      <c r="K53" s="540"/>
      <c r="L53" s="519"/>
      <c r="N53" s="534"/>
      <c r="O53" s="535"/>
    </row>
    <row r="54" spans="1:15" ht="26.25">
      <c r="A54" s="531" t="s">
        <v>177</v>
      </c>
      <c r="B54" s="595"/>
      <c r="C54" s="595"/>
      <c r="D54" s="532" t="s">
        <v>130</v>
      </c>
      <c r="E54" s="401">
        <v>101387</v>
      </c>
      <c r="F54" s="632">
        <v>101595</v>
      </c>
      <c r="G54" s="641">
        <f t="shared" si="9"/>
        <v>208</v>
      </c>
      <c r="H54" s="99">
        <f t="shared" si="10"/>
        <v>208</v>
      </c>
      <c r="I54" s="99"/>
      <c r="J54" s="175">
        <f>H54/DAY(B2)</f>
        <v>208</v>
      </c>
      <c r="K54" s="540"/>
      <c r="L54" s="519"/>
      <c r="N54" s="534"/>
      <c r="O54" s="535"/>
    </row>
    <row r="55" spans="1:15" ht="26.25">
      <c r="A55" s="531" t="s">
        <v>178</v>
      </c>
      <c r="B55" s="595"/>
      <c r="C55" s="595"/>
      <c r="D55" s="532" t="s">
        <v>130</v>
      </c>
      <c r="E55" s="401">
        <v>494483</v>
      </c>
      <c r="F55" s="632">
        <v>496580</v>
      </c>
      <c r="G55" s="641">
        <f t="shared" si="9"/>
        <v>2097</v>
      </c>
      <c r="H55" s="99">
        <f t="shared" si="10"/>
        <v>2097</v>
      </c>
      <c r="I55" s="99"/>
      <c r="J55" s="175">
        <f>H55/DAY(B2)</f>
        <v>2097</v>
      </c>
      <c r="K55" s="540"/>
      <c r="L55" s="519"/>
      <c r="N55" s="534"/>
      <c r="O55" s="535"/>
    </row>
    <row r="56" spans="1:15" ht="26.25">
      <c r="A56" s="531" t="s">
        <v>179</v>
      </c>
      <c r="B56" s="595"/>
      <c r="C56" s="595"/>
      <c r="D56" s="532" t="s">
        <v>180</v>
      </c>
      <c r="E56" s="401">
        <v>149719</v>
      </c>
      <c r="F56" s="632">
        <v>149719</v>
      </c>
      <c r="G56" s="641">
        <f t="shared" si="9"/>
        <v>0</v>
      </c>
      <c r="H56" s="99">
        <f t="shared" si="10"/>
        <v>0</v>
      </c>
      <c r="I56" s="99"/>
      <c r="J56" s="175">
        <f>H56/DAY(B2)</f>
        <v>0</v>
      </c>
      <c r="K56" s="552"/>
      <c r="L56" s="519"/>
      <c r="N56" s="534"/>
      <c r="O56" s="535"/>
    </row>
    <row r="57" spans="1:15" ht="26.25">
      <c r="A57" s="531" t="s">
        <v>169</v>
      </c>
      <c r="B57" s="595"/>
      <c r="C57" s="595"/>
      <c r="D57" s="532" t="s">
        <v>130</v>
      </c>
      <c r="E57" s="401">
        <v>409078</v>
      </c>
      <c r="F57" s="645">
        <v>412043</v>
      </c>
      <c r="G57" s="641">
        <f t="shared" si="9"/>
        <v>2965</v>
      </c>
      <c r="H57" s="99">
        <f t="shared" si="10"/>
        <v>2965</v>
      </c>
      <c r="I57" s="99"/>
      <c r="J57" s="175">
        <f>H57/DAY(B2)</f>
        <v>2965</v>
      </c>
      <c r="K57" s="540"/>
      <c r="L57" s="519"/>
      <c r="N57" s="534"/>
      <c r="O57" s="535"/>
    </row>
    <row r="58" spans="1:15" ht="26.25">
      <c r="A58" s="531" t="s">
        <v>181</v>
      </c>
      <c r="B58" s="595"/>
      <c r="C58" s="595"/>
      <c r="D58" s="532" t="s">
        <v>130</v>
      </c>
      <c r="E58" s="401">
        <v>64151</v>
      </c>
      <c r="F58" s="632">
        <v>64407</v>
      </c>
      <c r="G58" s="641">
        <f t="shared" si="9"/>
        <v>256</v>
      </c>
      <c r="H58" s="99">
        <f t="shared" si="10"/>
        <v>256</v>
      </c>
      <c r="I58" s="99"/>
      <c r="J58" s="175">
        <f>H58/DAY(B2)</f>
        <v>256</v>
      </c>
      <c r="K58" s="540"/>
      <c r="L58" s="519"/>
      <c r="N58" s="534"/>
      <c r="O58" s="535"/>
    </row>
    <row r="59" spans="1:15" ht="26.25">
      <c r="A59" s="541" t="s">
        <v>173</v>
      </c>
      <c r="B59" s="578"/>
      <c r="C59" s="578"/>
      <c r="D59" s="523"/>
      <c r="E59" s="146"/>
      <c r="F59" s="99"/>
      <c r="G59" s="491">
        <f>G49+G50+G51+G52+G53+G54+G55+G56+G57+G58</f>
        <v>16225.76</v>
      </c>
      <c r="H59" s="99">
        <f t="shared" si="10"/>
        <v>16225.76</v>
      </c>
      <c r="I59" s="99">
        <f>G7-G60</f>
        <v>359.23999999999796</v>
      </c>
      <c r="J59" s="175">
        <f>H59/DAY(B2)</f>
        <v>16225.76</v>
      </c>
      <c r="K59" s="540"/>
      <c r="L59" s="519"/>
      <c r="N59" s="534"/>
      <c r="O59" s="535"/>
    </row>
    <row r="60" spans="1:15" ht="26.25">
      <c r="A60" s="531"/>
      <c r="B60" s="574"/>
      <c r="C60" s="574"/>
      <c r="D60" s="523" t="s">
        <v>182</v>
      </c>
      <c r="E60" s="146"/>
      <c r="F60" s="99"/>
      <c r="G60" s="491">
        <f>G47+G59</f>
        <v>24956.760000000002</v>
      </c>
      <c r="H60" s="99">
        <f t="shared" si="10"/>
        <v>24956.760000000002</v>
      </c>
      <c r="I60" s="99">
        <f>G13-G60</f>
        <v>1152.239999999998</v>
      </c>
      <c r="J60" s="175">
        <f>H60/DAY(B2)</f>
        <v>24956.760000000002</v>
      </c>
      <c r="K60" s="540"/>
      <c r="L60" s="519"/>
      <c r="N60" s="534"/>
      <c r="O60" s="535"/>
    </row>
    <row r="61" spans="1:15" s="555" customFormat="1" ht="26.25">
      <c r="A61" s="1103" t="s">
        <v>332</v>
      </c>
      <c r="B61" s="1104"/>
      <c r="C61" s="1105"/>
      <c r="D61" s="596"/>
      <c r="E61" s="339"/>
      <c r="F61" s="661"/>
      <c r="G61" s="340"/>
      <c r="H61" s="661"/>
      <c r="I61" s="661"/>
      <c r="J61" s="662"/>
      <c r="K61" s="553"/>
      <c r="L61" s="554"/>
      <c r="N61" s="534"/>
      <c r="O61" s="535"/>
    </row>
    <row r="62" spans="1:15" ht="26.25">
      <c r="A62" s="1083" t="s">
        <v>198</v>
      </c>
      <c r="B62" s="1084"/>
      <c r="C62" s="1085"/>
      <c r="D62" s="532" t="s">
        <v>142</v>
      </c>
      <c r="E62" s="150">
        <v>302065</v>
      </c>
      <c r="F62" s="646">
        <v>302163</v>
      </c>
      <c r="G62" s="640">
        <f t="shared" ref="G62:G63" si="11">F62-E62</f>
        <v>98</v>
      </c>
      <c r="H62" s="99">
        <f t="shared" ref="H62:H71" si="12">G62</f>
        <v>98</v>
      </c>
      <c r="I62" s="99"/>
      <c r="J62" s="175">
        <f>H62/DAY(B2)</f>
        <v>98</v>
      </c>
      <c r="K62" s="542"/>
      <c r="L62" s="519"/>
      <c r="N62" s="534"/>
      <c r="O62" s="535"/>
    </row>
    <row r="63" spans="1:15" ht="26.25">
      <c r="A63" s="1083" t="s">
        <v>199</v>
      </c>
      <c r="B63" s="1084"/>
      <c r="C63" s="1085"/>
      <c r="D63" s="532" t="s">
        <v>142</v>
      </c>
      <c r="E63" s="150">
        <v>245139</v>
      </c>
      <c r="F63" s="646">
        <v>245139</v>
      </c>
      <c r="G63" s="640">
        <f t="shared" si="11"/>
        <v>0</v>
      </c>
      <c r="H63" s="99">
        <f t="shared" si="12"/>
        <v>0</v>
      </c>
      <c r="I63" s="99"/>
      <c r="J63" s="175">
        <f>H63/DAY(B2)</f>
        <v>0</v>
      </c>
      <c r="K63" s="553"/>
      <c r="L63" s="519"/>
      <c r="N63" s="534"/>
      <c r="O63" s="535"/>
    </row>
    <row r="64" spans="1:15" ht="26.25">
      <c r="A64" s="1077" t="s">
        <v>200</v>
      </c>
      <c r="B64" s="1078"/>
      <c r="C64" s="1079"/>
      <c r="D64" s="532"/>
      <c r="E64" s="122"/>
      <c r="F64" s="646"/>
      <c r="G64" s="640">
        <f>G62+G63</f>
        <v>98</v>
      </c>
      <c r="H64" s="99">
        <f t="shared" si="12"/>
        <v>98</v>
      </c>
      <c r="I64" s="99"/>
      <c r="J64" s="175">
        <f>H64/DAY(B2)</f>
        <v>98</v>
      </c>
      <c r="K64" s="553"/>
      <c r="L64" s="519"/>
      <c r="N64" s="534"/>
      <c r="O64" s="535"/>
    </row>
    <row r="65" spans="1:15" ht="26.25">
      <c r="A65" s="1083" t="s">
        <v>201</v>
      </c>
      <c r="B65" s="1084"/>
      <c r="C65" s="1085"/>
      <c r="D65" s="532" t="s">
        <v>142</v>
      </c>
      <c r="E65" s="150">
        <v>460824</v>
      </c>
      <c r="F65" s="646">
        <v>460927</v>
      </c>
      <c r="G65" s="641">
        <f t="shared" ref="G65:G70" si="13">F65-E65</f>
        <v>103</v>
      </c>
      <c r="H65" s="99">
        <f t="shared" si="12"/>
        <v>103</v>
      </c>
      <c r="I65" s="99"/>
      <c r="J65" s="175">
        <f>H65/DAY(B2)</f>
        <v>103</v>
      </c>
      <c r="K65" s="553"/>
      <c r="L65" s="519"/>
      <c r="N65" s="534"/>
      <c r="O65" s="535"/>
    </row>
    <row r="66" spans="1:15" ht="26.25">
      <c r="A66" s="543" t="s">
        <v>202</v>
      </c>
      <c r="B66" s="579"/>
      <c r="C66" s="579"/>
      <c r="D66" s="532" t="s">
        <v>142</v>
      </c>
      <c r="E66" s="150">
        <v>112605</v>
      </c>
      <c r="F66" s="646">
        <v>112614</v>
      </c>
      <c r="G66" s="641">
        <f t="shared" si="13"/>
        <v>9</v>
      </c>
      <c r="H66" s="99">
        <f t="shared" si="12"/>
        <v>9</v>
      </c>
      <c r="I66" s="99"/>
      <c r="J66" s="175">
        <f>H66/DAY(B2)</f>
        <v>9</v>
      </c>
      <c r="K66" s="552"/>
      <c r="L66" s="519"/>
      <c r="N66" s="534"/>
      <c r="O66" s="535"/>
    </row>
    <row r="67" spans="1:15" ht="26.25">
      <c r="A67" s="543" t="s">
        <v>203</v>
      </c>
      <c r="B67" s="579"/>
      <c r="C67" s="579"/>
      <c r="D67" s="532" t="s">
        <v>142</v>
      </c>
      <c r="E67" s="150">
        <v>114708</v>
      </c>
      <c r="F67" s="646">
        <v>114748</v>
      </c>
      <c r="G67" s="641">
        <f t="shared" si="13"/>
        <v>40</v>
      </c>
      <c r="H67" s="99">
        <f t="shared" si="12"/>
        <v>40</v>
      </c>
      <c r="I67" s="99"/>
      <c r="J67" s="175">
        <f>H67/DAY(B2)</f>
        <v>40</v>
      </c>
      <c r="K67" s="556"/>
      <c r="L67" s="519"/>
      <c r="N67" s="534"/>
      <c r="O67" s="535"/>
    </row>
    <row r="68" spans="1:15" ht="26.25">
      <c r="A68" s="543" t="s">
        <v>204</v>
      </c>
      <c r="B68" s="579"/>
      <c r="C68" s="579"/>
      <c r="D68" s="532" t="s">
        <v>142</v>
      </c>
      <c r="E68" s="150">
        <v>166581</v>
      </c>
      <c r="F68" s="646">
        <v>166607</v>
      </c>
      <c r="G68" s="641">
        <f t="shared" si="13"/>
        <v>26</v>
      </c>
      <c r="H68" s="99">
        <f t="shared" si="12"/>
        <v>26</v>
      </c>
      <c r="I68" s="99"/>
      <c r="J68" s="175">
        <f>H68/DAY(B2)</f>
        <v>26</v>
      </c>
      <c r="K68" s="553"/>
      <c r="L68" s="519"/>
      <c r="N68" s="534"/>
      <c r="O68" s="535"/>
    </row>
    <row r="69" spans="1:15" ht="26.25">
      <c r="A69" s="543" t="s">
        <v>205</v>
      </c>
      <c r="B69" s="579"/>
      <c r="C69" s="579"/>
      <c r="D69" s="532" t="s">
        <v>142</v>
      </c>
      <c r="E69" s="150">
        <v>12564</v>
      </c>
      <c r="F69" s="646">
        <v>12569</v>
      </c>
      <c r="G69" s="641">
        <f t="shared" si="13"/>
        <v>5</v>
      </c>
      <c r="H69" s="99">
        <f t="shared" si="12"/>
        <v>5</v>
      </c>
      <c r="I69" s="99"/>
      <c r="J69" s="175">
        <f>H69/DAY(B2)</f>
        <v>5</v>
      </c>
      <c r="K69" s="553"/>
      <c r="L69" s="519"/>
      <c r="N69" s="534"/>
      <c r="O69" s="535"/>
    </row>
    <row r="70" spans="1:15" ht="26.25">
      <c r="A70" s="543" t="s">
        <v>206</v>
      </c>
      <c r="B70" s="579"/>
      <c r="C70" s="579"/>
      <c r="D70" s="532" t="s">
        <v>142</v>
      </c>
      <c r="E70" s="150">
        <v>10333</v>
      </c>
      <c r="F70" s="122">
        <v>10347</v>
      </c>
      <c r="G70" s="663">
        <f t="shared" si="13"/>
        <v>14</v>
      </c>
      <c r="H70" s="99">
        <f t="shared" si="12"/>
        <v>14</v>
      </c>
      <c r="I70" s="95"/>
      <c r="J70" s="175">
        <f>H70/DAY(B2)</f>
        <v>14</v>
      </c>
      <c r="K70" s="553"/>
      <c r="L70" s="519"/>
      <c r="N70" s="534"/>
      <c r="O70" s="535"/>
    </row>
    <row r="71" spans="1:15" ht="26.25">
      <c r="A71" s="1077" t="s">
        <v>208</v>
      </c>
      <c r="B71" s="1078"/>
      <c r="C71" s="1079"/>
      <c r="D71" s="581"/>
      <c r="E71" s="152"/>
      <c r="F71" s="152"/>
      <c r="G71" s="425">
        <f>SUM(G65:G70)</f>
        <v>197</v>
      </c>
      <c r="H71" s="99">
        <f t="shared" si="12"/>
        <v>197</v>
      </c>
      <c r="I71" s="502"/>
      <c r="J71" s="175">
        <f>H71/DAY(B2)</f>
        <v>197</v>
      </c>
      <c r="K71" s="553"/>
      <c r="L71" s="519"/>
      <c r="N71" s="534"/>
      <c r="O71" s="535"/>
    </row>
    <row r="72" spans="1:15" ht="26.25">
      <c r="A72" s="1122"/>
      <c r="B72" s="1075"/>
      <c r="C72" s="723"/>
      <c r="D72" s="526"/>
      <c r="J72" s="503"/>
      <c r="N72" s="534"/>
      <c r="O72" s="535"/>
    </row>
    <row r="73" spans="1:15" ht="26.25">
      <c r="A73" s="1103" t="s">
        <v>333</v>
      </c>
      <c r="B73" s="1104"/>
      <c r="C73" s="1105"/>
      <c r="D73" s="596"/>
      <c r="E73" s="339"/>
      <c r="F73" s="339"/>
      <c r="G73" s="424"/>
      <c r="H73" s="342"/>
      <c r="I73" s="342"/>
      <c r="J73" s="343"/>
      <c r="K73" s="553"/>
      <c r="L73" s="519"/>
      <c r="N73" s="534"/>
      <c r="O73" s="535"/>
    </row>
    <row r="74" spans="1:15" ht="26.25">
      <c r="A74" s="1083" t="s">
        <v>220</v>
      </c>
      <c r="B74" s="1084"/>
      <c r="C74" s="1085"/>
      <c r="D74" s="532" t="s">
        <v>139</v>
      </c>
      <c r="E74" s="123">
        <v>975811</v>
      </c>
      <c r="F74" s="123">
        <v>976090</v>
      </c>
      <c r="G74" s="663">
        <f t="shared" ref="G74:G78" si="14">F74-E74</f>
        <v>279</v>
      </c>
      <c r="H74" s="99">
        <f t="shared" ref="H74:H79" si="15">G74</f>
        <v>279</v>
      </c>
      <c r="I74" s="502"/>
      <c r="J74" s="175">
        <f>H74/DAY(B2)</f>
        <v>279</v>
      </c>
      <c r="K74" s="553"/>
      <c r="L74" s="519"/>
      <c r="N74" s="534"/>
      <c r="O74" s="535"/>
    </row>
    <row r="75" spans="1:15" ht="26.25">
      <c r="A75" s="1083" t="s">
        <v>221</v>
      </c>
      <c r="B75" s="1084"/>
      <c r="C75" s="1085"/>
      <c r="D75" s="532" t="s">
        <v>139</v>
      </c>
      <c r="E75" s="123">
        <v>73586</v>
      </c>
      <c r="F75" s="123">
        <v>73586</v>
      </c>
      <c r="G75" s="663">
        <f t="shared" si="14"/>
        <v>0</v>
      </c>
      <c r="H75" s="99">
        <f t="shared" si="15"/>
        <v>0</v>
      </c>
      <c r="I75" s="502"/>
      <c r="J75" s="175">
        <f>H75/DAY(B2)</f>
        <v>0</v>
      </c>
      <c r="K75" s="553"/>
      <c r="L75" s="519"/>
      <c r="N75" s="534"/>
      <c r="O75" s="535"/>
    </row>
    <row r="76" spans="1:15" ht="26.25">
      <c r="A76" s="1106" t="s">
        <v>222</v>
      </c>
      <c r="B76" s="1107"/>
      <c r="C76" s="1108"/>
      <c r="D76" s="532" t="s">
        <v>139</v>
      </c>
      <c r="E76" s="123">
        <v>196736</v>
      </c>
      <c r="F76" s="123">
        <v>196854</v>
      </c>
      <c r="G76" s="663">
        <f t="shared" si="14"/>
        <v>118</v>
      </c>
      <c r="H76" s="99">
        <f t="shared" si="15"/>
        <v>118</v>
      </c>
      <c r="I76" s="502"/>
      <c r="J76" s="175">
        <f>H76/DAY(B2)</f>
        <v>118</v>
      </c>
      <c r="K76" s="553"/>
      <c r="L76" s="519"/>
      <c r="N76" s="534"/>
      <c r="O76" s="535"/>
    </row>
    <row r="77" spans="1:15" ht="26.25">
      <c r="A77" s="1106" t="s">
        <v>223</v>
      </c>
      <c r="B77" s="1107"/>
      <c r="C77" s="1108"/>
      <c r="D77" s="532" t="s">
        <v>139</v>
      </c>
      <c r="E77" s="123">
        <v>53352</v>
      </c>
      <c r="F77" s="123">
        <v>53380</v>
      </c>
      <c r="G77" s="663">
        <f t="shared" si="14"/>
        <v>28</v>
      </c>
      <c r="H77" s="99">
        <f t="shared" si="15"/>
        <v>28</v>
      </c>
      <c r="I77" s="502"/>
      <c r="J77" s="175">
        <f>H77/DAY(B2)</f>
        <v>28</v>
      </c>
      <c r="K77" s="553"/>
      <c r="L77" s="519"/>
      <c r="N77" s="534"/>
      <c r="O77" s="535"/>
    </row>
    <row r="78" spans="1:15" ht="26.25">
      <c r="A78" s="1106" t="s">
        <v>224</v>
      </c>
      <c r="B78" s="1107"/>
      <c r="C78" s="1108"/>
      <c r="D78" s="532" t="s">
        <v>139</v>
      </c>
      <c r="E78" s="123">
        <v>9563.4</v>
      </c>
      <c r="F78" s="123">
        <v>9563.4</v>
      </c>
      <c r="G78" s="663">
        <f t="shared" si="14"/>
        <v>0</v>
      </c>
      <c r="H78" s="99">
        <f t="shared" si="15"/>
        <v>0</v>
      </c>
      <c r="I78" s="95"/>
      <c r="J78" s="175">
        <f>H78/DAY(B2)</f>
        <v>0</v>
      </c>
      <c r="K78" s="553"/>
      <c r="L78" s="519"/>
      <c r="N78" s="534"/>
      <c r="O78" s="535"/>
    </row>
    <row r="79" spans="1:15" ht="26.25">
      <c r="A79" s="1106" t="s">
        <v>225</v>
      </c>
      <c r="B79" s="1107"/>
      <c r="C79" s="1108"/>
      <c r="D79" s="532"/>
      <c r="E79" s="123"/>
      <c r="F79" s="117"/>
      <c r="G79" s="663">
        <f>G15-SUM(G74:G78)</f>
        <v>542</v>
      </c>
      <c r="H79" s="99">
        <f t="shared" si="15"/>
        <v>542</v>
      </c>
      <c r="I79" s="95"/>
      <c r="J79" s="175"/>
      <c r="K79" s="553"/>
      <c r="L79" s="519"/>
      <c r="N79" s="534"/>
      <c r="O79" s="535"/>
    </row>
    <row r="80" spans="1:15" ht="26.25">
      <c r="A80" s="1077" t="s">
        <v>329</v>
      </c>
      <c r="B80" s="1078"/>
      <c r="C80" s="1079"/>
      <c r="D80" s="532"/>
      <c r="E80" s="117"/>
      <c r="F80" s="117"/>
      <c r="G80" s="663">
        <f>SUM(G74:G79)</f>
        <v>967</v>
      </c>
      <c r="H80" s="99"/>
      <c r="I80" s="95"/>
      <c r="J80" s="175"/>
      <c r="K80" s="553"/>
      <c r="L80" s="519"/>
      <c r="N80" s="534"/>
      <c r="O80" s="535"/>
    </row>
    <row r="81" spans="1:15" ht="26.25">
      <c r="A81" s="1097" t="s">
        <v>226</v>
      </c>
      <c r="B81" s="1098"/>
      <c r="C81" s="1099"/>
      <c r="D81" s="528"/>
      <c r="E81" s="110"/>
      <c r="F81" s="111"/>
      <c r="G81" s="427"/>
      <c r="H81" s="163"/>
      <c r="I81" s="163"/>
      <c r="J81" s="184"/>
      <c r="O81" s="535"/>
    </row>
    <row r="82" spans="1:15" ht="26.25">
      <c r="A82" s="543" t="s">
        <v>227</v>
      </c>
      <c r="B82" s="579"/>
      <c r="C82" s="579"/>
      <c r="D82" s="532" t="s">
        <v>228</v>
      </c>
      <c r="E82" s="122">
        <v>0</v>
      </c>
      <c r="F82" s="122">
        <v>0</v>
      </c>
      <c r="G82" s="663">
        <f t="shared" ref="G82:G92" si="16">F82-E82</f>
        <v>0</v>
      </c>
      <c r="H82" s="99">
        <f t="shared" ref="H82:H92" si="17">G82</f>
        <v>0</v>
      </c>
      <c r="I82" s="95"/>
      <c r="J82" s="175">
        <f>H82/DAY(B2)</f>
        <v>0</v>
      </c>
      <c r="O82" s="535"/>
    </row>
    <row r="83" spans="1:15" ht="26.25">
      <c r="A83" s="543" t="s">
        <v>229</v>
      </c>
      <c r="B83" s="579" t="s">
        <v>207</v>
      </c>
      <c r="C83" s="579"/>
      <c r="D83" s="532" t="s">
        <v>228</v>
      </c>
      <c r="E83" s="122">
        <v>0</v>
      </c>
      <c r="F83" s="122">
        <v>0</v>
      </c>
      <c r="G83" s="663">
        <f t="shared" si="16"/>
        <v>0</v>
      </c>
      <c r="H83" s="99">
        <f t="shared" si="17"/>
        <v>0</v>
      </c>
      <c r="I83" s="95"/>
      <c r="J83" s="175">
        <f>H83/DAY(B2)</f>
        <v>0</v>
      </c>
      <c r="O83" s="535"/>
    </row>
    <row r="84" spans="1:15" ht="26.25">
      <c r="A84" s="543" t="s">
        <v>230</v>
      </c>
      <c r="B84" s="579"/>
      <c r="C84" s="579"/>
      <c r="D84" s="532" t="s">
        <v>228</v>
      </c>
      <c r="E84" s="164">
        <v>43366.8</v>
      </c>
      <c r="F84" s="164">
        <v>43366.8</v>
      </c>
      <c r="G84" s="663">
        <f t="shared" si="16"/>
        <v>0</v>
      </c>
      <c r="H84" s="99">
        <f t="shared" si="17"/>
        <v>0</v>
      </c>
      <c r="I84" s="95"/>
      <c r="J84" s="175">
        <f>H84/DAY(B2)</f>
        <v>0</v>
      </c>
      <c r="O84" s="535"/>
    </row>
    <row r="85" spans="1:15" ht="26.25">
      <c r="A85" s="543" t="s">
        <v>231</v>
      </c>
      <c r="B85" s="579"/>
      <c r="C85" s="579"/>
      <c r="D85" s="532" t="s">
        <v>228</v>
      </c>
      <c r="E85" s="150">
        <v>5476</v>
      </c>
      <c r="F85" s="164">
        <v>5498.44</v>
      </c>
      <c r="G85" s="663">
        <f t="shared" si="16"/>
        <v>22.4399999999996</v>
      </c>
      <c r="H85" s="99">
        <f t="shared" si="17"/>
        <v>22.4399999999996</v>
      </c>
      <c r="I85" s="95"/>
      <c r="J85" s="175">
        <f>H85/DAY(B2)</f>
        <v>22.4399999999996</v>
      </c>
      <c r="O85" s="535"/>
    </row>
    <row r="86" spans="1:15" ht="26.25">
      <c r="A86" s="543" t="s">
        <v>232</v>
      </c>
      <c r="B86" s="579"/>
      <c r="C86" s="579"/>
      <c r="D86" s="532" t="s">
        <v>228</v>
      </c>
      <c r="E86" s="164">
        <v>46271.42</v>
      </c>
      <c r="F86" s="164">
        <v>46287</v>
      </c>
      <c r="G86" s="665">
        <f t="shared" si="16"/>
        <v>15.580000000001746</v>
      </c>
      <c r="H86" s="99">
        <f t="shared" si="17"/>
        <v>15.580000000001746</v>
      </c>
      <c r="I86" s="95"/>
      <c r="J86" s="175">
        <f>H86/DAY(B2)</f>
        <v>15.580000000001746</v>
      </c>
      <c r="O86" s="535"/>
    </row>
    <row r="87" spans="1:15" ht="26.25">
      <c r="A87" s="543" t="s">
        <v>233</v>
      </c>
      <c r="B87" s="579"/>
      <c r="C87" s="579"/>
      <c r="D87" s="532" t="s">
        <v>228</v>
      </c>
      <c r="E87" s="164">
        <v>35644</v>
      </c>
      <c r="F87" s="164">
        <v>35644</v>
      </c>
      <c r="G87" s="663">
        <f t="shared" si="16"/>
        <v>0</v>
      </c>
      <c r="H87" s="99">
        <f t="shared" si="17"/>
        <v>0</v>
      </c>
      <c r="I87" s="95">
        <f>G84+G85+G86+G87</f>
        <v>38.020000000001346</v>
      </c>
      <c r="J87" s="175">
        <f>H87/DAY(B2)</f>
        <v>0</v>
      </c>
      <c r="O87" s="535"/>
    </row>
    <row r="88" spans="1:15" ht="26.25">
      <c r="A88" s="543" t="s">
        <v>234</v>
      </c>
      <c r="B88" s="579"/>
      <c r="C88" s="579"/>
      <c r="D88" s="532" t="s">
        <v>228</v>
      </c>
      <c r="E88" s="164">
        <v>24423.96</v>
      </c>
      <c r="F88" s="164">
        <v>24434.45</v>
      </c>
      <c r="G88" s="663">
        <f t="shared" si="16"/>
        <v>10.490000000001601</v>
      </c>
      <c r="H88" s="99">
        <f t="shared" si="17"/>
        <v>10.490000000001601</v>
      </c>
      <c r="I88" s="95"/>
      <c r="J88" s="175">
        <f>H88/DAY(B2)</f>
        <v>10.490000000001601</v>
      </c>
      <c r="O88" s="535"/>
    </row>
    <row r="89" spans="1:15" ht="26.25">
      <c r="A89" s="543" t="s">
        <v>235</v>
      </c>
      <c r="B89" s="579"/>
      <c r="C89" s="579"/>
      <c r="D89" s="532" t="s">
        <v>228</v>
      </c>
      <c r="E89" s="164">
        <v>27988</v>
      </c>
      <c r="F89" s="164">
        <v>27988</v>
      </c>
      <c r="G89" s="663">
        <f t="shared" si="16"/>
        <v>0</v>
      </c>
      <c r="H89" s="99">
        <f t="shared" si="17"/>
        <v>0</v>
      </c>
      <c r="I89" s="95">
        <f>G88+G89</f>
        <v>10.490000000001601</v>
      </c>
      <c r="J89" s="175">
        <f>H89/DAY(B2)</f>
        <v>0</v>
      </c>
      <c r="O89" s="535"/>
    </row>
    <row r="90" spans="1:15" ht="26.25">
      <c r="A90" s="543" t="s">
        <v>236</v>
      </c>
      <c r="B90" s="579"/>
      <c r="C90" s="579"/>
      <c r="D90" s="532" t="s">
        <v>228</v>
      </c>
      <c r="E90" s="164">
        <v>73243.740000000005</v>
      </c>
      <c r="F90" s="164">
        <v>73254.559999999998</v>
      </c>
      <c r="G90" s="663">
        <f t="shared" si="16"/>
        <v>10.819999999992433</v>
      </c>
      <c r="H90" s="99">
        <f t="shared" si="17"/>
        <v>10.819999999992433</v>
      </c>
      <c r="I90" s="95">
        <f>G90</f>
        <v>10.819999999992433</v>
      </c>
      <c r="J90" s="175">
        <f>H90/DAY(B2)</f>
        <v>10.819999999992433</v>
      </c>
      <c r="O90" s="535"/>
    </row>
    <row r="91" spans="1:15" ht="26.25">
      <c r="A91" s="543" t="s">
        <v>237</v>
      </c>
      <c r="B91" s="579"/>
      <c r="C91" s="579"/>
      <c r="D91" s="532" t="s">
        <v>228</v>
      </c>
      <c r="E91" s="122">
        <v>4678.43</v>
      </c>
      <c r="F91" s="122">
        <v>4689</v>
      </c>
      <c r="G91" s="663">
        <f t="shared" si="16"/>
        <v>10.569999999999709</v>
      </c>
      <c r="H91" s="99">
        <f t="shared" si="17"/>
        <v>10.569999999999709</v>
      </c>
      <c r="I91" s="155"/>
      <c r="J91" s="175">
        <f>H91/DAY(B2)</f>
        <v>10.569999999999709</v>
      </c>
      <c r="O91" s="535"/>
    </row>
    <row r="92" spans="1:15" ht="26.25">
      <c r="A92" s="543" t="s">
        <v>238</v>
      </c>
      <c r="B92" s="579"/>
      <c r="C92" s="579"/>
      <c r="D92" s="532" t="s">
        <v>228</v>
      </c>
      <c r="E92" s="122">
        <v>7000</v>
      </c>
      <c r="F92" s="122">
        <v>7000</v>
      </c>
      <c r="G92" s="663">
        <f t="shared" si="16"/>
        <v>0</v>
      </c>
      <c r="H92" s="99">
        <f t="shared" si="17"/>
        <v>0</v>
      </c>
      <c r="I92" s="437">
        <f>G91+G92</f>
        <v>10.569999999999709</v>
      </c>
      <c r="J92" s="175">
        <f>H92/DAY(B2)</f>
        <v>0</v>
      </c>
      <c r="O92" s="535"/>
    </row>
    <row r="93" spans="1:15" ht="26.25">
      <c r="A93" s="1100" t="s">
        <v>239</v>
      </c>
      <c r="B93" s="1101"/>
      <c r="C93" s="1102"/>
      <c r="D93" s="529"/>
      <c r="E93" s="111"/>
      <c r="F93" s="111"/>
      <c r="G93" s="416"/>
      <c r="H93" s="121"/>
      <c r="I93" s="121"/>
      <c r="J93" s="183"/>
      <c r="K93" s="553"/>
      <c r="L93" s="519"/>
      <c r="O93" s="535"/>
    </row>
    <row r="94" spans="1:15" ht="26.25">
      <c r="A94" s="1083" t="s">
        <v>240</v>
      </c>
      <c r="B94" s="1084"/>
      <c r="C94" s="1085"/>
      <c r="D94" s="532" t="s">
        <v>130</v>
      </c>
      <c r="E94" s="151"/>
      <c r="F94" s="151"/>
      <c r="G94" s="428">
        <f>G35+G43+G49+G57</f>
        <v>6582</v>
      </c>
      <c r="H94" s="99">
        <f t="shared" ref="H94:H105" si="18">G94</f>
        <v>6582</v>
      </c>
      <c r="I94" s="95"/>
      <c r="J94" s="175">
        <f>H94/DAY(B2)</f>
        <v>6582</v>
      </c>
      <c r="K94" s="553"/>
      <c r="L94" s="519"/>
      <c r="O94" s="535"/>
    </row>
    <row r="95" spans="1:15" ht="26.25">
      <c r="A95" s="1083" t="s">
        <v>241</v>
      </c>
      <c r="B95" s="1084"/>
      <c r="C95" s="1085"/>
      <c r="D95" s="532" t="s">
        <v>23</v>
      </c>
      <c r="E95" s="146"/>
      <c r="F95" s="151"/>
      <c r="G95" s="429">
        <f>G94/G7</f>
        <v>0.25999367988623795</v>
      </c>
      <c r="H95" s="99">
        <f t="shared" si="18"/>
        <v>0.25999367988623795</v>
      </c>
      <c r="I95" s="504"/>
      <c r="J95" s="175">
        <f>H95/DAY(B2)</f>
        <v>0.25999367988623795</v>
      </c>
      <c r="K95" s="553"/>
      <c r="L95" s="519"/>
      <c r="O95" s="535"/>
    </row>
    <row r="96" spans="1:15" ht="26.25">
      <c r="A96" s="1083" t="s">
        <v>242</v>
      </c>
      <c r="B96" s="1084"/>
      <c r="C96" s="1085"/>
      <c r="D96" s="532" t="s">
        <v>130</v>
      </c>
      <c r="E96" s="95"/>
      <c r="F96" s="95"/>
      <c r="G96" s="428">
        <f>G41+G42+G55+G56</f>
        <v>7106</v>
      </c>
      <c r="H96" s="99">
        <f t="shared" si="18"/>
        <v>7106</v>
      </c>
      <c r="I96" s="95"/>
      <c r="J96" s="175">
        <f>H96/DAY(B2)</f>
        <v>7106</v>
      </c>
      <c r="K96" s="553"/>
      <c r="L96" s="519"/>
      <c r="O96" s="535"/>
    </row>
    <row r="97" spans="1:15" ht="26.25">
      <c r="A97" s="1083" t="s">
        <v>243</v>
      </c>
      <c r="B97" s="1084"/>
      <c r="C97" s="1085"/>
      <c r="D97" s="532" t="s">
        <v>23</v>
      </c>
      <c r="E97" s="95"/>
      <c r="F97" s="95"/>
      <c r="G97" s="429">
        <f>G96/G7</f>
        <v>0.28069205245694423</v>
      </c>
      <c r="H97" s="99">
        <f t="shared" si="18"/>
        <v>0.28069205245694423</v>
      </c>
      <c r="I97" s="504"/>
      <c r="J97" s="175">
        <f>H97/DAY(B2)</f>
        <v>0.28069205245694423</v>
      </c>
      <c r="K97" s="553"/>
      <c r="L97" s="519"/>
      <c r="O97" s="535"/>
    </row>
    <row r="98" spans="1:15" ht="26.25">
      <c r="A98" s="1083" t="s">
        <v>244</v>
      </c>
      <c r="B98" s="1084"/>
      <c r="C98" s="1085"/>
      <c r="D98" s="532" t="s">
        <v>130</v>
      </c>
      <c r="E98" s="95"/>
      <c r="F98" s="95"/>
      <c r="G98" s="428">
        <f>G39+G53</f>
        <v>4405</v>
      </c>
      <c r="H98" s="99">
        <f t="shared" si="18"/>
        <v>4405</v>
      </c>
      <c r="I98" s="491"/>
      <c r="J98" s="175">
        <f>H98/DAY(B2)</f>
        <v>4405</v>
      </c>
      <c r="K98" s="553"/>
      <c r="L98" s="519"/>
      <c r="O98" s="535"/>
    </row>
    <row r="99" spans="1:15" ht="26.25">
      <c r="A99" s="1083" t="s">
        <v>245</v>
      </c>
      <c r="B99" s="1084"/>
      <c r="C99" s="1085"/>
      <c r="D99" s="532" t="s">
        <v>23</v>
      </c>
      <c r="E99" s="95"/>
      <c r="F99" s="95"/>
      <c r="G99" s="429">
        <f>G98/G7</f>
        <v>0.17400063201137619</v>
      </c>
      <c r="H99" s="99">
        <f t="shared" si="18"/>
        <v>0.17400063201137619</v>
      </c>
      <c r="I99" s="491"/>
      <c r="J99" s="175">
        <f>H99/DAY(B2)</f>
        <v>0.17400063201137619</v>
      </c>
      <c r="O99" s="535"/>
    </row>
    <row r="100" spans="1:15" ht="26.25">
      <c r="A100" s="1083" t="s">
        <v>246</v>
      </c>
      <c r="B100" s="1084"/>
      <c r="C100" s="1085"/>
      <c r="D100" s="532" t="s">
        <v>180</v>
      </c>
      <c r="E100" s="95"/>
      <c r="F100" s="95"/>
      <c r="G100" s="428">
        <f>G38+G52</f>
        <v>2230.7600000000002</v>
      </c>
      <c r="H100" s="99">
        <f t="shared" si="18"/>
        <v>2230.7600000000002</v>
      </c>
      <c r="I100" s="95"/>
      <c r="J100" s="175">
        <f>H100/DAY(B2)</f>
        <v>2230.7600000000002</v>
      </c>
      <c r="K100" s="558"/>
      <c r="O100" s="535"/>
    </row>
    <row r="101" spans="1:15" ht="26.25">
      <c r="A101" s="1083" t="s">
        <v>247</v>
      </c>
      <c r="B101" s="1084"/>
      <c r="C101" s="1085"/>
      <c r="D101" s="532" t="s">
        <v>23</v>
      </c>
      <c r="E101" s="95"/>
      <c r="F101" s="95"/>
      <c r="G101" s="429">
        <f>G100/G7</f>
        <v>8.8116606098909783E-2</v>
      </c>
      <c r="H101" s="99">
        <f t="shared" si="18"/>
        <v>8.8116606098909783E-2</v>
      </c>
      <c r="I101" s="491"/>
      <c r="J101" s="175">
        <f>H101/DAY(B2)</f>
        <v>8.8116606098909783E-2</v>
      </c>
      <c r="O101" s="535"/>
    </row>
    <row r="102" spans="1:15" ht="26.25">
      <c r="A102" s="1083" t="s">
        <v>248</v>
      </c>
      <c r="B102" s="1084"/>
      <c r="C102" s="1085"/>
      <c r="D102" s="532" t="s">
        <v>180</v>
      </c>
      <c r="E102" s="95"/>
      <c r="F102" s="95"/>
      <c r="G102" s="428">
        <f>G36+G50</f>
        <v>2305</v>
      </c>
      <c r="H102" s="99">
        <f t="shared" si="18"/>
        <v>2305</v>
      </c>
      <c r="I102" s="491"/>
      <c r="J102" s="175">
        <f>H102/DAY(B2)</f>
        <v>2305</v>
      </c>
      <c r="O102" s="535"/>
    </row>
    <row r="103" spans="1:15" ht="26.25">
      <c r="A103" s="1083" t="s">
        <v>249</v>
      </c>
      <c r="B103" s="1084"/>
      <c r="C103" s="1085"/>
      <c r="D103" s="532" t="s">
        <v>23</v>
      </c>
      <c r="E103" s="95"/>
      <c r="F103" s="95"/>
      <c r="G103" s="429">
        <f>G102/G7</f>
        <v>9.1049138884499919E-2</v>
      </c>
      <c r="H103" s="99">
        <f t="shared" si="18"/>
        <v>9.1049138884499919E-2</v>
      </c>
      <c r="I103" s="95"/>
      <c r="J103" s="175">
        <f>H103/DAY(B2)</f>
        <v>9.1049138884499919E-2</v>
      </c>
      <c r="O103" s="535"/>
    </row>
    <row r="104" spans="1:15" ht="26.25">
      <c r="A104" s="1083" t="s">
        <v>250</v>
      </c>
      <c r="B104" s="1084"/>
      <c r="C104" s="1085"/>
      <c r="D104" s="532" t="s">
        <v>180</v>
      </c>
      <c r="E104" s="95"/>
      <c r="F104" s="95"/>
      <c r="G104" s="428">
        <f>G37+G51</f>
        <v>1067</v>
      </c>
      <c r="H104" s="99">
        <f t="shared" si="18"/>
        <v>1067</v>
      </c>
      <c r="I104" s="95"/>
      <c r="J104" s="175">
        <f>H104/DAY(B2)</f>
        <v>1067</v>
      </c>
      <c r="O104" s="535"/>
    </row>
    <row r="105" spans="1:15" ht="27" thickBot="1">
      <c r="A105" s="1090" t="s">
        <v>251</v>
      </c>
      <c r="B105" s="1091"/>
      <c r="C105" s="1092"/>
      <c r="D105" s="598" t="s">
        <v>23</v>
      </c>
      <c r="E105" s="185"/>
      <c r="F105" s="185"/>
      <c r="G105" s="430">
        <f>G104/G7</f>
        <v>4.214725865065571E-2</v>
      </c>
      <c r="H105" s="99">
        <f t="shared" si="18"/>
        <v>4.214725865065571E-2</v>
      </c>
      <c r="I105" s="185"/>
      <c r="J105" s="188">
        <f>H105/DAY(B2)</f>
        <v>4.214725865065571E-2</v>
      </c>
      <c r="O105" s="535"/>
    </row>
    <row r="106" spans="1:15" ht="26.25">
      <c r="B106" s="527"/>
      <c r="C106" s="527"/>
      <c r="D106" s="527"/>
      <c r="O106" s="535"/>
    </row>
    <row r="107" spans="1:15" ht="26.25">
      <c r="B107" s="527"/>
      <c r="C107" s="527"/>
      <c r="D107" s="527"/>
    </row>
    <row r="108" spans="1:15" ht="26.25">
      <c r="A108" s="1093" t="s">
        <v>324</v>
      </c>
      <c r="B108" s="1093"/>
      <c r="C108" s="1093"/>
      <c r="D108" s="1093"/>
      <c r="E108" s="1093"/>
      <c r="F108" s="1093"/>
      <c r="G108" s="1093"/>
      <c r="H108" s="1093"/>
      <c r="I108" s="1093"/>
      <c r="J108" s="1093"/>
    </row>
    <row r="109" spans="1:15" ht="26.25">
      <c r="A109" s="1086"/>
      <c r="B109" s="1086"/>
      <c r="C109" s="527"/>
      <c r="D109" s="527"/>
    </row>
    <row r="110" spans="1:15" ht="26.25">
      <c r="A110" s="1094" t="s">
        <v>165</v>
      </c>
      <c r="B110" s="1095"/>
      <c r="C110" s="1095"/>
      <c r="D110" s="1095"/>
      <c r="E110" s="1095"/>
      <c r="F110" s="1095"/>
      <c r="G110" s="1095"/>
      <c r="H110" s="1095"/>
      <c r="I110" s="1095"/>
      <c r="J110" s="1096"/>
    </row>
    <row r="111" spans="1:15" ht="26.25">
      <c r="A111" s="1080"/>
      <c r="B111" s="1081"/>
      <c r="C111" s="1082"/>
      <c r="D111" s="560"/>
      <c r="E111" s="155"/>
      <c r="F111" s="155"/>
      <c r="G111" s="437"/>
      <c r="H111" s="156"/>
      <c r="I111" s="155"/>
      <c r="J111" s="156"/>
    </row>
    <row r="112" spans="1:15" ht="26.25">
      <c r="A112" s="1073" t="s">
        <v>252</v>
      </c>
      <c r="B112" s="1074"/>
      <c r="C112" s="1075"/>
      <c r="D112" s="523" t="s">
        <v>183</v>
      </c>
      <c r="E112" s="237">
        <v>11663</v>
      </c>
      <c r="F112" s="237">
        <v>11736</v>
      </c>
      <c r="G112" s="663">
        <f t="shared" ref="G112:G123" si="19">F112-E112</f>
        <v>73</v>
      </c>
      <c r="H112" s="99">
        <f t="shared" ref="H112:H123" si="20">G112</f>
        <v>73</v>
      </c>
      <c r="I112" s="155"/>
      <c r="J112" s="328">
        <f>H112/DAY(B2)</f>
        <v>73</v>
      </c>
    </row>
    <row r="113" spans="1:18" ht="29.25" customHeight="1">
      <c r="A113" s="1073" t="s">
        <v>253</v>
      </c>
      <c r="B113" s="1074"/>
      <c r="C113" s="1075"/>
      <c r="D113" s="523" t="s">
        <v>183</v>
      </c>
      <c r="E113" s="237">
        <v>23521</v>
      </c>
      <c r="F113" s="400">
        <v>23661</v>
      </c>
      <c r="G113" s="663">
        <f t="shared" si="19"/>
        <v>140</v>
      </c>
      <c r="H113" s="99">
        <f t="shared" si="20"/>
        <v>140</v>
      </c>
      <c r="I113" s="155"/>
      <c r="J113" s="328">
        <f>H113/DAY(B2)</f>
        <v>140</v>
      </c>
    </row>
    <row r="114" spans="1:18" ht="29.25" customHeight="1">
      <c r="A114" s="1073" t="s">
        <v>254</v>
      </c>
      <c r="B114" s="1074"/>
      <c r="C114" s="1075"/>
      <c r="D114" s="523" t="s">
        <v>183</v>
      </c>
      <c r="E114" s="237">
        <v>34775</v>
      </c>
      <c r="F114" s="237">
        <v>35003</v>
      </c>
      <c r="G114" s="663">
        <f t="shared" si="19"/>
        <v>228</v>
      </c>
      <c r="H114" s="99">
        <f t="shared" si="20"/>
        <v>228</v>
      </c>
      <c r="I114" s="155"/>
      <c r="J114" s="328">
        <f>H114/DAY(B2)</f>
        <v>228</v>
      </c>
    </row>
    <row r="115" spans="1:18" ht="29.25" customHeight="1">
      <c r="A115" s="1073" t="s">
        <v>255</v>
      </c>
      <c r="B115" s="1074"/>
      <c r="C115" s="1075"/>
      <c r="D115" s="523" t="s">
        <v>183</v>
      </c>
      <c r="E115" s="237">
        <v>22053</v>
      </c>
      <c r="F115" s="446">
        <v>22152</v>
      </c>
      <c r="G115" s="663">
        <f t="shared" si="19"/>
        <v>99</v>
      </c>
      <c r="H115" s="99">
        <f t="shared" si="20"/>
        <v>99</v>
      </c>
      <c r="I115" s="155"/>
      <c r="J115" s="328">
        <f>H115/DAY(B2)</f>
        <v>99</v>
      </c>
    </row>
    <row r="116" spans="1:18" ht="29.25" customHeight="1">
      <c r="A116" s="1087" t="s">
        <v>96</v>
      </c>
      <c r="B116" s="1088"/>
      <c r="C116" s="1089"/>
      <c r="D116" s="523" t="s">
        <v>183</v>
      </c>
      <c r="E116" s="237">
        <v>97135</v>
      </c>
      <c r="F116" s="237">
        <v>97670</v>
      </c>
      <c r="G116" s="663">
        <f t="shared" si="19"/>
        <v>535</v>
      </c>
      <c r="H116" s="99">
        <f t="shared" si="20"/>
        <v>535</v>
      </c>
      <c r="I116" s="155"/>
      <c r="J116" s="328">
        <f>H116/DAY(B2)</f>
        <v>535</v>
      </c>
      <c r="Q116" s="1070"/>
      <c r="R116" s="1071"/>
    </row>
    <row r="117" spans="1:18" ht="29.25" customHeight="1">
      <c r="A117" s="1087" t="s">
        <v>184</v>
      </c>
      <c r="B117" s="1088"/>
      <c r="C117" s="1089"/>
      <c r="D117" s="523" t="s">
        <v>183</v>
      </c>
      <c r="E117" s="237">
        <v>56505</v>
      </c>
      <c r="F117" s="237">
        <v>56816</v>
      </c>
      <c r="G117" s="663">
        <f t="shared" si="19"/>
        <v>311</v>
      </c>
      <c r="H117" s="99">
        <f t="shared" si="20"/>
        <v>311</v>
      </c>
      <c r="I117" s="155"/>
      <c r="J117" s="328">
        <f>H117/DAY(B2)</f>
        <v>311</v>
      </c>
      <c r="Q117" s="1070"/>
      <c r="R117" s="1071"/>
    </row>
    <row r="118" spans="1:18" ht="26.25">
      <c r="A118" s="1069" t="s">
        <v>97</v>
      </c>
      <c r="B118" s="1069"/>
      <c r="C118" s="1069"/>
      <c r="D118" s="532" t="s">
        <v>183</v>
      </c>
      <c r="E118" s="400">
        <v>101754</v>
      </c>
      <c r="F118" s="237">
        <v>102366</v>
      </c>
      <c r="G118" s="663">
        <f t="shared" si="19"/>
        <v>612</v>
      </c>
      <c r="H118" s="99">
        <f t="shared" si="20"/>
        <v>612</v>
      </c>
      <c r="I118" s="155"/>
      <c r="J118" s="328">
        <f>H118/DAY(B2)</f>
        <v>612</v>
      </c>
      <c r="Q118" s="1070"/>
      <c r="R118" s="1071"/>
    </row>
    <row r="119" spans="1:18" ht="26.25">
      <c r="A119" s="1069" t="s">
        <v>98</v>
      </c>
      <c r="B119" s="1069"/>
      <c r="C119" s="1069"/>
      <c r="D119" s="532" t="s">
        <v>183</v>
      </c>
      <c r="E119" s="237">
        <v>42581</v>
      </c>
      <c r="F119" s="237">
        <v>42592</v>
      </c>
      <c r="G119" s="663">
        <f t="shared" si="19"/>
        <v>11</v>
      </c>
      <c r="H119" s="99">
        <f t="shared" si="20"/>
        <v>11</v>
      </c>
      <c r="I119" s="155"/>
      <c r="J119" s="328">
        <f>H119/DAY(B2)</f>
        <v>11</v>
      </c>
    </row>
    <row r="120" spans="1:18" ht="26.25">
      <c r="A120" s="1069" t="s">
        <v>99</v>
      </c>
      <c r="B120" s="1069"/>
      <c r="C120" s="1069"/>
      <c r="D120" s="532" t="s">
        <v>183</v>
      </c>
      <c r="E120" s="237">
        <v>71332</v>
      </c>
      <c r="F120" s="237">
        <v>71768</v>
      </c>
      <c r="G120" s="663">
        <f t="shared" si="19"/>
        <v>436</v>
      </c>
      <c r="H120" s="99">
        <f t="shared" si="20"/>
        <v>436</v>
      </c>
      <c r="I120" s="155"/>
      <c r="J120" s="328">
        <f>H120/DAY(B2)</f>
        <v>436</v>
      </c>
    </row>
    <row r="121" spans="1:18" ht="26.25">
      <c r="A121" s="1069" t="s">
        <v>100</v>
      </c>
      <c r="B121" s="1069"/>
      <c r="C121" s="1069"/>
      <c r="D121" s="532" t="s">
        <v>183</v>
      </c>
      <c r="E121" s="237">
        <v>81356</v>
      </c>
      <c r="F121" s="237">
        <v>81840</v>
      </c>
      <c r="G121" s="663">
        <f t="shared" si="19"/>
        <v>484</v>
      </c>
      <c r="H121" s="99">
        <f t="shared" si="20"/>
        <v>484</v>
      </c>
      <c r="I121" s="155"/>
      <c r="J121" s="328">
        <f>H121/DAY(B2)</f>
        <v>484</v>
      </c>
    </row>
    <row r="122" spans="1:18" ht="26.25">
      <c r="A122" s="1069" t="s">
        <v>101</v>
      </c>
      <c r="B122" s="1069"/>
      <c r="C122" s="1069"/>
      <c r="D122" s="532" t="s">
        <v>183</v>
      </c>
      <c r="E122" s="237">
        <v>49131</v>
      </c>
      <c r="F122" s="237">
        <v>49503</v>
      </c>
      <c r="G122" s="663">
        <f t="shared" si="19"/>
        <v>372</v>
      </c>
      <c r="H122" s="99">
        <f t="shared" si="20"/>
        <v>372</v>
      </c>
      <c r="I122" s="155"/>
      <c r="J122" s="328">
        <f>H122/DAY(B2)</f>
        <v>372</v>
      </c>
    </row>
    <row r="123" spans="1:18" ht="26.25">
      <c r="A123" s="1069" t="s">
        <v>102</v>
      </c>
      <c r="B123" s="1069"/>
      <c r="C123" s="1069"/>
      <c r="D123" s="532" t="s">
        <v>183</v>
      </c>
      <c r="E123" s="237">
        <v>49749</v>
      </c>
      <c r="F123" s="237">
        <v>50063</v>
      </c>
      <c r="G123" s="663">
        <f t="shared" si="19"/>
        <v>314</v>
      </c>
      <c r="H123" s="99">
        <f t="shared" si="20"/>
        <v>314</v>
      </c>
      <c r="I123" s="155"/>
      <c r="J123" s="328">
        <f>H123/DAY(B2)</f>
        <v>314</v>
      </c>
    </row>
    <row r="124" spans="1:18" ht="29.25" customHeight="1">
      <c r="A124" s="1080"/>
      <c r="B124" s="1081"/>
      <c r="C124" s="1082"/>
      <c r="D124" s="560"/>
      <c r="E124" s="165"/>
      <c r="F124" s="155"/>
      <c r="G124" s="437"/>
      <c r="H124" s="156"/>
      <c r="I124" s="155"/>
      <c r="J124" s="156"/>
    </row>
    <row r="125" spans="1:18" ht="26.25">
      <c r="A125" s="1077" t="s">
        <v>196</v>
      </c>
      <c r="B125" s="1078"/>
      <c r="C125" s="1079"/>
      <c r="D125" s="532"/>
      <c r="E125" s="155"/>
      <c r="F125" s="155"/>
      <c r="G125" s="663">
        <f>SUM(G112:G124)</f>
        <v>3615</v>
      </c>
      <c r="H125" s="156"/>
      <c r="I125" s="156">
        <f>G125-(G39+G53)</f>
        <v>-790</v>
      </c>
      <c r="J125" s="156"/>
    </row>
    <row r="126" spans="1:18" ht="26.25">
      <c r="A126" s="1063" t="s">
        <v>317</v>
      </c>
      <c r="B126" s="1063"/>
      <c r="C126" s="1063"/>
      <c r="D126" s="1063"/>
      <c r="E126" s="1063"/>
      <c r="F126" s="1063"/>
      <c r="G126" s="1063"/>
      <c r="H126" s="1063"/>
      <c r="I126" s="1063"/>
      <c r="J126" s="1063"/>
    </row>
    <row r="127" spans="1:18" ht="26.25">
      <c r="A127" s="1064"/>
      <c r="B127" s="1064"/>
      <c r="C127" s="560"/>
      <c r="D127" s="532"/>
      <c r="E127" s="155"/>
      <c r="F127" s="155"/>
      <c r="G127" s="663"/>
      <c r="H127" s="99">
        <f t="shared" ref="H127:H135" si="21">G127</f>
        <v>0</v>
      </c>
      <c r="I127" s="155"/>
      <c r="J127" s="328">
        <f>H127/DAY(B2)</f>
        <v>0</v>
      </c>
    </row>
    <row r="128" spans="1:18" ht="29.25" customHeight="1">
      <c r="A128" s="1073" t="s">
        <v>318</v>
      </c>
      <c r="B128" s="1074"/>
      <c r="C128" s="1075"/>
      <c r="D128" s="532" t="s">
        <v>183</v>
      </c>
      <c r="E128" s="165">
        <v>154815</v>
      </c>
      <c r="F128" s="155">
        <v>155258</v>
      </c>
      <c r="G128" s="663">
        <f t="shared" ref="G128:G133" si="22">F128-E128</f>
        <v>443</v>
      </c>
      <c r="H128" s="99">
        <f t="shared" si="21"/>
        <v>443</v>
      </c>
      <c r="I128" s="155"/>
      <c r="J128" s="328">
        <f>H128/DAY(B2)</f>
        <v>443</v>
      </c>
    </row>
    <row r="129" spans="1:15" ht="26.25">
      <c r="A129" s="562" t="s">
        <v>319</v>
      </c>
      <c r="B129" s="599"/>
      <c r="C129" s="600"/>
      <c r="D129" s="532" t="s">
        <v>183</v>
      </c>
      <c r="E129" s="165">
        <v>83936</v>
      </c>
      <c r="F129" s="155">
        <v>84090</v>
      </c>
      <c r="G129" s="663">
        <f t="shared" si="22"/>
        <v>154</v>
      </c>
      <c r="H129" s="99">
        <f t="shared" si="21"/>
        <v>154</v>
      </c>
      <c r="I129" s="155"/>
      <c r="J129" s="328">
        <f>H129/DAY(B2)</f>
        <v>154</v>
      </c>
      <c r="N129" s="563"/>
      <c r="O129" s="559"/>
    </row>
    <row r="130" spans="1:15" ht="26.25">
      <c r="A130" s="562" t="s">
        <v>320</v>
      </c>
      <c r="B130" s="599"/>
      <c r="C130" s="600"/>
      <c r="D130" s="532" t="s">
        <v>183</v>
      </c>
      <c r="E130" s="165">
        <v>206759</v>
      </c>
      <c r="F130" s="155">
        <v>207405</v>
      </c>
      <c r="G130" s="663">
        <f t="shared" si="22"/>
        <v>646</v>
      </c>
      <c r="H130" s="99">
        <f t="shared" si="21"/>
        <v>646</v>
      </c>
      <c r="I130" s="155"/>
      <c r="J130" s="328">
        <f>H130/DAY(B2)</f>
        <v>646</v>
      </c>
      <c r="N130" s="563"/>
      <c r="O130" s="559"/>
    </row>
    <row r="131" spans="1:15" ht="26.25">
      <c r="A131" s="1073" t="s">
        <v>321</v>
      </c>
      <c r="B131" s="1074"/>
      <c r="C131" s="1075"/>
      <c r="D131" s="532" t="s">
        <v>183</v>
      </c>
      <c r="E131" s="165">
        <v>60308</v>
      </c>
      <c r="F131" s="157">
        <v>60480</v>
      </c>
      <c r="G131" s="665">
        <f t="shared" si="22"/>
        <v>172</v>
      </c>
      <c r="H131" s="99">
        <f t="shared" si="21"/>
        <v>172</v>
      </c>
      <c r="I131" s="155"/>
      <c r="J131" s="328">
        <f>H131/DAY(B2)</f>
        <v>172</v>
      </c>
      <c r="N131" s="563"/>
      <c r="O131" s="559"/>
    </row>
    <row r="132" spans="1:15" ht="26.25">
      <c r="A132" s="1073" t="s">
        <v>322</v>
      </c>
      <c r="B132" s="1074"/>
      <c r="C132" s="1075"/>
      <c r="D132" s="532" t="s">
        <v>183</v>
      </c>
      <c r="E132" s="443">
        <v>146985</v>
      </c>
      <c r="F132" s="157">
        <v>146985</v>
      </c>
      <c r="G132" s="665">
        <f t="shared" si="22"/>
        <v>0</v>
      </c>
      <c r="H132" s="99">
        <f t="shared" si="21"/>
        <v>0</v>
      </c>
      <c r="I132" s="155"/>
      <c r="J132" s="328">
        <f>H132/DAY(B2)</f>
        <v>0</v>
      </c>
    </row>
    <row r="133" spans="1:15" ht="26.25">
      <c r="A133" s="1073" t="s">
        <v>342</v>
      </c>
      <c r="B133" s="1074"/>
      <c r="C133" s="1075"/>
      <c r="D133" s="532" t="s">
        <v>183</v>
      </c>
      <c r="E133" s="165">
        <v>265945</v>
      </c>
      <c r="F133" s="157">
        <v>266792</v>
      </c>
      <c r="G133" s="665">
        <f t="shared" si="22"/>
        <v>847</v>
      </c>
      <c r="H133" s="99">
        <f t="shared" si="21"/>
        <v>847</v>
      </c>
      <c r="I133" s="155"/>
      <c r="J133" s="328">
        <f>H133/DAY(B2)</f>
        <v>847</v>
      </c>
    </row>
    <row r="134" spans="1:15" ht="26.25">
      <c r="A134" s="1076" t="s">
        <v>340</v>
      </c>
      <c r="B134" s="1068"/>
      <c r="C134" s="1056"/>
      <c r="D134" s="532" t="s">
        <v>183</v>
      </c>
      <c r="E134" s="445">
        <v>63662</v>
      </c>
      <c r="F134" s="157">
        <v>63917</v>
      </c>
      <c r="G134" s="665">
        <f>F134-E134</f>
        <v>255</v>
      </c>
      <c r="H134" s="99">
        <f t="shared" si="21"/>
        <v>255</v>
      </c>
      <c r="I134" s="155"/>
      <c r="J134" s="328">
        <f>H134/DAY(B2)</f>
        <v>255</v>
      </c>
    </row>
    <row r="135" spans="1:15" ht="26.25">
      <c r="A135" s="1077" t="s">
        <v>196</v>
      </c>
      <c r="B135" s="1078"/>
      <c r="C135" s="1079"/>
      <c r="D135" s="532"/>
      <c r="E135" s="155"/>
      <c r="F135" s="155"/>
      <c r="G135" s="663">
        <f>SUM(G128:G134)</f>
        <v>2517</v>
      </c>
      <c r="H135" s="99">
        <f t="shared" si="21"/>
        <v>2517</v>
      </c>
      <c r="I135" s="156">
        <f>G135-(G35+G49)</f>
        <v>-1100</v>
      </c>
      <c r="J135" s="328">
        <f>H135/DAY(B2)</f>
        <v>2517</v>
      </c>
    </row>
    <row r="136" spans="1:15" ht="26.25">
      <c r="A136" s="1063" t="s">
        <v>325</v>
      </c>
      <c r="B136" s="1063"/>
      <c r="C136" s="1063"/>
      <c r="D136" s="1063"/>
      <c r="E136" s="1063"/>
      <c r="F136" s="1063"/>
      <c r="G136" s="1063"/>
      <c r="H136" s="1063"/>
      <c r="I136" s="1063"/>
      <c r="J136" s="1063"/>
    </row>
    <row r="137" spans="1:15" ht="26.25">
      <c r="A137" s="560"/>
      <c r="B137" s="560"/>
      <c r="C137" s="560"/>
      <c r="D137" s="560"/>
      <c r="E137" s="155"/>
      <c r="F137" s="155"/>
      <c r="G137" s="437"/>
      <c r="H137" s="156"/>
      <c r="I137" s="155"/>
      <c r="J137" s="156"/>
    </row>
    <row r="138" spans="1:15" ht="26.25">
      <c r="A138" s="1069" t="s">
        <v>185</v>
      </c>
      <c r="B138" s="1069"/>
      <c r="C138" s="1069"/>
      <c r="D138" s="532" t="s">
        <v>183</v>
      </c>
      <c r="E138" s="147">
        <v>898205</v>
      </c>
      <c r="F138" s="147">
        <v>898338</v>
      </c>
      <c r="G138" s="663">
        <f t="shared" ref="G138:G152" si="23">F138-E138</f>
        <v>133</v>
      </c>
      <c r="H138" s="99">
        <f t="shared" ref="H138:H158" si="24">G138</f>
        <v>133</v>
      </c>
      <c r="I138" s="95"/>
      <c r="J138" s="328">
        <f>H138/DAY(B2)</f>
        <v>133</v>
      </c>
    </row>
    <row r="139" spans="1:15" ht="26.25">
      <c r="A139" s="1069" t="s">
        <v>186</v>
      </c>
      <c r="B139" s="1069"/>
      <c r="C139" s="1069"/>
      <c r="D139" s="532" t="s">
        <v>183</v>
      </c>
      <c r="E139" s="148">
        <v>918204</v>
      </c>
      <c r="F139" s="148">
        <v>918346</v>
      </c>
      <c r="G139" s="663">
        <f t="shared" si="23"/>
        <v>142</v>
      </c>
      <c r="H139" s="99">
        <f t="shared" si="24"/>
        <v>142</v>
      </c>
      <c r="I139" s="95"/>
      <c r="J139" s="328">
        <f>H139/DAY(B2)</f>
        <v>142</v>
      </c>
    </row>
    <row r="140" spans="1:15" ht="26.25">
      <c r="A140" s="1069" t="s">
        <v>187</v>
      </c>
      <c r="B140" s="1069"/>
      <c r="C140" s="1069"/>
      <c r="D140" s="532" t="s">
        <v>183</v>
      </c>
      <c r="E140" s="149">
        <v>2343</v>
      </c>
      <c r="F140" s="149">
        <v>2354</v>
      </c>
      <c r="G140" s="663">
        <f t="shared" si="23"/>
        <v>11</v>
      </c>
      <c r="H140" s="99">
        <f t="shared" si="24"/>
        <v>11</v>
      </c>
      <c r="I140" s="95"/>
      <c r="J140" s="328">
        <f>H140/DAY(B2)</f>
        <v>11</v>
      </c>
    </row>
    <row r="141" spans="1:15" ht="26.25">
      <c r="A141" s="1072" t="s">
        <v>188</v>
      </c>
      <c r="B141" s="1072"/>
      <c r="C141" s="1072"/>
      <c r="D141" s="601" t="s">
        <v>183</v>
      </c>
      <c r="E141" s="149">
        <v>103774</v>
      </c>
      <c r="F141" s="148">
        <v>104011</v>
      </c>
      <c r="G141" s="665">
        <f t="shared" si="23"/>
        <v>237</v>
      </c>
      <c r="H141" s="238">
        <f t="shared" si="24"/>
        <v>237</v>
      </c>
      <c r="I141" s="389"/>
      <c r="J141" s="391">
        <f>H141/DAY(B2)</f>
        <v>237</v>
      </c>
    </row>
    <row r="142" spans="1:15" ht="26.25">
      <c r="A142" s="1072" t="s">
        <v>189</v>
      </c>
      <c r="B142" s="1072"/>
      <c r="C142" s="1072"/>
      <c r="D142" s="601" t="s">
        <v>183</v>
      </c>
      <c r="E142" s="148">
        <v>41815</v>
      </c>
      <c r="F142" s="148">
        <v>41908</v>
      </c>
      <c r="G142" s="665">
        <f t="shared" si="23"/>
        <v>93</v>
      </c>
      <c r="H142" s="238">
        <f t="shared" si="24"/>
        <v>93</v>
      </c>
      <c r="I142" s="666"/>
      <c r="J142" s="391">
        <f>H142/DAY(B2)</f>
        <v>93</v>
      </c>
    </row>
    <row r="143" spans="1:15" ht="26.25">
      <c r="A143" s="1127" t="s">
        <v>91</v>
      </c>
      <c r="B143" s="1127"/>
      <c r="C143" s="1127"/>
      <c r="D143" s="601" t="s">
        <v>183</v>
      </c>
      <c r="E143" s="149">
        <v>10677</v>
      </c>
      <c r="F143" s="148">
        <v>10697</v>
      </c>
      <c r="G143" s="665">
        <f t="shared" si="23"/>
        <v>20</v>
      </c>
      <c r="H143" s="238">
        <f t="shared" si="24"/>
        <v>20</v>
      </c>
      <c r="I143" s="666"/>
      <c r="J143" s="391">
        <f>H143/DAY(B2)</f>
        <v>20</v>
      </c>
    </row>
    <row r="144" spans="1:15" ht="26.25">
      <c r="A144" s="1072" t="s">
        <v>90</v>
      </c>
      <c r="B144" s="1072"/>
      <c r="C144" s="1072"/>
      <c r="D144" s="601" t="s">
        <v>183</v>
      </c>
      <c r="E144" s="149">
        <v>933521</v>
      </c>
      <c r="F144" s="148">
        <v>933730</v>
      </c>
      <c r="G144" s="665">
        <f t="shared" si="23"/>
        <v>209</v>
      </c>
      <c r="H144" s="238">
        <f t="shared" si="24"/>
        <v>209</v>
      </c>
      <c r="I144" s="666"/>
      <c r="J144" s="391">
        <f>H144/DAY(B2)</f>
        <v>209</v>
      </c>
    </row>
    <row r="145" spans="1:10" ht="26.25">
      <c r="A145" s="1127" t="s">
        <v>190</v>
      </c>
      <c r="B145" s="1127"/>
      <c r="C145" s="1127"/>
      <c r="D145" s="601" t="s">
        <v>183</v>
      </c>
      <c r="E145" s="149">
        <v>13140</v>
      </c>
      <c r="F145" s="148">
        <v>13361</v>
      </c>
      <c r="G145" s="665">
        <f t="shared" si="23"/>
        <v>221</v>
      </c>
      <c r="H145" s="238">
        <f t="shared" si="24"/>
        <v>221</v>
      </c>
      <c r="I145" s="666"/>
      <c r="J145" s="391">
        <f>H145/DAY(B2)</f>
        <v>221</v>
      </c>
    </row>
    <row r="146" spans="1:10" ht="26.25">
      <c r="A146" s="1128" t="s">
        <v>191</v>
      </c>
      <c r="B146" s="1129"/>
      <c r="C146" s="1130"/>
      <c r="D146" s="601" t="s">
        <v>183</v>
      </c>
      <c r="E146" s="148">
        <v>784339</v>
      </c>
      <c r="F146" s="148">
        <v>784339</v>
      </c>
      <c r="G146" s="665">
        <f t="shared" si="23"/>
        <v>0</v>
      </c>
      <c r="H146" s="238">
        <f t="shared" si="24"/>
        <v>0</v>
      </c>
      <c r="I146" s="666"/>
      <c r="J146" s="391">
        <f>H146/DAY(B2)</f>
        <v>0</v>
      </c>
    </row>
    <row r="147" spans="1:10" ht="26.25">
      <c r="A147" s="1072" t="s">
        <v>192</v>
      </c>
      <c r="B147" s="1072"/>
      <c r="C147" s="1072"/>
      <c r="D147" s="601" t="s">
        <v>183</v>
      </c>
      <c r="E147" s="148">
        <v>723522</v>
      </c>
      <c r="F147" s="148">
        <v>723905</v>
      </c>
      <c r="G147" s="665">
        <f t="shared" si="23"/>
        <v>383</v>
      </c>
      <c r="H147" s="238">
        <f t="shared" si="24"/>
        <v>383</v>
      </c>
      <c r="I147" s="666"/>
      <c r="J147" s="391">
        <f>H147/DAY(B2)</f>
        <v>383</v>
      </c>
    </row>
    <row r="148" spans="1:10" ht="26.25">
      <c r="A148" s="1123" t="s">
        <v>193</v>
      </c>
      <c r="B148" s="1124"/>
      <c r="C148" s="1125"/>
      <c r="D148" s="602" t="s">
        <v>130</v>
      </c>
      <c r="E148" s="150">
        <v>766610</v>
      </c>
      <c r="F148" s="164">
        <v>766865</v>
      </c>
      <c r="G148" s="665">
        <f t="shared" si="23"/>
        <v>255</v>
      </c>
      <c r="H148" s="238">
        <f t="shared" si="24"/>
        <v>255</v>
      </c>
      <c r="I148" s="238"/>
      <c r="J148" s="391">
        <f>H148/DAY(B2)</f>
        <v>255</v>
      </c>
    </row>
    <row r="149" spans="1:10" ht="26.25">
      <c r="A149" s="1123" t="s">
        <v>336</v>
      </c>
      <c r="B149" s="1124"/>
      <c r="C149" s="1125"/>
      <c r="D149" s="603" t="s">
        <v>130</v>
      </c>
      <c r="E149" s="146">
        <v>157967</v>
      </c>
      <c r="F149" s="233">
        <v>158422</v>
      </c>
      <c r="G149" s="665">
        <f t="shared" si="23"/>
        <v>455</v>
      </c>
      <c r="H149" s="238">
        <f t="shared" si="24"/>
        <v>455</v>
      </c>
      <c r="I149" s="640"/>
      <c r="J149" s="391">
        <f>H149/DAY(B2)</f>
        <v>455</v>
      </c>
    </row>
    <row r="150" spans="1:10" ht="26.25">
      <c r="A150" s="1123" t="s">
        <v>337</v>
      </c>
      <c r="B150" s="1124"/>
      <c r="C150" s="1125"/>
      <c r="D150" s="602" t="s">
        <v>130</v>
      </c>
      <c r="E150" s="233">
        <v>63978</v>
      </c>
      <c r="F150" s="233">
        <v>64208</v>
      </c>
      <c r="G150" s="665">
        <f t="shared" si="23"/>
        <v>230</v>
      </c>
      <c r="H150" s="238">
        <f t="shared" si="24"/>
        <v>230</v>
      </c>
      <c r="I150" s="640"/>
      <c r="J150" s="391">
        <f>H150/DAY(B2)</f>
        <v>230</v>
      </c>
    </row>
    <row r="151" spans="1:10" ht="26.25">
      <c r="A151" s="1123" t="s">
        <v>338</v>
      </c>
      <c r="B151" s="1124"/>
      <c r="C151" s="1125"/>
      <c r="D151" s="604" t="s">
        <v>130</v>
      </c>
      <c r="E151" s="233">
        <v>149788</v>
      </c>
      <c r="F151" s="233">
        <v>149815</v>
      </c>
      <c r="G151" s="665">
        <f t="shared" si="23"/>
        <v>27</v>
      </c>
      <c r="H151" s="238">
        <f t="shared" si="24"/>
        <v>27</v>
      </c>
      <c r="I151" s="640"/>
      <c r="J151" s="391">
        <f>H151/DAY(B2)</f>
        <v>27</v>
      </c>
    </row>
    <row r="152" spans="1:10" ht="26.25">
      <c r="A152" s="1123" t="s">
        <v>339</v>
      </c>
      <c r="B152" s="1124"/>
      <c r="C152" s="1125"/>
      <c r="D152" s="604" t="s">
        <v>130</v>
      </c>
      <c r="E152" s="233">
        <v>30614</v>
      </c>
      <c r="F152" s="233">
        <v>30743</v>
      </c>
      <c r="G152" s="665">
        <f t="shared" si="23"/>
        <v>129</v>
      </c>
      <c r="H152" s="238">
        <f t="shared" si="24"/>
        <v>129</v>
      </c>
      <c r="I152" s="640"/>
      <c r="J152" s="391">
        <f>H152/DAY(B2)</f>
        <v>129</v>
      </c>
    </row>
    <row r="153" spans="1:10" ht="26.25">
      <c r="A153" s="1077" t="s">
        <v>196</v>
      </c>
      <c r="B153" s="1078"/>
      <c r="C153" s="1079"/>
      <c r="D153" s="604"/>
      <c r="E153" s="358"/>
      <c r="F153" s="358"/>
      <c r="G153" s="667">
        <f>SUM(G138:G152)</f>
        <v>2545</v>
      </c>
      <c r="H153" s="511">
        <f t="shared" si="24"/>
        <v>2545</v>
      </c>
      <c r="I153" s="491">
        <f>G153-(G38+G52)</f>
        <v>314.23999999999978</v>
      </c>
      <c r="J153" s="668"/>
    </row>
    <row r="154" spans="1:10" ht="26.25">
      <c r="A154" s="1126" t="s">
        <v>344</v>
      </c>
      <c r="B154" s="1126"/>
      <c r="C154" s="1126"/>
      <c r="D154" s="1126"/>
      <c r="E154" s="1126"/>
      <c r="F154" s="1126"/>
      <c r="G154" s="1126"/>
      <c r="H154" s="1126"/>
      <c r="I154" s="1126"/>
      <c r="J154" s="1126"/>
    </row>
    <row r="155" spans="1:10" ht="27.75" customHeight="1">
      <c r="A155" s="1072" t="s">
        <v>345</v>
      </c>
      <c r="B155" s="1072"/>
      <c r="C155" s="1072"/>
      <c r="D155" s="597" t="s">
        <v>130</v>
      </c>
      <c r="E155" s="365">
        <v>185741</v>
      </c>
      <c r="F155" s="157">
        <v>186341</v>
      </c>
      <c r="G155" s="665">
        <f t="shared" ref="G155:G158" si="25">F155-E155</f>
        <v>600</v>
      </c>
      <c r="H155" s="238">
        <f t="shared" si="24"/>
        <v>600</v>
      </c>
      <c r="I155" s="157"/>
      <c r="J155" s="391">
        <f>H155/DAY(B2)</f>
        <v>600</v>
      </c>
    </row>
    <row r="156" spans="1:10" ht="25.5" customHeight="1">
      <c r="A156" s="1072" t="s">
        <v>366</v>
      </c>
      <c r="B156" s="1072"/>
      <c r="C156" s="1072"/>
      <c r="D156" s="597" t="s">
        <v>130</v>
      </c>
      <c r="E156" s="155">
        <v>20739</v>
      </c>
      <c r="F156" s="157">
        <v>20834</v>
      </c>
      <c r="G156" s="665">
        <f t="shared" si="25"/>
        <v>95</v>
      </c>
      <c r="H156" s="238">
        <f t="shared" si="24"/>
        <v>95</v>
      </c>
      <c r="I156" s="157"/>
      <c r="J156" s="391">
        <f>H156/DAY(B2)</f>
        <v>95</v>
      </c>
    </row>
    <row r="157" spans="1:10" ht="25.5" customHeight="1">
      <c r="A157" s="1047" t="s">
        <v>358</v>
      </c>
      <c r="B157" s="1048"/>
      <c r="C157" s="1049"/>
      <c r="D157" s="597" t="s">
        <v>130</v>
      </c>
      <c r="E157" s="155">
        <v>36124</v>
      </c>
      <c r="F157" s="157">
        <v>36259</v>
      </c>
      <c r="G157" s="665">
        <f t="shared" si="25"/>
        <v>135</v>
      </c>
      <c r="H157" s="238">
        <f t="shared" si="24"/>
        <v>135</v>
      </c>
      <c r="I157" s="157"/>
      <c r="J157" s="391"/>
    </row>
    <row r="158" spans="1:10" ht="25.5" customHeight="1">
      <c r="A158" s="1047" t="s">
        <v>359</v>
      </c>
      <c r="B158" s="1048"/>
      <c r="C158" s="1049"/>
      <c r="D158" s="597" t="s">
        <v>130</v>
      </c>
      <c r="E158" s="155">
        <v>504.63</v>
      </c>
      <c r="F158" s="157">
        <v>544</v>
      </c>
      <c r="G158" s="665">
        <f t="shared" si="25"/>
        <v>39.370000000000005</v>
      </c>
      <c r="H158" s="238">
        <f t="shared" si="24"/>
        <v>39.370000000000005</v>
      </c>
      <c r="I158" s="157"/>
      <c r="J158" s="391"/>
    </row>
    <row r="159" spans="1:10" ht="25.5" customHeight="1">
      <c r="A159" s="1050"/>
      <c r="B159" s="1051"/>
      <c r="C159" s="1052"/>
      <c r="D159" s="605"/>
      <c r="E159" s="155"/>
      <c r="F159" s="157"/>
      <c r="G159" s="665"/>
      <c r="H159" s="159"/>
      <c r="I159" s="157"/>
      <c r="J159" s="391"/>
    </row>
    <row r="160" spans="1:10" ht="26.25">
      <c r="A160" s="1063" t="s">
        <v>326</v>
      </c>
      <c r="B160" s="1063"/>
      <c r="C160" s="1063"/>
      <c r="D160" s="1063"/>
      <c r="E160" s="1063"/>
      <c r="F160" s="1063"/>
      <c r="G160" s="1063"/>
      <c r="H160" s="1063"/>
      <c r="I160" s="1063"/>
      <c r="J160" s="1063"/>
    </row>
    <row r="161" spans="1:10" ht="26.25">
      <c r="A161" s="564" t="s">
        <v>92</v>
      </c>
      <c r="B161" s="606"/>
      <c r="C161" s="606"/>
      <c r="D161" s="607" t="s">
        <v>180</v>
      </c>
      <c r="E161" s="235">
        <v>488323</v>
      </c>
      <c r="F161" s="235">
        <v>488632</v>
      </c>
      <c r="G161" s="436">
        <f t="shared" ref="G161:G168" si="26">F161-E161</f>
        <v>309</v>
      </c>
      <c r="H161" s="99">
        <f t="shared" ref="H161:H168" si="27">G161</f>
        <v>309</v>
      </c>
      <c r="I161" s="640"/>
      <c r="J161" s="239">
        <f>H161/DAY(B2)</f>
        <v>309</v>
      </c>
    </row>
    <row r="162" spans="1:10" ht="26.25">
      <c r="A162" s="564" t="s">
        <v>93</v>
      </c>
      <c r="B162" s="606"/>
      <c r="C162" s="606"/>
      <c r="D162" s="607" t="s">
        <v>180</v>
      </c>
      <c r="E162" s="235">
        <v>97288</v>
      </c>
      <c r="F162" s="235">
        <v>97334</v>
      </c>
      <c r="G162" s="436">
        <f t="shared" si="26"/>
        <v>46</v>
      </c>
      <c r="H162" s="99">
        <f t="shared" si="27"/>
        <v>46</v>
      </c>
      <c r="I162" s="640"/>
      <c r="J162" s="239">
        <f>H162/DAY(B2)</f>
        <v>46</v>
      </c>
    </row>
    <row r="163" spans="1:10" ht="26.25">
      <c r="A163" s="564" t="s">
        <v>365</v>
      </c>
      <c r="B163" s="606"/>
      <c r="C163" s="606"/>
      <c r="D163" s="607" t="s">
        <v>180</v>
      </c>
      <c r="E163" s="235">
        <v>14164</v>
      </c>
      <c r="F163" s="235">
        <v>14280</v>
      </c>
      <c r="G163" s="436">
        <f t="shared" si="26"/>
        <v>116</v>
      </c>
      <c r="H163" s="99">
        <f t="shared" si="27"/>
        <v>116</v>
      </c>
      <c r="I163" s="640"/>
      <c r="J163" s="239">
        <f>H163/DAY(B2)</f>
        <v>116</v>
      </c>
    </row>
    <row r="164" spans="1:10" ht="26.25">
      <c r="A164" s="564" t="s">
        <v>365</v>
      </c>
      <c r="B164" s="606"/>
      <c r="C164" s="606"/>
      <c r="D164" s="607" t="s">
        <v>180</v>
      </c>
      <c r="E164" s="235">
        <v>6612</v>
      </c>
      <c r="F164" s="235">
        <v>6620</v>
      </c>
      <c r="G164" s="436">
        <f>F164-E164</f>
        <v>8</v>
      </c>
      <c r="H164" s="99">
        <f t="shared" si="27"/>
        <v>8</v>
      </c>
      <c r="I164" s="640"/>
      <c r="J164" s="239">
        <f>H164/DAY(B2)</f>
        <v>8</v>
      </c>
    </row>
    <row r="165" spans="1:10" ht="26.25">
      <c r="A165" s="564" t="s">
        <v>309</v>
      </c>
      <c r="B165" s="606"/>
      <c r="C165" s="606"/>
      <c r="D165" s="607" t="s">
        <v>180</v>
      </c>
      <c r="E165" s="235">
        <v>32141</v>
      </c>
      <c r="F165" s="235">
        <v>32149</v>
      </c>
      <c r="G165" s="436">
        <f t="shared" si="26"/>
        <v>8</v>
      </c>
      <c r="H165" s="99">
        <f t="shared" si="27"/>
        <v>8</v>
      </c>
      <c r="I165" s="640"/>
      <c r="J165" s="239">
        <f>H165/DAY(B2)</f>
        <v>8</v>
      </c>
    </row>
    <row r="166" spans="1:10" ht="26.25">
      <c r="A166" s="1064"/>
      <c r="B166" s="1064"/>
      <c r="C166" s="560"/>
      <c r="D166" s="607" t="s">
        <v>180</v>
      </c>
      <c r="E166" s="155"/>
      <c r="F166" s="155"/>
      <c r="G166" s="436">
        <f t="shared" si="26"/>
        <v>0</v>
      </c>
      <c r="H166" s="99">
        <f t="shared" si="27"/>
        <v>0</v>
      </c>
      <c r="I166" s="155"/>
      <c r="J166" s="156"/>
    </row>
    <row r="167" spans="1:10" ht="26.25">
      <c r="A167" s="1064"/>
      <c r="B167" s="1064"/>
      <c r="C167" s="560"/>
      <c r="D167" s="607" t="s">
        <v>180</v>
      </c>
      <c r="E167" s="155"/>
      <c r="F167" s="155"/>
      <c r="G167" s="436">
        <f t="shared" si="26"/>
        <v>0</v>
      </c>
      <c r="H167" s="99">
        <f t="shared" si="27"/>
        <v>0</v>
      </c>
      <c r="I167" s="155"/>
      <c r="J167" s="156"/>
    </row>
    <row r="168" spans="1:10" ht="26.25">
      <c r="A168" s="1064"/>
      <c r="B168" s="1064"/>
      <c r="C168" s="560"/>
      <c r="D168" s="607" t="s">
        <v>180</v>
      </c>
      <c r="E168" s="155"/>
      <c r="F168" s="155"/>
      <c r="G168" s="436">
        <f t="shared" si="26"/>
        <v>0</v>
      </c>
      <c r="H168" s="99">
        <f t="shared" si="27"/>
        <v>0</v>
      </c>
      <c r="I168" s="155"/>
      <c r="J168" s="156"/>
    </row>
    <row r="169" spans="1:10" ht="26.25">
      <c r="B169" s="527"/>
      <c r="C169" s="527"/>
      <c r="D169" s="527"/>
    </row>
    <row r="170" spans="1:10" ht="26.25">
      <c r="B170" s="527"/>
      <c r="C170" s="527"/>
      <c r="D170" s="527"/>
    </row>
    <row r="171" spans="1:10" ht="26.25">
      <c r="A171" s="1065" t="s">
        <v>330</v>
      </c>
      <c r="B171" s="1066"/>
      <c r="C171" s="1066"/>
      <c r="D171" s="1066"/>
      <c r="E171" s="1066"/>
      <c r="F171" s="1066"/>
      <c r="G171" s="1066"/>
      <c r="H171" s="1066"/>
      <c r="I171" s="1066"/>
      <c r="J171" s="1067"/>
    </row>
    <row r="172" spans="1:10" ht="26.25">
      <c r="A172" s="1061"/>
      <c r="B172" s="1062"/>
      <c r="C172" s="608"/>
      <c r="D172" s="724"/>
      <c r="E172" s="155"/>
      <c r="F172" s="155"/>
      <c r="G172" s="437"/>
      <c r="H172" s="156"/>
      <c r="I172" s="155"/>
      <c r="J172" s="178">
        <f>H172/DAY(B2)</f>
        <v>0</v>
      </c>
    </row>
    <row r="173" spans="1:10" ht="26.25">
      <c r="A173" s="1055" t="s">
        <v>209</v>
      </c>
      <c r="B173" s="1056"/>
      <c r="C173" s="609"/>
      <c r="D173" s="724" t="s">
        <v>142</v>
      </c>
      <c r="E173" s="155">
        <v>8581</v>
      </c>
      <c r="F173" s="155">
        <v>8582</v>
      </c>
      <c r="G173" s="437">
        <f>F173-E173</f>
        <v>1</v>
      </c>
      <c r="H173" s="99">
        <f t="shared" ref="H173:H189" si="28">G173</f>
        <v>1</v>
      </c>
      <c r="I173" s="155"/>
      <c r="J173" s="178">
        <f>H173/DAY(B2)</f>
        <v>1</v>
      </c>
    </row>
    <row r="174" spans="1:10" ht="26.25">
      <c r="A174" s="1055" t="s">
        <v>75</v>
      </c>
      <c r="B174" s="1056"/>
      <c r="C174" s="609"/>
      <c r="D174" s="724" t="s">
        <v>142</v>
      </c>
      <c r="E174" s="157">
        <v>41962</v>
      </c>
      <c r="F174" s="157">
        <v>41975</v>
      </c>
      <c r="G174" s="437">
        <f t="shared" ref="G174:G175" si="29">F174-E174</f>
        <v>13</v>
      </c>
      <c r="H174" s="99">
        <f t="shared" si="28"/>
        <v>13</v>
      </c>
      <c r="I174" s="155"/>
      <c r="J174" s="178">
        <f>H174/DAY(B2)</f>
        <v>13</v>
      </c>
    </row>
    <row r="175" spans="1:10" ht="26.25">
      <c r="A175" s="1055" t="s">
        <v>76</v>
      </c>
      <c r="B175" s="1068"/>
      <c r="C175" s="1056"/>
      <c r="D175" s="724" t="s">
        <v>142</v>
      </c>
      <c r="E175" s="155">
        <v>24697</v>
      </c>
      <c r="F175" s="155">
        <v>24708</v>
      </c>
      <c r="G175" s="437">
        <f t="shared" si="29"/>
        <v>11</v>
      </c>
      <c r="H175" s="99">
        <f t="shared" si="28"/>
        <v>11</v>
      </c>
      <c r="I175" s="155"/>
      <c r="J175" s="178"/>
    </row>
    <row r="176" spans="1:10" ht="26.25">
      <c r="A176" s="1053" t="s">
        <v>196</v>
      </c>
      <c r="B176" s="1054"/>
      <c r="C176" s="609"/>
      <c r="D176" s="724"/>
      <c r="E176" s="155"/>
      <c r="F176" s="155"/>
      <c r="G176" s="437">
        <f>SUM(G173:G175)</f>
        <v>25</v>
      </c>
      <c r="H176" s="99">
        <f t="shared" si="28"/>
        <v>25</v>
      </c>
      <c r="I176" s="155"/>
      <c r="J176" s="178">
        <f>H176/DAY(B2)</f>
        <v>25</v>
      </c>
    </row>
    <row r="177" spans="1:10" ht="26.25">
      <c r="A177" s="1055" t="s">
        <v>77</v>
      </c>
      <c r="B177" s="1056"/>
      <c r="C177" s="609"/>
      <c r="D177" s="724" t="s">
        <v>142</v>
      </c>
      <c r="E177" s="155"/>
      <c r="F177" s="155"/>
      <c r="G177" s="437"/>
      <c r="H177" s="99">
        <f t="shared" si="28"/>
        <v>0</v>
      </c>
      <c r="I177" s="155"/>
      <c r="J177" s="178">
        <f>H177/DAY(B2)</f>
        <v>0</v>
      </c>
    </row>
    <row r="178" spans="1:10" ht="26.25">
      <c r="A178" s="1055" t="s">
        <v>210</v>
      </c>
      <c r="B178" s="1056"/>
      <c r="C178" s="609"/>
      <c r="D178" s="724" t="s">
        <v>142</v>
      </c>
      <c r="E178" s="155">
        <v>102114</v>
      </c>
      <c r="F178" s="155">
        <v>102114</v>
      </c>
      <c r="G178" s="437">
        <f>F178-E178</f>
        <v>0</v>
      </c>
      <c r="H178" s="99">
        <f t="shared" si="28"/>
        <v>0</v>
      </c>
      <c r="I178" s="155"/>
      <c r="J178" s="178">
        <f>H178/DAY(B2)</f>
        <v>0</v>
      </c>
    </row>
    <row r="179" spans="1:10" ht="26.25">
      <c r="A179" s="1055" t="s">
        <v>211</v>
      </c>
      <c r="B179" s="1056"/>
      <c r="C179" s="609"/>
      <c r="D179" s="724" t="s">
        <v>142</v>
      </c>
      <c r="E179" s="155">
        <v>37501</v>
      </c>
      <c r="F179" s="155">
        <v>37501</v>
      </c>
      <c r="G179" s="437">
        <f t="shared" ref="G179:G180" si="30">F179-E179</f>
        <v>0</v>
      </c>
      <c r="H179" s="99">
        <f t="shared" si="28"/>
        <v>0</v>
      </c>
      <c r="I179" s="155"/>
      <c r="J179" s="178">
        <f>H179/DAY(B2)</f>
        <v>0</v>
      </c>
    </row>
    <row r="180" spans="1:10" ht="26.25">
      <c r="A180" s="1055" t="s">
        <v>212</v>
      </c>
      <c r="B180" s="1056"/>
      <c r="C180" s="609"/>
      <c r="D180" s="724" t="s">
        <v>142</v>
      </c>
      <c r="E180" s="155">
        <v>7231</v>
      </c>
      <c r="F180" s="155">
        <v>7231</v>
      </c>
      <c r="G180" s="437">
        <f t="shared" si="30"/>
        <v>0</v>
      </c>
      <c r="H180" s="99">
        <f t="shared" si="28"/>
        <v>0</v>
      </c>
      <c r="I180" s="155"/>
      <c r="J180" s="178">
        <f>H180/DAY(B2)</f>
        <v>0</v>
      </c>
    </row>
    <row r="181" spans="1:10" ht="26.25">
      <c r="A181" s="1053" t="s">
        <v>108</v>
      </c>
      <c r="B181" s="1054"/>
      <c r="C181" s="609"/>
      <c r="D181" s="724"/>
      <c r="E181" s="157"/>
      <c r="F181" s="155"/>
      <c r="G181" s="437">
        <f>SUM(G178:G180)</f>
        <v>0</v>
      </c>
      <c r="H181" s="99">
        <f t="shared" si="28"/>
        <v>0</v>
      </c>
      <c r="I181" s="155"/>
      <c r="J181" s="178">
        <f>H181/DAY(B2)</f>
        <v>0</v>
      </c>
    </row>
    <row r="182" spans="1:10" ht="21.95" customHeight="1">
      <c r="A182" s="1055" t="s">
        <v>213</v>
      </c>
      <c r="B182" s="1056"/>
      <c r="C182" s="609"/>
      <c r="D182" s="724"/>
      <c r="E182" s="155"/>
      <c r="F182" s="155"/>
      <c r="G182" s="437"/>
      <c r="H182" s="99">
        <f t="shared" si="28"/>
        <v>0</v>
      </c>
      <c r="I182" s="155"/>
      <c r="J182" s="178">
        <f>H182/DAY(B2)</f>
        <v>0</v>
      </c>
    </row>
    <row r="183" spans="1:10" ht="21.95" customHeight="1">
      <c r="A183" s="1055" t="s">
        <v>214</v>
      </c>
      <c r="B183" s="1056"/>
      <c r="C183" s="609"/>
      <c r="D183" s="724" t="s">
        <v>142</v>
      </c>
      <c r="E183" s="157">
        <v>17848</v>
      </c>
      <c r="F183" s="157">
        <v>17856</v>
      </c>
      <c r="G183" s="438">
        <f>F183-E183</f>
        <v>8</v>
      </c>
      <c r="H183" s="99">
        <f t="shared" si="28"/>
        <v>8</v>
      </c>
      <c r="I183" s="155"/>
      <c r="J183" s="178">
        <f>H183/DAY(B2)</f>
        <v>8</v>
      </c>
    </row>
    <row r="184" spans="1:10" ht="21.95" customHeight="1">
      <c r="A184" s="1055" t="s">
        <v>215</v>
      </c>
      <c r="B184" s="1056"/>
      <c r="C184" s="609"/>
      <c r="D184" s="724" t="s">
        <v>142</v>
      </c>
      <c r="E184" s="157">
        <v>12349</v>
      </c>
      <c r="F184" s="157">
        <v>12355</v>
      </c>
      <c r="G184" s="438">
        <f t="shared" ref="G184:G185" si="31">F184-E184</f>
        <v>6</v>
      </c>
      <c r="H184" s="99">
        <f t="shared" si="28"/>
        <v>6</v>
      </c>
      <c r="I184" s="155"/>
      <c r="J184" s="178">
        <f>H184/DAY(B2)</f>
        <v>6</v>
      </c>
    </row>
    <row r="185" spans="1:10" ht="26.25">
      <c r="A185" s="1055" t="s">
        <v>216</v>
      </c>
      <c r="B185" s="1056"/>
      <c r="C185" s="609"/>
      <c r="D185" s="724" t="s">
        <v>142</v>
      </c>
      <c r="E185" s="157"/>
      <c r="F185" s="157"/>
      <c r="G185" s="438">
        <f t="shared" si="31"/>
        <v>0</v>
      </c>
      <c r="H185" s="99">
        <f t="shared" si="28"/>
        <v>0</v>
      </c>
      <c r="I185" s="155"/>
      <c r="J185" s="179">
        <f>H185/DAY(B2)</f>
        <v>0</v>
      </c>
    </row>
    <row r="186" spans="1:10" ht="26.25">
      <c r="A186" s="1053" t="s">
        <v>196</v>
      </c>
      <c r="B186" s="1054"/>
      <c r="C186" s="609"/>
      <c r="D186" s="610"/>
      <c r="E186" s="157"/>
      <c r="F186" s="157"/>
      <c r="G186" s="438">
        <f>SUM(G183:G185)</f>
        <v>14</v>
      </c>
      <c r="H186" s="99">
        <f t="shared" si="28"/>
        <v>14</v>
      </c>
      <c r="I186" s="157"/>
      <c r="J186" s="179">
        <f>H186/DAY(B2)</f>
        <v>14</v>
      </c>
    </row>
    <row r="187" spans="1:10" ht="26.25">
      <c r="A187" s="1055" t="s">
        <v>217</v>
      </c>
      <c r="B187" s="1056"/>
      <c r="C187" s="609"/>
      <c r="D187" s="611" t="s">
        <v>142</v>
      </c>
      <c r="E187" s="159"/>
      <c r="F187" s="159"/>
      <c r="G187" s="438">
        <f>G62+G19</f>
        <v>152</v>
      </c>
      <c r="H187" s="99">
        <f t="shared" si="28"/>
        <v>152</v>
      </c>
      <c r="I187" s="157"/>
      <c r="J187" s="179">
        <f>H187/DAY(B2)</f>
        <v>152</v>
      </c>
    </row>
    <row r="188" spans="1:10" ht="26.25">
      <c r="A188" s="1055" t="s">
        <v>218</v>
      </c>
      <c r="B188" s="1056"/>
      <c r="C188" s="609"/>
      <c r="D188" s="611" t="s">
        <v>142</v>
      </c>
      <c r="E188" s="159"/>
      <c r="F188" s="159"/>
      <c r="G188" s="438">
        <f>G65+G66+G67+G69+G70</f>
        <v>171</v>
      </c>
      <c r="H188" s="99">
        <f t="shared" si="28"/>
        <v>171</v>
      </c>
      <c r="I188" s="157"/>
      <c r="J188" s="503"/>
    </row>
    <row r="189" spans="1:10" ht="26.25">
      <c r="A189" s="1055" t="s">
        <v>219</v>
      </c>
      <c r="B189" s="1056"/>
      <c r="C189" s="609"/>
      <c r="D189" s="611" t="s">
        <v>142</v>
      </c>
      <c r="E189" s="157"/>
      <c r="F189" s="157"/>
      <c r="G189" s="438">
        <f>G181</f>
        <v>0</v>
      </c>
      <c r="H189" s="99">
        <f t="shared" si="28"/>
        <v>0</v>
      </c>
      <c r="I189" s="157"/>
      <c r="J189" s="239">
        <f>H189/DAY(B2)</f>
        <v>0</v>
      </c>
    </row>
    <row r="190" spans="1:10" ht="26.25">
      <c r="A190" s="1059"/>
      <c r="B190" s="1060"/>
      <c r="C190" s="565"/>
      <c r="D190" s="566"/>
      <c r="E190" s="398"/>
      <c r="F190" s="669"/>
      <c r="G190" s="670"/>
      <c r="H190" s="378"/>
      <c r="I190" s="669"/>
      <c r="J190" s="378"/>
    </row>
    <row r="191" spans="1:10" ht="26.25">
      <c r="A191" s="1057"/>
      <c r="B191" s="1058"/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6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270"/>
  <sheetViews>
    <sheetView view="pageBreakPreview" topLeftCell="A28" zoomScale="55" zoomScaleSheetLayoutView="55" workbookViewId="0">
      <selection activeCell="E20" sqref="E20"/>
    </sheetView>
  </sheetViews>
  <sheetFormatPr defaultColWidth="22.33203125" defaultRowHeight="21.95" customHeight="1"/>
  <cols>
    <col min="1" max="1" width="36" style="842" customWidth="1"/>
    <col min="2" max="2" width="25.109375" style="843" customWidth="1"/>
    <col min="3" max="3" width="15.88671875" style="843" customWidth="1"/>
    <col min="4" max="4" width="13.6640625" style="844" customWidth="1"/>
    <col min="5" max="5" width="27" style="844" customWidth="1"/>
    <col min="6" max="6" width="27.44140625" style="844" customWidth="1"/>
    <col min="7" max="7" width="28.88671875" style="844" customWidth="1"/>
    <col min="8" max="8" width="29.21875" style="845" customWidth="1"/>
    <col min="9" max="9" width="23.5546875" style="844" customWidth="1"/>
    <col min="10" max="10" width="24" style="844" customWidth="1"/>
    <col min="11" max="13" width="22.33203125" style="725" customWidth="1"/>
    <col min="14" max="14" width="25.109375" style="725" customWidth="1"/>
    <col min="15" max="16384" width="22.33203125" style="725"/>
  </cols>
  <sheetData>
    <row r="1" spans="1:13" ht="33.75">
      <c r="A1" s="1192" t="s">
        <v>115</v>
      </c>
      <c r="B1" s="1193"/>
      <c r="C1" s="1193"/>
      <c r="D1" s="1193"/>
      <c r="E1" s="1193"/>
      <c r="F1" s="1193"/>
      <c r="G1" s="1193"/>
      <c r="H1" s="1193"/>
      <c r="I1" s="1193"/>
      <c r="J1" s="1194"/>
    </row>
    <row r="2" spans="1:13" s="732" customFormat="1" ht="23.25">
      <c r="A2" s="726" t="s">
        <v>349</v>
      </c>
      <c r="B2" s="727">
        <v>44836</v>
      </c>
      <c r="C2" s="728" t="s">
        <v>67</v>
      </c>
      <c r="D2" s="729">
        <v>0.98</v>
      </c>
      <c r="E2" s="730"/>
      <c r="F2" s="730"/>
      <c r="G2" s="730" t="s">
        <v>116</v>
      </c>
      <c r="H2" s="730" t="s">
        <v>5</v>
      </c>
      <c r="I2" s="730" t="s">
        <v>7</v>
      </c>
      <c r="J2" s="731" t="s">
        <v>117</v>
      </c>
      <c r="K2" s="732">
        <v>0</v>
      </c>
    </row>
    <row r="3" spans="1:13" s="732" customFormat="1" ht="23.25">
      <c r="A3" s="726"/>
      <c r="B3" s="733"/>
      <c r="C3" s="728" t="s">
        <v>118</v>
      </c>
      <c r="D3" s="734">
        <v>28</v>
      </c>
      <c r="E3" s="1201" t="s">
        <v>119</v>
      </c>
      <c r="F3" s="1202"/>
      <c r="G3" s="728"/>
      <c r="H3" s="728"/>
      <c r="I3" s="728"/>
      <c r="J3" s="735"/>
    </row>
    <row r="4" spans="1:13" s="732" customFormat="1" ht="23.25">
      <c r="A4" s="736"/>
      <c r="B4" s="733"/>
      <c r="C4" s="728" t="s">
        <v>120</v>
      </c>
      <c r="D4" s="729">
        <v>0.79</v>
      </c>
      <c r="E4" s="728"/>
      <c r="F4" s="728"/>
      <c r="G4" s="728"/>
      <c r="H4" s="728"/>
      <c r="I4" s="728"/>
      <c r="J4" s="735"/>
    </row>
    <row r="5" spans="1:13" ht="26.25">
      <c r="A5" s="737" t="s">
        <v>121</v>
      </c>
      <c r="B5" s="738"/>
      <c r="C5" s="738"/>
      <c r="D5" s="739" t="s">
        <v>122</v>
      </c>
      <c r="E5" s="740" t="s">
        <v>123</v>
      </c>
      <c r="F5" s="740" t="s">
        <v>110</v>
      </c>
      <c r="G5" s="741" t="s">
        <v>124</v>
      </c>
      <c r="H5" s="739" t="s">
        <v>125</v>
      </c>
      <c r="I5" s="739" t="s">
        <v>126</v>
      </c>
      <c r="J5" s="742" t="s">
        <v>127</v>
      </c>
    </row>
    <row r="6" spans="1:13" ht="26.25">
      <c r="A6" s="1195" t="s">
        <v>128</v>
      </c>
      <c r="B6" s="1196"/>
      <c r="C6" s="1197"/>
      <c r="D6" s="743"/>
      <c r="E6" s="743"/>
      <c r="F6" s="743"/>
      <c r="G6" s="743"/>
      <c r="H6" s="744"/>
      <c r="I6" s="744"/>
      <c r="J6" s="745"/>
      <c r="K6" s="725" t="s">
        <v>207</v>
      </c>
    </row>
    <row r="7" spans="1:13" ht="26.25">
      <c r="A7" s="746" t="s">
        <v>129</v>
      </c>
      <c r="B7" s="747"/>
      <c r="C7" s="747"/>
      <c r="D7" s="748" t="s">
        <v>130</v>
      </c>
      <c r="E7" s="99">
        <f>'1'!F7</f>
        <v>907048</v>
      </c>
      <c r="F7" s="99">
        <f>+E7+25316</f>
        <v>932364</v>
      </c>
      <c r="G7" s="749">
        <f>F7-E7</f>
        <v>25316</v>
      </c>
      <c r="H7" s="748">
        <f>G7+'1'!H7</f>
        <v>50632</v>
      </c>
      <c r="I7" s="113">
        <f>'[1]1'!I7</f>
        <v>12000</v>
      </c>
      <c r="J7" s="620">
        <f>H7/DAY(B2)</f>
        <v>25316</v>
      </c>
      <c r="K7" s="725">
        <v>980940</v>
      </c>
      <c r="L7" s="732"/>
      <c r="M7" s="732"/>
    </row>
    <row r="8" spans="1:13" ht="26.25" thickBot="1">
      <c r="A8" s="750" t="s">
        <v>131</v>
      </c>
      <c r="B8" s="751"/>
      <c r="C8" s="752"/>
      <c r="D8" s="753" t="s">
        <v>24</v>
      </c>
      <c r="E8" s="99">
        <f>'1'!F8</f>
        <v>75049</v>
      </c>
      <c r="F8" s="754">
        <f>+E8+25669</f>
        <v>100718</v>
      </c>
      <c r="G8" s="755">
        <f>F8-E8</f>
        <v>25669</v>
      </c>
      <c r="H8" s="748">
        <f>G8+'1'!H8</f>
        <v>51338</v>
      </c>
      <c r="I8" s="756">
        <v>12000</v>
      </c>
      <c r="J8" s="620">
        <f>H8/DAY(B2)</f>
        <v>25669</v>
      </c>
      <c r="K8" s="725">
        <v>149953</v>
      </c>
      <c r="L8" s="732"/>
      <c r="M8" s="732"/>
    </row>
    <row r="9" spans="1:13" ht="26.25">
      <c r="A9" s="757" t="s">
        <v>132</v>
      </c>
      <c r="B9" s="758"/>
      <c r="C9" s="758"/>
      <c r="D9" s="748" t="s">
        <v>130</v>
      </c>
      <c r="E9" s="99">
        <f>'1'!F9</f>
        <v>3714457</v>
      </c>
      <c r="F9" s="759">
        <v>3720741.1</v>
      </c>
      <c r="G9" s="749">
        <f>F9-E9</f>
        <v>6284.1000000000931</v>
      </c>
      <c r="H9" s="748">
        <f>G9+'1'!H9</f>
        <v>14034.100000000093</v>
      </c>
      <c r="I9" s="113">
        <f>I8-J8</f>
        <v>-13669</v>
      </c>
      <c r="J9" s="620">
        <f>H9/DAY(B2)</f>
        <v>7017.0500000000466</v>
      </c>
      <c r="K9" s="725">
        <v>3736871.9</v>
      </c>
    </row>
    <row r="10" spans="1:13" ht="26.25">
      <c r="A10" s="746" t="s">
        <v>133</v>
      </c>
      <c r="B10" s="747"/>
      <c r="C10" s="747"/>
      <c r="D10" s="748" t="s">
        <v>130</v>
      </c>
      <c r="E10" s="99">
        <f>'1'!F10</f>
        <v>2759593</v>
      </c>
      <c r="F10" s="759">
        <v>2776945.9</v>
      </c>
      <c r="G10" s="749">
        <f>F10-E10</f>
        <v>17352.899999999907</v>
      </c>
      <c r="H10" s="748">
        <f>G10+'1'!H10</f>
        <v>34251.899999999907</v>
      </c>
      <c r="I10" s="760"/>
      <c r="J10" s="620">
        <f>H10/DAY(B2)</f>
        <v>17125.949999999953</v>
      </c>
      <c r="K10" s="725">
        <v>2809171.1</v>
      </c>
    </row>
    <row r="11" spans="1:13" ht="26.25">
      <c r="A11" s="746" t="s">
        <v>134</v>
      </c>
      <c r="B11" s="747"/>
      <c r="C11" s="747"/>
      <c r="D11" s="748" t="s">
        <v>130</v>
      </c>
      <c r="E11" s="99">
        <f>'1'!F11</f>
        <v>37560</v>
      </c>
      <c r="F11" s="748">
        <v>37560</v>
      </c>
      <c r="G11" s="749">
        <f>F11-E11</f>
        <v>0</v>
      </c>
      <c r="H11" s="748">
        <f>G11+'1'!H11</f>
        <v>0</v>
      </c>
      <c r="I11" s="760"/>
      <c r="J11" s="620">
        <f>H11/DAY(B2)</f>
        <v>0</v>
      </c>
    </row>
    <row r="12" spans="1:13" ht="26.25">
      <c r="A12" s="746" t="s">
        <v>135</v>
      </c>
      <c r="B12" s="747"/>
      <c r="C12" s="747"/>
      <c r="D12" s="748" t="s">
        <v>130</v>
      </c>
      <c r="E12" s="99">
        <f>'1'!F12</f>
        <v>40380</v>
      </c>
      <c r="F12" s="759">
        <v>40380</v>
      </c>
      <c r="G12" s="749">
        <v>0</v>
      </c>
      <c r="H12" s="748">
        <f>G12+'1'!H12</f>
        <v>0</v>
      </c>
      <c r="I12" s="760"/>
      <c r="J12" s="620">
        <f>H12/DAY(B2)</f>
        <v>0</v>
      </c>
    </row>
    <row r="13" spans="1:13" ht="26.25">
      <c r="A13" s="761" t="s">
        <v>136</v>
      </c>
      <c r="B13" s="762"/>
      <c r="C13" s="762"/>
      <c r="D13" s="748"/>
      <c r="E13" s="748"/>
      <c r="F13" s="748"/>
      <c r="G13" s="763">
        <f>G9+G10+G11+G12</f>
        <v>23637</v>
      </c>
      <c r="H13" s="748">
        <f>G13+'1'!H13</f>
        <v>49746</v>
      </c>
      <c r="I13" s="113">
        <f>G7-G13</f>
        <v>1679</v>
      </c>
      <c r="J13" s="620">
        <f>H13/DAY(B2)</f>
        <v>24873</v>
      </c>
    </row>
    <row r="14" spans="1:13" ht="26.25">
      <c r="A14" s="1198" t="s">
        <v>137</v>
      </c>
      <c r="B14" s="1199"/>
      <c r="C14" s="1200"/>
      <c r="D14" s="744"/>
      <c r="E14" s="744"/>
      <c r="F14" s="744"/>
      <c r="G14" s="764"/>
      <c r="H14" s="744"/>
      <c r="I14" s="744"/>
      <c r="J14" s="745"/>
    </row>
    <row r="15" spans="1:13" ht="26.25">
      <c r="A15" s="765" t="s">
        <v>138</v>
      </c>
      <c r="B15" s="766"/>
      <c r="C15" s="766"/>
      <c r="D15" s="748" t="s">
        <v>139</v>
      </c>
      <c r="E15" s="99">
        <f>'1'!F15</f>
        <v>2162482</v>
      </c>
      <c r="F15" s="767">
        <f>+E15+1045</f>
        <v>2163527</v>
      </c>
      <c r="G15" s="768">
        <f>(F15-E15)</f>
        <v>1045</v>
      </c>
      <c r="H15" s="748">
        <f>G15+'1'!H15</f>
        <v>2012</v>
      </c>
      <c r="I15" s="113">
        <v>800</v>
      </c>
      <c r="J15" s="620">
        <f>H15/DAY(B2)</f>
        <v>1006</v>
      </c>
      <c r="K15" s="725">
        <v>2164508</v>
      </c>
    </row>
    <row r="16" spans="1:13" ht="26.25">
      <c r="A16" s="769"/>
      <c r="B16" s="770"/>
      <c r="C16" s="770"/>
      <c r="D16" s="113"/>
      <c r="E16" s="771"/>
      <c r="F16" s="771"/>
      <c r="G16" s="749"/>
      <c r="H16" s="113"/>
      <c r="I16" s="113">
        <f>I15-J15</f>
        <v>-206</v>
      </c>
      <c r="J16" s="772"/>
    </row>
    <row r="17" spans="1:12" ht="26.25">
      <c r="A17" s="1198" t="s">
        <v>140</v>
      </c>
      <c r="B17" s="1199"/>
      <c r="C17" s="1200"/>
      <c r="D17" s="744"/>
      <c r="E17" s="744"/>
      <c r="F17" s="744"/>
      <c r="G17" s="764"/>
      <c r="H17" s="744"/>
      <c r="I17" s="744"/>
      <c r="J17" s="745"/>
    </row>
    <row r="18" spans="1:12" ht="25.5">
      <c r="A18" s="1174" t="s">
        <v>141</v>
      </c>
      <c r="B18" s="1175"/>
      <c r="C18" s="1176"/>
      <c r="D18" s="748" t="s">
        <v>142</v>
      </c>
      <c r="E18" s="748">
        <f>'1'!F18</f>
        <v>25</v>
      </c>
      <c r="F18" s="759">
        <v>18</v>
      </c>
      <c r="G18" s="763">
        <f>F18*10</f>
        <v>180</v>
      </c>
      <c r="H18" s="748">
        <f>G18+'1'!H18</f>
        <v>430</v>
      </c>
      <c r="I18" s="113">
        <f>'[1]1'!I18</f>
        <v>65</v>
      </c>
      <c r="J18" s="620">
        <f>H18/DAY(B2)</f>
        <v>215</v>
      </c>
      <c r="K18" s="725">
        <v>24</v>
      </c>
    </row>
    <row r="19" spans="1:12" ht="25.5">
      <c r="A19" s="1174" t="s">
        <v>69</v>
      </c>
      <c r="B19" s="1175"/>
      <c r="C19" s="1176"/>
      <c r="D19" s="748" t="s">
        <v>142</v>
      </c>
      <c r="E19" s="748">
        <f>'1'!F19</f>
        <v>165495</v>
      </c>
      <c r="F19" s="759">
        <v>165553</v>
      </c>
      <c r="G19" s="749">
        <f>F19-E19</f>
        <v>58</v>
      </c>
      <c r="H19" s="748">
        <f>G19+'1'!H19</f>
        <v>112</v>
      </c>
      <c r="I19" s="773"/>
      <c r="J19" s="620">
        <f>H19/DAY(B2)</f>
        <v>56</v>
      </c>
      <c r="K19" s="725">
        <v>165658</v>
      </c>
    </row>
    <row r="20" spans="1:12" ht="26.25">
      <c r="A20" s="761" t="s">
        <v>143</v>
      </c>
      <c r="B20" s="762"/>
      <c r="C20" s="762"/>
      <c r="D20" s="774"/>
      <c r="E20" s="774"/>
      <c r="F20" s="748"/>
      <c r="G20" s="775">
        <f>G18+G19</f>
        <v>238</v>
      </c>
      <c r="H20" s="748">
        <f>G20+'1'!H20</f>
        <v>542</v>
      </c>
      <c r="I20" s="776">
        <f>I18-J20</f>
        <v>-206</v>
      </c>
      <c r="J20" s="620">
        <f>H20/DAY(B2)</f>
        <v>271</v>
      </c>
    </row>
    <row r="21" spans="1:12" ht="26.25">
      <c r="A21" s="1198" t="s">
        <v>144</v>
      </c>
      <c r="B21" s="1199"/>
      <c r="C21" s="1200"/>
      <c r="D21" s="744"/>
      <c r="E21" s="744"/>
      <c r="F21" s="744"/>
      <c r="G21" s="764"/>
      <c r="H21" s="744"/>
      <c r="I21" s="744"/>
      <c r="J21" s="745"/>
    </row>
    <row r="22" spans="1:12" ht="26.25">
      <c r="A22" s="765" t="s">
        <v>145</v>
      </c>
      <c r="B22" s="766"/>
      <c r="C22" s="766"/>
      <c r="D22" s="748" t="s">
        <v>146</v>
      </c>
      <c r="E22" s="748">
        <f>'1'!F22</f>
        <v>2970</v>
      </c>
      <c r="F22" s="759">
        <v>2970</v>
      </c>
      <c r="G22" s="763">
        <f>(F22-E22)</f>
        <v>0</v>
      </c>
      <c r="H22" s="748">
        <f>G22+'1'!H22</f>
        <v>0</v>
      </c>
      <c r="I22" s="760"/>
      <c r="J22" s="620">
        <f>H22/DAY(B2)</f>
        <v>0</v>
      </c>
    </row>
    <row r="23" spans="1:12" ht="26.25">
      <c r="A23" s="765" t="s">
        <v>147</v>
      </c>
      <c r="B23" s="766"/>
      <c r="C23" s="766"/>
      <c r="D23" s="748" t="s">
        <v>146</v>
      </c>
      <c r="E23" s="748">
        <f>'1'!F23</f>
        <v>2000</v>
      </c>
      <c r="F23" s="759">
        <v>1500</v>
      </c>
      <c r="G23" s="763">
        <v>0</v>
      </c>
      <c r="H23" s="748">
        <f>G23+'1'!H23</f>
        <v>0</v>
      </c>
      <c r="I23" s="760"/>
      <c r="J23" s="620">
        <f>H23/DAY(B2)</f>
        <v>0</v>
      </c>
    </row>
    <row r="24" spans="1:12" ht="26.25">
      <c r="A24" s="777" t="s">
        <v>148</v>
      </c>
      <c r="B24" s="778"/>
      <c r="C24" s="778"/>
      <c r="D24" s="739" t="s">
        <v>146</v>
      </c>
      <c r="E24" s="748">
        <f>'1'!F24</f>
        <v>4970</v>
      </c>
      <c r="F24" s="771">
        <v>4970</v>
      </c>
      <c r="G24" s="763">
        <v>0</v>
      </c>
      <c r="H24" s="748">
        <f>G24+'1'!H24</f>
        <v>0</v>
      </c>
      <c r="I24" s="760"/>
      <c r="J24" s="620">
        <f>H24/DAY(B2)</f>
        <v>0</v>
      </c>
    </row>
    <row r="25" spans="1:12" s="782" customFormat="1" ht="25.5">
      <c r="A25" s="1203" t="s">
        <v>149</v>
      </c>
      <c r="B25" s="1204"/>
      <c r="C25" s="1205"/>
      <c r="D25" s="743"/>
      <c r="E25" s="743"/>
      <c r="F25" s="743"/>
      <c r="G25" s="779"/>
      <c r="H25" s="743"/>
      <c r="I25" s="780"/>
      <c r="J25" s="781"/>
      <c r="K25" s="725"/>
      <c r="L25" s="725"/>
    </row>
    <row r="26" spans="1:12" s="782" customFormat="1" ht="25.5">
      <c r="A26" s="783" t="s">
        <v>150</v>
      </c>
      <c r="B26" s="784"/>
      <c r="C26" s="785"/>
      <c r="D26" s="786" t="s">
        <v>151</v>
      </c>
      <c r="E26" s="787"/>
      <c r="F26" s="787"/>
      <c r="G26" s="788"/>
      <c r="H26" s="748"/>
      <c r="I26" s="789"/>
      <c r="J26" s="620"/>
      <c r="K26" s="725"/>
      <c r="L26" s="725"/>
    </row>
    <row r="27" spans="1:12" s="782" customFormat="1" ht="25.5">
      <c r="A27" s="783" t="s">
        <v>5</v>
      </c>
      <c r="B27" s="784"/>
      <c r="C27" s="785"/>
      <c r="D27" s="787" t="s">
        <v>24</v>
      </c>
      <c r="E27" s="790">
        <f>G8</f>
        <v>25669</v>
      </c>
      <c r="F27" s="791">
        <v>10</v>
      </c>
      <c r="G27" s="792">
        <f>E27*F27</f>
        <v>256690</v>
      </c>
      <c r="H27" s="748">
        <f>G27+'1'!H27</f>
        <v>513380</v>
      </c>
      <c r="I27" s="793"/>
      <c r="J27" s="620">
        <f>H27/DAY(B2)</f>
        <v>256690</v>
      </c>
      <c r="K27" s="725"/>
      <c r="L27" s="725"/>
    </row>
    <row r="28" spans="1:12" s="782" customFormat="1" ht="25.5">
      <c r="A28" s="783" t="s">
        <v>152</v>
      </c>
      <c r="B28" s="784"/>
      <c r="C28" s="785"/>
      <c r="D28" s="787" t="s">
        <v>153</v>
      </c>
      <c r="E28" s="794">
        <f>G15</f>
        <v>1045</v>
      </c>
      <c r="F28" s="791">
        <v>75</v>
      </c>
      <c r="G28" s="792">
        <f>E28*F28</f>
        <v>78375</v>
      </c>
      <c r="H28" s="748">
        <f>G28+'1'!H28</f>
        <v>150900</v>
      </c>
      <c r="I28" s="795"/>
      <c r="J28" s="620">
        <f>H28/DAY(B2)</f>
        <v>75450</v>
      </c>
      <c r="K28" s="725"/>
      <c r="L28" s="725"/>
    </row>
    <row r="29" spans="1:12" s="782" customFormat="1" ht="25.5">
      <c r="A29" s="783" t="s">
        <v>154</v>
      </c>
      <c r="B29" s="784"/>
      <c r="C29" s="785"/>
      <c r="D29" s="787" t="s">
        <v>155</v>
      </c>
      <c r="E29" s="796">
        <f>G24</f>
        <v>0</v>
      </c>
      <c r="F29" s="791">
        <v>69</v>
      </c>
      <c r="G29" s="792">
        <f>E29*F29</f>
        <v>0</v>
      </c>
      <c r="H29" s="748">
        <f>G29+'1'!H29</f>
        <v>0</v>
      </c>
      <c r="I29" s="795"/>
      <c r="J29" s="620">
        <f>H29/DAY(B2)</f>
        <v>0</v>
      </c>
      <c r="K29" s="725"/>
      <c r="L29" s="725"/>
    </row>
    <row r="30" spans="1:12" s="782" customFormat="1" ht="25.5">
      <c r="A30" s="783" t="s">
        <v>156</v>
      </c>
      <c r="B30" s="784"/>
      <c r="C30" s="785"/>
      <c r="D30" s="787" t="s">
        <v>157</v>
      </c>
      <c r="E30" s="796">
        <f>G19</f>
        <v>58</v>
      </c>
      <c r="F30" s="791">
        <v>151</v>
      </c>
      <c r="G30" s="792">
        <f>E30*F30</f>
        <v>8758</v>
      </c>
      <c r="H30" s="748">
        <f>G30+'1'!H30</f>
        <v>16912</v>
      </c>
      <c r="I30" s="795"/>
      <c r="J30" s="620">
        <f>H30/DAY(B2)</f>
        <v>8456</v>
      </c>
      <c r="K30" s="725"/>
      <c r="L30" s="725"/>
    </row>
    <row r="31" spans="1:12" s="782" customFormat="1" ht="25.5">
      <c r="A31" s="783" t="s">
        <v>158</v>
      </c>
      <c r="B31" s="784"/>
      <c r="C31" s="785"/>
      <c r="D31" s="787" t="s">
        <v>142</v>
      </c>
      <c r="E31" s="796">
        <f>G18</f>
        <v>180</v>
      </c>
      <c r="F31" s="791">
        <v>80</v>
      </c>
      <c r="G31" s="792">
        <f>E31*F31</f>
        <v>14400</v>
      </c>
      <c r="H31" s="748">
        <f>G31+'1'!H31</f>
        <v>34400</v>
      </c>
      <c r="I31" s="795"/>
      <c r="J31" s="620">
        <f>H31/DAY(B2)</f>
        <v>17200</v>
      </c>
      <c r="K31" s="725"/>
      <c r="L31" s="725"/>
    </row>
    <row r="32" spans="1:12" s="782" customFormat="1" ht="25.5">
      <c r="A32" s="797" t="s">
        <v>159</v>
      </c>
      <c r="B32" s="798"/>
      <c r="C32" s="799"/>
      <c r="D32" s="800"/>
      <c r="E32" s="800"/>
      <c r="F32" s="800"/>
      <c r="G32" s="801">
        <f>G27+G28+G29+G30+G31</f>
        <v>358223</v>
      </c>
      <c r="H32" s="748">
        <f>G32+'1'!H32</f>
        <v>715592</v>
      </c>
      <c r="I32" s="802"/>
      <c r="J32" s="620">
        <f>H32/DAY(B2)</f>
        <v>357796</v>
      </c>
      <c r="K32" s="725"/>
      <c r="L32" s="725"/>
    </row>
    <row r="33" spans="1:12" ht="25.5" customHeight="1">
      <c r="A33" s="1206" t="s">
        <v>331</v>
      </c>
      <c r="B33" s="1207"/>
      <c r="C33" s="1207"/>
      <c r="D33" s="803"/>
      <c r="E33" s="803"/>
      <c r="F33" s="803"/>
      <c r="G33" s="803"/>
      <c r="H33" s="803"/>
      <c r="I33" s="803"/>
      <c r="J33" s="804"/>
    </row>
    <row r="34" spans="1:12" ht="26.25">
      <c r="A34" s="805" t="s">
        <v>160</v>
      </c>
      <c r="B34" s="806"/>
      <c r="C34" s="806"/>
      <c r="D34" s="744"/>
      <c r="E34" s="743"/>
      <c r="F34" s="743"/>
      <c r="G34" s="744"/>
      <c r="H34" s="744"/>
      <c r="I34" s="744"/>
      <c r="J34" s="745"/>
    </row>
    <row r="35" spans="1:12" ht="26.25">
      <c r="A35" s="746" t="s">
        <v>161</v>
      </c>
      <c r="B35" s="747"/>
      <c r="C35" s="747"/>
      <c r="D35" s="748" t="s">
        <v>130</v>
      </c>
      <c r="E35" s="748">
        <f>'1'!F35</f>
        <v>238713.05</v>
      </c>
      <c r="F35" s="807">
        <v>238713.05</v>
      </c>
      <c r="G35" s="749">
        <f t="shared" ref="G35:G46" si="0">F35-E35</f>
        <v>0</v>
      </c>
      <c r="H35" s="748">
        <f>G35+'1'!H35</f>
        <v>0</v>
      </c>
      <c r="I35" s="748"/>
      <c r="J35" s="620">
        <f>H35/DAY(B2)</f>
        <v>0</v>
      </c>
      <c r="K35" s="725">
        <v>23871.3</v>
      </c>
    </row>
    <row r="36" spans="1:12" ht="26.25">
      <c r="A36" s="746" t="s">
        <v>162</v>
      </c>
      <c r="B36" s="747"/>
      <c r="C36" s="747"/>
      <c r="D36" s="748" t="s">
        <v>130</v>
      </c>
      <c r="E36" s="748">
        <f>'1'!F36</f>
        <v>270177</v>
      </c>
      <c r="F36" s="807">
        <v>271141.21000000002</v>
      </c>
      <c r="G36" s="749">
        <f t="shared" si="0"/>
        <v>964.21000000002095</v>
      </c>
      <c r="H36" s="748">
        <f>G36+'1'!H36</f>
        <v>1658.210000000021</v>
      </c>
      <c r="I36" s="748"/>
      <c r="J36" s="620">
        <f>H36/DAY(B2)</f>
        <v>829.10500000001048</v>
      </c>
      <c r="K36" s="725">
        <v>272497.59000000003</v>
      </c>
      <c r="L36" s="808"/>
    </row>
    <row r="37" spans="1:12" ht="26.25">
      <c r="A37" s="746" t="s">
        <v>163</v>
      </c>
      <c r="B37" s="747"/>
      <c r="C37" s="747"/>
      <c r="D37" s="748" t="s">
        <v>130</v>
      </c>
      <c r="E37" s="748">
        <f>'1'!F37</f>
        <v>322998.69</v>
      </c>
      <c r="F37" s="807">
        <v>322998.69</v>
      </c>
      <c r="G37" s="749">
        <f t="shared" si="0"/>
        <v>0</v>
      </c>
      <c r="H37" s="748">
        <f>G37+'1'!H37</f>
        <v>0</v>
      </c>
      <c r="I37" s="748"/>
      <c r="J37" s="620">
        <f>H37/DAY(B2)</f>
        <v>0</v>
      </c>
      <c r="K37" s="725">
        <v>322998.69</v>
      </c>
      <c r="L37" s="809"/>
    </row>
    <row r="38" spans="1:12" ht="26.25">
      <c r="A38" s="746" t="s">
        <v>164</v>
      </c>
      <c r="B38" s="747"/>
      <c r="C38" s="747"/>
      <c r="D38" s="748" t="s">
        <v>130</v>
      </c>
      <c r="E38" s="748">
        <f>'1'!F38</f>
        <v>595948</v>
      </c>
      <c r="F38" s="739">
        <v>598147.71</v>
      </c>
      <c r="G38" s="749">
        <f t="shared" si="0"/>
        <v>2199.7099999999627</v>
      </c>
      <c r="H38" s="748">
        <f>G38+'1'!H38</f>
        <v>4430.7099999999627</v>
      </c>
      <c r="I38" s="748"/>
      <c r="J38" s="620">
        <f>H38/DAY(B2)</f>
        <v>2215.3549999999814</v>
      </c>
      <c r="K38" s="725">
        <v>602620.79</v>
      </c>
    </row>
    <row r="39" spans="1:12" ht="26.25">
      <c r="A39" s="746" t="s">
        <v>165</v>
      </c>
      <c r="B39" s="747"/>
      <c r="C39" s="747"/>
      <c r="D39" s="748" t="s">
        <v>130</v>
      </c>
      <c r="E39" s="748">
        <f>'1'!F39</f>
        <v>591584.18999999994</v>
      </c>
      <c r="F39" s="807">
        <v>591584.18999999994</v>
      </c>
      <c r="G39" s="749">
        <f t="shared" si="0"/>
        <v>0</v>
      </c>
      <c r="H39" s="748">
        <f>G39+'1'!H39</f>
        <v>0</v>
      </c>
      <c r="I39" s="748"/>
      <c r="J39" s="620">
        <f>H39/DAY(B2)</f>
        <v>0</v>
      </c>
      <c r="K39" s="725">
        <v>591584.18999999994</v>
      </c>
    </row>
    <row r="40" spans="1:12" ht="26.25">
      <c r="A40" s="746" t="s">
        <v>166</v>
      </c>
      <c r="B40" s="747"/>
      <c r="C40" s="747"/>
      <c r="D40" s="748" t="s">
        <v>130</v>
      </c>
      <c r="E40" s="748">
        <f>'1'!F40</f>
        <v>158777</v>
      </c>
      <c r="F40" s="807">
        <v>159550.12</v>
      </c>
      <c r="G40" s="749">
        <f t="shared" si="0"/>
        <v>773.11999999999534</v>
      </c>
      <c r="H40" s="748">
        <f>G40+'1'!H40</f>
        <v>1570.1199999999953</v>
      </c>
      <c r="I40" s="748"/>
      <c r="J40" s="620">
        <f>H40/DAY(B2)</f>
        <v>785.05999999999767</v>
      </c>
      <c r="K40" s="725">
        <v>161063</v>
      </c>
    </row>
    <row r="41" spans="1:12" ht="26.25">
      <c r="A41" s="746" t="s">
        <v>167</v>
      </c>
      <c r="B41" s="747"/>
      <c r="C41" s="747"/>
      <c r="D41" s="748" t="s">
        <v>130</v>
      </c>
      <c r="E41" s="748">
        <f>'1'!F41</f>
        <v>381352</v>
      </c>
      <c r="F41" s="807">
        <v>381351.55</v>
      </c>
      <c r="G41" s="749">
        <f t="shared" si="0"/>
        <v>-0.45000000001164153</v>
      </c>
      <c r="H41" s="748">
        <f>G41+'1'!H41</f>
        <v>-0.45000000001164153</v>
      </c>
      <c r="I41" s="748"/>
      <c r="J41" s="620">
        <f>H41/DAY(B2)</f>
        <v>-0.22500000000582077</v>
      </c>
      <c r="K41" s="725">
        <v>381351.85</v>
      </c>
    </row>
    <row r="42" spans="1:12" ht="26.25">
      <c r="A42" s="746" t="s">
        <v>168</v>
      </c>
      <c r="B42" s="747"/>
      <c r="C42" s="747"/>
      <c r="D42" s="748" t="s">
        <v>130</v>
      </c>
      <c r="E42" s="748">
        <f>'1'!F42</f>
        <v>830096</v>
      </c>
      <c r="F42" s="807">
        <v>833330.63</v>
      </c>
      <c r="G42" s="749">
        <f t="shared" si="0"/>
        <v>3234.6300000000047</v>
      </c>
      <c r="H42" s="748">
        <f>G42+'1'!H42</f>
        <v>8243.6300000000047</v>
      </c>
      <c r="I42" s="748"/>
      <c r="J42" s="620">
        <f>H42/DAY(B2)</f>
        <v>4121.8150000000023</v>
      </c>
      <c r="K42" s="725">
        <v>844031.83</v>
      </c>
    </row>
    <row r="43" spans="1:12" ht="26.25">
      <c r="A43" s="746" t="s">
        <v>169</v>
      </c>
      <c r="B43" s="747"/>
      <c r="C43" s="747"/>
      <c r="D43" s="748" t="s">
        <v>130</v>
      </c>
      <c r="E43" s="748">
        <f>'1'!F43</f>
        <v>407028</v>
      </c>
      <c r="F43" s="807">
        <v>407028</v>
      </c>
      <c r="G43" s="749">
        <f t="shared" si="0"/>
        <v>0</v>
      </c>
      <c r="H43" s="748">
        <f>G43+'1'!H43</f>
        <v>0</v>
      </c>
      <c r="I43" s="748"/>
      <c r="J43" s="620">
        <f>H43/DAY(B2)</f>
        <v>0</v>
      </c>
    </row>
    <row r="44" spans="1:12" ht="26.25">
      <c r="A44" s="746" t="s">
        <v>170</v>
      </c>
      <c r="B44" s="747"/>
      <c r="C44" s="747"/>
      <c r="D44" s="748" t="s">
        <v>130</v>
      </c>
      <c r="E44" s="748">
        <f>'1'!F44</f>
        <v>0</v>
      </c>
      <c r="F44" s="807">
        <v>0</v>
      </c>
      <c r="G44" s="749">
        <f t="shared" si="0"/>
        <v>0</v>
      </c>
      <c r="H44" s="748">
        <f>G44+'1'!H44</f>
        <v>0</v>
      </c>
      <c r="I44" s="748"/>
      <c r="J44" s="620">
        <f>H44/DAY(B2)</f>
        <v>0</v>
      </c>
    </row>
    <row r="45" spans="1:12" ht="26.25">
      <c r="A45" s="746" t="s">
        <v>171</v>
      </c>
      <c r="B45" s="747"/>
      <c r="C45" s="747"/>
      <c r="D45" s="748" t="s">
        <v>130</v>
      </c>
      <c r="E45" s="748">
        <f>'1'!F45</f>
        <v>0</v>
      </c>
      <c r="F45" s="807">
        <v>0</v>
      </c>
      <c r="G45" s="749">
        <f t="shared" si="0"/>
        <v>0</v>
      </c>
      <c r="H45" s="748">
        <f>G45+'1'!H45</f>
        <v>0</v>
      </c>
      <c r="I45" s="748"/>
      <c r="J45" s="620">
        <f>H45/DAY(B2)</f>
        <v>0</v>
      </c>
    </row>
    <row r="46" spans="1:12" ht="26.25">
      <c r="A46" s="746" t="s">
        <v>172</v>
      </c>
      <c r="B46" s="747"/>
      <c r="C46" s="747"/>
      <c r="D46" s="748" t="s">
        <v>130</v>
      </c>
      <c r="E46" s="748">
        <f>'1'!F46</f>
        <v>0</v>
      </c>
      <c r="F46" s="807">
        <v>0</v>
      </c>
      <c r="G46" s="749">
        <f t="shared" si="0"/>
        <v>0</v>
      </c>
      <c r="H46" s="748">
        <f>G46+'1'!H46</f>
        <v>0</v>
      </c>
      <c r="I46" s="748"/>
      <c r="J46" s="620">
        <f>H46/DAY(B2)</f>
        <v>0</v>
      </c>
    </row>
    <row r="47" spans="1:12" ht="26.25">
      <c r="A47" s="761" t="s">
        <v>173</v>
      </c>
      <c r="B47" s="762"/>
      <c r="C47" s="762"/>
      <c r="D47" s="739"/>
      <c r="E47" s="739"/>
      <c r="F47" s="739"/>
      <c r="G47" s="763">
        <f>G35+G36+G37+G38+G39+G40+G41+G42+G43+G44+G45+G46</f>
        <v>7171.2199999999721</v>
      </c>
      <c r="H47" s="748">
        <f>G47+'1'!H47</f>
        <v>15902.219999999972</v>
      </c>
      <c r="I47" s="748"/>
      <c r="J47" s="620">
        <f>H47/DAY(B2)</f>
        <v>7951.109999999986</v>
      </c>
    </row>
    <row r="48" spans="1:12" ht="26.25">
      <c r="A48" s="805" t="s">
        <v>174</v>
      </c>
      <c r="B48" s="806"/>
      <c r="C48" s="806"/>
      <c r="D48" s="744"/>
      <c r="E48" s="743"/>
      <c r="F48" s="743"/>
      <c r="G48" s="744"/>
      <c r="H48" s="744"/>
      <c r="I48" s="744"/>
      <c r="J48" s="745"/>
    </row>
    <row r="49" spans="1:12" ht="26.25">
      <c r="A49" s="746" t="s">
        <v>161</v>
      </c>
      <c r="B49" s="810"/>
      <c r="C49" s="810"/>
      <c r="D49" s="748" t="s">
        <v>130</v>
      </c>
      <c r="E49" s="748">
        <f>'1'!F49</f>
        <v>723904</v>
      </c>
      <c r="F49" s="807">
        <v>727433.1</v>
      </c>
      <c r="G49" s="749">
        <f t="shared" ref="G49:G58" si="1">F49-E49</f>
        <v>3529.0999999999767</v>
      </c>
      <c r="H49" s="748">
        <f>G49+'1'!H49</f>
        <v>7146.0999999999767</v>
      </c>
      <c r="I49" s="748"/>
      <c r="J49" s="620">
        <f>H49/DAY(B2)</f>
        <v>3573.0499999999884</v>
      </c>
      <c r="K49" s="725">
        <v>735096.71</v>
      </c>
    </row>
    <row r="50" spans="1:12" ht="26.25">
      <c r="A50" s="746" t="s">
        <v>175</v>
      </c>
      <c r="B50" s="810"/>
      <c r="C50" s="810"/>
      <c r="D50" s="748" t="s">
        <v>130</v>
      </c>
      <c r="E50" s="748">
        <f>'1'!F50</f>
        <v>367382</v>
      </c>
      <c r="F50" s="807">
        <v>368865.4</v>
      </c>
      <c r="G50" s="749">
        <f t="shared" si="1"/>
        <v>1483.4000000000233</v>
      </c>
      <c r="H50" s="748">
        <f>G50+'1'!H50</f>
        <v>3094.4000000000233</v>
      </c>
      <c r="I50" s="748"/>
      <c r="J50" s="620">
        <f>H50/DAY(B2)</f>
        <v>1547.2000000000116</v>
      </c>
      <c r="K50" s="725">
        <v>371716.83</v>
      </c>
    </row>
    <row r="51" spans="1:12" ht="26.25">
      <c r="A51" s="746" t="s">
        <v>163</v>
      </c>
      <c r="B51" s="810"/>
      <c r="C51" s="810"/>
      <c r="D51" s="748" t="s">
        <v>130</v>
      </c>
      <c r="E51" s="748">
        <f>'1'!F51</f>
        <v>72794</v>
      </c>
      <c r="F51" s="807">
        <v>73753.039999999994</v>
      </c>
      <c r="G51" s="749">
        <f t="shared" si="1"/>
        <v>959.0399999999936</v>
      </c>
      <c r="H51" s="748">
        <f>G51+'1'!H51</f>
        <v>2026.0399999999936</v>
      </c>
      <c r="I51" s="748"/>
      <c r="J51" s="620">
        <f>H51/DAY(B2)</f>
        <v>1013.0199999999968</v>
      </c>
      <c r="K51" s="725">
        <v>75795.42</v>
      </c>
    </row>
    <row r="52" spans="1:12" ht="26.25">
      <c r="A52" s="746" t="s">
        <v>176</v>
      </c>
      <c r="B52" s="810"/>
      <c r="C52" s="810"/>
      <c r="D52" s="748" t="s">
        <v>130</v>
      </c>
      <c r="E52" s="748">
        <f>'1'!F52</f>
        <v>9.76</v>
      </c>
      <c r="F52" s="807">
        <v>9.76</v>
      </c>
      <c r="G52" s="749">
        <f t="shared" si="1"/>
        <v>0</v>
      </c>
      <c r="H52" s="748">
        <f>G52+'1'!H52</f>
        <v>-0.24000000000000021</v>
      </c>
      <c r="I52" s="748"/>
      <c r="J52" s="620">
        <f>H52/DAY(B2)</f>
        <v>-0.12000000000000011</v>
      </c>
    </row>
    <row r="53" spans="1:12" ht="26.25">
      <c r="A53" s="746" t="s">
        <v>165</v>
      </c>
      <c r="B53" s="810"/>
      <c r="C53" s="810"/>
      <c r="D53" s="748" t="s">
        <v>130</v>
      </c>
      <c r="E53" s="748">
        <f>'1'!F53</f>
        <v>298506</v>
      </c>
      <c r="F53" s="807">
        <v>302563</v>
      </c>
      <c r="G53" s="749">
        <f t="shared" si="1"/>
        <v>4057</v>
      </c>
      <c r="H53" s="748">
        <f>G53+'1'!H53</f>
        <v>8462</v>
      </c>
      <c r="I53" s="748"/>
      <c r="J53" s="620">
        <f>H53/DAY(B2)</f>
        <v>4231</v>
      </c>
      <c r="K53" s="725">
        <v>310779.75</v>
      </c>
    </row>
    <row r="54" spans="1:12" ht="26.25">
      <c r="A54" s="746" t="s">
        <v>177</v>
      </c>
      <c r="B54" s="810"/>
      <c r="C54" s="810"/>
      <c r="D54" s="748" t="s">
        <v>130</v>
      </c>
      <c r="E54" s="748">
        <f>'1'!F54</f>
        <v>101595</v>
      </c>
      <c r="F54" s="807">
        <v>101764.92</v>
      </c>
      <c r="G54" s="749">
        <f t="shared" si="1"/>
        <v>169.91999999999825</v>
      </c>
      <c r="H54" s="748">
        <f>G54+'1'!H54</f>
        <v>377.91999999999825</v>
      </c>
      <c r="I54" s="748"/>
      <c r="J54" s="620">
        <f>H54/DAY(B2)</f>
        <v>188.95999999999913</v>
      </c>
      <c r="K54" s="725">
        <v>102105.88</v>
      </c>
    </row>
    <row r="55" spans="1:12" ht="26.25">
      <c r="A55" s="746" t="s">
        <v>178</v>
      </c>
      <c r="B55" s="810"/>
      <c r="C55" s="810"/>
      <c r="D55" s="748" t="s">
        <v>130</v>
      </c>
      <c r="E55" s="748">
        <f>'1'!F55</f>
        <v>496580</v>
      </c>
      <c r="F55" s="807">
        <v>499506.6</v>
      </c>
      <c r="G55" s="749">
        <f t="shared" si="1"/>
        <v>2926.5999999999767</v>
      </c>
      <c r="H55" s="748">
        <f>G55+'1'!H55</f>
        <v>5023.5999999999767</v>
      </c>
      <c r="I55" s="748"/>
      <c r="J55" s="620">
        <f>H55/DAY(B2)</f>
        <v>2511.7999999999884</v>
      </c>
      <c r="K55" s="725">
        <v>501349.95</v>
      </c>
    </row>
    <row r="56" spans="1:12" ht="26.25">
      <c r="A56" s="746" t="s">
        <v>179</v>
      </c>
      <c r="B56" s="810"/>
      <c r="C56" s="810"/>
      <c r="D56" s="748" t="s">
        <v>180</v>
      </c>
      <c r="E56" s="748">
        <f>'1'!F56</f>
        <v>149719</v>
      </c>
      <c r="F56" s="807">
        <v>149719.01999999999</v>
      </c>
      <c r="G56" s="749">
        <f t="shared" si="1"/>
        <v>1.9999999989522621E-2</v>
      </c>
      <c r="H56" s="748">
        <f>G56+'1'!H56</f>
        <v>1.9999999989522621E-2</v>
      </c>
      <c r="I56" s="748"/>
      <c r="J56" s="620">
        <f>H56/DAY(B2)</f>
        <v>9.9999999947613105E-3</v>
      </c>
      <c r="K56" s="725">
        <v>151179.5</v>
      </c>
    </row>
    <row r="57" spans="1:12" ht="26.25">
      <c r="A57" s="746" t="s">
        <v>169</v>
      </c>
      <c r="B57" s="810"/>
      <c r="C57" s="810"/>
      <c r="D57" s="748" t="s">
        <v>130</v>
      </c>
      <c r="E57" s="748">
        <f>'1'!F57</f>
        <v>412043</v>
      </c>
      <c r="F57" s="807">
        <v>415034.7</v>
      </c>
      <c r="G57" s="749">
        <f t="shared" si="1"/>
        <v>2991.7000000000116</v>
      </c>
      <c r="H57" s="748">
        <f>G57+'1'!H57</f>
        <v>5956.7000000000116</v>
      </c>
      <c r="I57" s="748"/>
      <c r="J57" s="620">
        <f>H57/DAY(B2)</f>
        <v>2978.3500000000058</v>
      </c>
      <c r="K57" s="725">
        <v>421146.03</v>
      </c>
    </row>
    <row r="58" spans="1:12" ht="26.25">
      <c r="A58" s="746" t="s">
        <v>181</v>
      </c>
      <c r="B58" s="810"/>
      <c r="C58" s="810"/>
      <c r="D58" s="748" t="s">
        <v>130</v>
      </c>
      <c r="E58" s="748">
        <f>'1'!F58</f>
        <v>64407</v>
      </c>
      <c r="F58" s="807">
        <v>64655.03</v>
      </c>
      <c r="G58" s="749">
        <f t="shared" si="1"/>
        <v>248.02999999999884</v>
      </c>
      <c r="H58" s="748">
        <f>G58+'1'!H58</f>
        <v>504.02999999999884</v>
      </c>
      <c r="I58" s="748"/>
      <c r="J58" s="620">
        <f>H58/DAY(B2)</f>
        <v>252.01499999999942</v>
      </c>
      <c r="K58" s="725">
        <v>65162.42</v>
      </c>
    </row>
    <row r="59" spans="1:12" ht="26.25">
      <c r="A59" s="761" t="s">
        <v>173</v>
      </c>
      <c r="B59" s="762"/>
      <c r="C59" s="762"/>
      <c r="D59" s="739"/>
      <c r="E59" s="739"/>
      <c r="F59" s="739"/>
      <c r="G59" s="763">
        <f>G49+G50+G51+G52+G53+G54+G55+G56+G57+G58</f>
        <v>16364.809999999969</v>
      </c>
      <c r="H59" s="748">
        <f>G59+'1'!H59</f>
        <v>32590.569999999971</v>
      </c>
      <c r="I59" s="748">
        <f>G7-G60</f>
        <v>1779.9700000000594</v>
      </c>
      <c r="J59" s="620">
        <f>H59/DAY(B2)</f>
        <v>16295.284999999985</v>
      </c>
    </row>
    <row r="60" spans="1:12" ht="26.25">
      <c r="A60" s="746"/>
      <c r="B60" s="747"/>
      <c r="C60" s="747"/>
      <c r="D60" s="739" t="s">
        <v>182</v>
      </c>
      <c r="E60" s="739"/>
      <c r="F60" s="739"/>
      <c r="G60" s="763">
        <f>G47+G59</f>
        <v>23536.029999999941</v>
      </c>
      <c r="H60" s="748">
        <f>G60+'1'!H60</f>
        <v>48492.789999999943</v>
      </c>
      <c r="I60" s="748">
        <f>G13-G60</f>
        <v>100.97000000005937</v>
      </c>
      <c r="J60" s="620">
        <f>H60/DAY(B2)</f>
        <v>24246.394999999971</v>
      </c>
    </row>
    <row r="61" spans="1:12" s="814" customFormat="1" ht="26.25">
      <c r="A61" s="1208" t="s">
        <v>332</v>
      </c>
      <c r="B61" s="1209"/>
      <c r="C61" s="1210"/>
      <c r="D61" s="811"/>
      <c r="E61" s="811"/>
      <c r="F61" s="811"/>
      <c r="G61" s="812"/>
      <c r="H61" s="811"/>
      <c r="I61" s="811"/>
      <c r="J61" s="813"/>
      <c r="K61" s="725"/>
      <c r="L61" s="725"/>
    </row>
    <row r="62" spans="1:12" ht="25.5">
      <c r="A62" s="1174" t="s">
        <v>198</v>
      </c>
      <c r="B62" s="1175"/>
      <c r="C62" s="1176"/>
      <c r="D62" s="748" t="s">
        <v>142</v>
      </c>
      <c r="E62" s="748">
        <f>'1'!F62</f>
        <v>302163</v>
      </c>
      <c r="F62" s="815">
        <v>302257</v>
      </c>
      <c r="G62" s="749">
        <f>F62-E62</f>
        <v>94</v>
      </c>
      <c r="H62" s="748">
        <f>G62+'1'!H62</f>
        <v>192</v>
      </c>
      <c r="I62" s="760"/>
      <c r="J62" s="620">
        <f>H62/DAY(B2)</f>
        <v>96</v>
      </c>
      <c r="K62" s="725">
        <v>302418</v>
      </c>
    </row>
    <row r="63" spans="1:12" ht="25.5">
      <c r="A63" s="1174" t="s">
        <v>199</v>
      </c>
      <c r="B63" s="1175"/>
      <c r="C63" s="1176"/>
      <c r="D63" s="748" t="s">
        <v>142</v>
      </c>
      <c r="E63" s="748">
        <f>'1'!F63</f>
        <v>245139</v>
      </c>
      <c r="F63" s="815">
        <v>245139</v>
      </c>
      <c r="G63" s="749">
        <f>F63-E63</f>
        <v>0</v>
      </c>
      <c r="H63" s="748">
        <f>G63+'1'!H63</f>
        <v>0</v>
      </c>
      <c r="I63" s="760"/>
      <c r="J63" s="620">
        <f>H63/DAY(B2)</f>
        <v>0</v>
      </c>
      <c r="K63" s="725">
        <v>245139</v>
      </c>
    </row>
    <row r="64" spans="1:12" ht="26.25">
      <c r="A64" s="1183" t="s">
        <v>200</v>
      </c>
      <c r="B64" s="1184"/>
      <c r="C64" s="1185"/>
      <c r="D64" s="748"/>
      <c r="E64" s="748">
        <f>'1'!F64</f>
        <v>0</v>
      </c>
      <c r="F64" s="815"/>
      <c r="G64" s="749">
        <f>G62+G63</f>
        <v>94</v>
      </c>
      <c r="H64" s="748">
        <f>G64+'1'!H64</f>
        <v>192</v>
      </c>
      <c r="I64" s="760"/>
      <c r="J64" s="620">
        <f>H64/DAY(B2)</f>
        <v>96</v>
      </c>
    </row>
    <row r="65" spans="1:12" ht="25.5">
      <c r="A65" s="1174" t="s">
        <v>201</v>
      </c>
      <c r="B65" s="1175"/>
      <c r="C65" s="1176"/>
      <c r="D65" s="748" t="s">
        <v>142</v>
      </c>
      <c r="E65" s="748">
        <f>'1'!F65</f>
        <v>460927</v>
      </c>
      <c r="F65" s="815">
        <v>461030</v>
      </c>
      <c r="G65" s="749">
        <f t="shared" ref="G65:G70" si="2">F65-E65</f>
        <v>103</v>
      </c>
      <c r="H65" s="748">
        <f>G65+'1'!H65</f>
        <v>206</v>
      </c>
      <c r="I65" s="760"/>
      <c r="J65" s="620">
        <f>H65/DAY(B2)</f>
        <v>103</v>
      </c>
      <c r="K65" s="725">
        <v>461227</v>
      </c>
    </row>
    <row r="66" spans="1:12" ht="25.5">
      <c r="A66" s="765" t="s">
        <v>202</v>
      </c>
      <c r="B66" s="816"/>
      <c r="C66" s="816"/>
      <c r="D66" s="748" t="s">
        <v>142</v>
      </c>
      <c r="E66" s="748">
        <f>'1'!F66</f>
        <v>112614</v>
      </c>
      <c r="F66" s="815">
        <v>112626</v>
      </c>
      <c r="G66" s="749">
        <f t="shared" si="2"/>
        <v>12</v>
      </c>
      <c r="H66" s="748">
        <f>G66+'1'!H66</f>
        <v>21</v>
      </c>
      <c r="I66" s="760"/>
      <c r="J66" s="620">
        <f>H66/DAY(B2)</f>
        <v>10.5</v>
      </c>
      <c r="K66" s="725">
        <v>112638</v>
      </c>
    </row>
    <row r="67" spans="1:12" ht="25.5">
      <c r="A67" s="765" t="s">
        <v>203</v>
      </c>
      <c r="B67" s="816"/>
      <c r="C67" s="816"/>
      <c r="D67" s="748" t="s">
        <v>142</v>
      </c>
      <c r="E67" s="748">
        <f>'1'!F67</f>
        <v>114748</v>
      </c>
      <c r="F67" s="815">
        <v>114775</v>
      </c>
      <c r="G67" s="749">
        <f t="shared" si="2"/>
        <v>27</v>
      </c>
      <c r="H67" s="748">
        <f>G67+'1'!H67</f>
        <v>67</v>
      </c>
      <c r="I67" s="760"/>
      <c r="J67" s="620">
        <f>H67/DAY(B2)</f>
        <v>33.5</v>
      </c>
      <c r="K67" s="725">
        <v>114807</v>
      </c>
    </row>
    <row r="68" spans="1:12" ht="25.5">
      <c r="A68" s="765" t="s">
        <v>204</v>
      </c>
      <c r="B68" s="816"/>
      <c r="C68" s="816"/>
      <c r="D68" s="748" t="s">
        <v>142</v>
      </c>
      <c r="E68" s="748">
        <f>'1'!F68</f>
        <v>166607</v>
      </c>
      <c r="F68" s="815">
        <v>166622</v>
      </c>
      <c r="G68" s="749">
        <f t="shared" si="2"/>
        <v>15</v>
      </c>
      <c r="H68" s="748">
        <f>G68+'1'!H68</f>
        <v>41</v>
      </c>
      <c r="I68" s="760"/>
      <c r="J68" s="620">
        <f>H68/DAY(B2)</f>
        <v>20.5</v>
      </c>
      <c r="K68" s="725">
        <v>166684</v>
      </c>
    </row>
    <row r="69" spans="1:12" ht="25.5">
      <c r="A69" s="765" t="s">
        <v>205</v>
      </c>
      <c r="B69" s="816"/>
      <c r="C69" s="816"/>
      <c r="D69" s="748" t="s">
        <v>142</v>
      </c>
      <c r="E69" s="748">
        <f>'1'!F69</f>
        <v>12569</v>
      </c>
      <c r="F69" s="815">
        <v>12573</v>
      </c>
      <c r="G69" s="817">
        <f t="shared" si="2"/>
        <v>4</v>
      </c>
      <c r="H69" s="748">
        <f>G69+'1'!H69</f>
        <v>9</v>
      </c>
      <c r="I69" s="760"/>
      <c r="J69" s="620">
        <f>H69/DAY(B2)</f>
        <v>4.5</v>
      </c>
      <c r="K69" s="725">
        <v>12577</v>
      </c>
    </row>
    <row r="70" spans="1:12" ht="25.5">
      <c r="A70" s="765" t="s">
        <v>206</v>
      </c>
      <c r="B70" s="816"/>
      <c r="C70" s="816"/>
      <c r="D70" s="748" t="s">
        <v>142</v>
      </c>
      <c r="E70" s="748">
        <f>'1'!F70</f>
        <v>10347</v>
      </c>
      <c r="F70" s="815">
        <v>10355</v>
      </c>
      <c r="G70" s="749">
        <f t="shared" si="2"/>
        <v>8</v>
      </c>
      <c r="H70" s="748">
        <f>G70+'1'!H70</f>
        <v>22</v>
      </c>
      <c r="I70" s="760"/>
      <c r="J70" s="620">
        <f>H70/DAY(B2)</f>
        <v>11</v>
      </c>
      <c r="K70" s="725">
        <v>10376</v>
      </c>
    </row>
    <row r="71" spans="1:12" ht="26.25">
      <c r="A71" s="1183" t="s">
        <v>208</v>
      </c>
      <c r="B71" s="1184"/>
      <c r="C71" s="1185"/>
      <c r="D71" s="113"/>
      <c r="E71" s="113"/>
      <c r="F71" s="113"/>
      <c r="G71" s="818">
        <f>SUM(G65:G70)</f>
        <v>169</v>
      </c>
      <c r="H71" s="748">
        <f>G71+'1'!H71</f>
        <v>366</v>
      </c>
      <c r="I71" s="819"/>
      <c r="J71" s="620">
        <f>H71/DAY(B2)</f>
        <v>183</v>
      </c>
    </row>
    <row r="72" spans="1:12" s="782" customFormat="1" ht="25.5">
      <c r="A72" s="1170"/>
      <c r="B72" s="1155"/>
      <c r="C72" s="820"/>
      <c r="D72" s="821"/>
      <c r="E72" s="821" t="s">
        <v>207</v>
      </c>
      <c r="F72" s="821"/>
      <c r="G72" s="821"/>
      <c r="H72" s="822"/>
      <c r="I72" s="821"/>
      <c r="J72" s="823"/>
      <c r="K72" s="725"/>
      <c r="L72" s="725"/>
    </row>
    <row r="73" spans="1:12" ht="26.25">
      <c r="A73" s="1180" t="s">
        <v>333</v>
      </c>
      <c r="B73" s="1181"/>
      <c r="C73" s="1182"/>
      <c r="D73" s="811"/>
      <c r="E73" s="811"/>
      <c r="F73" s="811"/>
      <c r="G73" s="812"/>
      <c r="H73" s="812"/>
      <c r="I73" s="812"/>
      <c r="J73" s="824"/>
    </row>
    <row r="74" spans="1:12" ht="25.5">
      <c r="A74" s="1174" t="s">
        <v>220</v>
      </c>
      <c r="B74" s="1175"/>
      <c r="C74" s="1176"/>
      <c r="D74" s="748" t="s">
        <v>139</v>
      </c>
      <c r="E74" s="748">
        <f>'1'!F74</f>
        <v>976090</v>
      </c>
      <c r="F74" s="771">
        <v>976373.21</v>
      </c>
      <c r="G74" s="749">
        <f>F74-E74</f>
        <v>283.20999999996275</v>
      </c>
      <c r="H74" s="748">
        <f>G74+'1'!H74</f>
        <v>562.20999999996275</v>
      </c>
      <c r="I74" s="819"/>
      <c r="J74" s="620">
        <f>H74/DAY(B2)</f>
        <v>281.10499999998137</v>
      </c>
      <c r="K74" s="725">
        <v>976942.88</v>
      </c>
    </row>
    <row r="75" spans="1:12" ht="25.5">
      <c r="A75" s="1174" t="s">
        <v>221</v>
      </c>
      <c r="B75" s="1175"/>
      <c r="C75" s="1176"/>
      <c r="D75" s="748" t="s">
        <v>139</v>
      </c>
      <c r="E75" s="748">
        <f>'1'!F75</f>
        <v>73586</v>
      </c>
      <c r="F75" s="771">
        <v>73586.8</v>
      </c>
      <c r="G75" s="749">
        <f>F75-E75</f>
        <v>0.80000000000291038</v>
      </c>
      <c r="H75" s="748">
        <f>G75+'1'!H75</f>
        <v>0.80000000000291038</v>
      </c>
      <c r="I75" s="819"/>
      <c r="J75" s="620">
        <f>H75/DAY(B2)</f>
        <v>0.40000000000145519</v>
      </c>
      <c r="K75" s="725">
        <v>73586</v>
      </c>
    </row>
    <row r="76" spans="1:12" ht="25.5">
      <c r="A76" s="1171" t="s">
        <v>222</v>
      </c>
      <c r="B76" s="1172"/>
      <c r="C76" s="1173"/>
      <c r="D76" s="748" t="s">
        <v>139</v>
      </c>
      <c r="E76" s="748">
        <f>'1'!F76</f>
        <v>196854</v>
      </c>
      <c r="F76" s="771">
        <v>196964</v>
      </c>
      <c r="G76" s="749">
        <f>F76-E76</f>
        <v>110</v>
      </c>
      <c r="H76" s="748">
        <f>G76+'1'!H76</f>
        <v>228</v>
      </c>
      <c r="I76" s="819"/>
      <c r="J76" s="620">
        <f>H76/DAY(B2)</f>
        <v>114</v>
      </c>
      <c r="K76" s="725">
        <v>197067.7</v>
      </c>
    </row>
    <row r="77" spans="1:12" ht="25.5">
      <c r="A77" s="1171" t="s">
        <v>223</v>
      </c>
      <c r="B77" s="1172"/>
      <c r="C77" s="1173"/>
      <c r="D77" s="748" t="s">
        <v>139</v>
      </c>
      <c r="E77" s="748">
        <f>'1'!F77</f>
        <v>53380</v>
      </c>
      <c r="F77" s="771">
        <v>53426</v>
      </c>
      <c r="G77" s="749">
        <f>F77-E77</f>
        <v>46</v>
      </c>
      <c r="H77" s="748">
        <f>G77+'1'!H77</f>
        <v>74</v>
      </c>
      <c r="I77" s="819"/>
      <c r="J77" s="620">
        <f>H77/DAY(B2)</f>
        <v>37</v>
      </c>
      <c r="K77" s="725">
        <v>53462</v>
      </c>
    </row>
    <row r="78" spans="1:12" ht="25.5">
      <c r="A78" s="1171" t="s">
        <v>224</v>
      </c>
      <c r="B78" s="1172"/>
      <c r="C78" s="1173"/>
      <c r="D78" s="748" t="s">
        <v>139</v>
      </c>
      <c r="E78" s="748">
        <f>'1'!F78</f>
        <v>9563.4</v>
      </c>
      <c r="F78" s="771">
        <v>9563</v>
      </c>
      <c r="G78" s="749">
        <f>F78-E78</f>
        <v>-0.3999999999996362</v>
      </c>
      <c r="H78" s="748">
        <f>G78+'1'!H78</f>
        <v>-0.3999999999996362</v>
      </c>
      <c r="I78" s="760"/>
      <c r="J78" s="620">
        <f>H78/DAY(B2)</f>
        <v>-0.1999999999998181</v>
      </c>
      <c r="K78" s="725">
        <v>9563</v>
      </c>
    </row>
    <row r="79" spans="1:12" s="732" customFormat="1" ht="25.5">
      <c r="A79" s="1171" t="s">
        <v>225</v>
      </c>
      <c r="B79" s="1172"/>
      <c r="C79" s="1173"/>
      <c r="D79" s="748"/>
      <c r="E79" s="748">
        <f>'1'!F79</f>
        <v>0</v>
      </c>
      <c r="F79" s="771"/>
      <c r="G79" s="749">
        <f>G15-SUM(G74:G78)</f>
        <v>605.39000000003398</v>
      </c>
      <c r="H79" s="748">
        <f>G79+'1'!H79</f>
        <v>1147.390000000034</v>
      </c>
      <c r="I79" s="760"/>
      <c r="J79" s="620"/>
      <c r="K79" s="725"/>
      <c r="L79" s="725"/>
    </row>
    <row r="80" spans="1:12" s="732" customFormat="1" ht="26.25">
      <c r="A80" s="1183" t="s">
        <v>329</v>
      </c>
      <c r="B80" s="1184"/>
      <c r="C80" s="1185"/>
      <c r="D80" s="748"/>
      <c r="E80" s="759"/>
      <c r="F80" s="759"/>
      <c r="G80" s="749">
        <f>SUM(G74:G79)</f>
        <v>1045</v>
      </c>
      <c r="H80" s="748">
        <f>G80+'1'!H80</f>
        <v>1045</v>
      </c>
      <c r="I80" s="760"/>
      <c r="J80" s="620"/>
      <c r="K80" s="725"/>
      <c r="L80" s="725"/>
    </row>
    <row r="81" spans="1:12" ht="25.5">
      <c r="A81" s="1188" t="s">
        <v>226</v>
      </c>
      <c r="B81" s="1189"/>
      <c r="C81" s="1190"/>
      <c r="D81" s="743"/>
      <c r="E81" s="743"/>
      <c r="F81" s="743"/>
      <c r="G81" s="825"/>
      <c r="H81" s="825"/>
      <c r="I81" s="825"/>
      <c r="J81" s="826"/>
    </row>
    <row r="82" spans="1:12" ht="26.25">
      <c r="A82" s="765" t="s">
        <v>227</v>
      </c>
      <c r="B82" s="816"/>
      <c r="C82" s="816"/>
      <c r="D82" s="748" t="s">
        <v>228</v>
      </c>
      <c r="E82" s="748">
        <f>'1'!F82</f>
        <v>0</v>
      </c>
      <c r="F82" s="815">
        <v>0</v>
      </c>
      <c r="G82" s="749">
        <f t="shared" ref="G82:G92" si="3">F82-E82</f>
        <v>0</v>
      </c>
      <c r="H82" s="748">
        <f>G82+'1'!H82</f>
        <v>0</v>
      </c>
      <c r="I82" s="827"/>
      <c r="J82" s="620">
        <f>H82/DAY(B2)</f>
        <v>0</v>
      </c>
    </row>
    <row r="83" spans="1:12" ht="26.25">
      <c r="A83" s="765" t="s">
        <v>229</v>
      </c>
      <c r="B83" s="816"/>
      <c r="C83" s="816"/>
      <c r="D83" s="748" t="s">
        <v>228</v>
      </c>
      <c r="E83" s="748">
        <f>'1'!F83</f>
        <v>0</v>
      </c>
      <c r="F83" s="815">
        <v>0</v>
      </c>
      <c r="G83" s="749">
        <f t="shared" si="3"/>
        <v>0</v>
      </c>
      <c r="H83" s="748">
        <f>G83+'1'!H83</f>
        <v>0</v>
      </c>
      <c r="I83" s="827"/>
      <c r="J83" s="620">
        <f>H83/DAY(B2)</f>
        <v>0</v>
      </c>
    </row>
    <row r="84" spans="1:12" ht="26.25">
      <c r="A84" s="765" t="s">
        <v>230</v>
      </c>
      <c r="B84" s="816"/>
      <c r="C84" s="816"/>
      <c r="D84" s="748" t="s">
        <v>228</v>
      </c>
      <c r="E84" s="748">
        <f>'1'!F84</f>
        <v>43366.8</v>
      </c>
      <c r="F84" s="828">
        <v>43366.18</v>
      </c>
      <c r="G84" s="749">
        <f t="shared" si="3"/>
        <v>-0.62000000000261934</v>
      </c>
      <c r="H84" s="748">
        <f>G84+'1'!H84</f>
        <v>-0.62000000000261934</v>
      </c>
      <c r="I84" s="827"/>
      <c r="J84" s="620">
        <f>H84/DAY(B2)</f>
        <v>-0.31000000000130967</v>
      </c>
      <c r="K84" s="725">
        <v>43366.18</v>
      </c>
    </row>
    <row r="85" spans="1:12" ht="26.25">
      <c r="A85" s="765" t="s">
        <v>231</v>
      </c>
      <c r="B85" s="816"/>
      <c r="C85" s="816"/>
      <c r="D85" s="748" t="s">
        <v>228</v>
      </c>
      <c r="E85" s="748">
        <f>'1'!F85</f>
        <v>5498.44</v>
      </c>
      <c r="F85" s="828">
        <v>5513</v>
      </c>
      <c r="G85" s="749">
        <f t="shared" si="3"/>
        <v>14.5600000000004</v>
      </c>
      <c r="H85" s="748">
        <f>G85+'1'!H85</f>
        <v>37</v>
      </c>
      <c r="I85" s="827"/>
      <c r="J85" s="620">
        <f>H85/DAY(B2)</f>
        <v>18.5</v>
      </c>
      <c r="K85" s="725">
        <v>5561</v>
      </c>
    </row>
    <row r="86" spans="1:12" ht="26.25">
      <c r="A86" s="765" t="s">
        <v>232</v>
      </c>
      <c r="B86" s="816"/>
      <c r="C86" s="816"/>
      <c r="D86" s="748" t="s">
        <v>228</v>
      </c>
      <c r="E86" s="748">
        <f>'1'!F86</f>
        <v>46287</v>
      </c>
      <c r="F86" s="828">
        <v>46307.3</v>
      </c>
      <c r="G86" s="749">
        <f t="shared" si="3"/>
        <v>20.30000000000291</v>
      </c>
      <c r="H86" s="748">
        <f>G86+'1'!H86</f>
        <v>35.880000000004657</v>
      </c>
      <c r="I86" s="827"/>
      <c r="J86" s="620">
        <f>H86/DAY(B2)</f>
        <v>17.940000000002328</v>
      </c>
      <c r="K86" s="725">
        <v>46320.4</v>
      </c>
      <c r="L86" s="725">
        <f>24-8</f>
        <v>16</v>
      </c>
    </row>
    <row r="87" spans="1:12" ht="26.25">
      <c r="A87" s="765" t="s">
        <v>233</v>
      </c>
      <c r="B87" s="816"/>
      <c r="C87" s="816"/>
      <c r="D87" s="748" t="s">
        <v>228</v>
      </c>
      <c r="E87" s="748">
        <f>'1'!F87</f>
        <v>35644</v>
      </c>
      <c r="F87" s="828">
        <v>35644.1</v>
      </c>
      <c r="G87" s="749">
        <f t="shared" si="3"/>
        <v>9.9999999998544808E-2</v>
      </c>
      <c r="H87" s="748">
        <f>G87+'1'!H87</f>
        <v>9.9999999998544808E-2</v>
      </c>
      <c r="I87" s="827">
        <f>G84+G85+G86+G87</f>
        <v>34.339999999999236</v>
      </c>
      <c r="J87" s="620">
        <f>H87/DAY(B2)</f>
        <v>4.9999999999272404E-2</v>
      </c>
      <c r="K87" s="725">
        <v>35644</v>
      </c>
    </row>
    <row r="88" spans="1:12" ht="26.25">
      <c r="A88" s="765" t="s">
        <v>234</v>
      </c>
      <c r="B88" s="816"/>
      <c r="C88" s="816"/>
      <c r="D88" s="748" t="s">
        <v>228</v>
      </c>
      <c r="E88" s="748">
        <f>'1'!F88</f>
        <v>24434.45</v>
      </c>
      <c r="F88" s="828">
        <v>24440</v>
      </c>
      <c r="G88" s="749">
        <f t="shared" si="3"/>
        <v>5.5499999999992724</v>
      </c>
      <c r="H88" s="748">
        <f>G88+'1'!H88</f>
        <v>16.040000000000873</v>
      </c>
      <c r="I88" s="827"/>
      <c r="J88" s="620">
        <f>H88/DAY(B2)</f>
        <v>8.0200000000004366</v>
      </c>
      <c r="K88" s="725">
        <v>24440.560000000001</v>
      </c>
    </row>
    <row r="89" spans="1:12" ht="26.25">
      <c r="A89" s="765" t="s">
        <v>235</v>
      </c>
      <c r="B89" s="816"/>
      <c r="C89" s="816"/>
      <c r="D89" s="748" t="s">
        <v>228</v>
      </c>
      <c r="E89" s="748">
        <f>'1'!F89</f>
        <v>27988</v>
      </c>
      <c r="F89" s="828">
        <v>27992.3</v>
      </c>
      <c r="G89" s="749">
        <f t="shared" si="3"/>
        <v>4.2999999999992724</v>
      </c>
      <c r="H89" s="748">
        <f>G89+'1'!H89</f>
        <v>4.2999999999992724</v>
      </c>
      <c r="I89" s="827">
        <f>G88+G89</f>
        <v>9.8499999999985448</v>
      </c>
      <c r="J89" s="620">
        <f>H89/DAY(B2)</f>
        <v>2.1499999999996362</v>
      </c>
      <c r="K89" s="725">
        <v>28011.200000000001</v>
      </c>
    </row>
    <row r="90" spans="1:12" ht="26.25">
      <c r="A90" s="765" t="s">
        <v>236</v>
      </c>
      <c r="B90" s="816"/>
      <c r="C90" s="816"/>
      <c r="D90" s="748" t="s">
        <v>228</v>
      </c>
      <c r="E90" s="748">
        <f>'1'!F90</f>
        <v>73254.559999999998</v>
      </c>
      <c r="F90" s="828">
        <v>73265.25</v>
      </c>
      <c r="G90" s="749">
        <f t="shared" si="3"/>
        <v>10.690000000002328</v>
      </c>
      <c r="H90" s="748">
        <f>G90+'1'!H90</f>
        <v>21.509999999994761</v>
      </c>
      <c r="I90" s="827">
        <f>G90</f>
        <v>10.690000000002328</v>
      </c>
      <c r="J90" s="620">
        <f>H90/DAY(B2)</f>
        <v>10.754999999997381</v>
      </c>
      <c r="K90" s="725">
        <v>73287</v>
      </c>
    </row>
    <row r="91" spans="1:12" ht="26.25">
      <c r="A91" s="765" t="s">
        <v>237</v>
      </c>
      <c r="B91" s="816"/>
      <c r="C91" s="816"/>
      <c r="D91" s="748" t="s">
        <v>228</v>
      </c>
      <c r="E91" s="748">
        <f>'1'!F91</f>
        <v>4689</v>
      </c>
      <c r="F91" s="815">
        <v>4700.1400000000003</v>
      </c>
      <c r="G91" s="749">
        <f t="shared" si="3"/>
        <v>11.140000000000327</v>
      </c>
      <c r="H91" s="748">
        <f>G91+'1'!H91</f>
        <v>21.710000000000036</v>
      </c>
      <c r="I91" s="829"/>
      <c r="J91" s="620">
        <f>H91/DAY(B2)</f>
        <v>10.855000000000018</v>
      </c>
    </row>
    <row r="92" spans="1:12" ht="26.25">
      <c r="A92" s="765" t="s">
        <v>238</v>
      </c>
      <c r="B92" s="816"/>
      <c r="C92" s="816"/>
      <c r="D92" s="748" t="s">
        <v>228</v>
      </c>
      <c r="E92" s="748">
        <f>'1'!F92</f>
        <v>7000</v>
      </c>
      <c r="F92" s="815">
        <v>7000</v>
      </c>
      <c r="G92" s="749">
        <f t="shared" si="3"/>
        <v>0</v>
      </c>
      <c r="H92" s="748">
        <f>G92+'1'!H92</f>
        <v>0</v>
      </c>
      <c r="I92" s="829">
        <f>G91+G92</f>
        <v>11.140000000000327</v>
      </c>
      <c r="J92" s="620">
        <f>H92/DAY(B2)</f>
        <v>0</v>
      </c>
    </row>
    <row r="93" spans="1:12" ht="26.25">
      <c r="A93" s="1177" t="s">
        <v>239</v>
      </c>
      <c r="B93" s="1178"/>
      <c r="C93" s="1179"/>
      <c r="D93" s="744"/>
      <c r="E93" s="744"/>
      <c r="F93" s="744"/>
      <c r="G93" s="764"/>
      <c r="H93" s="764"/>
      <c r="I93" s="764"/>
      <c r="J93" s="830"/>
    </row>
    <row r="94" spans="1:12" ht="25.5">
      <c r="A94" s="1174" t="s">
        <v>240</v>
      </c>
      <c r="B94" s="1175"/>
      <c r="C94" s="1176"/>
      <c r="D94" s="748" t="s">
        <v>130</v>
      </c>
      <c r="E94" s="748"/>
      <c r="F94" s="748"/>
      <c r="G94" s="748">
        <f>G35+G43+G49+G57</f>
        <v>6520.7999999999884</v>
      </c>
      <c r="H94" s="748">
        <f>G94+'1'!H94</f>
        <v>13102.799999999988</v>
      </c>
      <c r="I94" s="760"/>
      <c r="J94" s="620">
        <f>H94/DAY(B2)</f>
        <v>6551.3999999999942</v>
      </c>
    </row>
    <row r="95" spans="1:12" ht="25.5">
      <c r="A95" s="1174" t="s">
        <v>241</v>
      </c>
      <c r="B95" s="1175"/>
      <c r="C95" s="1176"/>
      <c r="D95" s="748" t="s">
        <v>23</v>
      </c>
      <c r="E95" s="739"/>
      <c r="F95" s="739"/>
      <c r="G95" s="831">
        <f>G94/G7</f>
        <v>0.25757623637225424</v>
      </c>
      <c r="H95" s="748">
        <f>G95+'1'!H95</f>
        <v>0.51756991625849214</v>
      </c>
      <c r="I95" s="832"/>
      <c r="J95" s="620">
        <f>H95/DAY(B2)</f>
        <v>0.25878495812924607</v>
      </c>
    </row>
    <row r="96" spans="1:12" ht="25.5">
      <c r="A96" s="1174" t="s">
        <v>242</v>
      </c>
      <c r="B96" s="1175"/>
      <c r="C96" s="1176"/>
      <c r="D96" s="748" t="s">
        <v>130</v>
      </c>
      <c r="E96" s="748"/>
      <c r="F96" s="748"/>
      <c r="G96" s="748">
        <f>G41+G42+G55+G56</f>
        <v>6160.7999999999593</v>
      </c>
      <c r="H96" s="748">
        <f>G96+'1'!H96</f>
        <v>13266.799999999959</v>
      </c>
      <c r="I96" s="760"/>
      <c r="J96" s="620">
        <f>H96/DAY(B2)</f>
        <v>6633.3999999999796</v>
      </c>
    </row>
    <row r="97" spans="1:11" ht="25.5">
      <c r="A97" s="1174" t="s">
        <v>243</v>
      </c>
      <c r="B97" s="1175"/>
      <c r="C97" s="1176"/>
      <c r="D97" s="748" t="s">
        <v>23</v>
      </c>
      <c r="E97" s="748"/>
      <c r="F97" s="748"/>
      <c r="G97" s="831">
        <f>G96/G7</f>
        <v>0.24335598040764572</v>
      </c>
      <c r="H97" s="748">
        <f>G97+'1'!H97</f>
        <v>0.52404803286459001</v>
      </c>
      <c r="I97" s="832"/>
      <c r="J97" s="620">
        <f>H97/DAY(B2)</f>
        <v>0.262024016432295</v>
      </c>
    </row>
    <row r="98" spans="1:11" ht="25.5">
      <c r="A98" s="1174" t="s">
        <v>244</v>
      </c>
      <c r="B98" s="1175"/>
      <c r="C98" s="1176"/>
      <c r="D98" s="748" t="s">
        <v>130</v>
      </c>
      <c r="E98" s="748"/>
      <c r="F98" s="748"/>
      <c r="G98" s="748">
        <f>G39+G53</f>
        <v>4057</v>
      </c>
      <c r="H98" s="748">
        <f>G98+'1'!H98</f>
        <v>8462</v>
      </c>
      <c r="I98" s="833"/>
      <c r="J98" s="620">
        <f>H98/DAY(B2)</f>
        <v>4231</v>
      </c>
    </row>
    <row r="99" spans="1:11" ht="25.5">
      <c r="A99" s="1174" t="s">
        <v>245</v>
      </c>
      <c r="B99" s="1175"/>
      <c r="C99" s="1176"/>
      <c r="D99" s="748" t="s">
        <v>23</v>
      </c>
      <c r="E99" s="748"/>
      <c r="F99" s="748"/>
      <c r="G99" s="831">
        <f>G98/G7</f>
        <v>0.16025438457892241</v>
      </c>
      <c r="H99" s="748">
        <f>G99+'1'!H99</f>
        <v>0.3342550165902986</v>
      </c>
      <c r="I99" s="833"/>
      <c r="J99" s="620">
        <f>H99/DAY(B2)</f>
        <v>0.1671275082951493</v>
      </c>
    </row>
    <row r="100" spans="1:11" ht="25.5">
      <c r="A100" s="1174" t="s">
        <v>246</v>
      </c>
      <c r="B100" s="1175"/>
      <c r="C100" s="1176"/>
      <c r="D100" s="748" t="s">
        <v>180</v>
      </c>
      <c r="E100" s="748"/>
      <c r="F100" s="748"/>
      <c r="G100" s="748">
        <f>G38+G52</f>
        <v>2199.7099999999627</v>
      </c>
      <c r="H100" s="748">
        <f>G100+'1'!H100</f>
        <v>4430.469999999963</v>
      </c>
      <c r="I100" s="760"/>
      <c r="J100" s="620">
        <f>H100/DAY(B2)</f>
        <v>2215.2349999999815</v>
      </c>
    </row>
    <row r="101" spans="1:11" ht="25.5">
      <c r="A101" s="1174" t="s">
        <v>247</v>
      </c>
      <c r="B101" s="1175"/>
      <c r="C101" s="1176"/>
      <c r="D101" s="748" t="s">
        <v>23</v>
      </c>
      <c r="E101" s="748"/>
      <c r="F101" s="748"/>
      <c r="G101" s="831">
        <f>G100/G7</f>
        <v>8.6890109021960926E-2</v>
      </c>
      <c r="H101" s="748">
        <f>G101+'1'!H101</f>
        <v>0.17500671512087071</v>
      </c>
      <c r="I101" s="833"/>
      <c r="J101" s="620">
        <f>H101/DAY(B2)</f>
        <v>8.7503357560435355E-2</v>
      </c>
    </row>
    <row r="102" spans="1:11" ht="25.5">
      <c r="A102" s="1174" t="s">
        <v>248</v>
      </c>
      <c r="B102" s="1175"/>
      <c r="C102" s="1176"/>
      <c r="D102" s="748" t="s">
        <v>180</v>
      </c>
      <c r="E102" s="748"/>
      <c r="F102" s="748"/>
      <c r="G102" s="748">
        <f>G36+G50</f>
        <v>2447.6100000000442</v>
      </c>
      <c r="H102" s="748">
        <f>G102+'1'!H102</f>
        <v>4752.6100000000442</v>
      </c>
      <c r="I102" s="833"/>
      <c r="J102" s="620">
        <f>H102/DAY(B2)</f>
        <v>2376.3050000000221</v>
      </c>
    </row>
    <row r="103" spans="1:11" ht="25.5">
      <c r="A103" s="1174" t="s">
        <v>249</v>
      </c>
      <c r="B103" s="1175"/>
      <c r="C103" s="1176"/>
      <c r="D103" s="748" t="s">
        <v>23</v>
      </c>
      <c r="E103" s="748"/>
      <c r="F103" s="748"/>
      <c r="G103" s="831">
        <f>G102/G7</f>
        <v>9.6682335282036819E-2</v>
      </c>
      <c r="H103" s="748">
        <f>G103+'1'!H103</f>
        <v>0.18773147416653674</v>
      </c>
      <c r="I103" s="760"/>
      <c r="J103" s="620">
        <f>H103/DAY(B2)</f>
        <v>9.3865737083268369E-2</v>
      </c>
    </row>
    <row r="104" spans="1:11" ht="25.5">
      <c r="A104" s="1174" t="s">
        <v>250</v>
      </c>
      <c r="B104" s="1175"/>
      <c r="C104" s="1176"/>
      <c r="D104" s="748" t="s">
        <v>180</v>
      </c>
      <c r="E104" s="748"/>
      <c r="F104" s="748"/>
      <c r="G104" s="748">
        <f>G37+G51</f>
        <v>959.0399999999936</v>
      </c>
      <c r="H104" s="748">
        <f>G104+'1'!H104</f>
        <v>2026.0399999999936</v>
      </c>
      <c r="I104" s="760"/>
      <c r="J104" s="620">
        <f>H104/DAY(B2)</f>
        <v>1013.0199999999968</v>
      </c>
    </row>
    <row r="105" spans="1:11" ht="26.25" thickBot="1">
      <c r="A105" s="1167" t="s">
        <v>251</v>
      </c>
      <c r="B105" s="1168"/>
      <c r="C105" s="1169"/>
      <c r="D105" s="834" t="s">
        <v>23</v>
      </c>
      <c r="E105" s="834"/>
      <c r="F105" s="834"/>
      <c r="G105" s="835">
        <f>G104/G7</f>
        <v>3.7882761889713762E-2</v>
      </c>
      <c r="H105" s="748">
        <f>G105+'1'!H105</f>
        <v>8.0030020540369479E-2</v>
      </c>
      <c r="I105" s="836"/>
      <c r="J105" s="837">
        <f>H105/DAY(B2)</f>
        <v>4.0015010270184739E-2</v>
      </c>
    </row>
    <row r="106" spans="1:11" ht="25.5">
      <c r="A106" s="838"/>
      <c r="B106" s="839"/>
      <c r="C106" s="839"/>
      <c r="D106" s="840"/>
      <c r="E106" s="840"/>
      <c r="F106" s="840"/>
      <c r="G106" s="840"/>
      <c r="H106" s="841"/>
      <c r="I106" s="840"/>
      <c r="J106" s="840"/>
    </row>
    <row r="107" spans="1:11" ht="26.25"/>
    <row r="108" spans="1:11" ht="27.75">
      <c r="A108" s="1163" t="s">
        <v>324</v>
      </c>
      <c r="B108" s="1163"/>
      <c r="C108" s="1163"/>
      <c r="D108" s="1163"/>
      <c r="E108" s="1163"/>
      <c r="F108" s="1163"/>
      <c r="G108" s="1163"/>
      <c r="H108" s="1163"/>
      <c r="I108" s="1163"/>
      <c r="J108" s="1163"/>
    </row>
    <row r="109" spans="1:11" ht="26.25">
      <c r="A109" s="1191"/>
      <c r="B109" s="1191"/>
    </row>
    <row r="110" spans="1:11" ht="26.25">
      <c r="A110" s="1164" t="s">
        <v>165</v>
      </c>
      <c r="B110" s="1165"/>
      <c r="C110" s="1165"/>
      <c r="D110" s="1165"/>
      <c r="E110" s="1165"/>
      <c r="F110" s="1165"/>
      <c r="G110" s="1165"/>
      <c r="H110" s="1165"/>
      <c r="I110" s="1165"/>
      <c r="J110" s="1166"/>
    </row>
    <row r="111" spans="1:11" ht="25.5">
      <c r="A111" s="1157"/>
      <c r="B111" s="1158"/>
      <c r="C111" s="1159"/>
      <c r="D111" s="846"/>
      <c r="E111" s="846"/>
      <c r="F111" s="846"/>
      <c r="G111" s="846"/>
      <c r="H111" s="847"/>
      <c r="I111" s="846"/>
      <c r="J111" s="846"/>
    </row>
    <row r="112" spans="1:11" ht="25.5">
      <c r="A112" s="1153" t="s">
        <v>252</v>
      </c>
      <c r="B112" s="1154"/>
      <c r="C112" s="1155"/>
      <c r="D112" s="739" t="s">
        <v>183</v>
      </c>
      <c r="E112" s="748">
        <f>'1'!F112</f>
        <v>11736</v>
      </c>
      <c r="F112" s="848">
        <v>11808</v>
      </c>
      <c r="G112" s="749">
        <f t="shared" ref="G112:G123" si="4">F112-E112</f>
        <v>72</v>
      </c>
      <c r="H112" s="748">
        <f>G112+'1'!H112</f>
        <v>145</v>
      </c>
      <c r="I112" s="846"/>
      <c r="J112" s="849">
        <f>H112/DAY(B2)</f>
        <v>72.5</v>
      </c>
      <c r="K112" s="725">
        <v>11949</v>
      </c>
    </row>
    <row r="113" spans="1:15" ht="29.25" customHeight="1">
      <c r="A113" s="1153" t="s">
        <v>253</v>
      </c>
      <c r="B113" s="1154"/>
      <c r="C113" s="1155"/>
      <c r="D113" s="739" t="s">
        <v>183</v>
      </c>
      <c r="E113" s="748">
        <f>'1'!F113</f>
        <v>23661</v>
      </c>
      <c r="F113" s="850">
        <v>23798.3</v>
      </c>
      <c r="G113" s="749">
        <f t="shared" si="4"/>
        <v>137.29999999999927</v>
      </c>
      <c r="H113" s="748">
        <f>G113+'1'!H113</f>
        <v>277.29999999999927</v>
      </c>
      <c r="I113" s="846"/>
      <c r="J113" s="849">
        <f>H113/DAY(B2)</f>
        <v>138.64999999999964</v>
      </c>
      <c r="K113" s="725">
        <v>24071.599999999999</v>
      </c>
    </row>
    <row r="114" spans="1:15" ht="29.25" customHeight="1">
      <c r="A114" s="1153" t="s">
        <v>254</v>
      </c>
      <c r="B114" s="1154"/>
      <c r="C114" s="1155"/>
      <c r="D114" s="739" t="s">
        <v>183</v>
      </c>
      <c r="E114" s="748">
        <f>'1'!F114</f>
        <v>35003</v>
      </c>
      <c r="F114" s="850">
        <v>35216.9</v>
      </c>
      <c r="G114" s="749">
        <f t="shared" si="4"/>
        <v>213.90000000000146</v>
      </c>
      <c r="H114" s="748">
        <f>G114+'1'!H114</f>
        <v>441.90000000000146</v>
      </c>
      <c r="I114" s="846"/>
      <c r="J114" s="849">
        <f>H114/DAY(B2)</f>
        <v>220.95000000000073</v>
      </c>
      <c r="K114" s="725">
        <v>35665.4</v>
      </c>
    </row>
    <row r="115" spans="1:15" ht="29.25" customHeight="1">
      <c r="A115" s="1153" t="s">
        <v>255</v>
      </c>
      <c r="B115" s="1154"/>
      <c r="C115" s="1155"/>
      <c r="D115" s="739" t="s">
        <v>183</v>
      </c>
      <c r="E115" s="748">
        <f>'1'!F115</f>
        <v>22152</v>
      </c>
      <c r="F115" s="850">
        <v>22260.9</v>
      </c>
      <c r="G115" s="749">
        <f t="shared" si="4"/>
        <v>108.90000000000146</v>
      </c>
      <c r="H115" s="748">
        <f>G115+'1'!H115</f>
        <v>207.90000000000146</v>
      </c>
      <c r="I115" s="846"/>
      <c r="J115" s="849">
        <f>H115/DAY(B2)</f>
        <v>103.95000000000073</v>
      </c>
      <c r="K115" s="725">
        <v>42626.1</v>
      </c>
    </row>
    <row r="116" spans="1:15" ht="29.25" customHeight="1">
      <c r="A116" s="1160" t="s">
        <v>96</v>
      </c>
      <c r="B116" s="1161"/>
      <c r="C116" s="1162"/>
      <c r="D116" s="851" t="s">
        <v>183</v>
      </c>
      <c r="E116" s="748">
        <f>'1'!F116</f>
        <v>97670</v>
      </c>
      <c r="F116" s="850">
        <v>98082</v>
      </c>
      <c r="G116" s="749">
        <f t="shared" si="4"/>
        <v>412</v>
      </c>
      <c r="H116" s="748">
        <f>G116+'1'!H116</f>
        <v>947</v>
      </c>
      <c r="I116" s="846"/>
      <c r="J116" s="849">
        <f>H116/DAY(B2)</f>
        <v>473.5</v>
      </c>
      <c r="K116" s="725">
        <v>98624.9</v>
      </c>
      <c r="N116" s="1153"/>
      <c r="O116" s="1155"/>
    </row>
    <row r="117" spans="1:15" ht="29.25" customHeight="1">
      <c r="A117" s="1160" t="s">
        <v>184</v>
      </c>
      <c r="B117" s="1161"/>
      <c r="C117" s="1162"/>
      <c r="D117" s="739" t="s">
        <v>183</v>
      </c>
      <c r="E117" s="748">
        <f>'1'!F117</f>
        <v>56816</v>
      </c>
      <c r="F117" s="850">
        <v>57150</v>
      </c>
      <c r="G117" s="749">
        <f t="shared" si="4"/>
        <v>334</v>
      </c>
      <c r="H117" s="748">
        <f>G117+'1'!H117</f>
        <v>645</v>
      </c>
      <c r="I117" s="846"/>
      <c r="J117" s="849">
        <f>H117/DAY(B2)</f>
        <v>322.5</v>
      </c>
      <c r="K117" s="725">
        <v>57851</v>
      </c>
      <c r="N117" s="1153"/>
      <c r="O117" s="1155"/>
    </row>
    <row r="118" spans="1:15" ht="25.5">
      <c r="A118" s="1152" t="s">
        <v>97</v>
      </c>
      <c r="B118" s="1152"/>
      <c r="C118" s="1152"/>
      <c r="D118" s="748" t="s">
        <v>183</v>
      </c>
      <c r="E118" s="748">
        <f>'1'!F118</f>
        <v>102366</v>
      </c>
      <c r="F118" s="850">
        <v>102884.5</v>
      </c>
      <c r="G118" s="749">
        <f t="shared" si="4"/>
        <v>518.5</v>
      </c>
      <c r="H118" s="748">
        <f>G118+'1'!H118</f>
        <v>1130.5</v>
      </c>
      <c r="I118" s="846"/>
      <c r="J118" s="849">
        <f>H118/DAY(B2)</f>
        <v>565.25</v>
      </c>
      <c r="K118" s="725">
        <v>104143.4</v>
      </c>
      <c r="N118" s="1153"/>
      <c r="O118" s="1155"/>
    </row>
    <row r="119" spans="1:15" ht="25.5">
      <c r="A119" s="1152" t="s">
        <v>98</v>
      </c>
      <c r="B119" s="1152"/>
      <c r="C119" s="1152"/>
      <c r="D119" s="748" t="s">
        <v>183</v>
      </c>
      <c r="E119" s="748">
        <f>'1'!F119</f>
        <v>42592</v>
      </c>
      <c r="F119" s="850">
        <v>42603</v>
      </c>
      <c r="G119" s="749">
        <f t="shared" si="4"/>
        <v>11</v>
      </c>
      <c r="H119" s="748">
        <f>G119+'1'!H119</f>
        <v>22</v>
      </c>
      <c r="I119" s="846"/>
      <c r="J119" s="849">
        <f>H119/DAY(B2)</f>
        <v>11</v>
      </c>
      <c r="K119" s="725">
        <v>42626.1</v>
      </c>
    </row>
    <row r="120" spans="1:15" ht="25.5">
      <c r="A120" s="1152" t="s">
        <v>99</v>
      </c>
      <c r="B120" s="1152"/>
      <c r="C120" s="1152"/>
      <c r="D120" s="748" t="s">
        <v>183</v>
      </c>
      <c r="E120" s="748">
        <f>'1'!F120</f>
        <v>71768</v>
      </c>
      <c r="F120" s="848">
        <v>72189.2</v>
      </c>
      <c r="G120" s="749">
        <f t="shared" si="4"/>
        <v>421.19999999999709</v>
      </c>
      <c r="H120" s="748">
        <f>G120+'1'!H120</f>
        <v>857.19999999999709</v>
      </c>
      <c r="I120" s="846"/>
      <c r="J120" s="849">
        <f>H120/DAY(B2)</f>
        <v>428.59999999999854</v>
      </c>
      <c r="K120" s="725">
        <v>72992.800000000003</v>
      </c>
    </row>
    <row r="121" spans="1:15" ht="25.5">
      <c r="A121" s="1152" t="s">
        <v>100</v>
      </c>
      <c r="B121" s="1152"/>
      <c r="C121" s="1152"/>
      <c r="D121" s="748" t="s">
        <v>183</v>
      </c>
      <c r="E121" s="748">
        <f>'1'!F121</f>
        <v>81840</v>
      </c>
      <c r="F121" s="848">
        <v>82286.2</v>
      </c>
      <c r="G121" s="749">
        <f t="shared" si="4"/>
        <v>446.19999999999709</v>
      </c>
      <c r="H121" s="748">
        <f>G121+'1'!H121</f>
        <v>930.19999999999709</v>
      </c>
      <c r="I121" s="846"/>
      <c r="J121" s="849">
        <f>H121/DAY(B2)</f>
        <v>465.09999999999854</v>
      </c>
      <c r="K121" s="725">
        <v>83188.600000000006</v>
      </c>
    </row>
    <row r="122" spans="1:15" ht="25.5">
      <c r="A122" s="1152" t="s">
        <v>101</v>
      </c>
      <c r="B122" s="1152"/>
      <c r="C122" s="1152"/>
      <c r="D122" s="748" t="s">
        <v>183</v>
      </c>
      <c r="E122" s="748">
        <f>'1'!F122</f>
        <v>49503</v>
      </c>
      <c r="F122" s="848">
        <v>49852.1</v>
      </c>
      <c r="G122" s="749">
        <f t="shared" si="4"/>
        <v>349.09999999999854</v>
      </c>
      <c r="H122" s="748">
        <f>G122+'1'!H122</f>
        <v>721.09999999999854</v>
      </c>
      <c r="I122" s="846"/>
      <c r="J122" s="849">
        <f>H122/DAY(B2)</f>
        <v>360.54999999999927</v>
      </c>
      <c r="K122" s="725">
        <v>50605.5</v>
      </c>
    </row>
    <row r="123" spans="1:15" ht="25.5">
      <c r="A123" s="1152" t="s">
        <v>102</v>
      </c>
      <c r="B123" s="1152"/>
      <c r="C123" s="1152"/>
      <c r="D123" s="748" t="s">
        <v>183</v>
      </c>
      <c r="E123" s="748">
        <f>'1'!F123</f>
        <v>50063</v>
      </c>
      <c r="F123" s="848">
        <v>50383</v>
      </c>
      <c r="G123" s="749">
        <f t="shared" si="4"/>
        <v>320</v>
      </c>
      <c r="H123" s="748">
        <f>G123+'1'!H123</f>
        <v>634</v>
      </c>
      <c r="I123" s="846"/>
      <c r="J123" s="849">
        <f>H123/DAY(B2)</f>
        <v>317</v>
      </c>
      <c r="K123" s="725">
        <v>50996.7</v>
      </c>
    </row>
    <row r="124" spans="1:15" ht="29.25" customHeight="1">
      <c r="A124" s="1157"/>
      <c r="B124" s="1158"/>
      <c r="C124" s="1159"/>
      <c r="D124" s="846"/>
      <c r="E124" s="846"/>
      <c r="F124" s="846"/>
      <c r="G124" s="846"/>
      <c r="H124" s="847"/>
      <c r="I124" s="846"/>
      <c r="J124" s="846"/>
    </row>
    <row r="125" spans="1:15" ht="25.5">
      <c r="A125" s="1135" t="s">
        <v>196</v>
      </c>
      <c r="B125" s="1136"/>
      <c r="C125" s="852"/>
      <c r="D125" s="853"/>
      <c r="E125" s="854"/>
      <c r="F125" s="854"/>
      <c r="G125" s="855">
        <f>SUM(G112:G124)</f>
        <v>3344.0999999999949</v>
      </c>
      <c r="H125" s="847"/>
      <c r="I125" s="846">
        <f>G125-(G39+G53)</f>
        <v>-712.90000000000509</v>
      </c>
      <c r="J125" s="846"/>
    </row>
    <row r="126" spans="1:15" ht="25.5">
      <c r="A126" s="1156" t="s">
        <v>317</v>
      </c>
      <c r="B126" s="1156"/>
      <c r="C126" s="1156"/>
      <c r="D126" s="1156"/>
      <c r="E126" s="1156"/>
      <c r="F126" s="1156"/>
      <c r="G126" s="1156"/>
      <c r="H126" s="1156"/>
      <c r="I126" s="1156"/>
      <c r="J126" s="1156"/>
    </row>
    <row r="127" spans="1:15" ht="25.5">
      <c r="A127" s="1140"/>
      <c r="B127" s="1140"/>
      <c r="C127" s="852"/>
      <c r="D127" s="853"/>
      <c r="E127" s="854"/>
      <c r="F127" s="854"/>
      <c r="G127" s="855"/>
      <c r="H127" s="748">
        <f>G127+'1'!H127</f>
        <v>0</v>
      </c>
      <c r="I127" s="846"/>
      <c r="J127" s="849">
        <f>H127/DAY(B2)</f>
        <v>0</v>
      </c>
    </row>
    <row r="128" spans="1:15" ht="29.25" customHeight="1">
      <c r="A128" s="1153" t="s">
        <v>318</v>
      </c>
      <c r="B128" s="1154"/>
      <c r="C128" s="1155"/>
      <c r="D128" s="748" t="s">
        <v>183</v>
      </c>
      <c r="E128" s="748">
        <f>'1'!F128</f>
        <v>155258</v>
      </c>
      <c r="F128" s="846">
        <v>155685.67000000001</v>
      </c>
      <c r="G128" s="749">
        <f t="shared" ref="G128:G134" si="5">F128-E128</f>
        <v>427.67000000001281</v>
      </c>
      <c r="H128" s="748">
        <f>G128+'1'!H128</f>
        <v>870.67000000001281</v>
      </c>
      <c r="I128" s="846"/>
      <c r="J128" s="849">
        <f>H128/DAY(B2)</f>
        <v>435.3350000000064</v>
      </c>
      <c r="K128" s="725">
        <v>156616.35</v>
      </c>
    </row>
    <row r="129" spans="1:12" ht="25.5">
      <c r="A129" s="856" t="s">
        <v>319</v>
      </c>
      <c r="B129" s="857"/>
      <c r="C129" s="858"/>
      <c r="D129" s="748" t="s">
        <v>183</v>
      </c>
      <c r="E129" s="748">
        <f>'1'!F129</f>
        <v>84090</v>
      </c>
      <c r="F129" s="846">
        <v>84244.75</v>
      </c>
      <c r="G129" s="749">
        <f t="shared" si="5"/>
        <v>154.75</v>
      </c>
      <c r="H129" s="748">
        <f>G129+'1'!H129</f>
        <v>308.75</v>
      </c>
      <c r="I129" s="846"/>
      <c r="J129" s="849">
        <f>H129/DAY(B2)</f>
        <v>154.375</v>
      </c>
      <c r="K129" s="859">
        <v>84595.93</v>
      </c>
      <c r="L129" s="860"/>
    </row>
    <row r="130" spans="1:12" ht="25.5">
      <c r="A130" s="856" t="s">
        <v>320</v>
      </c>
      <c r="B130" s="857"/>
      <c r="C130" s="858"/>
      <c r="D130" s="748" t="s">
        <v>183</v>
      </c>
      <c r="E130" s="748">
        <f>'1'!F130</f>
        <v>207405</v>
      </c>
      <c r="F130" s="846">
        <v>208030.77</v>
      </c>
      <c r="G130" s="749">
        <f t="shared" si="5"/>
        <v>625.76999999998952</v>
      </c>
      <c r="H130" s="748">
        <f>G130+'1'!H130</f>
        <v>1271.7699999999895</v>
      </c>
      <c r="I130" s="846"/>
      <c r="J130" s="849">
        <f>H130/DAY(B2)</f>
        <v>635.88499999999476</v>
      </c>
      <c r="K130" s="859">
        <v>209426.73</v>
      </c>
      <c r="L130" s="860"/>
    </row>
    <row r="131" spans="1:12" ht="25.5">
      <c r="A131" s="1153" t="s">
        <v>321</v>
      </c>
      <c r="B131" s="1154"/>
      <c r="C131" s="1155"/>
      <c r="D131" s="748" t="s">
        <v>183</v>
      </c>
      <c r="E131" s="748">
        <f>'1'!F131</f>
        <v>60480</v>
      </c>
      <c r="F131" s="846">
        <v>60638.3</v>
      </c>
      <c r="G131" s="749">
        <f t="shared" si="5"/>
        <v>158.30000000000291</v>
      </c>
      <c r="H131" s="748">
        <f>G131+'1'!H131</f>
        <v>330.30000000000291</v>
      </c>
      <c r="I131" s="846"/>
      <c r="J131" s="849">
        <f>H131/DAY(B2)</f>
        <v>165.15000000000146</v>
      </c>
      <c r="K131" s="859">
        <v>61092.27</v>
      </c>
      <c r="L131" s="860"/>
    </row>
    <row r="132" spans="1:12" ht="25.5">
      <c r="A132" s="1153" t="s">
        <v>322</v>
      </c>
      <c r="B132" s="1154"/>
      <c r="C132" s="1155"/>
      <c r="D132" s="748" t="s">
        <v>183</v>
      </c>
      <c r="E132" s="748">
        <f>'1'!F132</f>
        <v>146985</v>
      </c>
      <c r="F132" s="846">
        <v>146985</v>
      </c>
      <c r="G132" s="749">
        <f t="shared" si="5"/>
        <v>0</v>
      </c>
      <c r="H132" s="748">
        <f>G132+'1'!H132</f>
        <v>0</v>
      </c>
      <c r="I132" s="846"/>
      <c r="J132" s="849">
        <f>H132/DAY(B2)</f>
        <v>0</v>
      </c>
      <c r="K132" s="725">
        <v>146985</v>
      </c>
    </row>
    <row r="133" spans="1:12" ht="25.5">
      <c r="A133" s="1153" t="s">
        <v>342</v>
      </c>
      <c r="B133" s="1154"/>
      <c r="C133" s="1155"/>
      <c r="D133" s="748" t="s">
        <v>183</v>
      </c>
      <c r="E133" s="748">
        <f>'1'!F133</f>
        <v>266792</v>
      </c>
      <c r="F133" s="846">
        <v>267631.5</v>
      </c>
      <c r="G133" s="749">
        <f t="shared" si="5"/>
        <v>839.5</v>
      </c>
      <c r="H133" s="748">
        <f>G133+'1'!H133</f>
        <v>1686.5</v>
      </c>
      <c r="I133" s="846"/>
      <c r="J133" s="849">
        <f>H133/DAY(B2)</f>
        <v>843.25</v>
      </c>
      <c r="K133" s="725">
        <v>269324.84999999998</v>
      </c>
    </row>
    <row r="134" spans="1:12" ht="25.5">
      <c r="A134" s="1153" t="s">
        <v>340</v>
      </c>
      <c r="B134" s="1154"/>
      <c r="C134" s="1155"/>
      <c r="D134" s="861" t="s">
        <v>183</v>
      </c>
      <c r="E134" s="748">
        <f>'1'!F134</f>
        <v>63917</v>
      </c>
      <c r="F134" s="862">
        <v>64173.123</v>
      </c>
      <c r="G134" s="749">
        <f t="shared" si="5"/>
        <v>256.12299999999959</v>
      </c>
      <c r="H134" s="748">
        <f>G134+'1'!H134</f>
        <v>511.12299999999959</v>
      </c>
      <c r="I134" s="846"/>
      <c r="J134" s="849">
        <f>H134/DAY(B2)</f>
        <v>255.5614999999998</v>
      </c>
      <c r="K134" s="725">
        <v>64679.78</v>
      </c>
    </row>
    <row r="135" spans="1:12" ht="25.5">
      <c r="A135" s="1135" t="s">
        <v>196</v>
      </c>
      <c r="B135" s="1136"/>
      <c r="C135" s="858"/>
      <c r="D135" s="748"/>
      <c r="E135" s="748"/>
      <c r="F135" s="846"/>
      <c r="G135" s="749">
        <f>SUM(G128:G134)</f>
        <v>2462.1130000000048</v>
      </c>
      <c r="H135" s="748">
        <f>G135+'1'!H135</f>
        <v>4979.1130000000048</v>
      </c>
      <c r="I135" s="846">
        <f>G135-(G35+G49)</f>
        <v>-1066.9869999999719</v>
      </c>
      <c r="J135" s="849">
        <f>H135/DAY(B2)</f>
        <v>2489.5565000000024</v>
      </c>
    </row>
    <row r="136" spans="1:12" ht="27.75">
      <c r="A136" s="1139" t="s">
        <v>325</v>
      </c>
      <c r="B136" s="1139"/>
      <c r="C136" s="1139"/>
      <c r="D136" s="1139"/>
      <c r="E136" s="1139"/>
      <c r="F136" s="1139"/>
      <c r="G136" s="1139"/>
      <c r="H136" s="1139"/>
      <c r="I136" s="1139"/>
      <c r="J136" s="1139"/>
    </row>
    <row r="137" spans="1:12" ht="26.25">
      <c r="A137" s="852"/>
      <c r="B137" s="863"/>
      <c r="C137" s="863"/>
      <c r="D137" s="846"/>
      <c r="E137" s="846"/>
      <c r="F137" s="846"/>
      <c r="G137" s="846"/>
      <c r="H137" s="847"/>
      <c r="I137" s="846"/>
      <c r="J137" s="846"/>
    </row>
    <row r="138" spans="1:12" ht="25.5">
      <c r="A138" s="1152" t="s">
        <v>185</v>
      </c>
      <c r="B138" s="1152"/>
      <c r="C138" s="1152"/>
      <c r="D138" s="861" t="s">
        <v>183</v>
      </c>
      <c r="E138" s="748">
        <f>'1'!F138</f>
        <v>898338</v>
      </c>
      <c r="F138" s="864">
        <v>898468</v>
      </c>
      <c r="G138" s="749">
        <f t="shared" ref="G138:G152" si="6">F138-E138</f>
        <v>130</v>
      </c>
      <c r="H138" s="748">
        <f>G138+'1'!H138</f>
        <v>263</v>
      </c>
      <c r="I138" s="760"/>
      <c r="J138" s="849">
        <f>H138/DAY(B2)</f>
        <v>131.5</v>
      </c>
      <c r="K138" s="725">
        <v>898773</v>
      </c>
    </row>
    <row r="139" spans="1:12" ht="25.5">
      <c r="A139" s="1152" t="s">
        <v>186</v>
      </c>
      <c r="B139" s="1152"/>
      <c r="C139" s="1152"/>
      <c r="D139" s="861" t="s">
        <v>183</v>
      </c>
      <c r="E139" s="748">
        <f>'1'!F139</f>
        <v>918346</v>
      </c>
      <c r="F139" s="865">
        <v>918468</v>
      </c>
      <c r="G139" s="749">
        <f t="shared" si="6"/>
        <v>122</v>
      </c>
      <c r="H139" s="748">
        <f>G139+'1'!H139</f>
        <v>264</v>
      </c>
      <c r="I139" s="760"/>
      <c r="J139" s="849">
        <f>H139/DAY(B2)</f>
        <v>132</v>
      </c>
      <c r="K139" s="725">
        <v>918816</v>
      </c>
    </row>
    <row r="140" spans="1:12" ht="25.5">
      <c r="A140" s="1152" t="s">
        <v>187</v>
      </c>
      <c r="B140" s="1152"/>
      <c r="C140" s="1152"/>
      <c r="D140" s="861" t="s">
        <v>183</v>
      </c>
      <c r="E140" s="748">
        <f>'1'!F140</f>
        <v>2354</v>
      </c>
      <c r="F140" s="866">
        <v>2364.1999999999998</v>
      </c>
      <c r="G140" s="749">
        <f t="shared" si="6"/>
        <v>10.199999999999818</v>
      </c>
      <c r="H140" s="748">
        <f>G140+'1'!H140</f>
        <v>21.199999999999818</v>
      </c>
      <c r="I140" s="760"/>
      <c r="J140" s="849">
        <f>H140/DAY(B2)</f>
        <v>10.599999999999909</v>
      </c>
      <c r="K140" s="725">
        <v>2387.1</v>
      </c>
    </row>
    <row r="141" spans="1:12" ht="25.5">
      <c r="A141" s="1131" t="s">
        <v>188</v>
      </c>
      <c r="B141" s="1131"/>
      <c r="C141" s="1131"/>
      <c r="D141" s="748" t="s">
        <v>183</v>
      </c>
      <c r="E141" s="748">
        <f>'1'!F141</f>
        <v>104011</v>
      </c>
      <c r="F141" s="866">
        <v>104223.9</v>
      </c>
      <c r="G141" s="749">
        <f t="shared" si="6"/>
        <v>212.89999999999418</v>
      </c>
      <c r="H141" s="748">
        <f>G141+'1'!H141</f>
        <v>449.89999999999418</v>
      </c>
      <c r="I141" s="760"/>
      <c r="J141" s="849">
        <f>H141/DAY(B2)</f>
        <v>224.94999999999709</v>
      </c>
      <c r="K141" s="725">
        <v>104662.5</v>
      </c>
    </row>
    <row r="142" spans="1:12" ht="25.5">
      <c r="A142" s="1131" t="s">
        <v>189</v>
      </c>
      <c r="B142" s="1131"/>
      <c r="C142" s="1131"/>
      <c r="D142" s="748" t="s">
        <v>183</v>
      </c>
      <c r="E142" s="748">
        <f>'1'!F142</f>
        <v>41908</v>
      </c>
      <c r="F142" s="865">
        <v>42005.599999999999</v>
      </c>
      <c r="G142" s="749">
        <f t="shared" si="6"/>
        <v>97.599999999998545</v>
      </c>
      <c r="H142" s="748">
        <f>G142+'1'!H142</f>
        <v>190.59999999999854</v>
      </c>
      <c r="I142" s="795"/>
      <c r="J142" s="849">
        <f>H142/DAY(B2)</f>
        <v>95.299999999999272</v>
      </c>
      <c r="K142" s="725">
        <v>42183.6</v>
      </c>
    </row>
    <row r="143" spans="1:12" ht="25.5">
      <c r="A143" s="1152" t="s">
        <v>91</v>
      </c>
      <c r="B143" s="1152"/>
      <c r="C143" s="1152"/>
      <c r="D143" s="748" t="s">
        <v>183</v>
      </c>
      <c r="E143" s="748">
        <f>'1'!F143</f>
        <v>10697</v>
      </c>
      <c r="F143" s="866">
        <v>10717.83</v>
      </c>
      <c r="G143" s="749">
        <f t="shared" si="6"/>
        <v>20.829999999999927</v>
      </c>
      <c r="H143" s="748">
        <f>G143+'1'!H143</f>
        <v>40.829999999999927</v>
      </c>
      <c r="I143" s="795"/>
      <c r="J143" s="849">
        <f>H143/DAY(B2)</f>
        <v>20.414999999999964</v>
      </c>
      <c r="K143" s="725">
        <v>10719.2</v>
      </c>
    </row>
    <row r="144" spans="1:12" ht="25.5">
      <c r="A144" s="1131" t="s">
        <v>90</v>
      </c>
      <c r="B144" s="1131"/>
      <c r="C144" s="1131"/>
      <c r="D144" s="861" t="s">
        <v>183</v>
      </c>
      <c r="E144" s="748">
        <f>'1'!F144</f>
        <v>933730</v>
      </c>
      <c r="F144" s="866">
        <v>934011</v>
      </c>
      <c r="G144" s="749">
        <f t="shared" si="6"/>
        <v>281</v>
      </c>
      <c r="H144" s="748">
        <f>G144+'1'!H144</f>
        <v>490</v>
      </c>
      <c r="I144" s="795"/>
      <c r="J144" s="849">
        <f>H144/DAY(B2)</f>
        <v>245</v>
      </c>
      <c r="K144" s="725">
        <v>934224</v>
      </c>
    </row>
    <row r="145" spans="1:10" ht="25.5">
      <c r="A145" s="1152" t="s">
        <v>190</v>
      </c>
      <c r="B145" s="1152"/>
      <c r="C145" s="1152"/>
      <c r="D145" s="113" t="s">
        <v>183</v>
      </c>
      <c r="E145" s="748">
        <f>'1'!F145</f>
        <v>13361</v>
      </c>
      <c r="F145" s="866">
        <v>13574.9</v>
      </c>
      <c r="G145" s="749">
        <f t="shared" si="6"/>
        <v>213.89999999999964</v>
      </c>
      <c r="H145" s="748">
        <f>G145+'1'!H145</f>
        <v>434.89999999999964</v>
      </c>
      <c r="I145" s="795"/>
      <c r="J145" s="849">
        <f>H145/DAY(B2)</f>
        <v>217.44999999999982</v>
      </c>
    </row>
    <row r="146" spans="1:10" ht="25.5">
      <c r="A146" s="1187" t="s">
        <v>191</v>
      </c>
      <c r="B146" s="1172"/>
      <c r="C146" s="1173"/>
      <c r="D146" s="861" t="s">
        <v>183</v>
      </c>
      <c r="E146" s="748">
        <f>'1'!F146</f>
        <v>784339</v>
      </c>
      <c r="F146" s="865">
        <v>784452</v>
      </c>
      <c r="G146" s="749">
        <f t="shared" si="6"/>
        <v>113</v>
      </c>
      <c r="H146" s="748">
        <f>G146+'1'!H146</f>
        <v>113</v>
      </c>
      <c r="I146" s="795"/>
      <c r="J146" s="849">
        <f>H146/DAY(B2)</f>
        <v>56.5</v>
      </c>
    </row>
    <row r="147" spans="1:10" ht="25.5">
      <c r="A147" s="1131" t="s">
        <v>192</v>
      </c>
      <c r="B147" s="1131"/>
      <c r="C147" s="1131"/>
      <c r="D147" s="861" t="s">
        <v>183</v>
      </c>
      <c r="E147" s="748">
        <f>'1'!F147</f>
        <v>723905</v>
      </c>
      <c r="F147" s="865">
        <v>724306.48</v>
      </c>
      <c r="G147" s="749">
        <f t="shared" si="6"/>
        <v>401.47999999998137</v>
      </c>
      <c r="H147" s="748">
        <f>G147+'1'!H147</f>
        <v>784.47999999998137</v>
      </c>
      <c r="I147" s="795"/>
      <c r="J147" s="849">
        <f>H147/DAY(B2)</f>
        <v>392.23999999999069</v>
      </c>
    </row>
    <row r="148" spans="1:10" ht="25.5">
      <c r="A148" s="1132" t="s">
        <v>193</v>
      </c>
      <c r="B148" s="1133"/>
      <c r="C148" s="1134"/>
      <c r="D148" s="867" t="s">
        <v>130</v>
      </c>
      <c r="E148" s="748">
        <f>'1'!F148</f>
        <v>766865</v>
      </c>
      <c r="F148" s="828">
        <v>767209.04</v>
      </c>
      <c r="G148" s="749">
        <f t="shared" si="6"/>
        <v>344.04000000003725</v>
      </c>
      <c r="H148" s="748">
        <f>G148+'1'!H148</f>
        <v>599.04000000003725</v>
      </c>
      <c r="I148" s="113"/>
      <c r="J148" s="849">
        <f>H148/DAY(B2)</f>
        <v>299.52000000001863</v>
      </c>
    </row>
    <row r="149" spans="1:10" ht="25.5">
      <c r="A149" s="1132" t="s">
        <v>336</v>
      </c>
      <c r="B149" s="1133"/>
      <c r="C149" s="1134"/>
      <c r="D149" s="851" t="s">
        <v>130</v>
      </c>
      <c r="E149" s="748">
        <f>'1'!F149</f>
        <v>158422</v>
      </c>
      <c r="F149" s="739">
        <v>158848.9</v>
      </c>
      <c r="G149" s="749">
        <f t="shared" si="6"/>
        <v>426.89999999999418</v>
      </c>
      <c r="H149" s="748">
        <f>G149+'1'!H149</f>
        <v>881.89999999999418</v>
      </c>
      <c r="I149" s="763"/>
      <c r="J149" s="849">
        <f>H149/DAY(B2)</f>
        <v>440.94999999999709</v>
      </c>
    </row>
    <row r="150" spans="1:10" ht="25.5">
      <c r="A150" s="1132" t="s">
        <v>337</v>
      </c>
      <c r="B150" s="1133"/>
      <c r="C150" s="1134"/>
      <c r="D150" s="759" t="s">
        <v>130</v>
      </c>
      <c r="E150" s="748">
        <f>'1'!F150</f>
        <v>64208</v>
      </c>
      <c r="F150" s="868">
        <v>64436.7</v>
      </c>
      <c r="G150" s="749">
        <f t="shared" si="6"/>
        <v>228.69999999999709</v>
      </c>
      <c r="H150" s="748">
        <f>G150+'1'!H150</f>
        <v>458.69999999999709</v>
      </c>
      <c r="I150" s="763"/>
      <c r="J150" s="849">
        <f>H150/DAY(B2)</f>
        <v>229.34999999999854</v>
      </c>
    </row>
    <row r="151" spans="1:10" ht="25.5">
      <c r="A151" s="1132" t="s">
        <v>338</v>
      </c>
      <c r="B151" s="1133"/>
      <c r="C151" s="1134"/>
      <c r="D151" s="867" t="s">
        <v>130</v>
      </c>
      <c r="E151" s="748">
        <f>'1'!F151</f>
        <v>149815</v>
      </c>
      <c r="F151" s="868">
        <v>149898</v>
      </c>
      <c r="G151" s="749">
        <f t="shared" si="6"/>
        <v>83</v>
      </c>
      <c r="H151" s="748">
        <f>G151+'1'!H151</f>
        <v>110</v>
      </c>
      <c r="I151" s="763"/>
      <c r="J151" s="849">
        <f>H151/DAY(B2)</f>
        <v>55</v>
      </c>
    </row>
    <row r="152" spans="1:10" ht="25.5">
      <c r="A152" s="1132" t="s">
        <v>339</v>
      </c>
      <c r="B152" s="1133"/>
      <c r="C152" s="1134"/>
      <c r="D152" s="759" t="s">
        <v>130</v>
      </c>
      <c r="E152" s="748">
        <f>'1'!F152</f>
        <v>30743</v>
      </c>
      <c r="F152" s="868">
        <v>30872.12</v>
      </c>
      <c r="G152" s="749">
        <f t="shared" si="6"/>
        <v>129.11999999999898</v>
      </c>
      <c r="H152" s="748">
        <f>G152+'1'!H152</f>
        <v>258.11999999999898</v>
      </c>
      <c r="I152" s="763"/>
      <c r="J152" s="849">
        <f>H152/DAY(B2)</f>
        <v>129.05999999999949</v>
      </c>
    </row>
    <row r="153" spans="1:10" ht="25.5">
      <c r="A153" s="1135" t="s">
        <v>196</v>
      </c>
      <c r="B153" s="1136"/>
      <c r="C153" s="869"/>
      <c r="D153" s="870"/>
      <c r="E153" s="871"/>
      <c r="F153" s="872"/>
      <c r="G153" s="873">
        <f>SUM(G138:G152)</f>
        <v>2814.670000000001</v>
      </c>
      <c r="H153" s="871"/>
      <c r="I153" s="763">
        <f>G153-(G38+G52)</f>
        <v>614.96000000003824</v>
      </c>
      <c r="J153" s="874"/>
    </row>
    <row r="154" spans="1:10" ht="27.75">
      <c r="A154" s="1139" t="s">
        <v>344</v>
      </c>
      <c r="B154" s="1139"/>
      <c r="C154" s="1139"/>
      <c r="D154" s="1139"/>
      <c r="E154" s="1139"/>
      <c r="F154" s="1139"/>
      <c r="G154" s="1139"/>
      <c r="H154" s="1139"/>
      <c r="I154" s="1139"/>
      <c r="J154" s="1139"/>
    </row>
    <row r="155" spans="1:10" ht="27.75">
      <c r="A155" s="1131" t="s">
        <v>345</v>
      </c>
      <c r="B155" s="1131"/>
      <c r="C155" s="1131"/>
      <c r="D155" s="875" t="s">
        <v>130</v>
      </c>
      <c r="E155" s="748">
        <f>'1'!F155</f>
        <v>186341</v>
      </c>
      <c r="F155" s="876">
        <v>186895</v>
      </c>
      <c r="G155" s="749">
        <f>F155-E155</f>
        <v>554</v>
      </c>
      <c r="H155" s="748">
        <f>G155+'1'!H155</f>
        <v>1154</v>
      </c>
      <c r="I155" s="877"/>
      <c r="J155" s="849">
        <f>H155/DAY(B2)</f>
        <v>577</v>
      </c>
    </row>
    <row r="156" spans="1:10" ht="25.5">
      <c r="A156" s="1131" t="s">
        <v>347</v>
      </c>
      <c r="B156" s="1131"/>
      <c r="C156" s="1131"/>
      <c r="D156" s="875" t="s">
        <v>130</v>
      </c>
      <c r="E156" s="748">
        <f>'1'!F156</f>
        <v>20834</v>
      </c>
      <c r="F156" s="847">
        <v>20923.400000000001</v>
      </c>
      <c r="G156" s="749">
        <f>F156-E156</f>
        <v>89.400000000001455</v>
      </c>
      <c r="H156" s="748">
        <f>G156+'1'!H156</f>
        <v>184.40000000000146</v>
      </c>
      <c r="I156" s="846"/>
      <c r="J156" s="849">
        <f>H156/DAY(B2)</f>
        <v>92.200000000000728</v>
      </c>
    </row>
    <row r="157" spans="1:10" ht="25.5">
      <c r="A157" s="1132" t="s">
        <v>358</v>
      </c>
      <c r="B157" s="1133"/>
      <c r="C157" s="1134"/>
      <c r="D157" s="875" t="s">
        <v>130</v>
      </c>
      <c r="E157" s="748">
        <f>'1'!F157</f>
        <v>36259</v>
      </c>
      <c r="F157" s="847">
        <v>36345.599999999999</v>
      </c>
      <c r="G157" s="749">
        <f>F157-E157</f>
        <v>86.599999999998545</v>
      </c>
      <c r="H157" s="748">
        <f>G157+'1'!H157</f>
        <v>221.59999999999854</v>
      </c>
      <c r="I157" s="846"/>
      <c r="J157" s="849"/>
    </row>
    <row r="158" spans="1:10" ht="25.5">
      <c r="A158" s="1132" t="s">
        <v>359</v>
      </c>
      <c r="B158" s="1133"/>
      <c r="C158" s="1134"/>
      <c r="D158" s="759" t="s">
        <v>130</v>
      </c>
      <c r="E158" s="748">
        <f>'1'!F158</f>
        <v>544</v>
      </c>
      <c r="F158" s="847">
        <v>566.75</v>
      </c>
      <c r="G158" s="749">
        <f>F158-E158</f>
        <v>22.75</v>
      </c>
      <c r="H158" s="748">
        <f>G158+'1'!H158</f>
        <v>62.120000000000005</v>
      </c>
      <c r="I158" s="846"/>
      <c r="J158" s="849"/>
    </row>
    <row r="159" spans="1:10" ht="25.5">
      <c r="A159" s="1132"/>
      <c r="B159" s="1133"/>
      <c r="C159" s="1134"/>
      <c r="D159" s="759"/>
      <c r="E159" s="748"/>
      <c r="F159" s="846"/>
      <c r="G159" s="749"/>
      <c r="H159" s="748"/>
      <c r="I159" s="846"/>
      <c r="J159" s="849"/>
    </row>
    <row r="160" spans="1:10" ht="27.75">
      <c r="A160" s="1139" t="s">
        <v>326</v>
      </c>
      <c r="B160" s="1139"/>
      <c r="C160" s="1139"/>
      <c r="D160" s="1139"/>
      <c r="E160" s="1139"/>
      <c r="F160" s="1139"/>
      <c r="G160" s="1139"/>
      <c r="H160" s="1139"/>
      <c r="I160" s="1139"/>
      <c r="J160" s="1139"/>
    </row>
    <row r="161" spans="1:14" ht="26.25">
      <c r="A161" s="878" t="s">
        <v>92</v>
      </c>
      <c r="B161" s="879"/>
      <c r="C161" s="879"/>
      <c r="D161" s="880" t="s">
        <v>180</v>
      </c>
      <c r="E161" s="748">
        <f>'1'!F161</f>
        <v>488632</v>
      </c>
      <c r="F161" s="881">
        <v>488945.44</v>
      </c>
      <c r="G161" s="868">
        <f>F161-E161</f>
        <v>313.44000000000233</v>
      </c>
      <c r="H161" s="748">
        <f>G161+'1'!H161</f>
        <v>622.44000000000233</v>
      </c>
      <c r="I161" s="817"/>
      <c r="J161" s="882">
        <f>H161/DAY(B2)</f>
        <v>311.22000000000116</v>
      </c>
      <c r="K161" s="725">
        <v>489526.12</v>
      </c>
    </row>
    <row r="162" spans="1:14" ht="26.25">
      <c r="A162" s="878" t="s">
        <v>93</v>
      </c>
      <c r="B162" s="879"/>
      <c r="C162" s="879"/>
      <c r="D162" s="880" t="s">
        <v>180</v>
      </c>
      <c r="E162" s="748">
        <f>'1'!F162</f>
        <v>97334</v>
      </c>
      <c r="F162" s="881">
        <v>97357.5</v>
      </c>
      <c r="G162" s="868">
        <f>F162-E162</f>
        <v>23.5</v>
      </c>
      <c r="H162" s="748">
        <f>G162+'1'!H162</f>
        <v>69.5</v>
      </c>
      <c r="I162" s="817"/>
      <c r="J162" s="882">
        <f>H162/DAY(B2)</f>
        <v>34.75</v>
      </c>
      <c r="K162" s="725">
        <v>974441</v>
      </c>
    </row>
    <row r="163" spans="1:14" ht="26.25">
      <c r="A163" s="878" t="s">
        <v>197</v>
      </c>
      <c r="B163" s="879"/>
      <c r="C163" s="879"/>
      <c r="D163" s="880" t="s">
        <v>180</v>
      </c>
      <c r="E163" s="748">
        <f>'1'!F163</f>
        <v>14280</v>
      </c>
      <c r="F163" s="881">
        <v>14346.7</v>
      </c>
      <c r="G163" s="868">
        <f>F163-E163</f>
        <v>66.700000000000728</v>
      </c>
      <c r="H163" s="748">
        <f>G163+'1'!H163</f>
        <v>182.70000000000073</v>
      </c>
      <c r="I163" s="817"/>
      <c r="J163" s="882">
        <f>H163/DAY(B2)</f>
        <v>91.350000000000364</v>
      </c>
      <c r="K163" s="725">
        <v>14621.3</v>
      </c>
    </row>
    <row r="164" spans="1:14" ht="26.25">
      <c r="A164" s="878" t="s">
        <v>197</v>
      </c>
      <c r="B164" s="879"/>
      <c r="C164" s="879"/>
      <c r="D164" s="880" t="s">
        <v>180</v>
      </c>
      <c r="E164" s="748">
        <f>'1'!F164</f>
        <v>6620</v>
      </c>
      <c r="F164" s="881">
        <v>6626</v>
      </c>
      <c r="G164" s="868">
        <f>F164-E164</f>
        <v>6</v>
      </c>
      <c r="H164" s="748">
        <f>G164+'1'!H164</f>
        <v>14</v>
      </c>
      <c r="I164" s="817"/>
      <c r="J164" s="882">
        <f>H164/DAY(B2)</f>
        <v>7</v>
      </c>
      <c r="K164" s="725">
        <v>6642.4</v>
      </c>
    </row>
    <row r="165" spans="1:14" ht="26.25">
      <c r="A165" s="878" t="s">
        <v>309</v>
      </c>
      <c r="B165" s="879"/>
      <c r="C165" s="879"/>
      <c r="D165" s="880" t="s">
        <v>180</v>
      </c>
      <c r="E165" s="748">
        <f>'1'!F165</f>
        <v>32149</v>
      </c>
      <c r="F165" s="881">
        <v>32154.400000000001</v>
      </c>
      <c r="G165" s="868">
        <f>F165-E165</f>
        <v>5.4000000000014552</v>
      </c>
      <c r="H165" s="748">
        <f>G165+'1'!H165</f>
        <v>13.400000000001455</v>
      </c>
      <c r="I165" s="817"/>
      <c r="J165" s="882">
        <f>H165/DAY(B2)</f>
        <v>6.7000000000007276</v>
      </c>
      <c r="K165" s="725">
        <v>32171.283200000002</v>
      </c>
    </row>
    <row r="166" spans="1:14" ht="29.25" customHeight="1">
      <c r="A166" s="1140"/>
      <c r="B166" s="1140"/>
      <c r="C166" s="863"/>
      <c r="D166" s="880" t="s">
        <v>180</v>
      </c>
      <c r="E166" s="748">
        <f>'1'!F166</f>
        <v>0</v>
      </c>
      <c r="F166" s="846"/>
      <c r="G166" s="846"/>
      <c r="H166" s="748">
        <f>G166+'1'!H166</f>
        <v>0</v>
      </c>
      <c r="I166" s="846"/>
      <c r="J166" s="846"/>
    </row>
    <row r="167" spans="1:14" ht="26.25">
      <c r="A167" s="1140"/>
      <c r="B167" s="1140"/>
      <c r="C167" s="863"/>
      <c r="D167" s="880" t="s">
        <v>180</v>
      </c>
      <c r="E167" s="748">
        <f>'1'!F167</f>
        <v>0</v>
      </c>
      <c r="F167" s="846"/>
      <c r="G167" s="846"/>
      <c r="H167" s="748">
        <f>G167+'1'!H167</f>
        <v>0</v>
      </c>
      <c r="I167" s="846"/>
      <c r="J167" s="846"/>
    </row>
    <row r="168" spans="1:14" ht="26.25">
      <c r="A168" s="1140"/>
      <c r="B168" s="1140"/>
      <c r="C168" s="863"/>
      <c r="D168" s="880" t="s">
        <v>180</v>
      </c>
      <c r="E168" s="748">
        <f>'1'!F168</f>
        <v>0</v>
      </c>
      <c r="F168" s="846"/>
      <c r="G168" s="846"/>
      <c r="H168" s="748">
        <f>G168+'1'!H168</f>
        <v>0</v>
      </c>
      <c r="I168" s="846"/>
      <c r="J168" s="846"/>
    </row>
    <row r="169" spans="1:14" ht="26.25"/>
    <row r="170" spans="1:14" ht="26.25"/>
    <row r="171" spans="1:14" ht="27.75">
      <c r="A171" s="1141" t="s">
        <v>330</v>
      </c>
      <c r="B171" s="1142"/>
      <c r="C171" s="1142"/>
      <c r="D171" s="1142"/>
      <c r="E171" s="1142"/>
      <c r="F171" s="1142"/>
      <c r="G171" s="1142"/>
      <c r="H171" s="1142"/>
      <c r="I171" s="1142"/>
      <c r="J171" s="1143"/>
    </row>
    <row r="172" spans="1:14" ht="25.5">
      <c r="A172" s="1150"/>
      <c r="B172" s="1151"/>
      <c r="C172" s="883"/>
      <c r="D172" s="884"/>
      <c r="E172" s="847"/>
      <c r="F172" s="847"/>
      <c r="G172" s="847"/>
      <c r="H172" s="847"/>
      <c r="I172" s="847"/>
      <c r="J172" s="885"/>
    </row>
    <row r="173" spans="1:14" ht="35.25" customHeight="1">
      <c r="A173" s="1146" t="s">
        <v>209</v>
      </c>
      <c r="B173" s="1147"/>
      <c r="C173" s="886"/>
      <c r="D173" s="884" t="s">
        <v>142</v>
      </c>
      <c r="E173" s="748">
        <f>'1'!F173</f>
        <v>8582</v>
      </c>
      <c r="F173" s="847">
        <v>8586</v>
      </c>
      <c r="G173" s="847">
        <f>F173-E173</f>
        <v>4</v>
      </c>
      <c r="H173" s="748">
        <f>G173+'1'!H173</f>
        <v>5</v>
      </c>
      <c r="I173" s="847"/>
      <c r="J173" s="885">
        <f>H173/DAY(B2)</f>
        <v>2.5</v>
      </c>
      <c r="K173" s="725">
        <v>8589</v>
      </c>
    </row>
    <row r="174" spans="1:14" ht="25.5">
      <c r="A174" s="1146" t="s">
        <v>75</v>
      </c>
      <c r="B174" s="1147"/>
      <c r="C174" s="886"/>
      <c r="D174" s="884" t="s">
        <v>142</v>
      </c>
      <c r="E174" s="748">
        <f>'1'!F174</f>
        <v>41975</v>
      </c>
      <c r="F174" s="887">
        <v>41987</v>
      </c>
      <c r="G174" s="847">
        <f>F174-E174</f>
        <v>12</v>
      </c>
      <c r="H174" s="748">
        <f>G174+'1'!H174</f>
        <v>25</v>
      </c>
      <c r="I174" s="847"/>
      <c r="J174" s="885">
        <f>H174/DAY(B2)</f>
        <v>12.5</v>
      </c>
      <c r="K174" s="725">
        <v>41999</v>
      </c>
    </row>
    <row r="175" spans="1:14" ht="25.5">
      <c r="A175" s="1146" t="s">
        <v>76</v>
      </c>
      <c r="B175" s="1186"/>
      <c r="C175" s="1147"/>
      <c r="D175" s="884" t="s">
        <v>142</v>
      </c>
      <c r="E175" s="748">
        <f>'1'!F175</f>
        <v>24708</v>
      </c>
      <c r="F175" s="847">
        <v>24721</v>
      </c>
      <c r="G175" s="847">
        <f>F175-E175</f>
        <v>13</v>
      </c>
      <c r="H175" s="748">
        <f>G175+'1'!H175</f>
        <v>24</v>
      </c>
      <c r="I175" s="847"/>
      <c r="J175" s="885">
        <f>H175/DAY(B2)</f>
        <v>12</v>
      </c>
      <c r="K175" s="888">
        <v>64874.1</v>
      </c>
      <c r="N175" s="888"/>
    </row>
    <row r="176" spans="1:14" ht="25.5">
      <c r="A176" s="1135" t="s">
        <v>196</v>
      </c>
      <c r="B176" s="1136"/>
      <c r="C176" s="889"/>
      <c r="D176" s="884"/>
      <c r="E176" s="748"/>
      <c r="F176" s="847"/>
      <c r="G176" s="847">
        <f>SUM(G173:G175)</f>
        <v>29</v>
      </c>
      <c r="H176" s="748">
        <f>G176+'1'!H176</f>
        <v>54</v>
      </c>
      <c r="I176" s="847"/>
      <c r="J176" s="885">
        <f>H176/DAY(B2)</f>
        <v>27</v>
      </c>
    </row>
    <row r="177" spans="1:11" ht="25.5">
      <c r="A177" s="1146" t="s">
        <v>77</v>
      </c>
      <c r="B177" s="1147"/>
      <c r="C177" s="886"/>
      <c r="D177" s="884" t="s">
        <v>142</v>
      </c>
      <c r="E177" s="748"/>
      <c r="F177" s="847"/>
      <c r="G177" s="847"/>
      <c r="H177" s="748">
        <f>G177+'1'!H177</f>
        <v>0</v>
      </c>
      <c r="I177" s="847"/>
      <c r="J177" s="885"/>
    </row>
    <row r="178" spans="1:11" ht="25.5">
      <c r="A178" s="1146" t="s">
        <v>210</v>
      </c>
      <c r="B178" s="1147"/>
      <c r="C178" s="886"/>
      <c r="D178" s="884" t="s">
        <v>142</v>
      </c>
      <c r="E178" s="748">
        <f>'1'!F178</f>
        <v>102114</v>
      </c>
      <c r="F178" s="887">
        <v>102114</v>
      </c>
      <c r="G178" s="847">
        <f>F178-E178</f>
        <v>0</v>
      </c>
      <c r="H178" s="748">
        <f>G178+'1'!H178</f>
        <v>0</v>
      </c>
      <c r="I178" s="847"/>
      <c r="J178" s="885">
        <f>H178/DAY(B2)</f>
        <v>0</v>
      </c>
      <c r="K178" s="725">
        <v>102114</v>
      </c>
    </row>
    <row r="179" spans="1:11" ht="25.5">
      <c r="A179" s="1146" t="s">
        <v>211</v>
      </c>
      <c r="B179" s="1147"/>
      <c r="C179" s="886"/>
      <c r="D179" s="884" t="s">
        <v>142</v>
      </c>
      <c r="E179" s="748">
        <f>'1'!F179</f>
        <v>37501</v>
      </c>
      <c r="F179" s="847">
        <v>37501</v>
      </c>
      <c r="G179" s="847">
        <f>F179-E179</f>
        <v>0</v>
      </c>
      <c r="H179" s="748">
        <f>G179+'1'!H179</f>
        <v>0</v>
      </c>
      <c r="I179" s="847"/>
      <c r="J179" s="885">
        <f>H179/DAY(B2)</f>
        <v>0</v>
      </c>
      <c r="K179" s="725">
        <v>37501</v>
      </c>
    </row>
    <row r="180" spans="1:11" ht="25.5">
      <c r="A180" s="1146" t="s">
        <v>212</v>
      </c>
      <c r="B180" s="1147"/>
      <c r="C180" s="886"/>
      <c r="D180" s="884" t="s">
        <v>142</v>
      </c>
      <c r="E180" s="748">
        <f>'1'!F180</f>
        <v>7231</v>
      </c>
      <c r="F180" s="847">
        <v>7231</v>
      </c>
      <c r="G180" s="847">
        <f>F180-E180</f>
        <v>0</v>
      </c>
      <c r="H180" s="748">
        <f>G180+'1'!H180</f>
        <v>0</v>
      </c>
      <c r="I180" s="847"/>
      <c r="J180" s="885">
        <f>H180/DAY(B2)</f>
        <v>0</v>
      </c>
      <c r="K180" s="725">
        <v>7231</v>
      </c>
    </row>
    <row r="181" spans="1:11" ht="25.5">
      <c r="A181" s="1148" t="s">
        <v>108</v>
      </c>
      <c r="B181" s="1149"/>
      <c r="C181" s="889"/>
      <c r="D181" s="884"/>
      <c r="E181" s="748"/>
      <c r="F181" s="847"/>
      <c r="G181" s="847">
        <f>SUM(G178:G180)</f>
        <v>0</v>
      </c>
      <c r="H181" s="748">
        <f>G181+'1'!H181</f>
        <v>0</v>
      </c>
      <c r="I181" s="847"/>
      <c r="J181" s="885">
        <f>H181/DAY(B2)</f>
        <v>0</v>
      </c>
    </row>
    <row r="182" spans="1:11" ht="31.5" customHeight="1">
      <c r="A182" s="1146" t="s">
        <v>213</v>
      </c>
      <c r="B182" s="1147"/>
      <c r="C182" s="886"/>
      <c r="D182" s="884"/>
      <c r="E182" s="748"/>
      <c r="F182" s="847"/>
      <c r="G182" s="847"/>
      <c r="H182" s="748">
        <f>G182+'1'!H182</f>
        <v>0</v>
      </c>
      <c r="I182" s="847"/>
      <c r="J182" s="885">
        <f>H182/DAY(B2)</f>
        <v>0</v>
      </c>
    </row>
    <row r="183" spans="1:11" ht="29.25" customHeight="1">
      <c r="A183" s="1146" t="s">
        <v>214</v>
      </c>
      <c r="B183" s="1147"/>
      <c r="C183" s="890"/>
      <c r="D183" s="884" t="s">
        <v>142</v>
      </c>
      <c r="E183" s="748">
        <f>'1'!F183</f>
        <v>17856</v>
      </c>
      <c r="F183" s="887">
        <v>17859</v>
      </c>
      <c r="G183" s="887">
        <f>F183-E183</f>
        <v>3</v>
      </c>
      <c r="H183" s="748">
        <f>G183+'1'!H183</f>
        <v>11</v>
      </c>
      <c r="I183" s="847"/>
      <c r="J183" s="885">
        <f>H183/DAY(B2)</f>
        <v>5.5</v>
      </c>
      <c r="K183" s="725">
        <v>17868</v>
      </c>
    </row>
    <row r="184" spans="1:11" ht="27.75" customHeight="1">
      <c r="A184" s="1146" t="s">
        <v>215</v>
      </c>
      <c r="B184" s="1147"/>
      <c r="C184" s="890"/>
      <c r="D184" s="884" t="s">
        <v>142</v>
      </c>
      <c r="E184" s="748">
        <f>'1'!F184</f>
        <v>12355</v>
      </c>
      <c r="F184" s="887">
        <v>12364</v>
      </c>
      <c r="G184" s="887">
        <f>F184-E184</f>
        <v>9</v>
      </c>
      <c r="H184" s="748">
        <f>G184+'1'!H184</f>
        <v>15</v>
      </c>
      <c r="I184" s="847"/>
      <c r="J184" s="885">
        <f>H184/DAY(B2)</f>
        <v>7.5</v>
      </c>
      <c r="K184" s="725">
        <v>12382</v>
      </c>
    </row>
    <row r="185" spans="1:11" ht="24.75" customHeight="1">
      <c r="A185" s="1146" t="s">
        <v>216</v>
      </c>
      <c r="B185" s="1147"/>
      <c r="C185" s="890"/>
      <c r="D185" s="884" t="s">
        <v>142</v>
      </c>
      <c r="E185" s="748">
        <f>'1'!F185</f>
        <v>0</v>
      </c>
      <c r="F185" s="887"/>
      <c r="G185" s="887">
        <f>F185-E185</f>
        <v>0</v>
      </c>
      <c r="H185" s="748">
        <f>G185+'1'!H185</f>
        <v>0</v>
      </c>
      <c r="I185" s="847"/>
      <c r="J185" s="885">
        <f>H185/DAY(B2)</f>
        <v>0</v>
      </c>
    </row>
    <row r="186" spans="1:11" ht="33.75" customHeight="1">
      <c r="A186" s="1135" t="s">
        <v>196</v>
      </c>
      <c r="B186" s="1136"/>
      <c r="C186" s="891"/>
      <c r="D186" s="892"/>
      <c r="E186" s="748"/>
      <c r="F186" s="887"/>
      <c r="G186" s="887">
        <f>SUM(G183:G185)</f>
        <v>12</v>
      </c>
      <c r="H186" s="748">
        <f>G186+'1'!H186</f>
        <v>26</v>
      </c>
      <c r="I186" s="887"/>
      <c r="J186" s="885">
        <f>H186/DAY(B2)</f>
        <v>13</v>
      </c>
    </row>
    <row r="187" spans="1:11" ht="28.5" customHeight="1">
      <c r="A187" s="1137" t="s">
        <v>217</v>
      </c>
      <c r="B187" s="1138"/>
      <c r="C187" s="886"/>
      <c r="D187" s="893" t="s">
        <v>142</v>
      </c>
      <c r="E187" s="748"/>
      <c r="F187" s="887"/>
      <c r="G187" s="894">
        <f>G62+G19</f>
        <v>152</v>
      </c>
      <c r="H187" s="748">
        <f>G187+'1'!H187</f>
        <v>304</v>
      </c>
      <c r="I187" s="862"/>
      <c r="J187" s="388">
        <f>H187/DAY(B2)</f>
        <v>152</v>
      </c>
    </row>
    <row r="188" spans="1:11" ht="24" customHeight="1">
      <c r="A188" s="1137" t="s">
        <v>218</v>
      </c>
      <c r="B188" s="1138"/>
      <c r="C188" s="886"/>
      <c r="D188" s="893" t="s">
        <v>142</v>
      </c>
      <c r="E188" s="748"/>
      <c r="F188" s="887"/>
      <c r="G188" s="894">
        <f>G65+G66+G67+G69+G70</f>
        <v>154</v>
      </c>
      <c r="H188" s="748">
        <f>G188+'1'!H188</f>
        <v>325</v>
      </c>
      <c r="I188" s="862"/>
      <c r="J188" s="388">
        <f>H188/DAY(B2)</f>
        <v>162.5</v>
      </c>
    </row>
    <row r="189" spans="1:11" ht="24.75" customHeight="1">
      <c r="A189" s="1137" t="s">
        <v>219</v>
      </c>
      <c r="B189" s="1138"/>
      <c r="C189" s="886"/>
      <c r="D189" s="893" t="s">
        <v>142</v>
      </c>
      <c r="E189" s="748"/>
      <c r="F189" s="887"/>
      <c r="G189" s="894">
        <f>G181</f>
        <v>0</v>
      </c>
      <c r="H189" s="748">
        <f>G189+'1'!H189</f>
        <v>0</v>
      </c>
      <c r="I189" s="862"/>
      <c r="J189" s="388">
        <f>H189/DAY(B2)</f>
        <v>0</v>
      </c>
    </row>
    <row r="190" spans="1:11" ht="25.5">
      <c r="A190" s="1144"/>
      <c r="B190" s="1145"/>
      <c r="C190" s="895"/>
      <c r="D190" s="896"/>
      <c r="E190" s="896" t="s">
        <v>207</v>
      </c>
      <c r="F190" s="896"/>
      <c r="G190" s="896"/>
      <c r="H190" s="897"/>
      <c r="I190" s="896"/>
      <c r="J190" s="898"/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A117:C117"/>
    <mergeCell ref="A118:C118"/>
    <mergeCell ref="A108:J108"/>
    <mergeCell ref="A110:J110"/>
    <mergeCell ref="A111:C111"/>
    <mergeCell ref="A112:C112"/>
    <mergeCell ref="A113:C113"/>
    <mergeCell ref="N116:O116"/>
    <mergeCell ref="N117:O117"/>
    <mergeCell ref="N118:O118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O270"/>
  <sheetViews>
    <sheetView view="pageBreakPreview" topLeftCell="A67" zoomScale="55" zoomScaleSheetLayoutView="55" workbookViewId="0">
      <selection activeCell="E18" sqref="E18"/>
    </sheetView>
  </sheetViews>
  <sheetFormatPr defaultColWidth="22.33203125" defaultRowHeight="21.95" customHeight="1"/>
  <cols>
    <col min="1" max="1" width="51.21875" style="842" customWidth="1"/>
    <col min="2" max="2" width="27.33203125" style="843" customWidth="1"/>
    <col min="3" max="3" width="15.88671875" style="843" customWidth="1"/>
    <col min="4" max="4" width="13.6640625" style="844" customWidth="1"/>
    <col min="5" max="6" width="30" style="844" customWidth="1"/>
    <col min="7" max="7" width="28.88671875" style="844" customWidth="1"/>
    <col min="8" max="8" width="39.21875" style="845" customWidth="1"/>
    <col min="9" max="9" width="23.5546875" style="844" customWidth="1"/>
    <col min="10" max="10" width="18.33203125" style="162" bestFit="1" customWidth="1"/>
    <col min="11" max="13" width="22.33203125" style="725" customWidth="1"/>
    <col min="14" max="14" width="25.109375" style="725" customWidth="1"/>
    <col min="15" max="16384" width="22.33203125" style="725"/>
  </cols>
  <sheetData>
    <row r="1" spans="1:13" ht="33.75">
      <c r="A1" s="1192" t="s">
        <v>364</v>
      </c>
      <c r="B1" s="1193"/>
      <c r="C1" s="1193"/>
      <c r="D1" s="1193"/>
      <c r="E1" s="1193"/>
      <c r="F1" s="1193"/>
      <c r="G1" s="1193"/>
      <c r="H1" s="1193"/>
      <c r="I1" s="1193"/>
      <c r="J1" s="1194"/>
    </row>
    <row r="2" spans="1:13" s="732" customFormat="1" ht="23.25">
      <c r="A2" s="726" t="s">
        <v>349</v>
      </c>
      <c r="B2" s="899">
        <v>44837</v>
      </c>
      <c r="C2" s="728" t="s">
        <v>67</v>
      </c>
      <c r="D2" s="729">
        <v>0.8</v>
      </c>
      <c r="E2" s="730"/>
      <c r="F2" s="730"/>
      <c r="G2" s="730" t="s">
        <v>116</v>
      </c>
      <c r="H2" s="730" t="s">
        <v>5</v>
      </c>
      <c r="I2" s="730" t="s">
        <v>7</v>
      </c>
      <c r="J2" s="220" t="s">
        <v>117</v>
      </c>
      <c r="K2" s="732">
        <v>0</v>
      </c>
      <c r="L2" s="732" t="s">
        <v>350</v>
      </c>
      <c r="M2" s="732">
        <v>19293.8</v>
      </c>
    </row>
    <row r="3" spans="1:13" s="732" customFormat="1" ht="23.25">
      <c r="A3" s="726"/>
      <c r="B3" s="733"/>
      <c r="C3" s="728" t="s">
        <v>118</v>
      </c>
      <c r="D3" s="734">
        <v>29</v>
      </c>
      <c r="E3" s="1201" t="s">
        <v>119</v>
      </c>
      <c r="F3" s="1202"/>
      <c r="G3" s="728"/>
      <c r="H3" s="728"/>
      <c r="I3" s="728"/>
      <c r="J3" s="222"/>
      <c r="M3" s="732">
        <v>70944.800000000003</v>
      </c>
    </row>
    <row r="4" spans="1:13" s="732" customFormat="1" ht="23.25">
      <c r="A4" s="736"/>
      <c r="B4" s="733"/>
      <c r="C4" s="728" t="s">
        <v>120</v>
      </c>
      <c r="D4" s="729">
        <v>0.78</v>
      </c>
      <c r="E4" s="728"/>
      <c r="F4" s="728"/>
      <c r="G4" s="728"/>
      <c r="H4" s="728"/>
      <c r="I4" s="728"/>
      <c r="J4" s="222"/>
      <c r="L4" s="732" t="s">
        <v>351</v>
      </c>
      <c r="M4" s="732">
        <v>28131.4</v>
      </c>
    </row>
    <row r="5" spans="1:13" ht="26.25">
      <c r="A5" s="737" t="s">
        <v>121</v>
      </c>
      <c r="B5" s="738"/>
      <c r="C5" s="738"/>
      <c r="D5" s="739" t="s">
        <v>122</v>
      </c>
      <c r="E5" s="740" t="s">
        <v>123</v>
      </c>
      <c r="F5" s="740" t="s">
        <v>110</v>
      </c>
      <c r="G5" s="741" t="s">
        <v>124</v>
      </c>
      <c r="H5" s="739" t="s">
        <v>125</v>
      </c>
      <c r="I5" s="739" t="s">
        <v>126</v>
      </c>
      <c r="J5" s="900" t="s">
        <v>127</v>
      </c>
      <c r="M5" s="732">
        <v>48693.66</v>
      </c>
    </row>
    <row r="6" spans="1:13" ht="26.25">
      <c r="A6" s="1195" t="s">
        <v>128</v>
      </c>
      <c r="B6" s="1196"/>
      <c r="C6" s="1197"/>
      <c r="D6" s="743"/>
      <c r="E6" s="743"/>
      <c r="F6" s="743"/>
      <c r="G6" s="743"/>
      <c r="H6" s="744"/>
      <c r="I6" s="744"/>
      <c r="J6" s="642"/>
    </row>
    <row r="7" spans="1:13" ht="26.25">
      <c r="A7" s="746" t="s">
        <v>129</v>
      </c>
      <c r="B7" s="747"/>
      <c r="C7" s="747"/>
      <c r="D7" s="748" t="s">
        <v>130</v>
      </c>
      <c r="E7" s="99">
        <f>'2'!F7</f>
        <v>932364</v>
      </c>
      <c r="F7" s="748">
        <v>955666</v>
      </c>
      <c r="G7" s="749">
        <f t="shared" ref="G7:G12" si="0">F7-E7</f>
        <v>23302</v>
      </c>
      <c r="H7" s="748">
        <f>G7+'2'!H7</f>
        <v>73934</v>
      </c>
      <c r="I7" s="113">
        <f>'1'!I7</f>
        <v>12000</v>
      </c>
      <c r="J7" s="175">
        <f>H7/DAY(B2)</f>
        <v>24644.666666666668</v>
      </c>
      <c r="K7" s="725">
        <v>980940</v>
      </c>
    </row>
    <row r="8" spans="1:13" ht="26.25" thickBot="1">
      <c r="A8" s="750" t="s">
        <v>131</v>
      </c>
      <c r="B8" s="751"/>
      <c r="C8" s="752"/>
      <c r="D8" s="753" t="s">
        <v>24</v>
      </c>
      <c r="E8" s="99">
        <f>'2'!F8</f>
        <v>100718</v>
      </c>
      <c r="F8" s="753">
        <v>124314</v>
      </c>
      <c r="G8" s="755">
        <f t="shared" si="0"/>
        <v>23596</v>
      </c>
      <c r="H8" s="748">
        <f>G8+'2'!H8</f>
        <v>74934</v>
      </c>
      <c r="I8" s="756"/>
      <c r="J8" s="175">
        <f>H8/DAY(B2)</f>
        <v>24978</v>
      </c>
      <c r="K8" s="725">
        <v>149953</v>
      </c>
    </row>
    <row r="9" spans="1:13" ht="26.25">
      <c r="A9" s="757" t="s">
        <v>132</v>
      </c>
      <c r="B9" s="758"/>
      <c r="C9" s="758"/>
      <c r="D9" s="748" t="s">
        <v>130</v>
      </c>
      <c r="E9" s="99">
        <f>'2'!F9</f>
        <v>3720741.1</v>
      </c>
      <c r="F9" s="759">
        <v>3728634.7</v>
      </c>
      <c r="G9" s="749">
        <f t="shared" si="0"/>
        <v>7893.6000000000931</v>
      </c>
      <c r="H9" s="748">
        <f>G9+'2'!H9</f>
        <v>21927.700000000186</v>
      </c>
      <c r="I9" s="124">
        <f>I7-J7</f>
        <v>-12644.666666666668</v>
      </c>
      <c r="J9" s="175">
        <f>H9/DAY(B2)</f>
        <v>7309.2333333333954</v>
      </c>
      <c r="K9" s="725">
        <v>3736871.9</v>
      </c>
    </row>
    <row r="10" spans="1:13" ht="26.25">
      <c r="A10" s="746" t="s">
        <v>133</v>
      </c>
      <c r="B10" s="747"/>
      <c r="C10" s="747"/>
      <c r="D10" s="748" t="s">
        <v>130</v>
      </c>
      <c r="E10" s="99">
        <f>'2'!F10</f>
        <v>2776945.9</v>
      </c>
      <c r="F10" s="759">
        <v>2792827.9</v>
      </c>
      <c r="G10" s="749">
        <f t="shared" si="0"/>
        <v>15882</v>
      </c>
      <c r="H10" s="748">
        <f>G10+'2'!H10</f>
        <v>50133.899999999907</v>
      </c>
      <c r="I10" s="901"/>
      <c r="J10" s="175">
        <f>H10/DAY(B2)</f>
        <v>16711.29999999997</v>
      </c>
      <c r="K10" s="725">
        <v>2809171.1</v>
      </c>
    </row>
    <row r="11" spans="1:13" ht="26.25">
      <c r="A11" s="746" t="s">
        <v>134</v>
      </c>
      <c r="B11" s="747"/>
      <c r="C11" s="747"/>
      <c r="D11" s="748" t="s">
        <v>130</v>
      </c>
      <c r="E11" s="99">
        <f>'2'!F11</f>
        <v>37560</v>
      </c>
      <c r="F11" s="748">
        <v>37560</v>
      </c>
      <c r="G11" s="749">
        <f t="shared" si="0"/>
        <v>0</v>
      </c>
      <c r="H11" s="748">
        <f>G11+'2'!H11</f>
        <v>0</v>
      </c>
      <c r="I11" s="901"/>
      <c r="J11" s="175">
        <f>H11/DAY(B2)</f>
        <v>0</v>
      </c>
    </row>
    <row r="12" spans="1:13" ht="26.25">
      <c r="A12" s="746" t="s">
        <v>135</v>
      </c>
      <c r="B12" s="747"/>
      <c r="C12" s="747"/>
      <c r="D12" s="748" t="s">
        <v>130</v>
      </c>
      <c r="E12" s="99">
        <f>'2'!F12</f>
        <v>40380</v>
      </c>
      <c r="F12" s="759">
        <v>40380</v>
      </c>
      <c r="G12" s="749">
        <f t="shared" si="0"/>
        <v>0</v>
      </c>
      <c r="H12" s="748">
        <f>G12+'2'!H12</f>
        <v>0</v>
      </c>
      <c r="I12" s="901"/>
      <c r="J12" s="175">
        <f>H12/DAY(B2)</f>
        <v>0</v>
      </c>
    </row>
    <row r="13" spans="1:13" ht="26.25">
      <c r="A13" s="761" t="s">
        <v>136</v>
      </c>
      <c r="B13" s="762"/>
      <c r="C13" s="762"/>
      <c r="D13" s="748"/>
      <c r="E13" s="748"/>
      <c r="F13" s="748"/>
      <c r="G13" s="763">
        <f>G9+G10+G11+G12</f>
        <v>23775.600000000093</v>
      </c>
      <c r="H13" s="748">
        <f>G13+'2'!H13</f>
        <v>73521.600000000093</v>
      </c>
      <c r="I13" s="124">
        <f>G7-G13</f>
        <v>-473.60000000009313</v>
      </c>
      <c r="J13" s="175">
        <f>H13/DAY(B2)</f>
        <v>24507.20000000003</v>
      </c>
    </row>
    <row r="14" spans="1:13" ht="26.25">
      <c r="A14" s="1198" t="s">
        <v>137</v>
      </c>
      <c r="B14" s="1199"/>
      <c r="C14" s="1200"/>
      <c r="D14" s="744"/>
      <c r="E14" s="744"/>
      <c r="F14" s="744"/>
      <c r="G14" s="764"/>
      <c r="H14" s="744"/>
      <c r="I14" s="385"/>
      <c r="J14" s="642"/>
    </row>
    <row r="15" spans="1:13" ht="26.25">
      <c r="A15" s="765" t="s">
        <v>138</v>
      </c>
      <c r="B15" s="766"/>
      <c r="C15" s="766"/>
      <c r="D15" s="748" t="s">
        <v>139</v>
      </c>
      <c r="E15" s="99">
        <f>'2'!F15</f>
        <v>2163527</v>
      </c>
      <c r="F15" s="767">
        <f>+E15+981</f>
        <v>2164508</v>
      </c>
      <c r="G15" s="112">
        <f>(F15-E15)</f>
        <v>981</v>
      </c>
      <c r="H15" s="748">
        <f>G15+'2'!H15</f>
        <v>2993</v>
      </c>
      <c r="I15" s="124">
        <f>'1'!I15</f>
        <v>800</v>
      </c>
      <c r="J15" s="175">
        <f>H15/DAY(B2)</f>
        <v>997.66666666666663</v>
      </c>
      <c r="K15" s="725">
        <v>2164508</v>
      </c>
    </row>
    <row r="16" spans="1:13" ht="26.25">
      <c r="A16" s="769"/>
      <c r="B16" s="770"/>
      <c r="C16" s="770"/>
      <c r="D16" s="113"/>
      <c r="E16" s="771"/>
      <c r="F16" s="771"/>
      <c r="G16" s="749"/>
      <c r="H16" s="113"/>
      <c r="I16" s="124">
        <f>I15-J15</f>
        <v>-197.66666666666663</v>
      </c>
      <c r="J16" s="176"/>
    </row>
    <row r="17" spans="1:12" ht="26.25">
      <c r="A17" s="1198" t="s">
        <v>140</v>
      </c>
      <c r="B17" s="1199"/>
      <c r="C17" s="1200"/>
      <c r="D17" s="744"/>
      <c r="E17" s="744"/>
      <c r="F17" s="744"/>
      <c r="G17" s="764"/>
      <c r="H17" s="744"/>
      <c r="I17" s="385"/>
      <c r="J17" s="642"/>
    </row>
    <row r="18" spans="1:12" ht="25.5">
      <c r="A18" s="1174" t="s">
        <v>141</v>
      </c>
      <c r="B18" s="1175"/>
      <c r="C18" s="1176"/>
      <c r="D18" s="748" t="s">
        <v>142</v>
      </c>
      <c r="E18" s="748">
        <f>'2'!F18</f>
        <v>18</v>
      </c>
      <c r="F18" s="815">
        <v>29</v>
      </c>
      <c r="G18" s="763">
        <f>F18*10</f>
        <v>290</v>
      </c>
      <c r="H18" s="748">
        <f>G18+'2'!H18</f>
        <v>720</v>
      </c>
      <c r="I18" s="124">
        <f>'1'!I18</f>
        <v>65</v>
      </c>
      <c r="J18" s="175">
        <f>H18/DAY(B2)</f>
        <v>240</v>
      </c>
      <c r="K18" s="725">
        <v>24</v>
      </c>
    </row>
    <row r="19" spans="1:12" ht="25.5">
      <c r="A19" s="1174" t="s">
        <v>69</v>
      </c>
      <c r="B19" s="1175"/>
      <c r="C19" s="1176"/>
      <c r="D19" s="748" t="s">
        <v>142</v>
      </c>
      <c r="E19" s="748">
        <f>'2'!F19</f>
        <v>165553</v>
      </c>
      <c r="F19" s="815">
        <v>165607</v>
      </c>
      <c r="G19" s="749">
        <f>F19-E19</f>
        <v>54</v>
      </c>
      <c r="H19" s="748">
        <f>G19+'2'!H19</f>
        <v>166</v>
      </c>
      <c r="I19" s="902"/>
      <c r="J19" s="175">
        <f>H19/DAY(B2)</f>
        <v>55.333333333333336</v>
      </c>
      <c r="K19" s="725">
        <v>165658</v>
      </c>
    </row>
    <row r="20" spans="1:12" ht="26.25">
      <c r="A20" s="761" t="s">
        <v>143</v>
      </c>
      <c r="B20" s="762"/>
      <c r="C20" s="762"/>
      <c r="D20" s="774"/>
      <c r="E20" s="774"/>
      <c r="F20" s="774"/>
      <c r="G20" s="903">
        <f>G18+G19</f>
        <v>344</v>
      </c>
      <c r="H20" s="748">
        <f>G20+'2'!H20</f>
        <v>886</v>
      </c>
      <c r="I20" s="336">
        <f>I18-J20</f>
        <v>-230.33333333333331</v>
      </c>
      <c r="J20" s="175">
        <f>H20/DAY(B2)</f>
        <v>295.33333333333331</v>
      </c>
    </row>
    <row r="21" spans="1:12" ht="26.25">
      <c r="A21" s="1198" t="s">
        <v>144</v>
      </c>
      <c r="B21" s="1199"/>
      <c r="C21" s="1200"/>
      <c r="D21" s="744"/>
      <c r="E21" s="744"/>
      <c r="F21" s="744"/>
      <c r="G21" s="764"/>
      <c r="H21" s="744"/>
      <c r="I21" s="744"/>
      <c r="J21" s="642"/>
    </row>
    <row r="22" spans="1:12" ht="26.25">
      <c r="A22" s="765" t="s">
        <v>145</v>
      </c>
      <c r="B22" s="766"/>
      <c r="C22" s="766"/>
      <c r="D22" s="748" t="s">
        <v>146</v>
      </c>
      <c r="E22" s="748">
        <f>'2'!F22</f>
        <v>2970</v>
      </c>
      <c r="F22" s="815">
        <v>2970</v>
      </c>
      <c r="G22" s="763">
        <f>(F22-E22)</f>
        <v>0</v>
      </c>
      <c r="H22" s="748">
        <f>G22+'2'!H22</f>
        <v>0</v>
      </c>
      <c r="I22" s="760"/>
      <c r="J22" s="175">
        <f>H22/DAY(B2)</f>
        <v>0</v>
      </c>
    </row>
    <row r="23" spans="1:12" ht="26.25">
      <c r="A23" s="765" t="s">
        <v>147</v>
      </c>
      <c r="B23" s="766"/>
      <c r="C23" s="766"/>
      <c r="D23" s="748" t="s">
        <v>146</v>
      </c>
      <c r="E23" s="748">
        <f>'2'!F23</f>
        <v>1500</v>
      </c>
      <c r="F23" s="815">
        <v>1500</v>
      </c>
      <c r="G23" s="763">
        <v>0</v>
      </c>
      <c r="H23" s="748">
        <f>G23+'2'!H23</f>
        <v>0</v>
      </c>
      <c r="I23" s="760"/>
      <c r="J23" s="175">
        <f>H23/DAY(B2)</f>
        <v>0</v>
      </c>
    </row>
    <row r="24" spans="1:12" ht="26.25">
      <c r="A24" s="777" t="s">
        <v>148</v>
      </c>
      <c r="B24" s="778"/>
      <c r="C24" s="778"/>
      <c r="D24" s="739" t="s">
        <v>146</v>
      </c>
      <c r="E24" s="748">
        <f>'2'!F24</f>
        <v>4970</v>
      </c>
      <c r="F24" s="904">
        <v>4970</v>
      </c>
      <c r="G24" s="763">
        <v>0</v>
      </c>
      <c r="H24" s="748">
        <f>G24+'2'!H24</f>
        <v>0</v>
      </c>
      <c r="I24" s="760"/>
      <c r="J24" s="175">
        <f>H24/DAY(B2)</f>
        <v>0</v>
      </c>
    </row>
    <row r="25" spans="1:12" s="782" customFormat="1" ht="25.5">
      <c r="A25" s="1203" t="s">
        <v>149</v>
      </c>
      <c r="B25" s="1204"/>
      <c r="C25" s="1205"/>
      <c r="D25" s="743"/>
      <c r="E25" s="743"/>
      <c r="F25" s="743"/>
      <c r="G25" s="779"/>
      <c r="H25" s="743"/>
      <c r="I25" s="780"/>
      <c r="J25" s="177"/>
      <c r="K25" s="725"/>
      <c r="L25" s="725"/>
    </row>
    <row r="26" spans="1:12" s="782" customFormat="1" ht="25.5">
      <c r="A26" s="783" t="s">
        <v>150</v>
      </c>
      <c r="B26" s="784"/>
      <c r="C26" s="785"/>
      <c r="D26" s="786" t="s">
        <v>151</v>
      </c>
      <c r="E26" s="787"/>
      <c r="F26" s="787"/>
      <c r="G26" s="788"/>
      <c r="H26" s="748"/>
      <c r="I26" s="789"/>
      <c r="J26" s="175"/>
      <c r="K26" s="725"/>
      <c r="L26" s="725"/>
    </row>
    <row r="27" spans="1:12" s="782" customFormat="1" ht="25.5">
      <c r="A27" s="783" t="s">
        <v>5</v>
      </c>
      <c r="B27" s="784"/>
      <c r="C27" s="785"/>
      <c r="D27" s="787" t="s">
        <v>24</v>
      </c>
      <c r="E27" s="790">
        <f>G8</f>
        <v>23596</v>
      </c>
      <c r="F27" s="791">
        <v>10</v>
      </c>
      <c r="G27" s="792">
        <f>E27*F27</f>
        <v>235960</v>
      </c>
      <c r="H27" s="748">
        <f>G27+'2'!H27</f>
        <v>749340</v>
      </c>
      <c r="I27" s="793"/>
      <c r="J27" s="175">
        <f>H27/DAY(B2)</f>
        <v>249780</v>
      </c>
      <c r="K27" s="725"/>
      <c r="L27" s="725"/>
    </row>
    <row r="28" spans="1:12" s="782" customFormat="1" ht="25.5">
      <c r="A28" s="783" t="s">
        <v>152</v>
      </c>
      <c r="B28" s="784"/>
      <c r="C28" s="785"/>
      <c r="D28" s="787" t="s">
        <v>153</v>
      </c>
      <c r="E28" s="794">
        <f>G15</f>
        <v>981</v>
      </c>
      <c r="F28" s="791">
        <v>75</v>
      </c>
      <c r="G28" s="792">
        <f>E28*F28</f>
        <v>73575</v>
      </c>
      <c r="H28" s="748">
        <f>G28+'2'!H28</f>
        <v>224475</v>
      </c>
      <c r="I28" s="795"/>
      <c r="J28" s="175">
        <f>H28/DAY(B2)</f>
        <v>74825</v>
      </c>
      <c r="K28" s="725"/>
      <c r="L28" s="725"/>
    </row>
    <row r="29" spans="1:12" s="782" customFormat="1" ht="25.5">
      <c r="A29" s="783" t="s">
        <v>154</v>
      </c>
      <c r="B29" s="784"/>
      <c r="C29" s="785"/>
      <c r="D29" s="787" t="s">
        <v>155</v>
      </c>
      <c r="E29" s="796">
        <f>G24</f>
        <v>0</v>
      </c>
      <c r="F29" s="791">
        <v>69</v>
      </c>
      <c r="G29" s="792">
        <f>E29*F29</f>
        <v>0</v>
      </c>
      <c r="H29" s="748">
        <f>G29+'2'!H29</f>
        <v>0</v>
      </c>
      <c r="I29" s="795"/>
      <c r="J29" s="175">
        <f>H29/DAY(B2)</f>
        <v>0</v>
      </c>
      <c r="K29" s="725"/>
      <c r="L29" s="725"/>
    </row>
    <row r="30" spans="1:12" s="782" customFormat="1" ht="25.5">
      <c r="A30" s="783" t="s">
        <v>156</v>
      </c>
      <c r="B30" s="784"/>
      <c r="C30" s="785"/>
      <c r="D30" s="787" t="s">
        <v>157</v>
      </c>
      <c r="E30" s="796">
        <f>G19</f>
        <v>54</v>
      </c>
      <c r="F30" s="791">
        <v>151</v>
      </c>
      <c r="G30" s="792">
        <f>E30*F30</f>
        <v>8154</v>
      </c>
      <c r="H30" s="748">
        <f>G30+'2'!H30</f>
        <v>25066</v>
      </c>
      <c r="I30" s="795"/>
      <c r="J30" s="175">
        <f>H30/DAY(B2)</f>
        <v>8355.3333333333339</v>
      </c>
      <c r="K30" s="725"/>
      <c r="L30" s="725"/>
    </row>
    <row r="31" spans="1:12" s="782" customFormat="1" ht="25.5">
      <c r="A31" s="783" t="s">
        <v>158</v>
      </c>
      <c r="B31" s="784"/>
      <c r="C31" s="785"/>
      <c r="D31" s="787" t="s">
        <v>142</v>
      </c>
      <c r="E31" s="796">
        <f>G18</f>
        <v>290</v>
      </c>
      <c r="F31" s="791">
        <v>85</v>
      </c>
      <c r="G31" s="792">
        <f>E31*F31</f>
        <v>24650</v>
      </c>
      <c r="H31" s="748">
        <f>G31+'2'!H31</f>
        <v>59050</v>
      </c>
      <c r="I31" s="795"/>
      <c r="J31" s="175">
        <f>H31/DAY(B2)</f>
        <v>19683.333333333332</v>
      </c>
      <c r="K31" s="725"/>
      <c r="L31" s="725"/>
    </row>
    <row r="32" spans="1:12" s="782" customFormat="1" ht="25.5">
      <c r="A32" s="797" t="s">
        <v>159</v>
      </c>
      <c r="B32" s="798"/>
      <c r="C32" s="799"/>
      <c r="D32" s="800"/>
      <c r="E32" s="800"/>
      <c r="F32" s="800"/>
      <c r="G32" s="801">
        <f>G27+G28+G29+G30+G31</f>
        <v>342339</v>
      </c>
      <c r="H32" s="748">
        <f>G32+'2'!H32</f>
        <v>1057931</v>
      </c>
      <c r="I32" s="802"/>
      <c r="J32" s="175">
        <f>H32/DAY(B2)</f>
        <v>352643.66666666669</v>
      </c>
      <c r="K32" s="725"/>
      <c r="L32" s="725"/>
    </row>
    <row r="33" spans="1:12" ht="25.5" customHeight="1">
      <c r="A33" s="1206" t="s">
        <v>331</v>
      </c>
      <c r="B33" s="1207"/>
      <c r="C33" s="1207"/>
      <c r="D33" s="803"/>
      <c r="E33" s="803"/>
      <c r="F33" s="803"/>
      <c r="G33" s="803"/>
      <c r="H33" s="803"/>
      <c r="I33" s="803"/>
      <c r="J33" s="905"/>
    </row>
    <row r="34" spans="1:12" ht="26.25">
      <c r="A34" s="805" t="s">
        <v>160</v>
      </c>
      <c r="B34" s="806"/>
      <c r="C34" s="806"/>
      <c r="D34" s="744"/>
      <c r="E34" s="743"/>
      <c r="F34" s="743"/>
      <c r="G34" s="744"/>
      <c r="H34" s="744"/>
      <c r="I34" s="744"/>
      <c r="J34" s="642"/>
    </row>
    <row r="35" spans="1:12" ht="26.25">
      <c r="A35" s="746" t="s">
        <v>161</v>
      </c>
      <c r="B35" s="747"/>
      <c r="C35" s="747"/>
      <c r="D35" s="748" t="s">
        <v>130</v>
      </c>
      <c r="E35" s="748">
        <f>'2'!F35</f>
        <v>238713.05</v>
      </c>
      <c r="F35" s="807">
        <v>238713.05</v>
      </c>
      <c r="G35" s="749">
        <f t="shared" ref="G35:G46" si="1">F35-E35</f>
        <v>0</v>
      </c>
      <c r="H35" s="748">
        <f>G35+'2'!H35</f>
        <v>0</v>
      </c>
      <c r="I35" s="748"/>
      <c r="J35" s="175">
        <f>H35/DAY(B2)</f>
        <v>0</v>
      </c>
      <c r="K35" s="725">
        <v>23871.3</v>
      </c>
    </row>
    <row r="36" spans="1:12" ht="26.25">
      <c r="A36" s="746" t="s">
        <v>162</v>
      </c>
      <c r="B36" s="747"/>
      <c r="C36" s="747"/>
      <c r="D36" s="748" t="s">
        <v>130</v>
      </c>
      <c r="E36" s="748">
        <f>'2'!F36</f>
        <v>271141.21000000002</v>
      </c>
      <c r="F36" s="807">
        <v>271806</v>
      </c>
      <c r="G36" s="749">
        <f t="shared" si="1"/>
        <v>664.78999999997905</v>
      </c>
      <c r="H36" s="748">
        <f>G36+'2'!H36</f>
        <v>2323</v>
      </c>
      <c r="I36" s="748"/>
      <c r="J36" s="175">
        <f>H36/DAY(B2)</f>
        <v>774.33333333333337</v>
      </c>
      <c r="K36" s="725">
        <v>272497.59000000003</v>
      </c>
      <c r="L36" s="808"/>
    </row>
    <row r="37" spans="1:12" ht="26.25">
      <c r="A37" s="746" t="s">
        <v>163</v>
      </c>
      <c r="B37" s="747"/>
      <c r="C37" s="747"/>
      <c r="D37" s="748" t="s">
        <v>130</v>
      </c>
      <c r="E37" s="748">
        <f>'2'!F37</f>
        <v>322998.69</v>
      </c>
      <c r="F37" s="807">
        <v>322998.69</v>
      </c>
      <c r="G37" s="749">
        <f t="shared" si="1"/>
        <v>0</v>
      </c>
      <c r="H37" s="748">
        <f>G37+'2'!H37</f>
        <v>0</v>
      </c>
      <c r="I37" s="748"/>
      <c r="J37" s="175">
        <f>H37/DAY(B2)</f>
        <v>0</v>
      </c>
      <c r="K37" s="725">
        <v>322998.69</v>
      </c>
      <c r="L37" s="809"/>
    </row>
    <row r="38" spans="1:12" ht="26.25">
      <c r="A38" s="746" t="s">
        <v>164</v>
      </c>
      <c r="B38" s="747"/>
      <c r="C38" s="747"/>
      <c r="D38" s="748" t="s">
        <v>130</v>
      </c>
      <c r="E38" s="748">
        <f>'2'!F38</f>
        <v>598147.71</v>
      </c>
      <c r="F38" s="739">
        <v>600423.15</v>
      </c>
      <c r="G38" s="749">
        <f t="shared" si="1"/>
        <v>2275.4400000000605</v>
      </c>
      <c r="H38" s="748">
        <f>G38+'2'!H38</f>
        <v>6706.1500000000233</v>
      </c>
      <c r="I38" s="748"/>
      <c r="J38" s="175">
        <f>H38/DAY(B2)</f>
        <v>2235.3833333333409</v>
      </c>
      <c r="K38" s="725">
        <v>602620.79</v>
      </c>
    </row>
    <row r="39" spans="1:12" ht="26.25">
      <c r="A39" s="746" t="s">
        <v>165</v>
      </c>
      <c r="B39" s="747"/>
      <c r="C39" s="747"/>
      <c r="D39" s="748" t="s">
        <v>130</v>
      </c>
      <c r="E39" s="748">
        <f>'2'!F39</f>
        <v>591584.18999999994</v>
      </c>
      <c r="F39" s="807">
        <v>591584.18999999994</v>
      </c>
      <c r="G39" s="749">
        <f t="shared" si="1"/>
        <v>0</v>
      </c>
      <c r="H39" s="748">
        <f>G39+'2'!H39</f>
        <v>0</v>
      </c>
      <c r="I39" s="748"/>
      <c r="J39" s="175">
        <f>H39/DAY(B2)</f>
        <v>0</v>
      </c>
      <c r="K39" s="725">
        <v>591584.18999999994</v>
      </c>
    </row>
    <row r="40" spans="1:12" ht="26.25">
      <c r="A40" s="746" t="s">
        <v>166</v>
      </c>
      <c r="B40" s="747"/>
      <c r="C40" s="747"/>
      <c r="D40" s="748" t="s">
        <v>130</v>
      </c>
      <c r="E40" s="748">
        <f>'2'!F40</f>
        <v>159550.12</v>
      </c>
      <c r="F40" s="807">
        <v>160311.57999999999</v>
      </c>
      <c r="G40" s="749">
        <f t="shared" si="1"/>
        <v>761.45999999999185</v>
      </c>
      <c r="H40" s="748">
        <f>G40+'2'!H40</f>
        <v>2331.5799999999872</v>
      </c>
      <c r="I40" s="748"/>
      <c r="J40" s="175">
        <f>H40/DAY(B2)</f>
        <v>777.19333333332906</v>
      </c>
      <c r="K40" s="725">
        <v>161063</v>
      </c>
    </row>
    <row r="41" spans="1:12" ht="26.25">
      <c r="A41" s="746" t="s">
        <v>167</v>
      </c>
      <c r="B41" s="747"/>
      <c r="C41" s="747"/>
      <c r="D41" s="748" t="s">
        <v>130</v>
      </c>
      <c r="E41" s="748">
        <f>'2'!F41</f>
        <v>381351.55</v>
      </c>
      <c r="F41" s="807">
        <v>381351.35</v>
      </c>
      <c r="G41" s="749">
        <f t="shared" si="1"/>
        <v>-0.20000000001164153</v>
      </c>
      <c r="H41" s="748">
        <f>G41+'2'!H41</f>
        <v>-0.65000000002328306</v>
      </c>
      <c r="I41" s="748"/>
      <c r="J41" s="175">
        <f>H41/DAY(B2)</f>
        <v>-0.21666666667442769</v>
      </c>
      <c r="K41" s="725">
        <v>381351.85</v>
      </c>
    </row>
    <row r="42" spans="1:12" ht="26.25">
      <c r="A42" s="746" t="s">
        <v>168</v>
      </c>
      <c r="B42" s="747"/>
      <c r="C42" s="747"/>
      <c r="D42" s="748" t="s">
        <v>130</v>
      </c>
      <c r="E42" s="748">
        <f>'2'!F42</f>
        <v>833330.63</v>
      </c>
      <c r="F42" s="807">
        <v>838476.15</v>
      </c>
      <c r="G42" s="749">
        <f t="shared" si="1"/>
        <v>5145.5200000000186</v>
      </c>
      <c r="H42" s="748">
        <f>G42+'2'!H42</f>
        <v>13389.150000000023</v>
      </c>
      <c r="I42" s="748"/>
      <c r="J42" s="175">
        <f>H42/DAY(B2)</f>
        <v>4463.0500000000075</v>
      </c>
      <c r="K42" s="725">
        <v>844031.83</v>
      </c>
    </row>
    <row r="43" spans="1:12" ht="26.25">
      <c r="A43" s="746" t="s">
        <v>169</v>
      </c>
      <c r="B43" s="747"/>
      <c r="C43" s="747"/>
      <c r="D43" s="748" t="s">
        <v>130</v>
      </c>
      <c r="E43" s="748">
        <f>'2'!F43</f>
        <v>407028</v>
      </c>
      <c r="F43" s="807">
        <v>407028</v>
      </c>
      <c r="G43" s="749">
        <f t="shared" si="1"/>
        <v>0</v>
      </c>
      <c r="H43" s="748">
        <f>G43+'2'!H43</f>
        <v>0</v>
      </c>
      <c r="I43" s="748"/>
      <c r="J43" s="175">
        <f>H43/DAY(B2)</f>
        <v>0</v>
      </c>
    </row>
    <row r="44" spans="1:12" ht="26.25">
      <c r="A44" s="746" t="s">
        <v>170</v>
      </c>
      <c r="B44" s="747"/>
      <c r="C44" s="747"/>
      <c r="D44" s="748" t="s">
        <v>130</v>
      </c>
      <c r="E44" s="748">
        <f>'2'!F44</f>
        <v>0</v>
      </c>
      <c r="F44" s="807">
        <v>0</v>
      </c>
      <c r="G44" s="749">
        <f t="shared" si="1"/>
        <v>0</v>
      </c>
      <c r="H44" s="748">
        <f>G44+'2'!H44</f>
        <v>0</v>
      </c>
      <c r="I44" s="748"/>
      <c r="J44" s="175">
        <f>H44/DAY(B2)</f>
        <v>0</v>
      </c>
    </row>
    <row r="45" spans="1:12" ht="26.25">
      <c r="A45" s="746" t="s">
        <v>171</v>
      </c>
      <c r="B45" s="747"/>
      <c r="C45" s="747"/>
      <c r="D45" s="748" t="s">
        <v>130</v>
      </c>
      <c r="E45" s="748">
        <f>'2'!F45</f>
        <v>0</v>
      </c>
      <c r="F45" s="807">
        <v>0</v>
      </c>
      <c r="G45" s="749">
        <f t="shared" si="1"/>
        <v>0</v>
      </c>
      <c r="H45" s="748">
        <f>G45+'2'!H45</f>
        <v>0</v>
      </c>
      <c r="I45" s="748"/>
      <c r="J45" s="175">
        <f>H45/DAY(B2)</f>
        <v>0</v>
      </c>
    </row>
    <row r="46" spans="1:12" ht="26.25">
      <c r="A46" s="746" t="s">
        <v>172</v>
      </c>
      <c r="B46" s="747"/>
      <c r="C46" s="747"/>
      <c r="D46" s="748" t="s">
        <v>130</v>
      </c>
      <c r="E46" s="748">
        <f>'2'!F46</f>
        <v>0</v>
      </c>
      <c r="F46" s="807">
        <v>0</v>
      </c>
      <c r="G46" s="749">
        <f t="shared" si="1"/>
        <v>0</v>
      </c>
      <c r="H46" s="748">
        <f>G46+'2'!H46</f>
        <v>0</v>
      </c>
      <c r="I46" s="748"/>
      <c r="J46" s="175">
        <f>H46/DAY(B2)</f>
        <v>0</v>
      </c>
    </row>
    <row r="47" spans="1:12" ht="26.25">
      <c r="A47" s="761" t="s">
        <v>173</v>
      </c>
      <c r="B47" s="762"/>
      <c r="C47" s="762"/>
      <c r="D47" s="739"/>
      <c r="E47" s="739"/>
      <c r="F47" s="739"/>
      <c r="G47" s="763">
        <f>G35+G36+G37+G38+G39+G40+G41+G42+G43+G44+G45+G46</f>
        <v>8847.0100000000384</v>
      </c>
      <c r="H47" s="748">
        <f>G47+'2'!H47</f>
        <v>24749.23000000001</v>
      </c>
      <c r="I47" s="748"/>
      <c r="J47" s="175">
        <f>H47/DAY(B2)</f>
        <v>8249.7433333333374</v>
      </c>
    </row>
    <row r="48" spans="1:12" ht="26.25">
      <c r="A48" s="805" t="s">
        <v>174</v>
      </c>
      <c r="B48" s="806"/>
      <c r="C48" s="806"/>
      <c r="D48" s="744"/>
      <c r="E48" s="743"/>
      <c r="F48" s="743"/>
      <c r="G48" s="744"/>
      <c r="H48" s="744"/>
      <c r="I48" s="744"/>
      <c r="J48" s="642"/>
    </row>
    <row r="49" spans="1:12" ht="26.25">
      <c r="A49" s="746" t="s">
        <v>161</v>
      </c>
      <c r="B49" s="810"/>
      <c r="C49" s="810"/>
      <c r="D49" s="748" t="s">
        <v>130</v>
      </c>
      <c r="E49" s="748">
        <f>'2'!F49</f>
        <v>727433.1</v>
      </c>
      <c r="F49" s="807">
        <v>731133.67</v>
      </c>
      <c r="G49" s="749">
        <f t="shared" ref="G49:G58" si="2">F49-E49</f>
        <v>3700.5700000000652</v>
      </c>
      <c r="H49" s="748">
        <f>G49+'2'!H49</f>
        <v>10846.670000000042</v>
      </c>
      <c r="I49" s="748"/>
      <c r="J49" s="175">
        <f>H49/DAY(B2)</f>
        <v>3615.5566666666805</v>
      </c>
      <c r="K49" s="725">
        <v>735096.71</v>
      </c>
    </row>
    <row r="50" spans="1:12" ht="26.25">
      <c r="A50" s="746" t="s">
        <v>175</v>
      </c>
      <c r="B50" s="810"/>
      <c r="C50" s="810"/>
      <c r="D50" s="748" t="s">
        <v>130</v>
      </c>
      <c r="E50" s="748">
        <f>'2'!F50</f>
        <v>368865.4</v>
      </c>
      <c r="F50" s="807">
        <v>370301.83</v>
      </c>
      <c r="G50" s="749">
        <f t="shared" si="2"/>
        <v>1436.429999999993</v>
      </c>
      <c r="H50" s="748">
        <f>G50+'2'!H50</f>
        <v>4530.8300000000163</v>
      </c>
      <c r="I50" s="748"/>
      <c r="J50" s="175">
        <f>H50/DAY(B2)</f>
        <v>1510.2766666666721</v>
      </c>
      <c r="K50" s="725">
        <v>371716.83</v>
      </c>
    </row>
    <row r="51" spans="1:12" ht="26.25">
      <c r="A51" s="746" t="s">
        <v>163</v>
      </c>
      <c r="B51" s="810"/>
      <c r="C51" s="810"/>
      <c r="D51" s="748" t="s">
        <v>130</v>
      </c>
      <c r="E51" s="748">
        <f>'2'!F51</f>
        <v>73753.039999999994</v>
      </c>
      <c r="F51" s="807">
        <v>74770.5</v>
      </c>
      <c r="G51" s="749">
        <f t="shared" si="2"/>
        <v>1017.4600000000064</v>
      </c>
      <c r="H51" s="748">
        <f>G51+'2'!H51</f>
        <v>3043.5</v>
      </c>
      <c r="I51" s="748"/>
      <c r="J51" s="175">
        <f>H51/DAY(B2)</f>
        <v>1014.5</v>
      </c>
      <c r="K51" s="725">
        <v>75795.42</v>
      </c>
    </row>
    <row r="52" spans="1:12" ht="26.25">
      <c r="A52" s="746" t="s">
        <v>176</v>
      </c>
      <c r="B52" s="810"/>
      <c r="C52" s="810"/>
      <c r="D52" s="748" t="s">
        <v>130</v>
      </c>
      <c r="E52" s="748">
        <f>'2'!F52</f>
        <v>9.76</v>
      </c>
      <c r="F52" s="807">
        <v>9.76</v>
      </c>
      <c r="G52" s="749">
        <f t="shared" si="2"/>
        <v>0</v>
      </c>
      <c r="H52" s="748">
        <f>G52+'2'!H52</f>
        <v>-0.24000000000000021</v>
      </c>
      <c r="I52" s="748"/>
      <c r="J52" s="175">
        <f>H52/DAY(B2)</f>
        <v>-8.0000000000000071E-2</v>
      </c>
    </row>
    <row r="53" spans="1:12" ht="26.25">
      <c r="A53" s="746" t="s">
        <v>165</v>
      </c>
      <c r="B53" s="810"/>
      <c r="C53" s="810"/>
      <c r="D53" s="748" t="s">
        <v>130</v>
      </c>
      <c r="E53" s="748">
        <f>'2'!F53</f>
        <v>302563</v>
      </c>
      <c r="F53" s="807">
        <v>306726.90000000002</v>
      </c>
      <c r="G53" s="749">
        <f t="shared" si="2"/>
        <v>4163.9000000000233</v>
      </c>
      <c r="H53" s="748">
        <f>G53+'2'!H53</f>
        <v>12625.900000000023</v>
      </c>
      <c r="I53" s="748"/>
      <c r="J53" s="175">
        <f>H53/DAY(B2)</f>
        <v>4208.6333333333414</v>
      </c>
      <c r="K53" s="725">
        <v>310779.75</v>
      </c>
    </row>
    <row r="54" spans="1:12" ht="26.25">
      <c r="A54" s="746" t="s">
        <v>177</v>
      </c>
      <c r="B54" s="810"/>
      <c r="C54" s="810"/>
      <c r="D54" s="748" t="s">
        <v>130</v>
      </c>
      <c r="E54" s="748">
        <f>'2'!F54</f>
        <v>101764.92</v>
      </c>
      <c r="F54" s="807">
        <v>101935.49</v>
      </c>
      <c r="G54" s="749">
        <f t="shared" si="2"/>
        <v>170.57000000000698</v>
      </c>
      <c r="H54" s="748">
        <f>G54+'2'!H54</f>
        <v>548.49000000000524</v>
      </c>
      <c r="I54" s="748"/>
      <c r="J54" s="175">
        <f>H54/DAY(B2)</f>
        <v>182.83000000000175</v>
      </c>
      <c r="K54" s="725">
        <v>102105.88</v>
      </c>
    </row>
    <row r="55" spans="1:12" ht="26.25">
      <c r="A55" s="746" t="s">
        <v>178</v>
      </c>
      <c r="B55" s="810"/>
      <c r="C55" s="810"/>
      <c r="D55" s="748" t="s">
        <v>130</v>
      </c>
      <c r="E55" s="748">
        <f>'2'!F55</f>
        <v>499506.6</v>
      </c>
      <c r="F55" s="807">
        <v>499506.67</v>
      </c>
      <c r="G55" s="749">
        <f t="shared" si="2"/>
        <v>7.0000000006984919E-2</v>
      </c>
      <c r="H55" s="748">
        <f>G55+'2'!H55</f>
        <v>5023.6699999999837</v>
      </c>
      <c r="I55" s="748"/>
      <c r="J55" s="175">
        <f>H55/DAY(B2)</f>
        <v>1674.5566666666612</v>
      </c>
      <c r="K55" s="725">
        <v>501349.95</v>
      </c>
    </row>
    <row r="56" spans="1:12" ht="26.25">
      <c r="A56" s="746" t="s">
        <v>179</v>
      </c>
      <c r="B56" s="810"/>
      <c r="C56" s="810"/>
      <c r="D56" s="748" t="s">
        <v>180</v>
      </c>
      <c r="E56" s="748">
        <f>'2'!F56</f>
        <v>149719.01999999999</v>
      </c>
      <c r="F56" s="807">
        <v>151179.51</v>
      </c>
      <c r="G56" s="749">
        <f t="shared" si="2"/>
        <v>1460.4900000000198</v>
      </c>
      <c r="H56" s="748">
        <f>G56+'2'!H56</f>
        <v>1460.5100000000093</v>
      </c>
      <c r="I56" s="748"/>
      <c r="J56" s="175">
        <f>H56/DAY(B2)</f>
        <v>486.83666666666977</v>
      </c>
      <c r="K56" s="725">
        <v>151179.5</v>
      </c>
    </row>
    <row r="57" spans="1:12" ht="26.25">
      <c r="A57" s="746" t="s">
        <v>169</v>
      </c>
      <c r="B57" s="810"/>
      <c r="C57" s="810"/>
      <c r="D57" s="748" t="s">
        <v>130</v>
      </c>
      <c r="E57" s="748">
        <f>'2'!F57</f>
        <v>415034.7</v>
      </c>
      <c r="F57" s="807">
        <v>418112.71</v>
      </c>
      <c r="G57" s="749">
        <f t="shared" si="2"/>
        <v>3078.0100000000093</v>
      </c>
      <c r="H57" s="748">
        <f>G57+'2'!H57</f>
        <v>9034.710000000021</v>
      </c>
      <c r="I57" s="748"/>
      <c r="J57" s="175">
        <f>H57/DAY(B2)</f>
        <v>3011.570000000007</v>
      </c>
      <c r="K57" s="725">
        <v>421146.03</v>
      </c>
    </row>
    <row r="58" spans="1:12" ht="26.25">
      <c r="A58" s="746" t="s">
        <v>181</v>
      </c>
      <c r="B58" s="810"/>
      <c r="C58" s="810"/>
      <c r="D58" s="748" t="s">
        <v>130</v>
      </c>
      <c r="E58" s="748">
        <f>'2'!F58</f>
        <v>64655.03</v>
      </c>
      <c r="F58" s="807">
        <v>64905.79</v>
      </c>
      <c r="G58" s="749">
        <f t="shared" si="2"/>
        <v>250.76000000000204</v>
      </c>
      <c r="H58" s="748">
        <f>G58+'2'!H58</f>
        <v>754.79000000000087</v>
      </c>
      <c r="I58" s="748"/>
      <c r="J58" s="175">
        <f>H58/DAY(B2)</f>
        <v>251.59666666666695</v>
      </c>
      <c r="K58" s="725">
        <v>65162.42</v>
      </c>
    </row>
    <row r="59" spans="1:12" ht="26.25">
      <c r="A59" s="761" t="s">
        <v>173</v>
      </c>
      <c r="B59" s="762"/>
      <c r="C59" s="762"/>
      <c r="D59" s="739"/>
      <c r="E59" s="739"/>
      <c r="F59" s="739"/>
      <c r="G59" s="763">
        <f>G49+G50+G51+G52+G53+G54+G55+G56+G57+G58</f>
        <v>15278.260000000133</v>
      </c>
      <c r="H59" s="748">
        <f>G59+'2'!H59</f>
        <v>47868.830000000104</v>
      </c>
      <c r="I59" s="748">
        <f>G7-G60</f>
        <v>-823.27000000017142</v>
      </c>
      <c r="J59" s="175">
        <f>H59/DAY(B2)</f>
        <v>15956.276666666701</v>
      </c>
    </row>
    <row r="60" spans="1:12" ht="26.25">
      <c r="A60" s="746"/>
      <c r="B60" s="747"/>
      <c r="C60" s="747"/>
      <c r="D60" s="739" t="s">
        <v>182</v>
      </c>
      <c r="E60" s="739"/>
      <c r="F60" s="739"/>
      <c r="G60" s="763">
        <f>G47+G59</f>
        <v>24125.270000000171</v>
      </c>
      <c r="H60" s="748">
        <f>G60+'2'!H60</f>
        <v>72618.060000000114</v>
      </c>
      <c r="I60" s="748">
        <f>G13-G60</f>
        <v>-349.67000000007829</v>
      </c>
      <c r="J60" s="175">
        <f>H60/DAY(B2)</f>
        <v>24206.020000000037</v>
      </c>
    </row>
    <row r="61" spans="1:12" s="814" customFormat="1" ht="26.25">
      <c r="A61" s="1208" t="s">
        <v>332</v>
      </c>
      <c r="B61" s="1209"/>
      <c r="C61" s="1210"/>
      <c r="D61" s="811"/>
      <c r="E61" s="811"/>
      <c r="F61" s="811"/>
      <c r="G61" s="812"/>
      <c r="H61" s="811"/>
      <c r="I61" s="811"/>
      <c r="J61" s="662"/>
      <c r="K61" s="725"/>
      <c r="L61" s="725"/>
    </row>
    <row r="62" spans="1:12" ht="25.5">
      <c r="A62" s="1174" t="s">
        <v>198</v>
      </c>
      <c r="B62" s="1175"/>
      <c r="C62" s="1176"/>
      <c r="D62" s="748" t="s">
        <v>142</v>
      </c>
      <c r="E62" s="748">
        <f>'2'!F62</f>
        <v>302257</v>
      </c>
      <c r="F62" s="828">
        <v>302343</v>
      </c>
      <c r="G62" s="749">
        <f>F62-E62</f>
        <v>86</v>
      </c>
      <c r="H62" s="748">
        <f>G62+'2'!H62</f>
        <v>278</v>
      </c>
      <c r="I62" s="760"/>
      <c r="J62" s="175">
        <f>H62/DAY(B2)</f>
        <v>92.666666666666671</v>
      </c>
      <c r="K62" s="725">
        <v>302418</v>
      </c>
    </row>
    <row r="63" spans="1:12" ht="25.5">
      <c r="A63" s="1174" t="s">
        <v>199</v>
      </c>
      <c r="B63" s="1175"/>
      <c r="C63" s="1176"/>
      <c r="D63" s="748" t="s">
        <v>142</v>
      </c>
      <c r="E63" s="748">
        <f>'2'!F63</f>
        <v>245139</v>
      </c>
      <c r="F63" s="815">
        <v>245139</v>
      </c>
      <c r="G63" s="749">
        <f>F63-E63</f>
        <v>0</v>
      </c>
      <c r="H63" s="748">
        <f>G63+'2'!H63</f>
        <v>0</v>
      </c>
      <c r="I63" s="760"/>
      <c r="J63" s="175">
        <f>H63/DAY(B2)</f>
        <v>0</v>
      </c>
      <c r="K63" s="725">
        <v>245139</v>
      </c>
    </row>
    <row r="64" spans="1:12" ht="26.25">
      <c r="A64" s="1183" t="s">
        <v>200</v>
      </c>
      <c r="B64" s="1184"/>
      <c r="C64" s="1185"/>
      <c r="D64" s="748"/>
      <c r="E64" s="748">
        <f>'2'!F64</f>
        <v>0</v>
      </c>
      <c r="F64" s="815"/>
      <c r="G64" s="749">
        <f>G62+G63</f>
        <v>86</v>
      </c>
      <c r="H64" s="748">
        <f>G64+'2'!H64</f>
        <v>278</v>
      </c>
      <c r="I64" s="760"/>
      <c r="J64" s="175">
        <f>H64/DAY(B2)</f>
        <v>92.666666666666671</v>
      </c>
    </row>
    <row r="65" spans="1:12" ht="25.5">
      <c r="A65" s="1174" t="s">
        <v>201</v>
      </c>
      <c r="B65" s="1175"/>
      <c r="C65" s="1176"/>
      <c r="D65" s="748" t="s">
        <v>142</v>
      </c>
      <c r="E65" s="748">
        <f>'2'!F65</f>
        <v>461030</v>
      </c>
      <c r="F65" s="815">
        <v>461138</v>
      </c>
      <c r="G65" s="749">
        <f t="shared" ref="G65:G70" si="3">F65-E65</f>
        <v>108</v>
      </c>
      <c r="H65" s="748">
        <f>G65+'2'!H65</f>
        <v>314</v>
      </c>
      <c r="I65" s="760"/>
      <c r="J65" s="175">
        <f>H65/DAY(B2)</f>
        <v>104.66666666666667</v>
      </c>
      <c r="K65" s="725">
        <v>461227</v>
      </c>
    </row>
    <row r="66" spans="1:12" ht="25.5">
      <c r="A66" s="765" t="s">
        <v>202</v>
      </c>
      <c r="B66" s="816"/>
      <c r="C66" s="816"/>
      <c r="D66" s="748" t="s">
        <v>142</v>
      </c>
      <c r="E66" s="748">
        <f>'2'!F66</f>
        <v>112626</v>
      </c>
      <c r="F66" s="815">
        <v>112630</v>
      </c>
      <c r="G66" s="749">
        <f t="shared" si="3"/>
        <v>4</v>
      </c>
      <c r="H66" s="748">
        <f>G66+'2'!H66</f>
        <v>25</v>
      </c>
      <c r="I66" s="760"/>
      <c r="J66" s="175">
        <f>H66/DAY(B2)</f>
        <v>8.3333333333333339</v>
      </c>
      <c r="K66" s="725">
        <v>112638</v>
      </c>
    </row>
    <row r="67" spans="1:12" ht="25.5">
      <c r="A67" s="765" t="s">
        <v>203</v>
      </c>
      <c r="B67" s="816"/>
      <c r="C67" s="816"/>
      <c r="D67" s="748" t="s">
        <v>142</v>
      </c>
      <c r="E67" s="748">
        <f>'2'!F67</f>
        <v>114775</v>
      </c>
      <c r="F67" s="906">
        <v>114790</v>
      </c>
      <c r="G67" s="749">
        <f t="shared" si="3"/>
        <v>15</v>
      </c>
      <c r="H67" s="748">
        <f>G67+'2'!H67</f>
        <v>82</v>
      </c>
      <c r="I67" s="760"/>
      <c r="J67" s="175">
        <f>H67/DAY(B2)</f>
        <v>27.333333333333332</v>
      </c>
      <c r="K67" s="725">
        <v>114807</v>
      </c>
    </row>
    <row r="68" spans="1:12" ht="25.5">
      <c r="A68" s="765" t="s">
        <v>204</v>
      </c>
      <c r="B68" s="816"/>
      <c r="C68" s="816"/>
      <c r="D68" s="748" t="s">
        <v>142</v>
      </c>
      <c r="E68" s="748">
        <f>'2'!F68</f>
        <v>166622</v>
      </c>
      <c r="F68" s="815">
        <v>166646</v>
      </c>
      <c r="G68" s="749">
        <f t="shared" si="3"/>
        <v>24</v>
      </c>
      <c r="H68" s="748">
        <f>G68+'2'!H68</f>
        <v>65</v>
      </c>
      <c r="I68" s="760"/>
      <c r="J68" s="175">
        <f>H68/DAY(B2)</f>
        <v>21.666666666666668</v>
      </c>
      <c r="K68" s="725">
        <v>166684</v>
      </c>
    </row>
    <row r="69" spans="1:12" ht="25.5">
      <c r="A69" s="765" t="s">
        <v>205</v>
      </c>
      <c r="B69" s="816"/>
      <c r="C69" s="816"/>
      <c r="D69" s="748" t="s">
        <v>142</v>
      </c>
      <c r="E69" s="748">
        <f>'2'!F69</f>
        <v>12573</v>
      </c>
      <c r="F69" s="815">
        <v>12574</v>
      </c>
      <c r="G69" s="749">
        <f t="shared" si="3"/>
        <v>1</v>
      </c>
      <c r="H69" s="748">
        <f>G69+'2'!H69</f>
        <v>10</v>
      </c>
      <c r="I69" s="760"/>
      <c r="J69" s="175">
        <f>H69/DAY(B2)</f>
        <v>3.3333333333333335</v>
      </c>
      <c r="K69" s="725">
        <v>12577</v>
      </c>
    </row>
    <row r="70" spans="1:12" ht="25.5">
      <c r="A70" s="765" t="s">
        <v>206</v>
      </c>
      <c r="B70" s="816"/>
      <c r="C70" s="816"/>
      <c r="D70" s="748" t="s">
        <v>142</v>
      </c>
      <c r="E70" s="748">
        <f>'2'!F70</f>
        <v>10355</v>
      </c>
      <c r="F70" s="906">
        <v>10368</v>
      </c>
      <c r="G70" s="749">
        <f t="shared" si="3"/>
        <v>13</v>
      </c>
      <c r="H70" s="748">
        <f>G70+'2'!H70</f>
        <v>35</v>
      </c>
      <c r="I70" s="760"/>
      <c r="J70" s="175">
        <f>H70/DAY(B2)</f>
        <v>11.666666666666666</v>
      </c>
      <c r="K70" s="725">
        <v>10376</v>
      </c>
    </row>
    <row r="71" spans="1:12" ht="26.25">
      <c r="A71" s="1183" t="s">
        <v>208</v>
      </c>
      <c r="B71" s="1184"/>
      <c r="C71" s="1185"/>
      <c r="D71" s="113"/>
      <c r="E71" s="113"/>
      <c r="F71" s="113"/>
      <c r="G71" s="818">
        <f>SUM(G65:G70)</f>
        <v>165</v>
      </c>
      <c r="H71" s="748">
        <f>G71+'2'!H71</f>
        <v>531</v>
      </c>
      <c r="I71" s="819"/>
      <c r="J71" s="175">
        <f>H71/DAY(B2)</f>
        <v>177</v>
      </c>
    </row>
    <row r="72" spans="1:12" s="782" customFormat="1" ht="25.5">
      <c r="A72" s="1170"/>
      <c r="B72" s="1155"/>
      <c r="C72" s="820"/>
      <c r="D72" s="821"/>
      <c r="E72" s="821" t="s">
        <v>207</v>
      </c>
      <c r="F72" s="821"/>
      <c r="G72" s="821"/>
      <c r="H72" s="822"/>
      <c r="I72" s="821"/>
      <c r="J72" s="182"/>
      <c r="K72" s="725"/>
      <c r="L72" s="725"/>
    </row>
    <row r="73" spans="1:12" ht="26.25">
      <c r="A73" s="1180" t="s">
        <v>333</v>
      </c>
      <c r="B73" s="1181"/>
      <c r="C73" s="1182"/>
      <c r="D73" s="811"/>
      <c r="E73" s="811"/>
      <c r="F73" s="811"/>
      <c r="G73" s="812"/>
      <c r="H73" s="812"/>
      <c r="I73" s="812"/>
      <c r="J73" s="907"/>
    </row>
    <row r="74" spans="1:12" ht="25.5">
      <c r="A74" s="1174" t="s">
        <v>220</v>
      </c>
      <c r="B74" s="1175"/>
      <c r="C74" s="1176"/>
      <c r="D74" s="748" t="s">
        <v>139</v>
      </c>
      <c r="E74" s="748">
        <f>'2'!F74</f>
        <v>976373.21</v>
      </c>
      <c r="F74" s="759">
        <v>976661.7</v>
      </c>
      <c r="G74" s="749">
        <f>F74-E74</f>
        <v>288.48999999999069</v>
      </c>
      <c r="H74" s="748">
        <f>G74+'2'!H74</f>
        <v>850.69999999995343</v>
      </c>
      <c r="I74" s="819"/>
      <c r="J74" s="175">
        <f>H74/DAY(B2)</f>
        <v>283.56666666665114</v>
      </c>
      <c r="K74" s="725">
        <v>976942.88</v>
      </c>
    </row>
    <row r="75" spans="1:12" ht="25.5">
      <c r="A75" s="1174" t="s">
        <v>221</v>
      </c>
      <c r="B75" s="1175"/>
      <c r="C75" s="1176"/>
      <c r="D75" s="748" t="s">
        <v>139</v>
      </c>
      <c r="E75" s="748">
        <f>'2'!F75</f>
        <v>73586.8</v>
      </c>
      <c r="F75" s="771">
        <v>73587</v>
      </c>
      <c r="G75" s="749">
        <f>F75-E75</f>
        <v>0.19999999999708962</v>
      </c>
      <c r="H75" s="748">
        <f>G75+'2'!H75</f>
        <v>1</v>
      </c>
      <c r="I75" s="819"/>
      <c r="J75" s="175">
        <f>H75/DAY(B2)</f>
        <v>0.33333333333333331</v>
      </c>
      <c r="K75" s="725">
        <v>73586</v>
      </c>
    </row>
    <row r="76" spans="1:12" ht="25.5">
      <c r="A76" s="1171" t="s">
        <v>222</v>
      </c>
      <c r="B76" s="1172"/>
      <c r="C76" s="1173"/>
      <c r="D76" s="748" t="s">
        <v>139</v>
      </c>
      <c r="E76" s="748">
        <f>'2'!F76</f>
        <v>196964</v>
      </c>
      <c r="F76" s="771">
        <v>197067</v>
      </c>
      <c r="G76" s="749">
        <f>F76-E76</f>
        <v>103</v>
      </c>
      <c r="H76" s="748">
        <f>G76+'2'!H76</f>
        <v>331</v>
      </c>
      <c r="I76" s="819"/>
      <c r="J76" s="175">
        <f>H76/DAY(B2)</f>
        <v>110.33333333333333</v>
      </c>
      <c r="K76" s="725">
        <v>197067.7</v>
      </c>
    </row>
    <row r="77" spans="1:12" ht="25.5">
      <c r="A77" s="1171" t="s">
        <v>223</v>
      </c>
      <c r="B77" s="1172"/>
      <c r="C77" s="1173"/>
      <c r="D77" s="748" t="s">
        <v>139</v>
      </c>
      <c r="E77" s="748">
        <f>'2'!F77</f>
        <v>53426</v>
      </c>
      <c r="F77" s="771">
        <v>53462</v>
      </c>
      <c r="G77" s="749">
        <f>F77-E77</f>
        <v>36</v>
      </c>
      <c r="H77" s="748">
        <f>G77+'2'!H77</f>
        <v>110</v>
      </c>
      <c r="I77" s="819"/>
      <c r="J77" s="175">
        <f>H77/DAY(B2)</f>
        <v>36.666666666666664</v>
      </c>
      <c r="K77" s="725">
        <v>53462</v>
      </c>
    </row>
    <row r="78" spans="1:12" ht="25.5">
      <c r="A78" s="1171" t="s">
        <v>224</v>
      </c>
      <c r="B78" s="1172"/>
      <c r="C78" s="1173"/>
      <c r="D78" s="748" t="s">
        <v>139</v>
      </c>
      <c r="E78" s="748">
        <f>'2'!F78</f>
        <v>9563</v>
      </c>
      <c r="F78" s="771">
        <v>9563</v>
      </c>
      <c r="G78" s="749">
        <f>F78-E78</f>
        <v>0</v>
      </c>
      <c r="H78" s="748">
        <f>G78+'2'!H78</f>
        <v>-0.3999999999996362</v>
      </c>
      <c r="I78" s="760"/>
      <c r="J78" s="175">
        <f>H78/DAY(B2)</f>
        <v>-0.13333333333321207</v>
      </c>
      <c r="K78" s="725">
        <v>9563</v>
      </c>
    </row>
    <row r="79" spans="1:12" s="732" customFormat="1" ht="25.5">
      <c r="A79" s="1171" t="s">
        <v>225</v>
      </c>
      <c r="B79" s="1172"/>
      <c r="C79" s="1173"/>
      <c r="D79" s="748"/>
      <c r="E79" s="748">
        <f>'2'!F79</f>
        <v>0</v>
      </c>
      <c r="F79" s="759"/>
      <c r="G79" s="749">
        <f>G15-SUM(G74:G78)</f>
        <v>553.31000000001222</v>
      </c>
      <c r="H79" s="748">
        <f>G79+'2'!H79</f>
        <v>1700.7000000000462</v>
      </c>
      <c r="I79" s="760"/>
      <c r="J79" s="175"/>
      <c r="K79" s="725"/>
      <c r="L79" s="725"/>
    </row>
    <row r="80" spans="1:12" s="732" customFormat="1" ht="26.25">
      <c r="A80" s="1183" t="s">
        <v>329</v>
      </c>
      <c r="B80" s="1184"/>
      <c r="C80" s="1185"/>
      <c r="D80" s="748"/>
      <c r="E80" s="759"/>
      <c r="F80" s="759"/>
      <c r="G80" s="749">
        <f>SUM(G74:G79)</f>
        <v>981</v>
      </c>
      <c r="H80" s="748">
        <f>G80+'2'!H80</f>
        <v>2026</v>
      </c>
      <c r="I80" s="760"/>
      <c r="J80" s="175"/>
      <c r="K80" s="725"/>
      <c r="L80" s="725"/>
    </row>
    <row r="81" spans="1:11" ht="25.5">
      <c r="A81" s="1188" t="s">
        <v>226</v>
      </c>
      <c r="B81" s="1189"/>
      <c r="C81" s="1190"/>
      <c r="D81" s="743"/>
      <c r="E81" s="743"/>
      <c r="F81" s="743"/>
      <c r="G81" s="825"/>
      <c r="H81" s="825"/>
      <c r="I81" s="825"/>
      <c r="J81" s="184"/>
    </row>
    <row r="82" spans="1:11" ht="26.25">
      <c r="A82" s="765" t="s">
        <v>227</v>
      </c>
      <c r="B82" s="816"/>
      <c r="C82" s="816"/>
      <c r="D82" s="748" t="s">
        <v>228</v>
      </c>
      <c r="E82" s="748">
        <f>'2'!F82</f>
        <v>0</v>
      </c>
      <c r="F82" s="815">
        <v>0</v>
      </c>
      <c r="G82" s="749">
        <f t="shared" ref="G82:G92" si="4">F82-E82</f>
        <v>0</v>
      </c>
      <c r="H82" s="748">
        <f>G82+'2'!H82</f>
        <v>0</v>
      </c>
      <c r="I82" s="827"/>
      <c r="J82" s="175">
        <f>H82/DAY(B2)</f>
        <v>0</v>
      </c>
    </row>
    <row r="83" spans="1:11" ht="26.25">
      <c r="A83" s="765" t="s">
        <v>229</v>
      </c>
      <c r="B83" s="816"/>
      <c r="C83" s="816"/>
      <c r="D83" s="748" t="s">
        <v>228</v>
      </c>
      <c r="E83" s="748">
        <f>'2'!F83</f>
        <v>0</v>
      </c>
      <c r="F83" s="815">
        <v>0</v>
      </c>
      <c r="G83" s="749">
        <f t="shared" si="4"/>
        <v>0</v>
      </c>
      <c r="H83" s="748">
        <f>G83+'2'!H83</f>
        <v>0</v>
      </c>
      <c r="I83" s="827"/>
      <c r="J83" s="175">
        <f>H83/DAY(B2)</f>
        <v>0</v>
      </c>
    </row>
    <row r="84" spans="1:11" ht="26.25">
      <c r="A84" s="765" t="s">
        <v>230</v>
      </c>
      <c r="B84" s="816"/>
      <c r="C84" s="816"/>
      <c r="D84" s="748" t="s">
        <v>228</v>
      </c>
      <c r="E84" s="748">
        <f>'2'!F84</f>
        <v>43366.18</v>
      </c>
      <c r="F84" s="828">
        <v>43366</v>
      </c>
      <c r="G84" s="749">
        <f t="shared" si="4"/>
        <v>-0.18000000000029104</v>
      </c>
      <c r="H84" s="748">
        <f>G84+'2'!H84</f>
        <v>-0.80000000000291038</v>
      </c>
      <c r="I84" s="827"/>
      <c r="J84" s="175">
        <f>H84/DAY(B2)</f>
        <v>-0.26666666666763678</v>
      </c>
      <c r="K84" s="725">
        <v>43366.18</v>
      </c>
    </row>
    <row r="85" spans="1:11" ht="26.25">
      <c r="A85" s="765" t="s">
        <v>231</v>
      </c>
      <c r="B85" s="816"/>
      <c r="C85" s="816"/>
      <c r="D85" s="748" t="s">
        <v>228</v>
      </c>
      <c r="E85" s="748">
        <f>'2'!F85</f>
        <v>5513</v>
      </c>
      <c r="F85" s="828">
        <v>5537.11</v>
      </c>
      <c r="G85" s="749">
        <f t="shared" si="4"/>
        <v>24.109999999999673</v>
      </c>
      <c r="H85" s="748">
        <f>G85+'2'!H85</f>
        <v>61.109999999999673</v>
      </c>
      <c r="I85" s="827"/>
      <c r="J85" s="175">
        <f>H85/DAY(B2)</f>
        <v>20.369999999999891</v>
      </c>
      <c r="K85" s="725">
        <v>5561</v>
      </c>
    </row>
    <row r="86" spans="1:11" ht="26.25">
      <c r="A86" s="765" t="s">
        <v>232</v>
      </c>
      <c r="B86" s="816"/>
      <c r="C86" s="816"/>
      <c r="D86" s="748" t="s">
        <v>228</v>
      </c>
      <c r="E86" s="748">
        <f>'2'!F86</f>
        <v>46307.3</v>
      </c>
      <c r="F86" s="828">
        <v>46307</v>
      </c>
      <c r="G86" s="749">
        <f t="shared" si="4"/>
        <v>-0.30000000000291038</v>
      </c>
      <c r="H86" s="748">
        <f>G86+'2'!H86</f>
        <v>35.580000000001746</v>
      </c>
      <c r="I86" s="827"/>
      <c r="J86" s="175">
        <f>H86/DAY(B2)</f>
        <v>11.860000000000582</v>
      </c>
      <c r="K86" s="725">
        <v>46320.4</v>
      </c>
    </row>
    <row r="87" spans="1:11" ht="26.25">
      <c r="A87" s="765" t="s">
        <v>233</v>
      </c>
      <c r="B87" s="816"/>
      <c r="C87" s="816"/>
      <c r="D87" s="748" t="s">
        <v>228</v>
      </c>
      <c r="E87" s="748">
        <f>'2'!F87</f>
        <v>35644.1</v>
      </c>
      <c r="F87" s="828">
        <v>35644.1</v>
      </c>
      <c r="G87" s="749">
        <f t="shared" si="4"/>
        <v>0</v>
      </c>
      <c r="H87" s="748">
        <f>G87+'2'!H87</f>
        <v>9.9999999998544808E-2</v>
      </c>
      <c r="I87" s="827">
        <f>G84+G85+G86+G87</f>
        <v>23.629999999996471</v>
      </c>
      <c r="J87" s="175">
        <f>H87/DAY(B2)</f>
        <v>3.3333333332848269E-2</v>
      </c>
      <c r="K87" s="725">
        <v>35644</v>
      </c>
    </row>
    <row r="88" spans="1:11" ht="26.25">
      <c r="A88" s="765" t="s">
        <v>234</v>
      </c>
      <c r="B88" s="816"/>
      <c r="C88" s="816"/>
      <c r="D88" s="748" t="s">
        <v>228</v>
      </c>
      <c r="E88" s="748">
        <f>'2'!F88</f>
        <v>24440</v>
      </c>
      <c r="F88" s="828">
        <v>24440.560000000001</v>
      </c>
      <c r="G88" s="749">
        <f t="shared" si="4"/>
        <v>0.56000000000130967</v>
      </c>
      <c r="H88" s="748">
        <f>G88+'2'!H88</f>
        <v>16.600000000002183</v>
      </c>
      <c r="I88" s="827"/>
      <c r="J88" s="175">
        <f>H88/DAY(B2)</f>
        <v>5.5333333333340606</v>
      </c>
      <c r="K88" s="725">
        <v>24440.560000000001</v>
      </c>
    </row>
    <row r="89" spans="1:11" ht="26.25">
      <c r="A89" s="765" t="s">
        <v>235</v>
      </c>
      <c r="B89" s="816"/>
      <c r="C89" s="816"/>
      <c r="D89" s="748" t="s">
        <v>228</v>
      </c>
      <c r="E89" s="748">
        <f>'2'!F89</f>
        <v>27992.3</v>
      </c>
      <c r="F89" s="828">
        <v>28001.74</v>
      </c>
      <c r="G89" s="749">
        <f t="shared" si="4"/>
        <v>9.4400000000023283</v>
      </c>
      <c r="H89" s="748">
        <f>G89+'2'!H89</f>
        <v>13.740000000001601</v>
      </c>
      <c r="I89" s="827">
        <f>G88+G89</f>
        <v>10.000000000003638</v>
      </c>
      <c r="J89" s="175">
        <f>H89/DAY(B2)</f>
        <v>4.5800000000005339</v>
      </c>
      <c r="K89" s="725">
        <v>28011.200000000001</v>
      </c>
    </row>
    <row r="90" spans="1:11" ht="26.25">
      <c r="A90" s="765" t="s">
        <v>236</v>
      </c>
      <c r="B90" s="816"/>
      <c r="C90" s="816"/>
      <c r="D90" s="748" t="s">
        <v>228</v>
      </c>
      <c r="E90" s="748">
        <f>'2'!F90</f>
        <v>73265.25</v>
      </c>
      <c r="F90" s="828">
        <v>73276.600000000006</v>
      </c>
      <c r="G90" s="749">
        <f t="shared" si="4"/>
        <v>11.350000000005821</v>
      </c>
      <c r="H90" s="748">
        <f>G90+'2'!H90</f>
        <v>32.860000000000582</v>
      </c>
      <c r="I90" s="827">
        <f>G90</f>
        <v>11.350000000005821</v>
      </c>
      <c r="J90" s="175">
        <f>H90/DAY(B2)</f>
        <v>10.953333333333527</v>
      </c>
      <c r="K90" s="725">
        <v>73287</v>
      </c>
    </row>
    <row r="91" spans="1:11" ht="26.25">
      <c r="A91" s="765" t="s">
        <v>237</v>
      </c>
      <c r="B91" s="816"/>
      <c r="C91" s="816"/>
      <c r="D91" s="748" t="s">
        <v>228</v>
      </c>
      <c r="E91" s="748">
        <f>'2'!F91</f>
        <v>4700.1400000000003</v>
      </c>
      <c r="F91" s="828">
        <v>4711.2299999999996</v>
      </c>
      <c r="G91" s="749">
        <f t="shared" si="4"/>
        <v>11.089999999999236</v>
      </c>
      <c r="H91" s="748">
        <f>G91+'2'!H91</f>
        <v>32.799999999999272</v>
      </c>
      <c r="I91" s="829"/>
      <c r="J91" s="175">
        <f>H91/DAY(B2)</f>
        <v>10.93333333333309</v>
      </c>
    </row>
    <row r="92" spans="1:11" ht="26.25">
      <c r="A92" s="765" t="s">
        <v>238</v>
      </c>
      <c r="B92" s="816"/>
      <c r="C92" s="816"/>
      <c r="D92" s="748" t="s">
        <v>228</v>
      </c>
      <c r="E92" s="748">
        <f>'2'!F92</f>
        <v>7000</v>
      </c>
      <c r="F92" s="815">
        <v>7000</v>
      </c>
      <c r="G92" s="749">
        <f t="shared" si="4"/>
        <v>0</v>
      </c>
      <c r="H92" s="748">
        <f>G92+'2'!H92</f>
        <v>0</v>
      </c>
      <c r="I92" s="829">
        <f>G91+G92</f>
        <v>11.089999999999236</v>
      </c>
      <c r="J92" s="175">
        <f>H92/DAY(B2)</f>
        <v>0</v>
      </c>
    </row>
    <row r="93" spans="1:11" ht="26.25">
      <c r="A93" s="1177" t="s">
        <v>239</v>
      </c>
      <c r="B93" s="1178"/>
      <c r="C93" s="1179"/>
      <c r="D93" s="744"/>
      <c r="E93" s="744"/>
      <c r="F93" s="744"/>
      <c r="G93" s="764"/>
      <c r="H93" s="764"/>
      <c r="I93" s="764"/>
      <c r="J93" s="908"/>
    </row>
    <row r="94" spans="1:11" ht="25.5">
      <c r="A94" s="1174" t="s">
        <v>240</v>
      </c>
      <c r="B94" s="1175"/>
      <c r="C94" s="1176"/>
      <c r="D94" s="748" t="s">
        <v>130</v>
      </c>
      <c r="E94" s="748"/>
      <c r="F94" s="748"/>
      <c r="G94" s="748">
        <f>G35+G43+G49+G57</f>
        <v>6778.5800000000745</v>
      </c>
      <c r="H94" s="748">
        <f>G94+'2'!H94</f>
        <v>19881.380000000063</v>
      </c>
      <c r="I94" s="760"/>
      <c r="J94" s="175">
        <f>H94/DAY(B2)</f>
        <v>6627.1266666666879</v>
      </c>
    </row>
    <row r="95" spans="1:11" ht="25.5">
      <c r="A95" s="1174" t="s">
        <v>241</v>
      </c>
      <c r="B95" s="1175"/>
      <c r="C95" s="1176"/>
      <c r="D95" s="748" t="s">
        <v>23</v>
      </c>
      <c r="E95" s="739"/>
      <c r="F95" s="739"/>
      <c r="G95" s="831">
        <f>G94/G7</f>
        <v>0.29090121019655285</v>
      </c>
      <c r="H95" s="748">
        <f>G95+'2'!H95</f>
        <v>0.80847112645504504</v>
      </c>
      <c r="I95" s="832"/>
      <c r="J95" s="175">
        <f>H95/DAY(B2)</f>
        <v>0.26949037548501503</v>
      </c>
    </row>
    <row r="96" spans="1:11" ht="25.5">
      <c r="A96" s="1174" t="s">
        <v>242</v>
      </c>
      <c r="B96" s="1175"/>
      <c r="C96" s="1176"/>
      <c r="D96" s="748" t="s">
        <v>130</v>
      </c>
      <c r="E96" s="748"/>
      <c r="F96" s="748"/>
      <c r="G96" s="748">
        <f>G41+G42+G55+G56</f>
        <v>6605.8800000000338</v>
      </c>
      <c r="H96" s="748">
        <f>G96+'2'!H96</f>
        <v>19872.679999999993</v>
      </c>
      <c r="I96" s="760"/>
      <c r="J96" s="175">
        <f>H96/DAY(B2)</f>
        <v>6624.2266666666646</v>
      </c>
    </row>
    <row r="97" spans="1:11" ht="25.5">
      <c r="A97" s="1174" t="s">
        <v>243</v>
      </c>
      <c r="B97" s="1175"/>
      <c r="C97" s="1176"/>
      <c r="D97" s="748" t="s">
        <v>23</v>
      </c>
      <c r="E97" s="748"/>
      <c r="F97" s="748"/>
      <c r="G97" s="831">
        <f>G96/G7</f>
        <v>0.28348982919921184</v>
      </c>
      <c r="H97" s="748">
        <f>G97+'2'!H97</f>
        <v>0.80753786206380185</v>
      </c>
      <c r="I97" s="832"/>
      <c r="J97" s="175">
        <f>H97/DAY(B2)</f>
        <v>0.26917928735460062</v>
      </c>
    </row>
    <row r="98" spans="1:11" ht="25.5">
      <c r="A98" s="1174" t="s">
        <v>244</v>
      </c>
      <c r="B98" s="1175"/>
      <c r="C98" s="1176"/>
      <c r="D98" s="748" t="s">
        <v>130</v>
      </c>
      <c r="E98" s="748"/>
      <c r="F98" s="748"/>
      <c r="G98" s="748">
        <f>G39+G53</f>
        <v>4163.9000000000233</v>
      </c>
      <c r="H98" s="748">
        <f>G98+'2'!H98</f>
        <v>12625.900000000023</v>
      </c>
      <c r="I98" s="833"/>
      <c r="J98" s="175">
        <f>H98/DAY(B2)</f>
        <v>4208.6333333333414</v>
      </c>
    </row>
    <row r="99" spans="1:11" ht="25.5">
      <c r="A99" s="1174" t="s">
        <v>245</v>
      </c>
      <c r="B99" s="1175"/>
      <c r="C99" s="1176"/>
      <c r="D99" s="748" t="s">
        <v>23</v>
      </c>
      <c r="E99" s="748"/>
      <c r="F99" s="748"/>
      <c r="G99" s="831">
        <f>G98/G7</f>
        <v>0.17869281606729137</v>
      </c>
      <c r="H99" s="748">
        <f>G99+'2'!H99</f>
        <v>0.51294783265759003</v>
      </c>
      <c r="I99" s="833"/>
      <c r="J99" s="175">
        <f>H99/DAY(B2)</f>
        <v>0.17098261088586333</v>
      </c>
    </row>
    <row r="100" spans="1:11" ht="25.5">
      <c r="A100" s="1174" t="s">
        <v>246</v>
      </c>
      <c r="B100" s="1175"/>
      <c r="C100" s="1176"/>
      <c r="D100" s="748" t="s">
        <v>180</v>
      </c>
      <c r="E100" s="748"/>
      <c r="F100" s="748"/>
      <c r="G100" s="748">
        <f>G38+G52</f>
        <v>2275.4400000000605</v>
      </c>
      <c r="H100" s="748">
        <f>G100+'2'!H100</f>
        <v>6705.9100000000235</v>
      </c>
      <c r="I100" s="760"/>
      <c r="J100" s="175">
        <f>H100/DAY(B2)</f>
        <v>2235.303333333341</v>
      </c>
    </row>
    <row r="101" spans="1:11" ht="25.5">
      <c r="A101" s="1174" t="s">
        <v>247</v>
      </c>
      <c r="B101" s="1175"/>
      <c r="C101" s="1176"/>
      <c r="D101" s="748" t="s">
        <v>23</v>
      </c>
      <c r="E101" s="748"/>
      <c r="F101" s="748"/>
      <c r="G101" s="831">
        <f>G100/G7</f>
        <v>9.7649987125571214E-2</v>
      </c>
      <c r="H101" s="748">
        <f>G101+'2'!H101</f>
        <v>0.2726567022464419</v>
      </c>
      <c r="I101" s="833"/>
      <c r="J101" s="175">
        <f>H101/DAY(B2)</f>
        <v>9.0885567415480636E-2</v>
      </c>
    </row>
    <row r="102" spans="1:11" ht="25.5">
      <c r="A102" s="1174" t="s">
        <v>248</v>
      </c>
      <c r="B102" s="1175"/>
      <c r="C102" s="1176"/>
      <c r="D102" s="748" t="s">
        <v>180</v>
      </c>
      <c r="E102" s="748"/>
      <c r="F102" s="748"/>
      <c r="G102" s="748">
        <f>G36+G50</f>
        <v>2101.2199999999721</v>
      </c>
      <c r="H102" s="748">
        <f>G102+'2'!H102</f>
        <v>6853.8300000000163</v>
      </c>
      <c r="I102" s="833"/>
      <c r="J102" s="175">
        <f>H102/DAY(B2)</f>
        <v>2284.6100000000056</v>
      </c>
    </row>
    <row r="103" spans="1:11" ht="25.5">
      <c r="A103" s="1174" t="s">
        <v>249</v>
      </c>
      <c r="B103" s="1175"/>
      <c r="C103" s="1176"/>
      <c r="D103" s="748" t="s">
        <v>23</v>
      </c>
      <c r="E103" s="748"/>
      <c r="F103" s="748"/>
      <c r="G103" s="831">
        <f>G102/G7</f>
        <v>9.0173375675906442E-2</v>
      </c>
      <c r="H103" s="748">
        <f>G103+'2'!H103</f>
        <v>0.27790484984244318</v>
      </c>
      <c r="I103" s="760"/>
      <c r="J103" s="175">
        <f>H103/DAY(B2)</f>
        <v>9.263494994748106E-2</v>
      </c>
    </row>
    <row r="104" spans="1:11" ht="25.5">
      <c r="A104" s="1174" t="s">
        <v>250</v>
      </c>
      <c r="B104" s="1175"/>
      <c r="C104" s="1176"/>
      <c r="D104" s="748" t="s">
        <v>180</v>
      </c>
      <c r="E104" s="748"/>
      <c r="F104" s="748"/>
      <c r="G104" s="748">
        <f>G37+G51</f>
        <v>1017.4600000000064</v>
      </c>
      <c r="H104" s="748">
        <f>G104+'2'!H104</f>
        <v>3043.5</v>
      </c>
      <c r="I104" s="760"/>
      <c r="J104" s="175">
        <f>H104/DAY(B2)</f>
        <v>1014.5</v>
      </c>
    </row>
    <row r="105" spans="1:11" ht="26.25" thickBot="1">
      <c r="A105" s="1167" t="s">
        <v>251</v>
      </c>
      <c r="B105" s="1168"/>
      <c r="C105" s="1169"/>
      <c r="D105" s="834" t="s">
        <v>23</v>
      </c>
      <c r="E105" s="834"/>
      <c r="F105" s="834"/>
      <c r="G105" s="835">
        <f>G104/G7</f>
        <v>4.3664063170543575E-2</v>
      </c>
      <c r="H105" s="748">
        <f>G105+'2'!H105</f>
        <v>0.12369408371091306</v>
      </c>
      <c r="I105" s="836"/>
      <c r="J105" s="188">
        <f>H105/DAY(B2)</f>
        <v>4.123136123697102E-2</v>
      </c>
    </row>
    <row r="106" spans="1:11" ht="25.5">
      <c r="A106" s="838"/>
      <c r="B106" s="839"/>
      <c r="C106" s="839"/>
      <c r="D106" s="840"/>
      <c r="E106" s="840"/>
      <c r="F106" s="840"/>
      <c r="G106" s="840"/>
      <c r="H106" s="841"/>
      <c r="I106" s="840"/>
      <c r="J106" s="171"/>
    </row>
    <row r="107" spans="1:11" ht="26.25"/>
    <row r="108" spans="1:11" ht="27.75">
      <c r="A108" s="1163" t="s">
        <v>324</v>
      </c>
      <c r="B108" s="1163"/>
      <c r="C108" s="1163"/>
      <c r="D108" s="1163"/>
      <c r="E108" s="1163"/>
      <c r="F108" s="1163"/>
      <c r="G108" s="1163"/>
      <c r="H108" s="1163"/>
      <c r="I108" s="1163"/>
      <c r="J108" s="1163"/>
    </row>
    <row r="109" spans="1:11" ht="26.25">
      <c r="A109" s="1191"/>
      <c r="B109" s="1191"/>
    </row>
    <row r="110" spans="1:11" ht="26.25">
      <c r="A110" s="1164" t="s">
        <v>165</v>
      </c>
      <c r="B110" s="1165"/>
      <c r="C110" s="1165"/>
      <c r="D110" s="1165"/>
      <c r="E110" s="1165"/>
      <c r="F110" s="1165"/>
      <c r="G110" s="1165"/>
      <c r="H110" s="1165"/>
      <c r="I110" s="1165"/>
      <c r="J110" s="1166"/>
    </row>
    <row r="111" spans="1:11" ht="25.5">
      <c r="A111" s="1157"/>
      <c r="B111" s="1158"/>
      <c r="C111" s="1159"/>
      <c r="D111" s="846"/>
      <c r="E111" s="846"/>
      <c r="F111" s="846"/>
      <c r="G111" s="846"/>
      <c r="H111" s="847"/>
      <c r="I111" s="846"/>
      <c r="J111" s="327"/>
    </row>
    <row r="112" spans="1:11" ht="25.5">
      <c r="A112" s="1153" t="s">
        <v>252</v>
      </c>
      <c r="B112" s="1154"/>
      <c r="C112" s="1155"/>
      <c r="D112" s="739" t="s">
        <v>183</v>
      </c>
      <c r="E112" s="748">
        <f>'2'!F112</f>
        <v>11808</v>
      </c>
      <c r="F112" s="848">
        <v>11880.2</v>
      </c>
      <c r="G112" s="749">
        <f t="shared" ref="G112:G123" si="5">F112-E112</f>
        <v>72.200000000000728</v>
      </c>
      <c r="H112" s="748">
        <f>G112+'2'!H112</f>
        <v>217.20000000000073</v>
      </c>
      <c r="I112" s="846"/>
      <c r="J112" s="328">
        <f>H112/DAY(B2)</f>
        <v>72.400000000000247</v>
      </c>
      <c r="K112" s="725">
        <v>11949</v>
      </c>
    </row>
    <row r="113" spans="1:15" ht="29.25" customHeight="1">
      <c r="A113" s="1153" t="s">
        <v>253</v>
      </c>
      <c r="B113" s="1154"/>
      <c r="C113" s="1155"/>
      <c r="D113" s="739" t="s">
        <v>183</v>
      </c>
      <c r="E113" s="748">
        <f>'2'!F113</f>
        <v>23798.3</v>
      </c>
      <c r="F113" s="848">
        <v>23936.799999999999</v>
      </c>
      <c r="G113" s="749">
        <f t="shared" si="5"/>
        <v>138.5</v>
      </c>
      <c r="H113" s="748">
        <f>G113+'2'!H113</f>
        <v>415.79999999999927</v>
      </c>
      <c r="I113" s="846"/>
      <c r="J113" s="328">
        <f>H113/DAY(B2)</f>
        <v>138.59999999999977</v>
      </c>
      <c r="K113" s="725">
        <v>24071.599999999999</v>
      </c>
    </row>
    <row r="114" spans="1:15" ht="29.25" customHeight="1">
      <c r="A114" s="1153" t="s">
        <v>254</v>
      </c>
      <c r="B114" s="1154"/>
      <c r="C114" s="1155"/>
      <c r="D114" s="739" t="s">
        <v>183</v>
      </c>
      <c r="E114" s="748">
        <f>'2'!F114</f>
        <v>35216.9</v>
      </c>
      <c r="F114" s="848">
        <v>35442</v>
      </c>
      <c r="G114" s="749">
        <f t="shared" si="5"/>
        <v>225.09999999999854</v>
      </c>
      <c r="H114" s="748">
        <f>G114+'2'!H114</f>
        <v>667</v>
      </c>
      <c r="I114" s="846"/>
      <c r="J114" s="328">
        <f>H114/DAY(B2)</f>
        <v>222.33333333333334</v>
      </c>
      <c r="K114" s="725">
        <v>35665.4</v>
      </c>
    </row>
    <row r="115" spans="1:15" ht="29.25" customHeight="1">
      <c r="A115" s="1153" t="s">
        <v>255</v>
      </c>
      <c r="B115" s="1154"/>
      <c r="C115" s="1155"/>
      <c r="D115" s="739" t="s">
        <v>183</v>
      </c>
      <c r="E115" s="748">
        <f>'2'!F115</f>
        <v>22260.9</v>
      </c>
      <c r="F115" s="848">
        <v>22382.9</v>
      </c>
      <c r="G115" s="749">
        <f t="shared" si="5"/>
        <v>122</v>
      </c>
      <c r="H115" s="748">
        <f>G115+'2'!H115</f>
        <v>329.90000000000146</v>
      </c>
      <c r="I115" s="846"/>
      <c r="J115" s="328">
        <f>H115/DAY(B2)</f>
        <v>109.96666666666715</v>
      </c>
      <c r="K115" s="725">
        <v>42626.1</v>
      </c>
    </row>
    <row r="116" spans="1:15" ht="29.25" customHeight="1">
      <c r="A116" s="1160" t="s">
        <v>96</v>
      </c>
      <c r="B116" s="1161"/>
      <c r="C116" s="1162"/>
      <c r="D116" s="739" t="s">
        <v>183</v>
      </c>
      <c r="E116" s="748">
        <f>'2'!F116</f>
        <v>98082</v>
      </c>
      <c r="F116" s="848">
        <v>98372.3</v>
      </c>
      <c r="G116" s="749">
        <f t="shared" si="5"/>
        <v>290.30000000000291</v>
      </c>
      <c r="H116" s="748">
        <f>G116+'2'!H116</f>
        <v>1237.3000000000029</v>
      </c>
      <c r="I116" s="846"/>
      <c r="J116" s="328">
        <f>H116/DAY(B2)</f>
        <v>412.4333333333343</v>
      </c>
      <c r="K116" s="725">
        <v>98624.9</v>
      </c>
      <c r="N116" s="1153"/>
      <c r="O116" s="1155"/>
    </row>
    <row r="117" spans="1:15" ht="29.25" customHeight="1">
      <c r="A117" s="1160" t="s">
        <v>184</v>
      </c>
      <c r="B117" s="1161"/>
      <c r="C117" s="1162"/>
      <c r="D117" s="739" t="s">
        <v>183</v>
      </c>
      <c r="E117" s="748">
        <f>'2'!F117</f>
        <v>57150</v>
      </c>
      <c r="F117" s="848">
        <v>57512.9</v>
      </c>
      <c r="G117" s="749">
        <f t="shared" si="5"/>
        <v>362.90000000000146</v>
      </c>
      <c r="H117" s="748">
        <f>G117+'2'!H117</f>
        <v>1007.9000000000015</v>
      </c>
      <c r="I117" s="846"/>
      <c r="J117" s="328">
        <f>H117/DAY(B2)</f>
        <v>335.96666666666715</v>
      </c>
      <c r="K117" s="725">
        <v>57851</v>
      </c>
      <c r="N117" s="1153"/>
      <c r="O117" s="1155"/>
    </row>
    <row r="118" spans="1:15" ht="25.5">
      <c r="A118" s="1152" t="s">
        <v>97</v>
      </c>
      <c r="B118" s="1152"/>
      <c r="C118" s="1152"/>
      <c r="D118" s="748" t="s">
        <v>183</v>
      </c>
      <c r="E118" s="748">
        <f>'2'!F118</f>
        <v>102884.5</v>
      </c>
      <c r="F118" s="848">
        <v>103496.9</v>
      </c>
      <c r="G118" s="749">
        <f t="shared" si="5"/>
        <v>612.39999999999418</v>
      </c>
      <c r="H118" s="748">
        <f>G118+'2'!H118</f>
        <v>1742.8999999999942</v>
      </c>
      <c r="I118" s="846"/>
      <c r="J118" s="328">
        <f>H118/DAY(B2)</f>
        <v>580.96666666666476</v>
      </c>
      <c r="K118" s="725">
        <v>104143.4</v>
      </c>
      <c r="N118" s="1153"/>
      <c r="O118" s="1155"/>
    </row>
    <row r="119" spans="1:15" ht="25.5">
      <c r="A119" s="1152" t="s">
        <v>98</v>
      </c>
      <c r="B119" s="1152"/>
      <c r="C119" s="1152"/>
      <c r="D119" s="748" t="s">
        <v>183</v>
      </c>
      <c r="E119" s="748">
        <f>'2'!F119</f>
        <v>42603</v>
      </c>
      <c r="F119" s="848">
        <v>42614.7</v>
      </c>
      <c r="G119" s="749">
        <f t="shared" si="5"/>
        <v>11.69999999999709</v>
      </c>
      <c r="H119" s="748">
        <f>G119+'2'!H119</f>
        <v>33.69999999999709</v>
      </c>
      <c r="I119" s="846"/>
      <c r="J119" s="328">
        <f>H119/DAY(B2)</f>
        <v>11.233333333332363</v>
      </c>
      <c r="K119" s="725">
        <v>42626.1</v>
      </c>
    </row>
    <row r="120" spans="1:15" ht="25.5">
      <c r="A120" s="1152" t="s">
        <v>99</v>
      </c>
      <c r="B120" s="1152"/>
      <c r="C120" s="1152"/>
      <c r="D120" s="748" t="s">
        <v>183</v>
      </c>
      <c r="E120" s="748">
        <f>'2'!F120</f>
        <v>72189.2</v>
      </c>
      <c r="F120" s="848">
        <v>72603.5</v>
      </c>
      <c r="G120" s="749">
        <f t="shared" si="5"/>
        <v>414.30000000000291</v>
      </c>
      <c r="H120" s="748">
        <f>G120+'2'!H120</f>
        <v>1271.5</v>
      </c>
      <c r="I120" s="846"/>
      <c r="J120" s="328">
        <f>H120/DAY(B2)</f>
        <v>423.83333333333331</v>
      </c>
      <c r="K120" s="725">
        <v>72992.800000000003</v>
      </c>
    </row>
    <row r="121" spans="1:15" ht="25.5">
      <c r="A121" s="1152" t="s">
        <v>100</v>
      </c>
      <c r="B121" s="1152"/>
      <c r="C121" s="1152"/>
      <c r="D121" s="748" t="s">
        <v>183</v>
      </c>
      <c r="E121" s="748">
        <f>'2'!F121</f>
        <v>82286.2</v>
      </c>
      <c r="F121" s="848">
        <v>82747</v>
      </c>
      <c r="G121" s="749">
        <f t="shared" si="5"/>
        <v>460.80000000000291</v>
      </c>
      <c r="H121" s="748">
        <f>G121+'2'!H121</f>
        <v>1391</v>
      </c>
      <c r="I121" s="846"/>
      <c r="J121" s="328">
        <f>H121/DAY(B2)</f>
        <v>463.66666666666669</v>
      </c>
      <c r="K121" s="725">
        <v>83188.600000000006</v>
      </c>
    </row>
    <row r="122" spans="1:15" ht="25.5">
      <c r="A122" s="1152" t="s">
        <v>101</v>
      </c>
      <c r="B122" s="1152"/>
      <c r="C122" s="1152"/>
      <c r="D122" s="748" t="s">
        <v>183</v>
      </c>
      <c r="E122" s="748">
        <f>'2'!F122</f>
        <v>49852.1</v>
      </c>
      <c r="F122" s="848">
        <v>50223.3</v>
      </c>
      <c r="G122" s="749">
        <f t="shared" si="5"/>
        <v>371.20000000000437</v>
      </c>
      <c r="H122" s="748">
        <f>G122+'2'!H122</f>
        <v>1092.3000000000029</v>
      </c>
      <c r="I122" s="846"/>
      <c r="J122" s="328">
        <f>H122/DAY(B2)</f>
        <v>364.10000000000099</v>
      </c>
      <c r="K122" s="725">
        <v>50605.5</v>
      </c>
    </row>
    <row r="123" spans="1:15" ht="25.5">
      <c r="A123" s="1152" t="s">
        <v>102</v>
      </c>
      <c r="B123" s="1152"/>
      <c r="C123" s="1152"/>
      <c r="D123" s="748" t="s">
        <v>183</v>
      </c>
      <c r="E123" s="748">
        <f>'2'!F123</f>
        <v>50383</v>
      </c>
      <c r="F123" s="850">
        <v>50696</v>
      </c>
      <c r="G123" s="749">
        <f t="shared" si="5"/>
        <v>313</v>
      </c>
      <c r="H123" s="748">
        <f>G123+'2'!H123</f>
        <v>947</v>
      </c>
      <c r="I123" s="846"/>
      <c r="J123" s="328">
        <f>H123/DAY(B2)</f>
        <v>315.66666666666669</v>
      </c>
      <c r="K123" s="725">
        <v>50996.7</v>
      </c>
    </row>
    <row r="124" spans="1:15" ht="29.25" customHeight="1">
      <c r="A124" s="1157"/>
      <c r="B124" s="1158"/>
      <c r="C124" s="1159"/>
      <c r="D124" s="846"/>
      <c r="E124" s="846"/>
      <c r="F124" s="846"/>
      <c r="G124" s="846"/>
      <c r="H124" s="847"/>
      <c r="I124" s="846"/>
      <c r="J124" s="327"/>
    </row>
    <row r="125" spans="1:15" ht="26.25">
      <c r="A125" s="1183" t="s">
        <v>196</v>
      </c>
      <c r="B125" s="1184"/>
      <c r="C125" s="1185"/>
      <c r="D125" s="853"/>
      <c r="E125" s="854"/>
      <c r="F125" s="854"/>
      <c r="G125" s="855">
        <f>SUM(G112:G124)</f>
        <v>3394.4000000000051</v>
      </c>
      <c r="H125" s="847"/>
      <c r="I125" s="846">
        <f>G125-(G39+G53)</f>
        <v>-769.50000000001819</v>
      </c>
      <c r="J125" s="327"/>
    </row>
    <row r="126" spans="1:15" ht="25.5">
      <c r="A126" s="1156" t="s">
        <v>317</v>
      </c>
      <c r="B126" s="1156"/>
      <c r="C126" s="1156"/>
      <c r="D126" s="1156"/>
      <c r="E126" s="1156"/>
      <c r="F126" s="1156"/>
      <c r="G126" s="1156"/>
      <c r="H126" s="1156"/>
      <c r="I126" s="1156"/>
      <c r="J126" s="1156"/>
    </row>
    <row r="127" spans="1:15" ht="25.5">
      <c r="A127" s="1140"/>
      <c r="B127" s="1140"/>
      <c r="C127" s="852"/>
      <c r="D127" s="853"/>
      <c r="E127" s="748"/>
      <c r="F127" s="854"/>
      <c r="G127" s="855"/>
      <c r="H127" s="748">
        <f>G127+'2'!H127</f>
        <v>0</v>
      </c>
      <c r="I127" s="846"/>
      <c r="J127" s="328">
        <f>H127/DAY(B2)</f>
        <v>0</v>
      </c>
    </row>
    <row r="128" spans="1:15" ht="29.25" customHeight="1">
      <c r="A128" s="1153" t="s">
        <v>318</v>
      </c>
      <c r="B128" s="1154"/>
      <c r="C128" s="1155"/>
      <c r="D128" s="748" t="s">
        <v>183</v>
      </c>
      <c r="E128" s="748">
        <f>'2'!F128</f>
        <v>155685.67000000001</v>
      </c>
      <c r="F128" s="846">
        <v>156144.65</v>
      </c>
      <c r="G128" s="749">
        <f t="shared" ref="G128:G134" si="6">F128-E128</f>
        <v>458.97999999998137</v>
      </c>
      <c r="H128" s="748">
        <f>G128+'2'!H128</f>
        <v>1329.6499999999942</v>
      </c>
      <c r="I128" s="846"/>
      <c r="J128" s="328">
        <f>H128/DAY(B2)</f>
        <v>443.21666666666471</v>
      </c>
      <c r="K128" s="725">
        <v>156616.35</v>
      </c>
    </row>
    <row r="129" spans="1:12" ht="25.5">
      <c r="A129" s="856" t="s">
        <v>319</v>
      </c>
      <c r="B129" s="857"/>
      <c r="C129" s="858"/>
      <c r="D129" s="748" t="s">
        <v>183</v>
      </c>
      <c r="E129" s="748">
        <f>'2'!F129</f>
        <v>84244.75</v>
      </c>
      <c r="F129" s="846">
        <v>84402.23</v>
      </c>
      <c r="G129" s="749">
        <f t="shared" si="6"/>
        <v>157.47999999999593</v>
      </c>
      <c r="H129" s="748">
        <f>G129+'2'!H129</f>
        <v>466.22999999999593</v>
      </c>
      <c r="I129" s="846"/>
      <c r="J129" s="328">
        <f>H129/DAY(B2)</f>
        <v>155.40999999999863</v>
      </c>
      <c r="K129" s="859">
        <v>84595.93</v>
      </c>
      <c r="L129" s="860"/>
    </row>
    <row r="130" spans="1:12" ht="25.5">
      <c r="A130" s="856" t="s">
        <v>320</v>
      </c>
      <c r="B130" s="857"/>
      <c r="C130" s="858"/>
      <c r="D130" s="748" t="s">
        <v>183</v>
      </c>
      <c r="E130" s="748">
        <f>'2'!F130</f>
        <v>208030.77</v>
      </c>
      <c r="F130" s="846">
        <v>208667.75</v>
      </c>
      <c r="G130" s="749">
        <f t="shared" si="6"/>
        <v>636.98000000001048</v>
      </c>
      <c r="H130" s="748">
        <f>G130+'2'!H130</f>
        <v>1908.75</v>
      </c>
      <c r="I130" s="846"/>
      <c r="J130" s="328">
        <f>H130/DAY(B2)</f>
        <v>636.25</v>
      </c>
      <c r="K130" s="859">
        <v>209426.73</v>
      </c>
      <c r="L130" s="860"/>
    </row>
    <row r="131" spans="1:12" ht="25.5">
      <c r="A131" s="1153" t="s">
        <v>321</v>
      </c>
      <c r="B131" s="1154"/>
      <c r="C131" s="1155"/>
      <c r="D131" s="748" t="s">
        <v>183</v>
      </c>
      <c r="E131" s="748">
        <f>'2'!F131</f>
        <v>60638.3</v>
      </c>
      <c r="F131" s="846">
        <v>60861.9</v>
      </c>
      <c r="G131" s="749">
        <f t="shared" si="6"/>
        <v>223.59999999999854</v>
      </c>
      <c r="H131" s="748">
        <f>G131+'2'!H131</f>
        <v>553.90000000000146</v>
      </c>
      <c r="I131" s="846"/>
      <c r="J131" s="328">
        <f>H131/DAY(B2)</f>
        <v>184.63333333333381</v>
      </c>
      <c r="K131" s="859">
        <v>61092.27</v>
      </c>
      <c r="L131" s="860"/>
    </row>
    <row r="132" spans="1:12" ht="25.5">
      <c r="A132" s="1153" t="s">
        <v>322</v>
      </c>
      <c r="B132" s="1154"/>
      <c r="C132" s="1155"/>
      <c r="D132" s="748" t="s">
        <v>183</v>
      </c>
      <c r="E132" s="748">
        <f>'2'!F132</f>
        <v>146985</v>
      </c>
      <c r="F132" s="862">
        <v>146985</v>
      </c>
      <c r="G132" s="749">
        <f t="shared" si="6"/>
        <v>0</v>
      </c>
      <c r="H132" s="748">
        <f>G132+'2'!H132</f>
        <v>0</v>
      </c>
      <c r="I132" s="846"/>
      <c r="J132" s="328">
        <f>H132/DAY(B2)</f>
        <v>0</v>
      </c>
      <c r="K132" s="725">
        <v>146985</v>
      </c>
    </row>
    <row r="133" spans="1:12" ht="25.5">
      <c r="A133" s="1153" t="s">
        <v>342</v>
      </c>
      <c r="B133" s="1154"/>
      <c r="C133" s="1155"/>
      <c r="D133" s="748" t="s">
        <v>183</v>
      </c>
      <c r="E133" s="748">
        <f>'2'!F133</f>
        <v>267631.5</v>
      </c>
      <c r="F133" s="846">
        <v>268457.77</v>
      </c>
      <c r="G133" s="749">
        <f t="shared" si="6"/>
        <v>826.27000000001863</v>
      </c>
      <c r="H133" s="748">
        <f>G133+'2'!H133</f>
        <v>2512.7700000000186</v>
      </c>
      <c r="I133" s="846"/>
      <c r="J133" s="328">
        <f>H133/DAY(B2)</f>
        <v>837.59000000000617</v>
      </c>
      <c r="K133" s="725">
        <v>269324.84999999998</v>
      </c>
    </row>
    <row r="134" spans="1:12" ht="25.5">
      <c r="A134" s="1215" t="s">
        <v>340</v>
      </c>
      <c r="B134" s="1216"/>
      <c r="C134" s="1138"/>
      <c r="D134" s="748" t="s">
        <v>183</v>
      </c>
      <c r="E134" s="748">
        <f>'2'!F134</f>
        <v>64173.123</v>
      </c>
      <c r="F134" s="846">
        <v>64427.72</v>
      </c>
      <c r="G134" s="749">
        <f t="shared" si="6"/>
        <v>254.59700000000157</v>
      </c>
      <c r="H134" s="748">
        <f>G134+'2'!H134</f>
        <v>765.72000000000116</v>
      </c>
      <c r="I134" s="846"/>
      <c r="J134" s="328">
        <f>H134/DAY(B2)</f>
        <v>255.24000000000038</v>
      </c>
      <c r="K134" s="725">
        <v>64679.78</v>
      </c>
    </row>
    <row r="135" spans="1:12" ht="26.25">
      <c r="A135" s="1183" t="s">
        <v>196</v>
      </c>
      <c r="B135" s="1184"/>
      <c r="C135" s="1185"/>
      <c r="D135" s="748"/>
      <c r="E135" s="748"/>
      <c r="F135" s="846"/>
      <c r="G135" s="749">
        <f>SUM(G128:G134)</f>
        <v>2557.9070000000065</v>
      </c>
      <c r="H135" s="748">
        <f>G135+'2'!H135</f>
        <v>7537.0200000000114</v>
      </c>
      <c r="I135" s="846">
        <f>G135-(G35+G49)</f>
        <v>-1142.6630000000587</v>
      </c>
      <c r="J135" s="328">
        <f>H135/DAY(B2)</f>
        <v>2512.3400000000038</v>
      </c>
    </row>
    <row r="136" spans="1:12" ht="27.75">
      <c r="A136" s="1139" t="s">
        <v>325</v>
      </c>
      <c r="B136" s="1139"/>
      <c r="C136" s="1139"/>
      <c r="D136" s="1139"/>
      <c r="E136" s="1139"/>
      <c r="F136" s="1139"/>
      <c r="G136" s="1139"/>
      <c r="H136" s="1139"/>
      <c r="I136" s="1139"/>
      <c r="J136" s="1139"/>
    </row>
    <row r="137" spans="1:12" ht="26.25">
      <c r="A137" s="852"/>
      <c r="B137" s="863"/>
      <c r="C137" s="863"/>
      <c r="D137" s="846"/>
      <c r="E137" s="846"/>
      <c r="F137" s="846"/>
      <c r="G137" s="846"/>
      <c r="H137" s="847"/>
      <c r="I137" s="846"/>
      <c r="J137" s="327"/>
    </row>
    <row r="138" spans="1:12" ht="25.5">
      <c r="A138" s="1152" t="s">
        <v>185</v>
      </c>
      <c r="B138" s="1152"/>
      <c r="C138" s="1152"/>
      <c r="D138" s="748" t="s">
        <v>183</v>
      </c>
      <c r="E138" s="748">
        <f>'2'!F138</f>
        <v>898468</v>
      </c>
      <c r="F138" s="864">
        <v>898638.31</v>
      </c>
      <c r="G138" s="749">
        <f t="shared" ref="G138:G152" si="7">F138-E138</f>
        <v>170.31000000005588</v>
      </c>
      <c r="H138" s="748">
        <f>G138+'2'!H138</f>
        <v>433.31000000005588</v>
      </c>
      <c r="I138" s="760"/>
      <c r="J138" s="328">
        <f>H138/DAY(B2)</f>
        <v>144.43666666668528</v>
      </c>
      <c r="K138" s="725">
        <v>898773</v>
      </c>
    </row>
    <row r="139" spans="1:12" ht="25.5">
      <c r="A139" s="1152" t="s">
        <v>186</v>
      </c>
      <c r="B139" s="1152"/>
      <c r="C139" s="1152"/>
      <c r="D139" s="748" t="s">
        <v>183</v>
      </c>
      <c r="E139" s="748">
        <f>'2'!F139</f>
        <v>918468</v>
      </c>
      <c r="F139" s="865">
        <v>918648.31</v>
      </c>
      <c r="G139" s="749">
        <f t="shared" si="7"/>
        <v>180.31000000005588</v>
      </c>
      <c r="H139" s="748">
        <f>G139+'2'!H139</f>
        <v>444.31000000005588</v>
      </c>
      <c r="I139" s="760"/>
      <c r="J139" s="328">
        <f>H139/DAY(B2)</f>
        <v>148.10333333335197</v>
      </c>
      <c r="K139" s="725">
        <v>918816</v>
      </c>
    </row>
    <row r="140" spans="1:12" ht="25.5">
      <c r="A140" s="1152" t="s">
        <v>187</v>
      </c>
      <c r="B140" s="1152"/>
      <c r="C140" s="1152"/>
      <c r="D140" s="748" t="s">
        <v>183</v>
      </c>
      <c r="E140" s="748">
        <f>'2'!F140</f>
        <v>2364.1999999999998</v>
      </c>
      <c r="F140" s="866">
        <v>2375.6</v>
      </c>
      <c r="G140" s="749">
        <f t="shared" si="7"/>
        <v>11.400000000000091</v>
      </c>
      <c r="H140" s="748">
        <f>G140+'2'!H140</f>
        <v>32.599999999999909</v>
      </c>
      <c r="I140" s="760"/>
      <c r="J140" s="328">
        <f>H140/DAY(B2)</f>
        <v>10.866666666666637</v>
      </c>
      <c r="K140" s="725">
        <v>2387.1</v>
      </c>
    </row>
    <row r="141" spans="1:12" ht="25.5">
      <c r="A141" s="1131" t="s">
        <v>188</v>
      </c>
      <c r="B141" s="1131"/>
      <c r="C141" s="1131"/>
      <c r="D141" s="748" t="s">
        <v>183</v>
      </c>
      <c r="E141" s="748">
        <f>'2'!F141</f>
        <v>104223.9</v>
      </c>
      <c r="F141" s="866">
        <v>104453.8</v>
      </c>
      <c r="G141" s="749">
        <f t="shared" si="7"/>
        <v>229.90000000000873</v>
      </c>
      <c r="H141" s="748">
        <f>G141+'2'!H141</f>
        <v>679.80000000000291</v>
      </c>
      <c r="I141" s="760"/>
      <c r="J141" s="328">
        <f>H141/DAY(B2)</f>
        <v>226.60000000000096</v>
      </c>
      <c r="K141" s="725">
        <v>104662.5</v>
      </c>
    </row>
    <row r="142" spans="1:12" ht="25.5">
      <c r="A142" s="1131" t="s">
        <v>189</v>
      </c>
      <c r="B142" s="1131"/>
      <c r="C142" s="1131"/>
      <c r="D142" s="748" t="s">
        <v>183</v>
      </c>
      <c r="E142" s="748">
        <f>'2'!F142</f>
        <v>42005.599999999999</v>
      </c>
      <c r="F142" s="865">
        <v>42095.8</v>
      </c>
      <c r="G142" s="749">
        <f t="shared" si="7"/>
        <v>90.200000000004366</v>
      </c>
      <c r="H142" s="748">
        <f>G142+'2'!H142</f>
        <v>280.80000000000291</v>
      </c>
      <c r="I142" s="795"/>
      <c r="J142" s="328">
        <f>H142/DAY(B2)</f>
        <v>93.600000000000975</v>
      </c>
      <c r="K142" s="725">
        <v>42183.6</v>
      </c>
    </row>
    <row r="143" spans="1:12" ht="25.5">
      <c r="A143" s="1152" t="s">
        <v>91</v>
      </c>
      <c r="B143" s="1152"/>
      <c r="C143" s="1152"/>
      <c r="D143" s="748" t="s">
        <v>183</v>
      </c>
      <c r="E143" s="748">
        <f>'2'!F143</f>
        <v>10717.83</v>
      </c>
      <c r="F143" s="866">
        <v>10748.7</v>
      </c>
      <c r="G143" s="749">
        <f t="shared" si="7"/>
        <v>30.8700000000008</v>
      </c>
      <c r="H143" s="748">
        <f>G143+'2'!H143</f>
        <v>71.700000000000728</v>
      </c>
      <c r="I143" s="795"/>
      <c r="J143" s="328">
        <f>H143/DAY(B2)</f>
        <v>23.900000000000244</v>
      </c>
      <c r="K143" s="725">
        <v>10719.2</v>
      </c>
    </row>
    <row r="144" spans="1:12" ht="25.5">
      <c r="A144" s="1131" t="s">
        <v>90</v>
      </c>
      <c r="B144" s="1131"/>
      <c r="C144" s="1131"/>
      <c r="D144" s="748" t="s">
        <v>183</v>
      </c>
      <c r="E144" s="748">
        <f>'2'!F144</f>
        <v>934011</v>
      </c>
      <c r="F144" s="866">
        <v>934224</v>
      </c>
      <c r="G144" s="749">
        <f t="shared" si="7"/>
        <v>213</v>
      </c>
      <c r="H144" s="748">
        <f>G144+'2'!H144</f>
        <v>703</v>
      </c>
      <c r="I144" s="795"/>
      <c r="J144" s="328">
        <f>H144/DAY(B2)</f>
        <v>234.33333333333334</v>
      </c>
      <c r="K144" s="725">
        <v>934224</v>
      </c>
    </row>
    <row r="145" spans="1:10" ht="25.5">
      <c r="A145" s="1152" t="s">
        <v>190</v>
      </c>
      <c r="B145" s="1152"/>
      <c r="C145" s="1152"/>
      <c r="D145" s="113" t="s">
        <v>183</v>
      </c>
      <c r="E145" s="748">
        <f>'2'!F145</f>
        <v>13574.9</v>
      </c>
      <c r="F145" s="866">
        <v>13822</v>
      </c>
      <c r="G145" s="749">
        <f t="shared" si="7"/>
        <v>247.10000000000036</v>
      </c>
      <c r="H145" s="748">
        <f>G145+'2'!H145</f>
        <v>682</v>
      </c>
      <c r="I145" s="795"/>
      <c r="J145" s="328">
        <f>H145/DAY(B2)</f>
        <v>227.33333333333334</v>
      </c>
    </row>
    <row r="146" spans="1:10" ht="25.5">
      <c r="A146" s="1187" t="s">
        <v>191</v>
      </c>
      <c r="B146" s="1172"/>
      <c r="C146" s="1173"/>
      <c r="D146" s="113" t="s">
        <v>183</v>
      </c>
      <c r="E146" s="748">
        <f>'2'!F146</f>
        <v>784452</v>
      </c>
      <c r="F146" s="864">
        <v>784505</v>
      </c>
      <c r="G146" s="749">
        <f t="shared" si="7"/>
        <v>53</v>
      </c>
      <c r="H146" s="748">
        <f>G146+'2'!H146</f>
        <v>166</v>
      </c>
      <c r="I146" s="795"/>
      <c r="J146" s="328">
        <f>H146/DAY(B2)</f>
        <v>55.333333333333336</v>
      </c>
    </row>
    <row r="147" spans="1:10" ht="25.5">
      <c r="A147" s="1131" t="s">
        <v>192</v>
      </c>
      <c r="B147" s="1131"/>
      <c r="C147" s="1131"/>
      <c r="D147" s="113" t="s">
        <v>183</v>
      </c>
      <c r="E147" s="748">
        <f>'2'!F147</f>
        <v>724306.48</v>
      </c>
      <c r="F147" s="865">
        <v>724722.64</v>
      </c>
      <c r="G147" s="749">
        <f t="shared" si="7"/>
        <v>416.1600000000326</v>
      </c>
      <c r="H147" s="748">
        <f>G147+'2'!H147</f>
        <v>1200.640000000014</v>
      </c>
      <c r="I147" s="795"/>
      <c r="J147" s="328">
        <f>H147/DAY(B2)</f>
        <v>400.21333333333797</v>
      </c>
    </row>
    <row r="148" spans="1:10" ht="25.5">
      <c r="A148" s="1132" t="s">
        <v>193</v>
      </c>
      <c r="B148" s="1133"/>
      <c r="C148" s="1134"/>
      <c r="D148" s="771" t="s">
        <v>130</v>
      </c>
      <c r="E148" s="748">
        <f>'2'!F148</f>
        <v>767209.04</v>
      </c>
      <c r="F148" s="906">
        <v>767466.48</v>
      </c>
      <c r="G148" s="749">
        <f t="shared" si="7"/>
        <v>257.43999999994412</v>
      </c>
      <c r="H148" s="748">
        <f>G148+'2'!H148</f>
        <v>856.47999999998137</v>
      </c>
      <c r="I148" s="113"/>
      <c r="J148" s="328">
        <f>H148/DAY(B2)</f>
        <v>285.49333333332714</v>
      </c>
    </row>
    <row r="149" spans="1:10" ht="25.5">
      <c r="A149" s="1211" t="s">
        <v>336</v>
      </c>
      <c r="B149" s="1212"/>
      <c r="C149" s="1213"/>
      <c r="D149" s="740" t="s">
        <v>130</v>
      </c>
      <c r="E149" s="748">
        <f>'2'!F149</f>
        <v>158848.9</v>
      </c>
      <c r="F149" s="739">
        <v>159269.47</v>
      </c>
      <c r="G149" s="749">
        <f t="shared" si="7"/>
        <v>420.57000000000698</v>
      </c>
      <c r="H149" s="748">
        <f>G149+'2'!H149</f>
        <v>1302.4700000000012</v>
      </c>
      <c r="I149" s="763"/>
      <c r="J149" s="328">
        <f>H149/DAY(B2)</f>
        <v>434.15666666666704</v>
      </c>
    </row>
    <row r="150" spans="1:10" ht="25.5">
      <c r="A150" s="1211" t="s">
        <v>337</v>
      </c>
      <c r="B150" s="1212"/>
      <c r="C150" s="1213"/>
      <c r="D150" s="759" t="s">
        <v>130</v>
      </c>
      <c r="E150" s="748">
        <f>'2'!F150</f>
        <v>64436.7</v>
      </c>
      <c r="F150" s="868">
        <v>64656.6</v>
      </c>
      <c r="G150" s="749">
        <f t="shared" si="7"/>
        <v>219.90000000000146</v>
      </c>
      <c r="H150" s="748">
        <f>G150+'2'!H150</f>
        <v>678.59999999999854</v>
      </c>
      <c r="I150" s="763"/>
      <c r="J150" s="328">
        <f>H150/DAY(B2)</f>
        <v>226.19999999999951</v>
      </c>
    </row>
    <row r="151" spans="1:10" ht="29.25" customHeight="1">
      <c r="A151" s="1211" t="s">
        <v>338</v>
      </c>
      <c r="B151" s="1212"/>
      <c r="C151" s="1213"/>
      <c r="D151" s="759" t="s">
        <v>130</v>
      </c>
      <c r="E151" s="748">
        <f>'2'!F151</f>
        <v>149898</v>
      </c>
      <c r="F151" s="868">
        <v>149959</v>
      </c>
      <c r="G151" s="749">
        <f t="shared" si="7"/>
        <v>61</v>
      </c>
      <c r="H151" s="748">
        <f>G151+'2'!H151</f>
        <v>171</v>
      </c>
      <c r="I151" s="763"/>
      <c r="J151" s="328">
        <f>H151/DAY(B2)</f>
        <v>57</v>
      </c>
    </row>
    <row r="152" spans="1:10" ht="29.25" customHeight="1">
      <c r="A152" s="1211" t="s">
        <v>339</v>
      </c>
      <c r="B152" s="1212"/>
      <c r="C152" s="1213"/>
      <c r="D152" s="759" t="s">
        <v>130</v>
      </c>
      <c r="E152" s="748">
        <f>'2'!F152</f>
        <v>30872.12</v>
      </c>
      <c r="F152" s="868">
        <v>31002.1</v>
      </c>
      <c r="G152" s="749">
        <f t="shared" si="7"/>
        <v>129.97999999999956</v>
      </c>
      <c r="H152" s="748">
        <f>G152+'2'!H152</f>
        <v>388.09999999999854</v>
      </c>
      <c r="I152" s="763"/>
      <c r="J152" s="328">
        <f>H152/DAY(B2)</f>
        <v>129.36666666666619</v>
      </c>
    </row>
    <row r="153" spans="1:10" ht="29.25" customHeight="1">
      <c r="A153" s="1183" t="s">
        <v>196</v>
      </c>
      <c r="B153" s="1184"/>
      <c r="C153" s="1185"/>
      <c r="D153" s="909"/>
      <c r="E153" s="910"/>
      <c r="F153" s="911"/>
      <c r="G153" s="912">
        <f>SUM(G138:G152)</f>
        <v>2731.1400000001108</v>
      </c>
      <c r="H153" s="910"/>
      <c r="I153" s="763">
        <f>G153-(G38+G52)</f>
        <v>455.7000000000503</v>
      </c>
      <c r="J153" s="364"/>
    </row>
    <row r="154" spans="1:10" ht="29.25" customHeight="1">
      <c r="A154" s="1139" t="s">
        <v>344</v>
      </c>
      <c r="B154" s="1139"/>
      <c r="C154" s="1139"/>
      <c r="D154" s="1139"/>
      <c r="E154" s="1139"/>
      <c r="F154" s="1139"/>
      <c r="G154" s="1139"/>
      <c r="H154" s="1139"/>
      <c r="I154" s="1139"/>
      <c r="J154" s="1139"/>
    </row>
    <row r="155" spans="1:10" ht="29.25" customHeight="1">
      <c r="A155" s="1131" t="s">
        <v>345</v>
      </c>
      <c r="B155" s="1131"/>
      <c r="C155" s="1131"/>
      <c r="D155" s="759" t="s">
        <v>130</v>
      </c>
      <c r="E155" s="748">
        <f>'2'!F155</f>
        <v>186895</v>
      </c>
      <c r="F155" s="913">
        <v>187449</v>
      </c>
      <c r="G155" s="749">
        <f>F155-E155</f>
        <v>554</v>
      </c>
      <c r="H155" s="748">
        <f>G155+'2'!H155</f>
        <v>1708</v>
      </c>
      <c r="I155" s="877"/>
      <c r="J155" s="328">
        <f>H155/DAY(B2)</f>
        <v>569.33333333333337</v>
      </c>
    </row>
    <row r="156" spans="1:10" ht="29.25" customHeight="1">
      <c r="A156" s="1214" t="s">
        <v>346</v>
      </c>
      <c r="B156" s="1214"/>
      <c r="C156" s="1214"/>
      <c r="D156" s="759" t="s">
        <v>130</v>
      </c>
      <c r="E156" s="748">
        <f>'2'!F156</f>
        <v>20923.400000000001</v>
      </c>
      <c r="F156" s="913">
        <v>21008</v>
      </c>
      <c r="G156" s="749">
        <f>F156-E156</f>
        <v>84.599999999998545</v>
      </c>
      <c r="H156" s="748">
        <f>G156+'2'!H156</f>
        <v>269</v>
      </c>
      <c r="I156" s="846"/>
      <c r="J156" s="328">
        <f>H156/DAY(B2)</f>
        <v>89.666666666666671</v>
      </c>
    </row>
    <row r="157" spans="1:10" ht="29.25" customHeight="1">
      <c r="A157" s="1132" t="s">
        <v>358</v>
      </c>
      <c r="B157" s="1133"/>
      <c r="C157" s="1134"/>
      <c r="D157" s="759" t="s">
        <v>130</v>
      </c>
      <c r="E157" s="748">
        <f>'2'!F157</f>
        <v>36345.599999999999</v>
      </c>
      <c r="F157" s="913">
        <v>36478.400000000001</v>
      </c>
      <c r="G157" s="749">
        <f>F157-E157</f>
        <v>132.80000000000291</v>
      </c>
      <c r="H157" s="748">
        <f>G157+'2'!H157</f>
        <v>354.40000000000146</v>
      </c>
      <c r="I157" s="846"/>
      <c r="J157" s="328"/>
    </row>
    <row r="158" spans="1:10" ht="29.25" customHeight="1">
      <c r="A158" s="1132" t="s">
        <v>359</v>
      </c>
      <c r="B158" s="1133"/>
      <c r="C158" s="1134"/>
      <c r="D158" s="759" t="s">
        <v>130</v>
      </c>
      <c r="E158" s="748">
        <f>'2'!F158</f>
        <v>566.75</v>
      </c>
      <c r="F158" s="913">
        <v>585.25</v>
      </c>
      <c r="G158" s="749">
        <f>F158-E158</f>
        <v>18.5</v>
      </c>
      <c r="H158" s="748">
        <f>G158+'2'!H158</f>
        <v>80.62</v>
      </c>
      <c r="I158" s="846"/>
      <c r="J158" s="328"/>
    </row>
    <row r="159" spans="1:10" ht="29.25" customHeight="1">
      <c r="A159" s="1211"/>
      <c r="B159" s="1212"/>
      <c r="C159" s="1213"/>
      <c r="D159" s="759"/>
      <c r="E159" s="748"/>
      <c r="F159" s="846"/>
      <c r="G159" s="749"/>
      <c r="H159" s="748"/>
      <c r="I159" s="846"/>
      <c r="J159" s="328"/>
    </row>
    <row r="160" spans="1:10" ht="27.75">
      <c r="A160" s="1139" t="s">
        <v>326</v>
      </c>
      <c r="B160" s="1139"/>
      <c r="C160" s="1139"/>
      <c r="D160" s="1139"/>
      <c r="E160" s="1139"/>
      <c r="F160" s="1139"/>
      <c r="G160" s="1139"/>
      <c r="H160" s="1139"/>
      <c r="I160" s="1139"/>
      <c r="J160" s="1139"/>
    </row>
    <row r="161" spans="1:10" ht="26.25">
      <c r="A161" s="878" t="s">
        <v>92</v>
      </c>
      <c r="B161" s="879"/>
      <c r="C161" s="879"/>
      <c r="D161" s="880" t="s">
        <v>180</v>
      </c>
      <c r="E161" s="748">
        <f>'2'!F161</f>
        <v>488945.44</v>
      </c>
      <c r="F161" s="881">
        <v>489236.8</v>
      </c>
      <c r="G161" s="868">
        <f>F161-E161</f>
        <v>291.35999999998603</v>
      </c>
      <c r="H161" s="748">
        <f>G161+'2'!H161</f>
        <v>913.79999999998836</v>
      </c>
      <c r="I161" s="817"/>
      <c r="J161" s="239">
        <f>H161/DAY(B2)</f>
        <v>304.5999999999961</v>
      </c>
    </row>
    <row r="162" spans="1:10" ht="26.25">
      <c r="A162" s="878" t="s">
        <v>93</v>
      </c>
      <c r="B162" s="879"/>
      <c r="C162" s="879"/>
      <c r="D162" s="880" t="s">
        <v>180</v>
      </c>
      <c r="E162" s="748">
        <f>'2'!F162</f>
        <v>97357.5</v>
      </c>
      <c r="F162" s="881">
        <v>97397.2</v>
      </c>
      <c r="G162" s="868">
        <f>F162-E162</f>
        <v>39.69999999999709</v>
      </c>
      <c r="H162" s="748">
        <f>G162+'2'!H162</f>
        <v>109.19999999999709</v>
      </c>
      <c r="I162" s="817"/>
      <c r="J162" s="239">
        <f>H162/DAY(B2)</f>
        <v>36.399999999999032</v>
      </c>
    </row>
    <row r="163" spans="1:10" ht="26.25">
      <c r="A163" s="878" t="s">
        <v>197</v>
      </c>
      <c r="B163" s="879"/>
      <c r="C163" s="879"/>
      <c r="D163" s="880" t="s">
        <v>180</v>
      </c>
      <c r="E163" s="748">
        <f>'2'!F163</f>
        <v>14346.7</v>
      </c>
      <c r="F163" s="881">
        <v>14473.4</v>
      </c>
      <c r="G163" s="868">
        <f>F163-E163</f>
        <v>126.69999999999891</v>
      </c>
      <c r="H163" s="748">
        <f>G163+'2'!H163</f>
        <v>309.39999999999964</v>
      </c>
      <c r="I163" s="817"/>
      <c r="J163" s="239">
        <f>H163/DAY(B2)</f>
        <v>103.13333333333321</v>
      </c>
    </row>
    <row r="164" spans="1:10" ht="26.25">
      <c r="A164" s="878" t="s">
        <v>197</v>
      </c>
      <c r="B164" s="879"/>
      <c r="C164" s="879"/>
      <c r="D164" s="880" t="s">
        <v>180</v>
      </c>
      <c r="E164" s="748">
        <f>'2'!F164</f>
        <v>6626</v>
      </c>
      <c r="F164" s="881">
        <v>6633.7</v>
      </c>
      <c r="G164" s="868">
        <f>F164-E164</f>
        <v>7.6999999999998181</v>
      </c>
      <c r="H164" s="748">
        <f>G164+'2'!H164</f>
        <v>21.699999999999818</v>
      </c>
      <c r="I164" s="817"/>
      <c r="J164" s="239">
        <f>H164/DAY(B2)</f>
        <v>7.233333333333273</v>
      </c>
    </row>
    <row r="165" spans="1:10" ht="26.25">
      <c r="A165" s="878" t="s">
        <v>309</v>
      </c>
      <c r="B165" s="879"/>
      <c r="C165" s="879"/>
      <c r="D165" s="880" t="s">
        <v>180</v>
      </c>
      <c r="E165" s="748">
        <f>'2'!F165</f>
        <v>32154.400000000001</v>
      </c>
      <c r="F165" s="881">
        <v>32163.468000000001</v>
      </c>
      <c r="G165" s="868">
        <f>F165-E165</f>
        <v>9.0679999999993015</v>
      </c>
      <c r="H165" s="748">
        <f>G165+'2'!H165</f>
        <v>22.468000000000757</v>
      </c>
      <c r="I165" s="817"/>
      <c r="J165" s="239">
        <f>H165/DAY(B2)</f>
        <v>7.4893333333335859</v>
      </c>
    </row>
    <row r="166" spans="1:10" ht="26.25">
      <c r="A166" s="1140"/>
      <c r="B166" s="1140"/>
      <c r="C166" s="863"/>
      <c r="D166" s="880" t="s">
        <v>180</v>
      </c>
      <c r="E166" s="748">
        <f>'2'!F166</f>
        <v>0</v>
      </c>
      <c r="F166" s="862"/>
      <c r="G166" s="846"/>
      <c r="H166" s="748">
        <f>G166+'2'!H166</f>
        <v>0</v>
      </c>
      <c r="I166" s="846"/>
      <c r="J166" s="327"/>
    </row>
    <row r="167" spans="1:10" ht="26.25">
      <c r="A167" s="1140"/>
      <c r="B167" s="1140"/>
      <c r="C167" s="863"/>
      <c r="D167" s="880" t="s">
        <v>180</v>
      </c>
      <c r="E167" s="748">
        <f>'2'!F167</f>
        <v>0</v>
      </c>
      <c r="F167" s="846"/>
      <c r="G167" s="846"/>
      <c r="H167" s="748">
        <f>G167+'2'!H167</f>
        <v>0</v>
      </c>
      <c r="I167" s="846"/>
      <c r="J167" s="327"/>
    </row>
    <row r="168" spans="1:10" ht="26.25">
      <c r="A168" s="1140"/>
      <c r="B168" s="1140"/>
      <c r="C168" s="863"/>
      <c r="D168" s="880" t="s">
        <v>180</v>
      </c>
      <c r="E168" s="748">
        <f>'2'!F168</f>
        <v>0</v>
      </c>
      <c r="F168" s="846"/>
      <c r="G168" s="846"/>
      <c r="H168" s="748">
        <f>G168+'2'!H168</f>
        <v>0</v>
      </c>
      <c r="I168" s="846"/>
      <c r="J168" s="327"/>
    </row>
    <row r="169" spans="1:10" ht="26.25"/>
    <row r="170" spans="1:10" ht="26.25"/>
    <row r="171" spans="1:10" ht="27.75">
      <c r="A171" s="1141" t="s">
        <v>330</v>
      </c>
      <c r="B171" s="1142"/>
      <c r="C171" s="1142"/>
      <c r="D171" s="1142"/>
      <c r="E171" s="1142"/>
      <c r="F171" s="1142"/>
      <c r="G171" s="1142"/>
      <c r="H171" s="1142"/>
      <c r="I171" s="1142"/>
      <c r="J171" s="1143"/>
    </row>
    <row r="172" spans="1:10" ht="25.5">
      <c r="A172" s="1150"/>
      <c r="B172" s="1151"/>
      <c r="C172" s="883"/>
      <c r="D172" s="884"/>
      <c r="E172" s="847"/>
      <c r="F172" s="847"/>
      <c r="G172" s="847"/>
      <c r="H172" s="847"/>
      <c r="I172" s="847"/>
      <c r="J172" s="178"/>
    </row>
    <row r="173" spans="1:10" ht="25.5">
      <c r="A173" s="1146" t="s">
        <v>209</v>
      </c>
      <c r="B173" s="1147"/>
      <c r="C173" s="886"/>
      <c r="D173" s="884" t="s">
        <v>142</v>
      </c>
      <c r="E173" s="748">
        <f>'2'!F173</f>
        <v>8586</v>
      </c>
      <c r="F173" s="887">
        <v>8586</v>
      </c>
      <c r="G173" s="847">
        <f>F173-E173</f>
        <v>0</v>
      </c>
      <c r="H173" s="748">
        <f>G173+'2'!H173</f>
        <v>5</v>
      </c>
      <c r="I173" s="847"/>
      <c r="J173" s="178">
        <f>H173/DAY(B2)</f>
        <v>1.6666666666666667</v>
      </c>
    </row>
    <row r="174" spans="1:10" ht="25.5">
      <c r="A174" s="1146" t="s">
        <v>75</v>
      </c>
      <c r="B174" s="1147"/>
      <c r="C174" s="886"/>
      <c r="D174" s="884" t="s">
        <v>142</v>
      </c>
      <c r="E174" s="748">
        <f>'2'!F174</f>
        <v>41987</v>
      </c>
      <c r="F174" s="887">
        <v>41999</v>
      </c>
      <c r="G174" s="847">
        <f>F174-E174</f>
        <v>12</v>
      </c>
      <c r="H174" s="748">
        <f>G174+'2'!H174</f>
        <v>37</v>
      </c>
      <c r="I174" s="847"/>
      <c r="J174" s="178">
        <f>H174/DAY(B2)</f>
        <v>12.333333333333334</v>
      </c>
    </row>
    <row r="175" spans="1:10" ht="21.75" customHeight="1">
      <c r="A175" s="1146" t="s">
        <v>76</v>
      </c>
      <c r="B175" s="1186"/>
      <c r="C175" s="1147"/>
      <c r="D175" s="884" t="s">
        <v>142</v>
      </c>
      <c r="E175" s="748">
        <f>'2'!F175</f>
        <v>24721</v>
      </c>
      <c r="F175" s="847">
        <v>24733</v>
      </c>
      <c r="G175" s="847">
        <f>F175-E175</f>
        <v>12</v>
      </c>
      <c r="H175" s="748">
        <f>G175+'2'!H175</f>
        <v>36</v>
      </c>
      <c r="I175" s="847"/>
      <c r="J175" s="178">
        <f>H175/DAY(B2)</f>
        <v>12</v>
      </c>
    </row>
    <row r="176" spans="1:10" ht="21.75" customHeight="1">
      <c r="A176" s="1183" t="s">
        <v>196</v>
      </c>
      <c r="B176" s="1184"/>
      <c r="C176" s="1185"/>
      <c r="D176" s="884"/>
      <c r="E176" s="748"/>
      <c r="F176" s="847"/>
      <c r="G176" s="847">
        <f>SUM(G173:G175)</f>
        <v>24</v>
      </c>
      <c r="H176" s="748">
        <f>G176+'2'!H176</f>
        <v>78</v>
      </c>
      <c r="I176" s="847"/>
      <c r="J176" s="178">
        <f>H176/DAY(B2)</f>
        <v>26</v>
      </c>
    </row>
    <row r="177" spans="1:11" ht="21.75" customHeight="1">
      <c r="A177" s="1146" t="s">
        <v>77</v>
      </c>
      <c r="B177" s="1147"/>
      <c r="C177" s="886"/>
      <c r="D177" s="884" t="s">
        <v>142</v>
      </c>
      <c r="E177" s="748"/>
      <c r="F177" s="847"/>
      <c r="G177" s="847"/>
      <c r="H177" s="748">
        <f>G177+'2'!H177</f>
        <v>0</v>
      </c>
      <c r="I177" s="847"/>
      <c r="J177" s="178">
        <f>H177/DAY(B2)</f>
        <v>0</v>
      </c>
    </row>
    <row r="178" spans="1:11" ht="27.75" customHeight="1">
      <c r="A178" s="1146" t="s">
        <v>210</v>
      </c>
      <c r="B178" s="1147"/>
      <c r="C178" s="886"/>
      <c r="D178" s="884" t="s">
        <v>142</v>
      </c>
      <c r="E178" s="748">
        <f>'2'!F178</f>
        <v>102114</v>
      </c>
      <c r="F178" s="887">
        <v>102114</v>
      </c>
      <c r="G178" s="847">
        <f>F178-E178</f>
        <v>0</v>
      </c>
      <c r="H178" s="748">
        <f>G178+'2'!H178</f>
        <v>0</v>
      </c>
      <c r="I178" s="847"/>
      <c r="J178" s="178">
        <f>H178/DAY(B2)</f>
        <v>0</v>
      </c>
      <c r="K178" s="725">
        <v>102114</v>
      </c>
    </row>
    <row r="179" spans="1:11" ht="24" customHeight="1">
      <c r="A179" s="1146" t="s">
        <v>211</v>
      </c>
      <c r="B179" s="1147"/>
      <c r="C179" s="886"/>
      <c r="D179" s="884" t="s">
        <v>142</v>
      </c>
      <c r="E179" s="748">
        <f>'2'!F179</f>
        <v>37501</v>
      </c>
      <c r="F179" s="847">
        <v>37501</v>
      </c>
      <c r="G179" s="847">
        <f>F179-E179</f>
        <v>0</v>
      </c>
      <c r="H179" s="748">
        <f>G179+'2'!H179</f>
        <v>0</v>
      </c>
      <c r="I179" s="847"/>
      <c r="J179" s="178">
        <f>H179/DAY(B2)</f>
        <v>0</v>
      </c>
      <c r="K179" s="725">
        <v>37501</v>
      </c>
    </row>
    <row r="180" spans="1:11" ht="22.5" customHeight="1">
      <c r="A180" s="1146" t="s">
        <v>212</v>
      </c>
      <c r="B180" s="1147"/>
      <c r="C180" s="886"/>
      <c r="D180" s="884" t="s">
        <v>142</v>
      </c>
      <c r="E180" s="748">
        <f>'2'!F180</f>
        <v>7231</v>
      </c>
      <c r="F180" s="847">
        <v>7231</v>
      </c>
      <c r="G180" s="847">
        <f>F180-E180</f>
        <v>0</v>
      </c>
      <c r="H180" s="748">
        <f>G180+'2'!H180</f>
        <v>0</v>
      </c>
      <c r="I180" s="847"/>
      <c r="J180" s="178">
        <f>H180/DAY(B2)</f>
        <v>0</v>
      </c>
      <c r="K180" s="725">
        <v>7231</v>
      </c>
    </row>
    <row r="181" spans="1:11" ht="26.25">
      <c r="A181" s="1183" t="s">
        <v>196</v>
      </c>
      <c r="B181" s="1184"/>
      <c r="C181" s="1185"/>
      <c r="D181" s="884"/>
      <c r="E181" s="748"/>
      <c r="F181" s="847"/>
      <c r="G181" s="847">
        <f>SUM(G178:G180)</f>
        <v>0</v>
      </c>
      <c r="H181" s="748">
        <f>G181+'2'!H181</f>
        <v>0</v>
      </c>
      <c r="I181" s="847"/>
      <c r="J181" s="178">
        <f>H181/DAY(B2)</f>
        <v>0</v>
      </c>
    </row>
    <row r="182" spans="1:11" ht="27" customHeight="1">
      <c r="A182" s="1146" t="s">
        <v>213</v>
      </c>
      <c r="B182" s="1147"/>
      <c r="C182" s="886"/>
      <c r="D182" s="884"/>
      <c r="E182" s="748"/>
      <c r="F182" s="847"/>
      <c r="G182" s="847"/>
      <c r="H182" s="748">
        <f>G182+'2'!H182</f>
        <v>0</v>
      </c>
      <c r="I182" s="847"/>
      <c r="J182" s="178">
        <f>H182/DAY(B2)</f>
        <v>0</v>
      </c>
    </row>
    <row r="183" spans="1:11" ht="27" customHeight="1">
      <c r="A183" s="1146" t="s">
        <v>214</v>
      </c>
      <c r="B183" s="1147"/>
      <c r="C183" s="890"/>
      <c r="D183" s="884" t="s">
        <v>142</v>
      </c>
      <c r="E183" s="748">
        <f>'2'!F183</f>
        <v>17859</v>
      </c>
      <c r="F183" s="887">
        <v>17862</v>
      </c>
      <c r="G183" s="887">
        <f>F183-E183</f>
        <v>3</v>
      </c>
      <c r="H183" s="748">
        <f>G183+'2'!H183</f>
        <v>14</v>
      </c>
      <c r="I183" s="847"/>
      <c r="J183" s="178">
        <f>H183/DAY(B2)</f>
        <v>4.666666666666667</v>
      </c>
      <c r="K183" s="725">
        <v>17868</v>
      </c>
    </row>
    <row r="184" spans="1:11" ht="25.5" customHeight="1">
      <c r="A184" s="1146" t="s">
        <v>215</v>
      </c>
      <c r="B184" s="1147"/>
      <c r="C184" s="890"/>
      <c r="D184" s="884" t="s">
        <v>142</v>
      </c>
      <c r="E184" s="748">
        <f>'2'!F184</f>
        <v>12364</v>
      </c>
      <c r="F184" s="887">
        <v>12368</v>
      </c>
      <c r="G184" s="887">
        <f>F184-E184</f>
        <v>4</v>
      </c>
      <c r="H184" s="748">
        <f>G184+'2'!H184</f>
        <v>19</v>
      </c>
      <c r="I184" s="847"/>
      <c r="J184" s="178">
        <f>H184/DAY(B2)</f>
        <v>6.333333333333333</v>
      </c>
      <c r="K184" s="725">
        <v>12382</v>
      </c>
    </row>
    <row r="185" spans="1:11" ht="25.5">
      <c r="A185" s="1146" t="s">
        <v>216</v>
      </c>
      <c r="B185" s="1147"/>
      <c r="C185" s="890"/>
      <c r="D185" s="884" t="s">
        <v>142</v>
      </c>
      <c r="E185" s="748">
        <f>'2'!F185</f>
        <v>0</v>
      </c>
      <c r="F185" s="887"/>
      <c r="G185" s="887">
        <f>F185-E185</f>
        <v>0</v>
      </c>
      <c r="H185" s="748">
        <f>G185+'2'!H185</f>
        <v>0</v>
      </c>
      <c r="I185" s="847"/>
      <c r="J185" s="178">
        <f>H185/DAY(B2)</f>
        <v>0</v>
      </c>
    </row>
    <row r="186" spans="1:11" ht="26.25">
      <c r="A186" s="1183" t="s">
        <v>196</v>
      </c>
      <c r="B186" s="1184"/>
      <c r="C186" s="1185"/>
      <c r="D186" s="892"/>
      <c r="E186" s="748"/>
      <c r="F186" s="887"/>
      <c r="G186" s="887">
        <f>SUM(G183:G185)</f>
        <v>7</v>
      </c>
      <c r="H186" s="748">
        <f>G186+'2'!H186</f>
        <v>33</v>
      </c>
      <c r="I186" s="887"/>
      <c r="J186" s="178">
        <f>H186/DAY(B2)</f>
        <v>11</v>
      </c>
    </row>
    <row r="187" spans="1:11" ht="25.5">
      <c r="A187" s="1137" t="s">
        <v>217</v>
      </c>
      <c r="B187" s="1138"/>
      <c r="C187" s="886"/>
      <c r="D187" s="893" t="s">
        <v>142</v>
      </c>
      <c r="E187" s="748"/>
      <c r="F187" s="887"/>
      <c r="G187" s="894">
        <f>G62+G19</f>
        <v>140</v>
      </c>
      <c r="H187" s="748">
        <f>G187+'2'!H187</f>
        <v>444</v>
      </c>
      <c r="I187" s="862"/>
      <c r="J187" s="179">
        <f>H187/DAY(B2)</f>
        <v>148</v>
      </c>
    </row>
    <row r="188" spans="1:11" ht="25.5">
      <c r="A188" s="1137" t="s">
        <v>218</v>
      </c>
      <c r="B188" s="1138"/>
      <c r="C188" s="886"/>
      <c r="D188" s="893" t="s">
        <v>142</v>
      </c>
      <c r="E188" s="748"/>
      <c r="F188" s="887"/>
      <c r="G188" s="894">
        <f>G65+G66+G67+G69+G70</f>
        <v>141</v>
      </c>
      <c r="H188" s="748">
        <f>G188+'2'!H188</f>
        <v>466</v>
      </c>
      <c r="I188" s="862"/>
      <c r="J188" s="179">
        <f>H188/DAY(B2)</f>
        <v>155.33333333333334</v>
      </c>
    </row>
    <row r="189" spans="1:11" ht="25.5">
      <c r="A189" s="1137" t="s">
        <v>219</v>
      </c>
      <c r="B189" s="1138"/>
      <c r="C189" s="886"/>
      <c r="D189" s="893" t="s">
        <v>142</v>
      </c>
      <c r="E189" s="748"/>
      <c r="F189" s="887"/>
      <c r="G189" s="894">
        <f>G181</f>
        <v>0</v>
      </c>
      <c r="H189" s="748">
        <f>G189+'2'!H189</f>
        <v>0</v>
      </c>
      <c r="I189" s="862"/>
      <c r="J189" s="179">
        <f>H189/DAY(B2)</f>
        <v>0</v>
      </c>
    </row>
    <row r="190" spans="1:11" ht="25.5">
      <c r="A190" s="1137"/>
      <c r="B190" s="1138"/>
      <c r="C190" s="886"/>
      <c r="D190" s="821"/>
      <c r="E190" s="821" t="s">
        <v>207</v>
      </c>
      <c r="F190" s="821"/>
      <c r="G190" s="821"/>
      <c r="H190" s="822"/>
      <c r="I190" s="821"/>
      <c r="J190" s="182"/>
    </row>
    <row r="191" spans="1:11" ht="26.25"/>
    <row r="192" spans="1:11" ht="26.25"/>
    <row r="193" ht="26.25"/>
    <row r="194" ht="26.25"/>
    <row r="195" ht="26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N116:O116"/>
    <mergeCell ref="N117:O117"/>
    <mergeCell ref="N118:O118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A117:C117"/>
    <mergeCell ref="A118:C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A270"/>
  <sheetViews>
    <sheetView view="pageBreakPreview" topLeftCell="A31" zoomScale="55" zoomScaleNormal="48" zoomScaleSheetLayoutView="55" workbookViewId="0">
      <selection activeCell="M8" sqref="M8"/>
    </sheetView>
  </sheetViews>
  <sheetFormatPr defaultColWidth="22.33203125" defaultRowHeight="21.95" customHeight="1"/>
  <cols>
    <col min="1" max="1" width="51.21875" style="842" customWidth="1"/>
    <col min="2" max="2" width="24.88671875" style="838" customWidth="1"/>
    <col min="3" max="3" width="15.88671875" style="838" customWidth="1"/>
    <col min="4" max="4" width="13.6640625" style="838" customWidth="1"/>
    <col min="5" max="5" width="30" style="845" customWidth="1"/>
    <col min="6" max="6" width="22.33203125" style="845" customWidth="1"/>
    <col min="7" max="7" width="28.88671875" style="845" customWidth="1"/>
    <col min="8" max="8" width="39.21875" style="845" customWidth="1"/>
    <col min="9" max="9" width="23.5546875" style="844" customWidth="1"/>
    <col min="10" max="10" width="24" style="162" customWidth="1"/>
    <col min="11" max="11" width="22.33203125" style="838" hidden="1" customWidth="1"/>
    <col min="12" max="13" width="22.33203125" style="838" customWidth="1"/>
    <col min="14" max="14" width="25.109375" style="838" customWidth="1"/>
    <col min="15" max="16384" width="22.33203125" style="838"/>
  </cols>
  <sheetData>
    <row r="1" spans="1:27" ht="23.25">
      <c r="A1" s="1236" t="s">
        <v>115</v>
      </c>
      <c r="B1" s="1236"/>
      <c r="C1" s="1236"/>
      <c r="D1" s="1236"/>
      <c r="E1" s="1236"/>
      <c r="F1" s="1236"/>
      <c r="G1" s="1236"/>
      <c r="H1" s="1236"/>
      <c r="I1" s="1236"/>
      <c r="J1" s="1236"/>
    </row>
    <row r="2" spans="1:27" ht="23.25">
      <c r="A2" s="733" t="s">
        <v>349</v>
      </c>
      <c r="B2" s="914">
        <v>44838</v>
      </c>
      <c r="C2" s="915" t="s">
        <v>67</v>
      </c>
      <c r="D2" s="916">
        <v>0.98</v>
      </c>
      <c r="E2" s="917"/>
      <c r="F2" s="847">
        <v>0</v>
      </c>
      <c r="G2" s="917" t="s">
        <v>116</v>
      </c>
      <c r="H2" s="918" t="s">
        <v>5</v>
      </c>
      <c r="I2" s="918" t="s">
        <v>7</v>
      </c>
      <c r="J2" s="919" t="s">
        <v>117</v>
      </c>
      <c r="K2" s="838">
        <v>0</v>
      </c>
    </row>
    <row r="3" spans="1:27" ht="23.25">
      <c r="A3" s="733"/>
      <c r="B3" s="920"/>
      <c r="C3" s="915" t="s">
        <v>118</v>
      </c>
      <c r="D3" s="921">
        <v>0.28000000000000003</v>
      </c>
      <c r="E3" s="1239" t="s">
        <v>119</v>
      </c>
      <c r="F3" s="1239"/>
      <c r="G3" s="917"/>
      <c r="H3" s="917"/>
      <c r="I3" s="917"/>
      <c r="J3" s="637"/>
    </row>
    <row r="4" spans="1:27" ht="23.25">
      <c r="A4" s="922"/>
      <c r="B4" s="920"/>
      <c r="C4" s="915" t="s">
        <v>120</v>
      </c>
      <c r="D4" s="916">
        <v>0.79</v>
      </c>
      <c r="E4" s="917"/>
      <c r="F4" s="847"/>
      <c r="G4" s="917"/>
      <c r="H4" s="917"/>
      <c r="I4" s="917"/>
      <c r="J4" s="637"/>
    </row>
    <row r="5" spans="1:27" ht="23.25">
      <c r="A5" s="923" t="s">
        <v>121</v>
      </c>
      <c r="B5" s="924"/>
      <c r="C5" s="924"/>
      <c r="D5" s="924" t="s">
        <v>122</v>
      </c>
      <c r="E5" s="113" t="s">
        <v>123</v>
      </c>
      <c r="F5" s="847"/>
      <c r="G5" s="741" t="s">
        <v>124</v>
      </c>
      <c r="H5" s="739" t="s">
        <v>125</v>
      </c>
      <c r="I5" s="739" t="s">
        <v>126</v>
      </c>
      <c r="J5" s="925" t="s">
        <v>127</v>
      </c>
      <c r="Z5" s="926"/>
      <c r="AA5" s="926"/>
    </row>
    <row r="6" spans="1:27" ht="23.25">
      <c r="A6" s="1237" t="s">
        <v>128</v>
      </c>
      <c r="B6" s="1237"/>
      <c r="C6" s="1237"/>
      <c r="D6" s="927"/>
      <c r="E6" s="744"/>
      <c r="F6" s="744"/>
      <c r="G6" s="744"/>
      <c r="H6" s="744"/>
      <c r="I6" s="744"/>
      <c r="J6" s="385"/>
      <c r="K6" s="838" t="s">
        <v>207</v>
      </c>
      <c r="Z6" s="926"/>
      <c r="AA6" s="926"/>
    </row>
    <row r="7" spans="1:27" ht="23.25">
      <c r="A7" s="928" t="s">
        <v>129</v>
      </c>
      <c r="B7" s="929"/>
      <c r="C7" s="929"/>
      <c r="D7" s="930" t="s">
        <v>130</v>
      </c>
      <c r="E7" s="748">
        <v>955666</v>
      </c>
      <c r="F7" s="156">
        <v>980940</v>
      </c>
      <c r="G7" s="641">
        <v>25274</v>
      </c>
      <c r="H7" s="99">
        <v>99208</v>
      </c>
      <c r="I7" s="113">
        <v>12000</v>
      </c>
      <c r="J7" s="328">
        <v>24802</v>
      </c>
      <c r="K7" s="838">
        <v>980940</v>
      </c>
      <c r="M7" s="1004">
        <f>G8-G7</f>
        <v>365</v>
      </c>
      <c r="Z7" s="926"/>
      <c r="AA7" s="926"/>
    </row>
    <row r="8" spans="1:27" ht="23.25">
      <c r="A8" s="928" t="s">
        <v>131</v>
      </c>
      <c r="B8" s="929"/>
      <c r="C8" s="929"/>
      <c r="D8" s="930" t="s">
        <v>24</v>
      </c>
      <c r="E8" s="748">
        <v>124314</v>
      </c>
      <c r="F8" s="156">
        <v>149953</v>
      </c>
      <c r="G8" s="641">
        <v>25639</v>
      </c>
      <c r="H8" s="99">
        <v>100573</v>
      </c>
      <c r="I8" s="113">
        <v>12000</v>
      </c>
      <c r="J8" s="328">
        <v>25143.25</v>
      </c>
      <c r="K8" s="838">
        <v>149953</v>
      </c>
      <c r="Z8" s="926"/>
      <c r="AA8" s="926"/>
    </row>
    <row r="9" spans="1:27" ht="23.25">
      <c r="A9" s="931" t="s">
        <v>132</v>
      </c>
      <c r="B9" s="932"/>
      <c r="C9" s="932"/>
      <c r="D9" s="930" t="s">
        <v>130</v>
      </c>
      <c r="E9" s="748">
        <v>3728634.7</v>
      </c>
      <c r="F9" s="156">
        <v>3736871.9</v>
      </c>
      <c r="G9" s="641">
        <v>8237.1999999997206</v>
      </c>
      <c r="H9" s="99">
        <v>30164.899999999907</v>
      </c>
      <c r="I9" s="113">
        <v>12000</v>
      </c>
      <c r="J9" s="328">
        <v>7541.2249999999767</v>
      </c>
      <c r="K9" s="838">
        <v>3736871.9</v>
      </c>
      <c r="Z9" s="926"/>
      <c r="AA9" s="926"/>
    </row>
    <row r="10" spans="1:27" ht="23.25">
      <c r="A10" s="928" t="s">
        <v>133</v>
      </c>
      <c r="B10" s="929"/>
      <c r="C10" s="929"/>
      <c r="D10" s="930" t="s">
        <v>130</v>
      </c>
      <c r="E10" s="748">
        <v>2792827.9</v>
      </c>
      <c r="F10" s="156">
        <v>2809171.1</v>
      </c>
      <c r="G10" s="641">
        <v>16343.200000000186</v>
      </c>
      <c r="H10" s="99">
        <v>66477.100000000093</v>
      </c>
      <c r="I10" s="933"/>
      <c r="J10" s="328">
        <v>16619.275000000023</v>
      </c>
      <c r="K10" s="838">
        <v>2809171.1</v>
      </c>
      <c r="Z10" s="926"/>
      <c r="AA10" s="926"/>
    </row>
    <row r="11" spans="1:27" ht="23.25">
      <c r="A11" s="928" t="s">
        <v>134</v>
      </c>
      <c r="B11" s="929"/>
      <c r="C11" s="929"/>
      <c r="D11" s="930" t="s">
        <v>130</v>
      </c>
      <c r="E11" s="748">
        <v>37560</v>
      </c>
      <c r="F11" s="156">
        <v>37560</v>
      </c>
      <c r="G11" s="641">
        <v>0</v>
      </c>
      <c r="H11" s="99">
        <v>0</v>
      </c>
      <c r="I11" s="933"/>
      <c r="J11" s="328">
        <v>0</v>
      </c>
      <c r="Z11" s="926"/>
      <c r="AA11" s="926"/>
    </row>
    <row r="12" spans="1:27" ht="23.25">
      <c r="A12" s="928" t="s">
        <v>135</v>
      </c>
      <c r="B12" s="929"/>
      <c r="C12" s="929"/>
      <c r="D12" s="930" t="s">
        <v>130</v>
      </c>
      <c r="E12" s="748">
        <v>40380</v>
      </c>
      <c r="F12" s="156">
        <v>40380</v>
      </c>
      <c r="G12" s="641">
        <v>0</v>
      </c>
      <c r="H12" s="99">
        <v>0</v>
      </c>
      <c r="I12" s="933"/>
      <c r="J12" s="328">
        <v>0</v>
      </c>
      <c r="Z12" s="926"/>
      <c r="AA12" s="926"/>
    </row>
    <row r="13" spans="1:27" ht="23.25">
      <c r="A13" s="934" t="s">
        <v>136</v>
      </c>
      <c r="B13" s="935"/>
      <c r="C13" s="935"/>
      <c r="D13" s="930"/>
      <c r="E13" s="748"/>
      <c r="F13" s="156"/>
      <c r="G13" s="491">
        <v>24580.399999999907</v>
      </c>
      <c r="H13" s="99">
        <v>98102</v>
      </c>
      <c r="I13" s="113">
        <v>693.60000000009313</v>
      </c>
      <c r="J13" s="328">
        <v>24525.5</v>
      </c>
    </row>
    <row r="14" spans="1:27" ht="23.25">
      <c r="A14" s="1238" t="s">
        <v>137</v>
      </c>
      <c r="B14" s="1238"/>
      <c r="C14" s="1238"/>
      <c r="D14" s="936"/>
      <c r="E14" s="744"/>
      <c r="F14" s="744"/>
      <c r="G14" s="764"/>
      <c r="H14" s="744"/>
      <c r="I14" s="744"/>
      <c r="J14" s="385"/>
    </row>
    <row r="15" spans="1:27" ht="23.25">
      <c r="A15" s="816" t="s">
        <v>138</v>
      </c>
      <c r="B15" s="937"/>
      <c r="C15" s="937"/>
      <c r="D15" s="930" t="s">
        <v>139</v>
      </c>
      <c r="E15" s="99">
        <v>2164508</v>
      </c>
      <c r="F15" s="847">
        <v>2165485</v>
      </c>
      <c r="G15" s="641">
        <v>977</v>
      </c>
      <c r="H15" s="99">
        <v>3970</v>
      </c>
      <c r="I15" s="113">
        <v>800</v>
      </c>
      <c r="J15" s="328">
        <v>992.5</v>
      </c>
      <c r="K15" s="838">
        <v>2164508</v>
      </c>
    </row>
    <row r="16" spans="1:27" ht="23.25">
      <c r="A16" s="938"/>
      <c r="B16" s="939"/>
      <c r="C16" s="939"/>
      <c r="D16" s="940"/>
      <c r="E16" s="99">
        <v>0</v>
      </c>
      <c r="F16" s="847"/>
      <c r="G16" s="941"/>
      <c r="H16" s="99">
        <v>0</v>
      </c>
      <c r="I16" s="113">
        <v>-192.5</v>
      </c>
      <c r="J16" s="336"/>
    </row>
    <row r="17" spans="1:11" ht="23.25">
      <c r="A17" s="1238" t="s">
        <v>140</v>
      </c>
      <c r="B17" s="1238"/>
      <c r="C17" s="1238"/>
      <c r="D17" s="936"/>
      <c r="E17" s="744"/>
      <c r="F17" s="744"/>
      <c r="G17" s="764"/>
      <c r="H17" s="764"/>
      <c r="I17" s="744"/>
      <c r="J17" s="385"/>
    </row>
    <row r="18" spans="1:11" ht="23.25">
      <c r="A18" s="1232" t="s">
        <v>141</v>
      </c>
      <c r="B18" s="1232"/>
      <c r="C18" s="1232"/>
      <c r="D18" s="930" t="s">
        <v>142</v>
      </c>
      <c r="E18" s="99">
        <v>29</v>
      </c>
      <c r="F18" s="847">
        <v>24</v>
      </c>
      <c r="G18" s="942">
        <v>240</v>
      </c>
      <c r="H18" s="99">
        <v>960</v>
      </c>
      <c r="I18" s="113">
        <v>65</v>
      </c>
      <c r="J18" s="328">
        <v>240</v>
      </c>
      <c r="K18" s="838">
        <v>24</v>
      </c>
    </row>
    <row r="19" spans="1:11" ht="23.25">
      <c r="A19" s="1232" t="s">
        <v>69</v>
      </c>
      <c r="B19" s="1232"/>
      <c r="C19" s="1232"/>
      <c r="D19" s="930" t="s">
        <v>142</v>
      </c>
      <c r="E19" s="99">
        <v>165607</v>
      </c>
      <c r="F19" s="847">
        <v>165658</v>
      </c>
      <c r="G19" s="941">
        <v>51</v>
      </c>
      <c r="H19" s="99">
        <v>217</v>
      </c>
      <c r="I19" s="943"/>
      <c r="J19" s="328">
        <v>54.25</v>
      </c>
      <c r="K19" s="838">
        <v>165658</v>
      </c>
    </row>
    <row r="20" spans="1:11" ht="23.25">
      <c r="A20" s="934" t="s">
        <v>143</v>
      </c>
      <c r="B20" s="935"/>
      <c r="C20" s="935"/>
      <c r="D20" s="944"/>
      <c r="E20" s="774"/>
      <c r="F20" s="847"/>
      <c r="G20" s="945">
        <v>291</v>
      </c>
      <c r="H20" s="99">
        <v>1177</v>
      </c>
      <c r="I20" s="776">
        <v>-229.25</v>
      </c>
      <c r="J20" s="328">
        <v>294.25</v>
      </c>
    </row>
    <row r="21" spans="1:11" ht="23.25">
      <c r="A21" s="1238" t="s">
        <v>144</v>
      </c>
      <c r="B21" s="1238"/>
      <c r="C21" s="1238"/>
      <c r="D21" s="936"/>
      <c r="E21" s="744"/>
      <c r="F21" s="744"/>
      <c r="G21" s="764"/>
      <c r="H21" s="764"/>
      <c r="I21" s="744"/>
      <c r="J21" s="385"/>
    </row>
    <row r="22" spans="1:11" ht="23.25">
      <c r="A22" s="816" t="s">
        <v>145</v>
      </c>
      <c r="B22" s="937"/>
      <c r="C22" s="937"/>
      <c r="D22" s="930" t="s">
        <v>146</v>
      </c>
      <c r="E22" s="748">
        <v>2970</v>
      </c>
      <c r="F22" s="847">
        <v>2970</v>
      </c>
      <c r="G22" s="942">
        <v>0</v>
      </c>
      <c r="H22" s="99">
        <v>0</v>
      </c>
      <c r="I22" s="760"/>
      <c r="J22" s="328">
        <v>0</v>
      </c>
    </row>
    <row r="23" spans="1:11" ht="23.25">
      <c r="A23" s="816" t="s">
        <v>147</v>
      </c>
      <c r="B23" s="937"/>
      <c r="C23" s="937"/>
      <c r="D23" s="930" t="s">
        <v>146</v>
      </c>
      <c r="E23" s="748">
        <v>2000</v>
      </c>
      <c r="F23" s="847">
        <v>2000</v>
      </c>
      <c r="G23" s="942">
        <v>0</v>
      </c>
      <c r="H23" s="99">
        <v>0</v>
      </c>
      <c r="I23" s="760"/>
      <c r="J23" s="328">
        <v>0</v>
      </c>
    </row>
    <row r="24" spans="1:11" ht="23.25">
      <c r="A24" s="946" t="s">
        <v>148</v>
      </c>
      <c r="B24" s="947"/>
      <c r="C24" s="947"/>
      <c r="D24" s="924" t="s">
        <v>146</v>
      </c>
      <c r="E24" s="748">
        <v>4970</v>
      </c>
      <c r="F24" s="847">
        <v>4970</v>
      </c>
      <c r="G24" s="942">
        <v>0</v>
      </c>
      <c r="H24" s="99">
        <v>0</v>
      </c>
      <c r="I24" s="760"/>
      <c r="J24" s="328">
        <v>0</v>
      </c>
    </row>
    <row r="25" spans="1:11" ht="23.25">
      <c r="A25" s="1237" t="s">
        <v>149</v>
      </c>
      <c r="B25" s="1237"/>
      <c r="C25" s="1237"/>
      <c r="D25" s="927"/>
      <c r="E25" s="744"/>
      <c r="F25" s="744"/>
      <c r="G25" s="764"/>
      <c r="H25" s="764"/>
      <c r="I25" s="780"/>
      <c r="J25" s="130"/>
    </row>
    <row r="26" spans="1:11" ht="23.25">
      <c r="A26" s="948" t="s">
        <v>150</v>
      </c>
      <c r="B26" s="949"/>
      <c r="C26" s="949"/>
      <c r="D26" s="950" t="s">
        <v>151</v>
      </c>
      <c r="E26" s="787"/>
      <c r="F26" s="847"/>
      <c r="G26" s="788"/>
      <c r="H26" s="99">
        <v>0</v>
      </c>
      <c r="I26" s="789"/>
      <c r="J26" s="328"/>
    </row>
    <row r="27" spans="1:11" ht="23.25">
      <c r="A27" s="948" t="s">
        <v>5</v>
      </c>
      <c r="B27" s="949"/>
      <c r="C27" s="949"/>
      <c r="D27" s="951" t="s">
        <v>24</v>
      </c>
      <c r="E27" s="952">
        <v>25639</v>
      </c>
      <c r="F27" s="887">
        <v>10</v>
      </c>
      <c r="G27" s="953">
        <v>256390</v>
      </c>
      <c r="H27" s="99">
        <v>1005730</v>
      </c>
      <c r="I27" s="793"/>
      <c r="J27" s="328">
        <v>251432.5</v>
      </c>
    </row>
    <row r="28" spans="1:11" ht="23.25">
      <c r="A28" s="948" t="s">
        <v>152</v>
      </c>
      <c r="B28" s="949"/>
      <c r="C28" s="949"/>
      <c r="D28" s="951" t="s">
        <v>153</v>
      </c>
      <c r="E28" s="794">
        <v>977</v>
      </c>
      <c r="F28" s="887">
        <v>75</v>
      </c>
      <c r="G28" s="953">
        <v>73275</v>
      </c>
      <c r="H28" s="99">
        <v>297750</v>
      </c>
      <c r="I28" s="795"/>
      <c r="J28" s="328">
        <v>74437.5</v>
      </c>
    </row>
    <row r="29" spans="1:11" ht="23.25">
      <c r="A29" s="948" t="s">
        <v>154</v>
      </c>
      <c r="B29" s="949"/>
      <c r="C29" s="949"/>
      <c r="D29" s="951" t="s">
        <v>155</v>
      </c>
      <c r="E29" s="787">
        <v>0</v>
      </c>
      <c r="F29" s="887">
        <v>69</v>
      </c>
      <c r="G29" s="953">
        <v>0</v>
      </c>
      <c r="H29" s="99">
        <v>0</v>
      </c>
      <c r="I29" s="795"/>
      <c r="J29" s="328">
        <v>0</v>
      </c>
    </row>
    <row r="30" spans="1:11" ht="23.25">
      <c r="A30" s="948" t="s">
        <v>156</v>
      </c>
      <c r="B30" s="949"/>
      <c r="C30" s="949"/>
      <c r="D30" s="951" t="s">
        <v>157</v>
      </c>
      <c r="E30" s="787">
        <v>51</v>
      </c>
      <c r="F30" s="887">
        <v>151</v>
      </c>
      <c r="G30" s="953">
        <v>7701</v>
      </c>
      <c r="H30" s="99">
        <v>32767</v>
      </c>
      <c r="I30" s="795"/>
      <c r="J30" s="328">
        <v>8191.75</v>
      </c>
    </row>
    <row r="31" spans="1:11" ht="23.25">
      <c r="A31" s="948" t="s">
        <v>158</v>
      </c>
      <c r="B31" s="949"/>
      <c r="C31" s="949"/>
      <c r="D31" s="951" t="s">
        <v>142</v>
      </c>
      <c r="E31" s="787">
        <v>240</v>
      </c>
      <c r="F31" s="887">
        <v>85</v>
      </c>
      <c r="G31" s="953">
        <v>20400</v>
      </c>
      <c r="H31" s="99">
        <v>79450</v>
      </c>
      <c r="I31" s="795"/>
      <c r="J31" s="328">
        <v>19862.5</v>
      </c>
    </row>
    <row r="32" spans="1:11" ht="23.25">
      <c r="A32" s="954" t="s">
        <v>159</v>
      </c>
      <c r="B32" s="955"/>
      <c r="C32" s="955"/>
      <c r="D32" s="956"/>
      <c r="E32" s="800"/>
      <c r="F32" s="847"/>
      <c r="G32" s="957">
        <v>357766</v>
      </c>
      <c r="H32" s="99">
        <v>1415697</v>
      </c>
      <c r="I32" s="802"/>
      <c r="J32" s="328">
        <v>353924.25</v>
      </c>
    </row>
    <row r="33" spans="1:12" ht="25.5" customHeight="1">
      <c r="A33" s="1240" t="s">
        <v>331</v>
      </c>
      <c r="B33" s="1240"/>
      <c r="C33" s="1240"/>
      <c r="D33" s="958"/>
      <c r="E33" s="959"/>
      <c r="F33" s="959"/>
      <c r="G33" s="959"/>
      <c r="H33" s="960"/>
      <c r="I33" s="960"/>
      <c r="J33" s="961"/>
    </row>
    <row r="34" spans="1:12" ht="23.25">
      <c r="A34" s="962" t="s">
        <v>160</v>
      </c>
      <c r="B34" s="963"/>
      <c r="C34" s="963"/>
      <c r="D34" s="936"/>
      <c r="E34" s="744"/>
      <c r="F34" s="744"/>
      <c r="G34" s="744"/>
      <c r="H34" s="744"/>
      <c r="I34" s="744"/>
      <c r="J34" s="385"/>
    </row>
    <row r="35" spans="1:12" ht="23.25">
      <c r="A35" s="928" t="s">
        <v>161</v>
      </c>
      <c r="B35" s="929"/>
      <c r="C35" s="929"/>
      <c r="D35" s="930" t="s">
        <v>130</v>
      </c>
      <c r="E35" s="748">
        <v>238713.05</v>
      </c>
      <c r="F35" s="156">
        <v>238713</v>
      </c>
      <c r="G35" s="641">
        <v>-4.9999999988358468E-2</v>
      </c>
      <c r="H35" s="99">
        <v>-4.9999999988358468E-2</v>
      </c>
      <c r="I35" s="748"/>
      <c r="J35" s="328">
        <v>-1.2499999997089617E-2</v>
      </c>
      <c r="K35" s="838">
        <v>23871.3</v>
      </c>
    </row>
    <row r="36" spans="1:12" ht="23.25">
      <c r="A36" s="928" t="s">
        <v>162</v>
      </c>
      <c r="B36" s="929"/>
      <c r="C36" s="929"/>
      <c r="D36" s="930" t="s">
        <v>130</v>
      </c>
      <c r="E36" s="748">
        <v>271806</v>
      </c>
      <c r="F36" s="156">
        <v>272497.59000000003</v>
      </c>
      <c r="G36" s="641">
        <v>691.59000000002561</v>
      </c>
      <c r="H36" s="99">
        <v>3014.5900000000256</v>
      </c>
      <c r="I36" s="748"/>
      <c r="J36" s="328">
        <v>753.6475000000064</v>
      </c>
      <c r="K36" s="838">
        <v>272497.59000000003</v>
      </c>
      <c r="L36" s="964"/>
    </row>
    <row r="37" spans="1:12" ht="23.25">
      <c r="A37" s="928" t="s">
        <v>163</v>
      </c>
      <c r="B37" s="929"/>
      <c r="C37" s="929"/>
      <c r="D37" s="930" t="s">
        <v>130</v>
      </c>
      <c r="E37" s="748">
        <v>322998.69</v>
      </c>
      <c r="F37" s="156">
        <v>322998.69</v>
      </c>
      <c r="G37" s="641">
        <v>0</v>
      </c>
      <c r="H37" s="99">
        <v>0</v>
      </c>
      <c r="I37" s="748"/>
      <c r="J37" s="328">
        <v>0</v>
      </c>
      <c r="K37" s="838">
        <v>322998.69</v>
      </c>
      <c r="L37" s="965"/>
    </row>
    <row r="38" spans="1:12" ht="23.25">
      <c r="A38" s="928" t="s">
        <v>164</v>
      </c>
      <c r="B38" s="929"/>
      <c r="C38" s="929"/>
      <c r="D38" s="930" t="s">
        <v>130</v>
      </c>
      <c r="E38" s="748">
        <v>600423.15</v>
      </c>
      <c r="F38" s="156">
        <v>602620.79</v>
      </c>
      <c r="G38" s="641">
        <v>2197.640000000014</v>
      </c>
      <c r="H38" s="99">
        <v>8903.7900000000373</v>
      </c>
      <c r="I38" s="748"/>
      <c r="J38" s="328">
        <v>2225.9475000000093</v>
      </c>
      <c r="K38" s="838">
        <v>602620.79</v>
      </c>
    </row>
    <row r="39" spans="1:12" ht="23.25">
      <c r="A39" s="928" t="s">
        <v>165</v>
      </c>
      <c r="B39" s="929"/>
      <c r="C39" s="929"/>
      <c r="D39" s="930" t="s">
        <v>130</v>
      </c>
      <c r="E39" s="748">
        <v>591584.18999999994</v>
      </c>
      <c r="F39" s="156">
        <v>591584.18999999994</v>
      </c>
      <c r="G39" s="641">
        <v>0</v>
      </c>
      <c r="H39" s="99">
        <v>0</v>
      </c>
      <c r="I39" s="748"/>
      <c r="J39" s="328">
        <v>0</v>
      </c>
      <c r="K39" s="838">
        <v>591584.18999999994</v>
      </c>
    </row>
    <row r="40" spans="1:12" ht="23.25">
      <c r="A40" s="928" t="s">
        <v>166</v>
      </c>
      <c r="B40" s="929"/>
      <c r="C40" s="929"/>
      <c r="D40" s="930" t="s">
        <v>130</v>
      </c>
      <c r="E40" s="748">
        <v>160311.57999999999</v>
      </c>
      <c r="F40" s="156">
        <v>161063</v>
      </c>
      <c r="G40" s="641">
        <v>751.42000000001281</v>
      </c>
      <c r="H40" s="99">
        <v>3083</v>
      </c>
      <c r="I40" s="748"/>
      <c r="J40" s="328">
        <v>770.75</v>
      </c>
      <c r="K40" s="838">
        <v>161063</v>
      </c>
    </row>
    <row r="41" spans="1:12" ht="23.25">
      <c r="A41" s="928" t="s">
        <v>167</v>
      </c>
      <c r="B41" s="929"/>
      <c r="C41" s="929"/>
      <c r="D41" s="930" t="s">
        <v>130</v>
      </c>
      <c r="E41" s="748">
        <v>381351.35</v>
      </c>
      <c r="F41" s="156">
        <v>381351.85</v>
      </c>
      <c r="G41" s="641">
        <v>0.5</v>
      </c>
      <c r="H41" s="99">
        <v>-0.15000000002328306</v>
      </c>
      <c r="I41" s="748"/>
      <c r="J41" s="328">
        <v>-3.7500000005820766E-2</v>
      </c>
      <c r="K41" s="838">
        <v>381351.85</v>
      </c>
    </row>
    <row r="42" spans="1:12" ht="23.25">
      <c r="A42" s="928" t="s">
        <v>168</v>
      </c>
      <c r="B42" s="929"/>
      <c r="C42" s="929"/>
      <c r="D42" s="930" t="s">
        <v>130</v>
      </c>
      <c r="E42" s="748">
        <v>838476.15</v>
      </c>
      <c r="F42" s="156">
        <v>844031.83</v>
      </c>
      <c r="G42" s="641">
        <v>5555.6799999999348</v>
      </c>
      <c r="H42" s="99">
        <v>18944.829999999958</v>
      </c>
      <c r="I42" s="748"/>
      <c r="J42" s="328">
        <v>4736.2074999999895</v>
      </c>
      <c r="K42" s="838">
        <v>844031.83</v>
      </c>
    </row>
    <row r="43" spans="1:12" ht="23.25">
      <c r="A43" s="928" t="s">
        <v>169</v>
      </c>
      <c r="B43" s="929"/>
      <c r="C43" s="929"/>
      <c r="D43" s="930" t="s">
        <v>130</v>
      </c>
      <c r="E43" s="748">
        <v>407028</v>
      </c>
      <c r="F43" s="156">
        <v>407028</v>
      </c>
      <c r="G43" s="641">
        <v>0</v>
      </c>
      <c r="H43" s="99">
        <v>0</v>
      </c>
      <c r="I43" s="748"/>
      <c r="J43" s="328">
        <v>0</v>
      </c>
    </row>
    <row r="44" spans="1:12" ht="23.25">
      <c r="A44" s="928" t="s">
        <v>170</v>
      </c>
      <c r="B44" s="929"/>
      <c r="C44" s="929"/>
      <c r="D44" s="930" t="s">
        <v>130</v>
      </c>
      <c r="E44" s="748">
        <v>0</v>
      </c>
      <c r="F44" s="156"/>
      <c r="G44" s="641">
        <v>0</v>
      </c>
      <c r="H44" s="99">
        <v>0</v>
      </c>
      <c r="I44" s="748"/>
      <c r="J44" s="328">
        <v>0</v>
      </c>
    </row>
    <row r="45" spans="1:12" ht="23.25">
      <c r="A45" s="928" t="s">
        <v>171</v>
      </c>
      <c r="B45" s="929"/>
      <c r="C45" s="929"/>
      <c r="D45" s="930" t="s">
        <v>130</v>
      </c>
      <c r="E45" s="748">
        <v>0</v>
      </c>
      <c r="F45" s="156"/>
      <c r="G45" s="641">
        <v>0</v>
      </c>
      <c r="H45" s="99">
        <v>0</v>
      </c>
      <c r="I45" s="748"/>
      <c r="J45" s="328">
        <v>0</v>
      </c>
    </row>
    <row r="46" spans="1:12" ht="23.25">
      <c r="A46" s="928" t="s">
        <v>172</v>
      </c>
      <c r="B46" s="929"/>
      <c r="C46" s="929"/>
      <c r="D46" s="930" t="s">
        <v>130</v>
      </c>
      <c r="E46" s="748">
        <v>0</v>
      </c>
      <c r="F46" s="156"/>
      <c r="G46" s="641">
        <v>0</v>
      </c>
      <c r="H46" s="99">
        <v>0</v>
      </c>
      <c r="I46" s="748"/>
      <c r="J46" s="328">
        <v>0</v>
      </c>
    </row>
    <row r="47" spans="1:12" ht="23.25">
      <c r="A47" s="934" t="s">
        <v>173</v>
      </c>
      <c r="B47" s="935"/>
      <c r="C47" s="935"/>
      <c r="D47" s="924"/>
      <c r="E47" s="748"/>
      <c r="F47" s="156"/>
      <c r="G47" s="491">
        <v>9196.7799999999988</v>
      </c>
      <c r="H47" s="99">
        <v>33946.010000000009</v>
      </c>
      <c r="I47" s="748"/>
      <c r="J47" s="328">
        <v>8486.5025000000023</v>
      </c>
    </row>
    <row r="48" spans="1:12" ht="23.25">
      <c r="A48" s="962" t="s">
        <v>174</v>
      </c>
      <c r="B48" s="963"/>
      <c r="C48" s="963"/>
      <c r="D48" s="936"/>
      <c r="E48" s="744"/>
      <c r="F48" s="744"/>
      <c r="G48" s="744"/>
      <c r="H48" s="744"/>
      <c r="I48" s="744"/>
      <c r="J48" s="385"/>
    </row>
    <row r="49" spans="1:12" ht="23.25">
      <c r="A49" s="928" t="s">
        <v>161</v>
      </c>
      <c r="B49" s="966"/>
      <c r="C49" s="966"/>
      <c r="D49" s="930" t="s">
        <v>130</v>
      </c>
      <c r="E49" s="748">
        <v>731133.67</v>
      </c>
      <c r="F49" s="156">
        <v>735096.71</v>
      </c>
      <c r="G49" s="641">
        <v>3963.0399999999208</v>
      </c>
      <c r="H49" s="99">
        <v>14809.709999999963</v>
      </c>
      <c r="I49" s="748"/>
      <c r="J49" s="328">
        <v>3702.4274999999907</v>
      </c>
      <c r="K49" s="838">
        <v>735096.71</v>
      </c>
    </row>
    <row r="50" spans="1:12" ht="23.25">
      <c r="A50" s="928" t="s">
        <v>175</v>
      </c>
      <c r="B50" s="966"/>
      <c r="C50" s="966"/>
      <c r="D50" s="930" t="s">
        <v>130</v>
      </c>
      <c r="E50" s="748">
        <v>370301.83</v>
      </c>
      <c r="F50" s="156">
        <v>371716.83</v>
      </c>
      <c r="G50" s="641">
        <v>1415</v>
      </c>
      <c r="H50" s="99">
        <v>5945.8300000000163</v>
      </c>
      <c r="I50" s="748"/>
      <c r="J50" s="328">
        <v>1486.4575000000041</v>
      </c>
      <c r="K50" s="838">
        <v>371716.83</v>
      </c>
    </row>
    <row r="51" spans="1:12" ht="23.25">
      <c r="A51" s="928" t="s">
        <v>163</v>
      </c>
      <c r="B51" s="966"/>
      <c r="C51" s="966"/>
      <c r="D51" s="930" t="s">
        <v>130</v>
      </c>
      <c r="E51" s="748">
        <v>74770.5</v>
      </c>
      <c r="F51" s="156">
        <v>75795.42</v>
      </c>
      <c r="G51" s="641">
        <v>1024.9199999999983</v>
      </c>
      <c r="H51" s="99">
        <v>4068.4199999999983</v>
      </c>
      <c r="I51" s="748"/>
      <c r="J51" s="328">
        <v>1017.1049999999996</v>
      </c>
      <c r="K51" s="838">
        <v>75795.42</v>
      </c>
    </row>
    <row r="52" spans="1:12" ht="23.25">
      <c r="A52" s="928" t="s">
        <v>176</v>
      </c>
      <c r="B52" s="966"/>
      <c r="C52" s="966"/>
      <c r="D52" s="930" t="s">
        <v>130</v>
      </c>
      <c r="E52" s="748">
        <v>9.76</v>
      </c>
      <c r="F52" s="156">
        <v>9.76</v>
      </c>
      <c r="G52" s="641">
        <v>0</v>
      </c>
      <c r="H52" s="99">
        <v>-0.24000000000000021</v>
      </c>
      <c r="I52" s="748"/>
      <c r="J52" s="328">
        <v>-6.0000000000000053E-2</v>
      </c>
    </row>
    <row r="53" spans="1:12" ht="23.25">
      <c r="A53" s="928" t="s">
        <v>165</v>
      </c>
      <c r="B53" s="966"/>
      <c r="C53" s="966"/>
      <c r="D53" s="930" t="s">
        <v>130</v>
      </c>
      <c r="E53" s="748">
        <v>306726.90000000002</v>
      </c>
      <c r="F53" s="156">
        <v>310779.75</v>
      </c>
      <c r="G53" s="641">
        <v>4052.8499999999767</v>
      </c>
      <c r="H53" s="99">
        <v>16678.75</v>
      </c>
      <c r="I53" s="748"/>
      <c r="J53" s="328">
        <v>4169.6875</v>
      </c>
      <c r="K53" s="838">
        <v>310779.75</v>
      </c>
    </row>
    <row r="54" spans="1:12" ht="23.25">
      <c r="A54" s="928" t="s">
        <v>177</v>
      </c>
      <c r="B54" s="966"/>
      <c r="C54" s="966"/>
      <c r="D54" s="930" t="s">
        <v>130</v>
      </c>
      <c r="E54" s="748">
        <v>101935.49</v>
      </c>
      <c r="F54" s="156">
        <v>102105.88</v>
      </c>
      <c r="G54" s="641">
        <v>170.38999999999942</v>
      </c>
      <c r="H54" s="99">
        <v>718.88000000000466</v>
      </c>
      <c r="I54" s="748"/>
      <c r="J54" s="328">
        <v>179.72000000000116</v>
      </c>
      <c r="K54" s="838">
        <v>102105.88</v>
      </c>
    </row>
    <row r="55" spans="1:12" ht="23.25">
      <c r="A55" s="928" t="s">
        <v>178</v>
      </c>
      <c r="B55" s="966"/>
      <c r="C55" s="966"/>
      <c r="D55" s="930" t="s">
        <v>130</v>
      </c>
      <c r="E55" s="748">
        <v>499506.67</v>
      </c>
      <c r="F55" s="156">
        <v>501349.95</v>
      </c>
      <c r="G55" s="641">
        <v>1843.2800000000279</v>
      </c>
      <c r="H55" s="99">
        <v>6866.9500000000116</v>
      </c>
      <c r="I55" s="748"/>
      <c r="J55" s="328">
        <v>1716.7375000000029</v>
      </c>
      <c r="K55" s="838">
        <v>501349.95</v>
      </c>
    </row>
    <row r="56" spans="1:12" ht="23.25">
      <c r="A56" s="928" t="s">
        <v>179</v>
      </c>
      <c r="B56" s="966"/>
      <c r="C56" s="966"/>
      <c r="D56" s="930" t="s">
        <v>180</v>
      </c>
      <c r="E56" s="748">
        <v>151179.51</v>
      </c>
      <c r="F56" s="156">
        <v>151179.5</v>
      </c>
      <c r="G56" s="641">
        <v>-1.0000000009313226E-2</v>
      </c>
      <c r="H56" s="99">
        <v>1460.5</v>
      </c>
      <c r="I56" s="748"/>
      <c r="J56" s="328">
        <v>365.125</v>
      </c>
      <c r="K56" s="838">
        <v>151179.5</v>
      </c>
    </row>
    <row r="57" spans="1:12" ht="23.25">
      <c r="A57" s="928" t="s">
        <v>169</v>
      </c>
      <c r="B57" s="966"/>
      <c r="C57" s="966"/>
      <c r="D57" s="930" t="s">
        <v>130</v>
      </c>
      <c r="E57" s="748">
        <v>418112.71</v>
      </c>
      <c r="F57" s="156">
        <v>421146.03</v>
      </c>
      <c r="G57" s="641">
        <v>3033.320000000007</v>
      </c>
      <c r="H57" s="99">
        <v>12068.030000000028</v>
      </c>
      <c r="I57" s="748"/>
      <c r="J57" s="328">
        <v>3017.007500000007</v>
      </c>
      <c r="K57" s="838">
        <v>421146.03</v>
      </c>
    </row>
    <row r="58" spans="1:12" ht="23.25">
      <c r="A58" s="928" t="s">
        <v>181</v>
      </c>
      <c r="B58" s="966"/>
      <c r="C58" s="966"/>
      <c r="D58" s="930" t="s">
        <v>130</v>
      </c>
      <c r="E58" s="748">
        <v>64905.79</v>
      </c>
      <c r="F58" s="156">
        <v>65162.42</v>
      </c>
      <c r="G58" s="641">
        <v>256.62999999999738</v>
      </c>
      <c r="H58" s="99">
        <v>1011.4199999999983</v>
      </c>
      <c r="I58" s="748"/>
      <c r="J58" s="328">
        <v>252.85499999999956</v>
      </c>
      <c r="K58" s="838">
        <v>65162.42</v>
      </c>
    </row>
    <row r="59" spans="1:12" ht="23.25">
      <c r="A59" s="934" t="s">
        <v>173</v>
      </c>
      <c r="B59" s="935"/>
      <c r="C59" s="935"/>
      <c r="D59" s="924"/>
      <c r="E59" s="748"/>
      <c r="F59" s="847"/>
      <c r="G59" s="491">
        <v>15759.419999999918</v>
      </c>
      <c r="H59" s="99">
        <v>63628.250000000022</v>
      </c>
      <c r="I59" s="748">
        <v>317.80000000008295</v>
      </c>
      <c r="J59" s="328">
        <v>15907.062500000005</v>
      </c>
    </row>
    <row r="60" spans="1:12" ht="23.25">
      <c r="A60" s="928"/>
      <c r="B60" s="929"/>
      <c r="C60" s="929"/>
      <c r="D60" s="924" t="s">
        <v>182</v>
      </c>
      <c r="E60" s="748"/>
      <c r="F60" s="847"/>
      <c r="G60" s="491">
        <v>24956.199999999917</v>
      </c>
      <c r="H60" s="99">
        <v>97574.260000000038</v>
      </c>
      <c r="I60" s="748">
        <v>-375.80000000001019</v>
      </c>
      <c r="J60" s="328">
        <v>24393.56500000001</v>
      </c>
    </row>
    <row r="61" spans="1:12" s="968" customFormat="1" ht="23.25">
      <c r="A61" s="1234" t="s">
        <v>332</v>
      </c>
      <c r="B61" s="1234"/>
      <c r="C61" s="1234"/>
      <c r="D61" s="967"/>
      <c r="E61" s="811"/>
      <c r="F61" s="811"/>
      <c r="G61" s="812"/>
      <c r="H61" s="811"/>
      <c r="I61" s="811"/>
      <c r="J61" s="661"/>
      <c r="K61" s="838"/>
      <c r="L61" s="838"/>
    </row>
    <row r="62" spans="1:12" ht="23.25">
      <c r="A62" s="1232" t="s">
        <v>198</v>
      </c>
      <c r="B62" s="1232"/>
      <c r="C62" s="1232"/>
      <c r="D62" s="930" t="s">
        <v>142</v>
      </c>
      <c r="E62" s="748">
        <v>302343</v>
      </c>
      <c r="F62" s="847">
        <v>302418</v>
      </c>
      <c r="G62" s="941">
        <v>75</v>
      </c>
      <c r="H62" s="748">
        <v>353</v>
      </c>
      <c r="I62" s="760"/>
      <c r="J62" s="328">
        <v>88.25</v>
      </c>
      <c r="K62" s="838">
        <v>302418</v>
      </c>
    </row>
    <row r="63" spans="1:12" ht="23.25">
      <c r="A63" s="1232" t="s">
        <v>199</v>
      </c>
      <c r="B63" s="1232"/>
      <c r="C63" s="1232"/>
      <c r="D63" s="930" t="s">
        <v>142</v>
      </c>
      <c r="E63" s="748">
        <v>245139</v>
      </c>
      <c r="F63" s="847">
        <v>245139</v>
      </c>
      <c r="G63" s="941">
        <v>0</v>
      </c>
      <c r="H63" s="748">
        <v>0</v>
      </c>
      <c r="I63" s="760"/>
      <c r="J63" s="328">
        <v>0</v>
      </c>
      <c r="K63" s="838">
        <v>245139</v>
      </c>
    </row>
    <row r="64" spans="1:12" ht="23.25">
      <c r="A64" s="1221" t="s">
        <v>200</v>
      </c>
      <c r="B64" s="1221"/>
      <c r="C64" s="1221"/>
      <c r="D64" s="930"/>
      <c r="E64" s="748">
        <v>0</v>
      </c>
      <c r="F64" s="847"/>
      <c r="G64" s="941">
        <v>75</v>
      </c>
      <c r="H64" s="748">
        <v>353</v>
      </c>
      <c r="I64" s="760"/>
      <c r="J64" s="328">
        <v>88.25</v>
      </c>
    </row>
    <row r="65" spans="1:11" ht="23.25">
      <c r="A65" s="1232" t="s">
        <v>201</v>
      </c>
      <c r="B65" s="1232"/>
      <c r="C65" s="1232"/>
      <c r="D65" s="930" t="s">
        <v>142</v>
      </c>
      <c r="E65" s="748">
        <v>461138</v>
      </c>
      <c r="F65" s="847">
        <v>461227</v>
      </c>
      <c r="G65" s="941">
        <v>89</v>
      </c>
      <c r="H65" s="748">
        <v>403</v>
      </c>
      <c r="I65" s="760"/>
      <c r="J65" s="328">
        <v>100.75</v>
      </c>
      <c r="K65" s="838">
        <v>461227</v>
      </c>
    </row>
    <row r="66" spans="1:11" ht="23.25">
      <c r="A66" s="816" t="s">
        <v>202</v>
      </c>
      <c r="B66" s="937"/>
      <c r="C66" s="937"/>
      <c r="D66" s="930" t="s">
        <v>142</v>
      </c>
      <c r="E66" s="748">
        <v>112630</v>
      </c>
      <c r="F66" s="847">
        <v>112638</v>
      </c>
      <c r="G66" s="941">
        <v>8</v>
      </c>
      <c r="H66" s="748">
        <v>33</v>
      </c>
      <c r="I66" s="760"/>
      <c r="J66" s="328">
        <v>8.25</v>
      </c>
      <c r="K66" s="838">
        <v>112638</v>
      </c>
    </row>
    <row r="67" spans="1:11" ht="23.25">
      <c r="A67" s="816" t="s">
        <v>203</v>
      </c>
      <c r="B67" s="937"/>
      <c r="C67" s="937"/>
      <c r="D67" s="930" t="s">
        <v>142</v>
      </c>
      <c r="E67" s="748">
        <v>114790</v>
      </c>
      <c r="F67" s="847">
        <v>114807</v>
      </c>
      <c r="G67" s="941">
        <v>17</v>
      </c>
      <c r="H67" s="748">
        <v>99</v>
      </c>
      <c r="I67" s="760"/>
      <c r="J67" s="328">
        <v>24.75</v>
      </c>
      <c r="K67" s="838">
        <v>114807</v>
      </c>
    </row>
    <row r="68" spans="1:11" ht="23.25">
      <c r="A68" s="816" t="s">
        <v>204</v>
      </c>
      <c r="B68" s="937"/>
      <c r="C68" s="937"/>
      <c r="D68" s="930" t="s">
        <v>142</v>
      </c>
      <c r="E68" s="748">
        <v>166646</v>
      </c>
      <c r="F68" s="847">
        <v>166684</v>
      </c>
      <c r="G68" s="941">
        <v>38</v>
      </c>
      <c r="H68" s="748">
        <v>103</v>
      </c>
      <c r="I68" s="760"/>
      <c r="J68" s="328">
        <v>25.75</v>
      </c>
      <c r="K68" s="838">
        <v>166684</v>
      </c>
    </row>
    <row r="69" spans="1:11" ht="23.25">
      <c r="A69" s="816" t="s">
        <v>205</v>
      </c>
      <c r="B69" s="937"/>
      <c r="C69" s="937"/>
      <c r="D69" s="930" t="s">
        <v>142</v>
      </c>
      <c r="E69" s="748">
        <v>12574</v>
      </c>
      <c r="F69" s="847">
        <v>12577</v>
      </c>
      <c r="G69" s="941">
        <v>3</v>
      </c>
      <c r="H69" s="748">
        <v>13</v>
      </c>
      <c r="I69" s="760"/>
      <c r="J69" s="328">
        <v>3.25</v>
      </c>
      <c r="K69" s="838">
        <v>12577</v>
      </c>
    </row>
    <row r="70" spans="1:11" ht="23.25">
      <c r="A70" s="816" t="s">
        <v>206</v>
      </c>
      <c r="B70" s="937"/>
      <c r="C70" s="937"/>
      <c r="D70" s="930" t="s">
        <v>142</v>
      </c>
      <c r="E70" s="748">
        <v>10368</v>
      </c>
      <c r="F70" s="847">
        <v>10376</v>
      </c>
      <c r="G70" s="941">
        <v>8</v>
      </c>
      <c r="H70" s="748">
        <v>43</v>
      </c>
      <c r="I70" s="760"/>
      <c r="J70" s="328">
        <v>10.75</v>
      </c>
      <c r="K70" s="838">
        <v>10376</v>
      </c>
    </row>
    <row r="71" spans="1:11" ht="23.25">
      <c r="A71" s="1221" t="s">
        <v>208</v>
      </c>
      <c r="B71" s="1221"/>
      <c r="C71" s="1221"/>
      <c r="D71" s="940"/>
      <c r="E71" s="113"/>
      <c r="F71" s="847"/>
      <c r="G71" s="818">
        <v>163</v>
      </c>
      <c r="H71" s="748">
        <v>694</v>
      </c>
      <c r="I71" s="819"/>
      <c r="J71" s="328">
        <v>173.5</v>
      </c>
    </row>
    <row r="72" spans="1:11" ht="23.25">
      <c r="A72" s="1225"/>
      <c r="B72" s="1225"/>
      <c r="C72" s="969"/>
      <c r="D72" s="926"/>
      <c r="E72" s="847" t="s">
        <v>207</v>
      </c>
      <c r="F72" s="847"/>
      <c r="G72" s="847"/>
      <c r="H72" s="847"/>
      <c r="I72" s="846"/>
      <c r="J72" s="327"/>
    </row>
    <row r="73" spans="1:11" ht="23.25">
      <c r="A73" s="1234" t="s">
        <v>333</v>
      </c>
      <c r="B73" s="1234"/>
      <c r="C73" s="1234"/>
      <c r="D73" s="967"/>
      <c r="E73" s="811"/>
      <c r="F73" s="811"/>
      <c r="G73" s="812"/>
      <c r="H73" s="812"/>
      <c r="I73" s="812"/>
      <c r="J73" s="340"/>
    </row>
    <row r="74" spans="1:11" ht="23.25">
      <c r="A74" s="1232" t="s">
        <v>220</v>
      </c>
      <c r="B74" s="1232"/>
      <c r="C74" s="1232"/>
      <c r="D74" s="930" t="s">
        <v>139</v>
      </c>
      <c r="E74" s="748">
        <v>976661.7</v>
      </c>
      <c r="F74" s="847">
        <v>976942.88</v>
      </c>
      <c r="G74" s="941">
        <v>281.18000000005122</v>
      </c>
      <c r="H74" s="748">
        <v>1131.8800000000047</v>
      </c>
      <c r="I74" s="819"/>
      <c r="J74" s="328">
        <v>282.97000000000116</v>
      </c>
      <c r="K74" s="838">
        <v>976942.88</v>
      </c>
    </row>
    <row r="75" spans="1:11" ht="23.25">
      <c r="A75" s="1232" t="s">
        <v>221</v>
      </c>
      <c r="B75" s="1232"/>
      <c r="C75" s="1232"/>
      <c r="D75" s="930" t="s">
        <v>139</v>
      </c>
      <c r="E75" s="748">
        <v>73587</v>
      </c>
      <c r="F75" s="847">
        <v>73586.8</v>
      </c>
      <c r="G75" s="941">
        <v>-0.19999999999708962</v>
      </c>
      <c r="H75" s="748">
        <v>0.80000000000291038</v>
      </c>
      <c r="I75" s="819"/>
      <c r="J75" s="328">
        <v>0.2000000000007276</v>
      </c>
      <c r="K75" s="838">
        <v>73586</v>
      </c>
    </row>
    <row r="76" spans="1:11" ht="23.25">
      <c r="A76" s="1218" t="s">
        <v>222</v>
      </c>
      <c r="B76" s="1218"/>
      <c r="C76" s="1218"/>
      <c r="D76" s="930" t="s">
        <v>139</v>
      </c>
      <c r="E76" s="748">
        <v>197067</v>
      </c>
      <c r="F76" s="847">
        <v>197151.8</v>
      </c>
      <c r="G76" s="941">
        <v>84.799999999988358</v>
      </c>
      <c r="H76" s="748">
        <v>415.79999999998836</v>
      </c>
      <c r="I76" s="819"/>
      <c r="J76" s="328">
        <v>103.94999999999709</v>
      </c>
      <c r="K76" s="838">
        <v>197067.7</v>
      </c>
    </row>
    <row r="77" spans="1:11" ht="23.25">
      <c r="A77" s="1218" t="s">
        <v>223</v>
      </c>
      <c r="B77" s="1218"/>
      <c r="C77" s="1218"/>
      <c r="D77" s="930" t="s">
        <v>139</v>
      </c>
      <c r="E77" s="748">
        <v>53462</v>
      </c>
      <c r="F77" s="847">
        <v>53508.800000000003</v>
      </c>
      <c r="G77" s="941">
        <v>46.80000000000291</v>
      </c>
      <c r="H77" s="748">
        <v>156.80000000000291</v>
      </c>
      <c r="I77" s="819"/>
      <c r="J77" s="328">
        <v>39.200000000000728</v>
      </c>
      <c r="K77" s="838">
        <v>53462</v>
      </c>
    </row>
    <row r="78" spans="1:11" ht="23.25">
      <c r="A78" s="1218" t="s">
        <v>224</v>
      </c>
      <c r="B78" s="1218"/>
      <c r="C78" s="1218"/>
      <c r="D78" s="930" t="s">
        <v>139</v>
      </c>
      <c r="E78" s="748">
        <v>9563</v>
      </c>
      <c r="F78" s="847">
        <v>9563</v>
      </c>
      <c r="G78" s="941">
        <v>0</v>
      </c>
      <c r="H78" s="748">
        <v>-0.3999999999996362</v>
      </c>
      <c r="I78" s="760"/>
      <c r="J78" s="328">
        <v>-9.9999999999909051E-2</v>
      </c>
      <c r="K78" s="838">
        <v>9563</v>
      </c>
    </row>
    <row r="79" spans="1:11" ht="23.25">
      <c r="A79" s="1218" t="s">
        <v>225</v>
      </c>
      <c r="B79" s="1218"/>
      <c r="C79" s="1218"/>
      <c r="D79" s="930"/>
      <c r="E79" s="748">
        <v>0</v>
      </c>
      <c r="F79" s="847"/>
      <c r="G79" s="641">
        <v>564.4199999999546</v>
      </c>
      <c r="H79" s="748">
        <v>2265.1200000000008</v>
      </c>
      <c r="I79" s="760"/>
      <c r="J79" s="328"/>
    </row>
    <row r="80" spans="1:11" ht="23.25">
      <c r="A80" s="1221" t="s">
        <v>329</v>
      </c>
      <c r="B80" s="1221"/>
      <c r="C80" s="1221"/>
      <c r="D80" s="930"/>
      <c r="E80" s="759"/>
      <c r="F80" s="847"/>
      <c r="G80" s="941">
        <v>977</v>
      </c>
      <c r="H80" s="748">
        <v>3003</v>
      </c>
      <c r="I80" s="760"/>
      <c r="J80" s="328"/>
    </row>
    <row r="81" spans="1:12" ht="23.25">
      <c r="A81" s="1226" t="s">
        <v>226</v>
      </c>
      <c r="B81" s="1226"/>
      <c r="C81" s="1226"/>
      <c r="D81" s="927"/>
      <c r="E81" s="744"/>
      <c r="F81" s="744"/>
      <c r="G81" s="825"/>
      <c r="H81" s="825"/>
      <c r="I81" s="825"/>
      <c r="J81" s="163"/>
    </row>
    <row r="82" spans="1:12" ht="23.25">
      <c r="A82" s="816" t="s">
        <v>227</v>
      </c>
      <c r="B82" s="937"/>
      <c r="C82" s="937"/>
      <c r="D82" s="930" t="s">
        <v>228</v>
      </c>
      <c r="E82" s="748">
        <v>0</v>
      </c>
      <c r="F82" s="847"/>
      <c r="G82" s="941">
        <v>0</v>
      </c>
      <c r="H82" s="748">
        <v>0</v>
      </c>
      <c r="I82" s="748"/>
      <c r="J82" s="328">
        <v>0</v>
      </c>
    </row>
    <row r="83" spans="1:12" ht="23.25">
      <c r="A83" s="816" t="s">
        <v>229</v>
      </c>
      <c r="B83" s="937"/>
      <c r="C83" s="937"/>
      <c r="D83" s="930" t="s">
        <v>228</v>
      </c>
      <c r="E83" s="748">
        <v>0</v>
      </c>
      <c r="F83" s="847"/>
      <c r="G83" s="941">
        <v>0</v>
      </c>
      <c r="H83" s="748">
        <v>0</v>
      </c>
      <c r="I83" s="748"/>
      <c r="J83" s="328">
        <v>0</v>
      </c>
    </row>
    <row r="84" spans="1:12" ht="23.25">
      <c r="A84" s="816" t="s">
        <v>230</v>
      </c>
      <c r="B84" s="937"/>
      <c r="C84" s="937"/>
      <c r="D84" s="930" t="s">
        <v>228</v>
      </c>
      <c r="E84" s="748">
        <v>43366</v>
      </c>
      <c r="F84" s="847">
        <v>43366.18</v>
      </c>
      <c r="G84" s="640">
        <v>0.18000000000029104</v>
      </c>
      <c r="H84" s="748">
        <v>-0.62000000000261934</v>
      </c>
      <c r="I84" s="748"/>
      <c r="J84" s="328">
        <v>-0.15500000000065484</v>
      </c>
      <c r="K84" s="838">
        <v>43366.18</v>
      </c>
    </row>
    <row r="85" spans="1:12" ht="23.25">
      <c r="A85" s="816" t="s">
        <v>231</v>
      </c>
      <c r="B85" s="937"/>
      <c r="C85" s="937"/>
      <c r="D85" s="930" t="s">
        <v>228</v>
      </c>
      <c r="E85" s="748">
        <v>5537.11</v>
      </c>
      <c r="F85" s="847">
        <v>5561</v>
      </c>
      <c r="G85" s="640">
        <v>23.890000000000327</v>
      </c>
      <c r="H85" s="748">
        <v>85</v>
      </c>
      <c r="I85" s="748"/>
      <c r="J85" s="328">
        <v>21.25</v>
      </c>
      <c r="K85" s="838">
        <v>5561</v>
      </c>
    </row>
    <row r="86" spans="1:12" ht="23.25">
      <c r="A86" s="816" t="s">
        <v>232</v>
      </c>
      <c r="B86" s="937"/>
      <c r="C86" s="937"/>
      <c r="D86" s="930" t="s">
        <v>228</v>
      </c>
      <c r="E86" s="748">
        <v>46307</v>
      </c>
      <c r="F86" s="847">
        <v>46320.4</v>
      </c>
      <c r="G86" s="641">
        <v>13.400000000001455</v>
      </c>
      <c r="H86" s="748">
        <v>48.980000000003201</v>
      </c>
      <c r="I86" s="748"/>
      <c r="J86" s="328">
        <v>12.2450000000008</v>
      </c>
      <c r="K86" s="838">
        <v>46320.4</v>
      </c>
      <c r="L86" s="838">
        <v>16</v>
      </c>
    </row>
    <row r="87" spans="1:12" ht="23.25">
      <c r="A87" s="816" t="s">
        <v>233</v>
      </c>
      <c r="B87" s="937"/>
      <c r="C87" s="937"/>
      <c r="D87" s="930" t="s">
        <v>228</v>
      </c>
      <c r="E87" s="748">
        <v>35644.1</v>
      </c>
      <c r="F87" s="847">
        <v>35644</v>
      </c>
      <c r="G87" s="641">
        <v>-9.9999999998544808E-2</v>
      </c>
      <c r="H87" s="748">
        <v>0</v>
      </c>
      <c r="I87" s="748">
        <v>37.370000000003529</v>
      </c>
      <c r="J87" s="328">
        <v>0</v>
      </c>
      <c r="K87" s="838">
        <v>35644</v>
      </c>
    </row>
    <row r="88" spans="1:12" ht="23.25">
      <c r="A88" s="816" t="s">
        <v>234</v>
      </c>
      <c r="B88" s="937"/>
      <c r="C88" s="937"/>
      <c r="D88" s="930" t="s">
        <v>228</v>
      </c>
      <c r="E88" s="748">
        <v>24440.560000000001</v>
      </c>
      <c r="F88" s="847">
        <v>24440.560000000001</v>
      </c>
      <c r="G88" s="641">
        <v>0</v>
      </c>
      <c r="H88" s="748">
        <v>16.600000000002183</v>
      </c>
      <c r="I88" s="748"/>
      <c r="J88" s="328">
        <v>4.1500000000005457</v>
      </c>
      <c r="K88" s="838">
        <v>24440.560000000001</v>
      </c>
    </row>
    <row r="89" spans="1:12" ht="23.25">
      <c r="A89" s="816" t="s">
        <v>235</v>
      </c>
      <c r="B89" s="937"/>
      <c r="C89" s="937"/>
      <c r="D89" s="930" t="s">
        <v>228</v>
      </c>
      <c r="E89" s="748">
        <v>28001.74</v>
      </c>
      <c r="F89" s="847">
        <v>28011.200000000001</v>
      </c>
      <c r="G89" s="641">
        <v>9.4599999999991269</v>
      </c>
      <c r="H89" s="748">
        <v>23.200000000000728</v>
      </c>
      <c r="I89" s="748">
        <v>9.4599999999991269</v>
      </c>
      <c r="J89" s="328">
        <v>5.8000000000001819</v>
      </c>
      <c r="K89" s="838">
        <v>28011.200000000001</v>
      </c>
    </row>
    <row r="90" spans="1:12" ht="23.25">
      <c r="A90" s="816" t="s">
        <v>236</v>
      </c>
      <c r="B90" s="937"/>
      <c r="C90" s="937"/>
      <c r="D90" s="930" t="s">
        <v>228</v>
      </c>
      <c r="E90" s="748">
        <v>73276.600000000006</v>
      </c>
      <c r="F90" s="847">
        <v>73287</v>
      </c>
      <c r="G90" s="641">
        <v>10.399999999994179</v>
      </c>
      <c r="H90" s="748">
        <v>43.259999999994761</v>
      </c>
      <c r="I90" s="748">
        <v>10.399999999994179</v>
      </c>
      <c r="J90" s="328">
        <v>10.81499999999869</v>
      </c>
      <c r="K90" s="838">
        <v>73287</v>
      </c>
    </row>
    <row r="91" spans="1:12" ht="23.25">
      <c r="A91" s="816" t="s">
        <v>237</v>
      </c>
      <c r="B91" s="937"/>
      <c r="C91" s="937"/>
      <c r="D91" s="930" t="s">
        <v>228</v>
      </c>
      <c r="E91" s="748">
        <v>4711.2299999999996</v>
      </c>
      <c r="F91" s="847">
        <v>4720.2299999999996</v>
      </c>
      <c r="G91" s="641">
        <v>9</v>
      </c>
      <c r="H91" s="748">
        <v>41.799999999999272</v>
      </c>
      <c r="I91" s="847"/>
      <c r="J91" s="328">
        <v>10.449999999999818</v>
      </c>
    </row>
    <row r="92" spans="1:12" ht="23.25">
      <c r="A92" s="816" t="s">
        <v>238</v>
      </c>
      <c r="B92" s="937"/>
      <c r="C92" s="937"/>
      <c r="D92" s="930" t="s">
        <v>228</v>
      </c>
      <c r="E92" s="748">
        <v>7000</v>
      </c>
      <c r="F92" s="847">
        <v>7000</v>
      </c>
      <c r="G92" s="641">
        <v>0</v>
      </c>
      <c r="H92" s="748">
        <v>0</v>
      </c>
      <c r="I92" s="847">
        <v>9</v>
      </c>
      <c r="J92" s="328">
        <v>0</v>
      </c>
    </row>
    <row r="93" spans="1:12" ht="23.25">
      <c r="A93" s="1233" t="s">
        <v>239</v>
      </c>
      <c r="B93" s="1233"/>
      <c r="C93" s="1233"/>
      <c r="D93" s="936"/>
      <c r="E93" s="744"/>
      <c r="F93" s="744"/>
      <c r="G93" s="764"/>
      <c r="H93" s="764"/>
      <c r="I93" s="764"/>
      <c r="J93" s="125"/>
    </row>
    <row r="94" spans="1:12" ht="23.25">
      <c r="A94" s="1232" t="s">
        <v>240</v>
      </c>
      <c r="B94" s="1232"/>
      <c r="C94" s="1232"/>
      <c r="D94" s="930" t="s">
        <v>130</v>
      </c>
      <c r="E94" s="748"/>
      <c r="F94" s="847"/>
      <c r="G94" s="970">
        <v>6996.3099999999395</v>
      </c>
      <c r="H94" s="970">
        <v>26877.690000000002</v>
      </c>
      <c r="I94" s="971"/>
      <c r="J94" s="328">
        <v>6719.4225000000006</v>
      </c>
    </row>
    <row r="95" spans="1:12" ht="23.25">
      <c r="A95" s="1232" t="s">
        <v>241</v>
      </c>
      <c r="B95" s="1232"/>
      <c r="C95" s="1232"/>
      <c r="D95" s="930" t="s">
        <v>23</v>
      </c>
      <c r="E95" s="748"/>
      <c r="F95" s="847"/>
      <c r="G95" s="972">
        <v>0.27681846957347234</v>
      </c>
      <c r="H95" s="970">
        <v>1.0852895960285174</v>
      </c>
      <c r="I95" s="973"/>
      <c r="J95" s="328">
        <v>0.27132239900712934</v>
      </c>
    </row>
    <row r="96" spans="1:12" ht="23.25">
      <c r="A96" s="1232" t="s">
        <v>242</v>
      </c>
      <c r="B96" s="1232"/>
      <c r="C96" s="1232"/>
      <c r="D96" s="930" t="s">
        <v>130</v>
      </c>
      <c r="E96" s="748"/>
      <c r="F96" s="847"/>
      <c r="G96" s="970">
        <v>7399.4499999999534</v>
      </c>
      <c r="H96" s="970">
        <v>27272.129999999946</v>
      </c>
      <c r="I96" s="971"/>
      <c r="J96" s="328">
        <v>6818.0324999999866</v>
      </c>
    </row>
    <row r="97" spans="1:11" ht="23.25">
      <c r="A97" s="1232" t="s">
        <v>243</v>
      </c>
      <c r="B97" s="1232"/>
      <c r="C97" s="1232"/>
      <c r="D97" s="930" t="s">
        <v>23</v>
      </c>
      <c r="E97" s="748"/>
      <c r="F97" s="847"/>
      <c r="G97" s="972">
        <v>0.29276924903062251</v>
      </c>
      <c r="H97" s="970">
        <v>1.1003071110944243</v>
      </c>
      <c r="I97" s="973"/>
      <c r="J97" s="328">
        <v>0.27507677777360606</v>
      </c>
    </row>
    <row r="98" spans="1:11" ht="23.25">
      <c r="A98" s="1232" t="s">
        <v>244</v>
      </c>
      <c r="B98" s="1232"/>
      <c r="C98" s="1232"/>
      <c r="D98" s="930" t="s">
        <v>130</v>
      </c>
      <c r="E98" s="748"/>
      <c r="F98" s="847"/>
      <c r="G98" s="970">
        <v>4052.8499999999767</v>
      </c>
      <c r="H98" s="970">
        <v>16678.75</v>
      </c>
      <c r="I98" s="974"/>
      <c r="J98" s="328">
        <v>4169.6875</v>
      </c>
    </row>
    <row r="99" spans="1:11" ht="23.25">
      <c r="A99" s="1232" t="s">
        <v>245</v>
      </c>
      <c r="B99" s="1232"/>
      <c r="C99" s="1232"/>
      <c r="D99" s="930" t="s">
        <v>23</v>
      </c>
      <c r="E99" s="748"/>
      <c r="F99" s="847"/>
      <c r="G99" s="972">
        <v>0.16035649283848924</v>
      </c>
      <c r="H99" s="970">
        <v>0.67330432549607933</v>
      </c>
      <c r="I99" s="974"/>
      <c r="J99" s="328">
        <v>0.16832608137401983</v>
      </c>
    </row>
    <row r="100" spans="1:11" ht="23.25">
      <c r="A100" s="1232" t="s">
        <v>246</v>
      </c>
      <c r="B100" s="1232"/>
      <c r="C100" s="1232"/>
      <c r="D100" s="930" t="s">
        <v>180</v>
      </c>
      <c r="E100" s="748"/>
      <c r="F100" s="847"/>
      <c r="G100" s="970">
        <v>2197.640000000014</v>
      </c>
      <c r="H100" s="970">
        <v>8903.5500000000375</v>
      </c>
      <c r="I100" s="971"/>
      <c r="J100" s="328">
        <v>2225.8875000000094</v>
      </c>
    </row>
    <row r="101" spans="1:11" ht="23.25">
      <c r="A101" s="1232" t="s">
        <v>247</v>
      </c>
      <c r="B101" s="1232"/>
      <c r="C101" s="1232"/>
      <c r="D101" s="930" t="s">
        <v>23</v>
      </c>
      <c r="E101" s="748"/>
      <c r="F101" s="847"/>
      <c r="G101" s="972">
        <v>8.6952599509377781E-2</v>
      </c>
      <c r="H101" s="970">
        <v>0.35960930175581968</v>
      </c>
      <c r="I101" s="974"/>
      <c r="J101" s="328">
        <v>8.9902325438954919E-2</v>
      </c>
    </row>
    <row r="102" spans="1:11" ht="23.25">
      <c r="A102" s="1232" t="s">
        <v>248</v>
      </c>
      <c r="B102" s="1232"/>
      <c r="C102" s="1232"/>
      <c r="D102" s="930" t="s">
        <v>180</v>
      </c>
      <c r="E102" s="748"/>
      <c r="F102" s="847"/>
      <c r="G102" s="970">
        <v>2106.5900000000256</v>
      </c>
      <c r="H102" s="970">
        <v>8960.4200000000419</v>
      </c>
      <c r="I102" s="974"/>
      <c r="J102" s="328">
        <v>2240.1050000000105</v>
      </c>
    </row>
    <row r="103" spans="1:11" ht="23.25">
      <c r="A103" s="1232" t="s">
        <v>249</v>
      </c>
      <c r="B103" s="1232"/>
      <c r="C103" s="1232"/>
      <c r="D103" s="930" t="s">
        <v>23</v>
      </c>
      <c r="E103" s="748"/>
      <c r="F103" s="847"/>
      <c r="G103" s="972">
        <v>8.3350083089341845E-2</v>
      </c>
      <c r="H103" s="970">
        <v>0.36125493293178501</v>
      </c>
      <c r="I103" s="971"/>
      <c r="J103" s="328">
        <v>9.0313733232946253E-2</v>
      </c>
    </row>
    <row r="104" spans="1:11" ht="23.25">
      <c r="A104" s="1232" t="s">
        <v>250</v>
      </c>
      <c r="B104" s="1232"/>
      <c r="C104" s="1232"/>
      <c r="D104" s="930" t="s">
        <v>180</v>
      </c>
      <c r="E104" s="748"/>
      <c r="F104" s="847"/>
      <c r="G104" s="970">
        <v>1024.9199999999983</v>
      </c>
      <c r="H104" s="970">
        <v>4068.4199999999983</v>
      </c>
      <c r="I104" s="971"/>
      <c r="J104" s="328">
        <v>1017.1049999999996</v>
      </c>
    </row>
    <row r="105" spans="1:11" ht="23.25">
      <c r="A105" s="1232" t="s">
        <v>251</v>
      </c>
      <c r="B105" s="1232"/>
      <c r="C105" s="1232"/>
      <c r="D105" s="930" t="s">
        <v>23</v>
      </c>
      <c r="E105" s="748"/>
      <c r="F105" s="847"/>
      <c r="G105" s="972">
        <v>4.0552346284719404E-2</v>
      </c>
      <c r="H105" s="970">
        <v>0.16424642999563246</v>
      </c>
      <c r="I105" s="971"/>
      <c r="J105" s="328">
        <v>4.1061607498908116E-2</v>
      </c>
    </row>
    <row r="106" spans="1:11" ht="23.25">
      <c r="A106" s="852"/>
      <c r="B106" s="926"/>
      <c r="C106" s="926"/>
      <c r="D106" s="926"/>
      <c r="E106" s="847"/>
      <c r="F106" s="847"/>
      <c r="G106" s="847"/>
      <c r="H106" s="847"/>
      <c r="I106" s="846"/>
      <c r="J106" s="327"/>
    </row>
    <row r="107" spans="1:11" ht="23.25">
      <c r="A107" s="852"/>
      <c r="B107" s="926"/>
      <c r="C107" s="926"/>
      <c r="D107" s="926"/>
      <c r="E107" s="847"/>
      <c r="F107" s="847"/>
      <c r="G107" s="847"/>
      <c r="H107" s="847"/>
      <c r="I107" s="846"/>
      <c r="J107" s="327"/>
    </row>
    <row r="108" spans="1:11" ht="23.25">
      <c r="A108" s="1220" t="s">
        <v>324</v>
      </c>
      <c r="B108" s="1220"/>
      <c r="C108" s="1220"/>
      <c r="D108" s="1220"/>
      <c r="E108" s="1220"/>
      <c r="F108" s="1220"/>
      <c r="G108" s="1220"/>
      <c r="H108" s="1220"/>
      <c r="I108" s="1220"/>
      <c r="J108" s="1220"/>
    </row>
    <row r="109" spans="1:11" ht="23.25">
      <c r="A109" s="1235"/>
      <c r="B109" s="1235"/>
      <c r="C109" s="926"/>
      <c r="D109" s="926"/>
      <c r="E109" s="847"/>
      <c r="F109" s="847"/>
      <c r="G109" s="847"/>
      <c r="H109" s="847"/>
      <c r="I109" s="846"/>
      <c r="J109" s="327"/>
    </row>
    <row r="110" spans="1:11" ht="23.25">
      <c r="A110" s="1220" t="s">
        <v>165</v>
      </c>
      <c r="B110" s="1220"/>
      <c r="C110" s="1220"/>
      <c r="D110" s="1220"/>
      <c r="E110" s="1220"/>
      <c r="F110" s="1220"/>
      <c r="G110" s="1220"/>
      <c r="H110" s="1220"/>
      <c r="I110" s="1220"/>
      <c r="J110" s="1220"/>
    </row>
    <row r="111" spans="1:11" ht="23.25">
      <c r="A111" s="1228"/>
      <c r="B111" s="1228"/>
      <c r="C111" s="1228"/>
      <c r="D111" s="926"/>
      <c r="E111" s="847"/>
      <c r="F111" s="847"/>
      <c r="G111" s="847"/>
      <c r="H111" s="847"/>
      <c r="I111" s="846"/>
      <c r="J111" s="327"/>
    </row>
    <row r="112" spans="1:11" ht="23.25">
      <c r="A112" s="1225" t="s">
        <v>252</v>
      </c>
      <c r="B112" s="1225"/>
      <c r="C112" s="1225"/>
      <c r="D112" s="924" t="s">
        <v>183</v>
      </c>
      <c r="E112" s="748">
        <v>11880.2</v>
      </c>
      <c r="F112" s="156">
        <v>11949</v>
      </c>
      <c r="G112" s="641">
        <v>68.799999999999272</v>
      </c>
      <c r="H112" s="99">
        <v>286</v>
      </c>
      <c r="I112" s="846"/>
      <c r="J112" s="328">
        <v>71.5</v>
      </c>
      <c r="K112" s="838">
        <v>11949</v>
      </c>
    </row>
    <row r="113" spans="1:15" ht="29.25" customHeight="1">
      <c r="A113" s="1225" t="s">
        <v>253</v>
      </c>
      <c r="B113" s="1225"/>
      <c r="C113" s="1225"/>
      <c r="D113" s="924" t="s">
        <v>183</v>
      </c>
      <c r="E113" s="748">
        <v>23936.799999999999</v>
      </c>
      <c r="F113" s="156">
        <v>24071.599999999999</v>
      </c>
      <c r="G113" s="641">
        <v>134.79999999999927</v>
      </c>
      <c r="H113" s="99">
        <v>550.59999999999854</v>
      </c>
      <c r="I113" s="846"/>
      <c r="J113" s="328">
        <v>137.64999999999964</v>
      </c>
      <c r="K113" s="838">
        <v>24071.599999999999</v>
      </c>
    </row>
    <row r="114" spans="1:15" ht="29.25" customHeight="1">
      <c r="A114" s="1225" t="s">
        <v>254</v>
      </c>
      <c r="B114" s="1225"/>
      <c r="C114" s="1225"/>
      <c r="D114" s="924" t="s">
        <v>183</v>
      </c>
      <c r="E114" s="748">
        <v>35442</v>
      </c>
      <c r="F114" s="156">
        <v>35665.4</v>
      </c>
      <c r="G114" s="641">
        <v>223.40000000000146</v>
      </c>
      <c r="H114" s="99">
        <v>890.40000000000146</v>
      </c>
      <c r="I114" s="846"/>
      <c r="J114" s="328">
        <v>222.60000000000036</v>
      </c>
      <c r="K114" s="838">
        <v>35665.4</v>
      </c>
    </row>
    <row r="115" spans="1:15" ht="29.25" customHeight="1">
      <c r="A115" s="1225" t="s">
        <v>255</v>
      </c>
      <c r="B115" s="1225"/>
      <c r="C115" s="1225"/>
      <c r="D115" s="924" t="s">
        <v>183</v>
      </c>
      <c r="E115" s="748">
        <v>22382.9</v>
      </c>
      <c r="F115" s="156">
        <v>22426.1</v>
      </c>
      <c r="G115" s="641">
        <v>43.19999999999709</v>
      </c>
      <c r="H115" s="99">
        <v>373.09999999999854</v>
      </c>
      <c r="I115" s="846"/>
      <c r="J115" s="328">
        <v>93.274999999999636</v>
      </c>
      <c r="K115" s="838">
        <v>42626.1</v>
      </c>
    </row>
    <row r="116" spans="1:15" ht="29.25" customHeight="1">
      <c r="A116" s="1229" t="s">
        <v>96</v>
      </c>
      <c r="B116" s="1229"/>
      <c r="C116" s="1229"/>
      <c r="D116" s="924" t="s">
        <v>183</v>
      </c>
      <c r="E116" s="748">
        <v>98372.3</v>
      </c>
      <c r="F116" s="156">
        <v>98624.9</v>
      </c>
      <c r="G116" s="641">
        <v>252.59999999999127</v>
      </c>
      <c r="H116" s="99">
        <v>1489.8999999999942</v>
      </c>
      <c r="I116" s="846"/>
      <c r="J116" s="328">
        <v>372.47499999999854</v>
      </c>
      <c r="K116" s="838">
        <v>98624.9</v>
      </c>
      <c r="N116" s="1230"/>
      <c r="O116" s="1231"/>
    </row>
    <row r="117" spans="1:15" ht="29.25" customHeight="1">
      <c r="A117" s="1229" t="s">
        <v>184</v>
      </c>
      <c r="B117" s="1229"/>
      <c r="C117" s="1229"/>
      <c r="D117" s="924" t="s">
        <v>183</v>
      </c>
      <c r="E117" s="748">
        <v>57512.9</v>
      </c>
      <c r="F117" s="156">
        <v>57851</v>
      </c>
      <c r="G117" s="641">
        <v>338.09999999999854</v>
      </c>
      <c r="H117" s="99">
        <v>1346</v>
      </c>
      <c r="I117" s="846"/>
      <c r="J117" s="328">
        <v>336.5</v>
      </c>
      <c r="K117" s="838">
        <v>57851</v>
      </c>
      <c r="N117" s="1230"/>
      <c r="O117" s="1231"/>
    </row>
    <row r="118" spans="1:15" ht="23.25">
      <c r="A118" s="1218" t="s">
        <v>97</v>
      </c>
      <c r="B118" s="1218"/>
      <c r="C118" s="1218"/>
      <c r="D118" s="930" t="s">
        <v>183</v>
      </c>
      <c r="E118" s="748">
        <v>103496.9</v>
      </c>
      <c r="F118" s="156">
        <v>104143.4</v>
      </c>
      <c r="G118" s="641">
        <v>646.5</v>
      </c>
      <c r="H118" s="99">
        <v>2389.3999999999942</v>
      </c>
      <c r="I118" s="846"/>
      <c r="J118" s="328">
        <v>597.34999999999854</v>
      </c>
      <c r="K118" s="838">
        <v>104143.4</v>
      </c>
      <c r="N118" s="1230"/>
      <c r="O118" s="1231"/>
    </row>
    <row r="119" spans="1:15" ht="23.25">
      <c r="A119" s="1218" t="s">
        <v>98</v>
      </c>
      <c r="B119" s="1218"/>
      <c r="C119" s="1218"/>
      <c r="D119" s="930" t="s">
        <v>183</v>
      </c>
      <c r="E119" s="748">
        <v>42614.7</v>
      </c>
      <c r="F119" s="156">
        <v>42626.1</v>
      </c>
      <c r="G119" s="641">
        <v>11.400000000001455</v>
      </c>
      <c r="H119" s="99">
        <v>45.099999999998545</v>
      </c>
      <c r="I119" s="846"/>
      <c r="J119" s="328">
        <v>11.274999999999636</v>
      </c>
      <c r="K119" s="838">
        <v>42626.1</v>
      </c>
    </row>
    <row r="120" spans="1:15" ht="23.25">
      <c r="A120" s="1218" t="s">
        <v>99</v>
      </c>
      <c r="B120" s="1218"/>
      <c r="C120" s="1218"/>
      <c r="D120" s="930" t="s">
        <v>183</v>
      </c>
      <c r="E120" s="748">
        <v>72603.5</v>
      </c>
      <c r="F120" s="156">
        <v>72992.800000000003</v>
      </c>
      <c r="G120" s="641">
        <v>389.30000000000291</v>
      </c>
      <c r="H120" s="99">
        <v>1660.8000000000029</v>
      </c>
      <c r="I120" s="846"/>
      <c r="J120" s="328">
        <v>415.20000000000073</v>
      </c>
      <c r="K120" s="838">
        <v>72992.800000000003</v>
      </c>
    </row>
    <row r="121" spans="1:15" ht="23.25">
      <c r="A121" s="1218" t="s">
        <v>100</v>
      </c>
      <c r="B121" s="1218"/>
      <c r="C121" s="1218"/>
      <c r="D121" s="930" t="s">
        <v>183</v>
      </c>
      <c r="E121" s="748">
        <v>82747</v>
      </c>
      <c r="F121" s="156">
        <v>83188.600000000006</v>
      </c>
      <c r="G121" s="641">
        <v>441.60000000000582</v>
      </c>
      <c r="H121" s="99">
        <v>1832.6000000000058</v>
      </c>
      <c r="I121" s="846"/>
      <c r="J121" s="328">
        <v>458.15000000000146</v>
      </c>
      <c r="K121" s="838">
        <v>83188.600000000006</v>
      </c>
    </row>
    <row r="122" spans="1:15" ht="23.25">
      <c r="A122" s="1218" t="s">
        <v>101</v>
      </c>
      <c r="B122" s="1218"/>
      <c r="C122" s="1218"/>
      <c r="D122" s="930" t="s">
        <v>183</v>
      </c>
      <c r="E122" s="748">
        <v>50223.3</v>
      </c>
      <c r="F122" s="156">
        <v>50605.5</v>
      </c>
      <c r="G122" s="641">
        <v>382.19999999999709</v>
      </c>
      <c r="H122" s="99">
        <v>1474.5</v>
      </c>
      <c r="I122" s="846"/>
      <c r="J122" s="328">
        <v>368.625</v>
      </c>
      <c r="K122" s="838">
        <v>50605.5</v>
      </c>
    </row>
    <row r="123" spans="1:15" ht="23.25">
      <c r="A123" s="1218" t="s">
        <v>102</v>
      </c>
      <c r="B123" s="1218"/>
      <c r="C123" s="1218"/>
      <c r="D123" s="930" t="s">
        <v>183</v>
      </c>
      <c r="E123" s="748">
        <v>50696</v>
      </c>
      <c r="F123" s="156">
        <v>50996.7</v>
      </c>
      <c r="G123" s="641">
        <v>300.69999999999709</v>
      </c>
      <c r="H123" s="99">
        <v>1247.6999999999971</v>
      </c>
      <c r="I123" s="846"/>
      <c r="J123" s="328">
        <v>311.92499999999927</v>
      </c>
      <c r="K123" s="838">
        <v>50996.7</v>
      </c>
    </row>
    <row r="124" spans="1:15" ht="29.25" customHeight="1">
      <c r="A124" s="1228"/>
      <c r="B124" s="1228"/>
      <c r="C124" s="1228"/>
      <c r="D124" s="926"/>
      <c r="E124" s="847"/>
      <c r="F124" s="847"/>
      <c r="G124" s="847"/>
      <c r="H124" s="748"/>
      <c r="I124" s="846"/>
      <c r="J124" s="327"/>
    </row>
    <row r="125" spans="1:15" ht="23.25">
      <c r="A125" s="975" t="s">
        <v>196</v>
      </c>
      <c r="B125" s="976"/>
      <c r="C125" s="976"/>
      <c r="D125" s="930"/>
      <c r="E125" s="847"/>
      <c r="F125" s="847"/>
      <c r="G125" s="941">
        <v>3232.5999999999913</v>
      </c>
      <c r="H125" s="847"/>
      <c r="I125" s="846">
        <v>-820.24999999998545</v>
      </c>
      <c r="J125" s="327"/>
    </row>
    <row r="126" spans="1:15" ht="23.25">
      <c r="A126" s="1220" t="s">
        <v>317</v>
      </c>
      <c r="B126" s="1220"/>
      <c r="C126" s="1220"/>
      <c r="D126" s="1220"/>
      <c r="E126" s="1220"/>
      <c r="F126" s="1220"/>
      <c r="G126" s="1220"/>
      <c r="H126" s="1220"/>
      <c r="I126" s="1220"/>
      <c r="J126" s="1220"/>
    </row>
    <row r="127" spans="1:15" ht="23.25">
      <c r="A127" s="1225"/>
      <c r="B127" s="1225"/>
      <c r="C127" s="926"/>
      <c r="D127" s="930"/>
      <c r="E127" s="847"/>
      <c r="F127" s="847"/>
      <c r="G127" s="941"/>
      <c r="H127" s="748">
        <v>0</v>
      </c>
      <c r="I127" s="846"/>
      <c r="J127" s="328">
        <v>0</v>
      </c>
    </row>
    <row r="128" spans="1:15" ht="29.25" customHeight="1">
      <c r="A128" s="1225" t="s">
        <v>318</v>
      </c>
      <c r="B128" s="1225"/>
      <c r="C128" s="1225"/>
      <c r="D128" s="930" t="s">
        <v>183</v>
      </c>
      <c r="E128" s="99">
        <v>156144.65</v>
      </c>
      <c r="F128" s="847">
        <v>156616.35</v>
      </c>
      <c r="G128" s="941">
        <v>471.70000000001164</v>
      </c>
      <c r="H128" s="748">
        <v>1801.3500000000058</v>
      </c>
      <c r="I128" s="846"/>
      <c r="J128" s="328">
        <v>450.33750000000146</v>
      </c>
      <c r="K128" s="838">
        <v>156616.35</v>
      </c>
    </row>
    <row r="129" spans="1:12" ht="23.25">
      <c r="A129" s="977" t="s">
        <v>319</v>
      </c>
      <c r="B129" s="978"/>
      <c r="C129" s="978"/>
      <c r="D129" s="930" t="s">
        <v>183</v>
      </c>
      <c r="E129" s="99">
        <v>84402.23</v>
      </c>
      <c r="F129" s="887">
        <v>84595.93</v>
      </c>
      <c r="G129" s="941">
        <v>193.69999999999709</v>
      </c>
      <c r="H129" s="748">
        <v>659.92999999999302</v>
      </c>
      <c r="I129" s="846"/>
      <c r="J129" s="328">
        <v>164.98249999999825</v>
      </c>
      <c r="K129" s="979">
        <v>84595.93</v>
      </c>
      <c r="L129" s="980"/>
    </row>
    <row r="130" spans="1:12" ht="23.25">
      <c r="A130" s="977" t="s">
        <v>320</v>
      </c>
      <c r="B130" s="978"/>
      <c r="C130" s="978"/>
      <c r="D130" s="930" t="s">
        <v>183</v>
      </c>
      <c r="E130" s="99">
        <v>208667.75</v>
      </c>
      <c r="F130" s="887">
        <v>209426.73</v>
      </c>
      <c r="G130" s="941">
        <v>758.98000000001048</v>
      </c>
      <c r="H130" s="748">
        <v>2667.7300000000105</v>
      </c>
      <c r="I130" s="846"/>
      <c r="J130" s="328">
        <v>666.93250000000262</v>
      </c>
      <c r="K130" s="979">
        <v>209426.73</v>
      </c>
      <c r="L130" s="980"/>
    </row>
    <row r="131" spans="1:12" ht="23.25">
      <c r="A131" s="1225" t="s">
        <v>321</v>
      </c>
      <c r="B131" s="1225"/>
      <c r="C131" s="1225"/>
      <c r="D131" s="930" t="s">
        <v>183</v>
      </c>
      <c r="E131" s="99">
        <v>60861.9</v>
      </c>
      <c r="F131" s="887">
        <v>61092.27</v>
      </c>
      <c r="G131" s="941">
        <v>230.36999999999534</v>
      </c>
      <c r="H131" s="748">
        <v>784.2699999999968</v>
      </c>
      <c r="I131" s="846"/>
      <c r="J131" s="328">
        <v>196.0674999999992</v>
      </c>
      <c r="K131" s="979">
        <v>61092.27</v>
      </c>
      <c r="L131" s="980"/>
    </row>
    <row r="132" spans="1:12" ht="23.25">
      <c r="A132" s="1225" t="s">
        <v>322</v>
      </c>
      <c r="B132" s="1225"/>
      <c r="C132" s="1225"/>
      <c r="D132" s="930" t="s">
        <v>183</v>
      </c>
      <c r="E132" s="99">
        <v>146985</v>
      </c>
      <c r="F132" s="847">
        <v>146985</v>
      </c>
      <c r="G132" s="941">
        <v>0</v>
      </c>
      <c r="H132" s="748">
        <v>0</v>
      </c>
      <c r="I132" s="846"/>
      <c r="J132" s="328">
        <v>0</v>
      </c>
      <c r="K132" s="838">
        <v>146985</v>
      </c>
    </row>
    <row r="133" spans="1:12" ht="23.25">
      <c r="A133" s="1225" t="s">
        <v>342</v>
      </c>
      <c r="B133" s="1225"/>
      <c r="C133" s="1225"/>
      <c r="D133" s="930" t="s">
        <v>183</v>
      </c>
      <c r="E133" s="99">
        <v>268457.77</v>
      </c>
      <c r="F133" s="847">
        <v>269324.84999999998</v>
      </c>
      <c r="G133" s="941">
        <v>867.07999999995809</v>
      </c>
      <c r="H133" s="748">
        <v>3379.8499999999767</v>
      </c>
      <c r="I133" s="846"/>
      <c r="J133" s="328">
        <v>844.96249999999418</v>
      </c>
      <c r="K133" s="838">
        <v>269324.84999999998</v>
      </c>
    </row>
    <row r="134" spans="1:12" ht="23.25">
      <c r="A134" s="1225" t="s">
        <v>340</v>
      </c>
      <c r="B134" s="1225"/>
      <c r="C134" s="1225"/>
      <c r="D134" s="930" t="s">
        <v>183</v>
      </c>
      <c r="E134" s="99">
        <v>64427.72</v>
      </c>
      <c r="F134" s="847">
        <v>64679.78</v>
      </c>
      <c r="G134" s="941">
        <v>252.05999999999767</v>
      </c>
      <c r="H134" s="748">
        <v>1017.7799999999988</v>
      </c>
      <c r="I134" s="846"/>
      <c r="J134" s="328">
        <v>254.44499999999971</v>
      </c>
      <c r="K134" s="838">
        <v>64679.78</v>
      </c>
    </row>
    <row r="135" spans="1:12" ht="23.25">
      <c r="A135" s="1221" t="s">
        <v>196</v>
      </c>
      <c r="B135" s="1221"/>
      <c r="C135" s="1221"/>
      <c r="D135" s="930"/>
      <c r="E135" s="748"/>
      <c r="F135" s="847"/>
      <c r="G135" s="941">
        <v>2773.8899999999703</v>
      </c>
      <c r="H135" s="748">
        <v>10310.909999999982</v>
      </c>
      <c r="I135" s="846">
        <v>-1189.0999999999622</v>
      </c>
      <c r="J135" s="328">
        <v>2577.7274999999954</v>
      </c>
    </row>
    <row r="136" spans="1:12" ht="23.25">
      <c r="A136" s="1220" t="s">
        <v>325</v>
      </c>
      <c r="B136" s="1220"/>
      <c r="C136" s="1220"/>
      <c r="D136" s="1220"/>
      <c r="E136" s="1220"/>
      <c r="F136" s="1220"/>
      <c r="G136" s="1220"/>
      <c r="H136" s="1220"/>
      <c r="I136" s="1220"/>
      <c r="J136" s="1220"/>
    </row>
    <row r="137" spans="1:12" ht="23.25">
      <c r="A137" s="852"/>
      <c r="B137" s="926"/>
      <c r="C137" s="926"/>
      <c r="D137" s="926"/>
      <c r="E137" s="847"/>
      <c r="F137" s="847"/>
      <c r="G137" s="847"/>
      <c r="H137" s="847"/>
      <c r="I137" s="846"/>
      <c r="J137" s="327"/>
    </row>
    <row r="138" spans="1:12" ht="23.25">
      <c r="A138" s="1218" t="s">
        <v>185</v>
      </c>
      <c r="B138" s="1218"/>
      <c r="C138" s="1218"/>
      <c r="D138" s="930" t="s">
        <v>183</v>
      </c>
      <c r="E138" s="99">
        <v>898638.31</v>
      </c>
      <c r="F138" s="847">
        <v>898773</v>
      </c>
      <c r="G138" s="941">
        <v>134.68999999994412</v>
      </c>
      <c r="H138" s="748">
        <v>568</v>
      </c>
      <c r="I138" s="760"/>
      <c r="J138" s="328">
        <v>142</v>
      </c>
      <c r="K138" s="838">
        <v>898773</v>
      </c>
    </row>
    <row r="139" spans="1:12" ht="23.25">
      <c r="A139" s="1218" t="s">
        <v>186</v>
      </c>
      <c r="B139" s="1218"/>
      <c r="C139" s="1218"/>
      <c r="D139" s="930" t="s">
        <v>183</v>
      </c>
      <c r="E139" s="99">
        <v>918648.31</v>
      </c>
      <c r="F139" s="847">
        <v>918816</v>
      </c>
      <c r="G139" s="941">
        <v>167.68999999994412</v>
      </c>
      <c r="H139" s="748">
        <v>612</v>
      </c>
      <c r="I139" s="760"/>
      <c r="J139" s="328">
        <v>153</v>
      </c>
      <c r="K139" s="838">
        <v>918816</v>
      </c>
    </row>
    <row r="140" spans="1:12" ht="23.25">
      <c r="A140" s="1218" t="s">
        <v>187</v>
      </c>
      <c r="B140" s="1218"/>
      <c r="C140" s="1218"/>
      <c r="D140" s="930" t="s">
        <v>183</v>
      </c>
      <c r="E140" s="99">
        <v>2375.6</v>
      </c>
      <c r="F140" s="847">
        <v>2387.1</v>
      </c>
      <c r="G140" s="941">
        <v>11.5</v>
      </c>
      <c r="H140" s="748">
        <v>44.099999999999909</v>
      </c>
      <c r="I140" s="760"/>
      <c r="J140" s="328">
        <v>11.024999999999977</v>
      </c>
      <c r="K140" s="838">
        <v>2387.1</v>
      </c>
    </row>
    <row r="141" spans="1:12" ht="23.25">
      <c r="A141" s="1217" t="s">
        <v>188</v>
      </c>
      <c r="B141" s="1217"/>
      <c r="C141" s="1217"/>
      <c r="D141" s="930" t="s">
        <v>183</v>
      </c>
      <c r="E141" s="99">
        <v>104453.8</v>
      </c>
      <c r="F141" s="847">
        <v>104662.5</v>
      </c>
      <c r="G141" s="941">
        <v>208.69999999999709</v>
      </c>
      <c r="H141" s="748">
        <v>888.5</v>
      </c>
      <c r="I141" s="760"/>
      <c r="J141" s="328">
        <v>222.125</v>
      </c>
      <c r="K141" s="838">
        <v>104662.5</v>
      </c>
    </row>
    <row r="142" spans="1:12" ht="23.25">
      <c r="A142" s="1217" t="s">
        <v>189</v>
      </c>
      <c r="B142" s="1217"/>
      <c r="C142" s="1217"/>
      <c r="D142" s="930" t="s">
        <v>183</v>
      </c>
      <c r="E142" s="99">
        <v>42095.8</v>
      </c>
      <c r="F142" s="847">
        <v>42183.6</v>
      </c>
      <c r="G142" s="941">
        <v>87.799999999995634</v>
      </c>
      <c r="H142" s="748">
        <v>368.59999999999854</v>
      </c>
      <c r="I142" s="795"/>
      <c r="J142" s="328">
        <v>92.149999999999636</v>
      </c>
      <c r="K142" s="838">
        <v>42183.6</v>
      </c>
    </row>
    <row r="143" spans="1:12" ht="23.25">
      <c r="A143" s="1218" t="s">
        <v>91</v>
      </c>
      <c r="B143" s="1218"/>
      <c r="C143" s="1218"/>
      <c r="D143" s="930" t="s">
        <v>183</v>
      </c>
      <c r="E143" s="99">
        <v>10748.7</v>
      </c>
      <c r="F143" s="847">
        <v>10779.2</v>
      </c>
      <c r="G143" s="941">
        <v>30.5</v>
      </c>
      <c r="H143" s="748">
        <v>102.20000000000073</v>
      </c>
      <c r="I143" s="795"/>
      <c r="J143" s="328">
        <v>25.550000000000182</v>
      </c>
      <c r="K143" s="838">
        <v>10719.2</v>
      </c>
    </row>
    <row r="144" spans="1:12" ht="23.25">
      <c r="A144" s="1217" t="s">
        <v>90</v>
      </c>
      <c r="B144" s="1217"/>
      <c r="C144" s="1217"/>
      <c r="D144" s="930" t="s">
        <v>183</v>
      </c>
      <c r="E144" s="99">
        <v>934224</v>
      </c>
      <c r="F144" s="847">
        <v>934450</v>
      </c>
      <c r="G144" s="941">
        <v>226</v>
      </c>
      <c r="H144" s="748">
        <v>929</v>
      </c>
      <c r="I144" s="795"/>
      <c r="J144" s="328">
        <v>232.25</v>
      </c>
      <c r="K144" s="838">
        <v>934224</v>
      </c>
    </row>
    <row r="145" spans="1:10" ht="23.25">
      <c r="A145" s="1218" t="s">
        <v>190</v>
      </c>
      <c r="B145" s="1218"/>
      <c r="C145" s="1218"/>
      <c r="D145" s="940" t="s">
        <v>183</v>
      </c>
      <c r="E145" s="99">
        <v>13822</v>
      </c>
      <c r="F145" s="847">
        <v>14054.7</v>
      </c>
      <c r="G145" s="941">
        <v>232.70000000000073</v>
      </c>
      <c r="H145" s="748">
        <v>914.70000000000073</v>
      </c>
      <c r="I145" s="795"/>
      <c r="J145" s="328">
        <v>228.67500000000018</v>
      </c>
    </row>
    <row r="146" spans="1:10" ht="23.25">
      <c r="A146" s="1218" t="s">
        <v>191</v>
      </c>
      <c r="B146" s="1218"/>
      <c r="C146" s="1218"/>
      <c r="D146" s="940" t="s">
        <v>183</v>
      </c>
      <c r="E146" s="99">
        <v>784505</v>
      </c>
      <c r="F146" s="847">
        <v>784546</v>
      </c>
      <c r="G146" s="941">
        <v>41</v>
      </c>
      <c r="H146" s="748">
        <v>207</v>
      </c>
      <c r="I146" s="795"/>
      <c r="J146" s="328">
        <v>51.75</v>
      </c>
    </row>
    <row r="147" spans="1:10" ht="23.25">
      <c r="A147" s="1217" t="s">
        <v>192</v>
      </c>
      <c r="B147" s="1217"/>
      <c r="C147" s="1217"/>
      <c r="D147" s="940" t="s">
        <v>183</v>
      </c>
      <c r="E147" s="99">
        <v>724722.64</v>
      </c>
      <c r="F147" s="847">
        <v>725090.8</v>
      </c>
      <c r="G147" s="941">
        <v>368.1600000000326</v>
      </c>
      <c r="H147" s="748">
        <v>1568.8000000000466</v>
      </c>
      <c r="I147" s="795"/>
      <c r="J147" s="328">
        <v>392.20000000001164</v>
      </c>
    </row>
    <row r="148" spans="1:10" ht="23.25">
      <c r="A148" s="1217" t="s">
        <v>193</v>
      </c>
      <c r="B148" s="1217"/>
      <c r="C148" s="1217"/>
      <c r="D148" s="981" t="s">
        <v>130</v>
      </c>
      <c r="E148" s="99">
        <v>767466.48</v>
      </c>
      <c r="F148" s="847">
        <v>767692.08</v>
      </c>
      <c r="G148" s="941">
        <v>225.59999999997672</v>
      </c>
      <c r="H148" s="748">
        <v>1082.0799999999581</v>
      </c>
      <c r="I148" s="113"/>
      <c r="J148" s="328">
        <v>270.51999999998952</v>
      </c>
    </row>
    <row r="149" spans="1:10" ht="23.25">
      <c r="A149" s="1217" t="s">
        <v>336</v>
      </c>
      <c r="B149" s="1217"/>
      <c r="C149" s="1217"/>
      <c r="D149" s="982" t="s">
        <v>130</v>
      </c>
      <c r="E149" s="99">
        <v>159269.47</v>
      </c>
      <c r="F149" s="847">
        <v>159665.29999999999</v>
      </c>
      <c r="G149" s="941">
        <v>395.82999999998719</v>
      </c>
      <c r="H149" s="748">
        <v>1698.2999999999884</v>
      </c>
      <c r="I149" s="763"/>
      <c r="J149" s="328">
        <v>424.57499999999709</v>
      </c>
    </row>
    <row r="150" spans="1:10" ht="23.25">
      <c r="A150" s="1217" t="s">
        <v>337</v>
      </c>
      <c r="B150" s="1217"/>
      <c r="C150" s="1217"/>
      <c r="D150" s="983" t="s">
        <v>130</v>
      </c>
      <c r="E150" s="99">
        <v>64656.6</v>
      </c>
      <c r="F150" s="847">
        <v>64874.1</v>
      </c>
      <c r="G150" s="941">
        <v>217.5</v>
      </c>
      <c r="H150" s="748">
        <v>896.09999999999854</v>
      </c>
      <c r="I150" s="763"/>
      <c r="J150" s="328">
        <v>224.02499999999964</v>
      </c>
    </row>
    <row r="151" spans="1:10" ht="23.25">
      <c r="A151" s="1217" t="s">
        <v>338</v>
      </c>
      <c r="B151" s="1217"/>
      <c r="C151" s="1217"/>
      <c r="D151" s="983" t="s">
        <v>130</v>
      </c>
      <c r="E151" s="99">
        <v>149959</v>
      </c>
      <c r="F151" s="847">
        <v>149987</v>
      </c>
      <c r="G151" s="941">
        <v>28</v>
      </c>
      <c r="H151" s="748">
        <v>199</v>
      </c>
      <c r="I151" s="763"/>
      <c r="J151" s="328">
        <v>49.75</v>
      </c>
    </row>
    <row r="152" spans="1:10" ht="23.25">
      <c r="A152" s="1217" t="s">
        <v>339</v>
      </c>
      <c r="B152" s="1217"/>
      <c r="C152" s="1217"/>
      <c r="D152" s="983" t="s">
        <v>130</v>
      </c>
      <c r="E152" s="99">
        <v>31002.1</v>
      </c>
      <c r="F152" s="847">
        <v>31128.13</v>
      </c>
      <c r="G152" s="941">
        <v>126.03000000000247</v>
      </c>
      <c r="H152" s="748">
        <v>514.13000000000102</v>
      </c>
      <c r="I152" s="763"/>
      <c r="J152" s="328">
        <v>128.53250000000025</v>
      </c>
    </row>
    <row r="153" spans="1:10" ht="23.25">
      <c r="A153" s="1221" t="s">
        <v>196</v>
      </c>
      <c r="B153" s="1221"/>
      <c r="C153" s="1221"/>
      <c r="D153" s="983"/>
      <c r="E153" s="748"/>
      <c r="F153" s="847"/>
      <c r="G153" s="941">
        <v>2501.6999999998807</v>
      </c>
      <c r="H153" s="748"/>
      <c r="I153" s="763">
        <v>304.0599999998667</v>
      </c>
      <c r="J153" s="328"/>
    </row>
    <row r="154" spans="1:10" ht="23.25">
      <c r="A154" s="1220" t="s">
        <v>344</v>
      </c>
      <c r="B154" s="1220"/>
      <c r="C154" s="1220"/>
      <c r="D154" s="1220"/>
      <c r="E154" s="1220"/>
      <c r="F154" s="1220"/>
      <c r="G154" s="1220"/>
      <c r="H154" s="1220"/>
      <c r="I154" s="1220"/>
      <c r="J154" s="1220"/>
    </row>
    <row r="155" spans="1:10" ht="23.25">
      <c r="A155" s="1217" t="s">
        <v>345</v>
      </c>
      <c r="B155" s="1217"/>
      <c r="C155" s="1217"/>
      <c r="D155" s="983" t="s">
        <v>130</v>
      </c>
      <c r="E155" s="99">
        <v>187449</v>
      </c>
      <c r="F155" s="847">
        <v>187947.27</v>
      </c>
      <c r="G155" s="641">
        <v>498.26999999998952</v>
      </c>
      <c r="H155" s="99">
        <v>2206.2699999999895</v>
      </c>
      <c r="I155" s="876"/>
      <c r="J155" s="328">
        <v>551.56749999999738</v>
      </c>
    </row>
    <row r="156" spans="1:10" ht="23.25">
      <c r="A156" s="1217" t="s">
        <v>347</v>
      </c>
      <c r="B156" s="1217"/>
      <c r="C156" s="1217"/>
      <c r="D156" s="983" t="s">
        <v>130</v>
      </c>
      <c r="E156" s="99">
        <v>21008</v>
      </c>
      <c r="F156" s="847">
        <v>21096.723000000002</v>
      </c>
      <c r="G156" s="641">
        <v>88.723000000001775</v>
      </c>
      <c r="H156" s="99">
        <v>357.72300000000178</v>
      </c>
      <c r="I156" s="846"/>
      <c r="J156" s="328">
        <v>89.430750000000444</v>
      </c>
    </row>
    <row r="157" spans="1:10" ht="23.25">
      <c r="A157" s="1217" t="s">
        <v>358</v>
      </c>
      <c r="B157" s="1217"/>
      <c r="C157" s="1217"/>
      <c r="D157" s="983" t="s">
        <v>130</v>
      </c>
      <c r="E157" s="99">
        <v>36478.400000000001</v>
      </c>
      <c r="F157" s="847">
        <v>36617.629999999997</v>
      </c>
      <c r="G157" s="641">
        <v>139.22999999999593</v>
      </c>
      <c r="H157" s="99">
        <v>493.62999999999738</v>
      </c>
      <c r="I157" s="846"/>
      <c r="J157" s="328"/>
    </row>
    <row r="158" spans="1:10" ht="23.25">
      <c r="A158" s="1217" t="s">
        <v>359</v>
      </c>
      <c r="B158" s="1217"/>
      <c r="C158" s="1217"/>
      <c r="D158" s="983" t="s">
        <v>130</v>
      </c>
      <c r="E158" s="99">
        <v>585.25</v>
      </c>
      <c r="F158" s="847">
        <v>607.29999999999995</v>
      </c>
      <c r="G158" s="641">
        <v>22.049999999999955</v>
      </c>
      <c r="H158" s="99">
        <v>102.66999999999996</v>
      </c>
      <c r="I158" s="846"/>
      <c r="J158" s="328"/>
    </row>
    <row r="159" spans="1:10" ht="23.25">
      <c r="A159" s="1222"/>
      <c r="B159" s="1222"/>
      <c r="C159" s="1222"/>
      <c r="D159" s="983"/>
      <c r="E159" s="748"/>
      <c r="F159" s="847"/>
      <c r="G159" s="941"/>
      <c r="H159" s="748"/>
      <c r="I159" s="846"/>
      <c r="J159" s="328"/>
    </row>
    <row r="160" spans="1:10" ht="23.25">
      <c r="A160" s="1220" t="s">
        <v>326</v>
      </c>
      <c r="B160" s="1220"/>
      <c r="C160" s="1220"/>
      <c r="D160" s="1220"/>
      <c r="E160" s="1220"/>
      <c r="F160" s="1220"/>
      <c r="G160" s="1220"/>
      <c r="H160" s="1220"/>
      <c r="I160" s="1220"/>
      <c r="J160" s="1220"/>
    </row>
    <row r="161" spans="1:10" ht="23.25">
      <c r="A161" s="984" t="s">
        <v>92</v>
      </c>
      <c r="B161" s="985"/>
      <c r="C161" s="985"/>
      <c r="D161" s="986" t="s">
        <v>180</v>
      </c>
      <c r="E161" s="99">
        <v>489236.8</v>
      </c>
      <c r="F161" s="847">
        <v>489526.12</v>
      </c>
      <c r="G161" s="238">
        <v>289.32000000000698</v>
      </c>
      <c r="H161" s="99">
        <v>1203.1199999999953</v>
      </c>
      <c r="I161" s="236"/>
      <c r="J161" s="391">
        <v>300.77999999999884</v>
      </c>
    </row>
    <row r="162" spans="1:10" ht="23.25">
      <c r="A162" s="984" t="s">
        <v>93</v>
      </c>
      <c r="B162" s="985"/>
      <c r="C162" s="985"/>
      <c r="D162" s="986" t="s">
        <v>180</v>
      </c>
      <c r="E162" s="99">
        <v>97397.2</v>
      </c>
      <c r="F162" s="847">
        <v>97444.1</v>
      </c>
      <c r="G162" s="238">
        <v>46.900000000008731</v>
      </c>
      <c r="H162" s="99">
        <v>156.10000000000582</v>
      </c>
      <c r="I162" s="236"/>
      <c r="J162" s="391">
        <v>39.025000000001455</v>
      </c>
    </row>
    <row r="163" spans="1:10" ht="23.25">
      <c r="A163" s="984" t="s">
        <v>197</v>
      </c>
      <c r="B163" s="985"/>
      <c r="C163" s="985"/>
      <c r="D163" s="986" t="s">
        <v>180</v>
      </c>
      <c r="E163" s="99">
        <v>14473.4</v>
      </c>
      <c r="F163" s="847">
        <v>14621.3</v>
      </c>
      <c r="G163" s="238">
        <v>147.89999999999964</v>
      </c>
      <c r="H163" s="99">
        <v>457.29999999999927</v>
      </c>
      <c r="I163" s="236"/>
      <c r="J163" s="391">
        <v>114.32499999999982</v>
      </c>
    </row>
    <row r="164" spans="1:10" ht="23.25">
      <c r="A164" s="984" t="s">
        <v>197</v>
      </c>
      <c r="B164" s="985"/>
      <c r="C164" s="985"/>
      <c r="D164" s="986" t="s">
        <v>180</v>
      </c>
      <c r="E164" s="99">
        <v>6633.7</v>
      </c>
      <c r="F164" s="847">
        <v>6642.4</v>
      </c>
      <c r="G164" s="238">
        <v>8.6999999999998181</v>
      </c>
      <c r="H164" s="99">
        <v>30.399999999999636</v>
      </c>
      <c r="I164" s="236"/>
      <c r="J164" s="391">
        <v>7.5999999999999091</v>
      </c>
    </row>
    <row r="165" spans="1:10" ht="23.25">
      <c r="A165" s="984" t="s">
        <v>309</v>
      </c>
      <c r="B165" s="985"/>
      <c r="C165" s="985"/>
      <c r="D165" s="986" t="s">
        <v>180</v>
      </c>
      <c r="E165" s="99">
        <v>32163.468000000001</v>
      </c>
      <c r="F165" s="847">
        <v>32172.83</v>
      </c>
      <c r="G165" s="238">
        <v>9.3620000000009895</v>
      </c>
      <c r="H165" s="99">
        <v>31.830000000001746</v>
      </c>
      <c r="I165" s="236"/>
      <c r="J165" s="391">
        <v>7.9575000000004366</v>
      </c>
    </row>
    <row r="166" spans="1:10" ht="23.25">
      <c r="A166" s="1225"/>
      <c r="B166" s="1225"/>
      <c r="C166" s="926"/>
      <c r="D166" s="986" t="s">
        <v>180</v>
      </c>
      <c r="E166" s="99">
        <v>0</v>
      </c>
      <c r="F166" s="847"/>
      <c r="G166" s="868"/>
      <c r="H166" s="748">
        <v>0</v>
      </c>
      <c r="I166" s="846"/>
      <c r="J166" s="327"/>
    </row>
    <row r="167" spans="1:10" ht="23.25">
      <c r="A167" s="1225"/>
      <c r="B167" s="1225"/>
      <c r="C167" s="926"/>
      <c r="D167" s="986" t="s">
        <v>180</v>
      </c>
      <c r="E167" s="99">
        <v>0</v>
      </c>
      <c r="F167" s="847"/>
      <c r="G167" s="868"/>
      <c r="H167" s="748">
        <v>0</v>
      </c>
      <c r="I167" s="846"/>
      <c r="J167" s="327"/>
    </row>
    <row r="168" spans="1:10" ht="23.25">
      <c r="A168" s="1225"/>
      <c r="B168" s="1225"/>
      <c r="C168" s="926"/>
      <c r="D168" s="986" t="s">
        <v>180</v>
      </c>
      <c r="E168" s="99">
        <v>0</v>
      </c>
      <c r="F168" s="847"/>
      <c r="G168" s="868"/>
      <c r="H168" s="748">
        <v>0</v>
      </c>
      <c r="I168" s="846"/>
      <c r="J168" s="327"/>
    </row>
    <row r="169" spans="1:10" ht="23.25">
      <c r="A169" s="852"/>
      <c r="B169" s="926"/>
      <c r="C169" s="926"/>
      <c r="D169" s="926"/>
      <c r="E169" s="847"/>
      <c r="F169" s="847"/>
      <c r="G169" s="847"/>
      <c r="H169" s="847"/>
      <c r="I169" s="846"/>
      <c r="J169" s="327"/>
    </row>
    <row r="170" spans="1:10" ht="23.25">
      <c r="A170" s="852"/>
      <c r="B170" s="926"/>
      <c r="C170" s="926"/>
      <c r="D170" s="926"/>
      <c r="E170" s="847"/>
      <c r="F170" s="847"/>
      <c r="G170" s="847"/>
      <c r="H170" s="847"/>
      <c r="I170" s="846"/>
      <c r="J170" s="327"/>
    </row>
    <row r="171" spans="1:10" ht="23.25">
      <c r="A171" s="1226" t="s">
        <v>330</v>
      </c>
      <c r="B171" s="1226"/>
      <c r="C171" s="1226"/>
      <c r="D171" s="1226"/>
      <c r="E171" s="1226"/>
      <c r="F171" s="1226"/>
      <c r="G171" s="1226"/>
      <c r="H171" s="1226"/>
      <c r="I171" s="1226"/>
      <c r="J171" s="1226"/>
    </row>
    <row r="172" spans="1:10" ht="23.25">
      <c r="A172" s="1227"/>
      <c r="B172" s="1227"/>
      <c r="C172" s="987"/>
      <c r="D172" s="988"/>
      <c r="E172" s="847"/>
      <c r="F172" s="847"/>
      <c r="G172" s="847"/>
      <c r="H172" s="847"/>
      <c r="I172" s="847"/>
      <c r="J172" s="156"/>
    </row>
    <row r="173" spans="1:10" ht="23.25">
      <c r="A173" s="1219" t="s">
        <v>209</v>
      </c>
      <c r="B173" s="1219"/>
      <c r="C173" s="890"/>
      <c r="D173" s="988" t="s">
        <v>142</v>
      </c>
      <c r="E173" s="99">
        <v>8586</v>
      </c>
      <c r="F173" s="847">
        <v>8589</v>
      </c>
      <c r="G173" s="847">
        <v>3</v>
      </c>
      <c r="H173" s="748">
        <v>8</v>
      </c>
      <c r="I173" s="847"/>
      <c r="J173" s="156">
        <v>2</v>
      </c>
    </row>
    <row r="174" spans="1:10" ht="23.25">
      <c r="A174" s="1219" t="s">
        <v>75</v>
      </c>
      <c r="B174" s="1219"/>
      <c r="C174" s="890"/>
      <c r="D174" s="988" t="s">
        <v>142</v>
      </c>
      <c r="E174" s="99">
        <v>41999</v>
      </c>
      <c r="F174" s="847">
        <v>42011</v>
      </c>
      <c r="G174" s="847">
        <v>12</v>
      </c>
      <c r="H174" s="748">
        <v>49</v>
      </c>
      <c r="I174" s="847"/>
      <c r="J174" s="156">
        <v>12.25</v>
      </c>
    </row>
    <row r="175" spans="1:10" ht="25.5" customHeight="1">
      <c r="A175" s="1219" t="s">
        <v>76</v>
      </c>
      <c r="B175" s="1219"/>
      <c r="C175" s="1219"/>
      <c r="D175" s="988" t="s">
        <v>142</v>
      </c>
      <c r="E175" s="99">
        <v>24733</v>
      </c>
      <c r="F175" s="847">
        <v>24743</v>
      </c>
      <c r="G175" s="847">
        <v>10</v>
      </c>
      <c r="H175" s="748">
        <v>46</v>
      </c>
      <c r="I175" s="847"/>
      <c r="J175" s="156">
        <v>11.5</v>
      </c>
    </row>
    <row r="176" spans="1:10" ht="24.75" customHeight="1">
      <c r="A176" s="1221" t="s">
        <v>196</v>
      </c>
      <c r="B176" s="1221"/>
      <c r="C176" s="1221"/>
      <c r="D176" s="988"/>
      <c r="E176" s="99">
        <v>0</v>
      </c>
      <c r="F176" s="847"/>
      <c r="G176" s="847">
        <v>25</v>
      </c>
      <c r="H176" s="748">
        <v>103</v>
      </c>
      <c r="I176" s="847"/>
      <c r="J176" s="156">
        <v>25.75</v>
      </c>
    </row>
    <row r="177" spans="1:11" ht="28.5" customHeight="1">
      <c r="A177" s="1219" t="s">
        <v>77</v>
      </c>
      <c r="B177" s="1219"/>
      <c r="C177" s="890"/>
      <c r="D177" s="988" t="s">
        <v>142</v>
      </c>
      <c r="E177" s="99">
        <v>0</v>
      </c>
      <c r="F177" s="847"/>
      <c r="G177" s="847"/>
      <c r="H177" s="748">
        <v>0</v>
      </c>
      <c r="I177" s="847"/>
      <c r="J177" s="156"/>
    </row>
    <row r="178" spans="1:11" ht="24.75" customHeight="1">
      <c r="A178" s="1219" t="s">
        <v>210</v>
      </c>
      <c r="B178" s="1219"/>
      <c r="C178" s="890"/>
      <c r="D178" s="988" t="s">
        <v>142</v>
      </c>
      <c r="E178" s="99">
        <v>102114</v>
      </c>
      <c r="F178" s="847">
        <v>102114</v>
      </c>
      <c r="G178" s="847">
        <v>0</v>
      </c>
      <c r="H178" s="748">
        <v>0</v>
      </c>
      <c r="I178" s="847"/>
      <c r="J178" s="156">
        <v>0</v>
      </c>
      <c r="K178" s="838">
        <v>102114</v>
      </c>
    </row>
    <row r="179" spans="1:11" ht="24" customHeight="1">
      <c r="A179" s="1219" t="s">
        <v>211</v>
      </c>
      <c r="B179" s="1219"/>
      <c r="C179" s="890"/>
      <c r="D179" s="988" t="s">
        <v>142</v>
      </c>
      <c r="E179" s="99">
        <v>37501</v>
      </c>
      <c r="F179" s="847">
        <v>37501</v>
      </c>
      <c r="G179" s="847">
        <v>0</v>
      </c>
      <c r="H179" s="748">
        <v>0</v>
      </c>
      <c r="I179" s="847"/>
      <c r="J179" s="156">
        <v>0</v>
      </c>
      <c r="K179" s="838">
        <v>37501</v>
      </c>
    </row>
    <row r="180" spans="1:11" ht="23.25">
      <c r="A180" s="1219" t="s">
        <v>212</v>
      </c>
      <c r="B180" s="1219"/>
      <c r="C180" s="890"/>
      <c r="D180" s="988" t="s">
        <v>142</v>
      </c>
      <c r="E180" s="99">
        <v>7231</v>
      </c>
      <c r="F180" s="847">
        <v>7231</v>
      </c>
      <c r="G180" s="847">
        <v>0</v>
      </c>
      <c r="H180" s="748">
        <v>0</v>
      </c>
      <c r="I180" s="847"/>
      <c r="J180" s="156">
        <v>0</v>
      </c>
      <c r="K180" s="838">
        <v>7231</v>
      </c>
    </row>
    <row r="181" spans="1:11" ht="21.95" customHeight="1">
      <c r="A181" s="1221" t="s">
        <v>108</v>
      </c>
      <c r="B181" s="1221"/>
      <c r="C181" s="1221"/>
      <c r="D181" s="988"/>
      <c r="E181" s="99">
        <v>0</v>
      </c>
      <c r="F181" s="847"/>
      <c r="G181" s="847">
        <v>0</v>
      </c>
      <c r="H181" s="748">
        <v>0</v>
      </c>
      <c r="I181" s="847"/>
      <c r="J181" s="156">
        <v>0</v>
      </c>
    </row>
    <row r="182" spans="1:11" ht="21.95" customHeight="1">
      <c r="A182" s="1219" t="s">
        <v>213</v>
      </c>
      <c r="B182" s="1219"/>
      <c r="C182" s="890"/>
      <c r="D182" s="988"/>
      <c r="E182" s="99">
        <v>0</v>
      </c>
      <c r="F182" s="847"/>
      <c r="G182" s="847"/>
      <c r="H182" s="748">
        <v>0</v>
      </c>
      <c r="I182" s="847"/>
      <c r="J182" s="156">
        <v>0</v>
      </c>
    </row>
    <row r="183" spans="1:11" ht="23.25">
      <c r="A183" s="1219" t="s">
        <v>214</v>
      </c>
      <c r="B183" s="1219"/>
      <c r="C183" s="890"/>
      <c r="D183" s="988" t="s">
        <v>142</v>
      </c>
      <c r="E183" s="99">
        <v>17862</v>
      </c>
      <c r="F183" s="847">
        <v>17868</v>
      </c>
      <c r="G183" s="887">
        <v>6</v>
      </c>
      <c r="H183" s="748">
        <v>20</v>
      </c>
      <c r="I183" s="847"/>
      <c r="J183" s="156">
        <v>5</v>
      </c>
      <c r="K183" s="838">
        <v>17868</v>
      </c>
    </row>
    <row r="184" spans="1:11" ht="23.25">
      <c r="A184" s="1219" t="s">
        <v>215</v>
      </c>
      <c r="B184" s="1219"/>
      <c r="C184" s="890"/>
      <c r="D184" s="988" t="s">
        <v>142</v>
      </c>
      <c r="E184" s="99">
        <v>12368</v>
      </c>
      <c r="F184" s="847">
        <v>12382</v>
      </c>
      <c r="G184" s="887">
        <v>14</v>
      </c>
      <c r="H184" s="748">
        <v>33</v>
      </c>
      <c r="I184" s="847"/>
      <c r="J184" s="156">
        <v>8.25</v>
      </c>
      <c r="K184" s="838">
        <v>12382</v>
      </c>
    </row>
    <row r="185" spans="1:11" ht="23.25">
      <c r="A185" s="1219" t="s">
        <v>216</v>
      </c>
      <c r="B185" s="1219"/>
      <c r="C185" s="890"/>
      <c r="D185" s="988" t="s">
        <v>142</v>
      </c>
      <c r="E185" s="99">
        <v>0</v>
      </c>
      <c r="F185" s="847"/>
      <c r="G185" s="887">
        <v>0</v>
      </c>
      <c r="H185" s="748">
        <v>0</v>
      </c>
      <c r="I185" s="847"/>
      <c r="J185" s="156">
        <v>0</v>
      </c>
    </row>
    <row r="186" spans="1:11" ht="23.25">
      <c r="A186" s="1221" t="s">
        <v>196</v>
      </c>
      <c r="B186" s="1221"/>
      <c r="C186" s="1221"/>
      <c r="D186" s="989"/>
      <c r="E186" s="748"/>
      <c r="F186" s="847"/>
      <c r="G186" s="887">
        <v>20</v>
      </c>
      <c r="H186" s="748">
        <v>53</v>
      </c>
      <c r="I186" s="887"/>
      <c r="J186" s="156">
        <v>13.25</v>
      </c>
    </row>
    <row r="187" spans="1:11" ht="25.5" customHeight="1">
      <c r="A187" s="1219" t="s">
        <v>217</v>
      </c>
      <c r="B187" s="1219"/>
      <c r="C187" s="890"/>
      <c r="D187" s="990" t="s">
        <v>142</v>
      </c>
      <c r="E187" s="748"/>
      <c r="F187" s="847"/>
      <c r="G187" s="887">
        <v>126</v>
      </c>
      <c r="H187" s="748">
        <v>570</v>
      </c>
      <c r="I187" s="862"/>
      <c r="J187" s="159">
        <v>142.5</v>
      </c>
    </row>
    <row r="188" spans="1:11" ht="23.25">
      <c r="A188" s="1219" t="s">
        <v>218</v>
      </c>
      <c r="B188" s="1219"/>
      <c r="C188" s="890"/>
      <c r="D188" s="990" t="s">
        <v>142</v>
      </c>
      <c r="E188" s="748"/>
      <c r="F188" s="847"/>
      <c r="G188" s="887">
        <v>125</v>
      </c>
      <c r="H188" s="748">
        <v>591</v>
      </c>
      <c r="I188" s="862"/>
      <c r="J188" s="159">
        <v>147.75</v>
      </c>
    </row>
    <row r="189" spans="1:11" ht="23.25">
      <c r="A189" s="1219" t="s">
        <v>219</v>
      </c>
      <c r="B189" s="1219"/>
      <c r="C189" s="890"/>
      <c r="D189" s="990" t="s">
        <v>142</v>
      </c>
      <c r="E189" s="748"/>
      <c r="F189" s="847"/>
      <c r="G189" s="887">
        <v>0</v>
      </c>
      <c r="H189" s="748">
        <v>0</v>
      </c>
      <c r="I189" s="862"/>
      <c r="J189" s="159">
        <v>0</v>
      </c>
    </row>
    <row r="190" spans="1:11" ht="23.25">
      <c r="A190" s="1223"/>
      <c r="B190" s="1224"/>
      <c r="C190" s="991"/>
      <c r="D190" s="992"/>
      <c r="E190" s="822" t="s">
        <v>207</v>
      </c>
      <c r="G190" s="822"/>
      <c r="H190" s="822"/>
      <c r="I190" s="821"/>
      <c r="J190" s="182"/>
    </row>
    <row r="191" spans="1:11" ht="23.25"/>
    <row r="192" spans="1:11" ht="23.25"/>
    <row r="193" ht="23.25"/>
    <row r="194" ht="23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3.25"/>
    <row r="203" ht="23.25"/>
    <row r="204" ht="23.25"/>
    <row r="205" ht="23.25"/>
    <row r="206" ht="23.25"/>
    <row r="207" ht="23.25"/>
    <row r="208" ht="23.25"/>
    <row r="209" ht="23.25"/>
    <row r="210" ht="23.25"/>
    <row r="211" ht="23.25"/>
    <row r="212" ht="23.25"/>
    <row r="213" ht="23.25"/>
    <row r="214" ht="23.25"/>
    <row r="215" ht="23.25"/>
    <row r="216" ht="23.25"/>
    <row r="217" ht="23.25"/>
    <row r="218" ht="23.25"/>
    <row r="219" ht="23.25"/>
    <row r="220" ht="23.25"/>
    <row r="221" ht="23.25"/>
    <row r="222" ht="23.25"/>
    <row r="223" ht="23.25"/>
    <row r="224" ht="23.25"/>
    <row r="225" ht="23.25"/>
    <row r="226" ht="23.25"/>
    <row r="227" ht="23.25"/>
    <row r="228" ht="23.25"/>
    <row r="229" ht="23.25"/>
    <row r="230" ht="23.25"/>
    <row r="231" ht="23.25"/>
    <row r="232" ht="23.25"/>
    <row r="233" ht="23.25"/>
    <row r="234" ht="23.25"/>
    <row r="235" ht="23.25"/>
    <row r="236" ht="23.25"/>
    <row r="237" ht="23.25"/>
    <row r="238" ht="23.25"/>
    <row r="239" ht="23.25"/>
    <row r="240" ht="23.25"/>
    <row r="241" ht="23.25"/>
    <row r="242" ht="23.25"/>
    <row r="243" ht="23.25"/>
    <row r="244" ht="23.25"/>
    <row r="245" ht="23.25"/>
    <row r="246" ht="23.25"/>
    <row r="247" ht="23.25"/>
    <row r="248" ht="23.25"/>
    <row r="249" ht="23.25"/>
    <row r="250" ht="23.25"/>
    <row r="251" ht="23.25"/>
    <row r="252" ht="23.25"/>
    <row r="253" ht="23.25"/>
    <row r="254" ht="23.25"/>
    <row r="255" ht="23.25"/>
    <row r="256" ht="23.25"/>
    <row r="257" ht="23.25"/>
    <row r="258" ht="23.25"/>
    <row r="259" ht="23.25"/>
    <row r="260" ht="23.25"/>
    <row r="261" ht="23.25"/>
    <row r="262" ht="23.25"/>
    <row r="263" ht="23.25"/>
    <row r="264" ht="23.25"/>
    <row r="265" ht="23.25"/>
    <row r="266" ht="23.25"/>
    <row r="267" ht="23.25"/>
    <row r="268" ht="23.25"/>
    <row r="269" ht="23.25"/>
    <row r="270" ht="23.25"/>
  </sheetData>
  <mergeCells count="114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A117:C117"/>
    <mergeCell ref="A118:C118"/>
    <mergeCell ref="N116:O116"/>
    <mergeCell ref="N117:O117"/>
    <mergeCell ref="N118:O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270"/>
  <sheetViews>
    <sheetView view="pageBreakPreview" zoomScale="55" zoomScaleNormal="48" zoomScaleSheetLayoutView="55" workbookViewId="0">
      <selection activeCell="E9" sqref="E9"/>
    </sheetView>
  </sheetViews>
  <sheetFormatPr defaultColWidth="22.33203125" defaultRowHeight="21.95" customHeight="1"/>
  <cols>
    <col min="1" max="1" width="51.21875" style="842" customWidth="1"/>
    <col min="2" max="2" width="27.6640625" style="843" customWidth="1"/>
    <col min="3" max="3" width="15.88671875" style="843" customWidth="1"/>
    <col min="4" max="4" width="13.6640625" style="844" customWidth="1"/>
    <col min="5" max="6" width="30" style="844" customWidth="1"/>
    <col min="7" max="7" width="28.88671875" style="844" customWidth="1"/>
    <col min="8" max="8" width="34.33203125" style="845" customWidth="1"/>
    <col min="9" max="9" width="23.5546875" style="844" customWidth="1"/>
    <col min="10" max="10" width="24" style="844" customWidth="1"/>
    <col min="11" max="13" width="22.33203125" style="725" customWidth="1"/>
    <col min="14" max="14" width="25.109375" style="725" customWidth="1"/>
    <col min="15" max="16384" width="22.33203125" style="725"/>
  </cols>
  <sheetData>
    <row r="1" spans="1:10" ht="33.75">
      <c r="A1" s="1192" t="s">
        <v>115</v>
      </c>
      <c r="B1" s="1193"/>
      <c r="C1" s="1193"/>
      <c r="D1" s="1193"/>
      <c r="E1" s="1193"/>
      <c r="F1" s="1193"/>
      <c r="G1" s="1193"/>
      <c r="H1" s="1193"/>
      <c r="I1" s="1193"/>
      <c r="J1" s="1194"/>
    </row>
    <row r="2" spans="1:10" s="732" customFormat="1" ht="23.25">
      <c r="A2" s="726" t="s">
        <v>349</v>
      </c>
      <c r="B2" s="727">
        <v>44839</v>
      </c>
      <c r="C2" s="728" t="s">
        <v>67</v>
      </c>
      <c r="D2" s="218">
        <v>0.63</v>
      </c>
      <c r="E2" s="730"/>
      <c r="F2" s="730"/>
      <c r="G2" s="730" t="s">
        <v>116</v>
      </c>
      <c r="H2" s="730" t="s">
        <v>5</v>
      </c>
      <c r="I2" s="730" t="s">
        <v>7</v>
      </c>
      <c r="J2" s="731" t="s">
        <v>117</v>
      </c>
    </row>
    <row r="3" spans="1:10" s="732" customFormat="1" ht="23.25">
      <c r="A3" s="726"/>
      <c r="B3" s="733"/>
      <c r="C3" s="728" t="s">
        <v>118</v>
      </c>
      <c r="D3" s="734">
        <v>0.28000000000000003</v>
      </c>
      <c r="E3" s="1201" t="s">
        <v>119</v>
      </c>
      <c r="F3" s="1202"/>
      <c r="G3" s="728"/>
      <c r="H3" s="728"/>
      <c r="I3" s="728"/>
      <c r="J3" s="735"/>
    </row>
    <row r="4" spans="1:10" s="732" customFormat="1" ht="23.25">
      <c r="A4" s="736"/>
      <c r="B4" s="733"/>
      <c r="C4" s="728" t="s">
        <v>120</v>
      </c>
      <c r="D4" s="218">
        <v>0.79</v>
      </c>
      <c r="E4" s="728"/>
      <c r="F4" s="728"/>
      <c r="G4" s="728"/>
      <c r="H4" s="728"/>
      <c r="I4" s="728"/>
      <c r="J4" s="735"/>
    </row>
    <row r="5" spans="1:10" ht="26.25">
      <c r="A5" s="737" t="s">
        <v>121</v>
      </c>
      <c r="B5" s="738"/>
      <c r="C5" s="738"/>
      <c r="D5" s="739" t="s">
        <v>122</v>
      </c>
      <c r="E5" s="740" t="s">
        <v>123</v>
      </c>
      <c r="F5" s="740" t="s">
        <v>110</v>
      </c>
      <c r="G5" s="741" t="s">
        <v>124</v>
      </c>
      <c r="H5" s="739" t="s">
        <v>125</v>
      </c>
      <c r="I5" s="739" t="s">
        <v>126</v>
      </c>
      <c r="J5" s="742" t="s">
        <v>127</v>
      </c>
    </row>
    <row r="6" spans="1:10" ht="26.25">
      <c r="A6" s="1195" t="s">
        <v>128</v>
      </c>
      <c r="B6" s="1196"/>
      <c r="C6" s="1197"/>
      <c r="D6" s="743"/>
      <c r="E6" s="743"/>
      <c r="F6" s="743"/>
      <c r="G6" s="743"/>
      <c r="H6" s="744"/>
      <c r="I6" s="744"/>
      <c r="J6" s="745"/>
    </row>
    <row r="7" spans="1:10" ht="26.25">
      <c r="A7" s="746" t="s">
        <v>129</v>
      </c>
      <c r="B7" s="747"/>
      <c r="C7" s="747"/>
      <c r="D7" s="748" t="s">
        <v>130</v>
      </c>
      <c r="E7" s="99">
        <f>'4'!F7</f>
        <v>980940</v>
      </c>
      <c r="F7" s="99">
        <v>5518</v>
      </c>
      <c r="G7" s="112">
        <v>24474</v>
      </c>
      <c r="H7" s="99">
        <f>G7+'4'!H7</f>
        <v>123682</v>
      </c>
      <c r="I7" s="124">
        <f>'1'!I7</f>
        <v>12000</v>
      </c>
      <c r="J7" s="175">
        <f>H7/DAY(B2)</f>
        <v>24736.400000000001</v>
      </c>
    </row>
    <row r="8" spans="1:10" ht="26.25" thickBot="1">
      <c r="A8" s="750" t="s">
        <v>131</v>
      </c>
      <c r="B8" s="751"/>
      <c r="C8" s="752"/>
      <c r="D8" s="753" t="s">
        <v>24</v>
      </c>
      <c r="E8" s="99">
        <f>'4'!F8</f>
        <v>149953</v>
      </c>
      <c r="F8" s="754">
        <v>174787</v>
      </c>
      <c r="G8" s="115">
        <f t="shared" ref="G8:G12" si="0">F8-E8</f>
        <v>24834</v>
      </c>
      <c r="H8" s="99">
        <f>G8+'4'!H8</f>
        <v>125407</v>
      </c>
      <c r="I8" s="116"/>
      <c r="J8" s="175">
        <f>H8/DAY(B2)</f>
        <v>25081.4</v>
      </c>
    </row>
    <row r="9" spans="1:10" ht="26.25">
      <c r="A9" s="757" t="s">
        <v>132</v>
      </c>
      <c r="B9" s="758"/>
      <c r="C9" s="758"/>
      <c r="D9" s="748" t="s">
        <v>130</v>
      </c>
      <c r="E9" s="99">
        <f>'4'!F9</f>
        <v>3736871.9</v>
      </c>
      <c r="F9" s="632">
        <v>3744679</v>
      </c>
      <c r="G9" s="112">
        <f t="shared" si="0"/>
        <v>7807.1000000000931</v>
      </c>
      <c r="H9" s="99">
        <f>G9+'4'!H9</f>
        <v>37972</v>
      </c>
      <c r="I9" s="124">
        <f>I7-J7</f>
        <v>-12736.400000000001</v>
      </c>
      <c r="J9" s="175">
        <f>H9/DAY(B2)</f>
        <v>7594.4</v>
      </c>
    </row>
    <row r="10" spans="1:10" ht="26.25">
      <c r="A10" s="746" t="s">
        <v>133</v>
      </c>
      <c r="B10" s="747"/>
      <c r="C10" s="747"/>
      <c r="D10" s="748" t="s">
        <v>130</v>
      </c>
      <c r="E10" s="99">
        <f>'4'!F10</f>
        <v>2809171.1</v>
      </c>
      <c r="F10" s="632">
        <v>2825534.9</v>
      </c>
      <c r="G10" s="112">
        <f t="shared" si="0"/>
        <v>16363.799999999814</v>
      </c>
      <c r="H10" s="99">
        <f>G10+'4'!H10</f>
        <v>82840.899999999907</v>
      </c>
      <c r="I10" s="901"/>
      <c r="J10" s="175">
        <f>H10/DAY(B2)</f>
        <v>16568.179999999982</v>
      </c>
    </row>
    <row r="11" spans="1:10" ht="26.25">
      <c r="A11" s="746" t="s">
        <v>134</v>
      </c>
      <c r="B11" s="747"/>
      <c r="C11" s="747"/>
      <c r="D11" s="748" t="s">
        <v>130</v>
      </c>
      <c r="E11" s="99">
        <f>'4'!F11</f>
        <v>37560</v>
      </c>
      <c r="F11" s="99">
        <v>37560</v>
      </c>
      <c r="G11" s="112">
        <f t="shared" si="0"/>
        <v>0</v>
      </c>
      <c r="H11" s="99">
        <f>G11+'4'!H11</f>
        <v>0</v>
      </c>
      <c r="I11" s="901"/>
      <c r="J11" s="175">
        <f>H11/DAY(B2)</f>
        <v>0</v>
      </c>
    </row>
    <row r="12" spans="1:10" ht="26.25">
      <c r="A12" s="746" t="s">
        <v>135</v>
      </c>
      <c r="B12" s="747"/>
      <c r="C12" s="747"/>
      <c r="D12" s="748" t="s">
        <v>130</v>
      </c>
      <c r="E12" s="99">
        <f>'4'!F12</f>
        <v>40380</v>
      </c>
      <c r="F12" s="632">
        <v>40380</v>
      </c>
      <c r="G12" s="112">
        <f t="shared" si="0"/>
        <v>0</v>
      </c>
      <c r="H12" s="99">
        <f>G12+'4'!H12</f>
        <v>0</v>
      </c>
      <c r="I12" s="901"/>
      <c r="J12" s="175">
        <f>H12/DAY(B2)</f>
        <v>0</v>
      </c>
    </row>
    <row r="13" spans="1:10" ht="26.25">
      <c r="A13" s="761" t="s">
        <v>136</v>
      </c>
      <c r="B13" s="762"/>
      <c r="C13" s="762"/>
      <c r="D13" s="748"/>
      <c r="E13" s="99"/>
      <c r="F13" s="99"/>
      <c r="G13" s="119">
        <f>G9+G10+G11+G12</f>
        <v>24170.899999999907</v>
      </c>
      <c r="H13" s="99">
        <f>G13+'4'!H13</f>
        <v>122272.89999999991</v>
      </c>
      <c r="I13" s="124">
        <f>G7-G13</f>
        <v>303.10000000009313</v>
      </c>
      <c r="J13" s="175">
        <f>H13/DAY(B2)</f>
        <v>24454.57999999998</v>
      </c>
    </row>
    <row r="14" spans="1:10" ht="26.25">
      <c r="A14" s="1198" t="s">
        <v>137</v>
      </c>
      <c r="B14" s="1199"/>
      <c r="C14" s="1200"/>
      <c r="D14" s="744"/>
      <c r="E14" s="385"/>
      <c r="F14" s="385"/>
      <c r="G14" s="125"/>
      <c r="H14" s="385"/>
      <c r="I14" s="385"/>
      <c r="J14" s="642"/>
    </row>
    <row r="15" spans="1:10" ht="26.25">
      <c r="A15" s="765" t="s">
        <v>138</v>
      </c>
      <c r="B15" s="766"/>
      <c r="C15" s="766"/>
      <c r="D15" s="748" t="s">
        <v>139</v>
      </c>
      <c r="E15" s="99">
        <f>'4'!F15</f>
        <v>2165485</v>
      </c>
      <c r="F15" s="645">
        <v>2166438</v>
      </c>
      <c r="G15" s="112">
        <f>(F15-E15)</f>
        <v>953</v>
      </c>
      <c r="H15" s="99">
        <f>G15+'4'!H15</f>
        <v>4923</v>
      </c>
      <c r="I15" s="124">
        <f>'1'!I15</f>
        <v>800</v>
      </c>
      <c r="J15" s="175">
        <f>H15/DAY(B2)</f>
        <v>984.6</v>
      </c>
    </row>
    <row r="16" spans="1:10" ht="26.25">
      <c r="A16" s="769"/>
      <c r="B16" s="770"/>
      <c r="C16" s="770"/>
      <c r="D16" s="113"/>
      <c r="E16" s="645"/>
      <c r="F16" s="645"/>
      <c r="G16" s="112"/>
      <c r="H16" s="124"/>
      <c r="I16" s="124">
        <f>I15-J15</f>
        <v>-184.60000000000002</v>
      </c>
      <c r="J16" s="176"/>
    </row>
    <row r="17" spans="1:12" ht="26.25">
      <c r="A17" s="1198" t="s">
        <v>140</v>
      </c>
      <c r="B17" s="1199"/>
      <c r="C17" s="1200"/>
      <c r="D17" s="744"/>
      <c r="E17" s="385"/>
      <c r="F17" s="385"/>
      <c r="G17" s="125"/>
      <c r="H17" s="385"/>
      <c r="I17" s="385"/>
      <c r="J17" s="642"/>
    </row>
    <row r="18" spans="1:12" ht="25.5">
      <c r="A18" s="1174" t="s">
        <v>141</v>
      </c>
      <c r="B18" s="1175"/>
      <c r="C18" s="1176"/>
      <c r="D18" s="748" t="s">
        <v>142</v>
      </c>
      <c r="E18" s="99">
        <f>'4'!F18</f>
        <v>24</v>
      </c>
      <c r="F18" s="646">
        <v>20</v>
      </c>
      <c r="G18" s="119">
        <f>F18*10</f>
        <v>200</v>
      </c>
      <c r="H18" s="99">
        <f>G18+'4'!H18</f>
        <v>1160</v>
      </c>
      <c r="I18" s="124">
        <f>'1'!I18</f>
        <v>65</v>
      </c>
      <c r="J18" s="175">
        <f>H18/DAY(B2)</f>
        <v>232</v>
      </c>
    </row>
    <row r="19" spans="1:12" ht="25.5">
      <c r="A19" s="1174" t="s">
        <v>69</v>
      </c>
      <c r="B19" s="1175"/>
      <c r="C19" s="1176"/>
      <c r="D19" s="748" t="s">
        <v>142</v>
      </c>
      <c r="E19" s="99">
        <f>'4'!F19</f>
        <v>165658</v>
      </c>
      <c r="F19" s="646">
        <v>165709</v>
      </c>
      <c r="G19" s="112">
        <f>F19-E19</f>
        <v>51</v>
      </c>
      <c r="H19" s="99">
        <f>G19+'4'!H19</f>
        <v>268</v>
      </c>
      <c r="I19" s="902"/>
      <c r="J19" s="175">
        <f>H19/DAY(B2)</f>
        <v>53.6</v>
      </c>
    </row>
    <row r="20" spans="1:12" ht="26.25">
      <c r="A20" s="761" t="s">
        <v>143</v>
      </c>
      <c r="B20" s="762"/>
      <c r="C20" s="762"/>
      <c r="D20" s="774"/>
      <c r="E20" s="647"/>
      <c r="F20" s="647"/>
      <c r="G20" s="1009">
        <f>G18+G19</f>
        <v>251</v>
      </c>
      <c r="H20" s="99">
        <f>G20+'4'!H20</f>
        <v>1428</v>
      </c>
      <c r="I20" s="336">
        <f>I18-J20</f>
        <v>-220.60000000000002</v>
      </c>
      <c r="J20" s="175">
        <f>H20/DAY(B2)</f>
        <v>285.60000000000002</v>
      </c>
    </row>
    <row r="21" spans="1:12" ht="26.25">
      <c r="A21" s="1198" t="s">
        <v>144</v>
      </c>
      <c r="B21" s="1199"/>
      <c r="C21" s="1200"/>
      <c r="D21" s="744"/>
      <c r="E21" s="385"/>
      <c r="F21" s="385"/>
      <c r="G21" s="125"/>
      <c r="H21" s="385"/>
      <c r="I21" s="385"/>
      <c r="J21" s="642"/>
    </row>
    <row r="22" spans="1:12" ht="26.25">
      <c r="A22" s="765" t="s">
        <v>145</v>
      </c>
      <c r="B22" s="766"/>
      <c r="C22" s="766"/>
      <c r="D22" s="748" t="s">
        <v>146</v>
      </c>
      <c r="E22" s="99">
        <f>'4'!F22</f>
        <v>2970</v>
      </c>
      <c r="F22" s="646">
        <v>2970</v>
      </c>
      <c r="G22" s="119">
        <f>(F22-E22)</f>
        <v>0</v>
      </c>
      <c r="H22" s="99">
        <f>G22+'4'!H22</f>
        <v>0</v>
      </c>
      <c r="I22" s="993"/>
      <c r="J22" s="175">
        <f>H22/DAY(B2)</f>
        <v>0</v>
      </c>
    </row>
    <row r="23" spans="1:12" ht="26.25">
      <c r="A23" s="765" t="s">
        <v>147</v>
      </c>
      <c r="B23" s="766"/>
      <c r="C23" s="766"/>
      <c r="D23" s="748" t="s">
        <v>146</v>
      </c>
      <c r="E23" s="99">
        <f>'4'!F23</f>
        <v>2000</v>
      </c>
      <c r="F23" s="646">
        <v>1500</v>
      </c>
      <c r="G23" s="119">
        <v>0</v>
      </c>
      <c r="H23" s="99">
        <f>G23+'4'!H23</f>
        <v>0</v>
      </c>
      <c r="I23" s="993"/>
      <c r="J23" s="175">
        <f>H23/DAY(B2)</f>
        <v>0</v>
      </c>
    </row>
    <row r="24" spans="1:12" ht="26.25">
      <c r="A24" s="777" t="s">
        <v>148</v>
      </c>
      <c r="B24" s="778"/>
      <c r="C24" s="778"/>
      <c r="D24" s="739" t="s">
        <v>146</v>
      </c>
      <c r="E24" s="99">
        <f>'4'!F24</f>
        <v>4970</v>
      </c>
      <c r="F24" s="649">
        <v>4970</v>
      </c>
      <c r="G24" s="119">
        <v>0</v>
      </c>
      <c r="H24" s="99">
        <f>G24+'4'!H24</f>
        <v>0</v>
      </c>
      <c r="I24" s="993"/>
      <c r="J24" s="175">
        <f>H24/DAY(B2)</f>
        <v>0</v>
      </c>
    </row>
    <row r="25" spans="1:12" s="782" customFormat="1" ht="25.5">
      <c r="A25" s="1203" t="s">
        <v>149</v>
      </c>
      <c r="B25" s="1204"/>
      <c r="C25" s="1205"/>
      <c r="D25" s="743"/>
      <c r="E25" s="130"/>
      <c r="F25" s="130"/>
      <c r="G25" s="1010"/>
      <c r="H25" s="130"/>
      <c r="I25" s="1011"/>
      <c r="J25" s="177"/>
      <c r="K25" s="725"/>
      <c r="L25" s="725"/>
    </row>
    <row r="26" spans="1:12" s="782" customFormat="1" ht="25.5">
      <c r="A26" s="783" t="s">
        <v>150</v>
      </c>
      <c r="B26" s="784"/>
      <c r="C26" s="785"/>
      <c r="D26" s="786" t="s">
        <v>151</v>
      </c>
      <c r="E26" s="651"/>
      <c r="F26" s="651"/>
      <c r="G26" s="652"/>
      <c r="H26" s="99"/>
      <c r="I26" s="134"/>
      <c r="J26" s="175"/>
      <c r="K26" s="725"/>
      <c r="L26" s="725"/>
    </row>
    <row r="27" spans="1:12" s="782" customFormat="1" ht="25.5">
      <c r="A27" s="783" t="s">
        <v>5</v>
      </c>
      <c r="B27" s="784"/>
      <c r="C27" s="785"/>
      <c r="D27" s="787" t="s">
        <v>24</v>
      </c>
      <c r="E27" s="99">
        <f>G8</f>
        <v>24834</v>
      </c>
      <c r="F27" s="1012">
        <v>10</v>
      </c>
      <c r="G27" s="1013">
        <f>E27*F27</f>
        <v>248340</v>
      </c>
      <c r="H27" s="99">
        <f>G27+'4'!H27</f>
        <v>1254070</v>
      </c>
      <c r="I27" s="654"/>
      <c r="J27" s="175">
        <f>H27/DAY(B2)</f>
        <v>250814</v>
      </c>
      <c r="K27" s="725"/>
      <c r="L27" s="725"/>
    </row>
    <row r="28" spans="1:12" s="782" customFormat="1" ht="25.5">
      <c r="A28" s="783" t="s">
        <v>152</v>
      </c>
      <c r="B28" s="784"/>
      <c r="C28" s="785"/>
      <c r="D28" s="787" t="s">
        <v>153</v>
      </c>
      <c r="E28" s="99">
        <f>G15</f>
        <v>953</v>
      </c>
      <c r="F28" s="1012">
        <v>75</v>
      </c>
      <c r="G28" s="1013">
        <f>E28*F28</f>
        <v>71475</v>
      </c>
      <c r="H28" s="99">
        <f>G28+'4'!H28</f>
        <v>369225</v>
      </c>
      <c r="I28" s="1014"/>
      <c r="J28" s="175">
        <f>H28/DAY(B2)</f>
        <v>73845</v>
      </c>
      <c r="K28" s="725"/>
      <c r="L28" s="725"/>
    </row>
    <row r="29" spans="1:12" s="782" customFormat="1" ht="25.5">
      <c r="A29" s="783" t="s">
        <v>154</v>
      </c>
      <c r="B29" s="784"/>
      <c r="C29" s="785"/>
      <c r="D29" s="787" t="s">
        <v>155</v>
      </c>
      <c r="E29" s="99">
        <f>G24</f>
        <v>0</v>
      </c>
      <c r="F29" s="1012">
        <v>69</v>
      </c>
      <c r="G29" s="1013">
        <f>E29*F29</f>
        <v>0</v>
      </c>
      <c r="H29" s="99">
        <f>G29+'4'!H29</f>
        <v>0</v>
      </c>
      <c r="I29" s="1014"/>
      <c r="J29" s="175">
        <f>H29/DAY(B2)</f>
        <v>0</v>
      </c>
      <c r="K29" s="725"/>
      <c r="L29" s="725"/>
    </row>
    <row r="30" spans="1:12" s="782" customFormat="1" ht="25.5">
      <c r="A30" s="783" t="s">
        <v>156</v>
      </c>
      <c r="B30" s="784"/>
      <c r="C30" s="785"/>
      <c r="D30" s="787" t="s">
        <v>157</v>
      </c>
      <c r="E30" s="99">
        <f>G19</f>
        <v>51</v>
      </c>
      <c r="F30" s="1012">
        <v>151</v>
      </c>
      <c r="G30" s="1013">
        <f>E30*F30</f>
        <v>7701</v>
      </c>
      <c r="H30" s="99">
        <f>G30+'4'!H30</f>
        <v>40468</v>
      </c>
      <c r="I30" s="1014"/>
      <c r="J30" s="175">
        <f>H30/DAY(B2)</f>
        <v>8093.6</v>
      </c>
      <c r="K30" s="725"/>
      <c r="L30" s="725"/>
    </row>
    <row r="31" spans="1:12" s="782" customFormat="1" ht="25.5">
      <c r="A31" s="783" t="s">
        <v>158</v>
      </c>
      <c r="B31" s="784"/>
      <c r="C31" s="785"/>
      <c r="D31" s="787" t="s">
        <v>142</v>
      </c>
      <c r="E31" s="99">
        <f>G18</f>
        <v>200</v>
      </c>
      <c r="F31" s="1012">
        <v>80</v>
      </c>
      <c r="G31" s="1013">
        <f>E31*F31</f>
        <v>16000</v>
      </c>
      <c r="H31" s="99">
        <f>G31+'4'!H31</f>
        <v>95450</v>
      </c>
      <c r="I31" s="1014"/>
      <c r="J31" s="175">
        <f>H31/DAY(B2)</f>
        <v>19090</v>
      </c>
      <c r="K31" s="725"/>
      <c r="L31" s="725"/>
    </row>
    <row r="32" spans="1:12" s="782" customFormat="1" ht="25.5">
      <c r="A32" s="797" t="s">
        <v>159</v>
      </c>
      <c r="B32" s="798"/>
      <c r="C32" s="799"/>
      <c r="D32" s="800"/>
      <c r="E32" s="655"/>
      <c r="F32" s="655"/>
      <c r="G32" s="1015">
        <f>G27+G28+G29+G30+G31</f>
        <v>343516</v>
      </c>
      <c r="H32" s="99">
        <f>G32+'4'!H32</f>
        <v>1759213</v>
      </c>
      <c r="I32" s="144"/>
      <c r="J32" s="175">
        <f>H32/DAY(B2)</f>
        <v>351842.6</v>
      </c>
      <c r="K32" s="725"/>
      <c r="L32" s="725"/>
    </row>
    <row r="33" spans="1:12" ht="25.5" customHeight="1">
      <c r="A33" s="1206" t="s">
        <v>331</v>
      </c>
      <c r="B33" s="1207"/>
      <c r="C33" s="1207"/>
      <c r="D33" s="803"/>
      <c r="E33" s="1016"/>
      <c r="F33" s="1016"/>
      <c r="G33" s="1016"/>
      <c r="H33" s="1016"/>
      <c r="I33" s="1016"/>
      <c r="J33" s="905"/>
    </row>
    <row r="34" spans="1:12" ht="26.25">
      <c r="A34" s="805" t="s">
        <v>160</v>
      </c>
      <c r="B34" s="806"/>
      <c r="C34" s="806"/>
      <c r="D34" s="744"/>
      <c r="E34" s="130"/>
      <c r="F34" s="130"/>
      <c r="G34" s="385"/>
      <c r="H34" s="385"/>
      <c r="I34" s="385"/>
      <c r="J34" s="642"/>
    </row>
    <row r="35" spans="1:12" ht="26.25">
      <c r="A35" s="746" t="s">
        <v>161</v>
      </c>
      <c r="B35" s="747"/>
      <c r="C35" s="747"/>
      <c r="D35" s="748" t="s">
        <v>130</v>
      </c>
      <c r="E35" s="99">
        <f>'4'!F35</f>
        <v>238713</v>
      </c>
      <c r="F35" s="1017">
        <v>238713</v>
      </c>
      <c r="G35" s="112">
        <f t="shared" ref="G35:G46" si="1">F35-E35</f>
        <v>0</v>
      </c>
      <c r="H35" s="99">
        <f>G35+'4'!H35</f>
        <v>-4.9999999988358468E-2</v>
      </c>
      <c r="I35" s="99"/>
      <c r="J35" s="175">
        <f>H35/DAY(B2)</f>
        <v>-9.9999999976716943E-3</v>
      </c>
    </row>
    <row r="36" spans="1:12" ht="26.25">
      <c r="A36" s="746" t="s">
        <v>162</v>
      </c>
      <c r="B36" s="747"/>
      <c r="C36" s="747"/>
      <c r="D36" s="748" t="s">
        <v>130</v>
      </c>
      <c r="E36" s="99">
        <f>'4'!F36</f>
        <v>272497.59000000003</v>
      </c>
      <c r="F36" s="1017">
        <v>273136.11</v>
      </c>
      <c r="G36" s="112">
        <f t="shared" si="1"/>
        <v>638.51999999996042</v>
      </c>
      <c r="H36" s="99">
        <f>G36+'4'!H36</f>
        <v>3653.109999999986</v>
      </c>
      <c r="I36" s="99"/>
      <c r="J36" s="175">
        <f>H36/DAY(B2)</f>
        <v>730.62199999999723</v>
      </c>
      <c r="L36" s="808"/>
    </row>
    <row r="37" spans="1:12" ht="26.25">
      <c r="A37" s="746" t="s">
        <v>163</v>
      </c>
      <c r="B37" s="747"/>
      <c r="C37" s="747"/>
      <c r="D37" s="748" t="s">
        <v>130</v>
      </c>
      <c r="E37" s="99">
        <f>'4'!F37</f>
        <v>322998.69</v>
      </c>
      <c r="F37" s="1017">
        <v>322998.69</v>
      </c>
      <c r="G37" s="112">
        <f t="shared" si="1"/>
        <v>0</v>
      </c>
      <c r="H37" s="99">
        <f>G37+'4'!H37</f>
        <v>0</v>
      </c>
      <c r="I37" s="99"/>
      <c r="J37" s="175">
        <f>H37/DAY(B2)</f>
        <v>0</v>
      </c>
      <c r="L37" s="809"/>
    </row>
    <row r="38" spans="1:12" ht="26.25">
      <c r="A38" s="746" t="s">
        <v>164</v>
      </c>
      <c r="B38" s="747"/>
      <c r="C38" s="747"/>
      <c r="D38" s="748" t="s">
        <v>130</v>
      </c>
      <c r="E38" s="99">
        <f>'4'!F38</f>
        <v>602620.79</v>
      </c>
      <c r="F38" s="109">
        <v>604840.27</v>
      </c>
      <c r="G38" s="112">
        <f t="shared" si="1"/>
        <v>2219.4799999999814</v>
      </c>
      <c r="H38" s="99">
        <f>G38+'4'!H38</f>
        <v>11123.270000000019</v>
      </c>
      <c r="I38" s="99"/>
      <c r="J38" s="175">
        <f>H38/DAY(B2)</f>
        <v>2224.6540000000036</v>
      </c>
    </row>
    <row r="39" spans="1:12" ht="26.25">
      <c r="A39" s="746" t="s">
        <v>165</v>
      </c>
      <c r="B39" s="747"/>
      <c r="C39" s="747"/>
      <c r="D39" s="748" t="s">
        <v>130</v>
      </c>
      <c r="E39" s="99">
        <f>'4'!F39</f>
        <v>591584.18999999994</v>
      </c>
      <c r="F39" s="1017">
        <v>591584.18999999994</v>
      </c>
      <c r="G39" s="112">
        <f t="shared" si="1"/>
        <v>0</v>
      </c>
      <c r="H39" s="99">
        <f>G39+'4'!H39</f>
        <v>0</v>
      </c>
      <c r="I39" s="99"/>
      <c r="J39" s="175">
        <f>H39/DAY(B2)</f>
        <v>0</v>
      </c>
    </row>
    <row r="40" spans="1:12" ht="26.25">
      <c r="A40" s="746" t="s">
        <v>166</v>
      </c>
      <c r="B40" s="747"/>
      <c r="C40" s="747"/>
      <c r="D40" s="748" t="s">
        <v>130</v>
      </c>
      <c r="E40" s="99">
        <f>'4'!F40</f>
        <v>161063</v>
      </c>
      <c r="F40" s="1017">
        <v>161823.21</v>
      </c>
      <c r="G40" s="112">
        <f t="shared" si="1"/>
        <v>760.20999999999185</v>
      </c>
      <c r="H40" s="99">
        <f>G40+'4'!H40</f>
        <v>3843.2099999999919</v>
      </c>
      <c r="I40" s="99"/>
      <c r="J40" s="175">
        <f>H40/DAY(B2)</f>
        <v>768.64199999999835</v>
      </c>
    </row>
    <row r="41" spans="1:12" ht="26.25">
      <c r="A41" s="746" t="s">
        <v>167</v>
      </c>
      <c r="B41" s="747"/>
      <c r="C41" s="747"/>
      <c r="D41" s="748" t="s">
        <v>130</v>
      </c>
      <c r="E41" s="99">
        <f>'4'!F41</f>
        <v>381351.85</v>
      </c>
      <c r="F41" s="1017">
        <v>381351.55</v>
      </c>
      <c r="G41" s="112">
        <f t="shared" si="1"/>
        <v>-0.29999999998835847</v>
      </c>
      <c r="H41" s="99">
        <f>G41+'4'!H41</f>
        <v>-0.45000000001164153</v>
      </c>
      <c r="I41" s="99"/>
      <c r="J41" s="175">
        <f>H41/DAY(B2)</f>
        <v>-9.0000000002328301E-2</v>
      </c>
    </row>
    <row r="42" spans="1:12" ht="26.25">
      <c r="A42" s="746" t="s">
        <v>168</v>
      </c>
      <c r="B42" s="747"/>
      <c r="C42" s="747"/>
      <c r="D42" s="748" t="s">
        <v>130</v>
      </c>
      <c r="E42" s="99">
        <f>'4'!F42</f>
        <v>844031.83</v>
      </c>
      <c r="F42" s="1017">
        <v>848946.07</v>
      </c>
      <c r="G42" s="112">
        <f t="shared" si="1"/>
        <v>4914.2399999999907</v>
      </c>
      <c r="H42" s="99">
        <f>G42+'4'!H42</f>
        <v>23859.069999999949</v>
      </c>
      <c r="I42" s="99"/>
      <c r="J42" s="175">
        <f>H42/DAY(B2)</f>
        <v>4771.8139999999894</v>
      </c>
    </row>
    <row r="43" spans="1:12" ht="26.25">
      <c r="A43" s="746" t="s">
        <v>169</v>
      </c>
      <c r="B43" s="747"/>
      <c r="C43" s="747"/>
      <c r="D43" s="748" t="s">
        <v>130</v>
      </c>
      <c r="E43" s="99">
        <f>'4'!F43</f>
        <v>407028</v>
      </c>
      <c r="F43" s="1017">
        <v>407028</v>
      </c>
      <c r="G43" s="112">
        <f t="shared" si="1"/>
        <v>0</v>
      </c>
      <c r="H43" s="99">
        <f>G43+'4'!H43</f>
        <v>0</v>
      </c>
      <c r="I43" s="99"/>
      <c r="J43" s="175">
        <f>H43/DAY(B2)</f>
        <v>0</v>
      </c>
    </row>
    <row r="44" spans="1:12" ht="26.25">
      <c r="A44" s="746" t="s">
        <v>170</v>
      </c>
      <c r="B44" s="747"/>
      <c r="C44" s="747"/>
      <c r="D44" s="748" t="s">
        <v>130</v>
      </c>
      <c r="E44" s="99">
        <f>'4'!F44</f>
        <v>0</v>
      </c>
      <c r="F44" s="1017">
        <v>0</v>
      </c>
      <c r="G44" s="112">
        <f t="shared" si="1"/>
        <v>0</v>
      </c>
      <c r="H44" s="99">
        <f>G44+'4'!H44</f>
        <v>0</v>
      </c>
      <c r="I44" s="99"/>
      <c r="J44" s="175">
        <f>H44/DAY(B2)</f>
        <v>0</v>
      </c>
    </row>
    <row r="45" spans="1:12" ht="26.25">
      <c r="A45" s="746" t="s">
        <v>171</v>
      </c>
      <c r="B45" s="747"/>
      <c r="C45" s="747"/>
      <c r="D45" s="748" t="s">
        <v>130</v>
      </c>
      <c r="E45" s="99">
        <f>'4'!F45</f>
        <v>0</v>
      </c>
      <c r="F45" s="1017">
        <v>0</v>
      </c>
      <c r="G45" s="112">
        <f t="shared" si="1"/>
        <v>0</v>
      </c>
      <c r="H45" s="99">
        <f>G45+'4'!H45</f>
        <v>0</v>
      </c>
      <c r="I45" s="99"/>
      <c r="J45" s="175">
        <f>H45/DAY(B2)</f>
        <v>0</v>
      </c>
    </row>
    <row r="46" spans="1:12" ht="26.25">
      <c r="A46" s="746" t="s">
        <v>172</v>
      </c>
      <c r="B46" s="747"/>
      <c r="C46" s="747"/>
      <c r="D46" s="748" t="s">
        <v>130</v>
      </c>
      <c r="E46" s="99">
        <f>'4'!F46</f>
        <v>0</v>
      </c>
      <c r="F46" s="1017">
        <v>0</v>
      </c>
      <c r="G46" s="112">
        <f t="shared" si="1"/>
        <v>0</v>
      </c>
      <c r="H46" s="99">
        <f>G46+'4'!H46</f>
        <v>0</v>
      </c>
      <c r="I46" s="99"/>
      <c r="J46" s="175">
        <f>H46/DAY(B2)</f>
        <v>0</v>
      </c>
    </row>
    <row r="47" spans="1:12" ht="26.25">
      <c r="A47" s="761" t="s">
        <v>173</v>
      </c>
      <c r="B47" s="762"/>
      <c r="C47" s="762"/>
      <c r="D47" s="739"/>
      <c r="E47" s="109"/>
      <c r="F47" s="109"/>
      <c r="G47" s="119">
        <f>G35+G36+G37+G38+G39+G40+G41+G42+G43+G44+G45+G46</f>
        <v>8532.149999999936</v>
      </c>
      <c r="H47" s="99">
        <f>G47+'4'!H47</f>
        <v>42478.159999999945</v>
      </c>
      <c r="I47" s="99"/>
      <c r="J47" s="175">
        <f>H47/DAY(B2)</f>
        <v>8495.6319999999887</v>
      </c>
    </row>
    <row r="48" spans="1:12" ht="26.25">
      <c r="A48" s="805" t="s">
        <v>174</v>
      </c>
      <c r="B48" s="806"/>
      <c r="C48" s="806"/>
      <c r="D48" s="744"/>
      <c r="E48" s="130"/>
      <c r="F48" s="130"/>
      <c r="G48" s="385"/>
      <c r="H48" s="385"/>
      <c r="I48" s="385"/>
      <c r="J48" s="642"/>
    </row>
    <row r="49" spans="1:12" ht="26.25">
      <c r="A49" s="746" t="s">
        <v>161</v>
      </c>
      <c r="B49" s="810"/>
      <c r="C49" s="810"/>
      <c r="D49" s="748" t="s">
        <v>130</v>
      </c>
      <c r="E49" s="99">
        <f>'4'!F49</f>
        <v>735096.71</v>
      </c>
      <c r="F49" s="1017">
        <v>739060.23</v>
      </c>
      <c r="G49" s="112">
        <f t="shared" ref="G49:G58" si="2">F49-E49</f>
        <v>3963.5200000000186</v>
      </c>
      <c r="H49" s="99">
        <f>G49+'4'!H49</f>
        <v>18773.229999999981</v>
      </c>
      <c r="I49" s="99"/>
      <c r="J49" s="175">
        <f>H49/DAY(B2)</f>
        <v>3754.6459999999961</v>
      </c>
    </row>
    <row r="50" spans="1:12" ht="26.25">
      <c r="A50" s="746" t="s">
        <v>175</v>
      </c>
      <c r="B50" s="810"/>
      <c r="C50" s="810"/>
      <c r="D50" s="748" t="s">
        <v>130</v>
      </c>
      <c r="E50" s="99">
        <f>'4'!F50</f>
        <v>371716.83</v>
      </c>
      <c r="F50" s="1017">
        <v>373076.15</v>
      </c>
      <c r="G50" s="112">
        <f t="shared" si="2"/>
        <v>1359.320000000007</v>
      </c>
      <c r="H50" s="99">
        <f>G50+'4'!H50</f>
        <v>7305.1500000000233</v>
      </c>
      <c r="I50" s="99"/>
      <c r="J50" s="175">
        <f>H50/DAY(B2)</f>
        <v>1461.0300000000047</v>
      </c>
    </row>
    <row r="51" spans="1:12" ht="26.25">
      <c r="A51" s="746" t="s">
        <v>163</v>
      </c>
      <c r="B51" s="810"/>
      <c r="C51" s="810"/>
      <c r="D51" s="748" t="s">
        <v>130</v>
      </c>
      <c r="E51" s="99">
        <f>'4'!F51</f>
        <v>75795.42</v>
      </c>
      <c r="F51" s="1017">
        <v>76810.850000000006</v>
      </c>
      <c r="G51" s="112">
        <f t="shared" si="2"/>
        <v>1015.4300000000076</v>
      </c>
      <c r="H51" s="99">
        <f>G51+'4'!H51</f>
        <v>5083.8500000000058</v>
      </c>
      <c r="I51" s="99"/>
      <c r="J51" s="175">
        <f>H51/DAY(B2)</f>
        <v>1016.7700000000011</v>
      </c>
    </row>
    <row r="52" spans="1:12" ht="26.25">
      <c r="A52" s="746" t="s">
        <v>176</v>
      </c>
      <c r="B52" s="810"/>
      <c r="C52" s="810"/>
      <c r="D52" s="748" t="s">
        <v>130</v>
      </c>
      <c r="E52" s="99">
        <f>'4'!F52</f>
        <v>9.76</v>
      </c>
      <c r="F52" s="1017">
        <v>9.76</v>
      </c>
      <c r="G52" s="112">
        <f t="shared" si="2"/>
        <v>0</v>
      </c>
      <c r="H52" s="99">
        <f>G52+'4'!H52</f>
        <v>-0.24000000000000021</v>
      </c>
      <c r="I52" s="99"/>
      <c r="J52" s="175">
        <f>H52/DAY(B2)</f>
        <v>-4.8000000000000043E-2</v>
      </c>
    </row>
    <row r="53" spans="1:12" ht="26.25">
      <c r="A53" s="746" t="s">
        <v>165</v>
      </c>
      <c r="B53" s="810"/>
      <c r="C53" s="810"/>
      <c r="D53" s="748" t="s">
        <v>130</v>
      </c>
      <c r="E53" s="99">
        <f>'4'!F53</f>
        <v>310779.75</v>
      </c>
      <c r="F53" s="1017">
        <v>314920.19</v>
      </c>
      <c r="G53" s="112">
        <f t="shared" si="2"/>
        <v>4140.4400000000023</v>
      </c>
      <c r="H53" s="99">
        <f>G53+'4'!H53</f>
        <v>20819.190000000002</v>
      </c>
      <c r="I53" s="99"/>
      <c r="J53" s="175">
        <f>H53/DAY(B2)</f>
        <v>4163.8380000000006</v>
      </c>
    </row>
    <row r="54" spans="1:12" ht="26.25">
      <c r="A54" s="746" t="s">
        <v>177</v>
      </c>
      <c r="B54" s="810"/>
      <c r="C54" s="810"/>
      <c r="D54" s="748" t="s">
        <v>130</v>
      </c>
      <c r="E54" s="99">
        <f>'4'!F54</f>
        <v>102105.88</v>
      </c>
      <c r="F54" s="1017">
        <v>102279.66</v>
      </c>
      <c r="G54" s="112">
        <f t="shared" si="2"/>
        <v>173.77999999999884</v>
      </c>
      <c r="H54" s="99">
        <f>G54+'4'!H54</f>
        <v>892.66000000000349</v>
      </c>
      <c r="I54" s="99"/>
      <c r="J54" s="175">
        <f>H54/DAY(B2)</f>
        <v>178.53200000000069</v>
      </c>
    </row>
    <row r="55" spans="1:12" ht="26.25">
      <c r="A55" s="746" t="s">
        <v>178</v>
      </c>
      <c r="B55" s="810"/>
      <c r="C55" s="810"/>
      <c r="D55" s="748" t="s">
        <v>130</v>
      </c>
      <c r="E55" s="99">
        <f>'4'!F55</f>
        <v>501349.95</v>
      </c>
      <c r="F55" s="1017">
        <v>503394.75</v>
      </c>
      <c r="G55" s="112">
        <f t="shared" si="2"/>
        <v>2044.7999999999884</v>
      </c>
      <c r="H55" s="99">
        <f>G55+'4'!H55</f>
        <v>8911.75</v>
      </c>
      <c r="I55" s="99"/>
      <c r="J55" s="175">
        <f>H55/DAY(B2)</f>
        <v>1782.35</v>
      </c>
    </row>
    <row r="56" spans="1:12" ht="26.25">
      <c r="A56" s="746" t="s">
        <v>179</v>
      </c>
      <c r="B56" s="810"/>
      <c r="C56" s="810"/>
      <c r="D56" s="748" t="s">
        <v>180</v>
      </c>
      <c r="E56" s="99">
        <f>'4'!F56</f>
        <v>151179.5</v>
      </c>
      <c r="F56" s="1017">
        <v>151179.5</v>
      </c>
      <c r="G56" s="112">
        <f t="shared" si="2"/>
        <v>0</v>
      </c>
      <c r="H56" s="99">
        <f>G56+'4'!H56</f>
        <v>1460.5</v>
      </c>
      <c r="I56" s="99"/>
      <c r="J56" s="175">
        <f>H56/DAY(B2)</f>
        <v>292.10000000000002</v>
      </c>
    </row>
    <row r="57" spans="1:12" ht="26.25">
      <c r="A57" s="746" t="s">
        <v>169</v>
      </c>
      <c r="B57" s="810"/>
      <c r="C57" s="810"/>
      <c r="D57" s="748" t="s">
        <v>130</v>
      </c>
      <c r="E57" s="99">
        <f>'4'!F57</f>
        <v>421146.03</v>
      </c>
      <c r="F57" s="1017">
        <v>423901.63</v>
      </c>
      <c r="G57" s="112">
        <f t="shared" si="2"/>
        <v>2755.5999999999767</v>
      </c>
      <c r="H57" s="99">
        <f>G57+'4'!H57</f>
        <v>14823.630000000005</v>
      </c>
      <c r="I57" s="99"/>
      <c r="J57" s="175">
        <f>H57/DAY(B2)</f>
        <v>2964.726000000001</v>
      </c>
    </row>
    <row r="58" spans="1:12" ht="26.25">
      <c r="A58" s="746" t="s">
        <v>181</v>
      </c>
      <c r="B58" s="810"/>
      <c r="C58" s="810"/>
      <c r="D58" s="748" t="s">
        <v>130</v>
      </c>
      <c r="E58" s="99">
        <f>'4'!F58</f>
        <v>65162.42</v>
      </c>
      <c r="F58" s="1017">
        <v>65376.4</v>
      </c>
      <c r="G58" s="112">
        <f t="shared" si="2"/>
        <v>213.9800000000032</v>
      </c>
      <c r="H58" s="99">
        <f>G58+'4'!H58</f>
        <v>1225.4000000000015</v>
      </c>
      <c r="I58" s="99"/>
      <c r="J58" s="175">
        <f>H58/DAY(B2)</f>
        <v>245.0800000000003</v>
      </c>
    </row>
    <row r="59" spans="1:12" ht="26.25">
      <c r="A59" s="761" t="s">
        <v>173</v>
      </c>
      <c r="B59" s="762"/>
      <c r="C59" s="762"/>
      <c r="D59" s="739"/>
      <c r="E59" s="109"/>
      <c r="F59" s="109"/>
      <c r="G59" s="119">
        <f>G49+G50+G51+G52+G53+G54+G55+G56+G57+G58</f>
        <v>15666.870000000003</v>
      </c>
      <c r="H59" s="99">
        <f>G59+'4'!H59</f>
        <v>79295.120000000024</v>
      </c>
      <c r="I59" s="99">
        <f>G7-G60</f>
        <v>274.98000000006141</v>
      </c>
      <c r="J59" s="175">
        <f>H59/DAY(B2)</f>
        <v>15859.024000000005</v>
      </c>
    </row>
    <row r="60" spans="1:12" ht="26.25">
      <c r="A60" s="746"/>
      <c r="B60" s="747"/>
      <c r="C60" s="747"/>
      <c r="D60" s="739" t="s">
        <v>182</v>
      </c>
      <c r="E60" s="109"/>
      <c r="F60" s="109"/>
      <c r="G60" s="119">
        <f>G47+G59</f>
        <v>24199.019999999939</v>
      </c>
      <c r="H60" s="99">
        <f>G60+'4'!H60</f>
        <v>121773.27999999997</v>
      </c>
      <c r="I60" s="99">
        <f>G13-G60</f>
        <v>-28.120000000031723</v>
      </c>
      <c r="J60" s="175">
        <f>H60/DAY(B2)</f>
        <v>24354.655999999995</v>
      </c>
    </row>
    <row r="61" spans="1:12" s="814" customFormat="1" ht="26.25">
      <c r="A61" s="1208" t="s">
        <v>332</v>
      </c>
      <c r="B61" s="1209"/>
      <c r="C61" s="1210"/>
      <c r="D61" s="811"/>
      <c r="E61" s="661"/>
      <c r="F61" s="661"/>
      <c r="G61" s="340"/>
      <c r="H61" s="661"/>
      <c r="I61" s="661"/>
      <c r="J61" s="662"/>
      <c r="K61" s="725"/>
      <c r="L61" s="725"/>
    </row>
    <row r="62" spans="1:12" ht="25.5">
      <c r="A62" s="1174" t="s">
        <v>198</v>
      </c>
      <c r="B62" s="1175"/>
      <c r="C62" s="1176"/>
      <c r="D62" s="748" t="s">
        <v>142</v>
      </c>
      <c r="E62" s="99">
        <f>'4'!F62</f>
        <v>302418</v>
      </c>
      <c r="F62" s="646">
        <v>302498</v>
      </c>
      <c r="G62" s="112">
        <f>F62-E62</f>
        <v>80</v>
      </c>
      <c r="H62" s="99">
        <f>G62+'4'!H62</f>
        <v>433</v>
      </c>
      <c r="I62" s="993"/>
      <c r="J62" s="175">
        <f>H62/DAY(B2)</f>
        <v>86.6</v>
      </c>
    </row>
    <row r="63" spans="1:12" ht="25.5">
      <c r="A63" s="1174" t="s">
        <v>199</v>
      </c>
      <c r="B63" s="1175"/>
      <c r="C63" s="1176"/>
      <c r="D63" s="748" t="s">
        <v>142</v>
      </c>
      <c r="E63" s="99">
        <f>'4'!F63</f>
        <v>245139</v>
      </c>
      <c r="F63" s="646">
        <v>245139</v>
      </c>
      <c r="G63" s="112">
        <f>F63-E63</f>
        <v>0</v>
      </c>
      <c r="H63" s="99">
        <f>G63+'4'!H63</f>
        <v>0</v>
      </c>
      <c r="I63" s="993"/>
      <c r="J63" s="175">
        <f>H63/DAY(B2)</f>
        <v>0</v>
      </c>
    </row>
    <row r="64" spans="1:12" ht="26.25">
      <c r="A64" s="1183" t="s">
        <v>200</v>
      </c>
      <c r="B64" s="1184"/>
      <c r="C64" s="1185"/>
      <c r="D64" s="748"/>
      <c r="E64" s="99">
        <f>'4'!F64</f>
        <v>0</v>
      </c>
      <c r="F64" s="646"/>
      <c r="G64" s="112">
        <f>G62+G63</f>
        <v>80</v>
      </c>
      <c r="H64" s="99">
        <f>G64+'4'!H64</f>
        <v>433</v>
      </c>
      <c r="I64" s="993"/>
      <c r="J64" s="175">
        <f>H64/DAY(B2)</f>
        <v>86.6</v>
      </c>
    </row>
    <row r="65" spans="1:12" ht="25.5">
      <c r="A65" s="1174" t="s">
        <v>201</v>
      </c>
      <c r="B65" s="1175"/>
      <c r="C65" s="1176"/>
      <c r="D65" s="748" t="s">
        <v>142</v>
      </c>
      <c r="E65" s="99">
        <f>'4'!F65</f>
        <v>461227</v>
      </c>
      <c r="F65" s="646">
        <v>461328</v>
      </c>
      <c r="G65" s="112">
        <f t="shared" ref="G65:G70" si="3">F65-E65</f>
        <v>101</v>
      </c>
      <c r="H65" s="99">
        <f>G65+'4'!H65</f>
        <v>504</v>
      </c>
      <c r="I65" s="993"/>
      <c r="J65" s="175">
        <f>H65/DAY(B2)</f>
        <v>100.8</v>
      </c>
    </row>
    <row r="66" spans="1:12" ht="25.5">
      <c r="A66" s="765" t="s">
        <v>202</v>
      </c>
      <c r="B66" s="816"/>
      <c r="C66" s="816"/>
      <c r="D66" s="748" t="s">
        <v>142</v>
      </c>
      <c r="E66" s="99">
        <f>'4'!F66</f>
        <v>112638</v>
      </c>
      <c r="F66" s="646">
        <v>112644</v>
      </c>
      <c r="G66" s="112">
        <f t="shared" si="3"/>
        <v>6</v>
      </c>
      <c r="H66" s="99">
        <f>G66+'4'!H66</f>
        <v>39</v>
      </c>
      <c r="I66" s="993"/>
      <c r="J66" s="175">
        <f>H66/DAY(B2)</f>
        <v>7.8</v>
      </c>
    </row>
    <row r="67" spans="1:12" ht="25.5">
      <c r="A67" s="765" t="s">
        <v>203</v>
      </c>
      <c r="B67" s="816"/>
      <c r="C67" s="816"/>
      <c r="D67" s="748" t="s">
        <v>142</v>
      </c>
      <c r="E67" s="99">
        <f>'4'!F67</f>
        <v>114807</v>
      </c>
      <c r="F67" s="646">
        <v>114825</v>
      </c>
      <c r="G67" s="112">
        <f t="shared" si="3"/>
        <v>18</v>
      </c>
      <c r="H67" s="99">
        <f>G67+'4'!H67</f>
        <v>117</v>
      </c>
      <c r="I67" s="993"/>
      <c r="J67" s="175">
        <f>H67/DAY(B2)</f>
        <v>23.4</v>
      </c>
    </row>
    <row r="68" spans="1:12" ht="25.5">
      <c r="A68" s="765" t="s">
        <v>204</v>
      </c>
      <c r="B68" s="816"/>
      <c r="C68" s="816"/>
      <c r="D68" s="748" t="s">
        <v>142</v>
      </c>
      <c r="E68" s="99">
        <f>'4'!F68</f>
        <v>166684</v>
      </c>
      <c r="F68" s="646">
        <v>166728</v>
      </c>
      <c r="G68" s="112">
        <f t="shared" si="3"/>
        <v>44</v>
      </c>
      <c r="H68" s="99">
        <f>G68+'4'!H68</f>
        <v>147</v>
      </c>
      <c r="I68" s="993"/>
      <c r="J68" s="175">
        <f>H68/DAY(B2)</f>
        <v>29.4</v>
      </c>
    </row>
    <row r="69" spans="1:12" ht="25.5">
      <c r="A69" s="765" t="s">
        <v>205</v>
      </c>
      <c r="B69" s="816"/>
      <c r="C69" s="816"/>
      <c r="D69" s="748" t="s">
        <v>142</v>
      </c>
      <c r="E69" s="99">
        <f>'4'!F69</f>
        <v>12577</v>
      </c>
      <c r="F69" s="646">
        <v>12579</v>
      </c>
      <c r="G69" s="112">
        <f t="shared" si="3"/>
        <v>2</v>
      </c>
      <c r="H69" s="99">
        <f>G69+'4'!H69</f>
        <v>15</v>
      </c>
      <c r="I69" s="993"/>
      <c r="J69" s="175">
        <f>H69/DAY(B2)</f>
        <v>3</v>
      </c>
    </row>
    <row r="70" spans="1:12" ht="25.5">
      <c r="A70" s="765" t="s">
        <v>206</v>
      </c>
      <c r="B70" s="816"/>
      <c r="C70" s="816"/>
      <c r="D70" s="748" t="s">
        <v>142</v>
      </c>
      <c r="E70" s="99">
        <f>'4'!F70</f>
        <v>10376</v>
      </c>
      <c r="F70" s="646">
        <v>10384</v>
      </c>
      <c r="G70" s="112">
        <f t="shared" si="3"/>
        <v>8</v>
      </c>
      <c r="H70" s="99">
        <f>G70+'4'!H70</f>
        <v>51</v>
      </c>
      <c r="I70" s="993"/>
      <c r="J70" s="175">
        <f>H70/DAY(B2)</f>
        <v>10.199999999999999</v>
      </c>
    </row>
    <row r="71" spans="1:12" ht="26.25">
      <c r="A71" s="1183" t="s">
        <v>208</v>
      </c>
      <c r="B71" s="1184"/>
      <c r="C71" s="1185"/>
      <c r="D71" s="113"/>
      <c r="E71" s="124"/>
      <c r="F71" s="124"/>
      <c r="G71" s="153">
        <f>SUM(G65:G70)</f>
        <v>179</v>
      </c>
      <c r="H71" s="99">
        <f>G71+'4'!H71</f>
        <v>873</v>
      </c>
      <c r="I71" s="1005"/>
      <c r="J71" s="175">
        <f>H71/DAY(B2)</f>
        <v>174.6</v>
      </c>
    </row>
    <row r="72" spans="1:12" s="782" customFormat="1" ht="25.5">
      <c r="A72" s="1170"/>
      <c r="B72" s="1155"/>
      <c r="C72" s="820"/>
      <c r="D72" s="821"/>
      <c r="E72" s="1018" t="s">
        <v>207</v>
      </c>
      <c r="F72" s="1018"/>
      <c r="G72" s="1018"/>
      <c r="H72" s="181"/>
      <c r="I72" s="1018"/>
      <c r="J72" s="182"/>
      <c r="K72" s="725"/>
      <c r="L72" s="725"/>
    </row>
    <row r="73" spans="1:12" ht="26.25">
      <c r="A73" s="1180" t="s">
        <v>333</v>
      </c>
      <c r="B73" s="1181"/>
      <c r="C73" s="1182"/>
      <c r="D73" s="811"/>
      <c r="E73" s="661"/>
      <c r="F73" s="661"/>
      <c r="G73" s="340"/>
      <c r="H73" s="340"/>
      <c r="I73" s="340"/>
      <c r="J73" s="907"/>
    </row>
    <row r="74" spans="1:12" ht="25.5">
      <c r="A74" s="1174" t="s">
        <v>220</v>
      </c>
      <c r="B74" s="1175"/>
      <c r="C74" s="1176"/>
      <c r="D74" s="748" t="s">
        <v>139</v>
      </c>
      <c r="E74" s="99">
        <f>'4'!F74</f>
        <v>976942.88</v>
      </c>
      <c r="F74" s="645">
        <v>977251.6</v>
      </c>
      <c r="G74" s="112">
        <f>F74-E74</f>
        <v>308.71999999997206</v>
      </c>
      <c r="H74" s="99">
        <f>G74+'4'!H74</f>
        <v>1440.5999999999767</v>
      </c>
      <c r="I74" s="1005"/>
      <c r="J74" s="175">
        <f>H74/DAY(B2)</f>
        <v>288.11999999999534</v>
      </c>
    </row>
    <row r="75" spans="1:12" ht="25.5">
      <c r="A75" s="1174" t="s">
        <v>221</v>
      </c>
      <c r="B75" s="1175"/>
      <c r="C75" s="1176"/>
      <c r="D75" s="748" t="s">
        <v>139</v>
      </c>
      <c r="E75" s="99">
        <f>'4'!F75</f>
        <v>73586.8</v>
      </c>
      <c r="F75" s="645">
        <v>73586</v>
      </c>
      <c r="G75" s="112">
        <f>F75-E75</f>
        <v>-0.80000000000291038</v>
      </c>
      <c r="H75" s="99">
        <f>G75+'4'!H75</f>
        <v>0</v>
      </c>
      <c r="I75" s="1005"/>
      <c r="J75" s="175">
        <f>H75/DAY(B2)</f>
        <v>0</v>
      </c>
    </row>
    <row r="76" spans="1:12" ht="25.5">
      <c r="A76" s="1171" t="s">
        <v>222</v>
      </c>
      <c r="B76" s="1172"/>
      <c r="C76" s="1173"/>
      <c r="D76" s="748" t="s">
        <v>139</v>
      </c>
      <c r="E76" s="99">
        <f>'4'!F76</f>
        <v>197151.8</v>
      </c>
      <c r="F76" s="645">
        <v>197260</v>
      </c>
      <c r="G76" s="112">
        <f>F76-E76</f>
        <v>108.20000000001164</v>
      </c>
      <c r="H76" s="99">
        <f>G76+'4'!H76</f>
        <v>524</v>
      </c>
      <c r="I76" s="1005"/>
      <c r="J76" s="175">
        <f>H76/DAY(B2)</f>
        <v>104.8</v>
      </c>
    </row>
    <row r="77" spans="1:12" ht="25.5">
      <c r="A77" s="1171" t="s">
        <v>223</v>
      </c>
      <c r="B77" s="1172"/>
      <c r="C77" s="1173"/>
      <c r="D77" s="748" t="s">
        <v>139</v>
      </c>
      <c r="E77" s="99">
        <f>'4'!F77</f>
        <v>53508.800000000003</v>
      </c>
      <c r="F77" s="645">
        <v>53555</v>
      </c>
      <c r="G77" s="112">
        <f>F77-E77</f>
        <v>46.19999999999709</v>
      </c>
      <c r="H77" s="99">
        <f>G77+'4'!H77</f>
        <v>203</v>
      </c>
      <c r="I77" s="1005"/>
      <c r="J77" s="175">
        <f>H77/DAY(B2)</f>
        <v>40.6</v>
      </c>
    </row>
    <row r="78" spans="1:12" ht="25.5">
      <c r="A78" s="1171" t="s">
        <v>224</v>
      </c>
      <c r="B78" s="1172"/>
      <c r="C78" s="1173"/>
      <c r="D78" s="748" t="s">
        <v>139</v>
      </c>
      <c r="E78" s="99">
        <f>'4'!F78</f>
        <v>9563</v>
      </c>
      <c r="F78" s="645">
        <v>9563</v>
      </c>
      <c r="G78" s="112">
        <f>F78-E78</f>
        <v>0</v>
      </c>
      <c r="H78" s="99">
        <f>G78+'4'!H78</f>
        <v>-0.3999999999996362</v>
      </c>
      <c r="I78" s="993"/>
      <c r="J78" s="175">
        <f>H78/DAY(B2)</f>
        <v>-7.999999999992724E-2</v>
      </c>
    </row>
    <row r="79" spans="1:12" s="732" customFormat="1" ht="25.5">
      <c r="A79" s="1171" t="s">
        <v>225</v>
      </c>
      <c r="B79" s="1172"/>
      <c r="C79" s="1173"/>
      <c r="D79" s="748"/>
      <c r="E79" s="632"/>
      <c r="F79" s="632"/>
      <c r="G79" s="112">
        <f>G15-SUM(G74:G78)</f>
        <v>490.68000000002212</v>
      </c>
      <c r="H79" s="99">
        <f>G79+'4'!H79</f>
        <v>2755.8000000000229</v>
      </c>
      <c r="I79" s="993"/>
      <c r="J79" s="175"/>
      <c r="K79" s="725"/>
      <c r="L79" s="725"/>
    </row>
    <row r="80" spans="1:12" s="732" customFormat="1" ht="26.25">
      <c r="A80" s="1183" t="s">
        <v>329</v>
      </c>
      <c r="B80" s="1184"/>
      <c r="C80" s="1185"/>
      <c r="D80" s="748"/>
      <c r="E80" s="632"/>
      <c r="F80" s="632"/>
      <c r="G80" s="112">
        <f>SUM(G74:G79)</f>
        <v>953</v>
      </c>
      <c r="H80" s="99"/>
      <c r="I80" s="993"/>
      <c r="J80" s="175"/>
      <c r="K80" s="725"/>
      <c r="L80" s="725"/>
    </row>
    <row r="81" spans="1:10" ht="25.5">
      <c r="A81" s="1188" t="s">
        <v>226</v>
      </c>
      <c r="B81" s="1189"/>
      <c r="C81" s="1190"/>
      <c r="D81" s="743"/>
      <c r="E81" s="130"/>
      <c r="F81" s="130"/>
      <c r="G81" s="163"/>
      <c r="H81" s="163"/>
      <c r="I81" s="163"/>
      <c r="J81" s="184"/>
    </row>
    <row r="82" spans="1:10" ht="26.25">
      <c r="A82" s="765" t="s">
        <v>227</v>
      </c>
      <c r="B82" s="816"/>
      <c r="C82" s="816"/>
      <c r="D82" s="748" t="s">
        <v>228</v>
      </c>
      <c r="E82" s="99">
        <f>'4'!F82</f>
        <v>0</v>
      </c>
      <c r="F82" s="646">
        <v>0</v>
      </c>
      <c r="G82" s="112">
        <f t="shared" ref="G82:G92" si="4">F82-E82</f>
        <v>0</v>
      </c>
      <c r="H82" s="99">
        <f>G82+'4'!H82</f>
        <v>0</v>
      </c>
      <c r="I82" s="1006"/>
      <c r="J82" s="175">
        <f>H82/DAY(B2)</f>
        <v>0</v>
      </c>
    </row>
    <row r="83" spans="1:10" ht="26.25">
      <c r="A83" s="765" t="s">
        <v>229</v>
      </c>
      <c r="B83" s="816"/>
      <c r="C83" s="816"/>
      <c r="D83" s="748" t="s">
        <v>228</v>
      </c>
      <c r="E83" s="99">
        <f>'4'!F83</f>
        <v>0</v>
      </c>
      <c r="F83" s="646">
        <v>0</v>
      </c>
      <c r="G83" s="112">
        <f t="shared" si="4"/>
        <v>0</v>
      </c>
      <c r="H83" s="99">
        <f>G83+'4'!H83</f>
        <v>0</v>
      </c>
      <c r="I83" s="1006"/>
      <c r="J83" s="175">
        <f>H83/DAY(B2)</f>
        <v>0</v>
      </c>
    </row>
    <row r="84" spans="1:10" ht="26.25">
      <c r="A84" s="765" t="s">
        <v>230</v>
      </c>
      <c r="B84" s="816"/>
      <c r="C84" s="816"/>
      <c r="D84" s="748" t="s">
        <v>228</v>
      </c>
      <c r="E84" s="99">
        <f>'4'!F84</f>
        <v>43366.18</v>
      </c>
      <c r="F84" s="1019">
        <v>43366.5</v>
      </c>
      <c r="G84" s="112">
        <f t="shared" si="4"/>
        <v>0.31999999999970896</v>
      </c>
      <c r="H84" s="99">
        <f>G84+'4'!H84</f>
        <v>-0.30000000000291038</v>
      </c>
      <c r="I84" s="1006"/>
      <c r="J84" s="175">
        <f>H84/DAY(B2)</f>
        <v>-6.0000000000582074E-2</v>
      </c>
    </row>
    <row r="85" spans="1:10" ht="26.25">
      <c r="A85" s="765" t="s">
        <v>231</v>
      </c>
      <c r="B85" s="816"/>
      <c r="C85" s="816"/>
      <c r="D85" s="748" t="s">
        <v>228</v>
      </c>
      <c r="E85" s="99">
        <f>'4'!F85</f>
        <v>5561</v>
      </c>
      <c r="F85" s="1019">
        <v>5581</v>
      </c>
      <c r="G85" s="112">
        <f t="shared" si="4"/>
        <v>20</v>
      </c>
      <c r="H85" s="99">
        <f>G85+'4'!H85</f>
        <v>105</v>
      </c>
      <c r="I85" s="1006"/>
      <c r="J85" s="175">
        <f>H85/DAY(B2)</f>
        <v>21</v>
      </c>
    </row>
    <row r="86" spans="1:10" ht="26.25">
      <c r="A86" s="765" t="s">
        <v>232</v>
      </c>
      <c r="B86" s="816"/>
      <c r="C86" s="816"/>
      <c r="D86" s="748" t="s">
        <v>228</v>
      </c>
      <c r="E86" s="99">
        <f>'4'!F86</f>
        <v>46320.4</v>
      </c>
      <c r="F86" s="1019">
        <v>46334.7</v>
      </c>
      <c r="G86" s="112">
        <f t="shared" si="4"/>
        <v>14.299999999995634</v>
      </c>
      <c r="H86" s="99">
        <f>G86+'4'!H86</f>
        <v>63.279999999998836</v>
      </c>
      <c r="I86" s="1006"/>
      <c r="J86" s="175">
        <f>H86/DAY(B2)</f>
        <v>12.655999999999768</v>
      </c>
    </row>
    <row r="87" spans="1:10" ht="26.25">
      <c r="A87" s="765" t="s">
        <v>233</v>
      </c>
      <c r="B87" s="816"/>
      <c r="C87" s="816"/>
      <c r="D87" s="748" t="s">
        <v>228</v>
      </c>
      <c r="E87" s="99">
        <f>'4'!F87</f>
        <v>35644</v>
      </c>
      <c r="F87" s="1019">
        <v>35644</v>
      </c>
      <c r="G87" s="112">
        <f t="shared" si="4"/>
        <v>0</v>
      </c>
      <c r="H87" s="99">
        <f>G87+'4'!H87</f>
        <v>0</v>
      </c>
      <c r="I87" s="1007">
        <f>G84+G85+G86+G87</f>
        <v>34.619999999995343</v>
      </c>
      <c r="J87" s="175">
        <f>H87/DAY(B2)</f>
        <v>0</v>
      </c>
    </row>
    <row r="88" spans="1:10" ht="26.25">
      <c r="A88" s="765" t="s">
        <v>234</v>
      </c>
      <c r="B88" s="816"/>
      <c r="C88" s="816"/>
      <c r="D88" s="748" t="s">
        <v>228</v>
      </c>
      <c r="E88" s="99">
        <f>'4'!F88</f>
        <v>24440.560000000001</v>
      </c>
      <c r="F88" s="1019">
        <v>24440.5</v>
      </c>
      <c r="G88" s="112">
        <f t="shared" si="4"/>
        <v>-6.0000000001309672E-2</v>
      </c>
      <c r="H88" s="99">
        <f>G88+'4'!H88</f>
        <v>16.540000000000873</v>
      </c>
      <c r="I88" s="1007"/>
      <c r="J88" s="175">
        <f>H88/DAY(B2)</f>
        <v>3.3080000000001748</v>
      </c>
    </row>
    <row r="89" spans="1:10" ht="26.25">
      <c r="A89" s="765" t="s">
        <v>235</v>
      </c>
      <c r="B89" s="816"/>
      <c r="C89" s="816"/>
      <c r="D89" s="748" t="s">
        <v>228</v>
      </c>
      <c r="E89" s="99">
        <f>'4'!F89</f>
        <v>28011.200000000001</v>
      </c>
      <c r="F89" s="1019">
        <v>28018</v>
      </c>
      <c r="G89" s="112">
        <f t="shared" si="4"/>
        <v>6.7999999999992724</v>
      </c>
      <c r="H89" s="99">
        <f>G89+'4'!H89</f>
        <v>30</v>
      </c>
      <c r="I89" s="1007">
        <f>G88+G89</f>
        <v>6.7399999999979627</v>
      </c>
      <c r="J89" s="175">
        <f>H89/DAY(B2)</f>
        <v>6</v>
      </c>
    </row>
    <row r="90" spans="1:10" ht="26.25">
      <c r="A90" s="765" t="s">
        <v>236</v>
      </c>
      <c r="B90" s="816"/>
      <c r="C90" s="816"/>
      <c r="D90" s="748" t="s">
        <v>228</v>
      </c>
      <c r="E90" s="99">
        <f>'4'!F90</f>
        <v>73287</v>
      </c>
      <c r="F90" s="1019">
        <v>73297.7</v>
      </c>
      <c r="G90" s="112">
        <f t="shared" si="4"/>
        <v>10.69999999999709</v>
      </c>
      <c r="H90" s="99">
        <f>G90+'4'!H90</f>
        <v>53.959999999991851</v>
      </c>
      <c r="I90" s="1007">
        <f>G90</f>
        <v>10.69999999999709</v>
      </c>
      <c r="J90" s="175">
        <f>H90/DAY(B2)</f>
        <v>10.791999999998371</v>
      </c>
    </row>
    <row r="91" spans="1:10" ht="26.25">
      <c r="A91" s="765" t="s">
        <v>237</v>
      </c>
      <c r="B91" s="816"/>
      <c r="C91" s="816"/>
      <c r="D91" s="748" t="s">
        <v>228</v>
      </c>
      <c r="E91" s="99">
        <f>'4'!F91</f>
        <v>4720.2299999999996</v>
      </c>
      <c r="F91" s="646">
        <v>4734.03</v>
      </c>
      <c r="G91" s="112">
        <f t="shared" si="4"/>
        <v>13.800000000000182</v>
      </c>
      <c r="H91" s="99">
        <f>G91+'4'!H91</f>
        <v>55.599999999999454</v>
      </c>
      <c r="I91" s="1008"/>
      <c r="J91" s="175">
        <f>H91/DAY(B2)</f>
        <v>11.119999999999891</v>
      </c>
    </row>
    <row r="92" spans="1:10" ht="26.25">
      <c r="A92" s="765" t="s">
        <v>238</v>
      </c>
      <c r="B92" s="816"/>
      <c r="C92" s="816"/>
      <c r="D92" s="748" t="s">
        <v>228</v>
      </c>
      <c r="E92" s="99">
        <f>'4'!F92</f>
        <v>7000</v>
      </c>
      <c r="F92" s="646">
        <v>7000</v>
      </c>
      <c r="G92" s="112">
        <f t="shared" si="4"/>
        <v>0</v>
      </c>
      <c r="H92" s="99">
        <f>G92+'4'!H92</f>
        <v>0</v>
      </c>
      <c r="I92" s="1008">
        <f>G91+G92</f>
        <v>13.800000000000182</v>
      </c>
      <c r="J92" s="175">
        <f>H92/DAY(B2)</f>
        <v>0</v>
      </c>
    </row>
    <row r="93" spans="1:10" ht="26.25">
      <c r="A93" s="1177" t="s">
        <v>239</v>
      </c>
      <c r="B93" s="1178"/>
      <c r="C93" s="1179"/>
      <c r="D93" s="744"/>
      <c r="E93" s="385"/>
      <c r="F93" s="385"/>
      <c r="G93" s="125"/>
      <c r="H93" s="125"/>
      <c r="I93" s="125"/>
      <c r="J93" s="908"/>
    </row>
    <row r="94" spans="1:10" ht="25.5">
      <c r="A94" s="1174" t="s">
        <v>240</v>
      </c>
      <c r="B94" s="1175"/>
      <c r="C94" s="1176"/>
      <c r="D94" s="748" t="s">
        <v>130</v>
      </c>
      <c r="E94" s="99"/>
      <c r="F94" s="99"/>
      <c r="G94" s="99">
        <f>G35+G43+G49+G57</f>
        <v>6719.1199999999953</v>
      </c>
      <c r="H94" s="99">
        <f>G94+'4'!H94</f>
        <v>33596.81</v>
      </c>
      <c r="I94" s="993"/>
      <c r="J94" s="175">
        <f>H94/DAY(B2)</f>
        <v>6719.3619999999992</v>
      </c>
    </row>
    <row r="95" spans="1:10" ht="25.5">
      <c r="A95" s="1174" t="s">
        <v>241</v>
      </c>
      <c r="B95" s="1175"/>
      <c r="C95" s="1176"/>
      <c r="D95" s="748" t="s">
        <v>23</v>
      </c>
      <c r="E95" s="109"/>
      <c r="F95" s="109"/>
      <c r="G95" s="994">
        <f>G94/G7</f>
        <v>0.27454114570564664</v>
      </c>
      <c r="H95" s="99">
        <f>G95+'4'!H95</f>
        <v>1.359830741734164</v>
      </c>
      <c r="I95" s="995"/>
      <c r="J95" s="175">
        <f>H95/DAY(B2)</f>
        <v>0.2719661483468328</v>
      </c>
    </row>
    <row r="96" spans="1:10" ht="25.5">
      <c r="A96" s="1174" t="s">
        <v>242</v>
      </c>
      <c r="B96" s="1175"/>
      <c r="C96" s="1176"/>
      <c r="D96" s="748" t="s">
        <v>130</v>
      </c>
      <c r="E96" s="99"/>
      <c r="F96" s="99"/>
      <c r="G96" s="99">
        <f>G41+G42+G55+G56</f>
        <v>6958.7399999999907</v>
      </c>
      <c r="H96" s="99">
        <f>G96+'4'!H96</f>
        <v>34230.869999999937</v>
      </c>
      <c r="I96" s="993"/>
      <c r="J96" s="175">
        <f>H96/DAY(B2)</f>
        <v>6846.1739999999872</v>
      </c>
    </row>
    <row r="97" spans="1:10" ht="25.5">
      <c r="A97" s="1174" t="s">
        <v>243</v>
      </c>
      <c r="B97" s="1175"/>
      <c r="C97" s="1176"/>
      <c r="D97" s="748" t="s">
        <v>23</v>
      </c>
      <c r="E97" s="99"/>
      <c r="F97" s="99"/>
      <c r="G97" s="994">
        <f>G96/G7</f>
        <v>0.28433194410394669</v>
      </c>
      <c r="H97" s="99">
        <f>G97+'4'!H97</f>
        <v>1.3846390551983709</v>
      </c>
      <c r="I97" s="995"/>
      <c r="J97" s="175">
        <f>H97/DAY(B2)</f>
        <v>0.27692781103967418</v>
      </c>
    </row>
    <row r="98" spans="1:10" ht="25.5">
      <c r="A98" s="1174" t="s">
        <v>244</v>
      </c>
      <c r="B98" s="1175"/>
      <c r="C98" s="1176"/>
      <c r="D98" s="748" t="s">
        <v>130</v>
      </c>
      <c r="E98" s="99"/>
      <c r="F98" s="99"/>
      <c r="G98" s="99">
        <f>G39+G53</f>
        <v>4140.4400000000023</v>
      </c>
      <c r="H98" s="99">
        <f>G98+'4'!H98</f>
        <v>20819.190000000002</v>
      </c>
      <c r="I98" s="168"/>
      <c r="J98" s="175">
        <f>H98/DAY(B2)</f>
        <v>4163.8380000000006</v>
      </c>
    </row>
    <row r="99" spans="1:10" ht="25.5">
      <c r="A99" s="1174" t="s">
        <v>245</v>
      </c>
      <c r="B99" s="1175"/>
      <c r="C99" s="1176"/>
      <c r="D99" s="748" t="s">
        <v>23</v>
      </c>
      <c r="E99" s="99"/>
      <c r="F99" s="99"/>
      <c r="G99" s="994">
        <f>G98/G7</f>
        <v>0.16917708588706393</v>
      </c>
      <c r="H99" s="99">
        <f>G99+'4'!H99</f>
        <v>0.84248141138314325</v>
      </c>
      <c r="I99" s="168"/>
      <c r="J99" s="175">
        <f>H99/DAY(B2)</f>
        <v>0.16849628227662866</v>
      </c>
    </row>
    <row r="100" spans="1:10" ht="25.5">
      <c r="A100" s="1174" t="s">
        <v>246</v>
      </c>
      <c r="B100" s="1175"/>
      <c r="C100" s="1176"/>
      <c r="D100" s="748" t="s">
        <v>180</v>
      </c>
      <c r="E100" s="99"/>
      <c r="F100" s="99"/>
      <c r="G100" s="99">
        <f>G38+G52</f>
        <v>2219.4799999999814</v>
      </c>
      <c r="H100" s="99">
        <f>G100+'4'!H100</f>
        <v>11123.030000000019</v>
      </c>
      <c r="I100" s="993"/>
      <c r="J100" s="175">
        <f>H100/DAY(B2)</f>
        <v>2224.6060000000039</v>
      </c>
    </row>
    <row r="101" spans="1:10" ht="25.5">
      <c r="A101" s="1174" t="s">
        <v>247</v>
      </c>
      <c r="B101" s="1175"/>
      <c r="C101" s="1176"/>
      <c r="D101" s="748" t="s">
        <v>23</v>
      </c>
      <c r="E101" s="99"/>
      <c r="F101" s="99"/>
      <c r="G101" s="994">
        <f>G100/G7</f>
        <v>9.0687259949333229E-2</v>
      </c>
      <c r="H101" s="99">
        <f>G101+'4'!H101</f>
        <v>0.45029656170515292</v>
      </c>
      <c r="I101" s="168"/>
      <c r="J101" s="175">
        <f>H101/DAY(B2)</f>
        <v>9.0059312341030581E-2</v>
      </c>
    </row>
    <row r="102" spans="1:10" ht="25.5">
      <c r="A102" s="1174" t="s">
        <v>248</v>
      </c>
      <c r="B102" s="1175"/>
      <c r="C102" s="1176"/>
      <c r="D102" s="748" t="s">
        <v>180</v>
      </c>
      <c r="E102" s="99"/>
      <c r="F102" s="99"/>
      <c r="G102" s="99">
        <f>G36+G50</f>
        <v>1997.8399999999674</v>
      </c>
      <c r="H102" s="99">
        <f>G102+'4'!H102</f>
        <v>10958.260000000009</v>
      </c>
      <c r="I102" s="168"/>
      <c r="J102" s="175">
        <f>H102/DAY(B2)</f>
        <v>2191.6520000000019</v>
      </c>
    </row>
    <row r="103" spans="1:10" ht="25.5">
      <c r="A103" s="1174" t="s">
        <v>249</v>
      </c>
      <c r="B103" s="1175"/>
      <c r="C103" s="1176"/>
      <c r="D103" s="748" t="s">
        <v>23</v>
      </c>
      <c r="E103" s="99"/>
      <c r="F103" s="99"/>
      <c r="G103" s="994">
        <f>G102/G7</f>
        <v>8.1631118738251504E-2</v>
      </c>
      <c r="H103" s="99">
        <f>G103+'4'!H103</f>
        <v>0.44288605167003653</v>
      </c>
      <c r="I103" s="993"/>
      <c r="J103" s="175">
        <f>H103/DAY(B2)</f>
        <v>8.8577210334007311E-2</v>
      </c>
    </row>
    <row r="104" spans="1:10" ht="25.5">
      <c r="A104" s="1174" t="s">
        <v>250</v>
      </c>
      <c r="B104" s="1175"/>
      <c r="C104" s="1176"/>
      <c r="D104" s="748" t="s">
        <v>180</v>
      </c>
      <c r="E104" s="99"/>
      <c r="F104" s="99"/>
      <c r="G104" s="99">
        <f>G37+G51</f>
        <v>1015.4300000000076</v>
      </c>
      <c r="H104" s="99">
        <f>G104+'4'!H104</f>
        <v>5083.8500000000058</v>
      </c>
      <c r="I104" s="993"/>
      <c r="J104" s="175">
        <f>H104/DAY(B2)</f>
        <v>1016.7700000000011</v>
      </c>
    </row>
    <row r="105" spans="1:10" ht="26.25" thickBot="1">
      <c r="A105" s="1167" t="s">
        <v>251</v>
      </c>
      <c r="B105" s="1168"/>
      <c r="C105" s="1169"/>
      <c r="D105" s="834" t="s">
        <v>23</v>
      </c>
      <c r="E105" s="1020"/>
      <c r="F105" s="1020"/>
      <c r="G105" s="996">
        <f>G104/G7</f>
        <v>4.14901528152328E-2</v>
      </c>
      <c r="H105" s="99">
        <f>G105+'4'!H105</f>
        <v>0.20573658281086527</v>
      </c>
      <c r="I105" s="997"/>
      <c r="J105" s="188">
        <f>H105/DAY(B2)</f>
        <v>4.1147316562173054E-2</v>
      </c>
    </row>
    <row r="106" spans="1:10" ht="25.5">
      <c r="A106" s="838"/>
      <c r="B106" s="839"/>
      <c r="C106" s="839"/>
      <c r="D106" s="840"/>
      <c r="E106" s="840"/>
      <c r="F106" s="840"/>
      <c r="G106" s="840"/>
      <c r="H106" s="841"/>
      <c r="I106" s="840"/>
      <c r="J106" s="840"/>
    </row>
    <row r="107" spans="1:10" ht="26.25"/>
    <row r="108" spans="1:10" ht="27.75">
      <c r="A108" s="1163" t="s">
        <v>324</v>
      </c>
      <c r="B108" s="1163"/>
      <c r="C108" s="1163"/>
      <c r="D108" s="1163"/>
      <c r="E108" s="1163"/>
      <c r="F108" s="1163"/>
      <c r="G108" s="1163"/>
      <c r="H108" s="1163"/>
      <c r="I108" s="1163"/>
      <c r="J108" s="1163"/>
    </row>
    <row r="109" spans="1:10" ht="26.25">
      <c r="A109" s="1191"/>
      <c r="B109" s="1191"/>
    </row>
    <row r="110" spans="1:10" ht="26.25">
      <c r="A110" s="1164" t="s">
        <v>165</v>
      </c>
      <c r="B110" s="1165"/>
      <c r="C110" s="1165"/>
      <c r="D110" s="1165"/>
      <c r="E110" s="1165"/>
      <c r="F110" s="1165"/>
      <c r="G110" s="1165"/>
      <c r="H110" s="1165"/>
      <c r="I110" s="1165"/>
      <c r="J110" s="1166"/>
    </row>
    <row r="111" spans="1:10" ht="25.5">
      <c r="A111" s="1157"/>
      <c r="B111" s="1158"/>
      <c r="C111" s="1159"/>
      <c r="D111" s="846"/>
      <c r="E111" s="846"/>
      <c r="F111" s="846"/>
      <c r="G111" s="846"/>
      <c r="H111" s="847"/>
      <c r="I111" s="846"/>
      <c r="J111" s="846"/>
    </row>
    <row r="112" spans="1:10" ht="25.5">
      <c r="A112" s="1153" t="s">
        <v>252</v>
      </c>
      <c r="B112" s="1154"/>
      <c r="C112" s="1155"/>
      <c r="D112" s="739" t="s">
        <v>183</v>
      </c>
      <c r="E112" s="99">
        <f>'4'!F112</f>
        <v>11949</v>
      </c>
      <c r="F112" s="848">
        <v>12022.5</v>
      </c>
      <c r="G112" s="749">
        <f t="shared" ref="G112:G123" si="5">F112-E112</f>
        <v>73.5</v>
      </c>
      <c r="H112" s="748">
        <f>G112+'4'!H112</f>
        <v>359.5</v>
      </c>
      <c r="I112" s="846"/>
      <c r="J112" s="849">
        <f>H112/DAY(B2)</f>
        <v>71.900000000000006</v>
      </c>
    </row>
    <row r="113" spans="1:15" ht="29.25" customHeight="1">
      <c r="A113" s="1153" t="s">
        <v>253</v>
      </c>
      <c r="B113" s="1154"/>
      <c r="C113" s="1155"/>
      <c r="D113" s="739" t="s">
        <v>183</v>
      </c>
      <c r="E113" s="99">
        <f>'4'!F113</f>
        <v>24071.599999999999</v>
      </c>
      <c r="F113" s="848">
        <v>24210.7</v>
      </c>
      <c r="G113" s="749">
        <f t="shared" si="5"/>
        <v>139.10000000000218</v>
      </c>
      <c r="H113" s="748">
        <f>G113+'4'!H113</f>
        <v>689.70000000000073</v>
      </c>
      <c r="I113" s="846"/>
      <c r="J113" s="849">
        <f>H113/DAY(B2)</f>
        <v>137.94000000000014</v>
      </c>
    </row>
    <row r="114" spans="1:15" ht="29.25" customHeight="1">
      <c r="A114" s="1153" t="s">
        <v>254</v>
      </c>
      <c r="B114" s="1154"/>
      <c r="C114" s="1155"/>
      <c r="D114" s="739" t="s">
        <v>183</v>
      </c>
      <c r="E114" s="99">
        <f>'4'!F114</f>
        <v>35665.4</v>
      </c>
      <c r="F114" s="848">
        <v>35888.6</v>
      </c>
      <c r="G114" s="749">
        <f t="shared" si="5"/>
        <v>223.19999999999709</v>
      </c>
      <c r="H114" s="748">
        <f>G114+'4'!H114</f>
        <v>1113.5999999999985</v>
      </c>
      <c r="I114" s="846"/>
      <c r="J114" s="849">
        <f>H114/DAY(B2)</f>
        <v>222.71999999999971</v>
      </c>
    </row>
    <row r="115" spans="1:15" ht="29.25" customHeight="1">
      <c r="A115" s="1153" t="s">
        <v>255</v>
      </c>
      <c r="B115" s="1154"/>
      <c r="C115" s="1155"/>
      <c r="D115" s="739" t="s">
        <v>183</v>
      </c>
      <c r="E115" s="99">
        <f>'4'!F115</f>
        <v>22426.1</v>
      </c>
      <c r="F115" s="848">
        <v>22607.599999999999</v>
      </c>
      <c r="G115" s="749">
        <f t="shared" si="5"/>
        <v>181.5</v>
      </c>
      <c r="H115" s="748">
        <f>G115+'4'!H115</f>
        <v>554.59999999999854</v>
      </c>
      <c r="I115" s="846"/>
      <c r="J115" s="849">
        <f>H115/DAY(B2)</f>
        <v>110.9199999999997</v>
      </c>
    </row>
    <row r="116" spans="1:15" ht="29.25" customHeight="1">
      <c r="A116" s="1160" t="s">
        <v>96</v>
      </c>
      <c r="B116" s="1161"/>
      <c r="C116" s="1162"/>
      <c r="D116" s="739" t="s">
        <v>183</v>
      </c>
      <c r="E116" s="99">
        <f>'4'!F116</f>
        <v>98624.9</v>
      </c>
      <c r="F116" s="848">
        <v>98981</v>
      </c>
      <c r="G116" s="749">
        <f t="shared" si="5"/>
        <v>356.10000000000582</v>
      </c>
      <c r="H116" s="748">
        <f>G116+'4'!H116</f>
        <v>1846</v>
      </c>
      <c r="I116" s="846"/>
      <c r="J116" s="849">
        <f>H116/DAY(B2)</f>
        <v>369.2</v>
      </c>
      <c r="N116" s="1249"/>
      <c r="O116" s="1249"/>
    </row>
    <row r="117" spans="1:15" ht="29.25" customHeight="1">
      <c r="A117" s="1160" t="s">
        <v>184</v>
      </c>
      <c r="B117" s="1161"/>
      <c r="C117" s="1162"/>
      <c r="D117" s="739" t="s">
        <v>183</v>
      </c>
      <c r="E117" s="99">
        <f>'4'!F117</f>
        <v>57851</v>
      </c>
      <c r="F117" s="848">
        <v>58190</v>
      </c>
      <c r="G117" s="749">
        <f t="shared" si="5"/>
        <v>339</v>
      </c>
      <c r="H117" s="748">
        <f>G117+'4'!H117</f>
        <v>1685</v>
      </c>
      <c r="I117" s="846"/>
      <c r="J117" s="849">
        <f>H117/DAY(B2)</f>
        <v>337</v>
      </c>
      <c r="N117" s="1249"/>
      <c r="O117" s="1249"/>
    </row>
    <row r="118" spans="1:15" ht="25.5">
      <c r="A118" s="1152" t="s">
        <v>97</v>
      </c>
      <c r="B118" s="1152"/>
      <c r="C118" s="1152"/>
      <c r="D118" s="748" t="s">
        <v>183</v>
      </c>
      <c r="E118" s="99">
        <f>'4'!F118</f>
        <v>104143.4</v>
      </c>
      <c r="F118" s="848">
        <v>104717</v>
      </c>
      <c r="G118" s="749">
        <f t="shared" si="5"/>
        <v>573.60000000000582</v>
      </c>
      <c r="H118" s="748">
        <f>G118+'4'!H118</f>
        <v>2963</v>
      </c>
      <c r="I118" s="846"/>
      <c r="J118" s="849">
        <f>H118/DAY(B2)</f>
        <v>592.6</v>
      </c>
      <c r="N118" s="1249"/>
      <c r="O118" s="1249"/>
    </row>
    <row r="119" spans="1:15" ht="25.5">
      <c r="A119" s="1152" t="s">
        <v>98</v>
      </c>
      <c r="B119" s="1152"/>
      <c r="C119" s="1152"/>
      <c r="D119" s="748" t="s">
        <v>183</v>
      </c>
      <c r="E119" s="99">
        <f>'4'!F119</f>
        <v>42626.1</v>
      </c>
      <c r="F119" s="848">
        <v>42637.8</v>
      </c>
      <c r="G119" s="749">
        <f t="shared" si="5"/>
        <v>11.700000000004366</v>
      </c>
      <c r="H119" s="748">
        <f>G119+'4'!H119</f>
        <v>56.80000000000291</v>
      </c>
      <c r="I119" s="846"/>
      <c r="J119" s="849">
        <f>H119/DAY(B2)</f>
        <v>11.360000000000582</v>
      </c>
    </row>
    <row r="120" spans="1:15" ht="25.5">
      <c r="A120" s="1152" t="s">
        <v>99</v>
      </c>
      <c r="B120" s="1152"/>
      <c r="C120" s="1152"/>
      <c r="D120" s="748" t="s">
        <v>183</v>
      </c>
      <c r="E120" s="99">
        <f>'4'!F120</f>
        <v>72992.800000000003</v>
      </c>
      <c r="F120" s="998">
        <v>73390.7</v>
      </c>
      <c r="G120" s="749">
        <f t="shared" si="5"/>
        <v>397.89999999999418</v>
      </c>
      <c r="H120" s="748">
        <f>G120+'4'!H120</f>
        <v>2058.6999999999971</v>
      </c>
      <c r="I120" s="846"/>
      <c r="J120" s="849">
        <f>H120/DAY(B2)</f>
        <v>411.73999999999944</v>
      </c>
    </row>
    <row r="121" spans="1:15" ht="25.5">
      <c r="A121" s="1152" t="s">
        <v>100</v>
      </c>
      <c r="B121" s="1152"/>
      <c r="C121" s="1152"/>
      <c r="D121" s="748" t="s">
        <v>183</v>
      </c>
      <c r="E121" s="99">
        <f>'4'!F121</f>
        <v>83188.600000000006</v>
      </c>
      <c r="F121" s="848">
        <v>83641</v>
      </c>
      <c r="G121" s="749">
        <f t="shared" si="5"/>
        <v>452.39999999999418</v>
      </c>
      <c r="H121" s="748">
        <f>G121+'4'!H121</f>
        <v>2285</v>
      </c>
      <c r="I121" s="846"/>
      <c r="J121" s="849">
        <f>H121/DAY(B2)</f>
        <v>457</v>
      </c>
    </row>
    <row r="122" spans="1:15" ht="25.5">
      <c r="A122" s="1152" t="s">
        <v>101</v>
      </c>
      <c r="B122" s="1152"/>
      <c r="C122" s="1152"/>
      <c r="D122" s="748" t="s">
        <v>183</v>
      </c>
      <c r="E122" s="99">
        <f>'4'!F122</f>
        <v>50605.5</v>
      </c>
      <c r="F122" s="848">
        <v>51001</v>
      </c>
      <c r="G122" s="749">
        <f t="shared" si="5"/>
        <v>395.5</v>
      </c>
      <c r="H122" s="748">
        <f>G122+'4'!H122</f>
        <v>1870</v>
      </c>
      <c r="I122" s="846"/>
      <c r="J122" s="849">
        <f>H122/DAY(B2)</f>
        <v>374</v>
      </c>
    </row>
    <row r="123" spans="1:15" ht="25.5">
      <c r="A123" s="1152" t="s">
        <v>102</v>
      </c>
      <c r="B123" s="1152"/>
      <c r="C123" s="1152"/>
      <c r="D123" s="748" t="s">
        <v>183</v>
      </c>
      <c r="E123" s="99">
        <f>'4'!F123</f>
        <v>50996.7</v>
      </c>
      <c r="F123" s="848">
        <v>51302.400000000001</v>
      </c>
      <c r="G123" s="749">
        <f t="shared" si="5"/>
        <v>305.70000000000437</v>
      </c>
      <c r="H123" s="748">
        <f>G123+'4'!H123</f>
        <v>1553.4000000000015</v>
      </c>
      <c r="I123" s="846"/>
      <c r="J123" s="849">
        <f>H123/DAY(B2)</f>
        <v>310.68000000000029</v>
      </c>
    </row>
    <row r="124" spans="1:15" ht="29.25" customHeight="1">
      <c r="A124" s="1157"/>
      <c r="B124" s="1158"/>
      <c r="C124" s="1159"/>
      <c r="D124" s="846"/>
      <c r="E124" s="846"/>
      <c r="F124" s="846"/>
      <c r="G124" s="846"/>
      <c r="H124" s="847"/>
      <c r="I124" s="846"/>
      <c r="J124" s="846"/>
    </row>
    <row r="125" spans="1:15" ht="25.5">
      <c r="A125" s="1241" t="s">
        <v>196</v>
      </c>
      <c r="B125" s="1241"/>
      <c r="C125" s="852"/>
      <c r="D125" s="853"/>
      <c r="E125" s="854"/>
      <c r="F125" s="854"/>
      <c r="G125" s="855">
        <f>SUM(G112:G124)</f>
        <v>3449.200000000008</v>
      </c>
      <c r="H125" s="847"/>
      <c r="I125" s="846">
        <f>G125-(G39+G53)</f>
        <v>-691.23999999999432</v>
      </c>
      <c r="J125" s="846"/>
    </row>
    <row r="126" spans="1:15" ht="25.5">
      <c r="A126" s="1156" t="s">
        <v>317</v>
      </c>
      <c r="B126" s="1156"/>
      <c r="C126" s="1156"/>
      <c r="D126" s="1156"/>
      <c r="E126" s="1156"/>
      <c r="F126" s="1156"/>
      <c r="G126" s="1156"/>
      <c r="H126" s="1156"/>
      <c r="I126" s="1156"/>
      <c r="J126" s="1156"/>
    </row>
    <row r="127" spans="1:15" ht="25.5">
      <c r="A127" s="1140"/>
      <c r="B127" s="1140"/>
      <c r="C127" s="852"/>
      <c r="D127" s="853"/>
      <c r="E127" s="854"/>
      <c r="F127" s="977"/>
      <c r="G127" s="855"/>
      <c r="H127" s="748">
        <f>G127+'4'!H127</f>
        <v>0</v>
      </c>
      <c r="I127" s="846"/>
      <c r="J127" s="849">
        <f>H127/DAY(B2)</f>
        <v>0</v>
      </c>
    </row>
    <row r="128" spans="1:15" ht="29.25" customHeight="1">
      <c r="A128" s="1153" t="s">
        <v>318</v>
      </c>
      <c r="B128" s="1154"/>
      <c r="C128" s="1155"/>
      <c r="D128" s="748" t="s">
        <v>183</v>
      </c>
      <c r="E128" s="99">
        <f>'4'!F128</f>
        <v>156616.35</v>
      </c>
      <c r="F128" s="999">
        <v>157087</v>
      </c>
      <c r="G128" s="749">
        <f t="shared" ref="G128:G134" si="6">F128-E128</f>
        <v>470.64999999999418</v>
      </c>
      <c r="H128" s="748">
        <f>G128+'4'!H128</f>
        <v>2272</v>
      </c>
      <c r="I128" s="846"/>
      <c r="J128" s="849">
        <f>H128/DAY(B2)</f>
        <v>454.4</v>
      </c>
    </row>
    <row r="129" spans="1:12" ht="25.5">
      <c r="A129" s="856" t="s">
        <v>319</v>
      </c>
      <c r="B129" s="857"/>
      <c r="C129" s="858"/>
      <c r="D129" s="748" t="s">
        <v>183</v>
      </c>
      <c r="E129" s="99">
        <f>'4'!F129</f>
        <v>84595.93</v>
      </c>
      <c r="F129" s="999">
        <v>84789.04</v>
      </c>
      <c r="G129" s="749">
        <f t="shared" si="6"/>
        <v>193.11000000000058</v>
      </c>
      <c r="H129" s="748">
        <f>G129+'4'!H129</f>
        <v>853.0399999999936</v>
      </c>
      <c r="I129" s="846"/>
      <c r="J129" s="849">
        <f>H129/DAY(B2)</f>
        <v>170.60799999999873</v>
      </c>
      <c r="K129" s="859"/>
      <c r="L129" s="860"/>
    </row>
    <row r="130" spans="1:12" ht="25.5">
      <c r="A130" s="856" t="s">
        <v>320</v>
      </c>
      <c r="B130" s="857"/>
      <c r="C130" s="858"/>
      <c r="D130" s="748" t="s">
        <v>183</v>
      </c>
      <c r="E130" s="99">
        <f>'4'!F130</f>
        <v>209426.73</v>
      </c>
      <c r="F130" s="999">
        <v>210194.35</v>
      </c>
      <c r="G130" s="749">
        <f t="shared" si="6"/>
        <v>767.61999999999534</v>
      </c>
      <c r="H130" s="748">
        <f>G130+'4'!H130</f>
        <v>3435.3500000000058</v>
      </c>
      <c r="I130" s="846"/>
      <c r="J130" s="849">
        <f>H130/DAY(B2)</f>
        <v>687.07000000000119</v>
      </c>
      <c r="K130" s="859"/>
      <c r="L130" s="860"/>
    </row>
    <row r="131" spans="1:12" ht="25.5">
      <c r="A131" s="1153" t="s">
        <v>321</v>
      </c>
      <c r="B131" s="1154"/>
      <c r="C131" s="1155"/>
      <c r="D131" s="748" t="s">
        <v>183</v>
      </c>
      <c r="E131" s="99">
        <f>'4'!F131</f>
        <v>61092.27</v>
      </c>
      <c r="F131" s="999">
        <v>61282.5</v>
      </c>
      <c r="G131" s="749">
        <f t="shared" si="6"/>
        <v>190.2300000000032</v>
      </c>
      <c r="H131" s="748">
        <f>G131+'4'!H131</f>
        <v>974.5</v>
      </c>
      <c r="I131" s="846"/>
      <c r="J131" s="849">
        <f>H131/DAY(B2)</f>
        <v>194.9</v>
      </c>
      <c r="K131" s="859"/>
      <c r="L131" s="860"/>
    </row>
    <row r="132" spans="1:12" ht="25.5">
      <c r="A132" s="1153" t="s">
        <v>322</v>
      </c>
      <c r="B132" s="1154"/>
      <c r="C132" s="1155"/>
      <c r="D132" s="748" t="s">
        <v>183</v>
      </c>
      <c r="E132" s="99">
        <f>'4'!F132</f>
        <v>146985</v>
      </c>
      <c r="F132" s="999">
        <v>146985</v>
      </c>
      <c r="G132" s="749">
        <f t="shared" si="6"/>
        <v>0</v>
      </c>
      <c r="H132" s="748">
        <f>G132+'4'!H132</f>
        <v>0</v>
      </c>
      <c r="I132" s="846"/>
      <c r="J132" s="849">
        <f>H132/DAY(B2)</f>
        <v>0</v>
      </c>
    </row>
    <row r="133" spans="1:12" ht="25.5">
      <c r="A133" s="1153" t="s">
        <v>323</v>
      </c>
      <c r="B133" s="1154"/>
      <c r="C133" s="1155"/>
      <c r="D133" s="748" t="s">
        <v>183</v>
      </c>
      <c r="E133" s="99">
        <f>'4'!F133</f>
        <v>269324.84999999998</v>
      </c>
      <c r="F133" s="999">
        <v>270191.73</v>
      </c>
      <c r="G133" s="749">
        <f t="shared" si="6"/>
        <v>866.88000000000466</v>
      </c>
      <c r="H133" s="748">
        <f>G133+'4'!H133</f>
        <v>4246.7299999999814</v>
      </c>
      <c r="I133" s="846"/>
      <c r="J133" s="849">
        <f>H133/DAY(B2)</f>
        <v>849.34599999999625</v>
      </c>
    </row>
    <row r="134" spans="1:12" ht="25.5">
      <c r="A134" s="1153" t="s">
        <v>340</v>
      </c>
      <c r="B134" s="1154"/>
      <c r="C134" s="1155"/>
      <c r="D134" s="748" t="s">
        <v>183</v>
      </c>
      <c r="E134" s="99">
        <f>'4'!F134</f>
        <v>64679.78</v>
      </c>
      <c r="F134" s="999">
        <v>64941.3</v>
      </c>
      <c r="G134" s="749">
        <f t="shared" si="6"/>
        <v>261.52000000000407</v>
      </c>
      <c r="H134" s="748">
        <f>G134+'4'!H134</f>
        <v>1279.3000000000029</v>
      </c>
      <c r="I134" s="846"/>
      <c r="J134" s="849">
        <f>H134/DAY(B2)</f>
        <v>255.86000000000058</v>
      </c>
    </row>
    <row r="135" spans="1:12" ht="25.5">
      <c r="A135" s="1241" t="s">
        <v>196</v>
      </c>
      <c r="B135" s="1241"/>
      <c r="C135" s="858"/>
      <c r="D135" s="748"/>
      <c r="E135" s="748"/>
      <c r="F135" s="846"/>
      <c r="G135" s="749">
        <f>SUM(G128:G134)</f>
        <v>2750.010000000002</v>
      </c>
      <c r="H135" s="748">
        <f>G135+'4'!H135</f>
        <v>13060.919999999984</v>
      </c>
      <c r="I135" s="846">
        <f>G135-(G35+G49)</f>
        <v>-1213.5100000000166</v>
      </c>
      <c r="J135" s="849">
        <f>H135/DAY(B2)</f>
        <v>2612.1839999999966</v>
      </c>
    </row>
    <row r="136" spans="1:12" ht="27.75">
      <c r="A136" s="1139" t="s">
        <v>325</v>
      </c>
      <c r="B136" s="1139"/>
      <c r="C136" s="1139"/>
      <c r="D136" s="1139"/>
      <c r="E136" s="1139"/>
      <c r="F136" s="1139"/>
      <c r="G136" s="1139"/>
      <c r="H136" s="1139"/>
      <c r="I136" s="1139"/>
      <c r="J136" s="1139"/>
    </row>
    <row r="137" spans="1:12" ht="26.25">
      <c r="A137" s="852"/>
      <c r="B137" s="863"/>
      <c r="C137" s="863"/>
      <c r="D137" s="846"/>
      <c r="E137" s="846"/>
      <c r="F137" s="846"/>
      <c r="G137" s="846"/>
      <c r="H137" s="847"/>
      <c r="I137" s="846"/>
      <c r="J137" s="846"/>
    </row>
    <row r="138" spans="1:12" ht="25.5">
      <c r="A138" s="1152" t="s">
        <v>185</v>
      </c>
      <c r="B138" s="1152"/>
      <c r="C138" s="1152"/>
      <c r="D138" s="748" t="s">
        <v>183</v>
      </c>
      <c r="E138" s="99">
        <f>'4'!F138</f>
        <v>898773</v>
      </c>
      <c r="F138" s="864">
        <v>898911</v>
      </c>
      <c r="G138" s="749">
        <f t="shared" ref="G138:G152" si="7">F138-E138</f>
        <v>138</v>
      </c>
      <c r="H138" s="748">
        <f>G138+'4'!H138</f>
        <v>706</v>
      </c>
      <c r="I138" s="760"/>
      <c r="J138" s="849">
        <f>H138/DAY(B2)</f>
        <v>141.19999999999999</v>
      </c>
    </row>
    <row r="139" spans="1:12" ht="25.5">
      <c r="A139" s="1152" t="s">
        <v>186</v>
      </c>
      <c r="B139" s="1152"/>
      <c r="C139" s="1152"/>
      <c r="D139" s="748" t="s">
        <v>183</v>
      </c>
      <c r="E139" s="99">
        <f>'4'!F139</f>
        <v>918816</v>
      </c>
      <c r="F139" s="865">
        <v>918953</v>
      </c>
      <c r="G139" s="749">
        <f t="shared" si="7"/>
        <v>137</v>
      </c>
      <c r="H139" s="748">
        <f>G139+'4'!H139</f>
        <v>749</v>
      </c>
      <c r="I139" s="760"/>
      <c r="J139" s="849">
        <f>H139/DAY(B2)</f>
        <v>149.80000000000001</v>
      </c>
    </row>
    <row r="140" spans="1:12" ht="25.5">
      <c r="A140" s="1152" t="s">
        <v>187</v>
      </c>
      <c r="B140" s="1152"/>
      <c r="C140" s="1152"/>
      <c r="D140" s="748" t="s">
        <v>183</v>
      </c>
      <c r="E140" s="99">
        <f>'4'!F140</f>
        <v>2387.1</v>
      </c>
      <c r="F140" s="866">
        <v>2400.1</v>
      </c>
      <c r="G140" s="749">
        <f t="shared" si="7"/>
        <v>13</v>
      </c>
      <c r="H140" s="748">
        <f>G140+'4'!H140</f>
        <v>57.099999999999909</v>
      </c>
      <c r="I140" s="760"/>
      <c r="J140" s="849">
        <f>H140/DAY(B2)</f>
        <v>11.419999999999982</v>
      </c>
    </row>
    <row r="141" spans="1:12" ht="25.5">
      <c r="A141" s="1131" t="s">
        <v>188</v>
      </c>
      <c r="B141" s="1131"/>
      <c r="C141" s="1131"/>
      <c r="D141" s="748" t="s">
        <v>183</v>
      </c>
      <c r="E141" s="99">
        <f>'4'!F141</f>
        <v>104662.5</v>
      </c>
      <c r="F141" s="866">
        <v>104889.4</v>
      </c>
      <c r="G141" s="749">
        <f t="shared" si="7"/>
        <v>226.89999999999418</v>
      </c>
      <c r="H141" s="748">
        <f>G141+'4'!H141</f>
        <v>1115.3999999999942</v>
      </c>
      <c r="I141" s="760"/>
      <c r="J141" s="849">
        <f>H141/DAY(B2)</f>
        <v>223.07999999999885</v>
      </c>
    </row>
    <row r="142" spans="1:12" ht="25.5">
      <c r="A142" s="1131" t="s">
        <v>189</v>
      </c>
      <c r="B142" s="1131"/>
      <c r="C142" s="1131"/>
      <c r="D142" s="748" t="s">
        <v>183</v>
      </c>
      <c r="E142" s="99">
        <f>'4'!F142</f>
        <v>42183.6</v>
      </c>
      <c r="F142" s="865">
        <v>42279.6</v>
      </c>
      <c r="G142" s="749">
        <f t="shared" si="7"/>
        <v>96</v>
      </c>
      <c r="H142" s="748">
        <f>G142+'4'!H142</f>
        <v>464.59999999999854</v>
      </c>
      <c r="I142" s="795"/>
      <c r="J142" s="849">
        <f>H142/DAY(B2)</f>
        <v>92.919999999999703</v>
      </c>
    </row>
    <row r="143" spans="1:12" ht="25.5">
      <c r="A143" s="1152" t="s">
        <v>91</v>
      </c>
      <c r="B143" s="1152"/>
      <c r="C143" s="1152"/>
      <c r="D143" s="748" t="s">
        <v>183</v>
      </c>
      <c r="E143" s="99">
        <f>'4'!F143</f>
        <v>10779.2</v>
      </c>
      <c r="F143" s="866">
        <v>10805.5</v>
      </c>
      <c r="G143" s="749">
        <f t="shared" si="7"/>
        <v>26.299999999999272</v>
      </c>
      <c r="H143" s="748">
        <f>G143+'4'!H143</f>
        <v>128.5</v>
      </c>
      <c r="I143" s="795"/>
      <c r="J143" s="849">
        <f>H143/DAY(B2)</f>
        <v>25.7</v>
      </c>
    </row>
    <row r="144" spans="1:12" ht="25.5">
      <c r="A144" s="1131" t="s">
        <v>90</v>
      </c>
      <c r="B144" s="1131"/>
      <c r="C144" s="1131"/>
      <c r="D144" s="748" t="s">
        <v>183</v>
      </c>
      <c r="E144" s="99">
        <f>'4'!F144</f>
        <v>934450</v>
      </c>
      <c r="F144" s="866">
        <v>934707</v>
      </c>
      <c r="G144" s="749">
        <f t="shared" si="7"/>
        <v>257</v>
      </c>
      <c r="H144" s="748">
        <f>G144+'4'!H144</f>
        <v>1186</v>
      </c>
      <c r="I144" s="795"/>
      <c r="J144" s="849">
        <f>H144/DAY(B2)</f>
        <v>237.2</v>
      </c>
    </row>
    <row r="145" spans="1:10" ht="25.5">
      <c r="A145" s="1152" t="s">
        <v>190</v>
      </c>
      <c r="B145" s="1152"/>
      <c r="C145" s="1152"/>
      <c r="D145" s="113" t="s">
        <v>183</v>
      </c>
      <c r="E145" s="99">
        <f>'4'!F145</f>
        <v>14054.7</v>
      </c>
      <c r="F145" s="866">
        <v>14283.4</v>
      </c>
      <c r="G145" s="749">
        <f t="shared" si="7"/>
        <v>228.69999999999891</v>
      </c>
      <c r="H145" s="748">
        <f>G145+'4'!H145</f>
        <v>1143.3999999999996</v>
      </c>
      <c r="I145" s="795"/>
      <c r="J145" s="849">
        <f>H145/DAY(B2)</f>
        <v>228.67999999999992</v>
      </c>
    </row>
    <row r="146" spans="1:10" ht="25.5">
      <c r="A146" s="1187" t="s">
        <v>191</v>
      </c>
      <c r="B146" s="1172"/>
      <c r="C146" s="1173"/>
      <c r="D146" s="113" t="s">
        <v>183</v>
      </c>
      <c r="E146" s="99">
        <f>'4'!F146</f>
        <v>784546</v>
      </c>
      <c r="F146" s="865">
        <v>784583</v>
      </c>
      <c r="G146" s="749">
        <f t="shared" si="7"/>
        <v>37</v>
      </c>
      <c r="H146" s="748">
        <f>G146+'4'!H146</f>
        <v>244</v>
      </c>
      <c r="I146" s="795"/>
      <c r="J146" s="849">
        <f>H146/DAY(B2)</f>
        <v>48.8</v>
      </c>
    </row>
    <row r="147" spans="1:10" ht="25.5">
      <c r="A147" s="1131" t="s">
        <v>192</v>
      </c>
      <c r="B147" s="1131"/>
      <c r="C147" s="1131"/>
      <c r="D147" s="113" t="s">
        <v>183</v>
      </c>
      <c r="E147" s="99">
        <f>'4'!F147</f>
        <v>725090.8</v>
      </c>
      <c r="F147" s="865">
        <v>725465.04</v>
      </c>
      <c r="G147" s="749">
        <f t="shared" si="7"/>
        <v>374.23999999999069</v>
      </c>
      <c r="H147" s="748">
        <f>G147+'4'!H147</f>
        <v>1943.0400000000373</v>
      </c>
      <c r="I147" s="795"/>
      <c r="J147" s="849">
        <f>H147/DAY(B2)</f>
        <v>388.60800000000745</v>
      </c>
    </row>
    <row r="148" spans="1:10" ht="25.5">
      <c r="A148" s="1132" t="s">
        <v>193</v>
      </c>
      <c r="B148" s="1133"/>
      <c r="C148" s="1134"/>
      <c r="D148" s="771" t="s">
        <v>130</v>
      </c>
      <c r="E148" s="99">
        <f>'4'!F148</f>
        <v>767692.08</v>
      </c>
      <c r="F148" s="906">
        <v>767929.68</v>
      </c>
      <c r="G148" s="749">
        <f t="shared" si="7"/>
        <v>237.60000000009313</v>
      </c>
      <c r="H148" s="748">
        <f>G148+'4'!H148</f>
        <v>1319.6800000000512</v>
      </c>
      <c r="I148" s="113"/>
      <c r="J148" s="849">
        <f>H148/DAY(B2)</f>
        <v>263.93600000001027</v>
      </c>
    </row>
    <row r="149" spans="1:10" ht="25.5">
      <c r="A149" s="1132" t="s">
        <v>336</v>
      </c>
      <c r="B149" s="1133"/>
      <c r="C149" s="1134"/>
      <c r="D149" s="740" t="s">
        <v>130</v>
      </c>
      <c r="E149" s="99">
        <f>'4'!F149</f>
        <v>159665.29999999999</v>
      </c>
      <c r="F149" s="739">
        <v>160088</v>
      </c>
      <c r="G149" s="749">
        <f t="shared" si="7"/>
        <v>422.70000000001164</v>
      </c>
      <c r="H149" s="748">
        <f>G149+'4'!H149</f>
        <v>2121</v>
      </c>
      <c r="I149" s="763"/>
      <c r="J149" s="849">
        <f>H149/DAY(B2)</f>
        <v>424.2</v>
      </c>
    </row>
    <row r="150" spans="1:10" ht="25.5">
      <c r="A150" s="1132" t="s">
        <v>337</v>
      </c>
      <c r="B150" s="1133"/>
      <c r="C150" s="1134"/>
      <c r="D150" s="759" t="s">
        <v>130</v>
      </c>
      <c r="E150" s="99">
        <f>'4'!F150</f>
        <v>64874.1</v>
      </c>
      <c r="F150" s="868">
        <v>65087.9</v>
      </c>
      <c r="G150" s="749">
        <f t="shared" si="7"/>
        <v>213.80000000000291</v>
      </c>
      <c r="H150" s="748">
        <f>G150+'4'!H150</f>
        <v>1109.9000000000015</v>
      </c>
      <c r="I150" s="763"/>
      <c r="J150" s="849">
        <f>H150/DAY(B2)</f>
        <v>221.9800000000003</v>
      </c>
    </row>
    <row r="151" spans="1:10" ht="25.5">
      <c r="A151" s="1132" t="s">
        <v>338</v>
      </c>
      <c r="B151" s="1133"/>
      <c r="C151" s="1134"/>
      <c r="D151" s="759" t="s">
        <v>130</v>
      </c>
      <c r="E151" s="99">
        <f>'4'!F151</f>
        <v>149987</v>
      </c>
      <c r="F151" s="868">
        <v>150013</v>
      </c>
      <c r="G151" s="749">
        <f t="shared" si="7"/>
        <v>26</v>
      </c>
      <c r="H151" s="748">
        <f>G151+'4'!H151</f>
        <v>225</v>
      </c>
      <c r="I151" s="763"/>
      <c r="J151" s="849">
        <f>H151/DAY(B2)</f>
        <v>45</v>
      </c>
    </row>
    <row r="152" spans="1:10" ht="25.5">
      <c r="A152" s="1132" t="s">
        <v>339</v>
      </c>
      <c r="B152" s="1133"/>
      <c r="C152" s="1134"/>
      <c r="D152" s="759" t="s">
        <v>130</v>
      </c>
      <c r="E152" s="99">
        <f>'4'!F152</f>
        <v>31128.13</v>
      </c>
      <c r="F152" s="868">
        <v>31260</v>
      </c>
      <c r="G152" s="749">
        <f t="shared" si="7"/>
        <v>131.86999999999898</v>
      </c>
      <c r="H152" s="748">
        <f>G152+'4'!H152</f>
        <v>646</v>
      </c>
      <c r="I152" s="763"/>
      <c r="J152" s="849">
        <f>H152/DAY(B2)</f>
        <v>129.19999999999999</v>
      </c>
    </row>
    <row r="153" spans="1:10" ht="25.5">
      <c r="A153" s="1241" t="s">
        <v>196</v>
      </c>
      <c r="B153" s="1241"/>
      <c r="C153" s="869"/>
      <c r="D153" s="870"/>
      <c r="E153" s="871"/>
      <c r="F153" s="872"/>
      <c r="G153" s="873">
        <f>SUM(G138:G152)</f>
        <v>2566.1100000000897</v>
      </c>
      <c r="H153" s="871"/>
      <c r="I153" s="763">
        <f>G153-(G38+G52)</f>
        <v>346.63000000010834</v>
      </c>
      <c r="J153" s="874"/>
    </row>
    <row r="154" spans="1:10" ht="27.75">
      <c r="A154" s="1139" t="s">
        <v>344</v>
      </c>
      <c r="B154" s="1139"/>
      <c r="C154" s="1139"/>
      <c r="D154" s="1139"/>
      <c r="E154" s="1139"/>
      <c r="F154" s="1139"/>
      <c r="G154" s="1139"/>
      <c r="H154" s="1139"/>
      <c r="I154" s="1139"/>
      <c r="J154" s="1139"/>
    </row>
    <row r="155" spans="1:10" ht="27.75">
      <c r="A155" s="1131" t="s">
        <v>345</v>
      </c>
      <c r="B155" s="1131"/>
      <c r="C155" s="1131"/>
      <c r="D155" s="759" t="s">
        <v>130</v>
      </c>
      <c r="E155" s="99">
        <f>'4'!F155</f>
        <v>187947.27</v>
      </c>
      <c r="F155" s="876">
        <v>188509.6</v>
      </c>
      <c r="G155" s="749">
        <f>F155-E155</f>
        <v>562.3300000000163</v>
      </c>
      <c r="H155" s="748">
        <f>G155+'4'!H155</f>
        <v>2768.6000000000058</v>
      </c>
      <c r="I155" s="877"/>
      <c r="J155" s="849">
        <f>H155/DAY(B2)</f>
        <v>553.72000000000116</v>
      </c>
    </row>
    <row r="156" spans="1:10" ht="25.5">
      <c r="A156" s="1131" t="s">
        <v>346</v>
      </c>
      <c r="B156" s="1131"/>
      <c r="C156" s="1131"/>
      <c r="D156" s="759" t="s">
        <v>130</v>
      </c>
      <c r="E156" s="99">
        <f>'4'!F156</f>
        <v>21096.723000000002</v>
      </c>
      <c r="F156" s="847">
        <v>21198.9</v>
      </c>
      <c r="G156" s="749">
        <f>F156-E156</f>
        <v>102.17699999999968</v>
      </c>
      <c r="H156" s="748">
        <f>G156+'4'!H156</f>
        <v>459.90000000000146</v>
      </c>
      <c r="I156" s="846"/>
      <c r="J156" s="849">
        <f>H156/DAY(B2)</f>
        <v>91.980000000000288</v>
      </c>
    </row>
    <row r="157" spans="1:10" ht="25.5">
      <c r="A157" s="1132" t="s">
        <v>358</v>
      </c>
      <c r="B157" s="1133"/>
      <c r="C157" s="1134"/>
      <c r="D157" s="759" t="s">
        <v>130</v>
      </c>
      <c r="E157" s="99">
        <f>'4'!F157</f>
        <v>36617.629999999997</v>
      </c>
      <c r="F157" s="847">
        <v>36756.6</v>
      </c>
      <c r="G157" s="749">
        <f>F157-E157</f>
        <v>138.97000000000116</v>
      </c>
      <c r="H157" s="748">
        <f>G157+'4'!H157</f>
        <v>632.59999999999854</v>
      </c>
      <c r="I157" s="846"/>
      <c r="J157" s="849">
        <f>H157/DAY(B2)</f>
        <v>126.51999999999971</v>
      </c>
    </row>
    <row r="158" spans="1:10" ht="25.5">
      <c r="A158" s="1132" t="s">
        <v>359</v>
      </c>
      <c r="B158" s="1133"/>
      <c r="C158" s="1134"/>
      <c r="D158" s="759" t="s">
        <v>130</v>
      </c>
      <c r="E158" s="99">
        <f>'4'!F158</f>
        <v>607.29999999999995</v>
      </c>
      <c r="F158" s="847">
        <v>610</v>
      </c>
      <c r="G158" s="749">
        <f>F158-E158</f>
        <v>2.7000000000000455</v>
      </c>
      <c r="H158" s="748">
        <f>G158+'4'!H158</f>
        <v>105.37</v>
      </c>
      <c r="I158" s="846"/>
      <c r="J158" s="849">
        <f>H158/DAY(B2)</f>
        <v>21.074000000000002</v>
      </c>
    </row>
    <row r="159" spans="1:10" ht="25.5">
      <c r="A159" s="1242"/>
      <c r="B159" s="1243"/>
      <c r="C159" s="1244"/>
      <c r="D159" s="759"/>
      <c r="E159" s="748"/>
      <c r="F159" s="846"/>
      <c r="G159" s="749"/>
      <c r="H159" s="748"/>
      <c r="I159" s="846"/>
      <c r="J159" s="849">
        <f>H159/DAY(B2)</f>
        <v>0</v>
      </c>
    </row>
    <row r="160" spans="1:10" ht="27.75">
      <c r="A160" s="1139" t="s">
        <v>326</v>
      </c>
      <c r="B160" s="1139"/>
      <c r="C160" s="1139"/>
      <c r="D160" s="1139"/>
      <c r="E160" s="1139"/>
      <c r="F160" s="1139"/>
      <c r="G160" s="1139"/>
      <c r="H160" s="1139"/>
      <c r="I160" s="1139"/>
      <c r="J160" s="1139"/>
    </row>
    <row r="161" spans="1:10" ht="26.25">
      <c r="A161" s="878" t="s">
        <v>92</v>
      </c>
      <c r="B161" s="879"/>
      <c r="C161" s="879"/>
      <c r="D161" s="880" t="s">
        <v>180</v>
      </c>
      <c r="E161" s="99">
        <f>'4'!F161</f>
        <v>489526.12</v>
      </c>
      <c r="F161" s="881">
        <v>489796.64</v>
      </c>
      <c r="G161" s="238">
        <f>F161-E161</f>
        <v>270.52000000001863</v>
      </c>
      <c r="H161" s="99">
        <f>G161+'4'!H161</f>
        <v>1473.640000000014</v>
      </c>
      <c r="I161" s="236"/>
      <c r="J161" s="239">
        <f>H161/DAY(B2)</f>
        <v>294.72800000000279</v>
      </c>
    </row>
    <row r="162" spans="1:10" ht="26.25">
      <c r="A162" s="878" t="s">
        <v>93</v>
      </c>
      <c r="B162" s="879"/>
      <c r="C162" s="879"/>
      <c r="D162" s="880" t="s">
        <v>180</v>
      </c>
      <c r="E162" s="99">
        <f>'4'!F162</f>
        <v>97444.1</v>
      </c>
      <c r="F162" s="881">
        <v>97471.4</v>
      </c>
      <c r="G162" s="238">
        <f>F162-E162</f>
        <v>27.299999999988358</v>
      </c>
      <c r="H162" s="99">
        <f>G162+'4'!H162</f>
        <v>183.39999999999418</v>
      </c>
      <c r="I162" s="236"/>
      <c r="J162" s="239">
        <f>H162/DAY(B2)</f>
        <v>36.679999999998834</v>
      </c>
    </row>
    <row r="163" spans="1:10" ht="26.25">
      <c r="A163" s="878" t="s">
        <v>197</v>
      </c>
      <c r="B163" s="879"/>
      <c r="C163" s="879"/>
      <c r="D163" s="880" t="s">
        <v>180</v>
      </c>
      <c r="E163" s="99">
        <f>'4'!F163</f>
        <v>14621.3</v>
      </c>
      <c r="F163" s="881">
        <v>14716</v>
      </c>
      <c r="G163" s="238">
        <f>F163-E163</f>
        <v>94.700000000000728</v>
      </c>
      <c r="H163" s="99">
        <f>G163+'4'!H163</f>
        <v>552</v>
      </c>
      <c r="I163" s="236"/>
      <c r="J163" s="239">
        <f>H163/DAY(B2)</f>
        <v>110.4</v>
      </c>
    </row>
    <row r="164" spans="1:10" ht="26.25">
      <c r="A164" s="878" t="s">
        <v>197</v>
      </c>
      <c r="B164" s="879"/>
      <c r="C164" s="879"/>
      <c r="D164" s="880" t="s">
        <v>180</v>
      </c>
      <c r="E164" s="99">
        <f>'4'!F164</f>
        <v>6642.4</v>
      </c>
      <c r="F164" s="881">
        <v>6646.9</v>
      </c>
      <c r="G164" s="238">
        <f>F164-E164</f>
        <v>4.5</v>
      </c>
      <c r="H164" s="99">
        <f>G164+'4'!H164</f>
        <v>34.899999999999636</v>
      </c>
      <c r="I164" s="236"/>
      <c r="J164" s="239">
        <f>H164/DAY(B2)</f>
        <v>6.9799999999999276</v>
      </c>
    </row>
    <row r="165" spans="1:10" ht="26.25">
      <c r="A165" s="878" t="s">
        <v>309</v>
      </c>
      <c r="B165" s="879"/>
      <c r="C165" s="879"/>
      <c r="D165" s="880" t="s">
        <v>180</v>
      </c>
      <c r="E165" s="99">
        <f>'4'!F165</f>
        <v>32172.83</v>
      </c>
      <c r="F165" s="881">
        <v>32171.7</v>
      </c>
      <c r="G165" s="238">
        <f>F165-E165</f>
        <v>-1.1300000000010186</v>
      </c>
      <c r="H165" s="99">
        <f>G165+'4'!H165</f>
        <v>30.700000000000728</v>
      </c>
      <c r="I165" s="236"/>
      <c r="J165" s="239">
        <f>H165/DAY(B2)</f>
        <v>6.1400000000001453</v>
      </c>
    </row>
    <row r="166" spans="1:10" ht="26.25">
      <c r="A166" s="1140"/>
      <c r="B166" s="1140"/>
      <c r="C166" s="863"/>
      <c r="D166" s="880" t="s">
        <v>180</v>
      </c>
      <c r="E166" s="748">
        <f>'4'!F166</f>
        <v>0</v>
      </c>
      <c r="F166" s="846"/>
      <c r="G166" s="327"/>
      <c r="H166" s="99">
        <f>G166+'4'!H166</f>
        <v>0</v>
      </c>
      <c r="I166" s="327"/>
      <c r="J166" s="327"/>
    </row>
    <row r="167" spans="1:10" ht="26.25">
      <c r="A167" s="1140"/>
      <c r="B167" s="1140"/>
      <c r="C167" s="863"/>
      <c r="D167" s="880" t="s">
        <v>180</v>
      </c>
      <c r="E167" s="748">
        <f>'4'!F167</f>
        <v>0</v>
      </c>
      <c r="F167" s="846"/>
      <c r="G167" s="846"/>
      <c r="H167" s="748">
        <f>G167+'4'!H167</f>
        <v>0</v>
      </c>
      <c r="I167" s="846"/>
      <c r="J167" s="846"/>
    </row>
    <row r="168" spans="1:10" ht="26.25">
      <c r="A168" s="1140"/>
      <c r="B168" s="1140"/>
      <c r="C168" s="863"/>
      <c r="D168" s="880" t="s">
        <v>180</v>
      </c>
      <c r="E168" s="748">
        <f>'4'!F168</f>
        <v>0</v>
      </c>
      <c r="F168" s="846"/>
      <c r="G168" s="846"/>
      <c r="H168" s="748">
        <f>G168+'4'!H168</f>
        <v>0</v>
      </c>
      <c r="I168" s="846"/>
      <c r="J168" s="846"/>
    </row>
    <row r="169" spans="1:10" ht="26.25"/>
    <row r="170" spans="1:10" ht="26.25"/>
    <row r="171" spans="1:10" ht="27.75">
      <c r="A171" s="1141" t="s">
        <v>330</v>
      </c>
      <c r="B171" s="1142"/>
      <c r="C171" s="1142"/>
      <c r="D171" s="1142"/>
      <c r="E171" s="1142"/>
      <c r="F171" s="1142"/>
      <c r="G171" s="1142"/>
      <c r="H171" s="1142"/>
      <c r="I171" s="1142"/>
      <c r="J171" s="1143"/>
    </row>
    <row r="172" spans="1:10" ht="25.5">
      <c r="A172" s="1245"/>
      <c r="B172" s="1245"/>
      <c r="C172" s="1000"/>
      <c r="D172" s="847"/>
      <c r="E172" s="847"/>
      <c r="F172" s="847"/>
      <c r="G172" s="847"/>
      <c r="H172" s="847"/>
      <c r="I172" s="847"/>
      <c r="J172" s="847"/>
    </row>
    <row r="173" spans="1:10" ht="25.5">
      <c r="A173" s="1219" t="s">
        <v>209</v>
      </c>
      <c r="B173" s="1219"/>
      <c r="C173" s="886"/>
      <c r="D173" s="847" t="s">
        <v>142</v>
      </c>
      <c r="E173" s="99">
        <f>'4'!F173</f>
        <v>8589</v>
      </c>
      <c r="F173" s="847">
        <v>8590</v>
      </c>
      <c r="G173" s="847">
        <f>F173-E173</f>
        <v>1</v>
      </c>
      <c r="H173" s="748">
        <f>G173+'4'!H173</f>
        <v>9</v>
      </c>
      <c r="I173" s="847"/>
      <c r="J173" s="847">
        <f>H173/DAY(B2)</f>
        <v>1.8</v>
      </c>
    </row>
    <row r="174" spans="1:10" ht="25.5">
      <c r="A174" s="1219" t="s">
        <v>75</v>
      </c>
      <c r="B174" s="1219"/>
      <c r="C174" s="886"/>
      <c r="D174" s="847" t="s">
        <v>142</v>
      </c>
      <c r="E174" s="99">
        <f>'4'!F174</f>
        <v>42011</v>
      </c>
      <c r="F174" s="887">
        <v>42020</v>
      </c>
      <c r="G174" s="847">
        <f>F174-E174</f>
        <v>9</v>
      </c>
      <c r="H174" s="748">
        <f>G174+'4'!H174</f>
        <v>58</v>
      </c>
      <c r="I174" s="847"/>
      <c r="J174" s="847">
        <f>H174/DAY(B2)</f>
        <v>11.6</v>
      </c>
    </row>
    <row r="175" spans="1:10" ht="25.5">
      <c r="A175" s="1219" t="s">
        <v>76</v>
      </c>
      <c r="B175" s="1219"/>
      <c r="C175" s="1219"/>
      <c r="D175" s="847" t="s">
        <v>142</v>
      </c>
      <c r="E175" s="99">
        <f>'4'!F175</f>
        <v>24743</v>
      </c>
      <c r="F175" s="887">
        <v>24752</v>
      </c>
      <c r="G175" s="847">
        <f>F175-E175</f>
        <v>9</v>
      </c>
      <c r="H175" s="748">
        <f>G175+'4'!H175</f>
        <v>55</v>
      </c>
      <c r="I175" s="847"/>
      <c r="J175" s="847">
        <f>H175/DAY(B2)</f>
        <v>11</v>
      </c>
    </row>
    <row r="176" spans="1:10" ht="25.5">
      <c r="A176" s="1241" t="s">
        <v>196</v>
      </c>
      <c r="B176" s="1241"/>
      <c r="C176" s="886"/>
      <c r="D176" s="847"/>
      <c r="E176" s="99">
        <f>'4'!F176</f>
        <v>0</v>
      </c>
      <c r="F176" s="847"/>
      <c r="G176" s="847">
        <f>SUM(G173:G175)</f>
        <v>19</v>
      </c>
      <c r="H176" s="748">
        <f>G176+'4'!H176</f>
        <v>122</v>
      </c>
      <c r="I176" s="847"/>
      <c r="J176" s="847">
        <f>H176/DAY(B2)</f>
        <v>24.4</v>
      </c>
    </row>
    <row r="177" spans="1:10" ht="25.5">
      <c r="A177" s="1219" t="s">
        <v>77</v>
      </c>
      <c r="B177" s="1219"/>
      <c r="C177" s="886"/>
      <c r="D177" s="847" t="s">
        <v>142</v>
      </c>
      <c r="E177" s="99">
        <f>'4'!F177</f>
        <v>0</v>
      </c>
      <c r="F177" s="847"/>
      <c r="G177" s="847"/>
      <c r="H177" s="748">
        <f>G177+'4'!H177</f>
        <v>0</v>
      </c>
      <c r="I177" s="847"/>
      <c r="J177" s="847">
        <f>H177/DAY(B2)</f>
        <v>0</v>
      </c>
    </row>
    <row r="178" spans="1:10" ht="25.5">
      <c r="A178" s="1219" t="s">
        <v>210</v>
      </c>
      <c r="B178" s="1219"/>
      <c r="C178" s="886"/>
      <c r="D178" s="847" t="s">
        <v>142</v>
      </c>
      <c r="E178" s="99">
        <f>'4'!F178</f>
        <v>102114</v>
      </c>
      <c r="F178" s="847">
        <v>102114</v>
      </c>
      <c r="G178" s="847">
        <f>F178-E178</f>
        <v>0</v>
      </c>
      <c r="H178" s="748">
        <f>G178+'4'!H178</f>
        <v>0</v>
      </c>
      <c r="I178" s="847"/>
      <c r="J178" s="847">
        <f>H178/DAY(B2)</f>
        <v>0</v>
      </c>
    </row>
    <row r="179" spans="1:10" ht="25.5">
      <c r="A179" s="1219" t="s">
        <v>211</v>
      </c>
      <c r="B179" s="1219"/>
      <c r="C179" s="886"/>
      <c r="D179" s="847" t="s">
        <v>142</v>
      </c>
      <c r="E179" s="99">
        <f>'4'!F179</f>
        <v>37501</v>
      </c>
      <c r="F179" s="847">
        <v>37501</v>
      </c>
      <c r="G179" s="847">
        <f>F179-E179</f>
        <v>0</v>
      </c>
      <c r="H179" s="748">
        <f>G179+'4'!H179</f>
        <v>0</v>
      </c>
      <c r="I179" s="847"/>
      <c r="J179" s="847">
        <f>H179/DAY(B2)</f>
        <v>0</v>
      </c>
    </row>
    <row r="180" spans="1:10" ht="25.5">
      <c r="A180" s="1219" t="s">
        <v>212</v>
      </c>
      <c r="B180" s="1219"/>
      <c r="C180" s="886"/>
      <c r="D180" s="847" t="s">
        <v>142</v>
      </c>
      <c r="E180" s="99">
        <f>'4'!F180</f>
        <v>7231</v>
      </c>
      <c r="F180" s="847">
        <v>7231</v>
      </c>
      <c r="G180" s="847">
        <f>F180-E180</f>
        <v>0</v>
      </c>
      <c r="H180" s="748">
        <f>G180+'4'!H180</f>
        <v>0</v>
      </c>
      <c r="I180" s="847"/>
      <c r="J180" s="847">
        <f>H180/DAY(B2)</f>
        <v>0</v>
      </c>
    </row>
    <row r="181" spans="1:10" ht="25.5">
      <c r="A181" s="1248" t="s">
        <v>108</v>
      </c>
      <c r="B181" s="1248"/>
      <c r="C181" s="886"/>
      <c r="D181" s="847"/>
      <c r="E181" s="99">
        <f>'4'!F181</f>
        <v>0</v>
      </c>
      <c r="F181" s="847"/>
      <c r="G181" s="847">
        <f>SUM(G178:G180)</f>
        <v>0</v>
      </c>
      <c r="H181" s="748">
        <f>G181+'4'!H181</f>
        <v>0</v>
      </c>
      <c r="I181" s="847"/>
      <c r="J181" s="847">
        <f>H181/DAY(B2)</f>
        <v>0</v>
      </c>
    </row>
    <row r="182" spans="1:10" ht="25.5">
      <c r="A182" s="1219" t="s">
        <v>213</v>
      </c>
      <c r="B182" s="1219"/>
      <c r="C182" s="886"/>
      <c r="D182" s="847"/>
      <c r="E182" s="99">
        <f>'4'!F182</f>
        <v>0</v>
      </c>
      <c r="F182" s="847"/>
      <c r="G182" s="847"/>
      <c r="H182" s="748">
        <f>G182+'4'!H182</f>
        <v>0</v>
      </c>
      <c r="I182" s="847"/>
      <c r="J182" s="847">
        <f>H182/DAY(B2)</f>
        <v>0</v>
      </c>
    </row>
    <row r="183" spans="1:10" ht="25.5">
      <c r="A183" s="1219" t="s">
        <v>214</v>
      </c>
      <c r="B183" s="1219"/>
      <c r="C183" s="890"/>
      <c r="D183" s="847" t="s">
        <v>142</v>
      </c>
      <c r="E183" s="99">
        <f>'4'!F183</f>
        <v>17868</v>
      </c>
      <c r="F183" s="887">
        <v>17870</v>
      </c>
      <c r="G183" s="887">
        <f>F183-E183</f>
        <v>2</v>
      </c>
      <c r="H183" s="748">
        <f>G183+'4'!H183</f>
        <v>22</v>
      </c>
      <c r="I183" s="847"/>
      <c r="J183" s="847">
        <f>H183/DAY(B2)</f>
        <v>4.4000000000000004</v>
      </c>
    </row>
    <row r="184" spans="1:10" ht="25.5">
      <c r="A184" s="1219" t="s">
        <v>215</v>
      </c>
      <c r="B184" s="1219"/>
      <c r="C184" s="890"/>
      <c r="D184" s="847" t="s">
        <v>142</v>
      </c>
      <c r="E184" s="99">
        <f>'4'!F184</f>
        <v>12382</v>
      </c>
      <c r="F184" s="887">
        <v>12386</v>
      </c>
      <c r="G184" s="887">
        <f>F184-E184</f>
        <v>4</v>
      </c>
      <c r="H184" s="748">
        <f>G184+'4'!H184</f>
        <v>37</v>
      </c>
      <c r="I184" s="847"/>
      <c r="J184" s="847">
        <f>H184/DAY(B2)</f>
        <v>7.4</v>
      </c>
    </row>
    <row r="185" spans="1:10" ht="29.25" customHeight="1">
      <c r="A185" s="1219" t="s">
        <v>216</v>
      </c>
      <c r="B185" s="1219"/>
      <c r="C185" s="890"/>
      <c r="D185" s="847" t="s">
        <v>142</v>
      </c>
      <c r="E185" s="99">
        <f>'4'!F185</f>
        <v>0</v>
      </c>
      <c r="F185" s="887">
        <v>0</v>
      </c>
      <c r="G185" s="887">
        <f>F185-E185</f>
        <v>0</v>
      </c>
      <c r="H185" s="748">
        <f>G185+'4'!H185</f>
        <v>0</v>
      </c>
      <c r="I185" s="847"/>
      <c r="J185" s="847">
        <f>H185/DAY(B2)</f>
        <v>0</v>
      </c>
    </row>
    <row r="186" spans="1:10" ht="25.5">
      <c r="A186" s="1241" t="s">
        <v>196</v>
      </c>
      <c r="B186" s="1241"/>
      <c r="C186" s="890"/>
      <c r="D186" s="1001"/>
      <c r="E186" s="99">
        <f>'4'!F186</f>
        <v>0</v>
      </c>
      <c r="F186" s="887"/>
      <c r="G186" s="887">
        <f>SUM(G183:G185)</f>
        <v>6</v>
      </c>
      <c r="H186" s="748">
        <f>G186+'4'!H186</f>
        <v>59</v>
      </c>
      <c r="I186" s="887"/>
      <c r="J186" s="847">
        <f>H186/DAY(B2)</f>
        <v>11.8</v>
      </c>
    </row>
    <row r="187" spans="1:10" ht="25.5">
      <c r="A187" s="1247" t="s">
        <v>217</v>
      </c>
      <c r="B187" s="1247"/>
      <c r="C187" s="886"/>
      <c r="D187" s="887" t="s">
        <v>142</v>
      </c>
      <c r="E187" s="748"/>
      <c r="F187" s="887"/>
      <c r="G187" s="894">
        <f>G62+G19</f>
        <v>131</v>
      </c>
      <c r="H187" s="748">
        <f>G187+'4'!H187</f>
        <v>701</v>
      </c>
      <c r="I187" s="862"/>
      <c r="J187" s="887">
        <f>H187/DAY(B2)</f>
        <v>140.19999999999999</v>
      </c>
    </row>
    <row r="188" spans="1:10" ht="25.5">
      <c r="A188" s="1247" t="s">
        <v>218</v>
      </c>
      <c r="B188" s="1247"/>
      <c r="C188" s="886"/>
      <c r="D188" s="887" t="s">
        <v>142</v>
      </c>
      <c r="E188" s="748"/>
      <c r="F188" s="887"/>
      <c r="G188" s="894">
        <f>G65+G66+G67+G69+G70</f>
        <v>135</v>
      </c>
      <c r="H188" s="748">
        <f>G188+'4'!H188</f>
        <v>726</v>
      </c>
      <c r="I188" s="862"/>
      <c r="J188" s="887">
        <f>H188/DAY(B2)</f>
        <v>145.19999999999999</v>
      </c>
    </row>
    <row r="189" spans="1:10" ht="25.5">
      <c r="A189" s="1247" t="s">
        <v>219</v>
      </c>
      <c r="B189" s="1247"/>
      <c r="C189" s="886"/>
      <c r="D189" s="887" t="s">
        <v>142</v>
      </c>
      <c r="E189" s="748"/>
      <c r="F189" s="887"/>
      <c r="G189" s="894">
        <f>G181</f>
        <v>0</v>
      </c>
      <c r="H189" s="748">
        <f>G189+'4'!H189</f>
        <v>0</v>
      </c>
      <c r="I189" s="862"/>
      <c r="J189" s="887">
        <f>H189/DAY(B2)</f>
        <v>0</v>
      </c>
    </row>
    <row r="190" spans="1:10" ht="25.5">
      <c r="A190" s="1246"/>
      <c r="B190" s="1246"/>
      <c r="C190" s="895"/>
      <c r="D190" s="1002"/>
      <c r="E190" s="744"/>
      <c r="F190" s="1002"/>
      <c r="G190" s="1002"/>
      <c r="H190" s="1003"/>
      <c r="I190" s="1002"/>
      <c r="J190" s="1002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18:C118"/>
    <mergeCell ref="A119:C119"/>
    <mergeCell ref="A113:C113"/>
    <mergeCell ref="A114:C114"/>
    <mergeCell ref="A115:C115"/>
    <mergeCell ref="A116:C116"/>
    <mergeCell ref="A117:C117"/>
    <mergeCell ref="N116:O116"/>
    <mergeCell ref="N117:O117"/>
    <mergeCell ref="N118:O118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zoomScale="50" zoomScaleSheetLayoutView="50" workbookViewId="0">
      <selection activeCell="F92" sqref="F92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3.25">
      <c r="A2" s="191" t="s">
        <v>354</v>
      </c>
      <c r="B2" s="262">
        <v>44840</v>
      </c>
      <c r="C2" s="348" t="s">
        <v>67</v>
      </c>
      <c r="D2" s="218">
        <v>0.48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'5'!F7</f>
        <v>5518</v>
      </c>
      <c r="F7" s="95">
        <v>30625</v>
      </c>
      <c r="G7" s="112">
        <f>F7-E7</f>
        <v>25107</v>
      </c>
      <c r="H7" s="99">
        <f>G7+'5'!H7</f>
        <v>148789</v>
      </c>
      <c r="I7" s="113">
        <f>'1'!I7</f>
        <v>12000</v>
      </c>
      <c r="J7" s="175">
        <f>H7/DAY(B2)</f>
        <v>24798.166666666668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'5'!F8</f>
        <v>174787</v>
      </c>
      <c r="F8" s="114">
        <v>200297</v>
      </c>
      <c r="G8" s="115">
        <f>F8-E8</f>
        <v>25510</v>
      </c>
      <c r="H8" s="99">
        <f>G8+'5'!H8</f>
        <v>150917</v>
      </c>
      <c r="I8" s="116"/>
      <c r="J8" s="175">
        <f>H8/DAY(B2)</f>
        <v>25152.833333333332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'5'!F9</f>
        <v>3744679</v>
      </c>
      <c r="F9" s="117">
        <v>3747319</v>
      </c>
      <c r="G9" s="112">
        <f>F9-E9</f>
        <v>2640</v>
      </c>
      <c r="H9" s="99">
        <f>G9+'5'!H9</f>
        <v>40612</v>
      </c>
      <c r="I9" s="124">
        <f>I7-J7</f>
        <v>-12798.166666666668</v>
      </c>
      <c r="J9" s="175">
        <f>H9/DAY(B2)</f>
        <v>6768.666666666667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'5'!F10</f>
        <v>2825534.9</v>
      </c>
      <c r="F10" s="117">
        <v>2847077</v>
      </c>
      <c r="G10" s="112">
        <f t="shared" ref="G10:G12" si="0">F10-E10</f>
        <v>21542.100000000093</v>
      </c>
      <c r="H10" s="99">
        <f>G10+'5'!H10</f>
        <v>104383</v>
      </c>
      <c r="I10" s="282"/>
      <c r="J10" s="175">
        <f>H10/DAY(B2)</f>
        <v>17397.166666666668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'5'!F11</f>
        <v>37560</v>
      </c>
      <c r="F11" s="95">
        <v>37560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'5'!F12</f>
        <v>40380</v>
      </c>
      <c r="F12" s="117">
        <v>40380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24182.100000000093</v>
      </c>
      <c r="H13" s="99">
        <f>G13+'5'!H13</f>
        <v>146455</v>
      </c>
      <c r="I13" s="120">
        <f>G7-G13</f>
        <v>924.89999999990687</v>
      </c>
      <c r="J13" s="175">
        <f>H13/DAY(B2)</f>
        <v>24409.166666666668</v>
      </c>
      <c r="K13" s="79"/>
      <c r="L13" s="66"/>
      <c r="N13" s="87"/>
      <c r="O13" s="71"/>
    </row>
    <row r="14" spans="1:15" ht="26.25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'5'!F15</f>
        <v>2166438</v>
      </c>
      <c r="F15" s="447">
        <v>2167478</v>
      </c>
      <c r="G15" s="112">
        <f>(F15-E15)</f>
        <v>1040</v>
      </c>
      <c r="H15" s="99">
        <f>G15+'5'!H15</f>
        <v>5963</v>
      </c>
      <c r="I15" s="113">
        <f>'1'!I15</f>
        <v>800</v>
      </c>
      <c r="J15" s="175">
        <f>H15/DAY(B2)</f>
        <v>993.83333333333337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-193.83333333333337</v>
      </c>
      <c r="J16" s="176"/>
      <c r="K16" s="79"/>
      <c r="L16" s="66"/>
      <c r="N16" s="87"/>
      <c r="O16" s="71"/>
    </row>
    <row r="17" spans="1:15" ht="26.25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81" t="s">
        <v>141</v>
      </c>
      <c r="B18" s="1282"/>
      <c r="C18" s="1283"/>
      <c r="D18" s="151" t="s">
        <v>142</v>
      </c>
      <c r="E18" s="95">
        <f>'5'!F18</f>
        <v>20</v>
      </c>
      <c r="F18" s="122">
        <v>24</v>
      </c>
      <c r="G18" s="119">
        <f>F18*10</f>
        <v>240</v>
      </c>
      <c r="H18" s="99">
        <f>G18+'5'!H18</f>
        <v>1400</v>
      </c>
      <c r="I18" s="113">
        <f>'1'!I18</f>
        <v>65</v>
      </c>
      <c r="J18" s="175">
        <f>H18/DAY(B2)</f>
        <v>233.33333333333334</v>
      </c>
      <c r="K18" s="79"/>
      <c r="L18" s="66"/>
      <c r="N18" s="87"/>
      <c r="O18" s="71"/>
    </row>
    <row r="19" spans="1:15" ht="25.5">
      <c r="A19" s="1281" t="s">
        <v>69</v>
      </c>
      <c r="B19" s="1282"/>
      <c r="C19" s="1283"/>
      <c r="D19" s="151" t="s">
        <v>142</v>
      </c>
      <c r="E19" s="95">
        <f>'5'!F19</f>
        <v>165709</v>
      </c>
      <c r="F19" s="122">
        <v>165759</v>
      </c>
      <c r="G19" s="112">
        <f t="shared" ref="G19" si="1">F19-E19</f>
        <v>50</v>
      </c>
      <c r="H19" s="99">
        <f>G19+'5'!H19</f>
        <v>318</v>
      </c>
      <c r="I19" s="335"/>
      <c r="J19" s="175">
        <f>H19/DAY(B2)</f>
        <v>53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290</v>
      </c>
      <c r="H20" s="99">
        <f>G20+'5'!H20</f>
        <v>1718</v>
      </c>
      <c r="I20" s="336">
        <f>I18-J20</f>
        <v>-221.33333333333331</v>
      </c>
      <c r="J20" s="175">
        <f>H20/DAY(B2)</f>
        <v>286.33333333333331</v>
      </c>
      <c r="K20" s="79"/>
      <c r="L20" s="66"/>
      <c r="N20" s="87"/>
      <c r="O20" s="71"/>
    </row>
    <row r="21" spans="1:15" ht="26.25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25510</v>
      </c>
      <c r="F27" s="136">
        <v>10</v>
      </c>
      <c r="G27" s="137">
        <f>E27*F27</f>
        <v>255100</v>
      </c>
      <c r="H27" s="99">
        <f>G27+'5'!H27</f>
        <v>1509170</v>
      </c>
      <c r="I27" s="138"/>
      <c r="J27" s="175">
        <f>H27/DAY(B2)</f>
        <v>251528.33333333334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1040</v>
      </c>
      <c r="F28" s="136">
        <v>75</v>
      </c>
      <c r="G28" s="137">
        <f>E28*F28</f>
        <v>78000</v>
      </c>
      <c r="H28" s="99">
        <f>G28+'5'!H28</f>
        <v>447225</v>
      </c>
      <c r="I28" s="140"/>
      <c r="J28" s="175">
        <f>H28/DAY(B2)</f>
        <v>74537.5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G30+'5'!H30</f>
        <v>48018</v>
      </c>
      <c r="I30" s="140"/>
      <c r="J30" s="175">
        <f>H30/DAY(B2)</f>
        <v>8003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85</v>
      </c>
      <c r="G31" s="137">
        <f>E31*F31</f>
        <v>20400</v>
      </c>
      <c r="H31" s="99">
        <f>G31+'5'!H31</f>
        <v>115850</v>
      </c>
      <c r="I31" s="140"/>
      <c r="J31" s="175">
        <f>H31/DAY(B2)</f>
        <v>19308.333333333332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361050</v>
      </c>
      <c r="H32" s="99">
        <f>G32+'5'!H32</f>
        <v>2120263</v>
      </c>
      <c r="I32" s="144"/>
      <c r="J32" s="175">
        <f>H32/DAY(B2)</f>
        <v>353377.16666666669</v>
      </c>
      <c r="K32" s="63"/>
      <c r="L32" s="89"/>
      <c r="N32" s="87"/>
      <c r="O32" s="71"/>
    </row>
    <row r="33" spans="1:15" ht="25.5" customHeight="1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'5'!F35</f>
        <v>238713</v>
      </c>
      <c r="F35" s="145">
        <v>238713</v>
      </c>
      <c r="G35" s="112">
        <f t="shared" ref="G35:G46" si="3">F35-E35</f>
        <v>0</v>
      </c>
      <c r="H35" s="99">
        <f>G35+'5'!H35</f>
        <v>-4.9999999988358468E-2</v>
      </c>
      <c r="I35" s="95"/>
      <c r="J35" s="175">
        <f>H35/DAY(B2)</f>
        <v>-8.333333331393078E-3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'5'!F36</f>
        <v>273136.11</v>
      </c>
      <c r="F36" s="145">
        <v>273775</v>
      </c>
      <c r="G36" s="112">
        <f t="shared" si="3"/>
        <v>638.89000000001397</v>
      </c>
      <c r="H36" s="99">
        <f>G36+'5'!H36</f>
        <v>4292</v>
      </c>
      <c r="I36" s="95"/>
      <c r="J36" s="175">
        <f>H36/DAY(B2)</f>
        <v>715.33333333333337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'5'!F37</f>
        <v>322998.69</v>
      </c>
      <c r="F37" s="145">
        <v>322998.69</v>
      </c>
      <c r="G37" s="112">
        <f t="shared" si="3"/>
        <v>0</v>
      </c>
      <c r="H37" s="99">
        <f>G37+'5'!H37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'5'!F38</f>
        <v>604840.27</v>
      </c>
      <c r="F38" s="108">
        <v>607038</v>
      </c>
      <c r="G38" s="112">
        <f t="shared" si="3"/>
        <v>2197.7299999999814</v>
      </c>
      <c r="H38" s="99">
        <f>G38+'5'!H38</f>
        <v>13321</v>
      </c>
      <c r="I38" s="95"/>
      <c r="J38" s="175">
        <f>H38/DAY(B2)</f>
        <v>2220.1666666666665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'5'!F39</f>
        <v>591584.18999999994</v>
      </c>
      <c r="F39" s="145">
        <v>591584</v>
      </c>
      <c r="G39" s="112">
        <f t="shared" si="3"/>
        <v>-0.18999999994412065</v>
      </c>
      <c r="H39" s="99">
        <f>G39+'5'!H39</f>
        <v>-0.18999999994412065</v>
      </c>
      <c r="I39" s="95"/>
      <c r="J39" s="175">
        <f>H39/DAY(B2)</f>
        <v>-3.1666666657353439E-2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'5'!F40</f>
        <v>161823.21</v>
      </c>
      <c r="F40" s="145">
        <v>162527</v>
      </c>
      <c r="G40" s="112">
        <f t="shared" si="3"/>
        <v>703.79000000000815</v>
      </c>
      <c r="H40" s="99">
        <f>G40+'5'!H40</f>
        <v>4547</v>
      </c>
      <c r="I40" s="95"/>
      <c r="J40" s="175">
        <f>H40/DAY(B2)</f>
        <v>757.83333333333337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'5'!F41</f>
        <v>381351.55</v>
      </c>
      <c r="F41" s="145">
        <v>381352</v>
      </c>
      <c r="G41" s="112">
        <f t="shared" si="3"/>
        <v>0.45000000001164153</v>
      </c>
      <c r="H41" s="99">
        <f>G41+'5'!H41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'5'!F42</f>
        <v>848946.07</v>
      </c>
      <c r="F42" s="145">
        <v>848946</v>
      </c>
      <c r="G42" s="112">
        <f t="shared" si="3"/>
        <v>-6.9999999948777258E-2</v>
      </c>
      <c r="H42" s="99">
        <f>G42+'5'!H42</f>
        <v>23859</v>
      </c>
      <c r="I42" s="95"/>
      <c r="J42" s="175">
        <f>H42/DAY(B2)</f>
        <v>3976.5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'5'!F43</f>
        <v>407028</v>
      </c>
      <c r="F43" s="145">
        <v>407028</v>
      </c>
      <c r="G43" s="112">
        <f t="shared" si="3"/>
        <v>0</v>
      </c>
      <c r="H43" s="99">
        <f>G43+'5'!H43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3540.6000000001222</v>
      </c>
      <c r="H47" s="99">
        <f>G47+'5'!H47</f>
        <v>46018.760000000068</v>
      </c>
      <c r="I47" s="95"/>
      <c r="J47" s="175">
        <f>H47/DAY(B2)</f>
        <v>7669.7933333333449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'5'!F49</f>
        <v>739060.23</v>
      </c>
      <c r="F49" s="145">
        <v>742730</v>
      </c>
      <c r="G49" s="112">
        <f t="shared" ref="G49:G58" si="4">F49-E49</f>
        <v>3669.7700000000186</v>
      </c>
      <c r="H49" s="99">
        <f>G49+'5'!H49</f>
        <v>22443</v>
      </c>
      <c r="I49" s="95"/>
      <c r="J49" s="175">
        <f>H49/DAY(B2)</f>
        <v>3740.5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'5'!F50</f>
        <v>373076.15</v>
      </c>
      <c r="F50" s="145">
        <v>374631</v>
      </c>
      <c r="G50" s="112">
        <f t="shared" si="4"/>
        <v>1554.8499999999767</v>
      </c>
      <c r="H50" s="99">
        <f>G50+'5'!H50</f>
        <v>8860</v>
      </c>
      <c r="I50" s="95"/>
      <c r="J50" s="175">
        <f>H50/DAY(B2)</f>
        <v>1476.6666666666667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'5'!F51</f>
        <v>76810.850000000006</v>
      </c>
      <c r="F51" s="145">
        <v>77808</v>
      </c>
      <c r="G51" s="112">
        <f t="shared" si="4"/>
        <v>997.14999999999418</v>
      </c>
      <c r="H51" s="99">
        <f>G51+'5'!H51</f>
        <v>6081</v>
      </c>
      <c r="I51" s="95"/>
      <c r="J51" s="175">
        <f>H51/DAY(B2)</f>
        <v>1013.5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-0.24000000000000021</v>
      </c>
      <c r="I52" s="95"/>
      <c r="J52" s="175">
        <f>H52/DAY(B2)</f>
        <v>-4.0000000000000036E-2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'5'!F53</f>
        <v>314920.19</v>
      </c>
      <c r="F53" s="145">
        <v>319147</v>
      </c>
      <c r="G53" s="112">
        <f t="shared" si="4"/>
        <v>4226.8099999999977</v>
      </c>
      <c r="H53" s="99">
        <f>G53+'5'!H53</f>
        <v>25046</v>
      </c>
      <c r="I53" s="95"/>
      <c r="J53" s="175">
        <f>H53/DAY(B2)</f>
        <v>4174.333333333333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'5'!F54</f>
        <v>102279.66</v>
      </c>
      <c r="F54" s="145">
        <v>102441</v>
      </c>
      <c r="G54" s="112">
        <f t="shared" si="4"/>
        <v>161.33999999999651</v>
      </c>
      <c r="H54" s="99">
        <f>G54+'5'!H54</f>
        <v>1054</v>
      </c>
      <c r="I54" s="95"/>
      <c r="J54" s="175">
        <f>H54/DAY(B2)</f>
        <v>175.66666666666666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'5'!F55</f>
        <v>503394.75</v>
      </c>
      <c r="F55" s="145">
        <v>506930</v>
      </c>
      <c r="G55" s="112">
        <f t="shared" si="4"/>
        <v>3535.25</v>
      </c>
      <c r="H55" s="99">
        <f>G55+'5'!H55</f>
        <v>12447</v>
      </c>
      <c r="I55" s="95"/>
      <c r="J55" s="175">
        <f>H55/DAY(B2)</f>
        <v>2074.5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'5'!F56</f>
        <v>151179.5</v>
      </c>
      <c r="F56" s="145">
        <v>152993</v>
      </c>
      <c r="G56" s="112">
        <f t="shared" si="4"/>
        <v>1813.5</v>
      </c>
      <c r="H56" s="99">
        <f>G56+'5'!H56</f>
        <v>3274</v>
      </c>
      <c r="I56" s="95"/>
      <c r="J56" s="175">
        <f>H56/DAY(B2)</f>
        <v>545.66666666666663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'5'!F57</f>
        <v>423901.63</v>
      </c>
      <c r="F57" s="145">
        <v>426860</v>
      </c>
      <c r="G57" s="112">
        <f t="shared" si="4"/>
        <v>2958.3699999999953</v>
      </c>
      <c r="H57" s="99">
        <f>G57+'5'!H57</f>
        <v>17782</v>
      </c>
      <c r="I57" s="95"/>
      <c r="J57" s="175">
        <f>H57/DAY(B2)</f>
        <v>2963.6666666666665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'5'!F58</f>
        <v>65376.4</v>
      </c>
      <c r="F58" s="145">
        <v>65619</v>
      </c>
      <c r="G58" s="112">
        <f t="shared" si="4"/>
        <v>242.59999999999854</v>
      </c>
      <c r="H58" s="99">
        <f>G58+'5'!H58</f>
        <v>1468</v>
      </c>
      <c r="I58" s="95"/>
      <c r="J58" s="175">
        <f>H58/DAY(B2)</f>
        <v>244.66666666666666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19159.639999999978</v>
      </c>
      <c r="H59" s="99">
        <f>G59+'5'!H59</f>
        <v>98454.760000000009</v>
      </c>
      <c r="I59" s="95">
        <f>G7-G60</f>
        <v>2406.7599999999002</v>
      </c>
      <c r="J59" s="175">
        <f>H59/DAY(B2)</f>
        <v>16409.126666666667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22700.2400000001</v>
      </c>
      <c r="H60" s="99">
        <f>G60+'5'!H60</f>
        <v>144473.52000000008</v>
      </c>
      <c r="I60" s="95">
        <f>G13-G60</f>
        <v>1481.8599999999933</v>
      </c>
      <c r="J60" s="175">
        <f>H60/DAY(B2)</f>
        <v>24078.920000000013</v>
      </c>
      <c r="K60" s="79"/>
      <c r="L60" s="66"/>
      <c r="N60" s="87"/>
      <c r="O60" s="71"/>
    </row>
    <row r="61" spans="1:15" s="68" customFormat="1" ht="26.25">
      <c r="A61" s="1278" t="s">
        <v>332</v>
      </c>
      <c r="B61" s="1279"/>
      <c r="C61" s="12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81" t="s">
        <v>198</v>
      </c>
      <c r="B62" s="1282"/>
      <c r="C62" s="1283"/>
      <c r="D62" s="151" t="s">
        <v>142</v>
      </c>
      <c r="E62" s="95">
        <f>'5'!F62</f>
        <v>302498</v>
      </c>
      <c r="F62" s="122">
        <v>302574</v>
      </c>
      <c r="G62" s="112">
        <f t="shared" ref="G62:G63" si="5">F62-E62</f>
        <v>76</v>
      </c>
      <c r="H62" s="99">
        <f>G62+'5'!H62</f>
        <v>509</v>
      </c>
      <c r="I62" s="118"/>
      <c r="J62" s="175">
        <f>H62/DAY(B2)</f>
        <v>84.833333333333329</v>
      </c>
      <c r="K62" s="80"/>
      <c r="L62" s="66"/>
      <c r="N62" s="87"/>
      <c r="O62" s="71"/>
    </row>
    <row r="63" spans="1:15" ht="25.5">
      <c r="A63" s="1281" t="s">
        <v>199</v>
      </c>
      <c r="B63" s="1282"/>
      <c r="C63" s="1283"/>
      <c r="D63" s="151" t="s">
        <v>142</v>
      </c>
      <c r="E63" s="95">
        <f>'5'!F63</f>
        <v>245139</v>
      </c>
      <c r="F63" s="122">
        <v>245139</v>
      </c>
      <c r="G63" s="112">
        <f t="shared" si="5"/>
        <v>0</v>
      </c>
      <c r="H63" s="99">
        <f>G63+'5'!H63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6.25">
      <c r="A64" s="1284" t="s">
        <v>200</v>
      </c>
      <c r="B64" s="1285"/>
      <c r="C64" s="1286"/>
      <c r="D64" s="151"/>
      <c r="E64" s="95">
        <f>'5'!F64</f>
        <v>0</v>
      </c>
      <c r="F64" s="122"/>
      <c r="G64" s="112">
        <f>G62+G63</f>
        <v>76</v>
      </c>
      <c r="H64" s="99">
        <f>G64+'5'!H64</f>
        <v>509</v>
      </c>
      <c r="I64" s="118"/>
      <c r="J64" s="175">
        <f>H64/DAY(B2)</f>
        <v>84.833333333333329</v>
      </c>
      <c r="K64" s="69"/>
      <c r="L64" s="66"/>
      <c r="N64" s="87"/>
      <c r="O64" s="71"/>
    </row>
    <row r="65" spans="1:15" ht="25.5">
      <c r="A65" s="1281" t="s">
        <v>201</v>
      </c>
      <c r="B65" s="1282"/>
      <c r="C65" s="1283"/>
      <c r="D65" s="151" t="s">
        <v>142</v>
      </c>
      <c r="E65" s="95">
        <f>'5'!F65</f>
        <v>461328</v>
      </c>
      <c r="F65" s="122">
        <v>461417</v>
      </c>
      <c r="G65" s="112">
        <f t="shared" ref="G65:G70" si="6">F65-E65</f>
        <v>89</v>
      </c>
      <c r="H65" s="99">
        <f>G65+'5'!H65</f>
        <v>593</v>
      </c>
      <c r="I65" s="118"/>
      <c r="J65" s="175">
        <f>H65/DAY(B2)</f>
        <v>98.833333333333329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'5'!F66</f>
        <v>112644</v>
      </c>
      <c r="F66" s="122">
        <v>112655</v>
      </c>
      <c r="G66" s="112">
        <f t="shared" si="6"/>
        <v>11</v>
      </c>
      <c r="H66" s="99">
        <f>G66+'5'!H66</f>
        <v>50</v>
      </c>
      <c r="I66" s="118"/>
      <c r="J66" s="175">
        <f>H66/DAY(B2)</f>
        <v>8.3333333333333339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'5'!F67</f>
        <v>114825</v>
      </c>
      <c r="F67" s="122">
        <v>114843</v>
      </c>
      <c r="G67" s="112">
        <f t="shared" si="6"/>
        <v>18</v>
      </c>
      <c r="H67" s="99">
        <f>G67+'5'!H67</f>
        <v>135</v>
      </c>
      <c r="I67" s="118"/>
      <c r="J67" s="175">
        <f>H67/DAY(B2)</f>
        <v>22.5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'5'!F68</f>
        <v>166728</v>
      </c>
      <c r="F68" s="122">
        <v>166765</v>
      </c>
      <c r="G68" s="112">
        <f t="shared" si="6"/>
        <v>37</v>
      </c>
      <c r="H68" s="99">
        <f>G68+'5'!H68</f>
        <v>184</v>
      </c>
      <c r="I68" s="118"/>
      <c r="J68" s="175">
        <f>H68/DAY(B2)</f>
        <v>30.666666666666668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'5'!F69</f>
        <v>12579</v>
      </c>
      <c r="F69" s="122">
        <v>12583</v>
      </c>
      <c r="G69" s="112">
        <f t="shared" si="6"/>
        <v>4</v>
      </c>
      <c r="H69" s="99">
        <f>G69+'5'!H69</f>
        <v>19</v>
      </c>
      <c r="I69" s="118"/>
      <c r="J69" s="175">
        <f>H69/DAY(B2)</f>
        <v>3.1666666666666665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'5'!F70</f>
        <v>10384</v>
      </c>
      <c r="F70" s="122">
        <v>10391</v>
      </c>
      <c r="G70" s="112">
        <f t="shared" si="6"/>
        <v>7</v>
      </c>
      <c r="H70" s="99">
        <f>G70+'5'!H70</f>
        <v>58</v>
      </c>
      <c r="I70" s="118"/>
      <c r="J70" s="175">
        <f>H70/DAY(B2)</f>
        <v>9.6666666666666661</v>
      </c>
      <c r="K70" s="69"/>
      <c r="L70" s="66"/>
      <c r="N70" s="87"/>
      <c r="O70" s="71"/>
    </row>
    <row r="71" spans="1:15" ht="26.25">
      <c r="A71" s="1284" t="s">
        <v>208</v>
      </c>
      <c r="B71" s="1285"/>
      <c r="C71" s="1286"/>
      <c r="D71" s="152"/>
      <c r="E71" s="152"/>
      <c r="F71" s="152" t="s">
        <v>207</v>
      </c>
      <c r="G71" s="153">
        <f>SUM(G65:G70)</f>
        <v>166</v>
      </c>
      <c r="H71" s="99">
        <f>G71+'5'!H71</f>
        <v>1039</v>
      </c>
      <c r="I71" s="154"/>
      <c r="J71" s="175">
        <f>H71/DAY(B2)</f>
        <v>173.16666666666666</v>
      </c>
      <c r="K71" s="69"/>
      <c r="L71" s="66"/>
      <c r="N71" s="87"/>
      <c r="O71" s="71"/>
    </row>
    <row r="72" spans="1:15" s="88" customFormat="1" ht="25.5">
      <c r="A72" s="1287"/>
      <c r="B72" s="126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5" t="s">
        <v>333</v>
      </c>
      <c r="B73" s="1296"/>
      <c r="C73" s="129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81" t="s">
        <v>220</v>
      </c>
      <c r="B74" s="1282"/>
      <c r="C74" s="1283"/>
      <c r="D74" s="151" t="s">
        <v>139</v>
      </c>
      <c r="E74" s="95">
        <f>'5'!F74</f>
        <v>977251.6</v>
      </c>
      <c r="F74" s="123">
        <v>977550</v>
      </c>
      <c r="G74" s="112">
        <f t="shared" ref="G74:G78" si="7">F74-E74</f>
        <v>298.40000000002328</v>
      </c>
      <c r="H74" s="99">
        <f>G74+'5'!H74</f>
        <v>1739</v>
      </c>
      <c r="I74" s="154"/>
      <c r="J74" s="175">
        <f>H74/DAY(B2)</f>
        <v>289.83333333333331</v>
      </c>
      <c r="K74" s="69"/>
      <c r="L74" s="66"/>
      <c r="N74" s="87"/>
      <c r="O74" s="71"/>
    </row>
    <row r="75" spans="1:15" ht="25.5">
      <c r="A75" s="1281" t="s">
        <v>221</v>
      </c>
      <c r="B75" s="1282"/>
      <c r="C75" s="1283"/>
      <c r="D75" s="151" t="s">
        <v>139</v>
      </c>
      <c r="E75" s="95">
        <f>'5'!F75</f>
        <v>73586</v>
      </c>
      <c r="F75" s="123">
        <v>73586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288" t="s">
        <v>222</v>
      </c>
      <c r="B76" s="1289"/>
      <c r="C76" s="1290"/>
      <c r="D76" s="151" t="s">
        <v>139</v>
      </c>
      <c r="E76" s="95">
        <f>'5'!F76</f>
        <v>197260</v>
      </c>
      <c r="F76" s="123">
        <v>197372</v>
      </c>
      <c r="G76" s="112">
        <f t="shared" si="7"/>
        <v>112</v>
      </c>
      <c r="H76" s="99">
        <f>G76+'5'!H76</f>
        <v>636</v>
      </c>
      <c r="I76" s="154"/>
      <c r="J76" s="175">
        <f>H76/DAY(B2)</f>
        <v>106</v>
      </c>
      <c r="K76" s="69"/>
      <c r="L76" s="66"/>
      <c r="N76" s="87"/>
      <c r="O76" s="71"/>
    </row>
    <row r="77" spans="1:15" ht="25.5">
      <c r="A77" s="1288" t="s">
        <v>223</v>
      </c>
      <c r="B77" s="1289"/>
      <c r="C77" s="1290"/>
      <c r="D77" s="151" t="s">
        <v>139</v>
      </c>
      <c r="E77" s="95">
        <f>'5'!F77</f>
        <v>53555</v>
      </c>
      <c r="F77" s="123">
        <v>53604</v>
      </c>
      <c r="G77" s="112">
        <f t="shared" si="7"/>
        <v>49</v>
      </c>
      <c r="H77" s="99">
        <f>G77+'5'!H77</f>
        <v>252</v>
      </c>
      <c r="I77" s="154"/>
      <c r="J77" s="175">
        <f>H77/DAY(B2)</f>
        <v>42</v>
      </c>
      <c r="K77" s="69"/>
      <c r="L77" s="66"/>
      <c r="N77" s="87"/>
      <c r="O77" s="71"/>
    </row>
    <row r="78" spans="1:15" ht="25.5">
      <c r="A78" s="1288" t="s">
        <v>224</v>
      </c>
      <c r="B78" s="1289"/>
      <c r="C78" s="1290"/>
      <c r="D78" s="151" t="s">
        <v>139</v>
      </c>
      <c r="E78" s="95">
        <f>'5'!F78</f>
        <v>9563</v>
      </c>
      <c r="F78" s="123">
        <v>9563.4</v>
      </c>
      <c r="G78" s="112">
        <f t="shared" si="7"/>
        <v>0.3999999999996362</v>
      </c>
      <c r="H78" s="99">
        <f>G78+'5'!H78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1288" t="s">
        <v>225</v>
      </c>
      <c r="B79" s="1289"/>
      <c r="C79" s="1290"/>
      <c r="D79" s="151"/>
      <c r="E79" s="117"/>
      <c r="F79" s="117"/>
      <c r="G79" s="112">
        <f>G15-SUM(G74:G78)</f>
        <v>580.19999999997708</v>
      </c>
      <c r="H79" s="99">
        <f>G79+'5'!H79</f>
        <v>3336</v>
      </c>
      <c r="I79" s="118"/>
      <c r="J79" s="175"/>
      <c r="K79" s="59"/>
      <c r="L79" s="58"/>
      <c r="N79" s="87"/>
      <c r="O79" s="71"/>
    </row>
    <row r="80" spans="1:15" s="57" customFormat="1" ht="26.25">
      <c r="A80" s="1284" t="s">
        <v>329</v>
      </c>
      <c r="B80" s="1285"/>
      <c r="C80" s="1286"/>
      <c r="D80" s="151"/>
      <c r="E80" s="117"/>
      <c r="F80" s="117"/>
      <c r="G80" s="112">
        <f>SUM(G74:G79)</f>
        <v>1040</v>
      </c>
      <c r="H80" s="99"/>
      <c r="I80" s="118"/>
      <c r="J80" s="175"/>
      <c r="K80" s="59"/>
      <c r="L80" s="58"/>
      <c r="N80" s="87"/>
      <c r="O80" s="71"/>
    </row>
    <row r="81" spans="1:15" ht="25.5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'5'!F84</f>
        <v>43366.5</v>
      </c>
      <c r="F84" s="164">
        <v>43366.5</v>
      </c>
      <c r="G84" s="112">
        <f t="shared" si="8"/>
        <v>0</v>
      </c>
      <c r="H84" s="99">
        <f>G84+'5'!H84</f>
        <v>-0.30000000000291038</v>
      </c>
      <c r="I84" s="538"/>
      <c r="J84" s="175">
        <f>H84/DAY(B2)</f>
        <v>-5.0000000000485066E-2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'5'!F85</f>
        <v>5581</v>
      </c>
      <c r="F85" s="164">
        <v>5581</v>
      </c>
      <c r="G85" s="112">
        <f t="shared" si="8"/>
        <v>0</v>
      </c>
      <c r="H85" s="99">
        <f>G85+'5'!H85</f>
        <v>105</v>
      </c>
      <c r="I85" s="538"/>
      <c r="J85" s="175">
        <f>H85/DAY(B2)</f>
        <v>17.5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'5'!F86</f>
        <v>46334.7</v>
      </c>
      <c r="F86" s="164">
        <v>46358</v>
      </c>
      <c r="G86" s="112">
        <f t="shared" si="8"/>
        <v>23.30000000000291</v>
      </c>
      <c r="H86" s="99">
        <f>G86+'5'!H86</f>
        <v>86.580000000001746</v>
      </c>
      <c r="I86" s="538"/>
      <c r="J86" s="175">
        <f>H86/DAY(B2)</f>
        <v>14.430000000000291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v>35656</v>
      </c>
      <c r="F87" s="150">
        <v>35670</v>
      </c>
      <c r="G87" s="112">
        <f t="shared" si="8"/>
        <v>14</v>
      </c>
      <c r="H87" s="99">
        <f>G87+'5'!H87</f>
        <v>14</v>
      </c>
      <c r="I87" s="524">
        <f>G84+G85+G86+G87</f>
        <v>37.30000000000291</v>
      </c>
      <c r="J87" s="175">
        <f>H87/DAY(B2)</f>
        <v>2.3333333333333335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'5'!F88</f>
        <v>24440.5</v>
      </c>
      <c r="F88" s="164">
        <v>24440.560000000001</v>
      </c>
      <c r="G88" s="112">
        <f t="shared" si="8"/>
        <v>6.0000000001309672E-2</v>
      </c>
      <c r="H88" s="99">
        <f>G88+'5'!H88</f>
        <v>16.600000000002183</v>
      </c>
      <c r="I88" s="524"/>
      <c r="J88" s="175">
        <f>H88/DAY(B2)</f>
        <v>2.7666666666670303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'5'!F89</f>
        <v>28018</v>
      </c>
      <c r="F89" s="164">
        <v>28026.42</v>
      </c>
      <c r="G89" s="112">
        <f t="shared" si="8"/>
        <v>8.4199999999982538</v>
      </c>
      <c r="H89" s="99">
        <f>G89+'5'!H89</f>
        <v>38.419999999998254</v>
      </c>
      <c r="I89" s="524">
        <f>G88+G89</f>
        <v>8.4799999999995634</v>
      </c>
      <c r="J89" s="175">
        <f>H89/DAY(B2)</f>
        <v>6.403333333333042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'5'!F90</f>
        <v>73297.7</v>
      </c>
      <c r="F90" s="150">
        <v>73310.75</v>
      </c>
      <c r="G90" s="112">
        <f t="shared" si="8"/>
        <v>13.05000000000291</v>
      </c>
      <c r="H90" s="99">
        <f>G90+'5'!H90</f>
        <v>67.009999999994761</v>
      </c>
      <c r="I90" s="524">
        <f>G90</f>
        <v>13.05000000000291</v>
      </c>
      <c r="J90" s="175">
        <f>H90/DAY(B2)</f>
        <v>11.168333333332461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'5'!F91</f>
        <v>4734.03</v>
      </c>
      <c r="F91" s="122">
        <v>4745.54</v>
      </c>
      <c r="G91" s="112">
        <f t="shared" si="8"/>
        <v>11.510000000000218</v>
      </c>
      <c r="H91" s="99">
        <f>G91+'5'!H91</f>
        <v>67.109999999999673</v>
      </c>
      <c r="I91" s="572"/>
      <c r="J91" s="175">
        <f>H91/DAY(B2)</f>
        <v>11.184999999999945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'5'!F92</f>
        <v>7000</v>
      </c>
      <c r="F92" s="122">
        <v>7000</v>
      </c>
      <c r="G92" s="112">
        <f t="shared" si="8"/>
        <v>0</v>
      </c>
      <c r="H92" s="99">
        <f>G92+'5'!H92</f>
        <v>0</v>
      </c>
      <c r="I92" s="573">
        <f>G91+G92</f>
        <v>11.510000000000218</v>
      </c>
      <c r="J92" s="175">
        <f>H92/DAY(B2)</f>
        <v>0</v>
      </c>
      <c r="O92" s="71"/>
    </row>
    <row r="93" spans="1:15" ht="26.25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6628.140000000014</v>
      </c>
      <c r="H94" s="99">
        <f>G94+'5'!H94</f>
        <v>40224.950000000012</v>
      </c>
      <c r="I94" s="118"/>
      <c r="J94" s="175">
        <f>H94/DAY(B2)</f>
        <v>6704.1583333333356</v>
      </c>
      <c r="K94" s="69"/>
      <c r="L94" s="66"/>
      <c r="O94" s="71"/>
    </row>
    <row r="95" spans="1:15" ht="25.5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0.26399569841080234</v>
      </c>
      <c r="H95" s="99">
        <f>G95+'5'!H95</f>
        <v>1.6238264401449662</v>
      </c>
      <c r="I95" s="167"/>
      <c r="J95" s="175">
        <f>H95/DAY(B2)</f>
        <v>0.27063774002416102</v>
      </c>
      <c r="K95" s="69"/>
      <c r="L95" s="66"/>
      <c r="O95" s="71"/>
    </row>
    <row r="96" spans="1:15" ht="25.5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5349.1300000000629</v>
      </c>
      <c r="H96" s="99">
        <f>G96+'5'!H96</f>
        <v>39580</v>
      </c>
      <c r="I96" s="118"/>
      <c r="J96" s="175">
        <f>H96/DAY(B2)</f>
        <v>6596.666666666667</v>
      </c>
      <c r="K96" s="69"/>
      <c r="L96" s="66"/>
      <c r="O96" s="71"/>
    </row>
    <row r="97" spans="1:15" ht="25.5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0.21305333174015464</v>
      </c>
      <c r="H97" s="99">
        <f>G97+'5'!H97</f>
        <v>1.5976923869385256</v>
      </c>
      <c r="I97" s="167"/>
      <c r="J97" s="175">
        <f>H97/DAY(B2)</f>
        <v>0.26628206448975428</v>
      </c>
      <c r="K97" s="69"/>
      <c r="L97" s="66"/>
      <c r="O97" s="71"/>
    </row>
    <row r="98" spans="1:15" ht="25.5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4226.6200000000536</v>
      </c>
      <c r="H98" s="99">
        <f>G98+'5'!H98</f>
        <v>25045.810000000056</v>
      </c>
      <c r="I98" s="168"/>
      <c r="J98" s="175">
        <f>H98/DAY(B2)</f>
        <v>4174.3016666666763</v>
      </c>
      <c r="K98" s="69"/>
      <c r="L98" s="66"/>
      <c r="O98" s="71"/>
    </row>
    <row r="99" spans="1:15" ht="25.5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0.16834428645397911</v>
      </c>
      <c r="H99" s="99">
        <f>G99+'5'!H99</f>
        <v>1.0108256978371224</v>
      </c>
      <c r="I99" s="168"/>
      <c r="J99" s="175">
        <f>H99/DAY(B2)</f>
        <v>0.16847094963952039</v>
      </c>
      <c r="O99" s="71"/>
    </row>
    <row r="100" spans="1:15" ht="26.25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2197.7299999999814</v>
      </c>
      <c r="H100" s="99">
        <f>G100+'5'!H100</f>
        <v>13320.76</v>
      </c>
      <c r="I100" s="118"/>
      <c r="J100" s="175">
        <f>H100/DAY(B2)</f>
        <v>2220.1266666666666</v>
      </c>
      <c r="K100" s="70"/>
      <c r="O100" s="71"/>
    </row>
    <row r="101" spans="1:15" ht="25.5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8.7534552116938752E-2</v>
      </c>
      <c r="H101" s="99">
        <f>G101+'5'!H101</f>
        <v>0.5378311138220917</v>
      </c>
      <c r="I101" s="168"/>
      <c r="J101" s="175">
        <f>H101/DAY(B2)</f>
        <v>8.9638518970348621E-2</v>
      </c>
      <c r="O101" s="71"/>
    </row>
    <row r="102" spans="1:15" ht="25.5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2193.7399999999907</v>
      </c>
      <c r="H102" s="99">
        <f>G102+'5'!H102</f>
        <v>13152</v>
      </c>
      <c r="I102" s="168"/>
      <c r="J102" s="175">
        <f>H102/DAY(B2)</f>
        <v>2192</v>
      </c>
      <c r="O102" s="71"/>
    </row>
    <row r="103" spans="1:15" ht="25.5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8.7375632293782243E-2</v>
      </c>
      <c r="H103" s="99">
        <f>G103+'5'!H103</f>
        <v>0.53026168396381879</v>
      </c>
      <c r="I103" s="118"/>
      <c r="J103" s="175">
        <f>H103/DAY(B2)</f>
        <v>8.8376947327303126E-2</v>
      </c>
      <c r="O103" s="71"/>
    </row>
    <row r="104" spans="1:15" ht="25.5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997.14999999999418</v>
      </c>
      <c r="H104" s="99">
        <f>G104+'5'!H104</f>
        <v>6081</v>
      </c>
      <c r="I104" s="118"/>
      <c r="J104" s="175">
        <f>H104/DAY(B2)</f>
        <v>1013.5</v>
      </c>
      <c r="O104" s="71"/>
    </row>
    <row r="105" spans="1:15" ht="26.25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3.9716015453857258E-2</v>
      </c>
      <c r="H105" s="99">
        <f>G105+'5'!H105</f>
        <v>0.24545259826472252</v>
      </c>
      <c r="I105" s="187"/>
      <c r="J105" s="188">
        <f>H105/DAY(B2)</f>
        <v>4.0908766377453755E-2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6.25">
      <c r="A109" s="1291"/>
      <c r="B109" s="1291"/>
    </row>
    <row r="110" spans="1:15" ht="26.25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5.5">
      <c r="A111" s="1270"/>
      <c r="B111" s="1271"/>
      <c r="C111" s="1272"/>
      <c r="D111" s="165"/>
      <c r="E111" s="165"/>
      <c r="F111" s="165"/>
      <c r="G111" s="165"/>
      <c r="H111" s="156"/>
      <c r="I111" s="165"/>
      <c r="J111" s="327"/>
    </row>
    <row r="112" spans="1:15" ht="25.5">
      <c r="A112" s="1266" t="s">
        <v>252</v>
      </c>
      <c r="B112" s="1267"/>
      <c r="C112" s="1268"/>
      <c r="D112" s="146" t="s">
        <v>183</v>
      </c>
      <c r="E112" s="95">
        <f>'5'!F112</f>
        <v>12022.5</v>
      </c>
      <c r="F112" s="237">
        <v>12091</v>
      </c>
      <c r="G112" s="112">
        <f t="shared" ref="G112:G123" si="9">F112-E112</f>
        <v>68.5</v>
      </c>
      <c r="H112" s="99">
        <f>G112+'5'!H112</f>
        <v>428</v>
      </c>
      <c r="I112" s="165"/>
      <c r="J112" s="328">
        <f>H112/DAY(B2)</f>
        <v>71.333333333333329</v>
      </c>
    </row>
    <row r="113" spans="1:18" ht="29.25" customHeight="1">
      <c r="A113" s="1266" t="s">
        <v>253</v>
      </c>
      <c r="B113" s="1267"/>
      <c r="C113" s="1268"/>
      <c r="D113" s="146" t="s">
        <v>183</v>
      </c>
      <c r="E113" s="95">
        <f>'5'!F113</f>
        <v>24210.7</v>
      </c>
      <c r="F113" s="237">
        <v>24349</v>
      </c>
      <c r="G113" s="112">
        <f t="shared" si="9"/>
        <v>138.29999999999927</v>
      </c>
      <c r="H113" s="99">
        <f>G113+'5'!H113</f>
        <v>828</v>
      </c>
      <c r="I113" s="165"/>
      <c r="J113" s="328">
        <f>H113/DAY(B2)</f>
        <v>138</v>
      </c>
    </row>
    <row r="114" spans="1:18" ht="29.25" customHeight="1">
      <c r="A114" s="1266" t="s">
        <v>254</v>
      </c>
      <c r="B114" s="1267"/>
      <c r="C114" s="1268"/>
      <c r="D114" s="146" t="s">
        <v>183</v>
      </c>
      <c r="E114" s="95">
        <f>'5'!F114</f>
        <v>35888.6</v>
      </c>
      <c r="F114" s="237">
        <v>36110</v>
      </c>
      <c r="G114" s="112">
        <f t="shared" si="9"/>
        <v>221.40000000000146</v>
      </c>
      <c r="H114" s="99">
        <f>G114+'5'!H114</f>
        <v>1335</v>
      </c>
      <c r="I114" s="165"/>
      <c r="J114" s="328">
        <f>H114/DAY(B2)</f>
        <v>222.5</v>
      </c>
    </row>
    <row r="115" spans="1:18" ht="29.25" customHeight="1">
      <c r="A115" s="1266" t="s">
        <v>255</v>
      </c>
      <c r="B115" s="1267"/>
      <c r="C115" s="1268"/>
      <c r="D115" s="146" t="s">
        <v>183</v>
      </c>
      <c r="E115" s="95">
        <f>'5'!F115</f>
        <v>22607.599999999999</v>
      </c>
      <c r="F115" s="237">
        <v>22728</v>
      </c>
      <c r="G115" s="112">
        <f t="shared" si="9"/>
        <v>120.40000000000146</v>
      </c>
      <c r="H115" s="99">
        <f>G115+'5'!H115</f>
        <v>675</v>
      </c>
      <c r="I115" s="165"/>
      <c r="J115" s="328">
        <f>H115/DAY(B2)</f>
        <v>112.5</v>
      </c>
    </row>
    <row r="116" spans="1:18" ht="29.25" customHeight="1">
      <c r="A116" s="1275" t="s">
        <v>96</v>
      </c>
      <c r="B116" s="1276"/>
      <c r="C116" s="1277"/>
      <c r="D116" s="146" t="s">
        <v>183</v>
      </c>
      <c r="E116" s="95">
        <f>'5'!F116</f>
        <v>98981</v>
      </c>
      <c r="F116" s="237">
        <v>99508</v>
      </c>
      <c r="G116" s="112">
        <f t="shared" si="9"/>
        <v>527</v>
      </c>
      <c r="H116" s="99">
        <f>G116+'5'!H116</f>
        <v>2373</v>
      </c>
      <c r="I116" s="165"/>
      <c r="J116" s="328">
        <f>H116/DAY(B2)</f>
        <v>395.5</v>
      </c>
      <c r="Q116" s="1266"/>
      <c r="R116" s="1268"/>
    </row>
    <row r="117" spans="1:18" ht="29.25" customHeight="1">
      <c r="A117" s="1275" t="s">
        <v>184</v>
      </c>
      <c r="B117" s="1276"/>
      <c r="C117" s="1277"/>
      <c r="D117" s="146" t="s">
        <v>183</v>
      </c>
      <c r="E117" s="95">
        <f>'5'!F117</f>
        <v>58190</v>
      </c>
      <c r="F117" s="237">
        <v>58507</v>
      </c>
      <c r="G117" s="112">
        <f t="shared" si="9"/>
        <v>317</v>
      </c>
      <c r="H117" s="99">
        <f>G117+'5'!H117</f>
        <v>2002</v>
      </c>
      <c r="I117" s="165"/>
      <c r="J117" s="328">
        <f>H117/DAY(B2)</f>
        <v>333.66666666666669</v>
      </c>
      <c r="Q117" s="1266"/>
      <c r="R117" s="1268"/>
    </row>
    <row r="118" spans="1:18" ht="25.5">
      <c r="A118" s="1269" t="s">
        <v>97</v>
      </c>
      <c r="B118" s="1269"/>
      <c r="C118" s="1269"/>
      <c r="D118" s="151" t="s">
        <v>183</v>
      </c>
      <c r="E118" s="95">
        <f>'5'!F118</f>
        <v>104717</v>
      </c>
      <c r="F118" s="237">
        <v>105311</v>
      </c>
      <c r="G118" s="112">
        <f t="shared" si="9"/>
        <v>594</v>
      </c>
      <c r="H118" s="99">
        <f>G118+'5'!H118</f>
        <v>3557</v>
      </c>
      <c r="I118" s="165"/>
      <c r="J118" s="328">
        <f>H118/DAY(B2)</f>
        <v>592.83333333333337</v>
      </c>
      <c r="Q118" s="1266"/>
      <c r="R118" s="1268"/>
    </row>
    <row r="119" spans="1:18" ht="25.5">
      <c r="A119" s="1269" t="s">
        <v>98</v>
      </c>
      <c r="B119" s="1269"/>
      <c r="C119" s="1269"/>
      <c r="D119" s="151" t="s">
        <v>183</v>
      </c>
      <c r="E119" s="95">
        <f>'5'!F119</f>
        <v>42637.8</v>
      </c>
      <c r="F119" s="237">
        <v>42649</v>
      </c>
      <c r="G119" s="112">
        <f t="shared" si="9"/>
        <v>11.19999999999709</v>
      </c>
      <c r="H119" s="99">
        <f>G119+'5'!H119</f>
        <v>68</v>
      </c>
      <c r="I119" s="165"/>
      <c r="J119" s="328">
        <f>H119/DAY(B2)</f>
        <v>11.333333333333334</v>
      </c>
    </row>
    <row r="120" spans="1:18" ht="25.5">
      <c r="A120" s="1269" t="s">
        <v>99</v>
      </c>
      <c r="B120" s="1269"/>
      <c r="C120" s="1269"/>
      <c r="D120" s="151" t="s">
        <v>183</v>
      </c>
      <c r="E120" s="95">
        <f>'5'!F120</f>
        <v>73390.7</v>
      </c>
      <c r="F120" s="237">
        <v>73770</v>
      </c>
      <c r="G120" s="112">
        <f t="shared" si="9"/>
        <v>379.30000000000291</v>
      </c>
      <c r="H120" s="99">
        <f>G120+'5'!H120</f>
        <v>2438</v>
      </c>
      <c r="I120" s="165"/>
      <c r="J120" s="328">
        <f>H120/DAY(B2)</f>
        <v>406.33333333333331</v>
      </c>
    </row>
    <row r="121" spans="1:18" ht="25.5">
      <c r="A121" s="1269" t="s">
        <v>100</v>
      </c>
      <c r="B121" s="1269"/>
      <c r="C121" s="1269"/>
      <c r="D121" s="151" t="s">
        <v>183</v>
      </c>
      <c r="E121" s="95">
        <f>'5'!F121</f>
        <v>83641</v>
      </c>
      <c r="F121" s="237">
        <v>84074</v>
      </c>
      <c r="G121" s="112">
        <f t="shared" si="9"/>
        <v>433</v>
      </c>
      <c r="H121" s="99">
        <f>G121+'5'!H121</f>
        <v>2718</v>
      </c>
      <c r="I121" s="165"/>
      <c r="J121" s="328">
        <f>H121/DAY(B2)</f>
        <v>453</v>
      </c>
    </row>
    <row r="122" spans="1:18" ht="25.5">
      <c r="A122" s="1269" t="s">
        <v>101</v>
      </c>
      <c r="B122" s="1269"/>
      <c r="C122" s="1269"/>
      <c r="D122" s="151" t="s">
        <v>183</v>
      </c>
      <c r="E122" s="95">
        <f>'5'!F122</f>
        <v>51001</v>
      </c>
      <c r="F122" s="237">
        <v>51363</v>
      </c>
      <c r="G122" s="112">
        <f t="shared" si="9"/>
        <v>362</v>
      </c>
      <c r="H122" s="99">
        <f>G122+'5'!H122</f>
        <v>2232</v>
      </c>
      <c r="I122" s="165"/>
      <c r="J122" s="328">
        <f>H122/DAY(B2)</f>
        <v>372</v>
      </c>
    </row>
    <row r="123" spans="1:18" ht="25.5">
      <c r="A123" s="1269" t="s">
        <v>102</v>
      </c>
      <c r="B123" s="1269"/>
      <c r="C123" s="1269"/>
      <c r="D123" s="151" t="s">
        <v>183</v>
      </c>
      <c r="E123" s="95">
        <f>'5'!F123</f>
        <v>51302.400000000001</v>
      </c>
      <c r="F123" s="237">
        <v>51593</v>
      </c>
      <c r="G123" s="112">
        <f t="shared" si="9"/>
        <v>290.59999999999854</v>
      </c>
      <c r="H123" s="99">
        <f>G123+'5'!H123</f>
        <v>1844</v>
      </c>
      <c r="I123" s="165"/>
      <c r="J123" s="328">
        <f>H123/DAY(B2)</f>
        <v>307.33333333333331</v>
      </c>
    </row>
    <row r="124" spans="1:18" ht="29.25" customHeight="1">
      <c r="A124" s="1270"/>
      <c r="B124" s="1271"/>
      <c r="C124" s="1272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5.5">
      <c r="A125" s="1261" t="s">
        <v>196</v>
      </c>
      <c r="B125" s="1262"/>
      <c r="C125" s="245"/>
      <c r="D125" s="307"/>
      <c r="E125" s="308"/>
      <c r="F125" s="308"/>
      <c r="G125" s="309">
        <f>SUM(G112:G124)</f>
        <v>3462.7000000000007</v>
      </c>
      <c r="H125" s="156"/>
      <c r="I125" s="327">
        <f>G125-(G39+G53)</f>
        <v>-763.92000000005282</v>
      </c>
      <c r="J125" s="327"/>
    </row>
    <row r="126" spans="1:18" ht="25.5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5.5">
      <c r="A127" s="1274"/>
      <c r="B127" s="1274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1266" t="s">
        <v>318</v>
      </c>
      <c r="B128" s="1267"/>
      <c r="C128" s="1268"/>
      <c r="D128" s="151" t="s">
        <v>183</v>
      </c>
      <c r="E128" s="95">
        <f>'5'!F128</f>
        <v>157087</v>
      </c>
      <c r="F128" s="165">
        <v>157519</v>
      </c>
      <c r="G128" s="112">
        <f t="shared" ref="G128:G134" si="10">F128-E128</f>
        <v>432</v>
      </c>
      <c r="H128" s="99">
        <f>G128+'5'!H128</f>
        <v>2704</v>
      </c>
      <c r="I128" s="165"/>
      <c r="J128" s="328">
        <f>H128/DAY(B2)</f>
        <v>450.66666666666669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'5'!F129</f>
        <v>84789.04</v>
      </c>
      <c r="F129" s="165">
        <v>84972</v>
      </c>
      <c r="G129" s="112">
        <f t="shared" si="10"/>
        <v>182.9600000000064</v>
      </c>
      <c r="H129" s="99">
        <f>G129+'5'!H129</f>
        <v>1036</v>
      </c>
      <c r="I129" s="165"/>
      <c r="J129" s="328">
        <f>H129/DAY(B2)</f>
        <v>172.66666666666666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'5'!F130</f>
        <v>210194.35</v>
      </c>
      <c r="F130" s="165">
        <v>210830</v>
      </c>
      <c r="G130" s="112">
        <f t="shared" si="10"/>
        <v>635.64999999999418</v>
      </c>
      <c r="H130" s="99">
        <f>G130+'5'!H130</f>
        <v>4071</v>
      </c>
      <c r="I130" s="165"/>
      <c r="J130" s="328">
        <f>H130/DAY(B2)</f>
        <v>678.5</v>
      </c>
      <c r="N130" s="240"/>
      <c r="O130" s="241"/>
    </row>
    <row r="131" spans="1:15" ht="25.5">
      <c r="A131" s="1266" t="s">
        <v>321</v>
      </c>
      <c r="B131" s="1267"/>
      <c r="C131" s="1268"/>
      <c r="D131" s="151" t="s">
        <v>183</v>
      </c>
      <c r="E131" s="95">
        <f>'5'!F131</f>
        <v>61282.5</v>
      </c>
      <c r="F131" s="165">
        <v>61507</v>
      </c>
      <c r="G131" s="112">
        <f t="shared" si="10"/>
        <v>224.5</v>
      </c>
      <c r="H131" s="99">
        <f>G131+'5'!H131</f>
        <v>1199</v>
      </c>
      <c r="I131" s="165"/>
      <c r="J131" s="328">
        <f>H131/DAY(B2)</f>
        <v>199.83333333333334</v>
      </c>
      <c r="N131" s="240"/>
      <c r="O131" s="241"/>
    </row>
    <row r="132" spans="1:15" ht="25.5">
      <c r="A132" s="1266" t="s">
        <v>322</v>
      </c>
      <c r="B132" s="1267"/>
      <c r="C132" s="1268"/>
      <c r="D132" s="151" t="s">
        <v>183</v>
      </c>
      <c r="E132" s="95">
        <f>'5'!F132</f>
        <v>146985</v>
      </c>
      <c r="F132" s="165">
        <v>146985</v>
      </c>
      <c r="G132" s="112">
        <f t="shared" si="10"/>
        <v>0</v>
      </c>
      <c r="H132" s="99">
        <f>G132+'5'!H132</f>
        <v>0</v>
      </c>
      <c r="I132" s="165"/>
      <c r="J132" s="328">
        <f>H132/DAY(B2)</f>
        <v>0</v>
      </c>
    </row>
    <row r="133" spans="1:15" ht="25.5">
      <c r="A133" s="1266" t="s">
        <v>323</v>
      </c>
      <c r="B133" s="1267"/>
      <c r="C133" s="1268"/>
      <c r="D133" s="151" t="s">
        <v>183</v>
      </c>
      <c r="E133" s="95">
        <f>'5'!F133</f>
        <v>270191.73</v>
      </c>
      <c r="F133" s="1021">
        <v>271036</v>
      </c>
      <c r="G133" s="112">
        <f t="shared" si="10"/>
        <v>844.27000000001863</v>
      </c>
      <c r="H133" s="99">
        <f>G133+'5'!H133</f>
        <v>5091</v>
      </c>
      <c r="I133" s="165"/>
      <c r="J133" s="328">
        <f>H133/DAY(B2)</f>
        <v>848.5</v>
      </c>
    </row>
    <row r="134" spans="1:15" ht="25.5">
      <c r="A134" s="1266" t="s">
        <v>340</v>
      </c>
      <c r="B134" s="1267"/>
      <c r="C134" s="1268"/>
      <c r="D134" s="151" t="s">
        <v>183</v>
      </c>
      <c r="E134" s="95">
        <f>'5'!F134</f>
        <v>64941.3</v>
      </c>
      <c r="F134" s="165">
        <v>65184</v>
      </c>
      <c r="G134" s="112">
        <f t="shared" si="10"/>
        <v>242.69999999999709</v>
      </c>
      <c r="H134" s="99">
        <f>G134+'5'!H134</f>
        <v>1522</v>
      </c>
      <c r="I134" s="165"/>
      <c r="J134" s="328">
        <f>H134/DAY(B2)</f>
        <v>253.66666666666666</v>
      </c>
    </row>
    <row r="135" spans="1:15" ht="25.5">
      <c r="A135" s="1261" t="s">
        <v>196</v>
      </c>
      <c r="B135" s="1262"/>
      <c r="C135" s="331"/>
      <c r="D135" s="151"/>
      <c r="E135" s="95"/>
      <c r="F135" s="112"/>
      <c r="G135" s="112">
        <f>SUM(G128:G134)</f>
        <v>2562.0800000000163</v>
      </c>
      <c r="H135" s="99">
        <f>G135+'5'!H135</f>
        <v>15623</v>
      </c>
      <c r="I135" s="327">
        <f>G135-(G35+G49)</f>
        <v>-1107.6900000000023</v>
      </c>
      <c r="J135" s="328">
        <f>H135/DAY(B2)</f>
        <v>2603.8333333333335</v>
      </c>
    </row>
    <row r="136" spans="1:15" ht="27.75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9" t="s">
        <v>185</v>
      </c>
      <c r="B138" s="1269"/>
      <c r="C138" s="1269"/>
      <c r="D138" s="151" t="s">
        <v>183</v>
      </c>
      <c r="E138" s="95">
        <f>'5'!F138</f>
        <v>898911</v>
      </c>
      <c r="F138" s="492">
        <v>899085</v>
      </c>
      <c r="G138" s="112">
        <f t="shared" ref="G138:G152" si="11">F138-E138</f>
        <v>174</v>
      </c>
      <c r="H138" s="99">
        <f>G138+'5'!H138</f>
        <v>880</v>
      </c>
      <c r="I138" s="118"/>
      <c r="J138" s="328">
        <f>H138/DAY(B2)</f>
        <v>146.66666666666666</v>
      </c>
    </row>
    <row r="139" spans="1:15" ht="25.5">
      <c r="A139" s="1269" t="s">
        <v>186</v>
      </c>
      <c r="B139" s="1269"/>
      <c r="C139" s="1269"/>
      <c r="D139" s="151" t="s">
        <v>183</v>
      </c>
      <c r="E139" s="95">
        <f>'5'!F139</f>
        <v>918953</v>
      </c>
      <c r="F139" s="492">
        <v>919102</v>
      </c>
      <c r="G139" s="112">
        <f t="shared" si="11"/>
        <v>149</v>
      </c>
      <c r="H139" s="99">
        <f>G139+'5'!H139</f>
        <v>898</v>
      </c>
      <c r="I139" s="118"/>
      <c r="J139" s="328">
        <f>H139/DAY(B2)</f>
        <v>149.66666666666666</v>
      </c>
    </row>
    <row r="140" spans="1:15" ht="25.5">
      <c r="A140" s="1269" t="s">
        <v>187</v>
      </c>
      <c r="B140" s="1269"/>
      <c r="C140" s="1269"/>
      <c r="D140" s="151" t="s">
        <v>183</v>
      </c>
      <c r="E140" s="95">
        <f>'5'!F140</f>
        <v>2400.1</v>
      </c>
      <c r="F140" s="149">
        <v>2412</v>
      </c>
      <c r="G140" s="112">
        <f t="shared" si="11"/>
        <v>11.900000000000091</v>
      </c>
      <c r="H140" s="99">
        <f>G140+'5'!H140</f>
        <v>69</v>
      </c>
      <c r="I140" s="118"/>
      <c r="J140" s="328">
        <f>H140/DAY(B2)</f>
        <v>11.5</v>
      </c>
    </row>
    <row r="141" spans="1:15" ht="25.5">
      <c r="A141" s="1256" t="s">
        <v>188</v>
      </c>
      <c r="B141" s="1256"/>
      <c r="C141" s="1256"/>
      <c r="D141" s="151" t="s">
        <v>183</v>
      </c>
      <c r="E141" s="95">
        <f>'5'!F141</f>
        <v>104889.4</v>
      </c>
      <c r="F141" s="149">
        <v>105112</v>
      </c>
      <c r="G141" s="112">
        <f t="shared" si="11"/>
        <v>222.60000000000582</v>
      </c>
      <c r="H141" s="99">
        <f>G141+'5'!H141</f>
        <v>1338</v>
      </c>
      <c r="I141" s="118"/>
      <c r="J141" s="328">
        <f>H141/DAY(B2)</f>
        <v>223</v>
      </c>
    </row>
    <row r="142" spans="1:15" ht="25.5">
      <c r="A142" s="1256" t="s">
        <v>189</v>
      </c>
      <c r="B142" s="1256"/>
      <c r="C142" s="1256"/>
      <c r="D142" s="151" t="s">
        <v>183</v>
      </c>
      <c r="E142" s="95">
        <f>'5'!F142</f>
        <v>42279.6</v>
      </c>
      <c r="F142" s="148">
        <v>42365</v>
      </c>
      <c r="G142" s="112">
        <f t="shared" si="11"/>
        <v>85.400000000001455</v>
      </c>
      <c r="H142" s="99">
        <f>G142+'5'!H142</f>
        <v>550</v>
      </c>
      <c r="I142" s="140"/>
      <c r="J142" s="328">
        <f>H142/DAY(B2)</f>
        <v>91.666666666666671</v>
      </c>
    </row>
    <row r="143" spans="1:15" ht="25.5">
      <c r="A143" s="1269" t="s">
        <v>91</v>
      </c>
      <c r="B143" s="1269"/>
      <c r="C143" s="1269"/>
      <c r="D143" s="151" t="s">
        <v>183</v>
      </c>
      <c r="E143" s="95">
        <f>'5'!F143</f>
        <v>10805.5</v>
      </c>
      <c r="F143" s="149">
        <v>10832</v>
      </c>
      <c r="G143" s="112">
        <f t="shared" si="11"/>
        <v>26.5</v>
      </c>
      <c r="H143" s="99">
        <f>G143+'5'!H143</f>
        <v>155</v>
      </c>
      <c r="I143" s="140"/>
      <c r="J143" s="328">
        <f>H143/DAY(B2)</f>
        <v>25.833333333333332</v>
      </c>
    </row>
    <row r="144" spans="1:15" ht="25.5">
      <c r="A144" s="1256" t="s">
        <v>90</v>
      </c>
      <c r="B144" s="1256"/>
      <c r="C144" s="1256"/>
      <c r="D144" s="151" t="s">
        <v>183</v>
      </c>
      <c r="E144" s="95">
        <f>'5'!F144</f>
        <v>934707</v>
      </c>
      <c r="F144" s="149">
        <v>934958</v>
      </c>
      <c r="G144" s="112">
        <f t="shared" si="11"/>
        <v>251</v>
      </c>
      <c r="H144" s="99">
        <f>G144+'5'!H144</f>
        <v>1437</v>
      </c>
      <c r="I144" s="140"/>
      <c r="J144" s="328">
        <f>H144/DAY(B2)</f>
        <v>239.5</v>
      </c>
    </row>
    <row r="145" spans="1:10" ht="25.5">
      <c r="A145" s="1269" t="s">
        <v>190</v>
      </c>
      <c r="B145" s="1269"/>
      <c r="C145" s="1269"/>
      <c r="D145" s="152" t="s">
        <v>183</v>
      </c>
      <c r="E145" s="95">
        <f>'5'!F145</f>
        <v>14283.4</v>
      </c>
      <c r="F145" s="148">
        <v>14521</v>
      </c>
      <c r="G145" s="112">
        <f t="shared" si="11"/>
        <v>237.60000000000036</v>
      </c>
      <c r="H145" s="99">
        <f>G145+'5'!H145</f>
        <v>1381</v>
      </c>
      <c r="I145" s="140"/>
      <c r="J145" s="328">
        <f>H145/DAY(B2)</f>
        <v>230.16666666666666</v>
      </c>
    </row>
    <row r="146" spans="1:10" ht="25.5">
      <c r="A146" s="1332" t="s">
        <v>191</v>
      </c>
      <c r="B146" s="1289"/>
      <c r="C146" s="1290"/>
      <c r="D146" s="152" t="s">
        <v>183</v>
      </c>
      <c r="E146" s="95">
        <f>'5'!F146</f>
        <v>784583</v>
      </c>
      <c r="F146" s="148">
        <v>784627</v>
      </c>
      <c r="G146" s="112">
        <f t="shared" si="11"/>
        <v>44</v>
      </c>
      <c r="H146" s="99">
        <f>G146+'5'!H146</f>
        <v>288</v>
      </c>
      <c r="I146" s="140"/>
      <c r="J146" s="328">
        <f>H146/DAY(B2)</f>
        <v>48</v>
      </c>
    </row>
    <row r="147" spans="1:10" ht="25.5">
      <c r="A147" s="1256" t="s">
        <v>192</v>
      </c>
      <c r="B147" s="1256"/>
      <c r="C147" s="1256"/>
      <c r="D147" s="152" t="s">
        <v>183</v>
      </c>
      <c r="E147" s="95">
        <f>'5'!F147</f>
        <v>725465.04</v>
      </c>
      <c r="F147" s="492">
        <v>725900</v>
      </c>
      <c r="G147" s="112">
        <f t="shared" si="11"/>
        <v>434.95999999996275</v>
      </c>
      <c r="H147" s="99">
        <f>G147+'5'!H147</f>
        <v>2378</v>
      </c>
      <c r="I147" s="140"/>
      <c r="J147" s="328">
        <f>H147/DAY(B2)</f>
        <v>396.33333333333331</v>
      </c>
    </row>
    <row r="148" spans="1:10" ht="25.5">
      <c r="A148" s="1257" t="s">
        <v>193</v>
      </c>
      <c r="B148" s="1258"/>
      <c r="C148" s="1259"/>
      <c r="D148" s="123" t="s">
        <v>130</v>
      </c>
      <c r="E148" s="95">
        <f>'5'!F148</f>
        <v>767929.68</v>
      </c>
      <c r="F148" s="387">
        <v>768194</v>
      </c>
      <c r="G148" s="112">
        <f t="shared" si="11"/>
        <v>264.31999999994878</v>
      </c>
      <c r="H148" s="99">
        <f>G148+'5'!H148</f>
        <v>1584</v>
      </c>
      <c r="I148" s="124"/>
      <c r="J148" s="328">
        <f>H148/DAY(B2)</f>
        <v>264</v>
      </c>
    </row>
    <row r="149" spans="1:10" ht="25.5">
      <c r="A149" s="1257" t="s">
        <v>336</v>
      </c>
      <c r="B149" s="1258"/>
      <c r="C149" s="1259"/>
      <c r="D149" s="227" t="s">
        <v>130</v>
      </c>
      <c r="E149" s="95">
        <f>'5'!F149</f>
        <v>160088</v>
      </c>
      <c r="F149" s="146">
        <v>160481</v>
      </c>
      <c r="G149" s="112">
        <f t="shared" si="11"/>
        <v>393</v>
      </c>
      <c r="H149" s="99">
        <f>G149+'5'!H149</f>
        <v>2514</v>
      </c>
      <c r="I149" s="119"/>
      <c r="J149" s="328">
        <f>H149/DAY(B2)</f>
        <v>419</v>
      </c>
    </row>
    <row r="150" spans="1:10" ht="25.5">
      <c r="A150" s="1257" t="s">
        <v>337</v>
      </c>
      <c r="B150" s="1258"/>
      <c r="C150" s="1259"/>
      <c r="D150" s="117" t="s">
        <v>130</v>
      </c>
      <c r="E150" s="95">
        <f>'5'!F150</f>
        <v>65087.9</v>
      </c>
      <c r="F150" s="233">
        <v>65303</v>
      </c>
      <c r="G150" s="112">
        <f t="shared" si="11"/>
        <v>215.09999999999854</v>
      </c>
      <c r="H150" s="99">
        <f>G150+'5'!H150</f>
        <v>1325</v>
      </c>
      <c r="I150" s="119"/>
      <c r="J150" s="328">
        <f>H150/DAY(B2)</f>
        <v>220.83333333333334</v>
      </c>
    </row>
    <row r="151" spans="1:10" ht="25.5">
      <c r="A151" s="1257" t="s">
        <v>338</v>
      </c>
      <c r="B151" s="1258"/>
      <c r="C151" s="1259"/>
      <c r="D151" s="117" t="s">
        <v>130</v>
      </c>
      <c r="E151" s="95">
        <f>'5'!F151</f>
        <v>150013</v>
      </c>
      <c r="F151" s="233">
        <v>150057</v>
      </c>
      <c r="G151" s="112">
        <f t="shared" si="11"/>
        <v>44</v>
      </c>
      <c r="H151" s="99">
        <f>G151+'5'!H151</f>
        <v>269</v>
      </c>
      <c r="I151" s="119"/>
      <c r="J151" s="328">
        <f>H151/DAY(B2)</f>
        <v>44.833333333333336</v>
      </c>
    </row>
    <row r="152" spans="1:10" ht="25.5">
      <c r="A152" s="1257" t="s">
        <v>339</v>
      </c>
      <c r="B152" s="1258"/>
      <c r="C152" s="1259"/>
      <c r="D152" s="117" t="s">
        <v>130</v>
      </c>
      <c r="E152" s="95">
        <f>'5'!F152</f>
        <v>31260</v>
      </c>
      <c r="F152" s="233">
        <v>31383</v>
      </c>
      <c r="G152" s="112">
        <f t="shared" si="11"/>
        <v>123</v>
      </c>
      <c r="H152" s="99">
        <f>G152+'5'!H152</f>
        <v>769</v>
      </c>
      <c r="I152" s="119"/>
      <c r="J152" s="328">
        <f>H152/DAY(B2)</f>
        <v>128.16666666666666</v>
      </c>
    </row>
    <row r="153" spans="1:10" ht="25.5">
      <c r="A153" s="1261" t="s">
        <v>196</v>
      </c>
      <c r="B153" s="1262"/>
      <c r="C153" s="362"/>
      <c r="D153" s="355"/>
      <c r="E153" s="357"/>
      <c r="F153" s="358"/>
      <c r="G153" s="359">
        <f>SUM(G138:G152)</f>
        <v>2676.3799999999178</v>
      </c>
      <c r="H153" s="360"/>
      <c r="I153" s="119">
        <f>G153-(G38+G52)</f>
        <v>478.64999999993643</v>
      </c>
      <c r="J153" s="363"/>
    </row>
    <row r="154" spans="1:10" ht="27.75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0" ht="27.75">
      <c r="A155" s="1256" t="s">
        <v>345</v>
      </c>
      <c r="B155" s="1256"/>
      <c r="C155" s="1256"/>
      <c r="D155" s="117" t="s">
        <v>130</v>
      </c>
      <c r="E155" s="95">
        <f>'5'!F155</f>
        <v>188509.6</v>
      </c>
      <c r="F155" s="365">
        <v>189036</v>
      </c>
      <c r="G155" s="112">
        <f t="shared" ref="G155:G158" si="12">F155-E155</f>
        <v>526.39999999999418</v>
      </c>
      <c r="H155" s="99">
        <f>G155+'5'!H155</f>
        <v>3295</v>
      </c>
      <c r="I155" s="361"/>
      <c r="J155" s="328">
        <f>H155/DAY(B2)</f>
        <v>549.16666666666663</v>
      </c>
    </row>
    <row r="156" spans="1:10" ht="25.5">
      <c r="A156" s="1256" t="s">
        <v>346</v>
      </c>
      <c r="B156" s="1256"/>
      <c r="C156" s="1256"/>
      <c r="D156" s="117" t="s">
        <v>130</v>
      </c>
      <c r="E156" s="95">
        <f>'5'!F156</f>
        <v>21198.9</v>
      </c>
      <c r="F156" s="155">
        <v>21291</v>
      </c>
      <c r="G156" s="112">
        <f t="shared" si="12"/>
        <v>92.099999999998545</v>
      </c>
      <c r="H156" s="99">
        <f>G156+'5'!H156</f>
        <v>552</v>
      </c>
      <c r="I156" s="165"/>
      <c r="J156" s="328">
        <f>H156/DAY(B2)</f>
        <v>92</v>
      </c>
    </row>
    <row r="157" spans="1:10" ht="25.5">
      <c r="A157" s="1257" t="s">
        <v>358</v>
      </c>
      <c r="B157" s="1258"/>
      <c r="C157" s="1259"/>
      <c r="D157" s="117" t="s">
        <v>130</v>
      </c>
      <c r="E157" s="95">
        <f>'5'!F157</f>
        <v>36756.6</v>
      </c>
      <c r="F157" s="155">
        <v>36892</v>
      </c>
      <c r="G157" s="112">
        <f t="shared" si="12"/>
        <v>135.40000000000146</v>
      </c>
      <c r="H157" s="99">
        <f>G157+'5'!H157</f>
        <v>768</v>
      </c>
      <c r="I157" s="165"/>
      <c r="J157" s="328">
        <f>H157/DAY(B2)</f>
        <v>128</v>
      </c>
    </row>
    <row r="158" spans="1:10" ht="25.5">
      <c r="A158" s="1257" t="s">
        <v>359</v>
      </c>
      <c r="B158" s="1258"/>
      <c r="C158" s="1259"/>
      <c r="D158" s="117" t="s">
        <v>130</v>
      </c>
      <c r="E158" s="95">
        <f>'5'!F158</f>
        <v>610</v>
      </c>
      <c r="F158" s="155">
        <v>655.64</v>
      </c>
      <c r="G158" s="112">
        <f t="shared" si="12"/>
        <v>45.639999999999986</v>
      </c>
      <c r="H158" s="99">
        <f>G158+'5'!H158</f>
        <v>151.01</v>
      </c>
      <c r="I158" s="165"/>
      <c r="J158" s="328">
        <f>H158/DAY(B2)</f>
        <v>25.168333333333333</v>
      </c>
    </row>
    <row r="159" spans="1:10" ht="25.5">
      <c r="A159" s="1263"/>
      <c r="B159" s="1264"/>
      <c r="C159" s="1265"/>
      <c r="D159" s="117"/>
      <c r="E159" s="95"/>
      <c r="F159" s="155"/>
      <c r="G159" s="112"/>
      <c r="H159" s="99"/>
      <c r="I159" s="165"/>
      <c r="J159" s="328"/>
    </row>
    <row r="160" spans="1:10" ht="27.75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26.25">
      <c r="A161" s="242" t="s">
        <v>92</v>
      </c>
      <c r="B161" s="243"/>
      <c r="C161" s="243"/>
      <c r="D161" s="244" t="s">
        <v>180</v>
      </c>
      <c r="E161" s="95">
        <f>'5'!F161</f>
        <v>489796.64</v>
      </c>
      <c r="F161" s="626">
        <v>490091</v>
      </c>
      <c r="G161" s="238">
        <f t="shared" ref="G161:G165" si="13">F161-E161</f>
        <v>294.35999999998603</v>
      </c>
      <c r="H161" s="99">
        <f>G161+'5'!H161</f>
        <v>1768</v>
      </c>
      <c r="I161" s="236"/>
      <c r="J161" s="239">
        <f>H161/DAY(B2)</f>
        <v>294.66666666666669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'5'!F162</f>
        <v>97471.4</v>
      </c>
      <c r="F162" s="235">
        <v>97515</v>
      </c>
      <c r="G162" s="238">
        <f t="shared" si="13"/>
        <v>43.600000000005821</v>
      </c>
      <c r="H162" s="99">
        <f>G162+'5'!H162</f>
        <v>227</v>
      </c>
      <c r="I162" s="236"/>
      <c r="J162" s="239">
        <f>H162/DAY(B2)</f>
        <v>37.833333333333336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'5'!F163</f>
        <v>14716</v>
      </c>
      <c r="F163" s="235">
        <v>14838</v>
      </c>
      <c r="G163" s="238">
        <f t="shared" si="13"/>
        <v>122</v>
      </c>
      <c r="H163" s="99">
        <f>G163+'5'!H163</f>
        <v>674</v>
      </c>
      <c r="I163" s="236"/>
      <c r="J163" s="239">
        <f>H163/DAY(B2)</f>
        <v>112.33333333333333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'5'!F164</f>
        <v>6646.9</v>
      </c>
      <c r="F164" s="235">
        <v>6654</v>
      </c>
      <c r="G164" s="238">
        <f t="shared" si="13"/>
        <v>7.1000000000003638</v>
      </c>
      <c r="H164" s="99">
        <f>G164+'5'!H164</f>
        <v>42</v>
      </c>
      <c r="I164" s="236"/>
      <c r="J164" s="239">
        <f>H164/DAY(B2)</f>
        <v>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'5'!F165</f>
        <v>32171.7</v>
      </c>
      <c r="F165" s="235">
        <v>32181</v>
      </c>
      <c r="G165" s="238">
        <f t="shared" si="13"/>
        <v>9.2999999999992724</v>
      </c>
      <c r="H165" s="99">
        <f>G165+'5'!H165</f>
        <v>40</v>
      </c>
      <c r="I165" s="236"/>
      <c r="J165" s="239">
        <f>H165/DAY(B2)</f>
        <v>6.666666666666667</v>
      </c>
    </row>
    <row r="166" spans="1:10" ht="26.25">
      <c r="A166" s="1274"/>
      <c r="B166" s="1274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6.25">
      <c r="A167" s="1274"/>
      <c r="B167" s="1274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6.25">
      <c r="A168" s="1274"/>
      <c r="B168" s="1274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5.5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54" t="s">
        <v>209</v>
      </c>
      <c r="B173" s="1255"/>
      <c r="C173" s="333"/>
      <c r="D173" s="228" t="s">
        <v>142</v>
      </c>
      <c r="E173" s="95">
        <f>'5'!F173</f>
        <v>8590</v>
      </c>
      <c r="F173" s="155">
        <v>8591</v>
      </c>
      <c r="G173" s="155">
        <f>F173-E173</f>
        <v>1</v>
      </c>
      <c r="H173" s="99">
        <f>G173+'5'!H173</f>
        <v>10</v>
      </c>
      <c r="I173" s="155"/>
      <c r="J173" s="178">
        <f>H173/DAY(B2)</f>
        <v>1.6666666666666667</v>
      </c>
    </row>
    <row r="174" spans="1:10" ht="25.5">
      <c r="A174" s="1254" t="s">
        <v>75</v>
      </c>
      <c r="B174" s="1255"/>
      <c r="C174" s="333"/>
      <c r="D174" s="228" t="s">
        <v>142</v>
      </c>
      <c r="E174" s="95">
        <f>'5'!F174</f>
        <v>42020</v>
      </c>
      <c r="F174" s="157">
        <v>42034</v>
      </c>
      <c r="G174" s="155">
        <f t="shared" ref="G174:G175" si="14">F174-E174</f>
        <v>14</v>
      </c>
      <c r="H174" s="99">
        <f>G174+'5'!H174</f>
        <v>72</v>
      </c>
      <c r="I174" s="155"/>
      <c r="J174" s="178">
        <f>H174/DAY(B2)</f>
        <v>12</v>
      </c>
    </row>
    <row r="175" spans="1:10" ht="25.5">
      <c r="A175" s="1254" t="s">
        <v>76</v>
      </c>
      <c r="B175" s="1324"/>
      <c r="C175" s="1255"/>
      <c r="D175" s="228" t="s">
        <v>142</v>
      </c>
      <c r="E175" s="95">
        <f>'5'!F175</f>
        <v>24752</v>
      </c>
      <c r="F175" s="155">
        <v>24764</v>
      </c>
      <c r="G175" s="155">
        <f t="shared" si="14"/>
        <v>12</v>
      </c>
      <c r="H175" s="99">
        <f>G175+'5'!H175</f>
        <v>67</v>
      </c>
      <c r="I175" s="155"/>
      <c r="J175" s="178">
        <f>H175/DAY(B2)</f>
        <v>11.166666666666666</v>
      </c>
    </row>
    <row r="176" spans="1:10" ht="25.5">
      <c r="A176" s="441" t="s">
        <v>196</v>
      </c>
      <c r="B176" s="442"/>
      <c r="C176" s="333"/>
      <c r="D176" s="228"/>
      <c r="E176" s="95">
        <f>'5'!F176</f>
        <v>0</v>
      </c>
      <c r="F176" s="155"/>
      <c r="G176" s="155">
        <f>SUM(G173:G175)</f>
        <v>27</v>
      </c>
      <c r="H176" s="99">
        <f>G176+'5'!H176</f>
        <v>149</v>
      </c>
      <c r="I176" s="155"/>
      <c r="J176" s="178">
        <f>H176/DAY(B2)</f>
        <v>24.833333333333332</v>
      </c>
    </row>
    <row r="177" spans="1:10" ht="25.5">
      <c r="A177" s="1254" t="s">
        <v>77</v>
      </c>
      <c r="B177" s="1255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5.5">
      <c r="A178" s="1254" t="s">
        <v>210</v>
      </c>
      <c r="B178" s="1255"/>
      <c r="C178" s="333"/>
      <c r="D178" s="228" t="s">
        <v>142</v>
      </c>
      <c r="E178" s="95">
        <f>'5'!F178</f>
        <v>102114</v>
      </c>
      <c r="F178" s="155">
        <v>102114</v>
      </c>
      <c r="G178" s="155">
        <f>F178-E178</f>
        <v>0</v>
      </c>
      <c r="H178" s="99">
        <f>G178+'5'!H178</f>
        <v>0</v>
      </c>
      <c r="I178" s="155"/>
      <c r="J178" s="178">
        <f>H178/DAY(B2)</f>
        <v>0</v>
      </c>
    </row>
    <row r="179" spans="1:10" ht="25.5">
      <c r="A179" s="1254" t="s">
        <v>211</v>
      </c>
      <c r="B179" s="1255"/>
      <c r="C179" s="333"/>
      <c r="D179" s="228" t="s">
        <v>142</v>
      </c>
      <c r="E179" s="95">
        <f>'5'!F179</f>
        <v>37501</v>
      </c>
      <c r="F179" s="157">
        <v>37501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</row>
    <row r="180" spans="1:10" ht="25.5">
      <c r="A180" s="1254" t="s">
        <v>212</v>
      </c>
      <c r="B180" s="1255"/>
      <c r="C180" s="333"/>
      <c r="D180" s="228" t="s">
        <v>142</v>
      </c>
      <c r="E180" s="95">
        <f>'5'!F180</f>
        <v>7231</v>
      </c>
      <c r="F180" s="155">
        <v>7231</v>
      </c>
      <c r="G180" s="155">
        <f t="shared" si="15"/>
        <v>0</v>
      </c>
      <c r="H180" s="99">
        <f>G180+'5'!H180</f>
        <v>0</v>
      </c>
      <c r="I180" s="155"/>
      <c r="J180" s="178">
        <f>H180/DAY(B2)</f>
        <v>0</v>
      </c>
    </row>
    <row r="181" spans="1:10" ht="25.5">
      <c r="A181" s="1325" t="s">
        <v>108</v>
      </c>
      <c r="B181" s="1326"/>
      <c r="C181" s="333"/>
      <c r="D181" s="228"/>
      <c r="E181" s="95">
        <f>'5'!F181</f>
        <v>0</v>
      </c>
      <c r="F181" s="155"/>
      <c r="G181" s="155">
        <f>SUM(G178:G180)</f>
        <v>0</v>
      </c>
      <c r="H181" s="99">
        <f>G181+'5'!H181</f>
        <v>0</v>
      </c>
      <c r="I181" s="155"/>
      <c r="J181" s="178">
        <f>H181/DAY(B2)</f>
        <v>0</v>
      </c>
    </row>
    <row r="182" spans="1:10" ht="25.5">
      <c r="A182" s="1254" t="s">
        <v>213</v>
      </c>
      <c r="B182" s="1255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5.5">
      <c r="A183" s="1254" t="s">
        <v>214</v>
      </c>
      <c r="B183" s="1255"/>
      <c r="C183" s="334"/>
      <c r="D183" s="228" t="s">
        <v>142</v>
      </c>
      <c r="E183" s="95">
        <f>'5'!F183</f>
        <v>17870</v>
      </c>
      <c r="F183" s="157">
        <v>17874</v>
      </c>
      <c r="G183" s="157">
        <f>F183-E183</f>
        <v>4</v>
      </c>
      <c r="H183" s="99">
        <f>G183+'5'!H183</f>
        <v>26</v>
      </c>
      <c r="I183" s="155"/>
      <c r="J183" s="178">
        <f>H183/DAY(B2)</f>
        <v>4.333333333333333</v>
      </c>
    </row>
    <row r="184" spans="1:10" ht="25.5">
      <c r="A184" s="1254" t="s">
        <v>215</v>
      </c>
      <c r="B184" s="1255"/>
      <c r="C184" s="334"/>
      <c r="D184" s="228" t="s">
        <v>142</v>
      </c>
      <c r="E184" s="95">
        <f>'5'!F184</f>
        <v>12386</v>
      </c>
      <c r="F184" s="157">
        <v>12393</v>
      </c>
      <c r="G184" s="157">
        <f t="shared" ref="G184:G185" si="16">F184-E184</f>
        <v>7</v>
      </c>
      <c r="H184" s="99">
        <f>G184+'5'!H184</f>
        <v>44</v>
      </c>
      <c r="I184" s="155"/>
      <c r="J184" s="178">
        <f>H184/DAY(B2)</f>
        <v>7.333333333333333</v>
      </c>
    </row>
    <row r="185" spans="1:10" ht="25.5">
      <c r="A185" s="1254" t="s">
        <v>216</v>
      </c>
      <c r="B185" s="1255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5.5">
      <c r="A186" s="1261" t="s">
        <v>196</v>
      </c>
      <c r="B186" s="1262"/>
      <c r="C186" s="334"/>
      <c r="D186" s="229"/>
      <c r="E186" s="95"/>
      <c r="F186" s="157"/>
      <c r="G186" s="157">
        <f>SUM(G183:G185)</f>
        <v>11</v>
      </c>
      <c r="H186" s="99">
        <f>G186+'5'!H186</f>
        <v>70</v>
      </c>
      <c r="I186" s="157"/>
      <c r="J186" s="178">
        <f>H186/DAY(B2)</f>
        <v>11.666666666666666</v>
      </c>
    </row>
    <row r="187" spans="1:10" ht="25.5">
      <c r="A187" s="1250" t="s">
        <v>217</v>
      </c>
      <c r="B187" s="1251"/>
      <c r="C187" s="333"/>
      <c r="D187" s="230" t="s">
        <v>142</v>
      </c>
      <c r="E187" s="95"/>
      <c r="F187" s="159"/>
      <c r="G187" s="159">
        <f>G62+G19</f>
        <v>126</v>
      </c>
      <c r="H187" s="99">
        <f>G187+'5'!H187</f>
        <v>827</v>
      </c>
      <c r="I187" s="158"/>
      <c r="J187" s="179">
        <f>H187/DAY(B2)</f>
        <v>137.83333333333334</v>
      </c>
    </row>
    <row r="188" spans="1:10" ht="25.5">
      <c r="A188" s="1250" t="s">
        <v>218</v>
      </c>
      <c r="B188" s="1251"/>
      <c r="C188" s="333"/>
      <c r="D188" s="230" t="s">
        <v>142</v>
      </c>
      <c r="E188" s="95"/>
      <c r="F188" s="159"/>
      <c r="G188" s="159">
        <f>G65+G66+G67+G69+G70</f>
        <v>129</v>
      </c>
      <c r="H188" s="99">
        <f>G188+'5'!H188</f>
        <v>855</v>
      </c>
      <c r="I188" s="158"/>
      <c r="J188" s="179">
        <f>H188/DAY(B2)</f>
        <v>142.5</v>
      </c>
    </row>
    <row r="189" spans="1:10" ht="25.5">
      <c r="A189" s="1250" t="s">
        <v>219</v>
      </c>
      <c r="B189" s="1251"/>
      <c r="C189" s="333"/>
      <c r="D189" s="230" t="s">
        <v>142</v>
      </c>
      <c r="E189" s="95"/>
      <c r="F189" s="157"/>
      <c r="G189" s="157">
        <f>G181</f>
        <v>0</v>
      </c>
      <c r="H189" s="99">
        <f>G189+'5'!H189</f>
        <v>0</v>
      </c>
      <c r="I189" s="158"/>
      <c r="J189" s="179">
        <f>H189/DAY(B2)</f>
        <v>0</v>
      </c>
    </row>
    <row r="190" spans="1:10" ht="25.5">
      <c r="A190" s="1252"/>
      <c r="B190" s="1253"/>
      <c r="C190" s="376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>
      <c r="E192" s="160">
        <v>822937</v>
      </c>
      <c r="F192" s="160">
        <v>26832</v>
      </c>
    </row>
    <row r="193" spans="5:6" ht="26.25">
      <c r="E193" s="160">
        <v>943836</v>
      </c>
      <c r="F193" s="160">
        <v>27996</v>
      </c>
    </row>
    <row r="194" spans="5:6" ht="26.25"/>
    <row r="195" spans="5:6" ht="26.25">
      <c r="E195" s="160">
        <f>E193-E192</f>
        <v>120899</v>
      </c>
      <c r="F195" s="160">
        <f>F193-F192</f>
        <v>1164</v>
      </c>
    </row>
    <row r="196" spans="5:6" ht="26.25"/>
    <row r="197" spans="5:6" ht="26.25"/>
    <row r="198" spans="5:6" ht="26.25"/>
    <row r="199" spans="5:6" ht="26.25"/>
    <row r="200" spans="5:6" ht="26.25"/>
    <row r="201" spans="5:6" ht="26.25"/>
    <row r="202" spans="5:6" ht="26.25"/>
    <row r="203" spans="5:6" ht="26.25"/>
    <row r="204" spans="5:6" ht="26.25"/>
    <row r="205" spans="5:6" ht="26.25"/>
    <row r="206" spans="5:6" ht="26.25"/>
    <row r="207" spans="5:6" ht="26.25"/>
    <row r="208" spans="5:6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zoomScale="60" zoomScaleNormal="77" workbookViewId="0">
      <selection activeCell="F174" sqref="F17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3.25">
      <c r="A2" s="191" t="s">
        <v>354</v>
      </c>
      <c r="B2" s="262">
        <v>44841</v>
      </c>
      <c r="C2" s="34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26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319" t="s">
        <v>128</v>
      </c>
      <c r="B6" s="1320"/>
      <c r="C6" s="1321"/>
      <c r="D6" s="110"/>
      <c r="E6" s="110">
        <v>0</v>
      </c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'6'!F7</f>
        <v>30625</v>
      </c>
      <c r="F7" s="95">
        <v>55804</v>
      </c>
      <c r="G7" s="112">
        <f>F7-E7</f>
        <v>25179</v>
      </c>
      <c r="H7" s="99">
        <f>G7+'6'!H7</f>
        <v>173968</v>
      </c>
      <c r="I7" s="113">
        <f>'1'!I7</f>
        <v>12000</v>
      </c>
      <c r="J7" s="175">
        <f>H7/DAY(B2)</f>
        <v>24852.571428571428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'6'!F8</f>
        <v>200297</v>
      </c>
      <c r="F8" s="114">
        <v>225831</v>
      </c>
      <c r="G8" s="115">
        <f>F8-E8</f>
        <v>25534</v>
      </c>
      <c r="H8" s="99">
        <f>G8+'6'!H8</f>
        <v>176451</v>
      </c>
      <c r="I8" s="116"/>
      <c r="J8" s="175">
        <f>H8/DAY(B2)</f>
        <v>25207.285714285714</v>
      </c>
      <c r="K8" s="172">
        <v>1715917</v>
      </c>
      <c r="L8" s="76">
        <v>1728480</v>
      </c>
      <c r="M8" s="87">
        <f>L8-K8</f>
        <v>12563</v>
      </c>
      <c r="N8" s="87"/>
      <c r="O8" s="71">
        <f>G8-G7</f>
        <v>355</v>
      </c>
    </row>
    <row r="9" spans="1:15" ht="26.25">
      <c r="A9" s="199" t="s">
        <v>132</v>
      </c>
      <c r="B9" s="200"/>
      <c r="C9" s="200"/>
      <c r="D9" s="151" t="s">
        <v>130</v>
      </c>
      <c r="E9" s="95">
        <f>'6'!F9</f>
        <v>3747319</v>
      </c>
      <c r="F9" s="117">
        <v>3750465</v>
      </c>
      <c r="G9" s="112">
        <f>F9-E9</f>
        <v>3146</v>
      </c>
      <c r="H9" s="99">
        <f>G9+'6'!H9</f>
        <v>43758</v>
      </c>
      <c r="I9" s="124">
        <f>I7-J7</f>
        <v>-12852.571428571428</v>
      </c>
      <c r="J9" s="175">
        <f>H9/DAY(B2)</f>
        <v>6251.1428571428569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'6'!F10</f>
        <v>2847077</v>
      </c>
      <c r="F10" s="117">
        <v>2868419</v>
      </c>
      <c r="G10" s="112">
        <f t="shared" ref="G10:G12" si="0">F10-E10</f>
        <v>21342</v>
      </c>
      <c r="H10" s="99">
        <f>G10+'6'!H10</f>
        <v>125725</v>
      </c>
      <c r="I10" s="282"/>
      <c r="J10" s="175">
        <f>H10/DAY(B2)</f>
        <v>17960.714285714286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'6'!F11</f>
        <v>37560</v>
      </c>
      <c r="F11" s="95">
        <v>37560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'6'!F12</f>
        <v>40380</v>
      </c>
      <c r="F12" s="117">
        <v>40380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24488</v>
      </c>
      <c r="H13" s="99">
        <f>G13+'6'!H13</f>
        <v>170943</v>
      </c>
      <c r="I13" s="120">
        <f>G7-G13</f>
        <v>691</v>
      </c>
      <c r="J13" s="175">
        <f>H13/DAY(B2)</f>
        <v>24420.428571428572</v>
      </c>
      <c r="K13" s="79"/>
      <c r="L13" s="66"/>
      <c r="N13" s="87"/>
      <c r="O13" s="71"/>
    </row>
    <row r="14" spans="1:15" ht="26.25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'6'!F15</f>
        <v>2167478</v>
      </c>
      <c r="F15" s="447">
        <v>2168499</v>
      </c>
      <c r="G15" s="112">
        <f>(F15-E15)</f>
        <v>1021</v>
      </c>
      <c r="H15" s="99">
        <f>G15+'6'!H15</f>
        <v>6984</v>
      </c>
      <c r="I15" s="113">
        <f>'1'!I15</f>
        <v>800</v>
      </c>
      <c r="J15" s="175">
        <f>H15/DAY(B2)</f>
        <v>997.71428571428567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-197.71428571428567</v>
      </c>
      <c r="J16" s="176"/>
      <c r="K16" s="79"/>
      <c r="L16" s="66"/>
      <c r="N16" s="87"/>
      <c r="O16" s="71"/>
    </row>
    <row r="17" spans="1:15" ht="26.25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81" t="s">
        <v>141</v>
      </c>
      <c r="B18" s="1282"/>
      <c r="C18" s="1283"/>
      <c r="D18" s="151" t="s">
        <v>142</v>
      </c>
      <c r="E18" s="95">
        <f>'6'!F18</f>
        <v>24</v>
      </c>
      <c r="F18" s="122">
        <v>24</v>
      </c>
      <c r="G18" s="119">
        <f>F18*10</f>
        <v>240</v>
      </c>
      <c r="H18" s="99">
        <f>G18+'6'!H18</f>
        <v>1640</v>
      </c>
      <c r="I18" s="113">
        <f>'1'!I18</f>
        <v>65</v>
      </c>
      <c r="J18" s="175">
        <f>H18/DAY(B2)</f>
        <v>234.28571428571428</v>
      </c>
      <c r="K18" s="79"/>
      <c r="L18" s="66"/>
      <c r="N18" s="87"/>
      <c r="O18" s="71"/>
    </row>
    <row r="19" spans="1:15" ht="25.5">
      <c r="A19" s="1281" t="s">
        <v>69</v>
      </c>
      <c r="B19" s="1282"/>
      <c r="C19" s="1283"/>
      <c r="D19" s="151" t="s">
        <v>142</v>
      </c>
      <c r="E19" s="95">
        <f>'6'!F19</f>
        <v>165759</v>
      </c>
      <c r="F19" s="122">
        <v>165814</v>
      </c>
      <c r="G19" s="112">
        <f t="shared" ref="G19" si="1">F19-E19</f>
        <v>55</v>
      </c>
      <c r="H19" s="99">
        <f>G19+'6'!H19</f>
        <v>373</v>
      </c>
      <c r="I19" s="335"/>
      <c r="J19" s="175">
        <f>H19/DAY(B2)</f>
        <v>53.285714285714285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295</v>
      </c>
      <c r="H20" s="99">
        <f>G20+'6'!H20</f>
        <v>2013</v>
      </c>
      <c r="I20" s="336">
        <f>I18-J20</f>
        <v>-222.57142857142856</v>
      </c>
      <c r="J20" s="175">
        <f>H20/DAY(B2)</f>
        <v>287.57142857142856</v>
      </c>
      <c r="K20" s="79"/>
      <c r="L20" s="66"/>
      <c r="N20" s="87"/>
      <c r="O20" s="71"/>
    </row>
    <row r="21" spans="1:15" ht="26.25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25534</v>
      </c>
      <c r="F27" s="136">
        <v>10</v>
      </c>
      <c r="G27" s="137">
        <f>E27*F27</f>
        <v>255340</v>
      </c>
      <c r="H27" s="99">
        <f>G27+'6'!H27</f>
        <v>1764510</v>
      </c>
      <c r="I27" s="138"/>
      <c r="J27" s="175">
        <f>H27/DAY(B2)</f>
        <v>252072.85714285713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1021</v>
      </c>
      <c r="F28" s="136">
        <v>75</v>
      </c>
      <c r="G28" s="137">
        <f>E28*F28</f>
        <v>76575</v>
      </c>
      <c r="H28" s="99">
        <f>G28+'6'!H28</f>
        <v>523800</v>
      </c>
      <c r="I28" s="140"/>
      <c r="J28" s="175">
        <f>H28/DAY(B2)</f>
        <v>74828.571428571435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G30+'6'!H30</f>
        <v>56323</v>
      </c>
      <c r="I30" s="140"/>
      <c r="J30" s="175">
        <f>H30/DAY(B2)</f>
        <v>8046.1428571428569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85</v>
      </c>
      <c r="G31" s="137">
        <f>E31*F31</f>
        <v>20400</v>
      </c>
      <c r="H31" s="99">
        <f>G31+'6'!H31</f>
        <v>136250</v>
      </c>
      <c r="I31" s="140"/>
      <c r="J31" s="175">
        <f>H31/DAY(B2)</f>
        <v>19464.285714285714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360620</v>
      </c>
      <c r="H32" s="99">
        <f>G32+'6'!H32</f>
        <v>2480883</v>
      </c>
      <c r="I32" s="144"/>
      <c r="J32" s="175">
        <f>H32/DAY(B2)</f>
        <v>354411.85714285716</v>
      </c>
      <c r="K32" s="63"/>
      <c r="L32" s="89"/>
      <c r="N32" s="87"/>
      <c r="O32" s="71"/>
    </row>
    <row r="33" spans="1:15" ht="25.5" customHeight="1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'6'!F35</f>
        <v>238713</v>
      </c>
      <c r="F35" s="145">
        <v>238713</v>
      </c>
      <c r="G35" s="112">
        <f t="shared" ref="G35:G46" si="3">F35-E35</f>
        <v>0</v>
      </c>
      <c r="H35" s="99">
        <f>G35+'6'!H35</f>
        <v>-4.9999999988358468E-2</v>
      </c>
      <c r="I35" s="95"/>
      <c r="J35" s="175">
        <f>H35/DAY(B2)</f>
        <v>-7.1428571411940667E-3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'6'!F36</f>
        <v>273775</v>
      </c>
      <c r="F36" s="145">
        <v>274630</v>
      </c>
      <c r="G36" s="112">
        <f t="shared" si="3"/>
        <v>855</v>
      </c>
      <c r="H36" s="99">
        <f>G36+'6'!H36</f>
        <v>5147</v>
      </c>
      <c r="I36" s="95"/>
      <c r="J36" s="175">
        <f>H36/DAY(B2)</f>
        <v>735.28571428571433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'6'!F37</f>
        <v>322998.69</v>
      </c>
      <c r="F37" s="145">
        <v>322998.69</v>
      </c>
      <c r="G37" s="112">
        <f t="shared" si="3"/>
        <v>0</v>
      </c>
      <c r="H37" s="99">
        <f>G37+'6'!H37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'6'!F38</f>
        <v>607038</v>
      </c>
      <c r="F38" s="108">
        <v>609315</v>
      </c>
      <c r="G38" s="112">
        <f t="shared" si="3"/>
        <v>2277</v>
      </c>
      <c r="H38" s="99">
        <f>G38+'6'!H38</f>
        <v>15598</v>
      </c>
      <c r="I38" s="95"/>
      <c r="J38" s="175">
        <f>H38/DAY(B2)</f>
        <v>2228.2857142857142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'6'!F39</f>
        <v>591584</v>
      </c>
      <c r="F39" s="145">
        <v>591584</v>
      </c>
      <c r="G39" s="112">
        <f t="shared" si="3"/>
        <v>0</v>
      </c>
      <c r="H39" s="99">
        <f>G39+'6'!H39</f>
        <v>-0.18999999994412065</v>
      </c>
      <c r="I39" s="95"/>
      <c r="J39" s="175">
        <f>H39/DAY(B2)</f>
        <v>-2.7142857134874378E-2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'6'!F40</f>
        <v>162527</v>
      </c>
      <c r="F40" s="145">
        <v>163249</v>
      </c>
      <c r="G40" s="112">
        <f t="shared" si="3"/>
        <v>722</v>
      </c>
      <c r="H40" s="99">
        <f>G40+'6'!H40</f>
        <v>5269</v>
      </c>
      <c r="I40" s="95"/>
      <c r="J40" s="175">
        <f>H40/DAY(B2)</f>
        <v>752.71428571428567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'6'!F41</f>
        <v>381352</v>
      </c>
      <c r="F41" s="145">
        <v>381352</v>
      </c>
      <c r="G41" s="112">
        <f t="shared" si="3"/>
        <v>0</v>
      </c>
      <c r="H41" s="99">
        <f>G41+'6'!H41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'6'!F42</f>
        <v>848946</v>
      </c>
      <c r="F42" s="145">
        <v>848946</v>
      </c>
      <c r="G42" s="112">
        <f t="shared" si="3"/>
        <v>0</v>
      </c>
      <c r="H42" s="99">
        <f>G42+'6'!H42</f>
        <v>23859</v>
      </c>
      <c r="I42" s="95"/>
      <c r="J42" s="175">
        <f>H42/DAY(B2)</f>
        <v>3408.4285714285716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'6'!F43</f>
        <v>407028</v>
      </c>
      <c r="F43" s="405">
        <v>407028</v>
      </c>
      <c r="G43" s="112">
        <f t="shared" si="3"/>
        <v>0</v>
      </c>
      <c r="H43" s="99">
        <f>G43+'6'!H43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3854</v>
      </c>
      <c r="H47" s="99">
        <f>G47+'6'!H47</f>
        <v>49872.760000000068</v>
      </c>
      <c r="I47" s="95"/>
      <c r="J47" s="175">
        <f>H47/DAY(B2)</f>
        <v>7124.6800000000094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'6'!F49</f>
        <v>742730</v>
      </c>
      <c r="F49" s="145">
        <v>746436</v>
      </c>
      <c r="G49" s="112">
        <f t="shared" ref="G49:G58" si="4">F49-E49</f>
        <v>3706</v>
      </c>
      <c r="H49" s="99">
        <f>G49+'6'!H49</f>
        <v>26149</v>
      </c>
      <c r="I49" s="95"/>
      <c r="J49" s="175">
        <f>H49/DAY(B2)</f>
        <v>3735.5714285714284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'6'!F50</f>
        <v>374631</v>
      </c>
      <c r="F50" s="145">
        <v>376255</v>
      </c>
      <c r="G50" s="112">
        <f t="shared" si="4"/>
        <v>1624</v>
      </c>
      <c r="H50" s="99">
        <f>G50+'6'!H50</f>
        <v>10484</v>
      </c>
      <c r="I50" s="95"/>
      <c r="J50" s="175">
        <f>H50/DAY(B2)</f>
        <v>1497.7142857142858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'6'!F51</f>
        <v>77808</v>
      </c>
      <c r="F51" s="145">
        <v>78819</v>
      </c>
      <c r="G51" s="112">
        <f t="shared" si="4"/>
        <v>1011</v>
      </c>
      <c r="H51" s="99">
        <f>G51+'6'!H51</f>
        <v>7092</v>
      </c>
      <c r="I51" s="95"/>
      <c r="J51" s="175">
        <f>H51/DAY(B2)</f>
        <v>1013.1428571428571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-0.24000000000000021</v>
      </c>
      <c r="I52" s="95"/>
      <c r="J52" s="175">
        <f>H52/DAY(B2)</f>
        <v>-3.4285714285714315E-2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'6'!F53</f>
        <v>319147</v>
      </c>
      <c r="F53" s="145">
        <v>323476</v>
      </c>
      <c r="G53" s="112">
        <f t="shared" si="4"/>
        <v>4329</v>
      </c>
      <c r="H53" s="99">
        <f>G53+'6'!H53</f>
        <v>29375</v>
      </c>
      <c r="I53" s="95"/>
      <c r="J53" s="175">
        <f>H53/DAY(B2)</f>
        <v>4196.4285714285716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'6'!F54</f>
        <v>102441</v>
      </c>
      <c r="F54" s="145">
        <v>102606</v>
      </c>
      <c r="G54" s="112">
        <f t="shared" si="4"/>
        <v>165</v>
      </c>
      <c r="H54" s="99">
        <f>G54+'6'!H54</f>
        <v>1219</v>
      </c>
      <c r="I54" s="95"/>
      <c r="J54" s="175">
        <f>H54/DAY(B2)</f>
        <v>174.14285714285714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'6'!F55</f>
        <v>506930</v>
      </c>
      <c r="F55" s="145">
        <v>510450</v>
      </c>
      <c r="G55" s="112">
        <f t="shared" si="4"/>
        <v>3520</v>
      </c>
      <c r="H55" s="99">
        <f>G55+'6'!H55</f>
        <v>15967</v>
      </c>
      <c r="I55" s="95"/>
      <c r="J55" s="175">
        <f>H55/DAY(B2)</f>
        <v>2281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'6'!F56</f>
        <v>152993</v>
      </c>
      <c r="F56" s="145">
        <v>154609</v>
      </c>
      <c r="G56" s="112">
        <f t="shared" si="4"/>
        <v>1616</v>
      </c>
      <c r="H56" s="99">
        <f>G56+'6'!H56</f>
        <v>4890</v>
      </c>
      <c r="I56" s="95"/>
      <c r="J56" s="175">
        <f>H56/DAY(B2)</f>
        <v>698.57142857142856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'6'!F57</f>
        <v>426860</v>
      </c>
      <c r="F57" s="145">
        <v>429820</v>
      </c>
      <c r="G57" s="112">
        <f t="shared" si="4"/>
        <v>2960</v>
      </c>
      <c r="H57" s="99">
        <f>G57+'6'!H57</f>
        <v>20742</v>
      </c>
      <c r="I57" s="95"/>
      <c r="J57" s="175">
        <f>H57/DAY(B2)</f>
        <v>2963.1428571428573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'6'!F58</f>
        <v>65619</v>
      </c>
      <c r="F58" s="145">
        <v>65844</v>
      </c>
      <c r="G58" s="112">
        <f t="shared" si="4"/>
        <v>225</v>
      </c>
      <c r="H58" s="99">
        <f>G58+'6'!H58</f>
        <v>1693</v>
      </c>
      <c r="I58" s="95"/>
      <c r="J58" s="175">
        <f>H58/DAY(B2)</f>
        <v>241.85714285714286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19156</v>
      </c>
      <c r="H59" s="99">
        <f>G59+'6'!H59</f>
        <v>117610.76000000001</v>
      </c>
      <c r="I59" s="95">
        <f>G7-G60</f>
        <v>2169</v>
      </c>
      <c r="J59" s="175">
        <f>H59/DAY(B2)</f>
        <v>16801.537142857145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23010</v>
      </c>
      <c r="H60" s="99">
        <f>G60+'6'!H60</f>
        <v>167483.52000000008</v>
      </c>
      <c r="I60" s="95">
        <f>G13-G60</f>
        <v>1478</v>
      </c>
      <c r="J60" s="175">
        <f>H60/DAY(B2)</f>
        <v>23926.217142857153</v>
      </c>
      <c r="K60" s="79"/>
      <c r="L60" s="66"/>
      <c r="N60" s="87"/>
      <c r="O60" s="71"/>
    </row>
    <row r="61" spans="1:15" s="68" customFormat="1" ht="26.25">
      <c r="A61" s="1278" t="s">
        <v>332</v>
      </c>
      <c r="B61" s="1279"/>
      <c r="C61" s="12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81" t="s">
        <v>198</v>
      </c>
      <c r="B62" s="1282"/>
      <c r="C62" s="1283"/>
      <c r="D62" s="151" t="s">
        <v>142</v>
      </c>
      <c r="E62" s="95">
        <f>'6'!F62</f>
        <v>302574</v>
      </c>
      <c r="F62" s="122">
        <v>302670</v>
      </c>
      <c r="G62" s="112">
        <f t="shared" ref="G62:G63" si="5">F62-E62</f>
        <v>96</v>
      </c>
      <c r="H62" s="99">
        <f>G62+'6'!H62</f>
        <v>605</v>
      </c>
      <c r="I62" s="118"/>
      <c r="J62" s="175">
        <f>H62/DAY(B2)</f>
        <v>86.428571428571431</v>
      </c>
      <c r="K62" s="80"/>
      <c r="L62" s="66"/>
      <c r="N62" s="87"/>
      <c r="O62" s="71"/>
    </row>
    <row r="63" spans="1:15" ht="25.5">
      <c r="A63" s="1281" t="s">
        <v>199</v>
      </c>
      <c r="B63" s="1282"/>
      <c r="C63" s="1283"/>
      <c r="D63" s="151" t="s">
        <v>142</v>
      </c>
      <c r="E63" s="95">
        <f>'6'!F63</f>
        <v>245139</v>
      </c>
      <c r="F63" s="122">
        <v>245139</v>
      </c>
      <c r="G63" s="112">
        <f t="shared" si="5"/>
        <v>0</v>
      </c>
      <c r="H63" s="99">
        <f>G63+'6'!H63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6.25">
      <c r="A64" s="1284" t="s">
        <v>200</v>
      </c>
      <c r="B64" s="1285"/>
      <c r="C64" s="1286"/>
      <c r="D64" s="151"/>
      <c r="E64" s="95">
        <f>'6'!F64</f>
        <v>0</v>
      </c>
      <c r="F64" s="122"/>
      <c r="G64" s="112">
        <f>G62+G63</f>
        <v>96</v>
      </c>
      <c r="H64" s="99">
        <f>G64+'6'!H64</f>
        <v>605</v>
      </c>
      <c r="I64" s="118"/>
      <c r="J64" s="175">
        <f>H64/DAY(B2)</f>
        <v>86.428571428571431</v>
      </c>
      <c r="K64" s="69"/>
      <c r="L64" s="66"/>
      <c r="N64" s="87"/>
      <c r="O64" s="71"/>
    </row>
    <row r="65" spans="1:15" ht="25.5">
      <c r="A65" s="1281" t="s">
        <v>201</v>
      </c>
      <c r="B65" s="1282"/>
      <c r="C65" s="1283"/>
      <c r="D65" s="151" t="s">
        <v>142</v>
      </c>
      <c r="E65" s="95">
        <f>'6'!F65</f>
        <v>461417</v>
      </c>
      <c r="F65" s="122">
        <v>461520</v>
      </c>
      <c r="G65" s="112">
        <f t="shared" ref="G65:G70" si="6">F65-E65</f>
        <v>103</v>
      </c>
      <c r="H65" s="99">
        <f>G65+'6'!H65</f>
        <v>696</v>
      </c>
      <c r="I65" s="118"/>
      <c r="J65" s="175">
        <f>H65/DAY(B2)</f>
        <v>99.428571428571431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'6'!F66</f>
        <v>112655</v>
      </c>
      <c r="F66" s="122">
        <v>112672</v>
      </c>
      <c r="G66" s="112">
        <f t="shared" si="6"/>
        <v>17</v>
      </c>
      <c r="H66" s="99">
        <f>G66+'6'!H66</f>
        <v>67</v>
      </c>
      <c r="I66" s="118"/>
      <c r="J66" s="175">
        <f>H66/DAY(B2)</f>
        <v>9.5714285714285712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'6'!F67</f>
        <v>114843</v>
      </c>
      <c r="F67" s="150">
        <v>114863</v>
      </c>
      <c r="G67" s="112">
        <f t="shared" si="6"/>
        <v>20</v>
      </c>
      <c r="H67" s="99">
        <f>G67+'6'!H67</f>
        <v>155</v>
      </c>
      <c r="I67" s="118"/>
      <c r="J67" s="175">
        <f>H67/DAY(B2)</f>
        <v>22.142857142857142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'6'!F68</f>
        <v>166765</v>
      </c>
      <c r="F68" s="122">
        <v>166781</v>
      </c>
      <c r="G68" s="112">
        <f t="shared" si="6"/>
        <v>16</v>
      </c>
      <c r="H68" s="99">
        <f>G68+'6'!H68</f>
        <v>200</v>
      </c>
      <c r="I68" s="118"/>
      <c r="J68" s="175">
        <f>H68/DAY(B2)</f>
        <v>28.571428571428573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'6'!F69</f>
        <v>12583</v>
      </c>
      <c r="F69" s="122">
        <v>12584</v>
      </c>
      <c r="G69" s="112">
        <f t="shared" si="6"/>
        <v>1</v>
      </c>
      <c r="H69" s="99">
        <f>G69+'6'!H69</f>
        <v>20</v>
      </c>
      <c r="I69" s="118"/>
      <c r="J69" s="175">
        <f>H69/DAY(B2)</f>
        <v>2.8571428571428572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'6'!F70</f>
        <v>10391</v>
      </c>
      <c r="F70" s="150">
        <v>10399</v>
      </c>
      <c r="G70" s="112">
        <f t="shared" si="6"/>
        <v>8</v>
      </c>
      <c r="H70" s="99">
        <f>G70+'6'!H70</f>
        <v>66</v>
      </c>
      <c r="I70" s="118"/>
      <c r="J70" s="175">
        <f>H70/DAY(B2)</f>
        <v>9.4285714285714288</v>
      </c>
      <c r="K70" s="69"/>
      <c r="L70" s="66"/>
      <c r="N70" s="87"/>
      <c r="O70" s="71"/>
    </row>
    <row r="71" spans="1:15" ht="26.25">
      <c r="A71" s="1284" t="s">
        <v>208</v>
      </c>
      <c r="B71" s="1285"/>
      <c r="C71" s="1286"/>
      <c r="D71" s="152"/>
      <c r="E71" s="152"/>
      <c r="F71" s="152"/>
      <c r="G71" s="153">
        <f>SUM(G65:G70)</f>
        <v>165</v>
      </c>
      <c r="H71" s="99">
        <f>G71+'6'!H71</f>
        <v>1204</v>
      </c>
      <c r="I71" s="154"/>
      <c r="J71" s="175">
        <f>H71/DAY(B2)</f>
        <v>172</v>
      </c>
      <c r="K71" s="69"/>
      <c r="L71" s="66"/>
      <c r="N71" s="87"/>
      <c r="O71" s="71"/>
    </row>
    <row r="72" spans="1:15" s="88" customFormat="1" ht="25.5">
      <c r="A72" s="1287"/>
      <c r="B72" s="126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5" t="s">
        <v>333</v>
      </c>
      <c r="B73" s="1296"/>
      <c r="C73" s="129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81" t="s">
        <v>220</v>
      </c>
      <c r="B74" s="1282"/>
      <c r="C74" s="1283"/>
      <c r="D74" s="151" t="s">
        <v>139</v>
      </c>
      <c r="E74" s="95">
        <f>'6'!F74</f>
        <v>977550</v>
      </c>
      <c r="F74" s="123">
        <v>977851</v>
      </c>
      <c r="G74" s="112">
        <f t="shared" ref="G74:G78" si="7">F74-E74</f>
        <v>301</v>
      </c>
      <c r="H74" s="99">
        <f>G74+'6'!H74</f>
        <v>2040</v>
      </c>
      <c r="I74" s="154"/>
      <c r="J74" s="175">
        <f>H74/DAY(B2)</f>
        <v>291.42857142857144</v>
      </c>
      <c r="K74" s="69"/>
      <c r="L74" s="66"/>
      <c r="N74" s="87"/>
      <c r="O74" s="71"/>
    </row>
    <row r="75" spans="1:15" ht="25.5">
      <c r="A75" s="1281" t="s">
        <v>221</v>
      </c>
      <c r="B75" s="1282"/>
      <c r="C75" s="1283"/>
      <c r="D75" s="151" t="s">
        <v>139</v>
      </c>
      <c r="E75" s="95">
        <f>'6'!F75</f>
        <v>73586</v>
      </c>
      <c r="F75" s="123">
        <v>73586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288" t="s">
        <v>222</v>
      </c>
      <c r="B76" s="1289"/>
      <c r="C76" s="1290"/>
      <c r="D76" s="151" t="s">
        <v>139</v>
      </c>
      <c r="E76" s="95">
        <f>'6'!F76</f>
        <v>197372</v>
      </c>
      <c r="F76" s="123">
        <v>197488</v>
      </c>
      <c r="G76" s="112">
        <f t="shared" si="7"/>
        <v>116</v>
      </c>
      <c r="H76" s="99">
        <f>G76+'6'!H76</f>
        <v>752</v>
      </c>
      <c r="I76" s="154"/>
      <c r="J76" s="175">
        <f>H76/DAY(B2)</f>
        <v>107.42857142857143</v>
      </c>
      <c r="K76" s="69"/>
      <c r="L76" s="66"/>
      <c r="N76" s="87"/>
      <c r="O76" s="71"/>
    </row>
    <row r="77" spans="1:15" ht="25.5">
      <c r="A77" s="1288" t="s">
        <v>223</v>
      </c>
      <c r="B77" s="1289"/>
      <c r="C77" s="1290"/>
      <c r="D77" s="151" t="s">
        <v>139</v>
      </c>
      <c r="E77" s="95">
        <f>'6'!F77</f>
        <v>53604</v>
      </c>
      <c r="F77" s="123">
        <v>53655</v>
      </c>
      <c r="G77" s="112">
        <f t="shared" si="7"/>
        <v>51</v>
      </c>
      <c r="H77" s="99">
        <f>G77+'6'!H77</f>
        <v>303</v>
      </c>
      <c r="I77" s="154"/>
      <c r="J77" s="175">
        <f>H77/DAY(B2)</f>
        <v>43.285714285714285</v>
      </c>
      <c r="K77" s="69"/>
      <c r="L77" s="66"/>
      <c r="N77" s="87"/>
      <c r="O77" s="71"/>
    </row>
    <row r="78" spans="1:15" ht="25.5">
      <c r="A78" s="1288" t="s">
        <v>224</v>
      </c>
      <c r="B78" s="1289"/>
      <c r="C78" s="1290"/>
      <c r="D78" s="151" t="s">
        <v>139</v>
      </c>
      <c r="E78" s="95">
        <f>'6'!F78</f>
        <v>9563.4</v>
      </c>
      <c r="F78" s="123">
        <v>9563.4</v>
      </c>
      <c r="G78" s="112">
        <f t="shared" si="7"/>
        <v>0</v>
      </c>
      <c r="H78" s="99">
        <f>G78+'6'!H78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1288" t="s">
        <v>225</v>
      </c>
      <c r="B79" s="1289"/>
      <c r="C79" s="1290"/>
      <c r="D79" s="151"/>
      <c r="E79" s="95">
        <f>'6'!F79</f>
        <v>0</v>
      </c>
      <c r="F79" s="123"/>
      <c r="G79" s="112">
        <f>G15-SUM(G74:G78)</f>
        <v>553</v>
      </c>
      <c r="H79" s="99">
        <f>G79+'6'!H79</f>
        <v>3889</v>
      </c>
      <c r="I79" s="118"/>
      <c r="J79" s="175"/>
      <c r="K79" s="59"/>
      <c r="L79" s="58"/>
      <c r="N79" s="87"/>
      <c r="O79" s="71"/>
    </row>
    <row r="80" spans="1:15" s="57" customFormat="1" ht="26.25">
      <c r="A80" s="1284" t="s">
        <v>329</v>
      </c>
      <c r="B80" s="1285"/>
      <c r="C80" s="1286"/>
      <c r="D80" s="151"/>
      <c r="E80" s="117"/>
      <c r="F80" s="117"/>
      <c r="G80" s="112">
        <f>SUM(G74:G79)</f>
        <v>1021</v>
      </c>
      <c r="H80" s="99">
        <f>G80+'6'!H80</f>
        <v>1021</v>
      </c>
      <c r="I80" s="118"/>
      <c r="J80" s="175"/>
      <c r="K80" s="59"/>
      <c r="L80" s="58"/>
      <c r="N80" s="87"/>
      <c r="O80" s="71"/>
    </row>
    <row r="81" spans="1:15" ht="25.5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'6'!F84</f>
        <v>43366.5</v>
      </c>
      <c r="F84" s="164">
        <v>43366.5</v>
      </c>
      <c r="G84" s="112">
        <f t="shared" si="8"/>
        <v>0</v>
      </c>
      <c r="H84" s="99">
        <f>G84+'6'!H84</f>
        <v>-0.30000000000291038</v>
      </c>
      <c r="I84" s="538"/>
      <c r="J84" s="175">
        <f>H84/DAY(B2)</f>
        <v>-4.2857142857558629E-2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'6'!F85</f>
        <v>5581</v>
      </c>
      <c r="F85" s="164">
        <v>5581</v>
      </c>
      <c r="G85" s="112">
        <f t="shared" si="8"/>
        <v>0</v>
      </c>
      <c r="H85" s="99">
        <f>G85+'6'!H85</f>
        <v>105</v>
      </c>
      <c r="I85" s="538"/>
      <c r="J85" s="175">
        <f>H85/DAY(B2)</f>
        <v>15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'6'!F86</f>
        <v>46358</v>
      </c>
      <c r="F86" s="164">
        <v>46382</v>
      </c>
      <c r="G86" s="112">
        <f t="shared" si="8"/>
        <v>24</v>
      </c>
      <c r="H86" s="99">
        <f>G86+'6'!H86</f>
        <v>110.58000000000175</v>
      </c>
      <c r="I86" s="538"/>
      <c r="J86" s="175">
        <f>H86/DAY(B2)</f>
        <v>15.797142857143106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'6'!F87</f>
        <v>35670</v>
      </c>
      <c r="F87" s="164">
        <v>35683</v>
      </c>
      <c r="G87" s="112">
        <f t="shared" si="8"/>
        <v>13</v>
      </c>
      <c r="H87" s="99">
        <f>G87+'6'!H87</f>
        <v>27</v>
      </c>
      <c r="I87" s="524">
        <f>G84+G85+G86+G87</f>
        <v>37</v>
      </c>
      <c r="J87" s="175">
        <f>H87/DAY(B2)</f>
        <v>3.8571428571428572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'6'!F88</f>
        <v>24440.560000000001</v>
      </c>
      <c r="F88" s="164">
        <v>24440.560000000001</v>
      </c>
      <c r="G88" s="112">
        <f t="shared" si="8"/>
        <v>0</v>
      </c>
      <c r="H88" s="99">
        <f>G88+'6'!H88</f>
        <v>16.600000000002183</v>
      </c>
      <c r="I88" s="524"/>
      <c r="J88" s="175">
        <f>H88/DAY(B2)</f>
        <v>2.3714285714288832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'6'!F89</f>
        <v>28026.42</v>
      </c>
      <c r="F89" s="164">
        <v>28034.84</v>
      </c>
      <c r="G89" s="112">
        <f t="shared" si="8"/>
        <v>8.4200000000018917</v>
      </c>
      <c r="H89" s="99">
        <f>G89+'6'!H89</f>
        <v>46.840000000000146</v>
      </c>
      <c r="I89" s="524">
        <f>G88+G89</f>
        <v>8.4200000000018917</v>
      </c>
      <c r="J89" s="175">
        <f>H89/DAY(B2)</f>
        <v>6.6914285714285926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'6'!F90</f>
        <v>73310.75</v>
      </c>
      <c r="F90" s="164">
        <v>73321</v>
      </c>
      <c r="G90" s="112">
        <f t="shared" si="8"/>
        <v>10.25</v>
      </c>
      <c r="H90" s="99">
        <f>G90+'6'!H90</f>
        <v>77.259999999994761</v>
      </c>
      <c r="I90" s="524">
        <f>G90</f>
        <v>10.25</v>
      </c>
      <c r="J90" s="175">
        <f>H90/DAY(B2)</f>
        <v>11.03714285714211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'6'!F91</f>
        <v>4745.54</v>
      </c>
      <c r="F91" s="122">
        <v>4757</v>
      </c>
      <c r="G91" s="112">
        <f t="shared" si="8"/>
        <v>11.460000000000036</v>
      </c>
      <c r="H91" s="99">
        <f>G91+'6'!H91</f>
        <v>78.569999999999709</v>
      </c>
      <c r="I91" s="572"/>
      <c r="J91" s="175">
        <f>H91/DAY(B2)</f>
        <v>11.224285714285672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'6'!F92</f>
        <v>7000</v>
      </c>
      <c r="F92" s="122">
        <v>7000</v>
      </c>
      <c r="G92" s="112">
        <f t="shared" si="8"/>
        <v>0</v>
      </c>
      <c r="H92" s="99">
        <f>G92+'6'!H92</f>
        <v>0</v>
      </c>
      <c r="I92" s="573">
        <f>G91+G92</f>
        <v>11.460000000000036</v>
      </c>
      <c r="J92" s="175">
        <f>H92/DAY(B2)</f>
        <v>0</v>
      </c>
      <c r="O92" s="71"/>
    </row>
    <row r="93" spans="1:15" ht="26.25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6666</v>
      </c>
      <c r="H94" s="99">
        <f>G94+'6'!H94</f>
        <v>46890.950000000012</v>
      </c>
      <c r="I94" s="118"/>
      <c r="J94" s="175">
        <f>H94/DAY(B2)</f>
        <v>6698.7071428571444</v>
      </c>
      <c r="K94" s="69"/>
      <c r="L94" s="66"/>
      <c r="O94" s="71"/>
    </row>
    <row r="95" spans="1:15" ht="25.5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0.26474442988204455</v>
      </c>
      <c r="H95" s="99">
        <f>G95+'6'!H95</f>
        <v>1.8885708700270107</v>
      </c>
      <c r="I95" s="167"/>
      <c r="J95" s="175">
        <f>H95/DAY(B2)</f>
        <v>0.26979583857528727</v>
      </c>
      <c r="K95" s="69"/>
      <c r="L95" s="66"/>
      <c r="O95" s="71"/>
    </row>
    <row r="96" spans="1:15" ht="25.5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5136</v>
      </c>
      <c r="H96" s="99">
        <f>G96+'6'!H96</f>
        <v>44716</v>
      </c>
      <c r="I96" s="118"/>
      <c r="J96" s="175">
        <f>H96/DAY(B2)</f>
        <v>6388</v>
      </c>
      <c r="K96" s="69"/>
      <c r="L96" s="66"/>
      <c r="O96" s="71"/>
    </row>
    <row r="97" spans="1:15" ht="25.5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0.20397950673180032</v>
      </c>
      <c r="H97" s="99">
        <f>G97+'6'!H97</f>
        <v>1.801671893670326</v>
      </c>
      <c r="I97" s="167"/>
      <c r="J97" s="175">
        <f>H97/DAY(B2)</f>
        <v>0.25738169909576086</v>
      </c>
      <c r="K97" s="69"/>
      <c r="L97" s="66"/>
      <c r="O97" s="71"/>
    </row>
    <row r="98" spans="1:15" ht="25.5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4329</v>
      </c>
      <c r="H98" s="99">
        <f>G98+'6'!H98</f>
        <v>29374.810000000056</v>
      </c>
      <c r="I98" s="168"/>
      <c r="J98" s="175">
        <f>H98/DAY(B2)</f>
        <v>4196.4014285714366</v>
      </c>
      <c r="K98" s="69"/>
      <c r="L98" s="66"/>
      <c r="O98" s="71"/>
    </row>
    <row r="99" spans="1:15" ht="25.5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0.1719289884427499</v>
      </c>
      <c r="H99" s="99">
        <f>G99+'6'!H99</f>
        <v>1.1827546862798723</v>
      </c>
      <c r="I99" s="168"/>
      <c r="J99" s="175">
        <f>H99/DAY(B2)</f>
        <v>0.16896495518283891</v>
      </c>
      <c r="O99" s="71"/>
    </row>
    <row r="100" spans="1:15" ht="26.25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2277</v>
      </c>
      <c r="H100" s="99">
        <f>G100+'6'!H100</f>
        <v>15597.76</v>
      </c>
      <c r="I100" s="118"/>
      <c r="J100" s="175">
        <f>H100/DAY(B2)</f>
        <v>2228.2514285714287</v>
      </c>
      <c r="K100" s="70"/>
      <c r="O100" s="71"/>
    </row>
    <row r="101" spans="1:15" ht="25.5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9.0432503276539969E-2</v>
      </c>
      <c r="H101" s="99">
        <f>G101+'6'!H101</f>
        <v>0.62826361709863165</v>
      </c>
      <c r="I101" s="168"/>
      <c r="J101" s="175">
        <f>H101/DAY(B2)</f>
        <v>8.9751945299804528E-2</v>
      </c>
      <c r="O101" s="71"/>
    </row>
    <row r="102" spans="1:15" ht="25.5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2479</v>
      </c>
      <c r="H102" s="99">
        <f>G102+'6'!H102</f>
        <v>15631</v>
      </c>
      <c r="I102" s="168"/>
      <c r="J102" s="175">
        <f>H102/DAY(B2)</f>
        <v>2233</v>
      </c>
      <c r="O102" s="71"/>
    </row>
    <row r="103" spans="1:15" ht="25.5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9.8455061757814058E-2</v>
      </c>
      <c r="H103" s="99">
        <f>G103+'6'!H103</f>
        <v>0.62871674572163283</v>
      </c>
      <c r="I103" s="118"/>
      <c r="J103" s="175">
        <f>H103/DAY(B2)</f>
        <v>8.9816677960233265E-2</v>
      </c>
      <c r="O103" s="71"/>
    </row>
    <row r="104" spans="1:15" ht="25.5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1011</v>
      </c>
      <c r="H104" s="99">
        <f>G104+'6'!H104</f>
        <v>7092</v>
      </c>
      <c r="I104" s="118"/>
      <c r="J104" s="175">
        <f>H104/DAY(B2)</f>
        <v>1013.1428571428571</v>
      </c>
      <c r="O104" s="71"/>
    </row>
    <row r="105" spans="1:15" ht="26.25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4.0152508042416296E-2</v>
      </c>
      <c r="H105" s="99">
        <f>G105+'6'!H105</f>
        <v>0.28560510630713881</v>
      </c>
      <c r="I105" s="187"/>
      <c r="J105" s="188">
        <f>H105/DAY(B2)</f>
        <v>4.0800729472448401E-2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6.25">
      <c r="A109" s="1291"/>
      <c r="B109" s="1291"/>
    </row>
    <row r="110" spans="1:15" ht="26.25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5.5">
      <c r="A111" s="1270"/>
      <c r="B111" s="1271"/>
      <c r="C111" s="1272"/>
      <c r="D111" s="165"/>
      <c r="E111" s="165"/>
      <c r="F111" s="165"/>
      <c r="G111" s="165"/>
      <c r="H111" s="156"/>
      <c r="I111" s="165"/>
      <c r="J111" s="327"/>
    </row>
    <row r="112" spans="1:15" ht="25.5">
      <c r="A112" s="1266" t="s">
        <v>252</v>
      </c>
      <c r="B112" s="1267"/>
      <c r="C112" s="1268"/>
      <c r="D112" s="146" t="s">
        <v>183</v>
      </c>
      <c r="E112" s="95">
        <f>'6'!F112</f>
        <v>12091</v>
      </c>
      <c r="F112" s="237">
        <v>12162</v>
      </c>
      <c r="G112" s="112">
        <f t="shared" ref="G112:G123" si="9">F112-E112</f>
        <v>71</v>
      </c>
      <c r="H112" s="99">
        <f>G112+'6'!H112</f>
        <v>499</v>
      </c>
      <c r="I112" s="165"/>
      <c r="J112" s="328">
        <f>H112/DAY(B2)</f>
        <v>71.285714285714292</v>
      </c>
    </row>
    <row r="113" spans="1:18" ht="29.25" customHeight="1">
      <c r="A113" s="1266" t="s">
        <v>253</v>
      </c>
      <c r="B113" s="1267"/>
      <c r="C113" s="1268"/>
      <c r="D113" s="146" t="s">
        <v>183</v>
      </c>
      <c r="E113" s="95">
        <f>'6'!F113</f>
        <v>24349</v>
      </c>
      <c r="F113" s="237">
        <v>24489</v>
      </c>
      <c r="G113" s="112">
        <f t="shared" si="9"/>
        <v>140</v>
      </c>
      <c r="H113" s="99">
        <f>G113+'6'!H113</f>
        <v>968</v>
      </c>
      <c r="I113" s="165"/>
      <c r="J113" s="328">
        <f>H113/DAY(B2)</f>
        <v>138.28571428571428</v>
      </c>
    </row>
    <row r="114" spans="1:18" ht="29.25" customHeight="1">
      <c r="A114" s="1266" t="s">
        <v>254</v>
      </c>
      <c r="B114" s="1267"/>
      <c r="C114" s="1268"/>
      <c r="D114" s="146" t="s">
        <v>183</v>
      </c>
      <c r="E114" s="95">
        <f>'6'!F114</f>
        <v>36110</v>
      </c>
      <c r="F114" s="237">
        <v>36329</v>
      </c>
      <c r="G114" s="112">
        <f t="shared" si="9"/>
        <v>219</v>
      </c>
      <c r="H114" s="99">
        <f>G114+'6'!H114</f>
        <v>1554</v>
      </c>
      <c r="I114" s="165"/>
      <c r="J114" s="328">
        <f>H114/DAY(B2)</f>
        <v>222</v>
      </c>
    </row>
    <row r="115" spans="1:18" ht="29.25" customHeight="1">
      <c r="A115" s="1266" t="s">
        <v>255</v>
      </c>
      <c r="B115" s="1267"/>
      <c r="C115" s="1268"/>
      <c r="D115" s="146" t="s">
        <v>183</v>
      </c>
      <c r="E115" s="95">
        <f>'6'!F115</f>
        <v>22728</v>
      </c>
      <c r="F115" s="237">
        <v>22854</v>
      </c>
      <c r="G115" s="112">
        <f t="shared" si="9"/>
        <v>126</v>
      </c>
      <c r="H115" s="99">
        <f>G115+'6'!H115</f>
        <v>801</v>
      </c>
      <c r="I115" s="165"/>
      <c r="J115" s="328">
        <f>H115/DAY(B2)</f>
        <v>114.42857142857143</v>
      </c>
    </row>
    <row r="116" spans="1:18" ht="29.25" customHeight="1">
      <c r="A116" s="1275" t="s">
        <v>96</v>
      </c>
      <c r="B116" s="1276"/>
      <c r="C116" s="1277"/>
      <c r="D116" s="146" t="s">
        <v>183</v>
      </c>
      <c r="E116" s="95">
        <f>'6'!F116</f>
        <v>99508</v>
      </c>
      <c r="F116" s="237">
        <v>100045</v>
      </c>
      <c r="G116" s="112">
        <f t="shared" si="9"/>
        <v>537</v>
      </c>
      <c r="H116" s="99">
        <f>G116+'6'!H116</f>
        <v>2910</v>
      </c>
      <c r="I116" s="165"/>
      <c r="J116" s="328">
        <f>H116/DAY(B2)</f>
        <v>415.71428571428572</v>
      </c>
      <c r="Q116" s="1266" t="s">
        <v>311</v>
      </c>
      <c r="R116" s="1268"/>
    </row>
    <row r="117" spans="1:18" ht="29.25" customHeight="1">
      <c r="A117" s="1275" t="s">
        <v>184</v>
      </c>
      <c r="B117" s="1276"/>
      <c r="C117" s="1277"/>
      <c r="D117" s="146" t="s">
        <v>183</v>
      </c>
      <c r="E117" s="95">
        <f>'6'!F117</f>
        <v>58507</v>
      </c>
      <c r="F117" s="237">
        <v>58858</v>
      </c>
      <c r="G117" s="112">
        <f t="shared" si="9"/>
        <v>351</v>
      </c>
      <c r="H117" s="99">
        <f>G117+'6'!H117</f>
        <v>2353</v>
      </c>
      <c r="I117" s="165"/>
      <c r="J117" s="328">
        <f>H117/DAY(B2)</f>
        <v>336.14285714285717</v>
      </c>
      <c r="Q117" s="1266" t="s">
        <v>312</v>
      </c>
      <c r="R117" s="1268"/>
    </row>
    <row r="118" spans="1:18" ht="25.5">
      <c r="A118" s="1269" t="s">
        <v>97</v>
      </c>
      <c r="B118" s="1269"/>
      <c r="C118" s="1269"/>
      <c r="D118" s="151" t="s">
        <v>183</v>
      </c>
      <c r="E118" s="95">
        <f>'6'!F118</f>
        <v>105311</v>
      </c>
      <c r="F118" s="237">
        <v>105928</v>
      </c>
      <c r="G118" s="112">
        <f t="shared" si="9"/>
        <v>617</v>
      </c>
      <c r="H118" s="99">
        <f>G118+'6'!H118</f>
        <v>4174</v>
      </c>
      <c r="I118" s="165"/>
      <c r="J118" s="328">
        <f>H118/DAY(B2)</f>
        <v>596.28571428571433</v>
      </c>
      <c r="Q118" s="1266" t="s">
        <v>311</v>
      </c>
      <c r="R118" s="1268"/>
    </row>
    <row r="119" spans="1:18" ht="25.5">
      <c r="A119" s="1269" t="s">
        <v>98</v>
      </c>
      <c r="B119" s="1269"/>
      <c r="C119" s="1269"/>
      <c r="D119" s="151" t="s">
        <v>183</v>
      </c>
      <c r="E119" s="95">
        <f>'6'!F119</f>
        <v>42649</v>
      </c>
      <c r="F119" s="237">
        <v>42663</v>
      </c>
      <c r="G119" s="112">
        <f t="shared" si="9"/>
        <v>14</v>
      </c>
      <c r="H119" s="99">
        <f>G119+'6'!H119</f>
        <v>82</v>
      </c>
      <c r="I119" s="165"/>
      <c r="J119" s="328">
        <f>H119/DAY(B2)</f>
        <v>11.714285714285714</v>
      </c>
    </row>
    <row r="120" spans="1:18" ht="25.5">
      <c r="A120" s="1269" t="s">
        <v>99</v>
      </c>
      <c r="B120" s="1269"/>
      <c r="C120" s="1269"/>
      <c r="D120" s="151" t="s">
        <v>183</v>
      </c>
      <c r="E120" s="95">
        <f>'6'!F120</f>
        <v>73770</v>
      </c>
      <c r="F120" s="237">
        <v>74162</v>
      </c>
      <c r="G120" s="112">
        <f t="shared" si="9"/>
        <v>392</v>
      </c>
      <c r="H120" s="99">
        <f>G120+'6'!H120</f>
        <v>2830</v>
      </c>
      <c r="I120" s="165"/>
      <c r="J120" s="328">
        <f>H120/DAY(B2)</f>
        <v>404.28571428571428</v>
      </c>
    </row>
    <row r="121" spans="1:18" ht="25.5">
      <c r="A121" s="1269" t="s">
        <v>100</v>
      </c>
      <c r="B121" s="1269"/>
      <c r="C121" s="1269"/>
      <c r="D121" s="151" t="s">
        <v>183</v>
      </c>
      <c r="E121" s="95">
        <f>'6'!F121</f>
        <v>84074</v>
      </c>
      <c r="F121" s="237">
        <v>84524</v>
      </c>
      <c r="G121" s="112">
        <f t="shared" si="9"/>
        <v>450</v>
      </c>
      <c r="H121" s="99">
        <f>G121+'6'!H121</f>
        <v>3168</v>
      </c>
      <c r="I121" s="165"/>
      <c r="J121" s="328">
        <f>H121/DAY(B2)</f>
        <v>452.57142857142856</v>
      </c>
    </row>
    <row r="122" spans="1:18" ht="25.5">
      <c r="A122" s="1269" t="s">
        <v>101</v>
      </c>
      <c r="B122" s="1269"/>
      <c r="C122" s="1269"/>
      <c r="D122" s="151" t="s">
        <v>183</v>
      </c>
      <c r="E122" s="95">
        <f>'6'!F122</f>
        <v>51363</v>
      </c>
      <c r="F122" s="237">
        <v>51741</v>
      </c>
      <c r="G122" s="112">
        <f t="shared" si="9"/>
        <v>378</v>
      </c>
      <c r="H122" s="99">
        <f>G122+'6'!H122</f>
        <v>2610</v>
      </c>
      <c r="I122" s="165"/>
      <c r="J122" s="328">
        <f>H122/DAY(B2)</f>
        <v>372.85714285714283</v>
      </c>
    </row>
    <row r="123" spans="1:18" ht="25.5">
      <c r="A123" s="1269" t="s">
        <v>102</v>
      </c>
      <c r="B123" s="1269"/>
      <c r="C123" s="1269"/>
      <c r="D123" s="151" t="s">
        <v>183</v>
      </c>
      <c r="E123" s="95">
        <f>'6'!F123</f>
        <v>51593</v>
      </c>
      <c r="F123" s="237">
        <v>51890</v>
      </c>
      <c r="G123" s="112">
        <f t="shared" si="9"/>
        <v>297</v>
      </c>
      <c r="H123" s="99">
        <f>G123+'6'!H123</f>
        <v>2141</v>
      </c>
      <c r="I123" s="165"/>
      <c r="J123" s="328">
        <f>H123/DAY(B2)</f>
        <v>305.85714285714283</v>
      </c>
    </row>
    <row r="124" spans="1:18" ht="29.25" customHeight="1">
      <c r="A124" s="1270"/>
      <c r="B124" s="1271"/>
      <c r="C124" s="1272"/>
      <c r="D124" s="165"/>
      <c r="E124" s="165"/>
      <c r="F124" s="165"/>
      <c r="G124" s="327"/>
      <c r="H124" s="156"/>
      <c r="I124" s="165"/>
      <c r="J124" s="328"/>
    </row>
    <row r="125" spans="1:18" ht="25.5">
      <c r="A125" s="1261" t="s">
        <v>196</v>
      </c>
      <c r="B125" s="1262"/>
      <c r="C125" s="245"/>
      <c r="D125" s="307"/>
      <c r="E125" s="308"/>
      <c r="F125" s="308"/>
      <c r="G125" s="309">
        <f>SUM(G112:G124)</f>
        <v>3592</v>
      </c>
      <c r="H125" s="156"/>
      <c r="I125" s="327">
        <f>G125-(G39+G53)</f>
        <v>-737</v>
      </c>
      <c r="J125" s="327"/>
    </row>
    <row r="126" spans="1:18" ht="25.5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5.5">
      <c r="A127" s="1274"/>
      <c r="B127" s="1274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1266" t="s">
        <v>318</v>
      </c>
      <c r="B128" s="1267"/>
      <c r="C128" s="1268"/>
      <c r="D128" s="151" t="s">
        <v>183</v>
      </c>
      <c r="E128" s="95">
        <f>'6'!F128</f>
        <v>157519</v>
      </c>
      <c r="F128" s="165">
        <v>157963</v>
      </c>
      <c r="G128" s="112">
        <f t="shared" ref="G128:G134" si="10">F128-E128</f>
        <v>444</v>
      </c>
      <c r="H128" s="99">
        <f>G128+'6'!H128</f>
        <v>3148</v>
      </c>
      <c r="I128" s="165"/>
      <c r="J128" s="328">
        <f>H128/DAY(B2)</f>
        <v>449.71428571428572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'6'!F129</f>
        <v>84972</v>
      </c>
      <c r="F129" s="165">
        <v>85155</v>
      </c>
      <c r="G129" s="112">
        <f t="shared" si="10"/>
        <v>183</v>
      </c>
      <c r="H129" s="99">
        <f>G129+'6'!H129</f>
        <v>1219</v>
      </c>
      <c r="I129" s="165"/>
      <c r="J129" s="328">
        <f>H129/DAY(B2)</f>
        <v>174.14285714285714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'6'!F130</f>
        <v>210830</v>
      </c>
      <c r="F130" s="165">
        <v>211410</v>
      </c>
      <c r="G130" s="112">
        <f t="shared" si="10"/>
        <v>580</v>
      </c>
      <c r="H130" s="99">
        <f>G130+'6'!H130</f>
        <v>4651</v>
      </c>
      <c r="I130" s="165"/>
      <c r="J130" s="328">
        <f>H130/DAY(B2)</f>
        <v>664.42857142857144</v>
      </c>
      <c r="N130" s="240"/>
      <c r="O130" s="241"/>
    </row>
    <row r="131" spans="1:15" ht="25.5">
      <c r="A131" s="1266" t="s">
        <v>321</v>
      </c>
      <c r="B131" s="1267"/>
      <c r="C131" s="1268"/>
      <c r="D131" s="151" t="s">
        <v>183</v>
      </c>
      <c r="E131" s="95">
        <f>'6'!F131</f>
        <v>61507</v>
      </c>
      <c r="F131" s="165">
        <v>61718</v>
      </c>
      <c r="G131" s="112">
        <f t="shared" si="10"/>
        <v>211</v>
      </c>
      <c r="H131" s="99">
        <f>G131+'6'!H131</f>
        <v>1410</v>
      </c>
      <c r="I131" s="165"/>
      <c r="J131" s="328">
        <f>H131/DAY(B2)</f>
        <v>201.42857142857142</v>
      </c>
      <c r="N131" s="240"/>
      <c r="O131" s="241"/>
    </row>
    <row r="132" spans="1:15" ht="25.5">
      <c r="A132" s="1266" t="s">
        <v>322</v>
      </c>
      <c r="B132" s="1267"/>
      <c r="C132" s="1268"/>
      <c r="D132" s="151" t="s">
        <v>183</v>
      </c>
      <c r="E132" s="95">
        <f>'6'!F132</f>
        <v>146985</v>
      </c>
      <c r="F132" s="165">
        <v>146985</v>
      </c>
      <c r="G132" s="112">
        <f t="shared" si="10"/>
        <v>0</v>
      </c>
      <c r="H132" s="99">
        <f>G132+'6'!H132</f>
        <v>0</v>
      </c>
      <c r="I132" s="165"/>
      <c r="J132" s="328">
        <f>H132/DAY(B2)</f>
        <v>0</v>
      </c>
    </row>
    <row r="133" spans="1:15" ht="25.5">
      <c r="A133" s="1266" t="s">
        <v>323</v>
      </c>
      <c r="B133" s="1267"/>
      <c r="C133" s="1268"/>
      <c r="D133" s="151" t="s">
        <v>183</v>
      </c>
      <c r="E133" s="95">
        <f>'6'!F133</f>
        <v>271036</v>
      </c>
      <c r="F133" s="165">
        <v>271877</v>
      </c>
      <c r="G133" s="112">
        <f t="shared" si="10"/>
        <v>841</v>
      </c>
      <c r="H133" s="99">
        <f>G133+'6'!H133</f>
        <v>5932</v>
      </c>
      <c r="I133" s="165"/>
      <c r="J133" s="328">
        <f>H133/DAY(B2)</f>
        <v>847.42857142857144</v>
      </c>
    </row>
    <row r="134" spans="1:15" ht="25.5">
      <c r="A134" s="1266" t="s">
        <v>340</v>
      </c>
      <c r="B134" s="1267"/>
      <c r="C134" s="1268"/>
      <c r="D134" s="151" t="s">
        <v>183</v>
      </c>
      <c r="E134" s="95">
        <f>'6'!F134</f>
        <v>65184</v>
      </c>
      <c r="F134" s="165">
        <v>65435</v>
      </c>
      <c r="G134" s="112">
        <f t="shared" si="10"/>
        <v>251</v>
      </c>
      <c r="H134" s="99">
        <f>G134+'6'!H134</f>
        <v>1773</v>
      </c>
      <c r="I134" s="165"/>
      <c r="J134" s="328">
        <f>H134/DAY(B2)</f>
        <v>253.28571428571428</v>
      </c>
    </row>
    <row r="135" spans="1:15" ht="25.5">
      <c r="A135" s="1261" t="s">
        <v>196</v>
      </c>
      <c r="B135" s="1262"/>
      <c r="C135" s="331"/>
      <c r="D135" s="151"/>
      <c r="E135" s="95"/>
      <c r="F135" s="165"/>
      <c r="G135" s="112">
        <f>SUM(G128:G134)</f>
        <v>2510</v>
      </c>
      <c r="H135" s="99">
        <f>G135+'6'!H135</f>
        <v>18133</v>
      </c>
      <c r="I135" s="327">
        <f>G135-(G35+G49)</f>
        <v>-1196</v>
      </c>
      <c r="J135" s="328">
        <f>H135/DAY(B2)</f>
        <v>2590.4285714285716</v>
      </c>
    </row>
    <row r="136" spans="1:15" ht="27.75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9" t="s">
        <v>185</v>
      </c>
      <c r="B138" s="1269"/>
      <c r="C138" s="1269"/>
      <c r="D138" s="151" t="s">
        <v>183</v>
      </c>
      <c r="E138" s="95">
        <f>'6'!F138</f>
        <v>899085</v>
      </c>
      <c r="F138" s="147">
        <v>899228</v>
      </c>
      <c r="G138" s="112">
        <f t="shared" ref="G138:G152" si="11">F138-E138</f>
        <v>143</v>
      </c>
      <c r="H138" s="99">
        <f>G138+'6'!H138</f>
        <v>1023</v>
      </c>
      <c r="I138" s="118"/>
      <c r="J138" s="328">
        <f>H138/DAY(B2)</f>
        <v>146.14285714285714</v>
      </c>
    </row>
    <row r="139" spans="1:15" ht="25.5">
      <c r="A139" s="1269" t="s">
        <v>186</v>
      </c>
      <c r="B139" s="1269"/>
      <c r="C139" s="1269"/>
      <c r="D139" s="151" t="s">
        <v>183</v>
      </c>
      <c r="E139" s="95">
        <f>'6'!F139</f>
        <v>919102</v>
      </c>
      <c r="F139" s="148">
        <v>919256</v>
      </c>
      <c r="G139" s="112">
        <f t="shared" si="11"/>
        <v>154</v>
      </c>
      <c r="H139" s="99">
        <f>G139+'6'!H139</f>
        <v>1052</v>
      </c>
      <c r="I139" s="118"/>
      <c r="J139" s="328">
        <f>H139/DAY(B2)</f>
        <v>150.28571428571428</v>
      </c>
    </row>
    <row r="140" spans="1:15" ht="25.5">
      <c r="A140" s="1269" t="s">
        <v>187</v>
      </c>
      <c r="B140" s="1269"/>
      <c r="C140" s="1269"/>
      <c r="D140" s="151" t="s">
        <v>183</v>
      </c>
      <c r="E140" s="95">
        <f>'6'!F140</f>
        <v>2412</v>
      </c>
      <c r="F140" s="149">
        <v>2423</v>
      </c>
      <c r="G140" s="112">
        <f t="shared" si="11"/>
        <v>11</v>
      </c>
      <c r="H140" s="99">
        <f>G140+'6'!H140</f>
        <v>80</v>
      </c>
      <c r="I140" s="118"/>
      <c r="J140" s="328">
        <f>H140/DAY(B2)</f>
        <v>11.428571428571429</v>
      </c>
    </row>
    <row r="141" spans="1:15" ht="25.5">
      <c r="A141" s="1256" t="s">
        <v>188</v>
      </c>
      <c r="B141" s="1256"/>
      <c r="C141" s="1256"/>
      <c r="D141" s="151" t="s">
        <v>183</v>
      </c>
      <c r="E141" s="95">
        <f>'6'!F141</f>
        <v>105112</v>
      </c>
      <c r="F141" s="149">
        <v>105332</v>
      </c>
      <c r="G141" s="112">
        <f t="shared" si="11"/>
        <v>220</v>
      </c>
      <c r="H141" s="99">
        <f>G141+'6'!H141</f>
        <v>1558</v>
      </c>
      <c r="I141" s="118"/>
      <c r="J141" s="328">
        <f>H141/DAY(B2)</f>
        <v>222.57142857142858</v>
      </c>
    </row>
    <row r="142" spans="1:15" ht="25.5">
      <c r="A142" s="1256" t="s">
        <v>189</v>
      </c>
      <c r="B142" s="1256"/>
      <c r="C142" s="1256"/>
      <c r="D142" s="151" t="s">
        <v>183</v>
      </c>
      <c r="E142" s="95">
        <f>'6'!F142</f>
        <v>42365</v>
      </c>
      <c r="F142" s="148">
        <v>42459</v>
      </c>
      <c r="G142" s="112">
        <f t="shared" si="11"/>
        <v>94</v>
      </c>
      <c r="H142" s="99">
        <f>G142+'6'!H142</f>
        <v>644</v>
      </c>
      <c r="I142" s="140"/>
      <c r="J142" s="328">
        <f>H142/DAY(B2)</f>
        <v>92</v>
      </c>
    </row>
    <row r="143" spans="1:15" ht="25.5">
      <c r="A143" s="1269" t="s">
        <v>91</v>
      </c>
      <c r="B143" s="1269"/>
      <c r="C143" s="1269"/>
      <c r="D143" s="151" t="s">
        <v>183</v>
      </c>
      <c r="E143" s="95">
        <f>'6'!F143</f>
        <v>10832</v>
      </c>
      <c r="F143" s="149">
        <v>10862</v>
      </c>
      <c r="G143" s="112">
        <f t="shared" si="11"/>
        <v>30</v>
      </c>
      <c r="H143" s="99">
        <f>G143+'6'!H143</f>
        <v>185</v>
      </c>
      <c r="I143" s="140"/>
      <c r="J143" s="328">
        <f>H143/DAY(B2)</f>
        <v>26.428571428571427</v>
      </c>
    </row>
    <row r="144" spans="1:15" ht="25.5">
      <c r="A144" s="1256" t="s">
        <v>90</v>
      </c>
      <c r="B144" s="1256"/>
      <c r="C144" s="1256"/>
      <c r="D144" s="151" t="s">
        <v>183</v>
      </c>
      <c r="E144" s="95">
        <f>'6'!F144</f>
        <v>934958</v>
      </c>
      <c r="F144" s="149">
        <v>935214</v>
      </c>
      <c r="G144" s="112">
        <f t="shared" si="11"/>
        <v>256</v>
      </c>
      <c r="H144" s="99">
        <f>G144+'6'!H144</f>
        <v>1693</v>
      </c>
      <c r="I144" s="140"/>
      <c r="J144" s="328">
        <f>H144/DAY(B2)</f>
        <v>241.85714285714286</v>
      </c>
    </row>
    <row r="145" spans="1:10" ht="25.5">
      <c r="A145" s="1269" t="s">
        <v>190</v>
      </c>
      <c r="B145" s="1269"/>
      <c r="C145" s="1269"/>
      <c r="D145" s="152" t="s">
        <v>183</v>
      </c>
      <c r="E145" s="95">
        <f>'6'!F145</f>
        <v>14521</v>
      </c>
      <c r="F145" s="149">
        <v>14754</v>
      </c>
      <c r="G145" s="112">
        <f t="shared" si="11"/>
        <v>233</v>
      </c>
      <c r="H145" s="99">
        <f>G145+'6'!H145</f>
        <v>1614</v>
      </c>
      <c r="I145" s="140"/>
      <c r="J145" s="328">
        <f>H145/DAY(B2)</f>
        <v>230.57142857142858</v>
      </c>
    </row>
    <row r="146" spans="1:10" ht="25.5">
      <c r="A146" s="1332" t="s">
        <v>191</v>
      </c>
      <c r="B146" s="1289"/>
      <c r="C146" s="1290"/>
      <c r="D146" s="152" t="s">
        <v>183</v>
      </c>
      <c r="E146" s="95">
        <f>'6'!F146</f>
        <v>784627</v>
      </c>
      <c r="F146" s="148">
        <v>784663</v>
      </c>
      <c r="G146" s="112">
        <f t="shared" si="11"/>
        <v>36</v>
      </c>
      <c r="H146" s="99">
        <f>G146+'6'!H146</f>
        <v>324</v>
      </c>
      <c r="I146" s="140"/>
      <c r="J146" s="328">
        <f>H146/DAY(B2)</f>
        <v>46.285714285714285</v>
      </c>
    </row>
    <row r="147" spans="1:10" ht="25.5">
      <c r="A147" s="1256" t="s">
        <v>192</v>
      </c>
      <c r="B147" s="1256"/>
      <c r="C147" s="1256"/>
      <c r="D147" s="152" t="s">
        <v>183</v>
      </c>
      <c r="E147" s="95">
        <f>'6'!F147</f>
        <v>725900</v>
      </c>
      <c r="F147" s="148">
        <v>726281</v>
      </c>
      <c r="G147" s="112">
        <f t="shared" si="11"/>
        <v>381</v>
      </c>
      <c r="H147" s="99">
        <f>G147+'6'!H147</f>
        <v>2759</v>
      </c>
      <c r="I147" s="140"/>
      <c r="J147" s="328">
        <f>H147/DAY(B2)</f>
        <v>394.14285714285717</v>
      </c>
    </row>
    <row r="148" spans="1:10" ht="25.5">
      <c r="A148" s="1257" t="s">
        <v>193</v>
      </c>
      <c r="B148" s="1258"/>
      <c r="C148" s="1259"/>
      <c r="D148" s="123" t="s">
        <v>130</v>
      </c>
      <c r="E148" s="95">
        <f>'6'!F148</f>
        <v>768194</v>
      </c>
      <c r="F148" s="150">
        <v>768486</v>
      </c>
      <c r="G148" s="112">
        <f t="shared" si="11"/>
        <v>292</v>
      </c>
      <c r="H148" s="99">
        <f>G148+'6'!H148</f>
        <v>1876</v>
      </c>
      <c r="I148" s="124"/>
      <c r="J148" s="328">
        <f>H148/DAY(B2)</f>
        <v>268</v>
      </c>
    </row>
    <row r="149" spans="1:10" ht="25.5">
      <c r="A149" s="1257" t="s">
        <v>336</v>
      </c>
      <c r="B149" s="1258"/>
      <c r="C149" s="1259"/>
      <c r="D149" s="227" t="s">
        <v>130</v>
      </c>
      <c r="E149" s="95">
        <f>'6'!F149</f>
        <v>160481</v>
      </c>
      <c r="F149" s="146">
        <v>160889</v>
      </c>
      <c r="G149" s="112">
        <f t="shared" si="11"/>
        <v>408</v>
      </c>
      <c r="H149" s="99">
        <f>G149+'6'!H149</f>
        <v>2922</v>
      </c>
      <c r="I149" s="119"/>
      <c r="J149" s="328">
        <f>H149/DAY(B2)</f>
        <v>417.42857142857144</v>
      </c>
    </row>
    <row r="150" spans="1:10" ht="25.5">
      <c r="A150" s="1257" t="s">
        <v>337</v>
      </c>
      <c r="B150" s="1258"/>
      <c r="C150" s="1259"/>
      <c r="D150" s="117" t="s">
        <v>130</v>
      </c>
      <c r="E150" s="95">
        <f>'6'!F150</f>
        <v>65303</v>
      </c>
      <c r="F150" s="233">
        <v>65533</v>
      </c>
      <c r="G150" s="112">
        <f t="shared" si="11"/>
        <v>230</v>
      </c>
      <c r="H150" s="99">
        <f>G150+'6'!H150</f>
        <v>1555</v>
      </c>
      <c r="I150" s="119"/>
      <c r="J150" s="328">
        <f>H150/DAY(B2)</f>
        <v>222.14285714285714</v>
      </c>
    </row>
    <row r="151" spans="1:10" ht="25.5">
      <c r="A151" s="1257" t="s">
        <v>338</v>
      </c>
      <c r="B151" s="1258"/>
      <c r="C151" s="1259"/>
      <c r="D151" s="117" t="s">
        <v>130</v>
      </c>
      <c r="E151" s="95">
        <f>'6'!F151</f>
        <v>150057</v>
      </c>
      <c r="F151" s="233">
        <v>150145</v>
      </c>
      <c r="G151" s="112">
        <f t="shared" si="11"/>
        <v>88</v>
      </c>
      <c r="H151" s="99">
        <f>G151+'6'!H151</f>
        <v>357</v>
      </c>
      <c r="I151" s="119"/>
      <c r="J151" s="328">
        <f>H151/DAY(B2)</f>
        <v>51</v>
      </c>
    </row>
    <row r="152" spans="1:10" ht="25.5">
      <c r="A152" s="1257" t="s">
        <v>339</v>
      </c>
      <c r="B152" s="1258"/>
      <c r="C152" s="1259"/>
      <c r="D152" s="117" t="s">
        <v>130</v>
      </c>
      <c r="E152" s="95">
        <f>'6'!F152</f>
        <v>31383</v>
      </c>
      <c r="F152" s="233">
        <v>31509</v>
      </c>
      <c r="G152" s="112">
        <f t="shared" si="11"/>
        <v>126</v>
      </c>
      <c r="H152" s="99">
        <f>G152+'6'!H152</f>
        <v>895</v>
      </c>
      <c r="I152" s="119"/>
      <c r="J152" s="328">
        <f>H152/DAY(B2)</f>
        <v>127.85714285714286</v>
      </c>
    </row>
    <row r="153" spans="1:10" ht="25.5">
      <c r="A153" s="1261" t="s">
        <v>196</v>
      </c>
      <c r="B153" s="1262"/>
      <c r="C153" s="362"/>
      <c r="D153" s="355"/>
      <c r="E153" s="357"/>
      <c r="F153" s="358"/>
      <c r="G153" s="359">
        <f>SUM(G138:G152)</f>
        <v>2702</v>
      </c>
      <c r="H153" s="360"/>
      <c r="I153" s="119" t="s">
        <v>207</v>
      </c>
      <c r="J153" s="363"/>
    </row>
    <row r="154" spans="1:10" ht="27.75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0" ht="27.75">
      <c r="A155" s="1256" t="s">
        <v>345</v>
      </c>
      <c r="B155" s="1256"/>
      <c r="C155" s="1256"/>
      <c r="D155" s="117" t="s">
        <v>130</v>
      </c>
      <c r="E155" s="95">
        <f>'6'!F155</f>
        <v>189036</v>
      </c>
      <c r="F155" s="365">
        <v>189580</v>
      </c>
      <c r="G155" s="112">
        <f t="shared" ref="G155:G158" si="12">F155-E155</f>
        <v>544</v>
      </c>
      <c r="H155" s="99">
        <f>G155+'6'!H155</f>
        <v>3839</v>
      </c>
      <c r="I155" s="361"/>
      <c r="J155" s="328">
        <f>H155/DAY(B2)</f>
        <v>548.42857142857144</v>
      </c>
    </row>
    <row r="156" spans="1:10" ht="25.5">
      <c r="A156" s="1256" t="s">
        <v>346</v>
      </c>
      <c r="B156" s="1256"/>
      <c r="C156" s="1256"/>
      <c r="D156" s="117" t="s">
        <v>130</v>
      </c>
      <c r="E156" s="95">
        <f>'6'!F156</f>
        <v>21291</v>
      </c>
      <c r="F156" s="155">
        <v>21389</v>
      </c>
      <c r="G156" s="112">
        <f t="shared" si="12"/>
        <v>98</v>
      </c>
      <c r="H156" s="99">
        <f>G156+'6'!H156</f>
        <v>650</v>
      </c>
      <c r="I156" s="165"/>
      <c r="J156" s="328">
        <f>H156/DAY(B2)</f>
        <v>92.857142857142861</v>
      </c>
    </row>
    <row r="157" spans="1:10" ht="25.5">
      <c r="A157" s="1257" t="s">
        <v>358</v>
      </c>
      <c r="B157" s="1258"/>
      <c r="C157" s="1259"/>
      <c r="D157" s="117" t="s">
        <v>130</v>
      </c>
      <c r="E157" s="95">
        <f>'6'!F157</f>
        <v>36892</v>
      </c>
      <c r="F157" s="155">
        <v>37021</v>
      </c>
      <c r="G157" s="112">
        <f t="shared" si="12"/>
        <v>129</v>
      </c>
      <c r="H157" s="99">
        <f>G157+'6'!H157</f>
        <v>897</v>
      </c>
      <c r="I157" s="165"/>
      <c r="J157" s="328">
        <f>H157/DAY(B2)</f>
        <v>128.14285714285714</v>
      </c>
    </row>
    <row r="158" spans="1:10" ht="25.5">
      <c r="A158" s="1257" t="s">
        <v>359</v>
      </c>
      <c r="B158" s="1258"/>
      <c r="C158" s="1259"/>
      <c r="D158" s="117" t="s">
        <v>130</v>
      </c>
      <c r="E158" s="95">
        <f>'6'!F158</f>
        <v>655.64</v>
      </c>
      <c r="F158" s="155">
        <v>673</v>
      </c>
      <c r="G158" s="112">
        <f t="shared" si="12"/>
        <v>17.360000000000014</v>
      </c>
      <c r="H158" s="99">
        <f>G158+'6'!H158</f>
        <v>168.37</v>
      </c>
      <c r="I158" s="165"/>
      <c r="J158" s="328">
        <f>H158/DAY(B2)</f>
        <v>24.052857142857142</v>
      </c>
    </row>
    <row r="159" spans="1:10" ht="25.5">
      <c r="A159" s="1263"/>
      <c r="B159" s="1264"/>
      <c r="C159" s="1265"/>
      <c r="D159" s="117"/>
      <c r="E159" s="95"/>
      <c r="F159" s="165"/>
      <c r="G159" s="112"/>
      <c r="H159" s="99"/>
      <c r="I159" s="165"/>
      <c r="J159" s="328"/>
    </row>
    <row r="160" spans="1:10" ht="27.75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26.25">
      <c r="A161" s="242" t="s">
        <v>92</v>
      </c>
      <c r="B161" s="243"/>
      <c r="C161" s="243"/>
      <c r="D161" s="244" t="s">
        <v>180</v>
      </c>
      <c r="E161" s="95">
        <f>'6'!F161</f>
        <v>490091</v>
      </c>
      <c r="F161" s="235">
        <v>490363</v>
      </c>
      <c r="G161" s="238">
        <f t="shared" ref="G161:G165" si="13">F161-E161</f>
        <v>272</v>
      </c>
      <c r="H161" s="99">
        <f>G161+'6'!H161</f>
        <v>2040</v>
      </c>
      <c r="I161" s="236"/>
      <c r="J161" s="239">
        <f>H161/DAY(B2)</f>
        <v>291.42857142857144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'6'!F162</f>
        <v>97515</v>
      </c>
      <c r="F162" s="235">
        <v>97549</v>
      </c>
      <c r="G162" s="238">
        <f t="shared" si="13"/>
        <v>34</v>
      </c>
      <c r="H162" s="99">
        <f>G162+'6'!H162</f>
        <v>261</v>
      </c>
      <c r="I162" s="236"/>
      <c r="J162" s="239">
        <f>H162/DAY(B2)</f>
        <v>37.285714285714285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'6'!F163</f>
        <v>14838</v>
      </c>
      <c r="F163" s="235">
        <v>14961</v>
      </c>
      <c r="G163" s="238">
        <f t="shared" si="13"/>
        <v>123</v>
      </c>
      <c r="H163" s="99">
        <f>G163+'6'!H163</f>
        <v>797</v>
      </c>
      <c r="I163" s="236"/>
      <c r="J163" s="239">
        <f>H163/DAY(B2)</f>
        <v>113.85714285714286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6654</v>
      </c>
      <c r="F164" s="235">
        <v>6662</v>
      </c>
      <c r="G164" s="238">
        <f t="shared" si="13"/>
        <v>8</v>
      </c>
      <c r="H164" s="99">
        <f>G164+'6'!H164</f>
        <v>50</v>
      </c>
      <c r="I164" s="236"/>
      <c r="J164" s="239">
        <f>H164/DAY(B2)</f>
        <v>7.1428571428571432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32181</v>
      </c>
      <c r="F165" s="235">
        <v>32188</v>
      </c>
      <c r="G165" s="238">
        <f t="shared" si="13"/>
        <v>7</v>
      </c>
      <c r="H165" s="99">
        <f>G165+'6'!H165</f>
        <v>47</v>
      </c>
      <c r="I165" s="236"/>
      <c r="J165" s="239">
        <f>H165/DAY(B2)</f>
        <v>6.7142857142857144</v>
      </c>
    </row>
    <row r="166" spans="1:10" ht="25.5" customHeight="1">
      <c r="A166" s="1274"/>
      <c r="B166" s="1274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6.25">
      <c r="A167" s="1274"/>
      <c r="B167" s="1274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6.25">
      <c r="A168" s="1274"/>
      <c r="B168" s="1274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5.5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54" t="s">
        <v>209</v>
      </c>
      <c r="B173" s="1255"/>
      <c r="C173" s="333"/>
      <c r="D173" s="228" t="s">
        <v>142</v>
      </c>
      <c r="E173" s="95">
        <f>'6'!F173</f>
        <v>8591</v>
      </c>
      <c r="F173" s="155">
        <v>8591</v>
      </c>
      <c r="G173" s="155">
        <f>F173-E173</f>
        <v>0</v>
      </c>
      <c r="H173" s="99">
        <f>G173+'6'!H173</f>
        <v>10</v>
      </c>
      <c r="I173" s="155"/>
      <c r="J173" s="178">
        <f>H173/DAY(B2)</f>
        <v>1.4285714285714286</v>
      </c>
    </row>
    <row r="174" spans="1:10" ht="25.5">
      <c r="A174" s="1254" t="s">
        <v>75</v>
      </c>
      <c r="B174" s="1255"/>
      <c r="C174" s="333"/>
      <c r="D174" s="228" t="s">
        <v>142</v>
      </c>
      <c r="E174" s="95">
        <f>'6'!F174</f>
        <v>42034</v>
      </c>
      <c r="F174" s="157">
        <v>42046</v>
      </c>
      <c r="G174" s="155">
        <f t="shared" ref="G174:G175" si="14">F174-E174</f>
        <v>12</v>
      </c>
      <c r="H174" s="99">
        <f>G174+'6'!H174</f>
        <v>84</v>
      </c>
      <c r="I174" s="155"/>
      <c r="J174" s="178">
        <f>H174/DAY(B2)</f>
        <v>12</v>
      </c>
    </row>
    <row r="175" spans="1:10" ht="25.5">
      <c r="A175" s="1254" t="s">
        <v>76</v>
      </c>
      <c r="B175" s="1324"/>
      <c r="C175" s="1255"/>
      <c r="D175" s="228" t="s">
        <v>142</v>
      </c>
      <c r="E175" s="95">
        <f>'6'!F175</f>
        <v>24764</v>
      </c>
      <c r="F175" s="155">
        <v>24773</v>
      </c>
      <c r="G175" s="155">
        <f t="shared" si="14"/>
        <v>9</v>
      </c>
      <c r="H175" s="99">
        <f>G175+'6'!H175</f>
        <v>76</v>
      </c>
      <c r="I175" s="155"/>
      <c r="J175" s="178">
        <f>H175/DAY(B2)</f>
        <v>10.857142857142858</v>
      </c>
    </row>
    <row r="176" spans="1:10" ht="25.5">
      <c r="A176" s="441" t="s">
        <v>196</v>
      </c>
      <c r="B176" s="442"/>
      <c r="C176" s="333"/>
      <c r="D176" s="228" t="s">
        <v>142</v>
      </c>
      <c r="E176" s="95"/>
      <c r="F176" s="155"/>
      <c r="G176" s="155">
        <f>SUM(G173:G175)</f>
        <v>21</v>
      </c>
      <c r="H176" s="99">
        <f>G176+'6'!H176</f>
        <v>170</v>
      </c>
      <c r="I176" s="155"/>
      <c r="J176" s="178">
        <f>H176/DAY(B2)</f>
        <v>24.285714285714285</v>
      </c>
    </row>
    <row r="177" spans="1:10" ht="25.5">
      <c r="A177" s="1254" t="s">
        <v>77</v>
      </c>
      <c r="B177" s="1255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5.5">
      <c r="A178" s="1254" t="s">
        <v>210</v>
      </c>
      <c r="B178" s="1255"/>
      <c r="C178" s="333"/>
      <c r="D178" s="228" t="s">
        <v>142</v>
      </c>
      <c r="E178" s="95">
        <f>'6'!F178</f>
        <v>102114</v>
      </c>
      <c r="F178" s="155">
        <v>102114</v>
      </c>
      <c r="G178" s="155">
        <f>F178-E178</f>
        <v>0</v>
      </c>
      <c r="H178" s="99">
        <f>G178+'6'!H178</f>
        <v>0</v>
      </c>
      <c r="I178" s="155"/>
      <c r="J178" s="178">
        <f>H178/DAY(B2)</f>
        <v>0</v>
      </c>
    </row>
    <row r="179" spans="1:10" ht="25.5">
      <c r="A179" s="1254" t="s">
        <v>211</v>
      </c>
      <c r="B179" s="1255"/>
      <c r="C179" s="333"/>
      <c r="D179" s="228" t="s">
        <v>142</v>
      </c>
      <c r="E179" s="95">
        <f>'6'!F179</f>
        <v>37501</v>
      </c>
      <c r="F179" s="155">
        <v>37501</v>
      </c>
      <c r="G179" s="155">
        <f t="shared" ref="G179:G180" si="15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5.5">
      <c r="A180" s="1254" t="s">
        <v>212</v>
      </c>
      <c r="B180" s="1255"/>
      <c r="C180" s="333"/>
      <c r="D180" s="228" t="s">
        <v>142</v>
      </c>
      <c r="E180" s="95">
        <f>'6'!F180</f>
        <v>7231</v>
      </c>
      <c r="F180" s="155">
        <v>7231</v>
      </c>
      <c r="G180" s="155">
        <f t="shared" si="15"/>
        <v>0</v>
      </c>
      <c r="H180" s="99">
        <f>G180+'6'!H180</f>
        <v>0</v>
      </c>
      <c r="I180" s="155"/>
      <c r="J180" s="178">
        <f>H180/DAY(B2)</f>
        <v>0</v>
      </c>
    </row>
    <row r="181" spans="1:10" ht="25.5">
      <c r="A181" s="1325" t="s">
        <v>108</v>
      </c>
      <c r="B181" s="1326"/>
      <c r="C181" s="333"/>
      <c r="D181" s="228" t="s">
        <v>142</v>
      </c>
      <c r="E181" s="95"/>
      <c r="F181" s="155"/>
      <c r="G181" s="155">
        <f>SUM(G178:G180)</f>
        <v>0</v>
      </c>
      <c r="H181" s="99">
        <f>G181+'6'!H181</f>
        <v>0</v>
      </c>
      <c r="I181" s="155"/>
      <c r="J181" s="178">
        <f>H181/DAY(B2)</f>
        <v>0</v>
      </c>
    </row>
    <row r="182" spans="1:10" ht="25.5">
      <c r="A182" s="1254" t="s">
        <v>213</v>
      </c>
      <c r="B182" s="1255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5.5">
      <c r="A183" s="1254" t="s">
        <v>214</v>
      </c>
      <c r="B183" s="1255"/>
      <c r="C183" s="334"/>
      <c r="D183" s="228" t="s">
        <v>142</v>
      </c>
      <c r="E183" s="95">
        <f>'6'!F183</f>
        <v>17874</v>
      </c>
      <c r="F183" s="157">
        <v>17876</v>
      </c>
      <c r="G183" s="157">
        <f>F183-E183</f>
        <v>2</v>
      </c>
      <c r="H183" s="99">
        <f>G183+'6'!H183</f>
        <v>28</v>
      </c>
      <c r="I183" s="155"/>
      <c r="J183" s="178">
        <f>H183/DAY(B2)</f>
        <v>4</v>
      </c>
    </row>
    <row r="184" spans="1:10" ht="25.5">
      <c r="A184" s="1254" t="s">
        <v>215</v>
      </c>
      <c r="B184" s="1255"/>
      <c r="C184" s="334"/>
      <c r="D184" s="228" t="s">
        <v>142</v>
      </c>
      <c r="E184" s="95">
        <f>'6'!F184</f>
        <v>12393</v>
      </c>
      <c r="F184" s="157">
        <v>12398</v>
      </c>
      <c r="G184" s="157">
        <f t="shared" ref="G184:G185" si="16">F184-E184</f>
        <v>5</v>
      </c>
      <c r="H184" s="99">
        <f>G184+'6'!H184</f>
        <v>49</v>
      </c>
      <c r="I184" s="155"/>
      <c r="J184" s="178">
        <f>H184/DAY(B2)</f>
        <v>7</v>
      </c>
    </row>
    <row r="185" spans="1:10" ht="25.5">
      <c r="A185" s="1254" t="s">
        <v>216</v>
      </c>
      <c r="B185" s="1255"/>
      <c r="C185" s="334"/>
      <c r="D185" s="228" t="s">
        <v>142</v>
      </c>
      <c r="E185" s="95">
        <f>'6'!F185</f>
        <v>0</v>
      </c>
      <c r="F185" s="157"/>
      <c r="G185" s="157">
        <f t="shared" si="16"/>
        <v>0</v>
      </c>
      <c r="H185" s="99">
        <f>G185+'6'!H185</f>
        <v>0</v>
      </c>
      <c r="I185" s="155"/>
      <c r="J185" s="178">
        <f>H185/DAY(B2)</f>
        <v>0</v>
      </c>
    </row>
    <row r="186" spans="1:10" ht="25.5">
      <c r="A186" s="1261" t="s">
        <v>196</v>
      </c>
      <c r="B186" s="1262"/>
      <c r="C186" s="334"/>
      <c r="D186" s="228" t="s">
        <v>142</v>
      </c>
      <c r="E186" s="95"/>
      <c r="F186" s="157"/>
      <c r="G186" s="157">
        <f>SUM(G183:G185)</f>
        <v>7</v>
      </c>
      <c r="H186" s="99">
        <f>G186+'6'!H186</f>
        <v>77</v>
      </c>
      <c r="I186" s="157"/>
      <c r="J186" s="178">
        <f>H186/DAY(B2)</f>
        <v>11</v>
      </c>
    </row>
    <row r="187" spans="1:10" ht="25.5">
      <c r="A187" s="1250" t="s">
        <v>217</v>
      </c>
      <c r="B187" s="1251"/>
      <c r="C187" s="333"/>
      <c r="D187" s="228" t="s">
        <v>142</v>
      </c>
      <c r="E187" s="95"/>
      <c r="F187" s="159"/>
      <c r="G187" s="367">
        <f>G62+G19</f>
        <v>151</v>
      </c>
      <c r="H187" s="99">
        <f>G187+'6'!H187</f>
        <v>978</v>
      </c>
      <c r="I187" s="158"/>
      <c r="J187" s="179">
        <f>H187/DAY(B2)</f>
        <v>139.71428571428572</v>
      </c>
    </row>
    <row r="188" spans="1:10" ht="25.5">
      <c r="A188" s="1250" t="s">
        <v>218</v>
      </c>
      <c r="B188" s="1251"/>
      <c r="C188" s="333"/>
      <c r="D188" s="230" t="s">
        <v>142</v>
      </c>
      <c r="E188" s="95"/>
      <c r="F188" s="159"/>
      <c r="G188" s="367">
        <f>G65+G66+G67+G69+G70</f>
        <v>149</v>
      </c>
      <c r="H188" s="99">
        <f>G188+'6'!H188</f>
        <v>1004</v>
      </c>
      <c r="I188" s="158"/>
      <c r="J188" s="179">
        <f>H188/DAY(B2)</f>
        <v>143.42857142857142</v>
      </c>
    </row>
    <row r="189" spans="1:10" ht="25.5">
      <c r="A189" s="1250" t="s">
        <v>219</v>
      </c>
      <c r="B189" s="1251"/>
      <c r="C189" s="333"/>
      <c r="D189" s="230" t="s">
        <v>142</v>
      </c>
      <c r="E189" s="95"/>
      <c r="F189" s="157"/>
      <c r="G189" s="366">
        <f>G181</f>
        <v>0</v>
      </c>
      <c r="H189" s="99">
        <f>G189+'6'!H189</f>
        <v>0</v>
      </c>
      <c r="I189" s="158"/>
      <c r="J189" s="179">
        <f>H189/DAY(B2)</f>
        <v>0</v>
      </c>
    </row>
    <row r="190" spans="1:10" ht="25.5">
      <c r="A190" s="1252"/>
      <c r="B190" s="1253"/>
      <c r="C190" s="376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22" zoomScale="55" zoomScaleSheetLayoutView="55" workbookViewId="0">
      <selection activeCell="E138" sqref="E13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6" s="57" customFormat="1" ht="23.25">
      <c r="A2" s="191" t="s">
        <v>354</v>
      </c>
      <c r="B2" s="262">
        <v>44842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'7'!F7</f>
        <v>55804</v>
      </c>
      <c r="F7" s="95">
        <v>80633</v>
      </c>
      <c r="G7" s="112">
        <f>F7-E7</f>
        <v>24829</v>
      </c>
      <c r="H7" s="99">
        <f>G7+'7'!H7</f>
        <v>198797</v>
      </c>
      <c r="I7" s="113">
        <f>'1'!I7</f>
        <v>12000</v>
      </c>
      <c r="J7" s="175">
        <f>H7/DAY(B2)</f>
        <v>24849.625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'7'!F8</f>
        <v>225831</v>
      </c>
      <c r="F8" s="95">
        <v>250900</v>
      </c>
      <c r="G8" s="115">
        <f>F8-E8</f>
        <v>25069</v>
      </c>
      <c r="H8" s="99">
        <f>G8+'7'!H8</f>
        <v>201520</v>
      </c>
      <c r="I8" s="116"/>
      <c r="J8" s="175">
        <f>H8/DAY(B2)</f>
        <v>25190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'7'!F9</f>
        <v>3750465</v>
      </c>
      <c r="F9" s="117">
        <v>3756337</v>
      </c>
      <c r="G9" s="112">
        <f>F9-E9</f>
        <v>5872</v>
      </c>
      <c r="H9" s="99">
        <f>G9+'7'!H9</f>
        <v>49630</v>
      </c>
      <c r="I9" s="124">
        <f>I7-J7</f>
        <v>-12849.625</v>
      </c>
      <c r="J9" s="175">
        <f>H9/DAY(B2)</f>
        <v>6203.75</v>
      </c>
      <c r="K9" s="79">
        <f>K8-100</f>
        <v>1715817</v>
      </c>
      <c r="L9" s="66"/>
      <c r="N9" s="87"/>
      <c r="O9" s="71"/>
      <c r="P9" s="71"/>
    </row>
    <row r="10" spans="1:16" ht="26.25">
      <c r="A10" s="194" t="s">
        <v>133</v>
      </c>
      <c r="B10" s="195"/>
      <c r="C10" s="195"/>
      <c r="D10" s="151" t="s">
        <v>130</v>
      </c>
      <c r="E10" s="95">
        <f>'7'!F10</f>
        <v>2868419</v>
      </c>
      <c r="F10" s="117">
        <v>2886735</v>
      </c>
      <c r="G10" s="112">
        <f t="shared" ref="G10:G12" si="0">F10-E10</f>
        <v>18316</v>
      </c>
      <c r="H10" s="99">
        <f>G10+'7'!H10</f>
        <v>144041</v>
      </c>
      <c r="I10" s="282"/>
      <c r="J10" s="175">
        <f>H10/DAY(B2)</f>
        <v>18005.125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'7'!F11</f>
        <v>37560</v>
      </c>
      <c r="F11" s="95">
        <v>37560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'7'!F12</f>
        <v>40380</v>
      </c>
      <c r="F12" s="117">
        <v>40380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24188</v>
      </c>
      <c r="H13" s="99">
        <f>G13+'7'!H13</f>
        <v>195131</v>
      </c>
      <c r="I13" s="120">
        <f>G7-G13</f>
        <v>641</v>
      </c>
      <c r="J13" s="175">
        <f>H13/DAY(B2)</f>
        <v>24391.375</v>
      </c>
      <c r="K13" s="79"/>
      <c r="L13" s="66"/>
      <c r="N13" s="87"/>
      <c r="O13" s="71"/>
    </row>
    <row r="14" spans="1:16" ht="26.25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'7'!F15</f>
        <v>2168499</v>
      </c>
      <c r="F15" s="447">
        <v>2169520</v>
      </c>
      <c r="G15" s="112">
        <f>(F15-E15)</f>
        <v>1021</v>
      </c>
      <c r="H15" s="99">
        <f>G15+'7'!H15</f>
        <v>8005</v>
      </c>
      <c r="I15" s="113">
        <f>'1'!I15</f>
        <v>800</v>
      </c>
      <c r="J15" s="175">
        <f>H15/DAY(B2)</f>
        <v>1000.625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-200.625</v>
      </c>
      <c r="J16" s="176"/>
      <c r="K16" s="79"/>
      <c r="L16" s="66"/>
      <c r="N16" s="87"/>
      <c r="O16" s="71"/>
    </row>
    <row r="17" spans="1:15" ht="26.25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81" t="s">
        <v>141</v>
      </c>
      <c r="B18" s="1282"/>
      <c r="C18" s="1283"/>
      <c r="D18" s="151" t="s">
        <v>142</v>
      </c>
      <c r="E18" s="95">
        <f>'7'!F18</f>
        <v>24</v>
      </c>
      <c r="F18" s="122">
        <v>24</v>
      </c>
      <c r="G18" s="119">
        <f>F18*10</f>
        <v>240</v>
      </c>
      <c r="H18" s="99">
        <f>G18+'7'!H18</f>
        <v>1880</v>
      </c>
      <c r="I18" s="113">
        <f>'1'!I18</f>
        <v>65</v>
      </c>
      <c r="J18" s="175">
        <f>H18/DAY(B2)</f>
        <v>235</v>
      </c>
      <c r="K18" s="79"/>
      <c r="L18" s="66"/>
      <c r="N18" s="87"/>
      <c r="O18" s="71"/>
    </row>
    <row r="19" spans="1:15" ht="25.5">
      <c r="A19" s="1281" t="s">
        <v>69</v>
      </c>
      <c r="B19" s="1282"/>
      <c r="C19" s="1283"/>
      <c r="D19" s="151" t="s">
        <v>142</v>
      </c>
      <c r="E19" s="95">
        <f>'7'!F19</f>
        <v>165814</v>
      </c>
      <c r="F19" s="122">
        <v>165871</v>
      </c>
      <c r="G19" s="112">
        <f t="shared" ref="G19" si="1">F19-E19</f>
        <v>57</v>
      </c>
      <c r="H19" s="99">
        <f>G19+'7'!H19</f>
        <v>430</v>
      </c>
      <c r="I19" s="335"/>
      <c r="J19" s="175">
        <f>H19/DAY(B2)</f>
        <v>53.75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297</v>
      </c>
      <c r="H20" s="99">
        <f>G20+'7'!H20</f>
        <v>2310</v>
      </c>
      <c r="I20" s="336">
        <f>I18-J20</f>
        <v>-223.75</v>
      </c>
      <c r="J20" s="175">
        <f>H20/DAY(B2)</f>
        <v>288.75</v>
      </c>
      <c r="K20" s="79"/>
      <c r="L20" s="66"/>
      <c r="N20" s="87"/>
      <c r="O20" s="71"/>
    </row>
    <row r="21" spans="1:15" ht="26.25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'7'!F23</f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25069</v>
      </c>
      <c r="F27" s="136">
        <v>10</v>
      </c>
      <c r="G27" s="137">
        <f>E27*F27</f>
        <v>250690</v>
      </c>
      <c r="H27" s="99">
        <f>G27+'7'!H27</f>
        <v>2015200</v>
      </c>
      <c r="I27" s="138"/>
      <c r="J27" s="175">
        <f>H27/DAY(B2)</f>
        <v>251900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1021</v>
      </c>
      <c r="F28" s="136">
        <v>75</v>
      </c>
      <c r="G28" s="137">
        <f>E28*F28</f>
        <v>76575</v>
      </c>
      <c r="H28" s="99">
        <f>G28+'7'!H28</f>
        <v>600375</v>
      </c>
      <c r="I28" s="140"/>
      <c r="J28" s="175">
        <f>H28/DAY(B2)</f>
        <v>75046.875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151</v>
      </c>
      <c r="G30" s="137">
        <f>E30*F30</f>
        <v>8607</v>
      </c>
      <c r="H30" s="99">
        <f>G30+'7'!H30</f>
        <v>64930</v>
      </c>
      <c r="I30" s="140"/>
      <c r="J30" s="175">
        <f>H30/DAY(B2)</f>
        <v>8116.25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85</v>
      </c>
      <c r="G31" s="137">
        <f>E31*F31</f>
        <v>20400</v>
      </c>
      <c r="H31" s="99">
        <f>G31+'7'!H31</f>
        <v>156650</v>
      </c>
      <c r="I31" s="140"/>
      <c r="J31" s="175">
        <f>H31/DAY(B2)</f>
        <v>19581.25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356272</v>
      </c>
      <c r="H32" s="99">
        <f>G32+'7'!H32</f>
        <v>2837155</v>
      </c>
      <c r="I32" s="144"/>
      <c r="J32" s="175">
        <f>H32/DAY(B2)</f>
        <v>354644.375</v>
      </c>
      <c r="K32" s="63"/>
      <c r="L32" s="89"/>
      <c r="N32" s="87"/>
      <c r="O32" s="71"/>
    </row>
    <row r="33" spans="1:15" ht="25.5" customHeight="1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'7'!F35</f>
        <v>238713</v>
      </c>
      <c r="F35" s="145">
        <v>238713.05</v>
      </c>
      <c r="G35" s="112">
        <f t="shared" ref="G35:G46" si="3">F35-E35</f>
        <v>4.9999999988358468E-2</v>
      </c>
      <c r="H35" s="99">
        <f>G35+'7'!H35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'7'!F36</f>
        <v>274630</v>
      </c>
      <c r="F36" s="145">
        <v>275493</v>
      </c>
      <c r="G36" s="112">
        <f t="shared" si="3"/>
        <v>863</v>
      </c>
      <c r="H36" s="99">
        <f>G36+'7'!H36</f>
        <v>6010</v>
      </c>
      <c r="I36" s="95"/>
      <c r="J36" s="175">
        <f>H36/DAY(B2)</f>
        <v>751.25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'7'!F37</f>
        <v>322998.69</v>
      </c>
      <c r="F37" s="145">
        <v>322998.69</v>
      </c>
      <c r="G37" s="112">
        <f t="shared" si="3"/>
        <v>0</v>
      </c>
      <c r="H37" s="99">
        <f>G37+'7'!H37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'7'!F38</f>
        <v>609315</v>
      </c>
      <c r="F38" s="108">
        <v>611625</v>
      </c>
      <c r="G38" s="112">
        <f t="shared" si="3"/>
        <v>2310</v>
      </c>
      <c r="H38" s="99">
        <f>G38+'7'!H38</f>
        <v>17908</v>
      </c>
      <c r="I38" s="95"/>
      <c r="J38" s="175">
        <f>H38/DAY(B2)</f>
        <v>2238.5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'7'!F39</f>
        <v>591584</v>
      </c>
      <c r="F39" s="145">
        <v>591584.18999999994</v>
      </c>
      <c r="G39" s="112">
        <f t="shared" si="3"/>
        <v>0.18999999994412065</v>
      </c>
      <c r="H39" s="99">
        <f>G39+'7'!H39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'7'!F40</f>
        <v>163249</v>
      </c>
      <c r="F40" s="145">
        <v>163969</v>
      </c>
      <c r="G40" s="112">
        <f t="shared" si="3"/>
        <v>720</v>
      </c>
      <c r="H40" s="99">
        <f>G40+'7'!H40</f>
        <v>5989</v>
      </c>
      <c r="I40" s="95"/>
      <c r="J40" s="175">
        <f>H40/DAY(B2)</f>
        <v>748.625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'7'!F41</f>
        <v>381352</v>
      </c>
      <c r="F41" s="145">
        <v>382352</v>
      </c>
      <c r="G41" s="112">
        <f t="shared" si="3"/>
        <v>1000</v>
      </c>
      <c r="H41" s="99">
        <f>G41+'7'!H41</f>
        <v>1000</v>
      </c>
      <c r="I41" s="95"/>
      <c r="J41" s="175">
        <f>H41/DAY(B2)</f>
        <v>125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'7'!F42</f>
        <v>848946</v>
      </c>
      <c r="F42" s="145">
        <v>851745</v>
      </c>
      <c r="G42" s="112">
        <f t="shared" si="3"/>
        <v>2799</v>
      </c>
      <c r="H42" s="99">
        <f>G42+'7'!H42</f>
        <v>26658</v>
      </c>
      <c r="I42" s="95"/>
      <c r="J42" s="175">
        <f>H42/DAY(B2)</f>
        <v>3332.25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'7'!F43</f>
        <v>407028</v>
      </c>
      <c r="F43" s="145">
        <v>407028</v>
      </c>
      <c r="G43" s="112">
        <f t="shared" si="3"/>
        <v>0</v>
      </c>
      <c r="H43" s="99">
        <f>G43+'7'!H43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7692.2399999999325</v>
      </c>
      <c r="H47" s="99">
        <f>G47+'7'!H47</f>
        <v>57565</v>
      </c>
      <c r="I47" s="95"/>
      <c r="J47" s="175">
        <f>H47/DAY(B2)</f>
        <v>7195.625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'7'!F49</f>
        <v>746436</v>
      </c>
      <c r="F49" s="145">
        <v>750087</v>
      </c>
      <c r="G49" s="112">
        <f t="shared" ref="G49:G58" si="4">F49-E49</f>
        <v>3651</v>
      </c>
      <c r="H49" s="99">
        <f>G49+'7'!H49</f>
        <v>29800</v>
      </c>
      <c r="I49" s="95"/>
      <c r="J49" s="175">
        <f>H49/DAY(B2)</f>
        <v>3725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'7'!F50</f>
        <v>376255</v>
      </c>
      <c r="F50" s="145">
        <v>377502</v>
      </c>
      <c r="G50" s="112">
        <f t="shared" si="4"/>
        <v>1247</v>
      </c>
      <c r="H50" s="99">
        <f>G50+'7'!H50</f>
        <v>11731</v>
      </c>
      <c r="I50" s="95"/>
      <c r="J50" s="175">
        <f>H50/DAY(B2)</f>
        <v>1466.375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'7'!F51</f>
        <v>78819</v>
      </c>
      <c r="F51" s="145">
        <v>79887</v>
      </c>
      <c r="G51" s="112">
        <f t="shared" si="4"/>
        <v>1068</v>
      </c>
      <c r="H51" s="99">
        <f>G51+'7'!H51</f>
        <v>8160</v>
      </c>
      <c r="I51" s="95"/>
      <c r="J51" s="175">
        <f>H51/DAY(B2)</f>
        <v>1020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9.76</v>
      </c>
      <c r="G52" s="112">
        <f t="shared" si="4"/>
        <v>0</v>
      </c>
      <c r="H52" s="99">
        <f>G52+'7'!H52</f>
        <v>-0.24000000000000021</v>
      </c>
      <c r="I52" s="95"/>
      <c r="J52" s="175">
        <f>H52/DAY(B2)</f>
        <v>-3.0000000000000027E-2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'7'!F53</f>
        <v>323476</v>
      </c>
      <c r="F53" s="145">
        <v>327806</v>
      </c>
      <c r="G53" s="112">
        <f t="shared" si="4"/>
        <v>4330</v>
      </c>
      <c r="H53" s="99">
        <f>G53+'7'!H53</f>
        <v>33705</v>
      </c>
      <c r="I53" s="95"/>
      <c r="J53" s="175">
        <f>H53/DAY(B2)</f>
        <v>4213.125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'7'!F54</f>
        <v>102606</v>
      </c>
      <c r="F54" s="145">
        <v>102775</v>
      </c>
      <c r="G54" s="112">
        <f t="shared" si="4"/>
        <v>169</v>
      </c>
      <c r="H54" s="99">
        <f>G54+'7'!H54</f>
        <v>1388</v>
      </c>
      <c r="I54" s="95"/>
      <c r="J54" s="175">
        <f>H54/DAY(B2)</f>
        <v>173.5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'7'!F55</f>
        <v>510450</v>
      </c>
      <c r="F55" s="145">
        <v>513798.63</v>
      </c>
      <c r="G55" s="112">
        <f t="shared" si="4"/>
        <v>3348.6300000000047</v>
      </c>
      <c r="H55" s="99">
        <f>G55+'7'!H55</f>
        <v>19315.630000000005</v>
      </c>
      <c r="I55" s="95"/>
      <c r="J55" s="175">
        <f>H55/DAY(B2)</f>
        <v>2414.4537500000006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'7'!F56</f>
        <v>154609</v>
      </c>
      <c r="F56" s="145">
        <v>154609</v>
      </c>
      <c r="G56" s="112">
        <f t="shared" si="4"/>
        <v>0</v>
      </c>
      <c r="H56" s="99">
        <f>G56+'7'!H56</f>
        <v>4890</v>
      </c>
      <c r="I56" s="95"/>
      <c r="J56" s="175">
        <f>H56/DAY(B2)</f>
        <v>611.25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'7'!F57</f>
        <v>429820</v>
      </c>
      <c r="F57" s="145">
        <v>432872</v>
      </c>
      <c r="G57" s="112">
        <f t="shared" si="4"/>
        <v>3052</v>
      </c>
      <c r="H57" s="99">
        <f>G57+'7'!H57</f>
        <v>23794</v>
      </c>
      <c r="I57" s="95"/>
      <c r="J57" s="175">
        <f>H57/DAY(B2)</f>
        <v>2974.25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'7'!F58</f>
        <v>65844</v>
      </c>
      <c r="F58" s="145">
        <v>66088</v>
      </c>
      <c r="G58" s="112">
        <f t="shared" si="4"/>
        <v>244</v>
      </c>
      <c r="H58" s="99">
        <f>G58+'7'!H58</f>
        <v>1937</v>
      </c>
      <c r="I58" s="95"/>
      <c r="J58" s="175">
        <f>H58/DAY(B2)</f>
        <v>242.125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17109.630000000005</v>
      </c>
      <c r="H59" s="99">
        <f>G59+'7'!H59</f>
        <v>134720.39000000001</v>
      </c>
      <c r="I59" s="95">
        <f>G7-G60</f>
        <v>27.130000000062864</v>
      </c>
      <c r="J59" s="175">
        <f>H59/DAY(B2)</f>
        <v>16840.048750000002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24801.869999999937</v>
      </c>
      <c r="H60" s="99">
        <f>G60+'7'!H60</f>
        <v>192285.39</v>
      </c>
      <c r="I60" s="95">
        <f>G13-G60</f>
        <v>-613.86999999993714</v>
      </c>
      <c r="J60" s="175">
        <f>H60/DAY(B2)</f>
        <v>24035.673750000002</v>
      </c>
      <c r="K60" s="79"/>
      <c r="L60" s="66"/>
      <c r="N60" s="87"/>
      <c r="O60" s="71"/>
    </row>
    <row r="61" spans="1:15" s="68" customFormat="1" ht="26.25">
      <c r="A61" s="1278" t="s">
        <v>332</v>
      </c>
      <c r="B61" s="1279"/>
      <c r="C61" s="12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81" t="s">
        <v>198</v>
      </c>
      <c r="B62" s="1282"/>
      <c r="C62" s="1283"/>
      <c r="D62" s="151" t="s">
        <v>142</v>
      </c>
      <c r="E62" s="95">
        <f>'7'!F62</f>
        <v>302670</v>
      </c>
      <c r="F62" s="122">
        <v>302772</v>
      </c>
      <c r="G62" s="112">
        <f t="shared" ref="G62:G63" si="5">F62-E62</f>
        <v>102</v>
      </c>
      <c r="H62" s="99">
        <f>G62+'7'!H62</f>
        <v>707</v>
      </c>
      <c r="I62" s="118"/>
      <c r="J62" s="175">
        <f>H62/DAY(B2)</f>
        <v>88.375</v>
      </c>
      <c r="K62" s="80"/>
      <c r="L62" s="66"/>
      <c r="N62" s="87"/>
      <c r="O62" s="71"/>
    </row>
    <row r="63" spans="1:15" ht="25.5">
      <c r="A63" s="1281" t="s">
        <v>199</v>
      </c>
      <c r="B63" s="1282"/>
      <c r="C63" s="1283"/>
      <c r="D63" s="151" t="s">
        <v>142</v>
      </c>
      <c r="E63" s="95">
        <f>'7'!F63</f>
        <v>245139</v>
      </c>
      <c r="F63" s="122">
        <v>245139</v>
      </c>
      <c r="G63" s="112">
        <f t="shared" si="5"/>
        <v>0</v>
      </c>
      <c r="H63" s="99">
        <f>G63+'7'!H63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6.25">
      <c r="A64" s="1284" t="s">
        <v>200</v>
      </c>
      <c r="B64" s="1285"/>
      <c r="C64" s="1286"/>
      <c r="D64" s="151"/>
      <c r="E64" s="95">
        <f>'7'!F64</f>
        <v>0</v>
      </c>
      <c r="F64" s="122"/>
      <c r="G64" s="112">
        <f>G62+G63</f>
        <v>102</v>
      </c>
      <c r="H64" s="99">
        <f>G64+'7'!H64</f>
        <v>707</v>
      </c>
      <c r="I64" s="118"/>
      <c r="J64" s="175">
        <f>H64/DAY(B2)</f>
        <v>88.375</v>
      </c>
      <c r="K64" s="69"/>
      <c r="L64" s="66"/>
      <c r="N64" s="87"/>
      <c r="O64" s="71"/>
    </row>
    <row r="65" spans="1:15" ht="25.5">
      <c r="A65" s="1281" t="s">
        <v>201</v>
      </c>
      <c r="B65" s="1282"/>
      <c r="C65" s="1283"/>
      <c r="D65" s="151" t="s">
        <v>142</v>
      </c>
      <c r="E65" s="95">
        <f>'7'!F65</f>
        <v>461520</v>
      </c>
      <c r="F65" s="122">
        <v>461628</v>
      </c>
      <c r="G65" s="112">
        <f t="shared" ref="G65:G70" si="6">F65-E65</f>
        <v>108</v>
      </c>
      <c r="H65" s="99">
        <f>G65+'7'!H65</f>
        <v>804</v>
      </c>
      <c r="I65" s="118"/>
      <c r="J65" s="175">
        <f>H65/DAY(B2)</f>
        <v>100.5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'7'!F66</f>
        <v>112672</v>
      </c>
      <c r="F66" s="122">
        <v>112698</v>
      </c>
      <c r="G66" s="112">
        <f t="shared" si="6"/>
        <v>26</v>
      </c>
      <c r="H66" s="99">
        <f>G66+'7'!H66</f>
        <v>93</v>
      </c>
      <c r="I66" s="118"/>
      <c r="J66" s="175">
        <f>H66/DAY(B2)</f>
        <v>11.625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'7'!F67</f>
        <v>114863</v>
      </c>
      <c r="F67" s="122">
        <v>114892</v>
      </c>
      <c r="G67" s="112">
        <f t="shared" si="6"/>
        <v>29</v>
      </c>
      <c r="H67" s="99">
        <f>G67+'7'!H67</f>
        <v>184</v>
      </c>
      <c r="I67" s="118"/>
      <c r="J67" s="175">
        <f>H67/DAY(B2)</f>
        <v>23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'7'!F68</f>
        <v>166781</v>
      </c>
      <c r="F68" s="122">
        <v>166806</v>
      </c>
      <c r="G68" s="112">
        <f t="shared" si="6"/>
        <v>25</v>
      </c>
      <c r="H68" s="99">
        <f>G68+'7'!H68</f>
        <v>225</v>
      </c>
      <c r="I68" s="118"/>
      <c r="J68" s="175">
        <f>H68/DAY(B2)</f>
        <v>28.125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'7'!F69</f>
        <v>12584</v>
      </c>
      <c r="F69" s="122">
        <v>12588</v>
      </c>
      <c r="G69" s="112">
        <f t="shared" si="6"/>
        <v>4</v>
      </c>
      <c r="H69" s="99">
        <f>G69+'7'!H69</f>
        <v>24</v>
      </c>
      <c r="I69" s="118"/>
      <c r="J69" s="175">
        <f>H69/DAY(B2)</f>
        <v>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'7'!F70</f>
        <v>10399</v>
      </c>
      <c r="F70" s="122">
        <v>10408</v>
      </c>
      <c r="G70" s="112">
        <f t="shared" si="6"/>
        <v>9</v>
      </c>
      <c r="H70" s="99">
        <f>G70+'7'!H70</f>
        <v>75</v>
      </c>
      <c r="I70" s="118"/>
      <c r="J70" s="175">
        <f>H70/DAY(B2)</f>
        <v>9.375</v>
      </c>
      <c r="K70" s="69"/>
      <c r="L70" s="66"/>
      <c r="N70" s="87"/>
      <c r="O70" s="71"/>
    </row>
    <row r="71" spans="1:15" ht="26.25">
      <c r="A71" s="1284" t="s">
        <v>208</v>
      </c>
      <c r="B71" s="1285"/>
      <c r="C71" s="1286"/>
      <c r="D71" s="152"/>
      <c r="E71" s="152"/>
      <c r="F71" s="152"/>
      <c r="G71" s="153">
        <f>SUM(G65:G70)</f>
        <v>201</v>
      </c>
      <c r="H71" s="99">
        <f>G71+'7'!H71</f>
        <v>1405</v>
      </c>
      <c r="I71" s="154"/>
      <c r="J71" s="175">
        <f>H71/DAY(B2)</f>
        <v>175.625</v>
      </c>
      <c r="K71" s="69"/>
      <c r="L71" s="66"/>
      <c r="N71" s="87"/>
      <c r="O71" s="71"/>
    </row>
    <row r="72" spans="1:15" s="88" customFormat="1" ht="25.5">
      <c r="A72" s="1287"/>
      <c r="B72" s="126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5" t="s">
        <v>333</v>
      </c>
      <c r="B73" s="1296"/>
      <c r="C73" s="129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81" t="s">
        <v>220</v>
      </c>
      <c r="B74" s="1282"/>
      <c r="C74" s="1283"/>
      <c r="D74" s="151" t="s">
        <v>139</v>
      </c>
      <c r="E74" s="95">
        <f>'7'!F74</f>
        <v>977851</v>
      </c>
      <c r="F74" s="123">
        <v>978153</v>
      </c>
      <c r="G74" s="112">
        <f t="shared" ref="G74:G78" si="7">F74-E74</f>
        <v>302</v>
      </c>
      <c r="H74" s="99">
        <f>G74+'7'!H74</f>
        <v>2342</v>
      </c>
      <c r="I74" s="154"/>
      <c r="J74" s="175">
        <f>H74/DAY(B2)</f>
        <v>292.75</v>
      </c>
      <c r="K74" s="69"/>
      <c r="L74" s="66"/>
      <c r="N74" s="87"/>
      <c r="O74" s="71"/>
    </row>
    <row r="75" spans="1:15" ht="25.5">
      <c r="A75" s="1281" t="s">
        <v>221</v>
      </c>
      <c r="B75" s="1282"/>
      <c r="C75" s="1283"/>
      <c r="D75" s="151" t="s">
        <v>139</v>
      </c>
      <c r="E75" s="95">
        <f>'7'!F75</f>
        <v>73586</v>
      </c>
      <c r="F75" s="123">
        <v>73586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288" t="s">
        <v>222</v>
      </c>
      <c r="B76" s="1289"/>
      <c r="C76" s="1290"/>
      <c r="D76" s="151" t="s">
        <v>139</v>
      </c>
      <c r="E76" s="95">
        <f>'7'!F76</f>
        <v>197488</v>
      </c>
      <c r="F76" s="123">
        <v>197598</v>
      </c>
      <c r="G76" s="112">
        <f t="shared" si="7"/>
        <v>110</v>
      </c>
      <c r="H76" s="99">
        <f>G76+'7'!H76</f>
        <v>862</v>
      </c>
      <c r="I76" s="154"/>
      <c r="J76" s="175">
        <f>H76/DAY(B2)</f>
        <v>107.75</v>
      </c>
      <c r="K76" s="69"/>
      <c r="L76" s="66"/>
      <c r="N76" s="87"/>
      <c r="O76" s="71"/>
    </row>
    <row r="77" spans="1:15" ht="25.5">
      <c r="A77" s="1288" t="s">
        <v>223</v>
      </c>
      <c r="B77" s="1289"/>
      <c r="C77" s="1290"/>
      <c r="D77" s="151" t="s">
        <v>139</v>
      </c>
      <c r="E77" s="95">
        <f>'7'!F77</f>
        <v>53655</v>
      </c>
      <c r="F77" s="123">
        <v>53707</v>
      </c>
      <c r="G77" s="112">
        <f t="shared" si="7"/>
        <v>52</v>
      </c>
      <c r="H77" s="99">
        <f>G77+'7'!H77</f>
        <v>355</v>
      </c>
      <c r="I77" s="154"/>
      <c r="J77" s="175">
        <f>H77/DAY(B2)</f>
        <v>44.375</v>
      </c>
      <c r="K77" s="69"/>
      <c r="L77" s="66"/>
      <c r="N77" s="87"/>
      <c r="O77" s="71"/>
    </row>
    <row r="78" spans="1:15" ht="25.5">
      <c r="A78" s="1288" t="s">
        <v>224</v>
      </c>
      <c r="B78" s="1289"/>
      <c r="C78" s="1290"/>
      <c r="D78" s="151" t="s">
        <v>139</v>
      </c>
      <c r="E78" s="95">
        <f>'7'!F78</f>
        <v>9563.4</v>
      </c>
      <c r="F78" s="123">
        <v>9563.4</v>
      </c>
      <c r="G78" s="112">
        <f t="shared" si="7"/>
        <v>0</v>
      </c>
      <c r="H78" s="99">
        <f>G78+'7'!H78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1288" t="s">
        <v>225</v>
      </c>
      <c r="B79" s="1289"/>
      <c r="C79" s="1290"/>
      <c r="D79" s="151"/>
      <c r="E79" s="95">
        <f>'7'!F79</f>
        <v>0</v>
      </c>
      <c r="F79" s="117"/>
      <c r="G79" s="112">
        <f>G15-SUM(G74:G78)</f>
        <v>557</v>
      </c>
      <c r="H79" s="99">
        <f>G79+'7'!H79</f>
        <v>4446</v>
      </c>
      <c r="I79" s="118"/>
      <c r="J79" s="175"/>
      <c r="K79" s="59"/>
      <c r="L79" s="58"/>
      <c r="N79" s="87"/>
      <c r="O79" s="71"/>
    </row>
    <row r="80" spans="1:15" s="57" customFormat="1" ht="26.25">
      <c r="A80" s="1284" t="s">
        <v>329</v>
      </c>
      <c r="B80" s="1285"/>
      <c r="C80" s="1286"/>
      <c r="D80" s="151"/>
      <c r="E80" s="117"/>
      <c r="F80" s="117"/>
      <c r="G80" s="112">
        <f>SUM(G74:G79)</f>
        <v>1021</v>
      </c>
      <c r="H80" s="99"/>
      <c r="I80" s="118"/>
      <c r="J80" s="175"/>
      <c r="K80" s="59"/>
      <c r="L80" s="58"/>
      <c r="N80" s="87"/>
      <c r="O80" s="71"/>
    </row>
    <row r="81" spans="1:15" ht="25.5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'7'!F84</f>
        <v>43366.5</v>
      </c>
      <c r="F84" s="164">
        <v>43366.5</v>
      </c>
      <c r="G84" s="112">
        <f t="shared" si="8"/>
        <v>0</v>
      </c>
      <c r="H84" s="99">
        <f>G84+'7'!H84</f>
        <v>-0.30000000000291038</v>
      </c>
      <c r="I84" s="538"/>
      <c r="J84" s="175">
        <f>H84/DAY(B2)</f>
        <v>-3.7500000000363798E-2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'7'!F85</f>
        <v>5581</v>
      </c>
      <c r="F85" s="164">
        <v>5594.45</v>
      </c>
      <c r="G85" s="112">
        <f t="shared" si="8"/>
        <v>13.449999999999818</v>
      </c>
      <c r="H85" s="99">
        <f>G85+'7'!H85</f>
        <v>118.44999999999982</v>
      </c>
      <c r="I85" s="538"/>
      <c r="J85" s="175">
        <f>H85/DAY(B2)</f>
        <v>14.806249999999977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'7'!F86</f>
        <v>46382</v>
      </c>
      <c r="F86" s="164">
        <v>46406</v>
      </c>
      <c r="G86" s="112">
        <f t="shared" si="8"/>
        <v>24</v>
      </c>
      <c r="H86" s="99">
        <f>G86+'7'!H86</f>
        <v>134.58000000000175</v>
      </c>
      <c r="I86" s="538"/>
      <c r="J86" s="175">
        <f>H86/DAY(B2)</f>
        <v>16.822500000000218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'7'!F87</f>
        <v>35683</v>
      </c>
      <c r="F87" s="164">
        <v>35683</v>
      </c>
      <c r="G87" s="112">
        <f t="shared" si="8"/>
        <v>0</v>
      </c>
      <c r="H87" s="99">
        <f>G87+'7'!H87</f>
        <v>27</v>
      </c>
      <c r="I87" s="524">
        <f>G84+G85+G86+G87</f>
        <v>37.449999999999818</v>
      </c>
      <c r="J87" s="175">
        <f>H87/DAY(B2)</f>
        <v>3.375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'7'!F88</f>
        <v>24440.560000000001</v>
      </c>
      <c r="F88" s="164">
        <v>24440.560000000001</v>
      </c>
      <c r="G88" s="112">
        <f t="shared" si="8"/>
        <v>0</v>
      </c>
      <c r="H88" s="99">
        <f>G88+'7'!H88</f>
        <v>16.600000000002183</v>
      </c>
      <c r="I88" s="524"/>
      <c r="J88" s="175">
        <f>H88/DAY(B2)</f>
        <v>2.0750000000002728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'7'!F89</f>
        <v>28034.84</v>
      </c>
      <c r="F89" s="164">
        <v>28043.82</v>
      </c>
      <c r="G89" s="112">
        <f t="shared" si="8"/>
        <v>8.9799999999995634</v>
      </c>
      <c r="H89" s="99">
        <f>G89+'7'!H89</f>
        <v>55.819999999999709</v>
      </c>
      <c r="I89" s="524">
        <f>G88+G89</f>
        <v>8.9799999999995634</v>
      </c>
      <c r="J89" s="175">
        <f>H89/DAY(B2)</f>
        <v>6.9774999999999636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'7'!F90</f>
        <v>73321</v>
      </c>
      <c r="F90" s="164">
        <v>73332.600000000006</v>
      </c>
      <c r="G90" s="112">
        <f t="shared" si="8"/>
        <v>11.600000000005821</v>
      </c>
      <c r="H90" s="99">
        <f>G90+'7'!H90</f>
        <v>88.860000000000582</v>
      </c>
      <c r="I90" s="524">
        <f>G90</f>
        <v>11.600000000005821</v>
      </c>
      <c r="J90" s="175">
        <f>H90/DAY(B2)</f>
        <v>11.107500000000073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'7'!F91</f>
        <v>4757</v>
      </c>
      <c r="F91" s="122">
        <v>4768.6899999999996</v>
      </c>
      <c r="G91" s="112">
        <f t="shared" si="8"/>
        <v>11.6899999999996</v>
      </c>
      <c r="H91" s="99">
        <f>G91+'7'!H91</f>
        <v>90.259999999999309</v>
      </c>
      <c r="I91" s="572"/>
      <c r="J91" s="175">
        <f>H91/DAY(B2)</f>
        <v>11.282499999999914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'7'!F92</f>
        <v>7000</v>
      </c>
      <c r="F92" s="122">
        <v>7000.23</v>
      </c>
      <c r="G92" s="112">
        <f t="shared" si="8"/>
        <v>0.22999999999956344</v>
      </c>
      <c r="H92" s="99">
        <f>G92+'7'!H92</f>
        <v>0.22999999999956344</v>
      </c>
      <c r="I92" s="573">
        <f>G91+G92</f>
        <v>11.919999999999163</v>
      </c>
      <c r="J92" s="175">
        <f>H92/DAY(B2)</f>
        <v>2.874999999994543E-2</v>
      </c>
      <c r="O92" s="71"/>
    </row>
    <row r="93" spans="1:15" ht="26.25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6703.0499999999884</v>
      </c>
      <c r="H94" s="99">
        <f>G94+'7'!H94</f>
        <v>53594</v>
      </c>
      <c r="I94" s="118"/>
      <c r="J94" s="175">
        <f>H94/DAY(B2)</f>
        <v>6699.25</v>
      </c>
      <c r="K94" s="69"/>
      <c r="L94" s="66"/>
      <c r="O94" s="71"/>
    </row>
    <row r="95" spans="1:15" ht="25.5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0.26996858512223565</v>
      </c>
      <c r="H95" s="99">
        <f>G95+'7'!H95</f>
        <v>2.1585394551492465</v>
      </c>
      <c r="I95" s="167"/>
      <c r="J95" s="175">
        <f>H95/DAY(B2)</f>
        <v>0.26981743189365581</v>
      </c>
      <c r="K95" s="69"/>
      <c r="L95" s="66"/>
      <c r="O95" s="71"/>
    </row>
    <row r="96" spans="1:15" ht="25.5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7147.6300000000047</v>
      </c>
      <c r="H96" s="99">
        <f>G96+'7'!H96</f>
        <v>51863.630000000005</v>
      </c>
      <c r="I96" s="118"/>
      <c r="J96" s="175">
        <f>H96/DAY(B2)</f>
        <v>6482.9537500000006</v>
      </c>
      <c r="K96" s="69"/>
      <c r="L96" s="66"/>
      <c r="O96" s="71"/>
    </row>
    <row r="97" spans="1:15" ht="25.5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0.28787425993797594</v>
      </c>
      <c r="H97" s="99">
        <f>G97+'7'!H97</f>
        <v>2.089546153608302</v>
      </c>
      <c r="I97" s="167"/>
      <c r="J97" s="175">
        <f>H97/DAY(B2)</f>
        <v>0.26119326920103775</v>
      </c>
      <c r="K97" s="69"/>
      <c r="L97" s="66"/>
      <c r="O97" s="71"/>
    </row>
    <row r="98" spans="1:15" ht="25.5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4330.1899999999441</v>
      </c>
      <c r="H98" s="99">
        <f>G98+'7'!H98</f>
        <v>33705</v>
      </c>
      <c r="I98" s="168"/>
      <c r="J98" s="175">
        <f>H98/DAY(B2)</f>
        <v>4213.125</v>
      </c>
      <c r="K98" s="69"/>
      <c r="L98" s="66"/>
      <c r="O98" s="71"/>
    </row>
    <row r="99" spans="1:15" ht="25.5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0.17440049941600322</v>
      </c>
      <c r="H99" s="99">
        <f>G99+'7'!H99</f>
        <v>1.3571551856958757</v>
      </c>
      <c r="I99" s="168"/>
      <c r="J99" s="175">
        <f>H99/DAY(B2)</f>
        <v>0.16964439821198446</v>
      </c>
      <c r="O99" s="71"/>
    </row>
    <row r="100" spans="1:15" ht="26.25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2310</v>
      </c>
      <c r="H100" s="99">
        <f>G100+'7'!H100</f>
        <v>17907.760000000002</v>
      </c>
      <c r="I100" s="118"/>
      <c r="J100" s="175">
        <f>H100/DAY(B2)</f>
        <v>2238.4700000000003</v>
      </c>
      <c r="K100" s="70"/>
      <c r="O100" s="71"/>
    </row>
    <row r="101" spans="1:15" ht="25.5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9.303636876233437E-2</v>
      </c>
      <c r="H101" s="99">
        <f>G101+'7'!H101</f>
        <v>0.721299985860966</v>
      </c>
      <c r="I101" s="168"/>
      <c r="J101" s="175">
        <f>H101/DAY(B2)</f>
        <v>9.016249823262075E-2</v>
      </c>
      <c r="O101" s="71"/>
    </row>
    <row r="102" spans="1:15" ht="25.5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2110</v>
      </c>
      <c r="H102" s="99">
        <f>G102+'7'!H102</f>
        <v>17741</v>
      </c>
      <c r="I102" s="168"/>
      <c r="J102" s="175">
        <f>H102/DAY(B2)</f>
        <v>2217.625</v>
      </c>
      <c r="O102" s="71"/>
    </row>
    <row r="103" spans="1:15" ht="25.5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8.4981271899794597E-2</v>
      </c>
      <c r="H103" s="99">
        <f>G103+'7'!H103</f>
        <v>0.71369801762142737</v>
      </c>
      <c r="I103" s="118"/>
      <c r="J103" s="175">
        <f>H103/DAY(B2)</f>
        <v>8.9212252202678421E-2</v>
      </c>
      <c r="O103" s="71"/>
    </row>
    <row r="104" spans="1:15" ht="25.5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1068</v>
      </c>
      <c r="H104" s="99">
        <f>G104+'7'!H104</f>
        <v>8160</v>
      </c>
      <c r="I104" s="118"/>
      <c r="J104" s="175">
        <f>H104/DAY(B2)</f>
        <v>1020</v>
      </c>
      <c r="O104" s="71"/>
    </row>
    <row r="105" spans="1:15" ht="26.25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4.3014217245962383E-2</v>
      </c>
      <c r="H105" s="99">
        <f>G105+'7'!H105</f>
        <v>0.32861932355310119</v>
      </c>
      <c r="I105" s="187"/>
      <c r="J105" s="188">
        <f>H105/DAY(B2)</f>
        <v>4.1077415444137649E-2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6.25">
      <c r="A109" s="1291"/>
      <c r="B109" s="1291"/>
    </row>
    <row r="110" spans="1:15" ht="26.25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5.5">
      <c r="A111" s="1270"/>
      <c r="B111" s="1271"/>
      <c r="C111" s="1272"/>
      <c r="D111" s="165"/>
      <c r="E111" s="165"/>
      <c r="F111" s="165"/>
      <c r="G111" s="165"/>
      <c r="H111" s="156"/>
      <c r="I111" s="165"/>
      <c r="J111" s="327"/>
    </row>
    <row r="112" spans="1:15" ht="25.5">
      <c r="A112" s="1266" t="s">
        <v>252</v>
      </c>
      <c r="B112" s="1267"/>
      <c r="C112" s="1268"/>
      <c r="D112" s="146" t="s">
        <v>183</v>
      </c>
      <c r="E112" s="95">
        <f>'7'!F112</f>
        <v>12162</v>
      </c>
      <c r="F112" s="237">
        <v>12233.56</v>
      </c>
      <c r="G112" s="112">
        <f t="shared" ref="G112:G123" si="9">F112-E112</f>
        <v>71.559999999999491</v>
      </c>
      <c r="H112" s="99">
        <f>G112+'7'!H112</f>
        <v>570.55999999999949</v>
      </c>
      <c r="I112" s="165"/>
      <c r="J112" s="328">
        <f>H112/DAY(B2)</f>
        <v>71.319999999999936</v>
      </c>
    </row>
    <row r="113" spans="1:18" ht="29.25" customHeight="1">
      <c r="A113" s="1266" t="s">
        <v>253</v>
      </c>
      <c r="B113" s="1267"/>
      <c r="C113" s="1268"/>
      <c r="D113" s="146" t="s">
        <v>183</v>
      </c>
      <c r="E113" s="95">
        <f>'7'!F113</f>
        <v>24489</v>
      </c>
      <c r="F113" s="237">
        <v>24631</v>
      </c>
      <c r="G113" s="112">
        <f t="shared" si="9"/>
        <v>142</v>
      </c>
      <c r="H113" s="99">
        <f>G113+'7'!H113</f>
        <v>1110</v>
      </c>
      <c r="I113" s="165"/>
      <c r="J113" s="328">
        <f>H113/DAY(B2)</f>
        <v>138.75</v>
      </c>
    </row>
    <row r="114" spans="1:18" ht="29.25" customHeight="1">
      <c r="A114" s="1266" t="s">
        <v>254</v>
      </c>
      <c r="B114" s="1267"/>
      <c r="C114" s="1268"/>
      <c r="D114" s="146" t="s">
        <v>183</v>
      </c>
      <c r="E114" s="95">
        <f>'7'!F114</f>
        <v>36329</v>
      </c>
      <c r="F114" s="237">
        <v>36558</v>
      </c>
      <c r="G114" s="112">
        <f t="shared" si="9"/>
        <v>229</v>
      </c>
      <c r="H114" s="99">
        <f>G114+'7'!H114</f>
        <v>1783</v>
      </c>
      <c r="I114" s="165"/>
      <c r="J114" s="328">
        <f>H114/DAY(B2)</f>
        <v>222.875</v>
      </c>
    </row>
    <row r="115" spans="1:18" ht="29.25" customHeight="1">
      <c r="A115" s="1266" t="s">
        <v>255</v>
      </c>
      <c r="B115" s="1267"/>
      <c r="C115" s="1268"/>
      <c r="D115" s="146" t="s">
        <v>183</v>
      </c>
      <c r="E115" s="95">
        <f>'7'!F115</f>
        <v>22854</v>
      </c>
      <c r="F115" s="237">
        <v>22996</v>
      </c>
      <c r="G115" s="112">
        <f t="shared" si="9"/>
        <v>142</v>
      </c>
      <c r="H115" s="99">
        <f>G115+'7'!H115</f>
        <v>943</v>
      </c>
      <c r="I115" s="165"/>
      <c r="J115" s="328">
        <f>H115/DAY(B2)</f>
        <v>117.875</v>
      </c>
    </row>
    <row r="116" spans="1:18" ht="29.25" customHeight="1">
      <c r="A116" s="1275" t="s">
        <v>96</v>
      </c>
      <c r="B116" s="1276"/>
      <c r="C116" s="1277"/>
      <c r="D116" s="146" t="s">
        <v>183</v>
      </c>
      <c r="E116" s="95">
        <f>'7'!F116</f>
        <v>100045</v>
      </c>
      <c r="F116" s="237">
        <v>100571</v>
      </c>
      <c r="G116" s="112">
        <f t="shared" si="9"/>
        <v>526</v>
      </c>
      <c r="H116" s="99">
        <f>G116+'7'!H116</f>
        <v>3436</v>
      </c>
      <c r="I116" s="165"/>
      <c r="J116" s="328">
        <f>H116/DAY(B2)</f>
        <v>429.5</v>
      </c>
      <c r="Q116" s="1266" t="s">
        <v>311</v>
      </c>
      <c r="R116" s="1268"/>
    </row>
    <row r="117" spans="1:18" ht="29.25" customHeight="1">
      <c r="A117" s="1275" t="s">
        <v>184</v>
      </c>
      <c r="B117" s="1276"/>
      <c r="C117" s="1277"/>
      <c r="D117" s="146" t="s">
        <v>183</v>
      </c>
      <c r="E117" s="95">
        <f>'7'!F117</f>
        <v>58858</v>
      </c>
      <c r="F117" s="237">
        <v>59228</v>
      </c>
      <c r="G117" s="112">
        <f t="shared" si="9"/>
        <v>370</v>
      </c>
      <c r="H117" s="99">
        <f>G117+'7'!H117</f>
        <v>2723</v>
      </c>
      <c r="I117" s="165"/>
      <c r="J117" s="328">
        <f>H117/DAY(B2)</f>
        <v>340.375</v>
      </c>
      <c r="Q117" s="1266" t="s">
        <v>312</v>
      </c>
      <c r="R117" s="1268"/>
    </row>
    <row r="118" spans="1:18" ht="25.5">
      <c r="A118" s="1269" t="s">
        <v>97</v>
      </c>
      <c r="B118" s="1269"/>
      <c r="C118" s="1269"/>
      <c r="D118" s="151" t="s">
        <v>183</v>
      </c>
      <c r="E118" s="95">
        <f>'7'!F118</f>
        <v>105928</v>
      </c>
      <c r="F118" s="237">
        <v>106497</v>
      </c>
      <c r="G118" s="112">
        <f t="shared" si="9"/>
        <v>569</v>
      </c>
      <c r="H118" s="99">
        <f>G118+'7'!H118</f>
        <v>4743</v>
      </c>
      <c r="I118" s="165"/>
      <c r="J118" s="328">
        <f>H118/DAY(B2)</f>
        <v>592.875</v>
      </c>
      <c r="Q118" s="1266" t="s">
        <v>311</v>
      </c>
      <c r="R118" s="1268"/>
    </row>
    <row r="119" spans="1:18" ht="25.5">
      <c r="A119" s="1269" t="s">
        <v>98</v>
      </c>
      <c r="B119" s="1269"/>
      <c r="C119" s="1269"/>
      <c r="D119" s="151" t="s">
        <v>183</v>
      </c>
      <c r="E119" s="95">
        <f>'7'!F119</f>
        <v>42663</v>
      </c>
      <c r="F119" s="237">
        <v>42677</v>
      </c>
      <c r="G119" s="112">
        <f t="shared" si="9"/>
        <v>14</v>
      </c>
      <c r="H119" s="99">
        <f>G119+'7'!H119</f>
        <v>96</v>
      </c>
      <c r="I119" s="165"/>
      <c r="J119" s="328">
        <f>H119/DAY(B2)</f>
        <v>12</v>
      </c>
    </row>
    <row r="120" spans="1:18" ht="25.5">
      <c r="A120" s="1269" t="s">
        <v>99</v>
      </c>
      <c r="B120" s="1269"/>
      <c r="C120" s="1269"/>
      <c r="D120" s="151" t="s">
        <v>183</v>
      </c>
      <c r="E120" s="95">
        <f>'7'!F120</f>
        <v>74162</v>
      </c>
      <c r="F120" s="237">
        <v>74546</v>
      </c>
      <c r="G120" s="112">
        <f t="shared" si="9"/>
        <v>384</v>
      </c>
      <c r="H120" s="99">
        <f>G120+'7'!H120</f>
        <v>3214</v>
      </c>
      <c r="I120" s="165"/>
      <c r="J120" s="328">
        <f>H120/DAY(B2)</f>
        <v>401.75</v>
      </c>
    </row>
    <row r="121" spans="1:18" ht="25.5">
      <c r="A121" s="1269" t="s">
        <v>100</v>
      </c>
      <c r="B121" s="1269"/>
      <c r="C121" s="1269"/>
      <c r="D121" s="151" t="s">
        <v>183</v>
      </c>
      <c r="E121" s="95">
        <f>'7'!F121</f>
        <v>84524</v>
      </c>
      <c r="F121" s="237">
        <v>84958</v>
      </c>
      <c r="G121" s="112">
        <f t="shared" si="9"/>
        <v>434</v>
      </c>
      <c r="H121" s="99">
        <f>G121+'7'!H121</f>
        <v>3602</v>
      </c>
      <c r="I121" s="165"/>
      <c r="J121" s="328">
        <f>H121/DAY(B2)</f>
        <v>450.25</v>
      </c>
    </row>
    <row r="122" spans="1:18" ht="25.5">
      <c r="A122" s="1269" t="s">
        <v>101</v>
      </c>
      <c r="B122" s="1269"/>
      <c r="C122" s="1269"/>
      <c r="D122" s="151" t="s">
        <v>183</v>
      </c>
      <c r="E122" s="95">
        <f>'7'!F122</f>
        <v>51741</v>
      </c>
      <c r="F122" s="237">
        <v>52130</v>
      </c>
      <c r="G122" s="112">
        <f t="shared" si="9"/>
        <v>389</v>
      </c>
      <c r="H122" s="99">
        <f>G122+'7'!H122</f>
        <v>2999</v>
      </c>
      <c r="I122" s="165"/>
      <c r="J122" s="328">
        <f>H122/DAY(B2)</f>
        <v>374.875</v>
      </c>
    </row>
    <row r="123" spans="1:18" ht="25.5">
      <c r="A123" s="1269" t="s">
        <v>102</v>
      </c>
      <c r="B123" s="1269"/>
      <c r="C123" s="1269"/>
      <c r="D123" s="151" t="s">
        <v>183</v>
      </c>
      <c r="E123" s="95">
        <f>'7'!F123</f>
        <v>51890</v>
      </c>
      <c r="F123" s="237">
        <v>52188</v>
      </c>
      <c r="G123" s="112">
        <f t="shared" si="9"/>
        <v>298</v>
      </c>
      <c r="H123" s="99">
        <f>G123+'7'!H123</f>
        <v>2439</v>
      </c>
      <c r="I123" s="165"/>
      <c r="J123" s="328">
        <f>H123/DAY(B2)</f>
        <v>304.875</v>
      </c>
    </row>
    <row r="124" spans="1:18" ht="29.25" customHeight="1">
      <c r="A124" s="1270"/>
      <c r="B124" s="1271"/>
      <c r="C124" s="1272"/>
      <c r="D124" s="165"/>
      <c r="E124" s="165"/>
      <c r="F124" s="165"/>
      <c r="G124" s="327"/>
      <c r="H124" s="156"/>
      <c r="I124" s="165"/>
      <c r="J124" s="327"/>
    </row>
    <row r="125" spans="1:18" ht="25.5">
      <c r="A125" s="1261" t="s">
        <v>196</v>
      </c>
      <c r="B125" s="1262"/>
      <c r="C125" s="245"/>
      <c r="D125" s="307"/>
      <c r="E125" s="308"/>
      <c r="F125" s="308"/>
      <c r="G125" s="309">
        <f>SUM(G112:G124)</f>
        <v>3568.5599999999995</v>
      </c>
      <c r="H125" s="156"/>
      <c r="I125" s="327">
        <f>G125-(G39+G53)</f>
        <v>-761.62999999994463</v>
      </c>
      <c r="J125" s="327"/>
    </row>
    <row r="126" spans="1:18" ht="25.5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5.5">
      <c r="A127" s="1274"/>
      <c r="B127" s="1274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1266" t="s">
        <v>318</v>
      </c>
      <c r="B128" s="1267"/>
      <c r="C128" s="1268"/>
      <c r="D128" s="151" t="s">
        <v>183</v>
      </c>
      <c r="E128" s="95">
        <f>'7'!F128</f>
        <v>157963</v>
      </c>
      <c r="F128" s="165">
        <v>158426</v>
      </c>
      <c r="G128" s="112">
        <f t="shared" ref="G128:G134" si="10">F128-E128</f>
        <v>463</v>
      </c>
      <c r="H128" s="99">
        <f>G128+'7'!H128</f>
        <v>3611</v>
      </c>
      <c r="I128" s="165"/>
      <c r="J128" s="328">
        <f>H128/DAY(B2)</f>
        <v>451.375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'7'!F129</f>
        <v>85155</v>
      </c>
      <c r="F129" s="165">
        <v>85326</v>
      </c>
      <c r="G129" s="112">
        <f t="shared" si="10"/>
        <v>171</v>
      </c>
      <c r="H129" s="99">
        <f>G129+'7'!H129</f>
        <v>1390</v>
      </c>
      <c r="I129" s="165"/>
      <c r="J129" s="328">
        <f>H129/DAY(B2)</f>
        <v>173.75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'7'!F130</f>
        <v>211410</v>
      </c>
      <c r="F130" s="165">
        <v>212034</v>
      </c>
      <c r="G130" s="112">
        <f t="shared" si="10"/>
        <v>624</v>
      </c>
      <c r="H130" s="99">
        <f>G130+'7'!H130</f>
        <v>5275</v>
      </c>
      <c r="I130" s="165"/>
      <c r="J130" s="328">
        <f>H130/DAY(B2)</f>
        <v>659.375</v>
      </c>
      <c r="N130" s="240"/>
      <c r="O130" s="241"/>
    </row>
    <row r="131" spans="1:15" ht="25.5">
      <c r="A131" s="1266" t="s">
        <v>321</v>
      </c>
      <c r="B131" s="1267"/>
      <c r="C131" s="1268"/>
      <c r="D131" s="151" t="s">
        <v>183</v>
      </c>
      <c r="E131" s="95">
        <f>'7'!F131</f>
        <v>61718</v>
      </c>
      <c r="F131" s="165">
        <v>61947</v>
      </c>
      <c r="G131" s="112">
        <f t="shared" si="10"/>
        <v>229</v>
      </c>
      <c r="H131" s="99">
        <f>G131+'7'!H131</f>
        <v>1639</v>
      </c>
      <c r="I131" s="165"/>
      <c r="J131" s="328">
        <f>H131/DAY(B2)</f>
        <v>204.875</v>
      </c>
      <c r="N131" s="240"/>
      <c r="O131" s="241"/>
    </row>
    <row r="132" spans="1:15" ht="25.5">
      <c r="A132" s="1266" t="s">
        <v>322</v>
      </c>
      <c r="B132" s="1267"/>
      <c r="C132" s="1268"/>
      <c r="D132" s="151" t="s">
        <v>183</v>
      </c>
      <c r="E132" s="95">
        <f>'7'!F132</f>
        <v>146985</v>
      </c>
      <c r="F132" s="165">
        <v>146985</v>
      </c>
      <c r="G132" s="112">
        <f t="shared" si="10"/>
        <v>0</v>
      </c>
      <c r="H132" s="99">
        <f>G132+'7'!H132</f>
        <v>0</v>
      </c>
      <c r="I132" s="165"/>
      <c r="J132" s="328">
        <f>H132/DAY(B2)</f>
        <v>0</v>
      </c>
    </row>
    <row r="133" spans="1:15" ht="25.5">
      <c r="A133" s="1266" t="s">
        <v>323</v>
      </c>
      <c r="B133" s="1267"/>
      <c r="C133" s="1268"/>
      <c r="D133" s="151" t="s">
        <v>183</v>
      </c>
      <c r="E133" s="95">
        <f>'7'!F133</f>
        <v>271877</v>
      </c>
      <c r="F133" s="165">
        <v>272652</v>
      </c>
      <c r="G133" s="112">
        <f t="shared" si="10"/>
        <v>775</v>
      </c>
      <c r="H133" s="99">
        <f>G133+'7'!H133</f>
        <v>6707</v>
      </c>
      <c r="I133" s="165"/>
      <c r="J133" s="328">
        <f>H133/DAY(B2)</f>
        <v>838.375</v>
      </c>
    </row>
    <row r="134" spans="1:15" ht="25.5">
      <c r="A134" s="1266" t="s">
        <v>340</v>
      </c>
      <c r="B134" s="1267"/>
      <c r="C134" s="1268"/>
      <c r="D134" s="151" t="s">
        <v>183</v>
      </c>
      <c r="E134" s="95">
        <f>'7'!F134</f>
        <v>65435</v>
      </c>
      <c r="F134" s="165">
        <v>65687</v>
      </c>
      <c r="G134" s="112">
        <f t="shared" si="10"/>
        <v>252</v>
      </c>
      <c r="H134" s="99">
        <f>G134+'7'!H134</f>
        <v>2025</v>
      </c>
      <c r="I134" s="165"/>
      <c r="J134" s="328">
        <f>H134/DAY(B2)</f>
        <v>253.125</v>
      </c>
    </row>
    <row r="135" spans="1:15" ht="25.5">
      <c r="A135" s="1261" t="s">
        <v>196</v>
      </c>
      <c r="B135" s="1262"/>
      <c r="C135" s="331"/>
      <c r="D135" s="151"/>
      <c r="E135" s="95"/>
      <c r="F135" s="165"/>
      <c r="G135" s="112">
        <f>SUM(G128:G134)</f>
        <v>2514</v>
      </c>
      <c r="H135" s="99">
        <f>G135+'7'!H135</f>
        <v>20647</v>
      </c>
      <c r="I135" s="327">
        <f>G135-(G35+G49)</f>
        <v>-1137.0499999999884</v>
      </c>
      <c r="J135" s="328">
        <f>H135/DAY(B2)</f>
        <v>2580.875</v>
      </c>
    </row>
    <row r="136" spans="1:15" ht="27.75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9" t="s">
        <v>185</v>
      </c>
      <c r="B138" s="1269"/>
      <c r="C138" s="1269"/>
      <c r="D138" s="151" t="s">
        <v>183</v>
      </c>
      <c r="E138" s="95">
        <f>'7'!F138</f>
        <v>899228</v>
      </c>
      <c r="F138" s="147">
        <v>899392</v>
      </c>
      <c r="G138" s="112">
        <f t="shared" ref="G138:G152" si="11">F138-E138</f>
        <v>164</v>
      </c>
      <c r="H138" s="99">
        <f>G138+'7'!H138</f>
        <v>1187</v>
      </c>
      <c r="I138" s="118"/>
      <c r="J138" s="328">
        <f>H138/DAY(B2)</f>
        <v>148.375</v>
      </c>
    </row>
    <row r="139" spans="1:15" ht="25.5">
      <c r="A139" s="1269" t="s">
        <v>186</v>
      </c>
      <c r="B139" s="1269"/>
      <c r="C139" s="1269"/>
      <c r="D139" s="151" t="s">
        <v>183</v>
      </c>
      <c r="E139" s="95">
        <f>'7'!F139</f>
        <v>919256</v>
      </c>
      <c r="F139" s="148">
        <v>919408</v>
      </c>
      <c r="G139" s="112">
        <f t="shared" si="11"/>
        <v>152</v>
      </c>
      <c r="H139" s="99">
        <f>G139+'7'!H139</f>
        <v>1204</v>
      </c>
      <c r="I139" s="118"/>
      <c r="J139" s="328">
        <f>H139/DAY(B2)</f>
        <v>150.5</v>
      </c>
    </row>
    <row r="140" spans="1:15" ht="25.5">
      <c r="A140" s="1269" t="s">
        <v>187</v>
      </c>
      <c r="B140" s="1269"/>
      <c r="C140" s="1269"/>
      <c r="D140" s="151" t="s">
        <v>183</v>
      </c>
      <c r="E140" s="95">
        <f>'7'!F140</f>
        <v>2423</v>
      </c>
      <c r="F140" s="149">
        <v>2437</v>
      </c>
      <c r="G140" s="112">
        <f t="shared" si="11"/>
        <v>14</v>
      </c>
      <c r="H140" s="99">
        <f>G140+'7'!H140</f>
        <v>94</v>
      </c>
      <c r="I140" s="118"/>
      <c r="J140" s="328">
        <f>H140/DAY(B2)</f>
        <v>11.75</v>
      </c>
    </row>
    <row r="141" spans="1:15" ht="25.5">
      <c r="A141" s="1256" t="s">
        <v>188</v>
      </c>
      <c r="B141" s="1256"/>
      <c r="C141" s="1256"/>
      <c r="D141" s="151" t="s">
        <v>183</v>
      </c>
      <c r="E141" s="95">
        <f>'7'!F141</f>
        <v>105332</v>
      </c>
      <c r="F141" s="149">
        <v>105568</v>
      </c>
      <c r="G141" s="112">
        <f t="shared" si="11"/>
        <v>236</v>
      </c>
      <c r="H141" s="99">
        <f>G141+'7'!H141</f>
        <v>1794</v>
      </c>
      <c r="I141" s="118"/>
      <c r="J141" s="328">
        <f>H141/DAY(B2)</f>
        <v>224.25</v>
      </c>
    </row>
    <row r="142" spans="1:15" ht="25.5">
      <c r="A142" s="1256" t="s">
        <v>189</v>
      </c>
      <c r="B142" s="1256"/>
      <c r="C142" s="1256"/>
      <c r="D142" s="151" t="s">
        <v>183</v>
      </c>
      <c r="E142" s="95">
        <f>'7'!F142</f>
        <v>42459</v>
      </c>
      <c r="F142" s="148">
        <v>42548</v>
      </c>
      <c r="G142" s="112">
        <f t="shared" si="11"/>
        <v>89</v>
      </c>
      <c r="H142" s="99">
        <f>G142+'7'!H142</f>
        <v>733</v>
      </c>
      <c r="I142" s="140"/>
      <c r="J142" s="328">
        <f>H142/DAY(B2)</f>
        <v>91.625</v>
      </c>
    </row>
    <row r="143" spans="1:15" ht="25.5">
      <c r="A143" s="1269" t="s">
        <v>91</v>
      </c>
      <c r="B143" s="1269"/>
      <c r="C143" s="1269"/>
      <c r="D143" s="151" t="s">
        <v>183</v>
      </c>
      <c r="E143" s="95">
        <f>'7'!F143</f>
        <v>10862</v>
      </c>
      <c r="F143" s="149">
        <v>10891</v>
      </c>
      <c r="G143" s="112">
        <f t="shared" si="11"/>
        <v>29</v>
      </c>
      <c r="H143" s="99">
        <f>G143+'7'!H143</f>
        <v>214</v>
      </c>
      <c r="I143" s="140"/>
      <c r="J143" s="328">
        <f>H143/DAY(B2)</f>
        <v>26.75</v>
      </c>
    </row>
    <row r="144" spans="1:15" ht="25.5">
      <c r="A144" s="1256" t="s">
        <v>90</v>
      </c>
      <c r="B144" s="1256"/>
      <c r="C144" s="1256"/>
      <c r="D144" s="151" t="s">
        <v>183</v>
      </c>
      <c r="E144" s="95">
        <f>'7'!F144</f>
        <v>935214</v>
      </c>
      <c r="F144" s="149">
        <v>935439</v>
      </c>
      <c r="G144" s="112">
        <f t="shared" si="11"/>
        <v>225</v>
      </c>
      <c r="H144" s="99">
        <f>G144+'7'!H144</f>
        <v>1918</v>
      </c>
      <c r="I144" s="140"/>
      <c r="J144" s="328">
        <f>H144/DAY(B2)</f>
        <v>239.75</v>
      </c>
    </row>
    <row r="145" spans="1:10" ht="25.5">
      <c r="A145" s="1269" t="s">
        <v>190</v>
      </c>
      <c r="B145" s="1269"/>
      <c r="C145" s="1269"/>
      <c r="D145" s="152" t="s">
        <v>183</v>
      </c>
      <c r="E145" s="95">
        <f>'7'!F145</f>
        <v>14754</v>
      </c>
      <c r="F145" s="148">
        <v>14980</v>
      </c>
      <c r="G145" s="112">
        <f t="shared" si="11"/>
        <v>226</v>
      </c>
      <c r="H145" s="99">
        <f>G145+'7'!H145</f>
        <v>1840</v>
      </c>
      <c r="I145" s="140"/>
      <c r="J145" s="328">
        <f>H145/DAY(B2)</f>
        <v>230</v>
      </c>
    </row>
    <row r="146" spans="1:10" ht="25.5">
      <c r="A146" s="1332" t="s">
        <v>191</v>
      </c>
      <c r="B146" s="1289"/>
      <c r="C146" s="1290"/>
      <c r="D146" s="152" t="s">
        <v>183</v>
      </c>
      <c r="E146" s="95">
        <f>'7'!F146</f>
        <v>784663</v>
      </c>
      <c r="F146" s="148">
        <v>784704</v>
      </c>
      <c r="G146" s="112">
        <f t="shared" si="11"/>
        <v>41</v>
      </c>
      <c r="H146" s="99">
        <f>G146+'7'!H146</f>
        <v>365</v>
      </c>
      <c r="I146" s="140"/>
      <c r="J146" s="328">
        <f>H146/DAY(B2)</f>
        <v>45.625</v>
      </c>
    </row>
    <row r="147" spans="1:10" ht="25.5">
      <c r="A147" s="1256" t="s">
        <v>192</v>
      </c>
      <c r="B147" s="1256"/>
      <c r="C147" s="1256"/>
      <c r="D147" s="152" t="s">
        <v>183</v>
      </c>
      <c r="E147" s="95">
        <f>'7'!F147</f>
        <v>726281</v>
      </c>
      <c r="F147" s="148">
        <v>726688</v>
      </c>
      <c r="G147" s="112">
        <f t="shared" si="11"/>
        <v>407</v>
      </c>
      <c r="H147" s="99">
        <f>G147+'7'!H147</f>
        <v>3166</v>
      </c>
      <c r="I147" s="140"/>
      <c r="J147" s="328">
        <f>H147/DAY(B2)</f>
        <v>395.75</v>
      </c>
    </row>
    <row r="148" spans="1:10" ht="25.5">
      <c r="A148" s="1257" t="s">
        <v>193</v>
      </c>
      <c r="B148" s="1258"/>
      <c r="C148" s="1259"/>
      <c r="D148" s="123" t="s">
        <v>130</v>
      </c>
      <c r="E148" s="95">
        <f>'7'!F148</f>
        <v>768486</v>
      </c>
      <c r="F148" s="150">
        <v>768808</v>
      </c>
      <c r="G148" s="112">
        <f t="shared" si="11"/>
        <v>322</v>
      </c>
      <c r="H148" s="99">
        <f>G148+'7'!H148</f>
        <v>2198</v>
      </c>
      <c r="I148" s="124"/>
      <c r="J148" s="328">
        <f>H148/DAY(B2)</f>
        <v>274.75</v>
      </c>
    </row>
    <row r="149" spans="1:10" ht="25.5">
      <c r="A149" s="1257" t="s">
        <v>336</v>
      </c>
      <c r="B149" s="1258"/>
      <c r="C149" s="1259"/>
      <c r="D149" s="227" t="s">
        <v>130</v>
      </c>
      <c r="E149" s="95">
        <f>'7'!F149</f>
        <v>160889</v>
      </c>
      <c r="F149" s="146">
        <v>161367</v>
      </c>
      <c r="G149" s="112">
        <f t="shared" si="11"/>
        <v>478</v>
      </c>
      <c r="H149" s="99">
        <f>G149+'7'!H149</f>
        <v>3400</v>
      </c>
      <c r="I149" s="119"/>
      <c r="J149" s="328">
        <f>H149/DAY(B2)</f>
        <v>425</v>
      </c>
    </row>
    <row r="150" spans="1:10" ht="25.5">
      <c r="A150" s="1257" t="s">
        <v>337</v>
      </c>
      <c r="B150" s="1258"/>
      <c r="C150" s="1259"/>
      <c r="D150" s="117" t="s">
        <v>130</v>
      </c>
      <c r="E150" s="95">
        <f>'7'!F150</f>
        <v>65533</v>
      </c>
      <c r="F150" s="233">
        <v>65760</v>
      </c>
      <c r="G150" s="112">
        <f t="shared" si="11"/>
        <v>227</v>
      </c>
      <c r="H150" s="99">
        <f>G150+'7'!H150</f>
        <v>1782</v>
      </c>
      <c r="I150" s="119"/>
      <c r="J150" s="328">
        <f>H150/DAY(B2)</f>
        <v>222.75</v>
      </c>
    </row>
    <row r="151" spans="1:10" ht="25.5">
      <c r="A151" s="1257" t="s">
        <v>338</v>
      </c>
      <c r="B151" s="1258"/>
      <c r="C151" s="1259"/>
      <c r="D151" s="117" t="s">
        <v>130</v>
      </c>
      <c r="E151" s="95">
        <f>'7'!F151</f>
        <v>150145</v>
      </c>
      <c r="F151" s="233">
        <v>150214</v>
      </c>
      <c r="G151" s="112">
        <f t="shared" si="11"/>
        <v>69</v>
      </c>
      <c r="H151" s="99">
        <f>G151+'7'!H151</f>
        <v>426</v>
      </c>
      <c r="I151" s="119"/>
      <c r="J151" s="328">
        <f>H151/DAY(B2)</f>
        <v>53.25</v>
      </c>
    </row>
    <row r="152" spans="1:10" ht="25.5">
      <c r="A152" s="1257" t="s">
        <v>339</v>
      </c>
      <c r="B152" s="1258"/>
      <c r="C152" s="1259"/>
      <c r="D152" s="117" t="s">
        <v>130</v>
      </c>
      <c r="E152" s="95">
        <f>'7'!F152</f>
        <v>31509</v>
      </c>
      <c r="F152" s="233">
        <v>31638</v>
      </c>
      <c r="G152" s="112">
        <f t="shared" si="11"/>
        <v>129</v>
      </c>
      <c r="H152" s="99">
        <f>G152+'7'!H152</f>
        <v>1024</v>
      </c>
      <c r="I152" s="119"/>
      <c r="J152" s="328">
        <f>H152/DAY(B2)</f>
        <v>128</v>
      </c>
    </row>
    <row r="153" spans="1:10" ht="25.5">
      <c r="A153" s="1261" t="s">
        <v>196</v>
      </c>
      <c r="B153" s="1262"/>
      <c r="C153" s="362"/>
      <c r="D153" s="355"/>
      <c r="E153" s="357"/>
      <c r="F153" s="358"/>
      <c r="G153" s="359">
        <f>SUM(G138:G152)</f>
        <v>2808</v>
      </c>
      <c r="H153" s="360"/>
      <c r="I153" s="119">
        <f>G153-(G38+G52)</f>
        <v>498</v>
      </c>
      <c r="J153" s="363"/>
    </row>
    <row r="154" spans="1:10" ht="27.75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0" ht="27.75">
      <c r="A155" s="1256" t="s">
        <v>345</v>
      </c>
      <c r="B155" s="1256"/>
      <c r="C155" s="1256"/>
      <c r="D155" s="117" t="s">
        <v>130</v>
      </c>
      <c r="E155" s="95">
        <f>'7'!F155</f>
        <v>189580</v>
      </c>
      <c r="F155" s="365">
        <v>190095</v>
      </c>
      <c r="G155" s="112">
        <f t="shared" ref="G155:G158" si="12">F155-E155</f>
        <v>515</v>
      </c>
      <c r="H155" s="99">
        <f>G155+'7'!H155</f>
        <v>4354</v>
      </c>
      <c r="I155" s="361"/>
      <c r="J155" s="328">
        <f>H155/DAY(B2)</f>
        <v>544.25</v>
      </c>
    </row>
    <row r="156" spans="1:10" ht="25.5">
      <c r="A156" s="1256" t="s">
        <v>346</v>
      </c>
      <c r="B156" s="1256"/>
      <c r="C156" s="1256"/>
      <c r="D156" s="117" t="s">
        <v>130</v>
      </c>
      <c r="E156" s="95">
        <f>'7'!F156</f>
        <v>21389</v>
      </c>
      <c r="F156" s="155">
        <v>21483</v>
      </c>
      <c r="G156" s="112">
        <f t="shared" si="12"/>
        <v>94</v>
      </c>
      <c r="H156" s="99">
        <f>G156+'7'!H156</f>
        <v>744</v>
      </c>
      <c r="I156" s="165"/>
      <c r="J156" s="328">
        <f>H156/DAY(B2)</f>
        <v>93</v>
      </c>
    </row>
    <row r="157" spans="1:10" ht="25.5">
      <c r="A157" s="1257" t="s">
        <v>358</v>
      </c>
      <c r="B157" s="1258"/>
      <c r="C157" s="1259"/>
      <c r="D157" s="117" t="s">
        <v>130</v>
      </c>
      <c r="E157" s="95">
        <f>'7'!F157</f>
        <v>37021</v>
      </c>
      <c r="F157" s="155">
        <v>37237</v>
      </c>
      <c r="G157" s="112">
        <f t="shared" si="12"/>
        <v>216</v>
      </c>
      <c r="H157" s="99">
        <f>G157+'7'!H157</f>
        <v>1113</v>
      </c>
      <c r="I157" s="165"/>
      <c r="J157" s="328">
        <f>H157/DAY(B2)</f>
        <v>139.125</v>
      </c>
    </row>
    <row r="158" spans="1:10" ht="25.5">
      <c r="A158" s="1257" t="s">
        <v>359</v>
      </c>
      <c r="B158" s="1258"/>
      <c r="C158" s="1259"/>
      <c r="D158" s="117" t="s">
        <v>130</v>
      </c>
      <c r="E158" s="95">
        <f>'7'!F158</f>
        <v>673</v>
      </c>
      <c r="F158" s="155">
        <v>697</v>
      </c>
      <c r="G158" s="112">
        <f t="shared" si="12"/>
        <v>24</v>
      </c>
      <c r="H158" s="99">
        <f>G158+'7'!H158</f>
        <v>192.37</v>
      </c>
      <c r="I158" s="165"/>
      <c r="J158" s="328">
        <f>H158/DAY(B2)</f>
        <v>24.046250000000001</v>
      </c>
    </row>
    <row r="159" spans="1:10" ht="25.5">
      <c r="A159" s="1263"/>
      <c r="B159" s="1264"/>
      <c r="C159" s="1265"/>
      <c r="D159" s="117"/>
      <c r="E159" s="95"/>
      <c r="F159" s="155"/>
      <c r="G159" s="112"/>
      <c r="H159" s="99"/>
      <c r="I159" s="165"/>
      <c r="J159" s="328"/>
    </row>
    <row r="160" spans="1:10" ht="27.75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26.25">
      <c r="A161" s="242" t="s">
        <v>92</v>
      </c>
      <c r="B161" s="243"/>
      <c r="C161" s="243"/>
      <c r="D161" s="244" t="s">
        <v>180</v>
      </c>
      <c r="E161" s="95">
        <f>'7'!F161</f>
        <v>490363</v>
      </c>
      <c r="F161" s="235">
        <v>490652</v>
      </c>
      <c r="G161" s="238">
        <f t="shared" ref="G161:G165" si="13">F161-E161</f>
        <v>289</v>
      </c>
      <c r="H161" s="99">
        <f>G161+'7'!H161</f>
        <v>2329</v>
      </c>
      <c r="I161" s="236"/>
      <c r="J161" s="239">
        <f>H161/DAY(B2)</f>
        <v>291.125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'7'!F162</f>
        <v>97549</v>
      </c>
      <c r="F162" s="235">
        <v>97573</v>
      </c>
      <c r="G162" s="238">
        <f t="shared" si="13"/>
        <v>24</v>
      </c>
      <c r="H162" s="99">
        <f>G162+'7'!H162</f>
        <v>285</v>
      </c>
      <c r="I162" s="236"/>
      <c r="J162" s="239">
        <f>H162/DAY(B2)</f>
        <v>35.625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'7'!F163</f>
        <v>14961</v>
      </c>
      <c r="F163" s="235">
        <v>15096</v>
      </c>
      <c r="G163" s="238">
        <f t="shared" si="13"/>
        <v>135</v>
      </c>
      <c r="H163" s="99">
        <f>G163+'7'!H163</f>
        <v>932</v>
      </c>
      <c r="I163" s="236"/>
      <c r="J163" s="239">
        <f>H163/DAY(B2)</f>
        <v>116.5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'7'!F164</f>
        <v>6662</v>
      </c>
      <c r="F164" s="235">
        <v>6671</v>
      </c>
      <c r="G164" s="238">
        <f t="shared" si="13"/>
        <v>9</v>
      </c>
      <c r="H164" s="99">
        <f>G164+'7'!H164</f>
        <v>59</v>
      </c>
      <c r="I164" s="236"/>
      <c r="J164" s="239">
        <f>H164/DAY(B2)</f>
        <v>7.375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'7'!F165</f>
        <v>32188</v>
      </c>
      <c r="F165" s="235">
        <v>32192</v>
      </c>
      <c r="G165" s="238">
        <f t="shared" si="13"/>
        <v>4</v>
      </c>
      <c r="H165" s="99">
        <f>G165+'7'!H165</f>
        <v>51</v>
      </c>
      <c r="I165" s="236"/>
      <c r="J165" s="239">
        <f>H165/DAY(B2)</f>
        <v>6.375</v>
      </c>
    </row>
    <row r="166" spans="1:10" ht="26.25">
      <c r="A166" s="1274"/>
      <c r="B166" s="1274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6.25">
      <c r="A167" s="1274"/>
      <c r="B167" s="1274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6.25">
      <c r="A168" s="1274"/>
      <c r="B168" s="1274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5.5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54" t="s">
        <v>209</v>
      </c>
      <c r="B173" s="1255"/>
      <c r="C173" s="333"/>
      <c r="D173" s="228" t="s">
        <v>142</v>
      </c>
      <c r="E173" s="95">
        <f>'7'!F173</f>
        <v>8591</v>
      </c>
      <c r="F173" s="155">
        <v>8591</v>
      </c>
      <c r="G173" s="155">
        <f>F173-E173</f>
        <v>0</v>
      </c>
      <c r="H173" s="99">
        <f>G173+'7'!H173</f>
        <v>10</v>
      </c>
      <c r="I173" s="155"/>
      <c r="J173" s="178">
        <f>H173/DAY(B2)</f>
        <v>1.25</v>
      </c>
    </row>
    <row r="174" spans="1:10" ht="25.5">
      <c r="A174" s="1254" t="s">
        <v>75</v>
      </c>
      <c r="B174" s="1255"/>
      <c r="C174" s="333"/>
      <c r="D174" s="228" t="s">
        <v>142</v>
      </c>
      <c r="E174" s="95">
        <f>'7'!F174</f>
        <v>42046</v>
      </c>
      <c r="F174" s="157">
        <v>42062</v>
      </c>
      <c r="G174" s="155">
        <f t="shared" ref="G174:G175" si="14">F174-E174</f>
        <v>16</v>
      </c>
      <c r="H174" s="99">
        <f>G174+'7'!H174</f>
        <v>100</v>
      </c>
      <c r="I174" s="155"/>
      <c r="J174" s="178">
        <f>H174/DAY(B2)</f>
        <v>12.5</v>
      </c>
    </row>
    <row r="175" spans="1:10" ht="25.5">
      <c r="A175" s="1254" t="s">
        <v>76</v>
      </c>
      <c r="B175" s="1324"/>
      <c r="C175" s="1255"/>
      <c r="D175" s="228" t="s">
        <v>142</v>
      </c>
      <c r="E175" s="95">
        <f>'7'!F175</f>
        <v>24773</v>
      </c>
      <c r="F175" s="155">
        <v>24783</v>
      </c>
      <c r="G175" s="155">
        <f t="shared" si="14"/>
        <v>10</v>
      </c>
      <c r="H175" s="99">
        <f>G175+'7'!H175</f>
        <v>86</v>
      </c>
      <c r="I175" s="155"/>
      <c r="J175" s="178">
        <f>H175/DAY(B2)</f>
        <v>10.75</v>
      </c>
    </row>
    <row r="176" spans="1:10" ht="25.5">
      <c r="A176" s="1261" t="s">
        <v>196</v>
      </c>
      <c r="B176" s="1262"/>
      <c r="C176" s="333"/>
      <c r="D176" s="228" t="s">
        <v>142</v>
      </c>
      <c r="E176" s="95"/>
      <c r="F176" s="155"/>
      <c r="G176" s="155">
        <f>SUM(G173:G175)</f>
        <v>26</v>
      </c>
      <c r="H176" s="99">
        <f>G176+'7'!H176</f>
        <v>196</v>
      </c>
      <c r="I176" s="155"/>
      <c r="J176" s="178">
        <f>H176/DAY(B2)</f>
        <v>24.5</v>
      </c>
    </row>
    <row r="177" spans="1:10" ht="25.5">
      <c r="A177" s="1254" t="s">
        <v>77</v>
      </c>
      <c r="B177" s="1255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5.5">
      <c r="A178" s="1254" t="s">
        <v>210</v>
      </c>
      <c r="B178" s="1255"/>
      <c r="C178" s="333"/>
      <c r="D178" s="228" t="s">
        <v>142</v>
      </c>
      <c r="E178" s="95">
        <f>'7'!F178</f>
        <v>102114</v>
      </c>
      <c r="F178" s="157">
        <v>102114</v>
      </c>
      <c r="G178" s="155">
        <f>F178-E178</f>
        <v>0</v>
      </c>
      <c r="H178" s="99">
        <f>G178+'7'!H178</f>
        <v>0</v>
      </c>
      <c r="I178" s="155"/>
      <c r="J178" s="178">
        <f>H178/DAY(B2)</f>
        <v>0</v>
      </c>
    </row>
    <row r="179" spans="1:10" ht="25.5">
      <c r="A179" s="1254" t="s">
        <v>211</v>
      </c>
      <c r="B179" s="1255"/>
      <c r="C179" s="333"/>
      <c r="D179" s="228" t="s">
        <v>142</v>
      </c>
      <c r="E179" s="95">
        <f>'7'!F179</f>
        <v>37501</v>
      </c>
      <c r="F179" s="155">
        <v>37501</v>
      </c>
      <c r="G179" s="155">
        <f t="shared" ref="G179:G180" si="15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5.5">
      <c r="A180" s="1254" t="s">
        <v>212</v>
      </c>
      <c r="B180" s="1255"/>
      <c r="C180" s="333"/>
      <c r="D180" s="228" t="s">
        <v>142</v>
      </c>
      <c r="E180" s="95">
        <f>'7'!F180</f>
        <v>7231</v>
      </c>
      <c r="F180" s="155">
        <v>7231</v>
      </c>
      <c r="G180" s="155">
        <f t="shared" si="15"/>
        <v>0</v>
      </c>
      <c r="H180" s="99">
        <f>G180+'7'!H180</f>
        <v>0</v>
      </c>
      <c r="I180" s="155"/>
      <c r="J180" s="178">
        <f>H180/DAY(B2)</f>
        <v>0</v>
      </c>
    </row>
    <row r="181" spans="1:10" ht="25.5">
      <c r="A181" s="1325" t="s">
        <v>108</v>
      </c>
      <c r="B181" s="1326"/>
      <c r="C181" s="333"/>
      <c r="D181" s="228" t="s">
        <v>142</v>
      </c>
      <c r="E181" s="95"/>
      <c r="F181" s="155"/>
      <c r="G181" s="155">
        <f>SUM(G178:G180)</f>
        <v>0</v>
      </c>
      <c r="H181" s="99">
        <f>G181+'7'!H181</f>
        <v>0</v>
      </c>
      <c r="I181" s="155"/>
      <c r="J181" s="178">
        <f>H181/DAY(B2)</f>
        <v>0</v>
      </c>
    </row>
    <row r="182" spans="1:10" ht="25.5">
      <c r="A182" s="1254" t="s">
        <v>213</v>
      </c>
      <c r="B182" s="1255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5.5">
      <c r="A183" s="1254" t="s">
        <v>214</v>
      </c>
      <c r="B183" s="1255"/>
      <c r="C183" s="334"/>
      <c r="D183" s="228" t="s">
        <v>142</v>
      </c>
      <c r="E183" s="95">
        <f>'7'!F183</f>
        <v>17876</v>
      </c>
      <c r="F183" s="157">
        <v>17881</v>
      </c>
      <c r="G183" s="157">
        <f>F183-E183</f>
        <v>5</v>
      </c>
      <c r="H183" s="99">
        <f>G183+'7'!H183</f>
        <v>33</v>
      </c>
      <c r="I183" s="155"/>
      <c r="J183" s="178">
        <f>H183/DAY(B2)</f>
        <v>4.125</v>
      </c>
    </row>
    <row r="184" spans="1:10" ht="25.5">
      <c r="A184" s="1254" t="s">
        <v>215</v>
      </c>
      <c r="B184" s="1255"/>
      <c r="C184" s="334"/>
      <c r="D184" s="228" t="s">
        <v>142</v>
      </c>
      <c r="E184" s="95">
        <f>'7'!F184</f>
        <v>12398</v>
      </c>
      <c r="F184" s="157">
        <v>12405</v>
      </c>
      <c r="G184" s="157">
        <f t="shared" ref="G184:G185" si="16">F184-E184</f>
        <v>7</v>
      </c>
      <c r="H184" s="99">
        <f>G184+'7'!H184</f>
        <v>56</v>
      </c>
      <c r="I184" s="155"/>
      <c r="J184" s="178">
        <f>H184/DAY(B2)</f>
        <v>7</v>
      </c>
    </row>
    <row r="185" spans="1:10" ht="25.5">
      <c r="A185" s="1254" t="s">
        <v>216</v>
      </c>
      <c r="B185" s="1255"/>
      <c r="C185" s="334"/>
      <c r="D185" s="228" t="s">
        <v>142</v>
      </c>
      <c r="E185" s="95">
        <f>'7'!F185</f>
        <v>0</v>
      </c>
      <c r="F185" s="157"/>
      <c r="G185" s="157">
        <f t="shared" si="16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1261" t="s">
        <v>196</v>
      </c>
      <c r="B186" s="1262"/>
      <c r="C186" s="334"/>
      <c r="D186" s="228" t="s">
        <v>142</v>
      </c>
      <c r="E186" s="95"/>
      <c r="F186" s="157"/>
      <c r="G186" s="157">
        <f>SUM(G183:G185)</f>
        <v>12</v>
      </c>
      <c r="H186" s="99">
        <f>G186+'7'!H186</f>
        <v>89</v>
      </c>
      <c r="I186" s="157"/>
      <c r="J186" s="178">
        <f>H186/DAY(B2)</f>
        <v>11.125</v>
      </c>
    </row>
    <row r="187" spans="1:10" ht="25.5">
      <c r="A187" s="1250" t="s">
        <v>217</v>
      </c>
      <c r="B187" s="1251"/>
      <c r="C187" s="333"/>
      <c r="D187" s="230" t="s">
        <v>142</v>
      </c>
      <c r="E187" s="95"/>
      <c r="F187" s="159"/>
      <c r="G187" s="159">
        <f>G62+G19</f>
        <v>159</v>
      </c>
      <c r="H187" s="99">
        <f>G187+'7'!H187</f>
        <v>1137</v>
      </c>
      <c r="I187" s="158"/>
      <c r="J187" s="179">
        <f>H187/DAY(B2)</f>
        <v>142.125</v>
      </c>
    </row>
    <row r="188" spans="1:10" ht="25.5">
      <c r="A188" s="1250" t="s">
        <v>218</v>
      </c>
      <c r="B188" s="1251"/>
      <c r="C188" s="333"/>
      <c r="D188" s="230" t="s">
        <v>142</v>
      </c>
      <c r="E188" s="95"/>
      <c r="F188" s="159"/>
      <c r="G188" s="159">
        <f>G65+G66+G67+G69+G70</f>
        <v>176</v>
      </c>
      <c r="H188" s="99">
        <f>G188+'7'!H188</f>
        <v>1180</v>
      </c>
      <c r="I188" s="158"/>
      <c r="J188" s="179">
        <f>H188/DAY(B2)</f>
        <v>147.5</v>
      </c>
    </row>
    <row r="189" spans="1:10" ht="25.5">
      <c r="A189" s="1250" t="s">
        <v>219</v>
      </c>
      <c r="B189" s="1251"/>
      <c r="C189" s="333"/>
      <c r="D189" s="230" t="s">
        <v>142</v>
      </c>
      <c r="E189" s="95"/>
      <c r="F189" s="157"/>
      <c r="G189" s="157">
        <f>G181</f>
        <v>0</v>
      </c>
      <c r="H189" s="99">
        <f>G189+'7'!H189</f>
        <v>0</v>
      </c>
      <c r="I189" s="158"/>
      <c r="J189" s="179">
        <f>H189/DAY(B2)</f>
        <v>0</v>
      </c>
    </row>
    <row r="190" spans="1:10" ht="25.5">
      <c r="A190" s="1252"/>
      <c r="B190" s="1253"/>
      <c r="C190" s="376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ht="26.25"/>
    <row r="194" ht="20.25" customHeight="1"/>
    <row r="195" ht="20.25" customHeight="1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67" zoomScale="55" zoomScaleNormal="80" zoomScaleSheetLayoutView="55" workbookViewId="0">
      <selection activeCell="G143" sqref="G14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3.25">
      <c r="A2" s="191" t="s">
        <v>368</v>
      </c>
      <c r="B2" s="262">
        <v>44843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'8'!F7</f>
        <v>80633</v>
      </c>
      <c r="F7" s="95">
        <v>106139.88</v>
      </c>
      <c r="G7" s="112">
        <f>F7-E7</f>
        <v>25506.880000000005</v>
      </c>
      <c r="H7" s="99">
        <f>G7+'8'!H7</f>
        <v>224303.88</v>
      </c>
      <c r="I7" s="113">
        <f>'1'!I7</f>
        <v>12000</v>
      </c>
      <c r="J7" s="175">
        <f>H7/DAY(B2)</f>
        <v>24922.653333333335</v>
      </c>
      <c r="K7" s="172">
        <v>1375467</v>
      </c>
      <c r="L7" s="66"/>
      <c r="N7" s="87">
        <f>G7+600</f>
        <v>26106.880000000005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'8'!F8</f>
        <v>250900</v>
      </c>
      <c r="F8" s="95">
        <v>276753.95</v>
      </c>
      <c r="G8" s="115">
        <f>F8-E8</f>
        <v>25853.950000000012</v>
      </c>
      <c r="H8" s="99">
        <f>G8+'8'!H8</f>
        <v>227373.95</v>
      </c>
      <c r="I8" s="116"/>
      <c r="J8" s="175">
        <f>H8/DAY(B2)</f>
        <v>25263.772222222222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'8'!F9</f>
        <v>3756337</v>
      </c>
      <c r="F9" s="352">
        <v>3763714.3</v>
      </c>
      <c r="G9" s="112">
        <f>F9-E9</f>
        <v>7377.2999999998137</v>
      </c>
      <c r="H9" s="99">
        <f>G9+'8'!H9</f>
        <v>57007.299999999814</v>
      </c>
      <c r="I9" s="124">
        <f>I7-J7</f>
        <v>-12922.653333333335</v>
      </c>
      <c r="J9" s="175">
        <f>H9/DAY(B2)</f>
        <v>6334.1444444444242</v>
      </c>
      <c r="K9" s="79">
        <f>K8-100</f>
        <v>1715817</v>
      </c>
      <c r="L9" s="66"/>
      <c r="N9" s="87">
        <f>E8+234223+600</f>
        <v>485723</v>
      </c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'8'!F10</f>
        <v>2886735</v>
      </c>
      <c r="F10" s="117">
        <v>2904199.3</v>
      </c>
      <c r="G10" s="112">
        <f t="shared" ref="G10:G12" si="0">F10-E10</f>
        <v>17464.299999999814</v>
      </c>
      <c r="H10" s="99">
        <f>G10+'8'!H10</f>
        <v>161505.29999999981</v>
      </c>
      <c r="I10" s="282"/>
      <c r="J10" s="175">
        <f>H10/DAY(B2)</f>
        <v>17945.033333333311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'8'!F11</f>
        <v>37560</v>
      </c>
      <c r="F11" s="95">
        <v>37560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'8'!F12</f>
        <v>40380</v>
      </c>
      <c r="F12" s="117">
        <v>40380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24841.599999999627</v>
      </c>
      <c r="H13" s="99">
        <f>G13+'8'!H13</f>
        <v>219972.59999999963</v>
      </c>
      <c r="I13" s="120">
        <f>G7-G13</f>
        <v>665.28000000037719</v>
      </c>
      <c r="J13" s="175">
        <f>H13/DAY(B2)</f>
        <v>24441.399999999958</v>
      </c>
      <c r="K13" s="79"/>
      <c r="L13" s="66"/>
      <c r="N13" s="87"/>
      <c r="O13" s="71"/>
    </row>
    <row r="14" spans="1:15" ht="26.25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'8'!F15</f>
        <v>2169520</v>
      </c>
      <c r="F15" s="447">
        <v>2170613</v>
      </c>
      <c r="G15" s="112">
        <f>(F15-E15)</f>
        <v>1093</v>
      </c>
      <c r="H15" s="99">
        <f>G15+'8'!H15</f>
        <v>9098</v>
      </c>
      <c r="I15" s="113">
        <f>'1'!I15</f>
        <v>800</v>
      </c>
      <c r="J15" s="175">
        <f>H15/DAY(B2)</f>
        <v>1010.8888888888889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-210.88888888888891</v>
      </c>
      <c r="J16" s="176"/>
      <c r="K16" s="79"/>
      <c r="L16" s="66"/>
      <c r="N16" s="87"/>
      <c r="O16" s="71"/>
    </row>
    <row r="17" spans="1:15" ht="26.25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81" t="s">
        <v>141</v>
      </c>
      <c r="B18" s="1282"/>
      <c r="C18" s="1283"/>
      <c r="D18" s="151" t="s">
        <v>142</v>
      </c>
      <c r="E18" s="95">
        <f>'8'!F18</f>
        <v>24</v>
      </c>
      <c r="F18" s="164">
        <v>28</v>
      </c>
      <c r="G18" s="119">
        <f>F18*10</f>
        <v>280</v>
      </c>
      <c r="H18" s="99">
        <f>G18+'8'!H18</f>
        <v>2160</v>
      </c>
      <c r="I18" s="113">
        <f>'1'!I18</f>
        <v>65</v>
      </c>
      <c r="J18" s="175">
        <f>H18/DAY(B2)</f>
        <v>240</v>
      </c>
      <c r="K18" s="79"/>
      <c r="L18" s="66"/>
      <c r="N18" s="87"/>
      <c r="O18" s="71"/>
    </row>
    <row r="19" spans="1:15" ht="25.5">
      <c r="A19" s="1281" t="s">
        <v>69</v>
      </c>
      <c r="B19" s="1282"/>
      <c r="C19" s="1283"/>
      <c r="D19" s="151" t="s">
        <v>142</v>
      </c>
      <c r="E19" s="95">
        <f>'8'!F19</f>
        <v>165871</v>
      </c>
      <c r="F19" s="122">
        <v>165923</v>
      </c>
      <c r="G19" s="112">
        <f t="shared" ref="G19" si="1">F19-E19</f>
        <v>52</v>
      </c>
      <c r="H19" s="99">
        <f>G19+'8'!H19</f>
        <v>482</v>
      </c>
      <c r="I19" s="335"/>
      <c r="J19" s="175">
        <f>H19/DAY(B2)</f>
        <v>53.555555555555557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332</v>
      </c>
      <c r="H20" s="99">
        <f>G20+'8'!H20</f>
        <v>2642</v>
      </c>
      <c r="I20" s="336">
        <f>I18-J20</f>
        <v>-228.55555555555554</v>
      </c>
      <c r="J20" s="175">
        <f>H20/DAY(B2)</f>
        <v>293.55555555555554</v>
      </c>
      <c r="K20" s="79"/>
      <c r="L20" s="66"/>
      <c r="N20" s="87"/>
      <c r="O20" s="71"/>
    </row>
    <row r="21" spans="1:15" ht="26.25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25853.950000000012</v>
      </c>
      <c r="F27" s="136">
        <v>10</v>
      </c>
      <c r="G27" s="137">
        <f>E27*F27</f>
        <v>258539.50000000012</v>
      </c>
      <c r="H27" s="99">
        <f>G27+'8'!H27</f>
        <v>2273739.5</v>
      </c>
      <c r="I27" s="138"/>
      <c r="J27" s="175">
        <f>H27/DAY(B2)</f>
        <v>252637.72222222222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1093</v>
      </c>
      <c r="F28" s="136">
        <v>75</v>
      </c>
      <c r="G28" s="137">
        <f>E28*F28</f>
        <v>81975</v>
      </c>
      <c r="H28" s="99">
        <f>G28+'8'!H28</f>
        <v>682350</v>
      </c>
      <c r="I28" s="140"/>
      <c r="J28" s="175">
        <f>H28/DAY(B2)</f>
        <v>75816.666666666672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G30+'8'!H30</f>
        <v>72782</v>
      </c>
      <c r="I30" s="140"/>
      <c r="J30" s="175">
        <f>H30/DAY(B2)</f>
        <v>8086.8888888888887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85</v>
      </c>
      <c r="G31" s="137">
        <f>E31*F31</f>
        <v>23800</v>
      </c>
      <c r="H31" s="99">
        <f>G31+'8'!H31</f>
        <v>180450</v>
      </c>
      <c r="I31" s="140"/>
      <c r="J31" s="175">
        <f>H31/DAY(B2)</f>
        <v>20050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372166.50000000012</v>
      </c>
      <c r="H32" s="99">
        <f>G32+'8'!H32</f>
        <v>3209321.5</v>
      </c>
      <c r="I32" s="144"/>
      <c r="J32" s="175">
        <f>H32/DAY(B2)</f>
        <v>356591.27777777775</v>
      </c>
      <c r="K32" s="63"/>
      <c r="L32" s="89"/>
      <c r="N32" s="87"/>
      <c r="O32" s="71"/>
    </row>
    <row r="33" spans="1:15" ht="25.5" customHeight="1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f>'8'!F35</f>
        <v>238713.05</v>
      </c>
      <c r="F35" s="145">
        <v>239892.19</v>
      </c>
      <c r="G35" s="112">
        <f t="shared" ref="G35:G46" si="3">F35-E35</f>
        <v>1179.140000000014</v>
      </c>
      <c r="H35" s="99">
        <f>G35+'8'!H35</f>
        <v>1179.140000000014</v>
      </c>
      <c r="I35" s="95"/>
      <c r="J35" s="175">
        <f>H35/DAY(B2)</f>
        <v>131.01555555555711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f>'8'!F36</f>
        <v>275493</v>
      </c>
      <c r="F36" s="145">
        <v>276351.43</v>
      </c>
      <c r="G36" s="112">
        <f t="shared" si="3"/>
        <v>858.42999999999302</v>
      </c>
      <c r="H36" s="99">
        <f>G36+'8'!H36</f>
        <v>6868.429999999993</v>
      </c>
      <c r="I36" s="95"/>
      <c r="J36" s="175">
        <f>H36/DAY(B2)</f>
        <v>763.1588888888881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f>'8'!F37</f>
        <v>322998.69</v>
      </c>
      <c r="F37" s="145">
        <v>322998.69</v>
      </c>
      <c r="G37" s="112">
        <f t="shared" si="3"/>
        <v>0</v>
      </c>
      <c r="H37" s="99">
        <f>G37+'8'!H37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45">
        <f>'8'!F38</f>
        <v>611625</v>
      </c>
      <c r="F38" s="108">
        <v>613896.71</v>
      </c>
      <c r="G38" s="112">
        <f t="shared" si="3"/>
        <v>2271.7099999999627</v>
      </c>
      <c r="H38" s="99">
        <f>G38+'8'!H38</f>
        <v>20179.709999999963</v>
      </c>
      <c r="I38" s="95"/>
      <c r="J38" s="175">
        <f>H38/DAY(B2)</f>
        <v>2242.189999999996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f>'8'!F39</f>
        <v>591584.18999999994</v>
      </c>
      <c r="F39" s="145">
        <v>591584.18999999994</v>
      </c>
      <c r="G39" s="112">
        <f t="shared" si="3"/>
        <v>0</v>
      </c>
      <c r="H39" s="99">
        <f>G39+'8'!H39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f>'8'!F40</f>
        <v>163969</v>
      </c>
      <c r="F40" s="145">
        <v>164587.46</v>
      </c>
      <c r="G40" s="112">
        <f t="shared" si="3"/>
        <v>618.45999999999185</v>
      </c>
      <c r="H40" s="99">
        <f>G40+'8'!H40</f>
        <v>6607.4599999999919</v>
      </c>
      <c r="I40" s="95"/>
      <c r="J40" s="175">
        <f>H40/DAY(B2)</f>
        <v>734.16222222222132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v>381351.55</v>
      </c>
      <c r="F41" s="145">
        <v>381351.55</v>
      </c>
      <c r="G41" s="112">
        <f t="shared" si="3"/>
        <v>0</v>
      </c>
      <c r="H41" s="99">
        <f>G41+'8'!H41</f>
        <v>1000</v>
      </c>
      <c r="I41" s="95"/>
      <c r="J41" s="175">
        <f>H41/DAY(B2)</f>
        <v>111.11111111111111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f>'8'!F42</f>
        <v>851745</v>
      </c>
      <c r="F42" s="145">
        <v>854941.43</v>
      </c>
      <c r="G42" s="112">
        <f t="shared" si="3"/>
        <v>3196.4300000000512</v>
      </c>
      <c r="H42" s="99">
        <f>G42+'8'!H42</f>
        <v>29854.430000000051</v>
      </c>
      <c r="I42" s="95"/>
      <c r="J42" s="175">
        <f>H42/DAY(B2)</f>
        <v>3317.1588888888946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f>'8'!F43</f>
        <v>407028</v>
      </c>
      <c r="F43" s="145">
        <v>407028</v>
      </c>
      <c r="G43" s="112">
        <f t="shared" si="3"/>
        <v>0</v>
      </c>
      <c r="H43" s="99">
        <f>G43+'8'!H43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8124.1700000000128</v>
      </c>
      <c r="H47" s="99">
        <f>G47+'8'!H47</f>
        <v>65689.170000000013</v>
      </c>
      <c r="I47" s="95"/>
      <c r="J47" s="175">
        <f>H47/DAY(B2)</f>
        <v>7298.796666666668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f>'8'!F49</f>
        <v>750087</v>
      </c>
      <c r="F49" s="145">
        <v>752493.59</v>
      </c>
      <c r="G49" s="112">
        <f t="shared" ref="G49:G58" si="4">F49-E49</f>
        <v>2406.5899999999674</v>
      </c>
      <c r="H49" s="99">
        <f>G49+'8'!H49</f>
        <v>32206.589999999967</v>
      </c>
      <c r="I49" s="95"/>
      <c r="J49" s="175">
        <f>H49/DAY(B2)</f>
        <v>3578.5099999999966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f>'8'!F50</f>
        <v>377502</v>
      </c>
      <c r="F50" s="145">
        <v>379065.15</v>
      </c>
      <c r="G50" s="112">
        <f t="shared" si="4"/>
        <v>1563.1500000000233</v>
      </c>
      <c r="H50" s="99">
        <f>G50+'8'!H50</f>
        <v>13294.150000000023</v>
      </c>
      <c r="I50" s="95"/>
      <c r="J50" s="175">
        <f>H50/DAY(B2)</f>
        <v>1477.1277777777805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f>'8'!F51</f>
        <v>79887</v>
      </c>
      <c r="F51" s="145">
        <v>80920.59</v>
      </c>
      <c r="G51" s="112">
        <f t="shared" si="4"/>
        <v>1033.5899999999965</v>
      </c>
      <c r="H51" s="99">
        <f>G51+'8'!H51</f>
        <v>9193.5899999999965</v>
      </c>
      <c r="I51" s="95"/>
      <c r="J51" s="175">
        <f>H51/DAY(B2)</f>
        <v>1021.5099999999996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f>'8'!F52</f>
        <v>9.76</v>
      </c>
      <c r="F52" s="145">
        <v>9.76</v>
      </c>
      <c r="G52" s="112">
        <f t="shared" si="4"/>
        <v>0</v>
      </c>
      <c r="H52" s="99">
        <f>G52+'8'!H52</f>
        <v>-0.24000000000000021</v>
      </c>
      <c r="I52" s="95"/>
      <c r="J52" s="175">
        <f>H52/DAY(B2)</f>
        <v>-2.6666666666666689E-2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f>'8'!F53</f>
        <v>327806</v>
      </c>
      <c r="F53" s="145">
        <v>331822.23</v>
      </c>
      <c r="G53" s="112">
        <f t="shared" si="4"/>
        <v>4016.2299999999814</v>
      </c>
      <c r="H53" s="99">
        <f>G53+'8'!H53</f>
        <v>37721.229999999981</v>
      </c>
      <c r="I53" s="95"/>
      <c r="J53" s="175">
        <f>H53/DAY(B2)</f>
        <v>4191.2477777777758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f>'8'!F54</f>
        <v>102775</v>
      </c>
      <c r="F54" s="145">
        <v>102946.94</v>
      </c>
      <c r="G54" s="112">
        <f t="shared" si="4"/>
        <v>171.94000000000233</v>
      </c>
      <c r="H54" s="99">
        <f>G54+'8'!H54</f>
        <v>1559.9400000000023</v>
      </c>
      <c r="I54" s="95"/>
      <c r="J54" s="175">
        <f>H54/DAY(B2)</f>
        <v>173.32666666666694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f>'8'!F55</f>
        <v>513798.63</v>
      </c>
      <c r="F55" s="145">
        <v>517271.51</v>
      </c>
      <c r="G55" s="112">
        <f t="shared" si="4"/>
        <v>3472.8800000000047</v>
      </c>
      <c r="H55" s="99">
        <f>G55+'8'!H55</f>
        <v>22788.510000000009</v>
      </c>
      <c r="I55" s="95"/>
      <c r="J55" s="175">
        <f>H55/DAY(B2)</f>
        <v>2532.0566666666678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f>'8'!F56</f>
        <v>154609</v>
      </c>
      <c r="F56" s="145">
        <v>154609.34</v>
      </c>
      <c r="G56" s="112">
        <f t="shared" si="4"/>
        <v>0.33999999999650754</v>
      </c>
      <c r="H56" s="99">
        <f>G56+'8'!H56</f>
        <v>4890.3399999999965</v>
      </c>
      <c r="I56" s="95"/>
      <c r="J56" s="175">
        <f>H56/DAY(B2)</f>
        <v>543.37111111111074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f>'8'!F57</f>
        <v>432872</v>
      </c>
      <c r="F57" s="145">
        <v>436139.03</v>
      </c>
      <c r="G57" s="112">
        <f t="shared" si="4"/>
        <v>3267.0300000000279</v>
      </c>
      <c r="H57" s="99">
        <f>G57+'8'!H57</f>
        <v>27061.030000000028</v>
      </c>
      <c r="I57" s="95"/>
      <c r="J57" s="175">
        <f>H57/DAY(B2)</f>
        <v>3006.7811111111141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f>'8'!F58</f>
        <v>66088</v>
      </c>
      <c r="F58" s="145">
        <v>66346.649999999994</v>
      </c>
      <c r="G58" s="112">
        <f t="shared" si="4"/>
        <v>258.64999999999418</v>
      </c>
      <c r="H58" s="99">
        <f>G58+'8'!H58</f>
        <v>2195.6499999999942</v>
      </c>
      <c r="I58" s="95"/>
      <c r="J58" s="175">
        <f>H58/DAY(B2)</f>
        <v>243.96111111111045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16190.399999999994</v>
      </c>
      <c r="H59" s="99">
        <f>G59+'8'!H59</f>
        <v>150910.79</v>
      </c>
      <c r="I59" s="95">
        <f>G7-G60</f>
        <v>1192.3099999999977</v>
      </c>
      <c r="J59" s="175">
        <f>H59/DAY(B2)</f>
        <v>16767.865555555556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24314.570000000007</v>
      </c>
      <c r="H60" s="99">
        <f>G60+'8'!H60</f>
        <v>216599.96000000002</v>
      </c>
      <c r="I60" s="95">
        <f>G13-G60</f>
        <v>527.02999999962049</v>
      </c>
      <c r="J60" s="175">
        <f>H60/DAY(B2)</f>
        <v>24066.662222222225</v>
      </c>
      <c r="K60" s="79"/>
      <c r="L60" s="66"/>
      <c r="N60" s="87"/>
      <c r="O60" s="71"/>
    </row>
    <row r="61" spans="1:15" s="68" customFormat="1" ht="26.25">
      <c r="A61" s="1278" t="s">
        <v>332</v>
      </c>
      <c r="B61" s="1279"/>
      <c r="C61" s="12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81" t="s">
        <v>198</v>
      </c>
      <c r="B62" s="1282"/>
      <c r="C62" s="1283"/>
      <c r="D62" s="151" t="s">
        <v>142</v>
      </c>
      <c r="E62" s="122">
        <f>'8'!F62</f>
        <v>302772</v>
      </c>
      <c r="F62" s="122">
        <v>302878</v>
      </c>
      <c r="G62" s="112">
        <f t="shared" ref="G62:G63" si="5">F62-E62</f>
        <v>106</v>
      </c>
      <c r="H62" s="99">
        <f>G62+'8'!H62</f>
        <v>813</v>
      </c>
      <c r="I62" s="118"/>
      <c r="J62" s="175">
        <f>H62/DAY(B2)</f>
        <v>90.333333333333329</v>
      </c>
      <c r="K62" s="80"/>
      <c r="L62" s="66"/>
      <c r="N62" s="87"/>
      <c r="O62" s="71"/>
    </row>
    <row r="63" spans="1:15" ht="25.5">
      <c r="A63" s="1281" t="s">
        <v>199</v>
      </c>
      <c r="B63" s="1282"/>
      <c r="C63" s="1283"/>
      <c r="D63" s="151" t="s">
        <v>142</v>
      </c>
      <c r="E63" s="95">
        <f>'8'!F63</f>
        <v>245139</v>
      </c>
      <c r="F63" s="122">
        <v>245139</v>
      </c>
      <c r="G63" s="112">
        <f t="shared" si="5"/>
        <v>0</v>
      </c>
      <c r="H63" s="99">
        <f>G63+'8'!H63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6.25">
      <c r="A64" s="1284" t="s">
        <v>200</v>
      </c>
      <c r="B64" s="1285"/>
      <c r="C64" s="1286"/>
      <c r="D64" s="151"/>
      <c r="E64" s="95">
        <f>'8'!F64</f>
        <v>0</v>
      </c>
      <c r="F64" s="122">
        <v>0</v>
      </c>
      <c r="G64" s="112">
        <f>G62+G63</f>
        <v>106</v>
      </c>
      <c r="H64" s="99">
        <f>G64+'8'!H64</f>
        <v>813</v>
      </c>
      <c r="I64" s="118"/>
      <c r="J64" s="175">
        <f>H64/DAY(B2)</f>
        <v>90.333333333333329</v>
      </c>
      <c r="K64" s="69"/>
      <c r="L64" s="66"/>
      <c r="N64" s="87"/>
      <c r="O64" s="71"/>
    </row>
    <row r="65" spans="1:15" ht="25.5">
      <c r="A65" s="1281" t="s">
        <v>201</v>
      </c>
      <c r="B65" s="1282"/>
      <c r="C65" s="1283"/>
      <c r="D65" s="151" t="s">
        <v>142</v>
      </c>
      <c r="E65" s="95">
        <f>'8'!F65</f>
        <v>461628</v>
      </c>
      <c r="F65" s="122">
        <v>461733</v>
      </c>
      <c r="G65" s="112">
        <f t="shared" ref="G65:G70" si="6">F65-E65</f>
        <v>105</v>
      </c>
      <c r="H65" s="99">
        <f>G65+'8'!H65</f>
        <v>909</v>
      </c>
      <c r="I65" s="118"/>
      <c r="J65" s="175">
        <f>H65/DAY(B2)</f>
        <v>101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'8'!F66</f>
        <v>112698</v>
      </c>
      <c r="F66" s="122">
        <v>112710</v>
      </c>
      <c r="G66" s="112">
        <f t="shared" si="6"/>
        <v>12</v>
      </c>
      <c r="H66" s="99">
        <f>G66+'8'!H66</f>
        <v>105</v>
      </c>
      <c r="I66" s="118"/>
      <c r="J66" s="175">
        <f>H66/DAY(B2)</f>
        <v>11.666666666666666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'8'!F67</f>
        <v>114892</v>
      </c>
      <c r="F67" s="122">
        <v>114909</v>
      </c>
      <c r="G67" s="112">
        <f t="shared" si="6"/>
        <v>17</v>
      </c>
      <c r="H67" s="99">
        <f>G67+'8'!H67</f>
        <v>201</v>
      </c>
      <c r="I67" s="118"/>
      <c r="J67" s="175">
        <f>H67/DAY(B2)</f>
        <v>22.333333333333332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'8'!F68</f>
        <v>166806</v>
      </c>
      <c r="F68" s="122">
        <v>166838</v>
      </c>
      <c r="G68" s="112">
        <f t="shared" si="6"/>
        <v>32</v>
      </c>
      <c r="H68" s="99">
        <f>G68+'8'!H68</f>
        <v>257</v>
      </c>
      <c r="I68" s="118"/>
      <c r="J68" s="175">
        <f>H68/DAY(B2)</f>
        <v>28.555555555555557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'8'!F69</f>
        <v>12588</v>
      </c>
      <c r="F69" s="122">
        <v>12594</v>
      </c>
      <c r="G69" s="112">
        <f t="shared" si="6"/>
        <v>6</v>
      </c>
      <c r="H69" s="99">
        <f>G69+'8'!H69</f>
        <v>30</v>
      </c>
      <c r="I69" s="118"/>
      <c r="J69" s="175">
        <f>H69/DAY(B2)</f>
        <v>3.3333333333333335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'8'!F70</f>
        <v>10408</v>
      </c>
      <c r="F70" s="122">
        <v>10414</v>
      </c>
      <c r="G70" s="112">
        <f t="shared" si="6"/>
        <v>6</v>
      </c>
      <c r="H70" s="99">
        <f>G70+'8'!H70</f>
        <v>81</v>
      </c>
      <c r="I70" s="118"/>
      <c r="J70" s="175">
        <f>H70/DAY(B2)</f>
        <v>9</v>
      </c>
      <c r="K70" s="69"/>
      <c r="L70" s="66"/>
      <c r="N70" s="87"/>
      <c r="O70" s="71"/>
    </row>
    <row r="71" spans="1:15" ht="26.25">
      <c r="A71" s="1284" t="s">
        <v>208</v>
      </c>
      <c r="B71" s="1285"/>
      <c r="C71" s="1286"/>
      <c r="D71" s="152"/>
      <c r="E71" s="152"/>
      <c r="F71" s="152"/>
      <c r="G71" s="153">
        <f>SUM(G65:G70)</f>
        <v>178</v>
      </c>
      <c r="H71" s="99">
        <f>G71+'8'!H71</f>
        <v>1583</v>
      </c>
      <c r="I71" s="154"/>
      <c r="J71" s="175">
        <f>H71/DAY(B2)</f>
        <v>175.88888888888889</v>
      </c>
      <c r="K71" s="69"/>
      <c r="L71" s="66"/>
      <c r="N71" s="87"/>
      <c r="O71" s="71"/>
    </row>
    <row r="72" spans="1:15" s="88" customFormat="1" ht="25.5">
      <c r="A72" s="1287"/>
      <c r="B72" s="126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5" t="s">
        <v>333</v>
      </c>
      <c r="B73" s="1296"/>
      <c r="C73" s="129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81" t="s">
        <v>220</v>
      </c>
      <c r="B74" s="1282"/>
      <c r="C74" s="1283"/>
      <c r="D74" s="151" t="s">
        <v>139</v>
      </c>
      <c r="E74" s="95">
        <f>'8'!F74</f>
        <v>978153</v>
      </c>
      <c r="F74" s="117">
        <v>978466.02</v>
      </c>
      <c r="G74" s="112">
        <f t="shared" ref="G74:G78" si="7">F74-E74</f>
        <v>313.02000000001863</v>
      </c>
      <c r="H74" s="99">
        <f>G74+'8'!H74</f>
        <v>2655.0200000000186</v>
      </c>
      <c r="I74" s="154"/>
      <c r="J74" s="175">
        <f>H74/DAY(B2)</f>
        <v>295.0022222222243</v>
      </c>
      <c r="K74" s="69"/>
      <c r="L74" s="66"/>
      <c r="N74" s="87"/>
      <c r="O74" s="71"/>
    </row>
    <row r="75" spans="1:15" ht="25.5">
      <c r="A75" s="1281" t="s">
        <v>221</v>
      </c>
      <c r="B75" s="1282"/>
      <c r="C75" s="1283"/>
      <c r="D75" s="151" t="s">
        <v>139</v>
      </c>
      <c r="E75" s="95">
        <f>'8'!F75</f>
        <v>73586</v>
      </c>
      <c r="F75" s="123">
        <v>73586</v>
      </c>
      <c r="G75" s="112">
        <f t="shared" si="7"/>
        <v>0</v>
      </c>
      <c r="H75" s="99">
        <f>G75+'8'!H75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288" t="s">
        <v>222</v>
      </c>
      <c r="B76" s="1289"/>
      <c r="C76" s="1290"/>
      <c r="D76" s="151" t="s">
        <v>139</v>
      </c>
      <c r="E76" s="95">
        <f>'8'!F76</f>
        <v>197598</v>
      </c>
      <c r="F76" s="123">
        <v>197705.64</v>
      </c>
      <c r="G76" s="112">
        <f t="shared" si="7"/>
        <v>107.64000000001397</v>
      </c>
      <c r="H76" s="99">
        <f>G76+'8'!H76</f>
        <v>969.64000000001397</v>
      </c>
      <c r="I76" s="154"/>
      <c r="J76" s="175">
        <f>H76/DAY(B2)</f>
        <v>107.73777777777933</v>
      </c>
      <c r="K76" s="69"/>
      <c r="L76" s="66"/>
      <c r="N76" s="87"/>
      <c r="O76" s="71"/>
    </row>
    <row r="77" spans="1:15" ht="25.5">
      <c r="A77" s="1288" t="s">
        <v>223</v>
      </c>
      <c r="B77" s="1289"/>
      <c r="C77" s="1290"/>
      <c r="D77" s="151" t="s">
        <v>139</v>
      </c>
      <c r="E77" s="95">
        <f>'8'!F77</f>
        <v>53707</v>
      </c>
      <c r="F77" s="123">
        <v>53760</v>
      </c>
      <c r="G77" s="112">
        <f t="shared" si="7"/>
        <v>53</v>
      </c>
      <c r="H77" s="99">
        <f>G77+'8'!H77</f>
        <v>408</v>
      </c>
      <c r="I77" s="154"/>
      <c r="J77" s="175">
        <f>H77/DAY(B2)</f>
        <v>45.333333333333336</v>
      </c>
      <c r="K77" s="69"/>
      <c r="L77" s="66"/>
      <c r="N77" s="87"/>
      <c r="O77" s="71"/>
    </row>
    <row r="78" spans="1:15" ht="25.5">
      <c r="A78" s="1288" t="s">
        <v>224</v>
      </c>
      <c r="B78" s="1289"/>
      <c r="C78" s="1290"/>
      <c r="D78" s="151" t="s">
        <v>139</v>
      </c>
      <c r="E78" s="95">
        <f>'8'!F78</f>
        <v>9563.4</v>
      </c>
      <c r="F78" s="123">
        <v>9563.4</v>
      </c>
      <c r="G78" s="112">
        <f t="shared" si="7"/>
        <v>0</v>
      </c>
      <c r="H78" s="99">
        <f>G78+'8'!H78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1288" t="s">
        <v>225</v>
      </c>
      <c r="B79" s="1289"/>
      <c r="C79" s="1290"/>
      <c r="D79" s="151"/>
      <c r="E79" s="95">
        <f>'8'!F79</f>
        <v>0</v>
      </c>
      <c r="F79" s="117"/>
      <c r="G79" s="112">
        <f>G15-SUM(G74:G78)</f>
        <v>619.3399999999674</v>
      </c>
      <c r="H79" s="99">
        <f>G79+'8'!H79</f>
        <v>5065.3399999999674</v>
      </c>
      <c r="I79" s="118"/>
      <c r="J79" s="175"/>
      <c r="K79" s="59"/>
      <c r="L79" s="58"/>
      <c r="N79" s="87"/>
      <c r="O79" s="71"/>
    </row>
    <row r="80" spans="1:15" s="57" customFormat="1" ht="26.25">
      <c r="A80" s="1284" t="s">
        <v>329</v>
      </c>
      <c r="B80" s="1285"/>
      <c r="C80" s="1286"/>
      <c r="D80" s="151"/>
      <c r="E80" s="117"/>
      <c r="F80" s="117"/>
      <c r="G80" s="112">
        <f>SUM(G74:G79)</f>
        <v>1093</v>
      </c>
      <c r="H80" s="99"/>
      <c r="I80" s="118"/>
      <c r="J80" s="175"/>
      <c r="K80" s="59"/>
      <c r="L80" s="58"/>
      <c r="N80" s="87"/>
      <c r="O80" s="71"/>
    </row>
    <row r="81" spans="1:15" ht="25.5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'8'!F84</f>
        <v>43366.5</v>
      </c>
      <c r="F84" s="164">
        <v>43366.18</v>
      </c>
      <c r="G84" s="112">
        <f t="shared" si="8"/>
        <v>-0.31999999999970896</v>
      </c>
      <c r="H84" s="99">
        <f>G84+'8'!H84</f>
        <v>-0.62000000000261934</v>
      </c>
      <c r="I84" s="538"/>
      <c r="J84" s="175">
        <f>H84/DAY(B2)</f>
        <v>-6.8888888889179933E-2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'8'!F85</f>
        <v>5594.45</v>
      </c>
      <c r="F85" s="164">
        <v>5610.05</v>
      </c>
      <c r="G85" s="112">
        <f t="shared" si="8"/>
        <v>15.600000000000364</v>
      </c>
      <c r="H85" s="99">
        <f>G85+'8'!H85</f>
        <v>134.05000000000018</v>
      </c>
      <c r="I85" s="538"/>
      <c r="J85" s="175">
        <f>H85/DAY(B2)</f>
        <v>14.894444444444465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'8'!F86</f>
        <v>46406</v>
      </c>
      <c r="F86" s="164">
        <v>46430.41</v>
      </c>
      <c r="G86" s="112">
        <f t="shared" si="8"/>
        <v>24.410000000003492</v>
      </c>
      <c r="H86" s="99">
        <f>G86+'8'!H86</f>
        <v>158.99000000000524</v>
      </c>
      <c r="I86" s="538"/>
      <c r="J86" s="175">
        <f>H86/DAY(B2)</f>
        <v>17.665555555556139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'8'!F87</f>
        <v>35683</v>
      </c>
      <c r="F87" s="164">
        <v>35683.160000000003</v>
      </c>
      <c r="G87" s="112">
        <f t="shared" si="8"/>
        <v>0.16000000000349246</v>
      </c>
      <c r="H87" s="99">
        <f>G87+'8'!H87</f>
        <v>27.160000000003492</v>
      </c>
      <c r="I87" s="524">
        <f>G84+G85+G86+G87</f>
        <v>39.85000000000764</v>
      </c>
      <c r="J87" s="175">
        <f>H87/DAY(B2)</f>
        <v>3.017777777778166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'8'!F88</f>
        <v>24440.560000000001</v>
      </c>
      <c r="F88" s="164">
        <v>24442.51</v>
      </c>
      <c r="G88" s="112">
        <f t="shared" si="8"/>
        <v>1.9499999999970896</v>
      </c>
      <c r="H88" s="99">
        <f>G88+'8'!H88</f>
        <v>18.549999999999272</v>
      </c>
      <c r="I88" s="524"/>
      <c r="J88" s="175">
        <f>H88/DAY(B2)</f>
        <v>2.0611111111110301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'8'!F89</f>
        <v>28043.82</v>
      </c>
      <c r="F89" s="164">
        <v>28053</v>
      </c>
      <c r="G89" s="112">
        <f t="shared" si="8"/>
        <v>9.180000000000291</v>
      </c>
      <c r="H89" s="99">
        <f>G89+'8'!H89</f>
        <v>65</v>
      </c>
      <c r="I89" s="524">
        <f>G88+G89</f>
        <v>11.129999999997381</v>
      </c>
      <c r="J89" s="175">
        <f>H89/DAY(B2)</f>
        <v>7.2222222222222223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'8'!F90</f>
        <v>73332.600000000006</v>
      </c>
      <c r="F90" s="164">
        <v>73342</v>
      </c>
      <c r="G90" s="112">
        <f t="shared" si="8"/>
        <v>9.3999999999941792</v>
      </c>
      <c r="H90" s="99">
        <f>G90+'8'!H90</f>
        <v>98.259999999994761</v>
      </c>
      <c r="I90" s="524">
        <f>G90</f>
        <v>9.3999999999941792</v>
      </c>
      <c r="J90" s="175">
        <f>H90/DAY(B2)</f>
        <v>10.917777777777196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'8'!F91</f>
        <v>4768.6899999999996</v>
      </c>
      <c r="F91" s="122">
        <v>4780.82</v>
      </c>
      <c r="G91" s="112">
        <f t="shared" si="8"/>
        <v>12.130000000000109</v>
      </c>
      <c r="H91" s="99">
        <f>G91+'8'!H91</f>
        <v>102.38999999999942</v>
      </c>
      <c r="I91" s="572"/>
      <c r="J91" s="175">
        <f>H91/DAY(B2)</f>
        <v>11.376666666666601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'8'!F92</f>
        <v>7000.23</v>
      </c>
      <c r="F92" s="122">
        <v>7000.23</v>
      </c>
      <c r="G92" s="112">
        <f t="shared" si="8"/>
        <v>0</v>
      </c>
      <c r="H92" s="99">
        <f>G92+'8'!H92</f>
        <v>0.22999999999956344</v>
      </c>
      <c r="I92" s="573">
        <f>G91+G92</f>
        <v>12.130000000000109</v>
      </c>
      <c r="J92" s="175">
        <f>H92/DAY(B2)</f>
        <v>2.5555555555507051E-2</v>
      </c>
      <c r="O92" s="71"/>
    </row>
    <row r="93" spans="1:15" ht="26.25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6852.7600000000093</v>
      </c>
      <c r="H94" s="99">
        <f>G94+'8'!H94</f>
        <v>60446.760000000009</v>
      </c>
      <c r="I94" s="118"/>
      <c r="J94" s="175">
        <f>H94/DAY(B2)</f>
        <v>6716.3066666666673</v>
      </c>
      <c r="K94" s="69"/>
      <c r="L94" s="66"/>
      <c r="O94" s="71"/>
    </row>
    <row r="95" spans="1:15" ht="25.5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0.26866319988959875</v>
      </c>
      <c r="H95" s="99">
        <f>G95+'8'!H95</f>
        <v>2.4272026550388452</v>
      </c>
      <c r="I95" s="167"/>
      <c r="J95" s="175">
        <f>H95/DAY(B2)</f>
        <v>0.26968918389320501</v>
      </c>
      <c r="K95" s="69"/>
      <c r="L95" s="66"/>
      <c r="O95" s="71"/>
    </row>
    <row r="96" spans="1:15" ht="25.5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6669.6500000000524</v>
      </c>
      <c r="H96" s="99">
        <f>G96+'8'!H96</f>
        <v>58533.280000000057</v>
      </c>
      <c r="I96" s="118"/>
      <c r="J96" s="175">
        <f>H96/DAY(B2)</f>
        <v>6503.6977777777838</v>
      </c>
      <c r="K96" s="69"/>
      <c r="L96" s="66"/>
      <c r="O96" s="71"/>
    </row>
    <row r="97" spans="1:15" ht="25.5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0.26148435245706458</v>
      </c>
      <c r="H97" s="99">
        <f>G97+'8'!H97</f>
        <v>2.3510305060653667</v>
      </c>
      <c r="I97" s="167"/>
      <c r="J97" s="175">
        <f>H97/DAY(B2)</f>
        <v>0.26122561178504072</v>
      </c>
      <c r="K97" s="69"/>
      <c r="L97" s="66"/>
      <c r="O97" s="71"/>
    </row>
    <row r="98" spans="1:15" ht="25.5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4016.2299999999814</v>
      </c>
      <c r="H98" s="99">
        <f>G98+'8'!H98</f>
        <v>37721.229999999981</v>
      </c>
      <c r="I98" s="168"/>
      <c r="J98" s="175">
        <f>H98/DAY(B2)</f>
        <v>4191.2477777777758</v>
      </c>
      <c r="K98" s="69"/>
      <c r="L98" s="66"/>
      <c r="O98" s="71"/>
    </row>
    <row r="99" spans="1:15" ht="25.5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0.15745673324216763</v>
      </c>
      <c r="H99" s="99">
        <f>G99+'8'!H99</f>
        <v>1.5146119189380434</v>
      </c>
      <c r="I99" s="168"/>
      <c r="J99" s="175">
        <f>H99/DAY(B2)</f>
        <v>0.16829021321533816</v>
      </c>
      <c r="O99" s="71"/>
    </row>
    <row r="100" spans="1:15" ht="26.25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2271.7099999999627</v>
      </c>
      <c r="H100" s="99">
        <f>G100+'8'!H100</f>
        <v>20179.469999999965</v>
      </c>
      <c r="I100" s="118"/>
      <c r="J100" s="175">
        <f>H100/DAY(B2)</f>
        <v>2242.1633333333293</v>
      </c>
      <c r="K100" s="70"/>
      <c r="O100" s="71"/>
    </row>
    <row r="101" spans="1:15" ht="25.5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8.9062637217878562E-2</v>
      </c>
      <c r="H101" s="99">
        <f>G101+'8'!H101</f>
        <v>0.81036262307884455</v>
      </c>
      <c r="I101" s="168"/>
      <c r="J101" s="175">
        <f>H101/DAY(B2)</f>
        <v>9.0040291453204954E-2</v>
      </c>
      <c r="O101" s="71"/>
    </row>
    <row r="102" spans="1:15" ht="25.5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2421.5800000000163</v>
      </c>
      <c r="H102" s="99">
        <f>G102+'8'!H102</f>
        <v>20162.580000000016</v>
      </c>
      <c r="I102" s="168"/>
      <c r="J102" s="175">
        <f>H102/DAY(B2)</f>
        <v>2240.2866666666687</v>
      </c>
      <c r="O102" s="71"/>
    </row>
    <row r="103" spans="1:15" ht="25.5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9.4938306841135245E-2</v>
      </c>
      <c r="H103" s="99">
        <f>G103+'8'!H103</f>
        <v>0.80863632446256262</v>
      </c>
      <c r="I103" s="118"/>
      <c r="J103" s="175">
        <f>H103/DAY(B2)</f>
        <v>8.9848480495840294E-2</v>
      </c>
      <c r="O103" s="71"/>
    </row>
    <row r="104" spans="1:15" ht="25.5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1033.5899999999965</v>
      </c>
      <c r="H104" s="99">
        <f>G104+'8'!H104</f>
        <v>9193.5899999999965</v>
      </c>
      <c r="I104" s="118"/>
      <c r="J104" s="175">
        <f>H104/DAY(B2)</f>
        <v>1021.5099999999996</v>
      </c>
      <c r="O104" s="71"/>
    </row>
    <row r="105" spans="1:15" ht="26.25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4.052200817975371E-2</v>
      </c>
      <c r="H105" s="99">
        <f>G105+'8'!H105</f>
        <v>0.3691413317328549</v>
      </c>
      <c r="I105" s="187"/>
      <c r="J105" s="188">
        <f>H105/DAY(B2)</f>
        <v>4.101570352587277E-2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6.25">
      <c r="A109" s="1291"/>
      <c r="B109" s="1291"/>
    </row>
    <row r="110" spans="1:15" ht="26.25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5.5">
      <c r="A111" s="1270"/>
      <c r="B111" s="1271"/>
      <c r="C111" s="1272"/>
      <c r="D111" s="165"/>
      <c r="E111" s="165"/>
      <c r="F111" s="165"/>
      <c r="G111" s="165"/>
      <c r="H111" s="156"/>
      <c r="I111" s="165"/>
      <c r="J111" s="327"/>
    </row>
    <row r="112" spans="1:15" ht="25.5">
      <c r="A112" s="1266" t="s">
        <v>252</v>
      </c>
      <c r="B112" s="1267"/>
      <c r="C112" s="1268"/>
      <c r="D112" s="146" t="s">
        <v>183</v>
      </c>
      <c r="E112" s="95">
        <f>'8'!F112</f>
        <v>12233.56</v>
      </c>
      <c r="F112" s="237">
        <v>12304.67</v>
      </c>
      <c r="G112" s="112">
        <f t="shared" ref="G112:G123" si="9">F112-E112</f>
        <v>71.110000000000582</v>
      </c>
      <c r="H112" s="99">
        <f>G112+'8'!H112</f>
        <v>641.67000000000007</v>
      </c>
      <c r="I112" s="165"/>
      <c r="J112" s="328">
        <f>H112/DAY(B2)</f>
        <v>71.296666666666681</v>
      </c>
    </row>
    <row r="113" spans="1:18" ht="29.25" customHeight="1">
      <c r="A113" s="1266" t="s">
        <v>253</v>
      </c>
      <c r="B113" s="1267"/>
      <c r="C113" s="1268"/>
      <c r="D113" s="146" t="s">
        <v>183</v>
      </c>
      <c r="E113" s="95">
        <f>'8'!F113</f>
        <v>24631</v>
      </c>
      <c r="F113" s="237">
        <v>24769.07</v>
      </c>
      <c r="G113" s="112">
        <f t="shared" si="9"/>
        <v>138.06999999999971</v>
      </c>
      <c r="H113" s="99">
        <f>G113+'8'!H113</f>
        <v>1248.0699999999997</v>
      </c>
      <c r="I113" s="165"/>
      <c r="J113" s="328">
        <f>H113/DAY(B2)</f>
        <v>138.67444444444442</v>
      </c>
    </row>
    <row r="114" spans="1:18" ht="29.25" customHeight="1">
      <c r="A114" s="1266" t="s">
        <v>254</v>
      </c>
      <c r="B114" s="1267"/>
      <c r="C114" s="1268"/>
      <c r="D114" s="146" t="s">
        <v>183</v>
      </c>
      <c r="E114" s="95">
        <f>'8'!F114</f>
        <v>36558</v>
      </c>
      <c r="F114" s="237">
        <v>36779.32</v>
      </c>
      <c r="G114" s="112">
        <f t="shared" si="9"/>
        <v>221.31999999999971</v>
      </c>
      <c r="H114" s="99">
        <f>G114+'8'!H114</f>
        <v>2004.3199999999997</v>
      </c>
      <c r="I114" s="165"/>
      <c r="J114" s="328">
        <f>H114/DAY(B2)</f>
        <v>222.70222222222219</v>
      </c>
    </row>
    <row r="115" spans="1:18" ht="29.25" customHeight="1">
      <c r="A115" s="1266" t="s">
        <v>255</v>
      </c>
      <c r="B115" s="1267"/>
      <c r="C115" s="1268"/>
      <c r="D115" s="146" t="s">
        <v>183</v>
      </c>
      <c r="E115" s="95">
        <f>'8'!F115</f>
        <v>22996</v>
      </c>
      <c r="F115" s="400">
        <v>23110.74</v>
      </c>
      <c r="G115" s="112">
        <f t="shared" si="9"/>
        <v>114.7400000000016</v>
      </c>
      <c r="H115" s="99">
        <f>G115+'8'!H115</f>
        <v>1057.7400000000016</v>
      </c>
      <c r="I115" s="165"/>
      <c r="J115" s="328">
        <f>H115/DAY(B2)</f>
        <v>117.52666666666684</v>
      </c>
    </row>
    <row r="116" spans="1:18" ht="29.25" customHeight="1">
      <c r="A116" s="1275" t="s">
        <v>96</v>
      </c>
      <c r="B116" s="1276"/>
      <c r="C116" s="1277"/>
      <c r="D116" s="146" t="s">
        <v>183</v>
      </c>
      <c r="E116" s="95">
        <f>'8'!F116</f>
        <v>100571</v>
      </c>
      <c r="F116" s="237">
        <v>100943.31</v>
      </c>
      <c r="G116" s="112">
        <f t="shared" si="9"/>
        <v>372.30999999999767</v>
      </c>
      <c r="H116" s="99">
        <f>G116+'8'!H116</f>
        <v>3808.3099999999977</v>
      </c>
      <c r="I116" s="165"/>
      <c r="J116" s="328">
        <f>H116/DAY(B2)</f>
        <v>423.14555555555529</v>
      </c>
      <c r="Q116" s="1266"/>
      <c r="R116" s="1268"/>
    </row>
    <row r="117" spans="1:18" ht="29.25" customHeight="1">
      <c r="A117" s="1275" t="s">
        <v>184</v>
      </c>
      <c r="B117" s="1276"/>
      <c r="C117" s="1277"/>
      <c r="D117" s="146" t="s">
        <v>183</v>
      </c>
      <c r="E117" s="389">
        <f>'8'!F117</f>
        <v>59228</v>
      </c>
      <c r="F117" s="400">
        <v>59549.63</v>
      </c>
      <c r="G117" s="236">
        <f t="shared" si="9"/>
        <v>321.62999999999738</v>
      </c>
      <c r="H117" s="99">
        <f>G117+'8'!H117</f>
        <v>3044.6299999999974</v>
      </c>
      <c r="I117" s="165"/>
      <c r="J117" s="328">
        <f>H117/DAY(B2)</f>
        <v>338.29222222222194</v>
      </c>
      <c r="Q117" s="1266"/>
      <c r="R117" s="1268"/>
    </row>
    <row r="118" spans="1:18" ht="25.5">
      <c r="A118" s="1269" t="s">
        <v>97</v>
      </c>
      <c r="B118" s="1269"/>
      <c r="C118" s="1269"/>
      <c r="D118" s="151" t="s">
        <v>183</v>
      </c>
      <c r="E118" s="389">
        <f>'8'!F118</f>
        <v>106497</v>
      </c>
      <c r="F118" s="400">
        <v>107019.04</v>
      </c>
      <c r="G118" s="236">
        <f t="shared" si="9"/>
        <v>522.0399999999936</v>
      </c>
      <c r="H118" s="99">
        <f>G118+'8'!H118</f>
        <v>5265.0399999999936</v>
      </c>
      <c r="I118" s="165"/>
      <c r="J118" s="328">
        <f>H118/DAY(B2)</f>
        <v>585.00444444444372</v>
      </c>
      <c r="Q118" s="1266"/>
      <c r="R118" s="1268"/>
    </row>
    <row r="119" spans="1:18" ht="25.5">
      <c r="A119" s="1269" t="s">
        <v>98</v>
      </c>
      <c r="B119" s="1269"/>
      <c r="C119" s="1269"/>
      <c r="D119" s="151" t="s">
        <v>183</v>
      </c>
      <c r="E119" s="389">
        <f>'8'!F119</f>
        <v>42677</v>
      </c>
      <c r="F119" s="400">
        <v>42687.11</v>
      </c>
      <c r="G119" s="236">
        <f t="shared" si="9"/>
        <v>10.110000000000582</v>
      </c>
      <c r="H119" s="99">
        <f>G119+'8'!H119</f>
        <v>106.11000000000058</v>
      </c>
      <c r="I119" s="165"/>
      <c r="J119" s="328">
        <f>H119/DAY(B2)</f>
        <v>11.790000000000065</v>
      </c>
    </row>
    <row r="120" spans="1:18" ht="25.5">
      <c r="A120" s="1269" t="s">
        <v>99</v>
      </c>
      <c r="B120" s="1269"/>
      <c r="C120" s="1269"/>
      <c r="D120" s="151" t="s">
        <v>183</v>
      </c>
      <c r="E120" s="95">
        <f>'8'!F120</f>
        <v>74546</v>
      </c>
      <c r="F120" s="237">
        <v>74945.320000000007</v>
      </c>
      <c r="G120" s="112">
        <f t="shared" si="9"/>
        <v>399.32000000000698</v>
      </c>
      <c r="H120" s="99">
        <f>G120+'8'!H120</f>
        <v>3613.320000000007</v>
      </c>
      <c r="I120" s="165"/>
      <c r="J120" s="328">
        <f>H120/DAY(B2)</f>
        <v>401.48000000000076</v>
      </c>
    </row>
    <row r="121" spans="1:18" ht="25.5">
      <c r="A121" s="1269" t="s">
        <v>100</v>
      </c>
      <c r="B121" s="1269"/>
      <c r="C121" s="1269"/>
      <c r="D121" s="151" t="s">
        <v>183</v>
      </c>
      <c r="E121" s="95">
        <f>'8'!F121</f>
        <v>84958</v>
      </c>
      <c r="F121" s="237">
        <v>85378.85</v>
      </c>
      <c r="G121" s="112">
        <f t="shared" si="9"/>
        <v>420.85000000000582</v>
      </c>
      <c r="H121" s="99">
        <f>G121+'8'!H121</f>
        <v>4022.8500000000058</v>
      </c>
      <c r="I121" s="165"/>
      <c r="J121" s="328">
        <f>H121/DAY(B2)</f>
        <v>446.98333333333397</v>
      </c>
    </row>
    <row r="122" spans="1:18" ht="25.5">
      <c r="A122" s="1269" t="s">
        <v>101</v>
      </c>
      <c r="B122" s="1269"/>
      <c r="C122" s="1269"/>
      <c r="D122" s="151" t="s">
        <v>183</v>
      </c>
      <c r="E122" s="95">
        <f>'8'!F122</f>
        <v>52130</v>
      </c>
      <c r="F122" s="237">
        <v>52494.080000000002</v>
      </c>
      <c r="G122" s="112">
        <f t="shared" si="9"/>
        <v>364.08000000000175</v>
      </c>
      <c r="H122" s="99">
        <f>G122+'8'!H122</f>
        <v>3363.0800000000017</v>
      </c>
      <c r="I122" s="165"/>
      <c r="J122" s="328">
        <f>H122/DAY(B2)</f>
        <v>373.67555555555577</v>
      </c>
    </row>
    <row r="123" spans="1:18" ht="25.5">
      <c r="A123" s="1269" t="s">
        <v>102</v>
      </c>
      <c r="B123" s="1269"/>
      <c r="C123" s="1269"/>
      <c r="D123" s="151" t="s">
        <v>183</v>
      </c>
      <c r="E123" s="95">
        <f>'8'!F123</f>
        <v>52188</v>
      </c>
      <c r="F123" s="237">
        <v>52497.98</v>
      </c>
      <c r="G123" s="112">
        <f t="shared" si="9"/>
        <v>309.9800000000032</v>
      </c>
      <c r="H123" s="99">
        <f>G123+'8'!H123</f>
        <v>2748.9800000000032</v>
      </c>
      <c r="I123" s="165"/>
      <c r="J123" s="328">
        <f>H123/DAY(B2)</f>
        <v>305.4422222222226</v>
      </c>
    </row>
    <row r="124" spans="1:18" ht="29.25" customHeight="1">
      <c r="A124" s="1270"/>
      <c r="B124" s="1271"/>
      <c r="C124" s="1272"/>
      <c r="D124" s="165"/>
      <c r="E124" s="165"/>
      <c r="F124" s="165"/>
      <c r="G124" s="327"/>
      <c r="H124" s="156"/>
      <c r="I124" s="165"/>
      <c r="J124" s="327"/>
    </row>
    <row r="125" spans="1:18" ht="25.5">
      <c r="A125" s="1261" t="s">
        <v>196</v>
      </c>
      <c r="B125" s="1262"/>
      <c r="C125" s="245"/>
      <c r="D125" s="307"/>
      <c r="E125" s="308"/>
      <c r="F125" s="308"/>
      <c r="G125" s="309">
        <f>SUM(G112:G124)</f>
        <v>3265.5600000000086</v>
      </c>
      <c r="H125" s="156"/>
      <c r="I125" s="327">
        <f>G125-(G39+G53)</f>
        <v>-750.66999999997279</v>
      </c>
      <c r="J125" s="327"/>
    </row>
    <row r="126" spans="1:18" ht="25.5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5.5">
      <c r="A127" s="1274"/>
      <c r="B127" s="1274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1266" t="s">
        <v>318</v>
      </c>
      <c r="B128" s="1267"/>
      <c r="C128" s="1268"/>
      <c r="D128" s="151" t="s">
        <v>183</v>
      </c>
      <c r="E128" s="95">
        <f>'8'!F128</f>
        <v>158426</v>
      </c>
      <c r="F128" s="155">
        <v>158775</v>
      </c>
      <c r="G128" s="112">
        <f t="shared" ref="G128:G134" si="10">F128-E128</f>
        <v>349</v>
      </c>
      <c r="H128" s="99">
        <f>G128+'8'!H128</f>
        <v>3960</v>
      </c>
      <c r="I128" s="165"/>
      <c r="J128" s="328">
        <f>H128/DAY(B2)</f>
        <v>440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'8'!F129</f>
        <v>85326</v>
      </c>
      <c r="F129" s="155">
        <v>85491.29</v>
      </c>
      <c r="G129" s="112">
        <f t="shared" si="10"/>
        <v>165.2899999999936</v>
      </c>
      <c r="H129" s="99">
        <f>G129+'8'!H129</f>
        <v>1555.2899999999936</v>
      </c>
      <c r="I129" s="165"/>
      <c r="J129" s="328">
        <f>H129/DAY(B2)</f>
        <v>172.80999999999929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'8'!F130</f>
        <v>212034</v>
      </c>
      <c r="F130" s="157">
        <v>212686.79</v>
      </c>
      <c r="G130" s="112">
        <f t="shared" si="10"/>
        <v>652.79000000000815</v>
      </c>
      <c r="H130" s="99">
        <f>G130+'8'!H130</f>
        <v>5927.7900000000081</v>
      </c>
      <c r="I130" s="165"/>
      <c r="J130" s="328">
        <f>H130/DAY(B2)</f>
        <v>658.64333333333423</v>
      </c>
      <c r="N130" s="240"/>
      <c r="O130" s="241"/>
    </row>
    <row r="131" spans="1:15" ht="25.5">
      <c r="A131" s="1266" t="s">
        <v>321</v>
      </c>
      <c r="B131" s="1267"/>
      <c r="C131" s="1268"/>
      <c r="D131" s="151" t="s">
        <v>183</v>
      </c>
      <c r="E131" s="95">
        <f>'8'!F131</f>
        <v>61947</v>
      </c>
      <c r="F131" s="155">
        <v>62097.99</v>
      </c>
      <c r="G131" s="112">
        <f t="shared" si="10"/>
        <v>150.98999999999796</v>
      </c>
      <c r="H131" s="99">
        <f>G131+'8'!H131</f>
        <v>1789.989999999998</v>
      </c>
      <c r="I131" s="165"/>
      <c r="J131" s="328">
        <f>H131/DAY(B2)</f>
        <v>198.88777777777756</v>
      </c>
      <c r="N131" s="240"/>
      <c r="O131" s="241"/>
    </row>
    <row r="132" spans="1:15" ht="25.5">
      <c r="A132" s="1266" t="s">
        <v>322</v>
      </c>
      <c r="B132" s="1267"/>
      <c r="C132" s="1268"/>
      <c r="D132" s="151" t="s">
        <v>183</v>
      </c>
      <c r="E132" s="95">
        <f>'8'!F132</f>
        <v>146985</v>
      </c>
      <c r="F132" s="155">
        <v>146985</v>
      </c>
      <c r="G132" s="112">
        <f t="shared" si="10"/>
        <v>0</v>
      </c>
      <c r="H132" s="99">
        <f>G132+'8'!H132</f>
        <v>0</v>
      </c>
      <c r="I132" s="165"/>
      <c r="J132" s="328">
        <f>H132/DAY(B2)</f>
        <v>0</v>
      </c>
    </row>
    <row r="133" spans="1:15" ht="25.5">
      <c r="A133" s="1266" t="s">
        <v>323</v>
      </c>
      <c r="B133" s="1267"/>
      <c r="C133" s="1268"/>
      <c r="D133" s="151" t="s">
        <v>183</v>
      </c>
      <c r="E133" s="95">
        <f>'8'!F133</f>
        <v>272652</v>
      </c>
      <c r="F133" s="155">
        <v>273528.19</v>
      </c>
      <c r="G133" s="112">
        <f t="shared" si="10"/>
        <v>876.19000000000233</v>
      </c>
      <c r="H133" s="99">
        <f>G133+'8'!H133</f>
        <v>7583.1900000000023</v>
      </c>
      <c r="I133" s="165"/>
      <c r="J133" s="328">
        <f>H133/DAY(B2)</f>
        <v>842.57666666666694</v>
      </c>
    </row>
    <row r="134" spans="1:15" ht="25.5">
      <c r="A134" s="1266" t="s">
        <v>340</v>
      </c>
      <c r="B134" s="1267"/>
      <c r="C134" s="1268"/>
      <c r="D134" s="151" t="s">
        <v>183</v>
      </c>
      <c r="E134" s="95">
        <f>'8'!F134</f>
        <v>65687</v>
      </c>
      <c r="F134" s="155">
        <v>65940.37</v>
      </c>
      <c r="G134" s="112">
        <f t="shared" si="10"/>
        <v>253.36999999999534</v>
      </c>
      <c r="H134" s="99">
        <f>G134+'8'!H134</f>
        <v>2278.3699999999953</v>
      </c>
      <c r="I134" s="165"/>
      <c r="J134" s="328">
        <f>H134/DAY(B2)</f>
        <v>253.1522222222217</v>
      </c>
    </row>
    <row r="135" spans="1:15" ht="25.5">
      <c r="A135" s="1261" t="s">
        <v>196</v>
      </c>
      <c r="B135" s="1262"/>
      <c r="C135" s="331"/>
      <c r="D135" s="151"/>
      <c r="E135" s="95"/>
      <c r="F135" s="165"/>
      <c r="G135" s="112">
        <f>SUM(G128:G134)</f>
        <v>2447.6299999999974</v>
      </c>
      <c r="H135" s="99">
        <f>G135+'8'!H135</f>
        <v>23094.629999999997</v>
      </c>
      <c r="I135" s="327">
        <f>G135-(G35+G49)</f>
        <v>-1138.099999999984</v>
      </c>
      <c r="J135" s="328">
        <f>H135/DAY(B2)</f>
        <v>2566.0699999999997</v>
      </c>
    </row>
    <row r="136" spans="1:15" ht="27.75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9" t="s">
        <v>185</v>
      </c>
      <c r="B138" s="1269"/>
      <c r="C138" s="1269"/>
      <c r="D138" s="151" t="s">
        <v>183</v>
      </c>
      <c r="E138" s="95">
        <f>'8'!F138</f>
        <v>899392</v>
      </c>
      <c r="F138" s="148">
        <v>899560</v>
      </c>
      <c r="G138" s="112">
        <f t="shared" ref="G138:G152" si="11">F138-E138</f>
        <v>168</v>
      </c>
      <c r="H138" s="99">
        <f>G138+'8'!H138</f>
        <v>1355</v>
      </c>
      <c r="I138" s="118"/>
      <c r="J138" s="328">
        <f>H138/DAY(B2)</f>
        <v>150.55555555555554</v>
      </c>
    </row>
    <row r="139" spans="1:15" ht="25.5">
      <c r="A139" s="1269" t="s">
        <v>186</v>
      </c>
      <c r="B139" s="1269"/>
      <c r="C139" s="1269"/>
      <c r="D139" s="151" t="s">
        <v>183</v>
      </c>
      <c r="E139" s="95">
        <f>'8'!F139</f>
        <v>919408</v>
      </c>
      <c r="F139" s="148">
        <v>919565</v>
      </c>
      <c r="G139" s="112">
        <f t="shared" si="11"/>
        <v>157</v>
      </c>
      <c r="H139" s="99">
        <f>G139+'8'!H139</f>
        <v>1361</v>
      </c>
      <c r="I139" s="118"/>
      <c r="J139" s="328">
        <f>H139/DAY(B2)</f>
        <v>151.22222222222223</v>
      </c>
    </row>
    <row r="140" spans="1:15" ht="25.5">
      <c r="A140" s="1269" t="s">
        <v>187</v>
      </c>
      <c r="B140" s="1269"/>
      <c r="C140" s="1269"/>
      <c r="D140" s="151" t="s">
        <v>183</v>
      </c>
      <c r="E140" s="95">
        <f>'8'!F140</f>
        <v>2437</v>
      </c>
      <c r="F140" s="148">
        <v>2448.4899999999998</v>
      </c>
      <c r="G140" s="112">
        <f t="shared" si="11"/>
        <v>11.489999999999782</v>
      </c>
      <c r="H140" s="99">
        <f>G140+'8'!H140</f>
        <v>105.48999999999978</v>
      </c>
      <c r="I140" s="118"/>
      <c r="J140" s="328">
        <f>H140/DAY(B2)</f>
        <v>11.721111111111087</v>
      </c>
    </row>
    <row r="141" spans="1:15" ht="25.5">
      <c r="A141" s="1256" t="s">
        <v>188</v>
      </c>
      <c r="B141" s="1256"/>
      <c r="C141" s="1256"/>
      <c r="D141" s="151" t="s">
        <v>183</v>
      </c>
      <c r="E141" s="95">
        <f>'8'!F141</f>
        <v>105568</v>
      </c>
      <c r="F141" s="149">
        <v>105795.37</v>
      </c>
      <c r="G141" s="112">
        <f t="shared" si="11"/>
        <v>227.36999999999534</v>
      </c>
      <c r="H141" s="99">
        <f>G141+'8'!H141</f>
        <v>2021.3699999999953</v>
      </c>
      <c r="I141" s="118"/>
      <c r="J141" s="328">
        <f>H141/DAY(B2)</f>
        <v>224.59666666666615</v>
      </c>
    </row>
    <row r="142" spans="1:15" ht="25.5">
      <c r="A142" s="1256" t="s">
        <v>189</v>
      </c>
      <c r="B142" s="1256"/>
      <c r="C142" s="1256"/>
      <c r="D142" s="151" t="s">
        <v>183</v>
      </c>
      <c r="E142" s="95">
        <f>'8'!F142</f>
        <v>42548</v>
      </c>
      <c r="F142" s="148">
        <v>42627.14</v>
      </c>
      <c r="G142" s="112">
        <f t="shared" si="11"/>
        <v>79.139999999999418</v>
      </c>
      <c r="H142" s="99">
        <f>G142+'8'!H142</f>
        <v>812.13999999999942</v>
      </c>
      <c r="I142" s="140"/>
      <c r="J142" s="328">
        <f>H142/DAY(B2)</f>
        <v>90.237777777777708</v>
      </c>
    </row>
    <row r="143" spans="1:15" ht="25.5">
      <c r="A143" s="1269" t="s">
        <v>91</v>
      </c>
      <c r="B143" s="1269"/>
      <c r="C143" s="1269"/>
      <c r="D143" s="151" t="s">
        <v>183</v>
      </c>
      <c r="E143" s="95">
        <f>'8'!F143</f>
        <v>10891</v>
      </c>
      <c r="F143" s="149">
        <v>10917.56</v>
      </c>
      <c r="G143" s="112">
        <f t="shared" si="11"/>
        <v>26.559999999999491</v>
      </c>
      <c r="H143" s="99">
        <f>G143+'8'!H143</f>
        <v>240.55999999999949</v>
      </c>
      <c r="I143" s="140"/>
      <c r="J143" s="328">
        <f>H143/DAY(B2)</f>
        <v>26.728888888888832</v>
      </c>
    </row>
    <row r="144" spans="1:15" ht="25.5">
      <c r="A144" s="1256" t="s">
        <v>90</v>
      </c>
      <c r="B144" s="1256"/>
      <c r="C144" s="1256"/>
      <c r="D144" s="151" t="s">
        <v>183</v>
      </c>
      <c r="E144" s="389">
        <f>'8'!F144</f>
        <v>935439</v>
      </c>
      <c r="F144" s="148">
        <v>935676</v>
      </c>
      <c r="G144" s="112">
        <f t="shared" si="11"/>
        <v>237</v>
      </c>
      <c r="H144" s="99">
        <f>G144+'8'!H144</f>
        <v>2155</v>
      </c>
      <c r="I144" s="140"/>
      <c r="J144" s="328">
        <f>H144/DAY(B2)</f>
        <v>239.44444444444446</v>
      </c>
    </row>
    <row r="145" spans="1:10" ht="25.5">
      <c r="A145" s="1269" t="s">
        <v>190</v>
      </c>
      <c r="B145" s="1269"/>
      <c r="C145" s="1269"/>
      <c r="D145" s="152" t="s">
        <v>183</v>
      </c>
      <c r="E145" s="389">
        <f>'8'!F145</f>
        <v>14980</v>
      </c>
      <c r="F145" s="148">
        <v>15200.16</v>
      </c>
      <c r="G145" s="112">
        <f t="shared" si="11"/>
        <v>220.15999999999985</v>
      </c>
      <c r="H145" s="99">
        <f>G145+'8'!H145</f>
        <v>2060.16</v>
      </c>
      <c r="I145" s="140"/>
      <c r="J145" s="328">
        <f>H145/DAY(B2)</f>
        <v>228.90666666666664</v>
      </c>
    </row>
    <row r="146" spans="1:10" ht="25.5">
      <c r="A146" s="1332" t="s">
        <v>191</v>
      </c>
      <c r="B146" s="1289"/>
      <c r="C146" s="1290"/>
      <c r="D146" s="152" t="s">
        <v>183</v>
      </c>
      <c r="E146" s="389">
        <f>'8'!F146</f>
        <v>784704</v>
      </c>
      <c r="F146" s="148">
        <v>784744</v>
      </c>
      <c r="G146" s="112">
        <f t="shared" si="11"/>
        <v>40</v>
      </c>
      <c r="H146" s="99">
        <f>G146+'8'!H146</f>
        <v>405</v>
      </c>
      <c r="I146" s="140"/>
      <c r="J146" s="328">
        <f>H146/DAY(B2)</f>
        <v>45</v>
      </c>
    </row>
    <row r="147" spans="1:10" ht="25.5">
      <c r="A147" s="1256" t="s">
        <v>192</v>
      </c>
      <c r="B147" s="1256"/>
      <c r="C147" s="1256"/>
      <c r="D147" s="152" t="s">
        <v>183</v>
      </c>
      <c r="E147" s="389">
        <f>'8'!F147</f>
        <v>726688</v>
      </c>
      <c r="F147" s="148">
        <v>727078</v>
      </c>
      <c r="G147" s="112">
        <f t="shared" si="11"/>
        <v>390</v>
      </c>
      <c r="H147" s="99">
        <f>G147+'8'!H147</f>
        <v>3556</v>
      </c>
      <c r="I147" s="140"/>
      <c r="J147" s="328">
        <f>H147/DAY(B2)</f>
        <v>395.11111111111109</v>
      </c>
    </row>
    <row r="148" spans="1:10" ht="25.5">
      <c r="A148" s="1257" t="s">
        <v>193</v>
      </c>
      <c r="B148" s="1258"/>
      <c r="C148" s="1259"/>
      <c r="D148" s="123" t="s">
        <v>130</v>
      </c>
      <c r="E148" s="389">
        <f>'8'!F148</f>
        <v>768808</v>
      </c>
      <c r="F148" s="164">
        <v>769091.92</v>
      </c>
      <c r="G148" s="112">
        <f t="shared" si="11"/>
        <v>283.92000000004191</v>
      </c>
      <c r="H148" s="99">
        <f>G148+'8'!H148</f>
        <v>2481.9200000000419</v>
      </c>
      <c r="I148" s="124"/>
      <c r="J148" s="328">
        <f>H148/DAY(B2)</f>
        <v>275.76888888889357</v>
      </c>
    </row>
    <row r="149" spans="1:10" ht="25.5">
      <c r="A149" s="1257" t="s">
        <v>336</v>
      </c>
      <c r="B149" s="1258"/>
      <c r="C149" s="1259"/>
      <c r="D149" s="227" t="s">
        <v>130</v>
      </c>
      <c r="E149" s="389">
        <f>'8'!F149</f>
        <v>161367</v>
      </c>
      <c r="F149" s="399">
        <v>161818.95000000001</v>
      </c>
      <c r="G149" s="112">
        <f t="shared" si="11"/>
        <v>451.95000000001164</v>
      </c>
      <c r="H149" s="99">
        <f>G149+'8'!H149</f>
        <v>3851.9500000000116</v>
      </c>
      <c r="I149" s="119"/>
      <c r="J149" s="328">
        <f>H149/DAY(B2)</f>
        <v>427.99444444444572</v>
      </c>
    </row>
    <row r="150" spans="1:10" ht="25.5">
      <c r="A150" s="1257" t="s">
        <v>337</v>
      </c>
      <c r="B150" s="1258"/>
      <c r="C150" s="1259"/>
      <c r="D150" s="117" t="s">
        <v>130</v>
      </c>
      <c r="E150" s="389">
        <f>'8'!F150</f>
        <v>65760</v>
      </c>
      <c r="F150" s="233">
        <v>65988.259999999995</v>
      </c>
      <c r="G150" s="112">
        <f t="shared" si="11"/>
        <v>228.25999999999476</v>
      </c>
      <c r="H150" s="99">
        <f>G150+'8'!H150</f>
        <v>2010.2599999999948</v>
      </c>
      <c r="I150" s="119"/>
      <c r="J150" s="328">
        <f>H150/DAY(B2)</f>
        <v>223.36222222222165</v>
      </c>
    </row>
    <row r="151" spans="1:10" ht="25.5">
      <c r="A151" s="1257" t="s">
        <v>338</v>
      </c>
      <c r="B151" s="1258"/>
      <c r="C151" s="1259"/>
      <c r="D151" s="117" t="s">
        <v>130</v>
      </c>
      <c r="E151" s="95">
        <f>'8'!F151</f>
        <v>150214</v>
      </c>
      <c r="F151" s="233">
        <v>150265</v>
      </c>
      <c r="G151" s="112">
        <f t="shared" si="11"/>
        <v>51</v>
      </c>
      <c r="H151" s="99">
        <f>G151+'8'!H151</f>
        <v>477</v>
      </c>
      <c r="I151" s="119"/>
      <c r="J151" s="328">
        <f>H151/DAY(B2)</f>
        <v>53</v>
      </c>
    </row>
    <row r="152" spans="1:10" ht="25.5">
      <c r="A152" s="1257" t="s">
        <v>339</v>
      </c>
      <c r="B152" s="1258"/>
      <c r="C152" s="1259"/>
      <c r="D152" s="117" t="s">
        <v>130</v>
      </c>
      <c r="E152" s="95">
        <f>'8'!F152</f>
        <v>31638</v>
      </c>
      <c r="F152" s="233">
        <v>31771</v>
      </c>
      <c r="G152" s="112">
        <f t="shared" si="11"/>
        <v>133</v>
      </c>
      <c r="H152" s="99">
        <f>G152+'8'!H152</f>
        <v>1157</v>
      </c>
      <c r="I152" s="119"/>
      <c r="J152" s="328">
        <f>H152/DAY(B2)</f>
        <v>128.55555555555554</v>
      </c>
    </row>
    <row r="153" spans="1:10" ht="25.5">
      <c r="A153" s="1261" t="s">
        <v>196</v>
      </c>
      <c r="B153" s="1262"/>
      <c r="C153" s="362"/>
      <c r="D153" s="355"/>
      <c r="E153" s="357"/>
      <c r="F153" s="358"/>
      <c r="G153" s="359">
        <f>SUM(G138:G152)</f>
        <v>2704.8500000000422</v>
      </c>
      <c r="H153" s="360"/>
      <c r="I153" s="119">
        <f>G153-(G38+G52)</f>
        <v>433.14000000007945</v>
      </c>
      <c r="J153" s="363"/>
    </row>
    <row r="154" spans="1:10" ht="27.75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0" ht="27.75">
      <c r="A155" s="1256" t="s">
        <v>345</v>
      </c>
      <c r="B155" s="1256"/>
      <c r="C155" s="1256"/>
      <c r="D155" s="117" t="s">
        <v>130</v>
      </c>
      <c r="E155" s="95">
        <f>'8'!F155</f>
        <v>190095</v>
      </c>
      <c r="F155" s="365">
        <v>190656.27</v>
      </c>
      <c r="G155" s="112">
        <f t="shared" ref="G155:G158" si="12">F155-E155</f>
        <v>561.26999999998952</v>
      </c>
      <c r="H155" s="99">
        <f>G155+'8'!H155</f>
        <v>4915.2699999999895</v>
      </c>
      <c r="I155" s="361"/>
      <c r="J155" s="328">
        <f>H155/DAY(B2)</f>
        <v>546.14111111110992</v>
      </c>
    </row>
    <row r="156" spans="1:10" ht="25.5">
      <c r="A156" s="1256" t="s">
        <v>346</v>
      </c>
      <c r="B156" s="1256"/>
      <c r="C156" s="1256"/>
      <c r="D156" s="117" t="s">
        <v>130</v>
      </c>
      <c r="E156" s="95">
        <f>'8'!F156</f>
        <v>21483</v>
      </c>
      <c r="F156" s="155">
        <v>21580.62</v>
      </c>
      <c r="G156" s="112">
        <f t="shared" si="12"/>
        <v>97.619999999998981</v>
      </c>
      <c r="H156" s="99">
        <f>G156+'8'!H156</f>
        <v>841.61999999999898</v>
      </c>
      <c r="I156" s="165"/>
      <c r="J156" s="328">
        <f>H156/DAY(B2)</f>
        <v>93.513333333333222</v>
      </c>
    </row>
    <row r="157" spans="1:10" ht="25.5">
      <c r="A157" s="1257" t="s">
        <v>358</v>
      </c>
      <c r="B157" s="1258"/>
      <c r="C157" s="1259"/>
      <c r="D157" s="117" t="s">
        <v>130</v>
      </c>
      <c r="E157" s="95">
        <f>'8'!F157</f>
        <v>37237</v>
      </c>
      <c r="F157" s="155">
        <v>37395.74</v>
      </c>
      <c r="G157" s="112">
        <f t="shared" si="12"/>
        <v>158.73999999999796</v>
      </c>
      <c r="H157" s="99">
        <f>G157+'8'!H157</f>
        <v>1271.739999999998</v>
      </c>
      <c r="I157" s="165"/>
      <c r="J157" s="328">
        <f>H157/DAY(B2)</f>
        <v>141.30444444444421</v>
      </c>
    </row>
    <row r="158" spans="1:10" ht="25.5">
      <c r="A158" s="1257" t="s">
        <v>359</v>
      </c>
      <c r="B158" s="1258"/>
      <c r="C158" s="1259"/>
      <c r="D158" s="117" t="s">
        <v>130</v>
      </c>
      <c r="E158" s="95">
        <f>'8'!F158</f>
        <v>697</v>
      </c>
      <c r="F158" s="155">
        <v>718.99</v>
      </c>
      <c r="G158" s="112">
        <f t="shared" si="12"/>
        <v>21.990000000000009</v>
      </c>
      <c r="H158" s="99">
        <f>G158+'8'!H158</f>
        <v>214.36</v>
      </c>
      <c r="I158" s="165"/>
      <c r="J158" s="328">
        <f>H158/DAY(B2)</f>
        <v>23.817777777777778</v>
      </c>
    </row>
    <row r="159" spans="1:10" ht="25.5">
      <c r="A159" s="1263"/>
      <c r="B159" s="1264"/>
      <c r="C159" s="1265"/>
      <c r="D159" s="117"/>
      <c r="E159" s="95"/>
      <c r="F159" s="155"/>
      <c r="G159" s="112"/>
      <c r="H159" s="99">
        <f>G159+'8'!H159</f>
        <v>0</v>
      </c>
      <c r="I159" s="165"/>
      <c r="J159" s="328">
        <f>H159/DAY(B2)</f>
        <v>0</v>
      </c>
    </row>
    <row r="160" spans="1:10" ht="27.75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26.25">
      <c r="A161" s="242" t="s">
        <v>92</v>
      </c>
      <c r="B161" s="243"/>
      <c r="C161" s="243"/>
      <c r="D161" s="244" t="s">
        <v>180</v>
      </c>
      <c r="E161" s="95">
        <f>'8'!F161</f>
        <v>490652</v>
      </c>
      <c r="F161" s="235">
        <v>490913.32</v>
      </c>
      <c r="G161" s="238">
        <f t="shared" ref="G161:G166" si="13">F161-E161</f>
        <v>261.32000000000698</v>
      </c>
      <c r="H161" s="99">
        <f>G161+'8'!H161</f>
        <v>2590.320000000007</v>
      </c>
      <c r="I161" s="236"/>
      <c r="J161" s="239">
        <f>H161/DAY(B2)</f>
        <v>287.81333333333413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97573</v>
      </c>
      <c r="F162" s="235">
        <v>97589.5</v>
      </c>
      <c r="G162" s="238">
        <f t="shared" si="13"/>
        <v>16.5</v>
      </c>
      <c r="H162" s="99">
        <f>G162+'8'!H162</f>
        <v>301.5</v>
      </c>
      <c r="I162" s="236"/>
      <c r="J162" s="239">
        <f>H162/DAY(B2)</f>
        <v>33.5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'8'!F163</f>
        <v>15096</v>
      </c>
      <c r="F163" s="235">
        <v>15122.9</v>
      </c>
      <c r="G163" s="238">
        <f t="shared" si="13"/>
        <v>26.899999999999636</v>
      </c>
      <c r="H163" s="99">
        <f>G163+'8'!H163</f>
        <v>958.89999999999964</v>
      </c>
      <c r="I163" s="236"/>
      <c r="J163" s="239">
        <f>H163/DAY(B2)</f>
        <v>106.54444444444441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'8'!F164</f>
        <v>6671</v>
      </c>
      <c r="F164" s="235">
        <v>6672</v>
      </c>
      <c r="G164" s="238">
        <f t="shared" si="13"/>
        <v>1</v>
      </c>
      <c r="H164" s="99">
        <f>G164+'8'!H164</f>
        <v>60</v>
      </c>
      <c r="I164" s="236"/>
      <c r="J164" s="239">
        <f>H164/DAY(B2)</f>
        <v>6.666666666666667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'8'!F165</f>
        <v>32192</v>
      </c>
      <c r="F165" s="235">
        <v>32194.84</v>
      </c>
      <c r="G165" s="238">
        <f t="shared" si="13"/>
        <v>2.8400000000001455</v>
      </c>
      <c r="H165" s="99">
        <f>G165+'8'!H165</f>
        <v>53.840000000000146</v>
      </c>
      <c r="I165" s="236"/>
      <c r="J165" s="239">
        <f>H165/DAY(B2)</f>
        <v>5.9822222222222381</v>
      </c>
    </row>
    <row r="166" spans="1:10" ht="26.25">
      <c r="A166" s="1274"/>
      <c r="B166" s="1274"/>
      <c r="C166" s="246"/>
      <c r="D166" s="244" t="s">
        <v>180</v>
      </c>
      <c r="E166" s="95">
        <f>'8'!F166</f>
        <v>0</v>
      </c>
      <c r="F166" s="155">
        <v>0</v>
      </c>
      <c r="G166" s="15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6.25">
      <c r="A167" s="1274"/>
      <c r="B167" s="1274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6.25">
      <c r="A168" s="1274"/>
      <c r="B168" s="1274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5.5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54" t="s">
        <v>209</v>
      </c>
      <c r="B173" s="1255"/>
      <c r="C173" s="333"/>
      <c r="D173" s="228" t="s">
        <v>142</v>
      </c>
      <c r="E173" s="95">
        <f>'8'!F173</f>
        <v>8591</v>
      </c>
      <c r="F173" s="155">
        <v>8591</v>
      </c>
      <c r="G173" s="155">
        <f>F173-E173</f>
        <v>0</v>
      </c>
      <c r="H173" s="99">
        <f>G173+'8'!H173</f>
        <v>10</v>
      </c>
      <c r="I173" s="155"/>
      <c r="J173" s="178">
        <f>H173/DAY(B2)</f>
        <v>1.1111111111111112</v>
      </c>
    </row>
    <row r="174" spans="1:10" ht="25.5">
      <c r="A174" s="1254" t="s">
        <v>75</v>
      </c>
      <c r="B174" s="1255"/>
      <c r="C174" s="333"/>
      <c r="D174" s="228" t="s">
        <v>142</v>
      </c>
      <c r="E174" s="95">
        <f>'8'!F174</f>
        <v>42062</v>
      </c>
      <c r="F174" s="157">
        <v>42077</v>
      </c>
      <c r="G174" s="155">
        <f t="shared" ref="G174:G175" si="14">F174-E174</f>
        <v>15</v>
      </c>
      <c r="H174" s="99">
        <f>G174+'8'!H174</f>
        <v>115</v>
      </c>
      <c r="I174" s="155"/>
      <c r="J174" s="178">
        <f>H174/DAY(B2)</f>
        <v>12.777777777777779</v>
      </c>
    </row>
    <row r="175" spans="1:10" ht="25.5">
      <c r="A175" s="1254" t="s">
        <v>76</v>
      </c>
      <c r="B175" s="1324"/>
      <c r="C175" s="1255"/>
      <c r="D175" s="228" t="s">
        <v>142</v>
      </c>
      <c r="E175" s="95">
        <f>'8'!F175</f>
        <v>24783</v>
      </c>
      <c r="F175" s="155">
        <v>24796</v>
      </c>
      <c r="G175" s="155">
        <f t="shared" si="14"/>
        <v>13</v>
      </c>
      <c r="H175" s="99">
        <f>G175+'8'!H175</f>
        <v>99</v>
      </c>
      <c r="I175" s="155"/>
      <c r="J175" s="178">
        <f>H175/DAY(B2)</f>
        <v>11</v>
      </c>
    </row>
    <row r="176" spans="1:10" ht="25.5">
      <c r="A176" s="1261" t="s">
        <v>196</v>
      </c>
      <c r="B176" s="1262"/>
      <c r="C176" s="333"/>
      <c r="D176" s="228" t="s">
        <v>142</v>
      </c>
      <c r="E176" s="95"/>
      <c r="F176" s="155"/>
      <c r="G176" s="155">
        <f>SUM(G173:G175)</f>
        <v>28</v>
      </c>
      <c r="H176" s="99">
        <f>G176+'8'!H176</f>
        <v>224</v>
      </c>
      <c r="I176" s="155"/>
      <c r="J176" s="178">
        <f>H176/DAY(B2)</f>
        <v>24.888888888888889</v>
      </c>
    </row>
    <row r="177" spans="1:10" ht="25.5">
      <c r="A177" s="1254" t="s">
        <v>77</v>
      </c>
      <c r="B177" s="1255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5.5">
      <c r="A178" s="1254" t="s">
        <v>210</v>
      </c>
      <c r="B178" s="1255"/>
      <c r="C178" s="333"/>
      <c r="D178" s="228" t="s">
        <v>142</v>
      </c>
      <c r="E178" s="95">
        <f>'8'!F178</f>
        <v>102114</v>
      </c>
      <c r="F178" s="157">
        <v>102114</v>
      </c>
      <c r="G178" s="621">
        <f>F178-E178</f>
        <v>0</v>
      </c>
      <c r="H178" s="99">
        <f>G178+'8'!H178</f>
        <v>0</v>
      </c>
      <c r="I178" s="155"/>
      <c r="J178" s="178">
        <f>H178/DAY(B2)</f>
        <v>0</v>
      </c>
    </row>
    <row r="179" spans="1:10" ht="25.5">
      <c r="A179" s="1254" t="s">
        <v>211</v>
      </c>
      <c r="B179" s="1255"/>
      <c r="C179" s="333"/>
      <c r="D179" s="228" t="s">
        <v>142</v>
      </c>
      <c r="E179" s="95">
        <f>'8'!F179</f>
        <v>37501</v>
      </c>
      <c r="F179" s="157">
        <v>37501</v>
      </c>
      <c r="G179" s="155">
        <f t="shared" ref="G179:G180" si="15">F179-E179</f>
        <v>0</v>
      </c>
      <c r="H179" s="99">
        <f>G179+'8'!H179</f>
        <v>0</v>
      </c>
      <c r="I179" s="155"/>
      <c r="J179" s="178">
        <f>H179/DAY(B2)</f>
        <v>0</v>
      </c>
    </row>
    <row r="180" spans="1:10" ht="31.5" customHeight="1">
      <c r="A180" s="1254" t="s">
        <v>212</v>
      </c>
      <c r="B180" s="1255"/>
      <c r="C180" s="333"/>
      <c r="D180" s="228" t="s">
        <v>142</v>
      </c>
      <c r="E180" s="95">
        <f>'8'!F180</f>
        <v>7231</v>
      </c>
      <c r="F180" s="155">
        <v>7231</v>
      </c>
      <c r="G180" s="155">
        <f t="shared" si="15"/>
        <v>0</v>
      </c>
      <c r="H180" s="99">
        <f>G180+'8'!H180</f>
        <v>0</v>
      </c>
      <c r="I180" s="155"/>
      <c r="J180" s="178">
        <f>H180/DAY(B2)</f>
        <v>0</v>
      </c>
    </row>
    <row r="181" spans="1:10" ht="25.5">
      <c r="A181" s="1325" t="s">
        <v>108</v>
      </c>
      <c r="B181" s="1326"/>
      <c r="C181" s="333"/>
      <c r="D181" s="228" t="s">
        <v>142</v>
      </c>
      <c r="E181" s="95"/>
      <c r="F181" s="155"/>
      <c r="G181" s="155">
        <f>SUM(G178:G180)</f>
        <v>0</v>
      </c>
      <c r="H181" s="99">
        <f>G181+'8'!H181</f>
        <v>0</v>
      </c>
      <c r="I181" s="155"/>
      <c r="J181" s="178">
        <f>H181/DAY(B2)</f>
        <v>0</v>
      </c>
    </row>
    <row r="182" spans="1:10" ht="25.5">
      <c r="A182" s="1254" t="s">
        <v>213</v>
      </c>
      <c r="B182" s="1255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5.5">
      <c r="A183" s="1254" t="s">
        <v>214</v>
      </c>
      <c r="B183" s="1255"/>
      <c r="C183" s="334"/>
      <c r="D183" s="228" t="s">
        <v>142</v>
      </c>
      <c r="E183" s="95">
        <f>'8'!F183</f>
        <v>17881</v>
      </c>
      <c r="F183" s="157">
        <v>17884</v>
      </c>
      <c r="G183" s="157">
        <f>F183-E183</f>
        <v>3</v>
      </c>
      <c r="H183" s="99">
        <f>G183+'8'!H183</f>
        <v>36</v>
      </c>
      <c r="I183" s="155"/>
      <c r="J183" s="178">
        <f>H183/DAY(B2)</f>
        <v>4</v>
      </c>
    </row>
    <row r="184" spans="1:10" ht="25.5">
      <c r="A184" s="1254" t="s">
        <v>215</v>
      </c>
      <c r="B184" s="1255"/>
      <c r="C184" s="334"/>
      <c r="D184" s="228" t="s">
        <v>142</v>
      </c>
      <c r="E184" s="95">
        <f>'8'!F184</f>
        <v>12405</v>
      </c>
      <c r="F184" s="157">
        <v>12410</v>
      </c>
      <c r="G184" s="157">
        <f t="shared" ref="G184:G185" si="16">F184-E184</f>
        <v>5</v>
      </c>
      <c r="H184" s="99">
        <f>G184+'8'!H184</f>
        <v>61</v>
      </c>
      <c r="I184" s="155"/>
      <c r="J184" s="178">
        <f>H184/DAY(B2)</f>
        <v>6.7777777777777777</v>
      </c>
    </row>
    <row r="185" spans="1:10" ht="35.25" customHeight="1">
      <c r="A185" s="1254" t="s">
        <v>216</v>
      </c>
      <c r="B185" s="1255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1261" t="s">
        <v>196</v>
      </c>
      <c r="B186" s="1262"/>
      <c r="C186" s="334"/>
      <c r="D186" s="228" t="s">
        <v>142</v>
      </c>
      <c r="E186" s="95"/>
      <c r="F186" s="157"/>
      <c r="G186" s="157">
        <f>SUM(G183:G185)</f>
        <v>8</v>
      </c>
      <c r="H186" s="99">
        <f>G186+'8'!H186</f>
        <v>97</v>
      </c>
      <c r="I186" s="157"/>
      <c r="J186" s="178">
        <f>H186/DAY(B2)</f>
        <v>10.777777777777779</v>
      </c>
    </row>
    <row r="187" spans="1:10" ht="25.5">
      <c r="A187" s="1250" t="s">
        <v>217</v>
      </c>
      <c r="B187" s="1251"/>
      <c r="C187" s="333"/>
      <c r="D187" s="230" t="s">
        <v>142</v>
      </c>
      <c r="E187" s="95"/>
      <c r="F187" s="159"/>
      <c r="G187" s="159">
        <f>G62+G19</f>
        <v>158</v>
      </c>
      <c r="H187" s="99">
        <f>G187+'8'!H187</f>
        <v>1295</v>
      </c>
      <c r="I187" s="158"/>
      <c r="J187" s="179">
        <f>H187/DAY(B2)</f>
        <v>143.88888888888889</v>
      </c>
    </row>
    <row r="188" spans="1:10" ht="25.5">
      <c r="A188" s="1250" t="s">
        <v>218</v>
      </c>
      <c r="B188" s="1251"/>
      <c r="C188" s="333"/>
      <c r="D188" s="230" t="s">
        <v>142</v>
      </c>
      <c r="E188" s="95"/>
      <c r="F188" s="159"/>
      <c r="G188" s="159">
        <f>G65+G66+G67+G69+G70</f>
        <v>146</v>
      </c>
      <c r="H188" s="99">
        <f>G188+'8'!H188</f>
        <v>1326</v>
      </c>
      <c r="I188" s="158"/>
      <c r="J188" s="179">
        <f>H188/DAY(B2)</f>
        <v>147.33333333333334</v>
      </c>
    </row>
    <row r="189" spans="1:10" ht="25.5">
      <c r="A189" s="1250" t="s">
        <v>219</v>
      </c>
      <c r="B189" s="1251"/>
      <c r="C189" s="333"/>
      <c r="D189" s="230" t="s">
        <v>142</v>
      </c>
      <c r="E189" s="95"/>
      <c r="F189" s="157"/>
      <c r="G189" s="157">
        <f>G181</f>
        <v>0</v>
      </c>
      <c r="H189" s="99">
        <f>G189+'8'!H189</f>
        <v>0</v>
      </c>
      <c r="I189" s="158"/>
      <c r="J189" s="179">
        <f>H189/DAY(B2)</f>
        <v>0</v>
      </c>
    </row>
    <row r="190" spans="1:10" ht="29.25" customHeight="1">
      <c r="A190" s="1252"/>
      <c r="B190" s="1253"/>
      <c r="C190" s="376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zoomScale="55" zoomScaleNormal="55" zoomScaleSheetLayoutView="55" workbookViewId="0">
      <selection activeCell="F19" sqref="F1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3.25">
      <c r="A2" s="191" t="s">
        <v>353</v>
      </c>
      <c r="B2" s="262">
        <v>44844</v>
      </c>
      <c r="C2" s="348" t="s">
        <v>67</v>
      </c>
      <c r="D2" s="218">
        <v>0.35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'9'!F7</f>
        <v>106139.88</v>
      </c>
      <c r="F7" s="95">
        <v>131494.32</v>
      </c>
      <c r="G7" s="112">
        <f>F7-E7</f>
        <v>25354.440000000002</v>
      </c>
      <c r="H7" s="99">
        <f>G7+'9'!H7</f>
        <v>249658.32</v>
      </c>
      <c r="I7" s="113">
        <f>'1'!I7</f>
        <v>12000</v>
      </c>
      <c r="J7" s="175">
        <f>H7/DAY(B2)</f>
        <v>24965.832000000002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'9'!F8</f>
        <v>276753.95</v>
      </c>
      <c r="F8" s="95">
        <v>302445.96999999997</v>
      </c>
      <c r="G8" s="115">
        <f>F8-E8</f>
        <v>25692.01999999996</v>
      </c>
      <c r="H8" s="99">
        <f>G8+'9'!H8</f>
        <v>253065.96999999997</v>
      </c>
      <c r="I8" s="116"/>
      <c r="J8" s="175">
        <f>H8/DAY(B2)</f>
        <v>25306.596999999998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'9'!F9</f>
        <v>3763714.3</v>
      </c>
      <c r="F9" s="447">
        <v>3768558.7</v>
      </c>
      <c r="G9" s="112">
        <f>F9-E9</f>
        <v>4844.4000000003725</v>
      </c>
      <c r="H9" s="99">
        <f>G9+'9'!H9</f>
        <v>61851.700000000186</v>
      </c>
      <c r="I9" s="124">
        <f>I7-J7</f>
        <v>-12965.832000000002</v>
      </c>
      <c r="J9" s="175">
        <f>H9/DAY(B2)</f>
        <v>6185.1700000000183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'9'!F10</f>
        <v>2904199.3</v>
      </c>
      <c r="F10" s="117">
        <v>2924018.7</v>
      </c>
      <c r="G10" s="112">
        <f t="shared" ref="G10:G12" si="0">F10-E10</f>
        <v>19819.400000000373</v>
      </c>
      <c r="H10" s="99">
        <f>G10+'9'!H10</f>
        <v>181324.70000000019</v>
      </c>
      <c r="I10" s="282"/>
      <c r="J10" s="175">
        <f>H10/DAY(B2)</f>
        <v>18132.470000000019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'9'!F11</f>
        <v>37560</v>
      </c>
      <c r="F11" s="95">
        <v>37560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'9'!F12</f>
        <v>40380</v>
      </c>
      <c r="F12" s="117">
        <v>40380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24663.800000000745</v>
      </c>
      <c r="H13" s="99">
        <f>G13+'9'!H13</f>
        <v>244636.40000000037</v>
      </c>
      <c r="I13" s="120">
        <f>G7-G13</f>
        <v>690.63999999925727</v>
      </c>
      <c r="J13" s="175">
        <f>H13/DAY(B2)</f>
        <v>24463.640000000036</v>
      </c>
      <c r="K13" s="79"/>
      <c r="L13" s="66"/>
      <c r="N13" s="87"/>
      <c r="O13" s="71"/>
    </row>
    <row r="14" spans="1:15" ht="26.25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'9'!F15</f>
        <v>2170613</v>
      </c>
      <c r="F15" s="447">
        <v>2171616.92</v>
      </c>
      <c r="G15" s="112">
        <f>(F15-E15)</f>
        <v>1003.9199999999255</v>
      </c>
      <c r="H15" s="99">
        <f>G15+'9'!H15</f>
        <v>10101.919999999925</v>
      </c>
      <c r="I15" s="113">
        <f>'1'!I15</f>
        <v>800</v>
      </c>
      <c r="J15" s="175">
        <f>H15/DAY(B2)</f>
        <v>1010.1919999999925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-210.1919999999925</v>
      </c>
      <c r="J16" s="176"/>
      <c r="K16" s="79"/>
      <c r="L16" s="66"/>
      <c r="N16" s="87"/>
      <c r="O16" s="71"/>
    </row>
    <row r="17" spans="1:15" ht="26.25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81" t="s">
        <v>141</v>
      </c>
      <c r="B18" s="1282"/>
      <c r="C18" s="1283"/>
      <c r="D18" s="151" t="s">
        <v>142</v>
      </c>
      <c r="E18" s="95">
        <f>'9'!F18</f>
        <v>28</v>
      </c>
      <c r="F18" s="164">
        <v>18</v>
      </c>
      <c r="G18" s="119">
        <f>F18*10</f>
        <v>180</v>
      </c>
      <c r="H18" s="99">
        <f>G18+'9'!H18</f>
        <v>2340</v>
      </c>
      <c r="I18" s="113">
        <f>'1'!I18</f>
        <v>65</v>
      </c>
      <c r="J18" s="175">
        <f>H18/DAY(B2)</f>
        <v>234</v>
      </c>
      <c r="K18" s="79"/>
      <c r="L18" s="66"/>
      <c r="N18" s="87"/>
      <c r="O18" s="71"/>
    </row>
    <row r="19" spans="1:15" ht="25.5">
      <c r="A19" s="1281" t="s">
        <v>69</v>
      </c>
      <c r="B19" s="1282"/>
      <c r="C19" s="1283"/>
      <c r="D19" s="151" t="s">
        <v>142</v>
      </c>
      <c r="E19" s="95">
        <f>'9'!F19</f>
        <v>165923</v>
      </c>
      <c r="F19" s="122">
        <v>165975</v>
      </c>
      <c r="G19" s="112">
        <v>50</v>
      </c>
      <c r="H19" s="99">
        <f>G19+'9'!H19</f>
        <v>532</v>
      </c>
      <c r="I19" s="335"/>
      <c r="J19" s="175">
        <f>H19/DAY(B2)</f>
        <v>53.2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230</v>
      </c>
      <c r="H20" s="99">
        <f>G20+'9'!H20</f>
        <v>2872</v>
      </c>
      <c r="I20" s="336">
        <f>I18-J20</f>
        <v>-222.2</v>
      </c>
      <c r="J20" s="175">
        <f>H20/DAY(B2)</f>
        <v>287.2</v>
      </c>
      <c r="K20" s="79"/>
      <c r="L20" s="66"/>
      <c r="N20" s="87"/>
      <c r="O20" s="71"/>
    </row>
    <row r="21" spans="1:15" ht="26.25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1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25692.01999999996</v>
      </c>
      <c r="F27" s="136">
        <v>10</v>
      </c>
      <c r="G27" s="137">
        <f>E27*F27</f>
        <v>256920.1999999996</v>
      </c>
      <c r="H27" s="99">
        <f>G27+'9'!H27</f>
        <v>2530659.6999999997</v>
      </c>
      <c r="I27" s="138"/>
      <c r="J27" s="175">
        <f>H27/DAY(B2)</f>
        <v>253065.96999999997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1003.9199999999255</v>
      </c>
      <c r="F28" s="136">
        <v>75</v>
      </c>
      <c r="G28" s="137">
        <f>E28*F28</f>
        <v>75293.999999994412</v>
      </c>
      <c r="H28" s="99">
        <f>G28+'9'!H28</f>
        <v>757643.99999999441</v>
      </c>
      <c r="I28" s="140"/>
      <c r="J28" s="175">
        <f>H28/DAY(B2)</f>
        <v>75764.399999999441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G30+'9'!H30</f>
        <v>80332</v>
      </c>
      <c r="I30" s="140"/>
      <c r="J30" s="175">
        <f>H30/DAY(B2)</f>
        <v>8033.2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85</v>
      </c>
      <c r="G31" s="137">
        <f>E31*F31</f>
        <v>15300</v>
      </c>
      <c r="H31" s="99">
        <f>G31+'9'!H31</f>
        <v>195750</v>
      </c>
      <c r="I31" s="140"/>
      <c r="J31" s="175">
        <f>H31/DAY(B2)</f>
        <v>19575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355064.19999999402</v>
      </c>
      <c r="H32" s="99">
        <f>G32+'9'!H32</f>
        <v>3564385.6999999941</v>
      </c>
      <c r="I32" s="144"/>
      <c r="J32" s="175">
        <f>H32/DAY(B2)</f>
        <v>356438.56999999942</v>
      </c>
      <c r="K32" s="63"/>
      <c r="L32" s="89"/>
      <c r="N32" s="87"/>
      <c r="O32" s="71"/>
    </row>
    <row r="33" spans="1:15" ht="25.5" customHeight="1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'9'!F35</f>
        <v>239892.19</v>
      </c>
      <c r="F35" s="145">
        <v>241796.79</v>
      </c>
      <c r="G35" s="112">
        <f t="shared" ref="G35:G46" si="2">F35-E35</f>
        <v>1904.6000000000058</v>
      </c>
      <c r="H35" s="99">
        <f>G35+'9'!H35</f>
        <v>3083.7400000000198</v>
      </c>
      <c r="I35" s="95"/>
      <c r="J35" s="175">
        <f>H35/DAY(B2)</f>
        <v>308.37400000000196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'9'!F36</f>
        <v>276351.43</v>
      </c>
      <c r="F36" s="145">
        <v>277128.61</v>
      </c>
      <c r="G36" s="112">
        <f t="shared" si="2"/>
        <v>777.17999999999302</v>
      </c>
      <c r="H36" s="99">
        <f>G36+'9'!H36</f>
        <v>7645.609999999986</v>
      </c>
      <c r="I36" s="95"/>
      <c r="J36" s="175">
        <f>H36/DAY(B2)</f>
        <v>764.56099999999856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'9'!F37</f>
        <v>322998.69</v>
      </c>
      <c r="F37" s="145">
        <v>322998.69</v>
      </c>
      <c r="G37" s="112">
        <f t="shared" si="2"/>
        <v>0</v>
      </c>
      <c r="H37" s="99">
        <f>G37+'9'!H37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'9'!F38</f>
        <v>613896.71</v>
      </c>
      <c r="F38" s="108">
        <v>616025.03</v>
      </c>
      <c r="G38" s="112">
        <f t="shared" si="2"/>
        <v>2128.3200000000652</v>
      </c>
      <c r="H38" s="99">
        <f>G38+'9'!H38</f>
        <v>22308.030000000028</v>
      </c>
      <c r="I38" s="95"/>
      <c r="J38" s="175">
        <f>H38/DAY(B2)</f>
        <v>2230.8030000000026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'9'!F39</f>
        <v>591584.18999999994</v>
      </c>
      <c r="F39" s="145">
        <v>591584.18999999994</v>
      </c>
      <c r="G39" s="112">
        <f t="shared" si="2"/>
        <v>0</v>
      </c>
      <c r="H39" s="99">
        <f>G39+'9'!H39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'9'!F40</f>
        <v>164587.46</v>
      </c>
      <c r="F40" s="145">
        <v>165321.31</v>
      </c>
      <c r="G40" s="112">
        <f t="shared" si="2"/>
        <v>733.85000000000582</v>
      </c>
      <c r="H40" s="99">
        <f>G40+'9'!H40</f>
        <v>7341.3099999999977</v>
      </c>
      <c r="I40" s="95"/>
      <c r="J40" s="175">
        <f>H40/DAY(B2)</f>
        <v>734.13099999999974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'9'!F41</f>
        <v>381351.55</v>
      </c>
      <c r="F41" s="145">
        <v>381351.55</v>
      </c>
      <c r="G41" s="112">
        <f t="shared" si="2"/>
        <v>0</v>
      </c>
      <c r="H41" s="99">
        <f>G41+'9'!H41</f>
        <v>1000</v>
      </c>
      <c r="I41" s="95"/>
      <c r="J41" s="175">
        <f>H41/DAY(B2)</f>
        <v>100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'9'!F42</f>
        <v>854941.43</v>
      </c>
      <c r="F42" s="145">
        <v>854975.91</v>
      </c>
      <c r="G42" s="112">
        <f t="shared" si="2"/>
        <v>34.479999999981374</v>
      </c>
      <c r="H42" s="99">
        <f>G42+'9'!H42</f>
        <v>29888.910000000033</v>
      </c>
      <c r="I42" s="95"/>
      <c r="J42" s="175">
        <f>H42/DAY(B2)</f>
        <v>2988.8910000000033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'9'!F43</f>
        <v>407028</v>
      </c>
      <c r="F43" s="145">
        <v>407028</v>
      </c>
      <c r="G43" s="112">
        <f t="shared" si="2"/>
        <v>0</v>
      </c>
      <c r="H43" s="99">
        <f>G43+'9'!H43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2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2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2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5578.4300000000512</v>
      </c>
      <c r="H47" s="99">
        <f>G47+'9'!H47</f>
        <v>71267.600000000064</v>
      </c>
      <c r="I47" s="95"/>
      <c r="J47" s="175">
        <f>H47/DAY(B2)</f>
        <v>7126.7600000000066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'9'!F49</f>
        <v>752493.59</v>
      </c>
      <c r="F49" s="145">
        <v>754097.67</v>
      </c>
      <c r="G49" s="112">
        <f t="shared" ref="G49:G58" si="3">F49-E49</f>
        <v>1604.0800000000745</v>
      </c>
      <c r="H49" s="99">
        <f>G49+'9'!H49</f>
        <v>33810.670000000042</v>
      </c>
      <c r="I49" s="95"/>
      <c r="J49" s="175">
        <f>H49/DAY(B2)</f>
        <v>3381.0670000000041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'9'!F50</f>
        <v>379065.15</v>
      </c>
      <c r="F50" s="145">
        <v>381052.47</v>
      </c>
      <c r="G50" s="112">
        <f t="shared" si="3"/>
        <v>1987.3199999999488</v>
      </c>
      <c r="H50" s="99">
        <f>G50+'9'!H50</f>
        <v>15281.469999999972</v>
      </c>
      <c r="I50" s="95"/>
      <c r="J50" s="175">
        <f>H50/DAY(B2)</f>
        <v>1528.1469999999972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'9'!F51</f>
        <v>80920.59</v>
      </c>
      <c r="F51" s="145">
        <v>81964.149999999994</v>
      </c>
      <c r="G51" s="112">
        <f t="shared" si="3"/>
        <v>1043.5599999999977</v>
      </c>
      <c r="H51" s="99">
        <f>G51+'9'!H51</f>
        <v>10237.149999999994</v>
      </c>
      <c r="I51" s="95"/>
      <c r="J51" s="175">
        <f>H51/DAY(B2)</f>
        <v>1023.7149999999995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'9'!F52</f>
        <v>9.76</v>
      </c>
      <c r="F52" s="145">
        <v>9.76</v>
      </c>
      <c r="G52" s="112">
        <f t="shared" si="3"/>
        <v>0</v>
      </c>
      <c r="H52" s="99">
        <f>G52+'9'!H52</f>
        <v>-0.24000000000000021</v>
      </c>
      <c r="I52" s="95"/>
      <c r="J52" s="175">
        <f>H52/DAY(B2)</f>
        <v>-2.4000000000000021E-2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'9'!F53</f>
        <v>331822.23</v>
      </c>
      <c r="F53" s="145">
        <v>335831.35</v>
      </c>
      <c r="G53" s="112">
        <f t="shared" si="3"/>
        <v>4009.1199999999953</v>
      </c>
      <c r="H53" s="99">
        <f>G53+'9'!H53</f>
        <v>41730.349999999977</v>
      </c>
      <c r="I53" s="95"/>
      <c r="J53" s="175">
        <f>H53/DAY(B2)</f>
        <v>4173.034999999998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'9'!F54</f>
        <v>102946.94</v>
      </c>
      <c r="F54" s="145">
        <v>103115.67</v>
      </c>
      <c r="G54" s="112">
        <f t="shared" si="3"/>
        <v>168.72999999999593</v>
      </c>
      <c r="H54" s="99">
        <f>G54+'9'!H54</f>
        <v>1728.6699999999983</v>
      </c>
      <c r="I54" s="95"/>
      <c r="J54" s="175">
        <f>H54/DAY(B2)</f>
        <v>172.86699999999982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'9'!F55</f>
        <v>517271.51</v>
      </c>
      <c r="F55" s="405">
        <v>520864.35</v>
      </c>
      <c r="G55" s="112">
        <f t="shared" si="3"/>
        <v>3592.8399999999674</v>
      </c>
      <c r="H55" s="99">
        <f>G55+'9'!H55</f>
        <v>26381.349999999977</v>
      </c>
      <c r="I55" s="95"/>
      <c r="J55" s="175">
        <f>H55/DAY(B2)</f>
        <v>2638.1349999999975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'9'!F56</f>
        <v>154609.34</v>
      </c>
      <c r="F56" s="405">
        <v>156304.60999999999</v>
      </c>
      <c r="G56" s="112">
        <f t="shared" si="3"/>
        <v>1695.2699999999895</v>
      </c>
      <c r="H56" s="99">
        <f>G56+'9'!H56</f>
        <v>6585.609999999986</v>
      </c>
      <c r="I56" s="95"/>
      <c r="J56" s="175">
        <f>H56/DAY(B2)</f>
        <v>658.56099999999856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'9'!F57</f>
        <v>436139.03</v>
      </c>
      <c r="F57" s="405">
        <v>439227.47</v>
      </c>
      <c r="G57" s="112">
        <f t="shared" si="3"/>
        <v>3088.4399999999441</v>
      </c>
      <c r="H57" s="99">
        <f>G57+'9'!H57</f>
        <v>30149.469999999972</v>
      </c>
      <c r="I57" s="95"/>
      <c r="J57" s="175">
        <f>H57/DAY(B2)</f>
        <v>3014.9469999999974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'9'!F58</f>
        <v>66346.649999999994</v>
      </c>
      <c r="F58" s="405">
        <v>66603.25</v>
      </c>
      <c r="G58" s="112">
        <f t="shared" si="3"/>
        <v>256.60000000000582</v>
      </c>
      <c r="H58" s="99">
        <f>G58+'9'!H58</f>
        <v>2452.25</v>
      </c>
      <c r="I58" s="95"/>
      <c r="J58" s="175">
        <f>H58/DAY(B2)</f>
        <v>245.22499999999999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17445.959999999919</v>
      </c>
      <c r="H59" s="99">
        <f>G59+'9'!H59</f>
        <v>168356.74999999994</v>
      </c>
      <c r="I59" s="95">
        <f>G7-G60</f>
        <v>2330.050000000032</v>
      </c>
      <c r="J59" s="175">
        <f>H59/DAY(B2)</f>
        <v>16835.674999999996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23024.38999999997</v>
      </c>
      <c r="H60" s="99">
        <f>G60+'9'!H60</f>
        <v>239624.34999999998</v>
      </c>
      <c r="I60" s="95">
        <f>G13-G60</f>
        <v>1639.4100000007747</v>
      </c>
      <c r="J60" s="175">
        <f>H60/DAY(B2)</f>
        <v>23962.434999999998</v>
      </c>
      <c r="K60" s="79"/>
      <c r="L60" s="66"/>
      <c r="N60" s="87"/>
      <c r="O60" s="71"/>
    </row>
    <row r="61" spans="1:15" s="68" customFormat="1" ht="26.25">
      <c r="A61" s="1278" t="s">
        <v>332</v>
      </c>
      <c r="B61" s="1279"/>
      <c r="C61" s="12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81" t="s">
        <v>198</v>
      </c>
      <c r="B62" s="1282"/>
      <c r="C62" s="1283"/>
      <c r="D62" s="151" t="s">
        <v>142</v>
      </c>
      <c r="E62" s="95">
        <f>'9'!F62</f>
        <v>302878</v>
      </c>
      <c r="F62" s="122">
        <v>302953</v>
      </c>
      <c r="G62" s="112">
        <f t="shared" ref="G62:G63" si="4">F62-E62</f>
        <v>75</v>
      </c>
      <c r="H62" s="99">
        <f>G62+'9'!H62</f>
        <v>888</v>
      </c>
      <c r="I62" s="118"/>
      <c r="J62" s="175">
        <f>H62/DAY(B2)</f>
        <v>88.8</v>
      </c>
      <c r="K62" s="80"/>
      <c r="L62" s="66"/>
      <c r="N62" s="87"/>
      <c r="O62" s="71"/>
    </row>
    <row r="63" spans="1:15" ht="25.5">
      <c r="A63" s="1281" t="s">
        <v>199</v>
      </c>
      <c r="B63" s="1282"/>
      <c r="C63" s="1283"/>
      <c r="D63" s="151" t="s">
        <v>142</v>
      </c>
      <c r="E63" s="95">
        <f>'9'!F63</f>
        <v>245139</v>
      </c>
      <c r="F63" s="164">
        <v>245139</v>
      </c>
      <c r="G63" s="112">
        <f t="shared" si="4"/>
        <v>0</v>
      </c>
      <c r="H63" s="99">
        <f>G63+'9'!H63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6.25">
      <c r="A64" s="1284" t="s">
        <v>200</v>
      </c>
      <c r="B64" s="1285"/>
      <c r="C64" s="1286"/>
      <c r="D64" s="151"/>
      <c r="E64" s="95">
        <f>'9'!F64</f>
        <v>0</v>
      </c>
      <c r="F64" s="122"/>
      <c r="G64" s="112">
        <f>G62+G63</f>
        <v>75</v>
      </c>
      <c r="H64" s="99">
        <f>G64+'9'!H64</f>
        <v>888</v>
      </c>
      <c r="I64" s="118"/>
      <c r="J64" s="175">
        <f>H64/DAY(B2)</f>
        <v>88.8</v>
      </c>
      <c r="K64" s="69"/>
      <c r="L64" s="66"/>
      <c r="N64" s="87"/>
      <c r="O64" s="71"/>
    </row>
    <row r="65" spans="1:15" ht="25.5">
      <c r="A65" s="1281" t="s">
        <v>201</v>
      </c>
      <c r="B65" s="1282"/>
      <c r="C65" s="1283"/>
      <c r="D65" s="151" t="s">
        <v>142</v>
      </c>
      <c r="E65" s="95">
        <f>'9'!F65</f>
        <v>461733</v>
      </c>
      <c r="F65" s="122">
        <v>461831</v>
      </c>
      <c r="G65" s="112">
        <f t="shared" ref="G65:G70" si="5">F65-E65</f>
        <v>98</v>
      </c>
      <c r="H65" s="99">
        <f>G65+'9'!H65</f>
        <v>1007</v>
      </c>
      <c r="I65" s="118"/>
      <c r="J65" s="175">
        <f>H65/DAY(B2)</f>
        <v>100.7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'9'!F66</f>
        <v>112710</v>
      </c>
      <c r="F66" s="122">
        <v>112721</v>
      </c>
      <c r="G66" s="112">
        <f t="shared" si="5"/>
        <v>11</v>
      </c>
      <c r="H66" s="99">
        <f>G66+'9'!H66</f>
        <v>116</v>
      </c>
      <c r="I66" s="118"/>
      <c r="J66" s="175">
        <f>H66/DAY(B2)</f>
        <v>11.6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'9'!F67</f>
        <v>114909</v>
      </c>
      <c r="F67" s="122">
        <v>114932</v>
      </c>
      <c r="G67" s="112">
        <f t="shared" si="5"/>
        <v>23</v>
      </c>
      <c r="H67" s="99">
        <f>G67+'9'!H67</f>
        <v>224</v>
      </c>
      <c r="I67" s="118"/>
      <c r="J67" s="175">
        <f>H67/DAY(B2)</f>
        <v>22.4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'9'!F68</f>
        <v>166838</v>
      </c>
      <c r="F68" s="122">
        <v>166887</v>
      </c>
      <c r="G68" s="112">
        <f t="shared" si="5"/>
        <v>49</v>
      </c>
      <c r="H68" s="99">
        <f>G68+'9'!H68</f>
        <v>306</v>
      </c>
      <c r="I68" s="118"/>
      <c r="J68" s="175">
        <f>H68/DAY(B2)</f>
        <v>30.6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'9'!F69</f>
        <v>12594</v>
      </c>
      <c r="F69" s="122">
        <v>12597</v>
      </c>
      <c r="G69" s="112">
        <f t="shared" si="5"/>
        <v>3</v>
      </c>
      <c r="H69" s="99">
        <f>G69+'9'!H69</f>
        <v>33</v>
      </c>
      <c r="I69" s="118"/>
      <c r="J69" s="175">
        <f>H69/DAY(B2)</f>
        <v>3.3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'9'!F70</f>
        <v>10414</v>
      </c>
      <c r="F70" s="122">
        <v>10421</v>
      </c>
      <c r="G70" s="112">
        <f t="shared" si="5"/>
        <v>7</v>
      </c>
      <c r="H70" s="99">
        <f>G70+'9'!H70</f>
        <v>88</v>
      </c>
      <c r="I70" s="118"/>
      <c r="J70" s="175">
        <f>H70/DAY(B2)</f>
        <v>8.8000000000000007</v>
      </c>
      <c r="K70" s="69"/>
      <c r="L70" s="66"/>
      <c r="N70" s="87"/>
      <c r="O70" s="71"/>
    </row>
    <row r="71" spans="1:15" ht="26.25">
      <c r="A71" s="1284" t="s">
        <v>208</v>
      </c>
      <c r="B71" s="1285"/>
      <c r="C71" s="1286"/>
      <c r="D71" s="152"/>
      <c r="E71" s="152"/>
      <c r="F71" s="152"/>
      <c r="G71" s="153">
        <f>SUM(G65:G70)</f>
        <v>191</v>
      </c>
      <c r="H71" s="99">
        <f>G71+'9'!H71</f>
        <v>1774</v>
      </c>
      <c r="I71" s="154"/>
      <c r="J71" s="175">
        <f>H71/DAY(B2)</f>
        <v>177.4</v>
      </c>
      <c r="K71" s="69"/>
      <c r="L71" s="66"/>
      <c r="N71" s="87"/>
      <c r="O71" s="71"/>
    </row>
    <row r="72" spans="1:15" s="88" customFormat="1" ht="25.5">
      <c r="A72" s="1287"/>
      <c r="B72" s="126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5" t="s">
        <v>333</v>
      </c>
      <c r="B73" s="1296"/>
      <c r="C73" s="129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81" t="s">
        <v>220</v>
      </c>
      <c r="B74" s="1282"/>
      <c r="C74" s="1283"/>
      <c r="D74" s="151" t="s">
        <v>139</v>
      </c>
      <c r="E74" s="95">
        <f>'9'!F74</f>
        <v>978466.02</v>
      </c>
      <c r="F74" s="117">
        <v>978786.64</v>
      </c>
      <c r="G74" s="112">
        <f t="shared" ref="G74:G78" si="6">F74-E74</f>
        <v>320.61999999999534</v>
      </c>
      <c r="H74" s="99">
        <f>G74+'9'!H74</f>
        <v>2975.640000000014</v>
      </c>
      <c r="I74" s="154"/>
      <c r="J74" s="175">
        <f>H74/DAY(B2)</f>
        <v>297.56400000000139</v>
      </c>
      <c r="K74" s="69"/>
      <c r="L74" s="66"/>
      <c r="N74" s="87"/>
      <c r="O74" s="71"/>
    </row>
    <row r="75" spans="1:15" ht="25.5">
      <c r="A75" s="1281" t="s">
        <v>221</v>
      </c>
      <c r="B75" s="1282"/>
      <c r="C75" s="1283"/>
      <c r="D75" s="151" t="s">
        <v>139</v>
      </c>
      <c r="E75" s="95">
        <f>'9'!F75</f>
        <v>73586</v>
      </c>
      <c r="F75" s="123">
        <v>73586</v>
      </c>
      <c r="G75" s="112">
        <f t="shared" si="6"/>
        <v>0</v>
      </c>
      <c r="H75" s="99">
        <f>G75+'9'!H75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288" t="s">
        <v>222</v>
      </c>
      <c r="B76" s="1289"/>
      <c r="C76" s="1290"/>
      <c r="D76" s="151" t="s">
        <v>139</v>
      </c>
      <c r="E76" s="95">
        <f>'9'!F76</f>
        <v>197705.64</v>
      </c>
      <c r="F76" s="123">
        <v>197800.43</v>
      </c>
      <c r="G76" s="112">
        <f t="shared" si="6"/>
        <v>94.789999999979045</v>
      </c>
      <c r="H76" s="99">
        <f>G76+'9'!H76</f>
        <v>1064.429999999993</v>
      </c>
      <c r="I76" s="154"/>
      <c r="J76" s="175">
        <f>H76/DAY(B2)</f>
        <v>106.4429999999993</v>
      </c>
      <c r="K76" s="69"/>
      <c r="L76" s="66"/>
      <c r="N76" s="87"/>
      <c r="O76" s="71"/>
    </row>
    <row r="77" spans="1:15" ht="25.5">
      <c r="A77" s="1288" t="s">
        <v>223</v>
      </c>
      <c r="B77" s="1289"/>
      <c r="C77" s="1290"/>
      <c r="D77" s="151" t="s">
        <v>139</v>
      </c>
      <c r="E77" s="95">
        <f>'9'!F77</f>
        <v>53760</v>
      </c>
      <c r="F77" s="123">
        <v>53822.5</v>
      </c>
      <c r="G77" s="112">
        <f t="shared" si="6"/>
        <v>62.5</v>
      </c>
      <c r="H77" s="99">
        <f>G77+'9'!H77</f>
        <v>470.5</v>
      </c>
      <c r="I77" s="154"/>
      <c r="J77" s="175">
        <f>H77/DAY(B2)</f>
        <v>47.05</v>
      </c>
      <c r="K77" s="69"/>
      <c r="L77" s="66"/>
      <c r="N77" s="87"/>
      <c r="O77" s="71"/>
    </row>
    <row r="78" spans="1:15" ht="25.5">
      <c r="A78" s="1288" t="s">
        <v>224</v>
      </c>
      <c r="B78" s="1289"/>
      <c r="C78" s="1290"/>
      <c r="D78" s="151" t="s">
        <v>139</v>
      </c>
      <c r="E78" s="95">
        <f>'9'!F78</f>
        <v>9563.4</v>
      </c>
      <c r="F78" s="123">
        <v>9563.4</v>
      </c>
      <c r="G78" s="112">
        <f t="shared" si="6"/>
        <v>0</v>
      </c>
      <c r="H78" s="99">
        <f>G78+'9'!H78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1288" t="s">
        <v>225</v>
      </c>
      <c r="B79" s="1289"/>
      <c r="C79" s="1290"/>
      <c r="D79" s="151"/>
      <c r="E79" s="95">
        <f>'9'!F79</f>
        <v>0</v>
      </c>
      <c r="F79" s="117"/>
      <c r="G79" s="112">
        <f>G15-SUM(G74:G78)</f>
        <v>526.00999999995111</v>
      </c>
      <c r="H79" s="99">
        <f>G79+'9'!H79</f>
        <v>5591.3499999999185</v>
      </c>
      <c r="I79" s="118"/>
      <c r="J79" s="175"/>
      <c r="K79" s="59"/>
      <c r="L79" s="58"/>
      <c r="N79" s="87"/>
      <c r="O79" s="71"/>
    </row>
    <row r="80" spans="1:15" s="57" customFormat="1" ht="26.25">
      <c r="A80" s="1284" t="s">
        <v>329</v>
      </c>
      <c r="B80" s="1285"/>
      <c r="C80" s="1286"/>
      <c r="D80" s="151"/>
      <c r="E80" s="117"/>
      <c r="F80" s="117"/>
      <c r="G80" s="112">
        <f>SUM(G74:G79)</f>
        <v>1003.9199999999255</v>
      </c>
      <c r="H80" s="99"/>
      <c r="I80" s="118"/>
      <c r="J80" s="175"/>
      <c r="K80" s="59"/>
      <c r="L80" s="58"/>
      <c r="N80" s="87"/>
      <c r="O80" s="71"/>
    </row>
    <row r="81" spans="1:15" ht="25.5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7">F82-E82</f>
        <v>0</v>
      </c>
      <c r="H82" s="99">
        <f>G82+'9'!H82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7"/>
        <v>0</v>
      </c>
      <c r="H83" s="99">
        <f>G83+'9'!H83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'9'!F84</f>
        <v>43366.18</v>
      </c>
      <c r="F84" s="164">
        <v>43366.18</v>
      </c>
      <c r="G84" s="112">
        <f t="shared" si="7"/>
        <v>0</v>
      </c>
      <c r="H84" s="99">
        <f>G84+'9'!H84</f>
        <v>-0.62000000000261934</v>
      </c>
      <c r="I84" s="538"/>
      <c r="J84" s="175">
        <f>H84/DAY(B2)</f>
        <v>-6.2000000000261936E-2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'9'!F85</f>
        <v>5610.05</v>
      </c>
      <c r="F85" s="164">
        <v>5610.06</v>
      </c>
      <c r="G85" s="112">
        <f t="shared" si="7"/>
        <v>1.0000000000218279E-2</v>
      </c>
      <c r="H85" s="99">
        <f>G85+'9'!H85</f>
        <v>134.0600000000004</v>
      </c>
      <c r="I85" s="538"/>
      <c r="J85" s="175">
        <f>H85/DAY(B2)</f>
        <v>13.40600000000004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'9'!F86</f>
        <v>46430.41</v>
      </c>
      <c r="F86" s="164">
        <v>46454.84</v>
      </c>
      <c r="G86" s="112">
        <f t="shared" si="7"/>
        <v>24.429999999993015</v>
      </c>
      <c r="H86" s="99">
        <f>G86+'9'!H86</f>
        <v>183.41999999999825</v>
      </c>
      <c r="I86" s="538"/>
      <c r="J86" s="175">
        <f>H86/DAY(B2)</f>
        <v>18.341999999999825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'9'!F87</f>
        <v>35683.160000000003</v>
      </c>
      <c r="F87" s="164">
        <v>35695.440000000002</v>
      </c>
      <c r="G87" s="112">
        <f t="shared" si="7"/>
        <v>12.279999999998836</v>
      </c>
      <c r="H87" s="99">
        <f>G87+'9'!H87</f>
        <v>39.440000000002328</v>
      </c>
      <c r="I87" s="538">
        <f>G84+G85+G86+G87</f>
        <v>36.719999999992069</v>
      </c>
      <c r="J87" s="175">
        <f>H87/DAY(B2)</f>
        <v>3.9440000000002327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'9'!F88</f>
        <v>24442.51</v>
      </c>
      <c r="F88" s="164">
        <v>24442.51</v>
      </c>
      <c r="G88" s="112">
        <f t="shared" si="7"/>
        <v>0</v>
      </c>
      <c r="H88" s="99">
        <f>G88+'9'!H88</f>
        <v>18.549999999999272</v>
      </c>
      <c r="I88" s="538"/>
      <c r="J88" s="175">
        <f>H88/DAY(B2)</f>
        <v>1.8549999999999272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'9'!F89</f>
        <v>28053</v>
      </c>
      <c r="F89" s="164">
        <v>28061.69</v>
      </c>
      <c r="G89" s="112">
        <f t="shared" si="7"/>
        <v>8.6899999999986903</v>
      </c>
      <c r="H89" s="99">
        <f>G89+'9'!H89</f>
        <v>73.68999999999869</v>
      </c>
      <c r="I89" s="538">
        <f>G88+G89</f>
        <v>8.6899999999986903</v>
      </c>
      <c r="J89" s="175">
        <f>H89/DAY(B2)</f>
        <v>7.3689999999998692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'9'!F90</f>
        <v>73342</v>
      </c>
      <c r="F90" s="164">
        <v>73351.899999999994</v>
      </c>
      <c r="G90" s="112">
        <f t="shared" si="7"/>
        <v>9.8999999999941792</v>
      </c>
      <c r="H90" s="99">
        <f>G90+'9'!H90</f>
        <v>108.15999999998894</v>
      </c>
      <c r="I90" s="538">
        <f>G90</f>
        <v>9.8999999999941792</v>
      </c>
      <c r="J90" s="175">
        <f>H90/DAY(B2)</f>
        <v>10.815999999998894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'9'!F91</f>
        <v>4780.82</v>
      </c>
      <c r="F91" s="122">
        <v>4793.18</v>
      </c>
      <c r="G91" s="112">
        <f t="shared" si="7"/>
        <v>12.360000000000582</v>
      </c>
      <c r="H91" s="99">
        <f>G91+'9'!H91</f>
        <v>114.75</v>
      </c>
      <c r="I91" s="557"/>
      <c r="J91" s="175">
        <f>H91/DAY(B2)</f>
        <v>11.475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'9'!F92</f>
        <v>7000.23</v>
      </c>
      <c r="F92" s="122">
        <v>7000.23</v>
      </c>
      <c r="G92" s="112">
        <f t="shared" si="7"/>
        <v>0</v>
      </c>
      <c r="H92" s="99">
        <f>G92+'9'!H92</f>
        <v>0.22999999999956344</v>
      </c>
      <c r="I92" s="561">
        <f>G91+G92</f>
        <v>12.360000000000582</v>
      </c>
      <c r="J92" s="175">
        <f>H92/DAY(B2)</f>
        <v>2.2999999999956344E-2</v>
      </c>
      <c r="O92" s="71"/>
    </row>
    <row r="93" spans="1:15" ht="26.25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6597.1200000000244</v>
      </c>
      <c r="H94" s="99">
        <f>G94+'9'!H94</f>
        <v>67043.880000000034</v>
      </c>
      <c r="I94" s="118"/>
      <c r="J94" s="175">
        <f>H94/DAY(B2)</f>
        <v>6704.3880000000036</v>
      </c>
      <c r="K94" s="69"/>
      <c r="L94" s="66"/>
      <c r="O94" s="71"/>
    </row>
    <row r="95" spans="1:15" ht="25.5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0.26019584735454715</v>
      </c>
      <c r="H95" s="99">
        <f>G95+'9'!H95</f>
        <v>2.6873985023933926</v>
      </c>
      <c r="I95" s="167"/>
      <c r="J95" s="175">
        <f>H95/DAY(B2)</f>
        <v>0.26873985023933927</v>
      </c>
      <c r="K95" s="69"/>
      <c r="L95" s="66"/>
      <c r="O95" s="71"/>
    </row>
    <row r="96" spans="1:15" ht="25.5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5322.5899999999383</v>
      </c>
      <c r="H96" s="99">
        <f>G96+'9'!H96</f>
        <v>63855.869999999995</v>
      </c>
      <c r="I96" s="118"/>
      <c r="J96" s="175">
        <f>H96/DAY(B2)</f>
        <v>6385.5869999999995</v>
      </c>
      <c r="K96" s="69"/>
      <c r="L96" s="66"/>
      <c r="O96" s="71"/>
    </row>
    <row r="97" spans="1:15" ht="25.5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0.20992733422627113</v>
      </c>
      <c r="H97" s="99">
        <f>G97+'9'!H97</f>
        <v>2.5609578402916378</v>
      </c>
      <c r="I97" s="167"/>
      <c r="J97" s="175">
        <f>H97/DAY(B2)</f>
        <v>0.25609578402916378</v>
      </c>
      <c r="K97" s="69"/>
      <c r="L97" s="66"/>
      <c r="O97" s="71"/>
    </row>
    <row r="98" spans="1:15" ht="25.5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4009.1199999999953</v>
      </c>
      <c r="H98" s="99">
        <f>G98+'9'!H98</f>
        <v>41730.349999999977</v>
      </c>
      <c r="I98" s="168"/>
      <c r="J98" s="175">
        <f>H98/DAY(B2)</f>
        <v>4173.034999999998</v>
      </c>
      <c r="K98" s="69"/>
      <c r="L98" s="66"/>
      <c r="O98" s="71"/>
    </row>
    <row r="99" spans="1:15" ht="25.5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0.15812299542013133</v>
      </c>
      <c r="H99" s="99">
        <f>G99+'9'!H99</f>
        <v>1.6727349143581747</v>
      </c>
      <c r="I99" s="168"/>
      <c r="J99" s="175">
        <f>H99/DAY(B2)</f>
        <v>0.16727349143581746</v>
      </c>
      <c r="O99" s="71"/>
    </row>
    <row r="100" spans="1:15" ht="26.25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2128.3200000000652</v>
      </c>
      <c r="H100" s="99">
        <f>G100+'9'!H100</f>
        <v>22307.79000000003</v>
      </c>
      <c r="I100" s="118"/>
      <c r="J100" s="175">
        <f>H100/DAY(B2)</f>
        <v>2230.7790000000032</v>
      </c>
      <c r="K100" s="70"/>
      <c r="O100" s="71"/>
    </row>
    <row r="101" spans="1:15" ht="25.5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8.3942694060687786E-2</v>
      </c>
      <c r="H101" s="99">
        <f>G101+'9'!H101</f>
        <v>0.89430531713953232</v>
      </c>
      <c r="I101" s="168"/>
      <c r="J101" s="175">
        <f>H101/DAY(B2)</f>
        <v>8.9430531713953237E-2</v>
      </c>
      <c r="O101" s="71"/>
    </row>
    <row r="102" spans="1:15" ht="25.5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2764.4999999999418</v>
      </c>
      <c r="H102" s="99">
        <f>G102+'9'!H102</f>
        <v>22927.079999999958</v>
      </c>
      <c r="I102" s="168"/>
      <c r="J102" s="175">
        <f>H102/DAY(B2)</f>
        <v>2292.707999999996</v>
      </c>
      <c r="O102" s="71"/>
    </row>
    <row r="103" spans="1:15" ht="25.5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0.10903415733102137</v>
      </c>
      <c r="H103" s="99">
        <f>G103+'9'!H103</f>
        <v>0.91767048179358401</v>
      </c>
      <c r="I103" s="118"/>
      <c r="J103" s="175">
        <f>H103/DAY(B2)</f>
        <v>9.1767048179358407E-2</v>
      </c>
      <c r="O103" s="71"/>
    </row>
    <row r="104" spans="1:15" ht="25.5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1043.5599999999977</v>
      </c>
      <c r="H104" s="99">
        <f>G104+'9'!H104</f>
        <v>10237.149999999994</v>
      </c>
      <c r="I104" s="118"/>
      <c r="J104" s="175">
        <f>H104/DAY(B2)</f>
        <v>1023.7149999999995</v>
      </c>
      <c r="O104" s="71"/>
    </row>
    <row r="105" spans="1:15" ht="26.25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4.1158866060539992E-2</v>
      </c>
      <c r="H105" s="99">
        <f>G105+'9'!H105</f>
        <v>0.41030019779339488</v>
      </c>
      <c r="I105" s="187"/>
      <c r="J105" s="188">
        <f>H105/DAY(B2)</f>
        <v>4.103001977933949E-2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6.25">
      <c r="A109" s="1291"/>
      <c r="B109" s="1291"/>
    </row>
    <row r="110" spans="1:15" ht="26.25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5.5">
      <c r="A111" s="1270"/>
      <c r="B111" s="1271"/>
      <c r="C111" s="1272"/>
      <c r="D111" s="165"/>
      <c r="E111" s="165"/>
      <c r="F111" s="165"/>
      <c r="G111" s="165"/>
      <c r="H111" s="156"/>
      <c r="I111" s="165"/>
      <c r="J111" s="327"/>
    </row>
    <row r="112" spans="1:15" ht="25.5">
      <c r="A112" s="1266" t="s">
        <v>252</v>
      </c>
      <c r="B112" s="1267"/>
      <c r="C112" s="1268"/>
      <c r="D112" s="146" t="s">
        <v>183</v>
      </c>
      <c r="E112" s="95">
        <f>'9'!F112</f>
        <v>12304.67</v>
      </c>
      <c r="F112" s="237">
        <v>12377.36</v>
      </c>
      <c r="G112" s="112">
        <f t="shared" ref="G112:G123" si="8">F112-E112</f>
        <v>72.690000000000509</v>
      </c>
      <c r="H112" s="99">
        <f>G112+'9'!H112</f>
        <v>714.36000000000058</v>
      </c>
      <c r="I112" s="165"/>
      <c r="J112" s="328">
        <f>H112/DAY(B2)</f>
        <v>71.436000000000064</v>
      </c>
    </row>
    <row r="113" spans="1:18" ht="29.25" customHeight="1">
      <c r="A113" s="1266" t="s">
        <v>253</v>
      </c>
      <c r="B113" s="1267"/>
      <c r="C113" s="1268"/>
      <c r="D113" s="146" t="s">
        <v>183</v>
      </c>
      <c r="E113" s="95">
        <f>'9'!F113</f>
        <v>24769.07</v>
      </c>
      <c r="F113" s="237">
        <v>24910.29</v>
      </c>
      <c r="G113" s="112">
        <f t="shared" si="8"/>
        <v>141.22000000000116</v>
      </c>
      <c r="H113" s="99">
        <f>G113+'9'!H113</f>
        <v>1389.2900000000009</v>
      </c>
      <c r="I113" s="165"/>
      <c r="J113" s="328">
        <f>H113/DAY(B2)</f>
        <v>138.92900000000009</v>
      </c>
    </row>
    <row r="114" spans="1:18" ht="29.25" customHeight="1">
      <c r="A114" s="1266" t="s">
        <v>254</v>
      </c>
      <c r="B114" s="1267"/>
      <c r="C114" s="1268"/>
      <c r="D114" s="146" t="s">
        <v>183</v>
      </c>
      <c r="E114" s="95">
        <f>'9'!F114</f>
        <v>36779.32</v>
      </c>
      <c r="F114" s="237">
        <v>37011.33</v>
      </c>
      <c r="G114" s="112">
        <f t="shared" si="8"/>
        <v>232.01000000000204</v>
      </c>
      <c r="H114" s="99">
        <f>G114+'9'!H114</f>
        <v>2236.3300000000017</v>
      </c>
      <c r="I114" s="165"/>
      <c r="J114" s="328">
        <f>H114/DAY(B2)</f>
        <v>223.63300000000018</v>
      </c>
    </row>
    <row r="115" spans="1:18" ht="29.25" customHeight="1">
      <c r="A115" s="1266" t="s">
        <v>255</v>
      </c>
      <c r="B115" s="1267"/>
      <c r="C115" s="1268"/>
      <c r="D115" s="146" t="s">
        <v>183</v>
      </c>
      <c r="E115" s="95">
        <f>'9'!F115</f>
        <v>23110.74</v>
      </c>
      <c r="F115" s="400">
        <v>23274.18</v>
      </c>
      <c r="G115" s="112">
        <f t="shared" si="8"/>
        <v>163.43999999999869</v>
      </c>
      <c r="H115" s="99">
        <f>G115+'9'!H115</f>
        <v>1221.1800000000003</v>
      </c>
      <c r="I115" s="165"/>
      <c r="J115" s="328">
        <f>H115/DAY(B2)</f>
        <v>122.11800000000002</v>
      </c>
    </row>
    <row r="116" spans="1:18" ht="29.25" customHeight="1">
      <c r="A116" s="1275" t="s">
        <v>96</v>
      </c>
      <c r="B116" s="1276"/>
      <c r="C116" s="1277"/>
      <c r="D116" s="146" t="s">
        <v>183</v>
      </c>
      <c r="E116" s="95">
        <f>'9'!F116</f>
        <v>100943.31</v>
      </c>
      <c r="F116" s="237">
        <v>101134.04</v>
      </c>
      <c r="G116" s="112">
        <f t="shared" si="8"/>
        <v>190.72999999999593</v>
      </c>
      <c r="H116" s="99">
        <f>G116+'9'!H116</f>
        <v>3999.0399999999936</v>
      </c>
      <c r="I116" s="165"/>
      <c r="J116" s="328">
        <f>H116/DAY(B2)</f>
        <v>399.90399999999937</v>
      </c>
      <c r="Q116" s="1266" t="s">
        <v>311</v>
      </c>
      <c r="R116" s="1268"/>
    </row>
    <row r="117" spans="1:18" ht="29.25" customHeight="1">
      <c r="A117" s="1275" t="s">
        <v>184</v>
      </c>
      <c r="B117" s="1276"/>
      <c r="C117" s="1277"/>
      <c r="D117" s="146" t="s">
        <v>183</v>
      </c>
      <c r="E117" s="95">
        <f>'9'!F117</f>
        <v>59549.63</v>
      </c>
      <c r="F117" s="237">
        <v>59842.98</v>
      </c>
      <c r="G117" s="112">
        <f t="shared" si="8"/>
        <v>293.35000000000582</v>
      </c>
      <c r="H117" s="99">
        <f>G117+'9'!H117</f>
        <v>3337.9800000000032</v>
      </c>
      <c r="I117" s="165"/>
      <c r="J117" s="328">
        <f>H117/DAY(B2)</f>
        <v>333.79800000000034</v>
      </c>
      <c r="Q117" s="1266" t="s">
        <v>312</v>
      </c>
      <c r="R117" s="1268"/>
    </row>
    <row r="118" spans="1:18" ht="25.5">
      <c r="A118" s="1269" t="s">
        <v>97</v>
      </c>
      <c r="B118" s="1269"/>
      <c r="C118" s="1269"/>
      <c r="D118" s="151" t="s">
        <v>183</v>
      </c>
      <c r="E118" s="95">
        <f>'9'!F118</f>
        <v>107019.04</v>
      </c>
      <c r="F118" s="237">
        <v>107619.31</v>
      </c>
      <c r="G118" s="112">
        <f t="shared" si="8"/>
        <v>600.27000000000407</v>
      </c>
      <c r="H118" s="99">
        <f>G118+'9'!H118</f>
        <v>5865.3099999999977</v>
      </c>
      <c r="I118" s="165"/>
      <c r="J118" s="328">
        <f>H118/DAY(B2)</f>
        <v>586.53099999999972</v>
      </c>
      <c r="Q118" s="1266" t="s">
        <v>311</v>
      </c>
      <c r="R118" s="1268"/>
    </row>
    <row r="119" spans="1:18" ht="25.5">
      <c r="A119" s="1269" t="s">
        <v>98</v>
      </c>
      <c r="B119" s="1269"/>
      <c r="C119" s="1269"/>
      <c r="D119" s="151" t="s">
        <v>183</v>
      </c>
      <c r="E119" s="95">
        <f>'9'!F119</f>
        <v>42687.11</v>
      </c>
      <c r="F119" s="237">
        <v>42699.54</v>
      </c>
      <c r="G119" s="112">
        <f t="shared" si="8"/>
        <v>12.430000000000291</v>
      </c>
      <c r="H119" s="99">
        <f>G119+'9'!H119</f>
        <v>118.54000000000087</v>
      </c>
      <c r="I119" s="165"/>
      <c r="J119" s="328">
        <f>H119/DAY(B2)</f>
        <v>11.854000000000088</v>
      </c>
    </row>
    <row r="120" spans="1:18" ht="25.5">
      <c r="A120" s="1269" t="s">
        <v>99</v>
      </c>
      <c r="B120" s="1269"/>
      <c r="C120" s="1269"/>
      <c r="D120" s="151" t="s">
        <v>183</v>
      </c>
      <c r="E120" s="95">
        <f>'9'!F120</f>
        <v>74945.320000000007</v>
      </c>
      <c r="F120" s="237">
        <v>75344.100000000006</v>
      </c>
      <c r="G120" s="112">
        <f t="shared" si="8"/>
        <v>398.77999999999884</v>
      </c>
      <c r="H120" s="99">
        <f>G120+'9'!H120</f>
        <v>4012.1000000000058</v>
      </c>
      <c r="I120" s="165"/>
      <c r="J120" s="328">
        <f>H120/DAY(B2)</f>
        <v>401.2100000000006</v>
      </c>
    </row>
    <row r="121" spans="1:18" ht="25.5">
      <c r="A121" s="1269" t="s">
        <v>100</v>
      </c>
      <c r="B121" s="1269"/>
      <c r="C121" s="1269"/>
      <c r="D121" s="151" t="s">
        <v>183</v>
      </c>
      <c r="E121" s="95">
        <f>'9'!F121</f>
        <v>85378.85</v>
      </c>
      <c r="F121" s="237">
        <v>85809.59</v>
      </c>
      <c r="G121" s="112">
        <f t="shared" si="8"/>
        <v>430.73999999999069</v>
      </c>
      <c r="H121" s="99">
        <f>G121+'9'!H121</f>
        <v>4453.5899999999965</v>
      </c>
      <c r="I121" s="165"/>
      <c r="J121" s="328">
        <f>H121/DAY(B2)</f>
        <v>445.35899999999964</v>
      </c>
    </row>
    <row r="122" spans="1:18" ht="25.5">
      <c r="A122" s="1269" t="s">
        <v>101</v>
      </c>
      <c r="B122" s="1269"/>
      <c r="C122" s="1269"/>
      <c r="D122" s="151" t="s">
        <v>183</v>
      </c>
      <c r="E122" s="95">
        <f>'9'!F122</f>
        <v>52494.080000000002</v>
      </c>
      <c r="F122" s="237">
        <v>52887.34</v>
      </c>
      <c r="G122" s="112">
        <f t="shared" si="8"/>
        <v>393.25999999999476</v>
      </c>
      <c r="H122" s="99">
        <f>G122+'9'!H122</f>
        <v>3756.3399999999965</v>
      </c>
      <c r="I122" s="165"/>
      <c r="J122" s="328">
        <f>H122/DAY(B2)</f>
        <v>375.63399999999967</v>
      </c>
    </row>
    <row r="123" spans="1:18" ht="25.5">
      <c r="A123" s="1269" t="s">
        <v>102</v>
      </c>
      <c r="B123" s="1269"/>
      <c r="C123" s="1269"/>
      <c r="D123" s="151" t="s">
        <v>183</v>
      </c>
      <c r="E123" s="95">
        <f>'9'!F123</f>
        <v>52497.98</v>
      </c>
      <c r="F123" s="237">
        <v>52805.79</v>
      </c>
      <c r="G123" s="112">
        <f t="shared" si="8"/>
        <v>307.80999999999767</v>
      </c>
      <c r="H123" s="99">
        <f>G123+'9'!H123</f>
        <v>3056.7900000000009</v>
      </c>
      <c r="I123" s="165"/>
      <c r="J123" s="328">
        <f>H123/DAY(B2)</f>
        <v>305.67900000000009</v>
      </c>
    </row>
    <row r="124" spans="1:18" ht="29.25" customHeight="1">
      <c r="A124" s="1270"/>
      <c r="B124" s="1271"/>
      <c r="C124" s="1272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5.5">
      <c r="A125" s="1261" t="s">
        <v>196</v>
      </c>
      <c r="B125" s="1262"/>
      <c r="C125" s="245"/>
      <c r="D125" s="307"/>
      <c r="E125" s="308"/>
      <c r="F125" s="308"/>
      <c r="G125" s="309">
        <f>SUM(G112:G124)</f>
        <v>3236.7299999999905</v>
      </c>
      <c r="H125" s="156"/>
      <c r="I125" s="327">
        <f>G125-(G39+G53)</f>
        <v>-772.39000000000487</v>
      </c>
      <c r="J125" s="327"/>
    </row>
    <row r="126" spans="1:18" ht="25.5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5.5">
      <c r="A127" s="1274"/>
      <c r="B127" s="1274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1266" t="s">
        <v>318</v>
      </c>
      <c r="B128" s="1267"/>
      <c r="C128" s="1268"/>
      <c r="D128" s="151" t="s">
        <v>183</v>
      </c>
      <c r="E128" s="95">
        <f>'9'!F128</f>
        <v>158775</v>
      </c>
      <c r="F128" s="155">
        <v>159126.09</v>
      </c>
      <c r="G128" s="112">
        <f t="shared" ref="G128:G134" si="9">F128-E128</f>
        <v>351.08999999999651</v>
      </c>
      <c r="H128" s="99">
        <f>G128+'9'!H128</f>
        <v>4311.0899999999965</v>
      </c>
      <c r="I128" s="165"/>
      <c r="J128" s="328">
        <f>H128/DAY(B2)</f>
        <v>431.10899999999964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'9'!F129</f>
        <v>85491.29</v>
      </c>
      <c r="F129" s="155">
        <v>85646</v>
      </c>
      <c r="G129" s="112">
        <f t="shared" si="9"/>
        <v>154.7100000000064</v>
      </c>
      <c r="H129" s="99">
        <f>G129+'9'!H129</f>
        <v>1710</v>
      </c>
      <c r="I129" s="165"/>
      <c r="J129" s="328">
        <f>H129/DAY(B2)</f>
        <v>171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'9'!F130</f>
        <v>212686.79</v>
      </c>
      <c r="F130" s="157">
        <v>213285.53</v>
      </c>
      <c r="G130" s="112">
        <f t="shared" si="9"/>
        <v>598.73999999999069</v>
      </c>
      <c r="H130" s="99">
        <f>G130+'9'!H130</f>
        <v>6526.5299999999988</v>
      </c>
      <c r="I130" s="165"/>
      <c r="J130" s="328">
        <f>H130/DAY(B2)</f>
        <v>652.65299999999991</v>
      </c>
      <c r="N130" s="240"/>
      <c r="O130" s="241"/>
    </row>
    <row r="131" spans="1:15" ht="25.5">
      <c r="A131" s="1266" t="s">
        <v>321</v>
      </c>
      <c r="B131" s="1267"/>
      <c r="C131" s="1268"/>
      <c r="D131" s="151" t="s">
        <v>183</v>
      </c>
      <c r="E131" s="95">
        <f>'9'!F131</f>
        <v>62097.99</v>
      </c>
      <c r="F131" s="155">
        <v>62279.51</v>
      </c>
      <c r="G131" s="112">
        <f t="shared" si="9"/>
        <v>181.52000000000407</v>
      </c>
      <c r="H131" s="99">
        <f>G131+'9'!H131</f>
        <v>1971.510000000002</v>
      </c>
      <c r="I131" s="165"/>
      <c r="J131" s="328">
        <f>H131/DAY(B2)</f>
        <v>197.15100000000021</v>
      </c>
      <c r="N131" s="240"/>
      <c r="O131" s="241"/>
    </row>
    <row r="132" spans="1:15" ht="25.5">
      <c r="A132" s="1266" t="s">
        <v>322</v>
      </c>
      <c r="B132" s="1267"/>
      <c r="C132" s="1268"/>
      <c r="D132" s="151" t="s">
        <v>183</v>
      </c>
      <c r="E132" s="95">
        <f>'9'!F132</f>
        <v>146985</v>
      </c>
      <c r="F132" s="155">
        <v>146985</v>
      </c>
      <c r="G132" s="112">
        <f t="shared" si="9"/>
        <v>0</v>
      </c>
      <c r="H132" s="99">
        <f>G132+'9'!H132</f>
        <v>0</v>
      </c>
      <c r="I132" s="165"/>
      <c r="J132" s="328">
        <f>H132/DAY(B2)</f>
        <v>0</v>
      </c>
    </row>
    <row r="133" spans="1:15" ht="25.5">
      <c r="A133" s="1266" t="s">
        <v>323</v>
      </c>
      <c r="B133" s="1267"/>
      <c r="C133" s="1268"/>
      <c r="D133" s="151" t="s">
        <v>183</v>
      </c>
      <c r="E133" s="95">
        <f>'9'!F133</f>
        <v>273528.19</v>
      </c>
      <c r="F133" s="155">
        <v>274388.27</v>
      </c>
      <c r="G133" s="112">
        <f t="shared" si="9"/>
        <v>860.0800000000163</v>
      </c>
      <c r="H133" s="99">
        <f>G133+'9'!H133</f>
        <v>8443.2700000000186</v>
      </c>
      <c r="I133" s="165"/>
      <c r="J133" s="328">
        <f>H133/DAY(B2)</f>
        <v>844.32700000000182</v>
      </c>
    </row>
    <row r="134" spans="1:15" ht="25.5">
      <c r="A134" s="1266" t="s">
        <v>340</v>
      </c>
      <c r="B134" s="1267"/>
      <c r="C134" s="1268"/>
      <c r="D134" s="151" t="s">
        <v>183</v>
      </c>
      <c r="E134" s="95">
        <f>'9'!F134</f>
        <v>65940.37</v>
      </c>
      <c r="F134" s="157">
        <v>66196.990000000005</v>
      </c>
      <c r="G134" s="112">
        <f t="shared" si="9"/>
        <v>256.6200000000099</v>
      </c>
      <c r="H134" s="99">
        <f>G134+'9'!H134</f>
        <v>2534.9900000000052</v>
      </c>
      <c r="I134" s="165"/>
      <c r="J134" s="328">
        <f>H134/DAY(B2)</f>
        <v>253.49900000000054</v>
      </c>
    </row>
    <row r="135" spans="1:15" ht="25.5">
      <c r="A135" s="1261" t="s">
        <v>196</v>
      </c>
      <c r="B135" s="1262"/>
      <c r="C135" s="331"/>
      <c r="D135" s="151"/>
      <c r="E135" s="95"/>
      <c r="F135" s="165"/>
      <c r="G135" s="112">
        <f>SUM(G128:G134)</f>
        <v>2402.7600000000239</v>
      </c>
      <c r="H135" s="99">
        <f>G135+'9'!H135</f>
        <v>25497.390000000021</v>
      </c>
      <c r="I135" s="327">
        <f>G135-(G35+G49)</f>
        <v>-1105.9200000000565</v>
      </c>
      <c r="J135" s="328">
        <f>H135/DAY(B2)</f>
        <v>2549.7390000000023</v>
      </c>
    </row>
    <row r="136" spans="1:15" ht="27.75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9" t="s">
        <v>185</v>
      </c>
      <c r="B138" s="1269"/>
      <c r="C138" s="1269"/>
      <c r="D138" s="151" t="s">
        <v>183</v>
      </c>
      <c r="E138" s="95">
        <f>'9'!F138</f>
        <v>899560</v>
      </c>
      <c r="F138" s="147">
        <v>899684</v>
      </c>
      <c r="G138" s="112">
        <f t="shared" ref="G138:G152" si="10">F138-E138</f>
        <v>124</v>
      </c>
      <c r="H138" s="99">
        <f>G138+'9'!H138</f>
        <v>1479</v>
      </c>
      <c r="I138" s="118"/>
      <c r="J138" s="328">
        <f>H138/DAY(B2)</f>
        <v>147.9</v>
      </c>
    </row>
    <row r="139" spans="1:15" ht="25.5">
      <c r="A139" s="1269" t="s">
        <v>186</v>
      </c>
      <c r="B139" s="1269"/>
      <c r="C139" s="1269"/>
      <c r="D139" s="151" t="s">
        <v>183</v>
      </c>
      <c r="E139" s="95">
        <f>'9'!F139</f>
        <v>919565</v>
      </c>
      <c r="F139" s="148">
        <v>919717</v>
      </c>
      <c r="G139" s="112">
        <f t="shared" si="10"/>
        <v>152</v>
      </c>
      <c r="H139" s="99">
        <f>G139+'9'!H139</f>
        <v>1513</v>
      </c>
      <c r="I139" s="118"/>
      <c r="J139" s="328">
        <f>H139/DAY(B2)</f>
        <v>151.30000000000001</v>
      </c>
    </row>
    <row r="140" spans="1:15" ht="25.5">
      <c r="A140" s="1269" t="s">
        <v>187</v>
      </c>
      <c r="B140" s="1269"/>
      <c r="C140" s="1269"/>
      <c r="D140" s="151" t="s">
        <v>183</v>
      </c>
      <c r="E140" s="95">
        <f>'9'!F140</f>
        <v>2448.4899999999998</v>
      </c>
      <c r="F140" s="149">
        <v>2460.65</v>
      </c>
      <c r="G140" s="112">
        <f t="shared" si="10"/>
        <v>12.160000000000309</v>
      </c>
      <c r="H140" s="99">
        <f>G140+'9'!H140</f>
        <v>117.65000000000009</v>
      </c>
      <c r="I140" s="118"/>
      <c r="J140" s="328">
        <f>H140/DAY(B2)</f>
        <v>11.765000000000009</v>
      </c>
    </row>
    <row r="141" spans="1:15" ht="25.5">
      <c r="A141" s="1256" t="s">
        <v>188</v>
      </c>
      <c r="B141" s="1256"/>
      <c r="C141" s="1256"/>
      <c r="D141" s="151" t="s">
        <v>183</v>
      </c>
      <c r="E141" s="95">
        <f>'9'!F141</f>
        <v>105795.37</v>
      </c>
      <c r="F141" s="149">
        <v>106020.36</v>
      </c>
      <c r="G141" s="112">
        <f t="shared" si="10"/>
        <v>224.99000000000524</v>
      </c>
      <c r="H141" s="99">
        <f>G141+'9'!H141</f>
        <v>2246.3600000000006</v>
      </c>
      <c r="I141" s="118"/>
      <c r="J141" s="328">
        <f>H141/DAY(B2)</f>
        <v>224.63600000000005</v>
      </c>
    </row>
    <row r="142" spans="1:15" ht="25.5">
      <c r="A142" s="1256" t="s">
        <v>189</v>
      </c>
      <c r="B142" s="1256"/>
      <c r="C142" s="1256"/>
      <c r="D142" s="151" t="s">
        <v>183</v>
      </c>
      <c r="E142" s="95">
        <f>'9'!F142</f>
        <v>42627.14</v>
      </c>
      <c r="F142" s="148">
        <v>42710.6</v>
      </c>
      <c r="G142" s="112">
        <f t="shared" si="10"/>
        <v>83.459999999999127</v>
      </c>
      <c r="H142" s="99">
        <f>G142+'9'!H142</f>
        <v>895.59999999999854</v>
      </c>
      <c r="I142" s="140"/>
      <c r="J142" s="328">
        <f>H142/DAY(B2)</f>
        <v>89.55999999999986</v>
      </c>
    </row>
    <row r="143" spans="1:15" ht="25.5">
      <c r="A143" s="1269" t="s">
        <v>91</v>
      </c>
      <c r="B143" s="1269"/>
      <c r="C143" s="1269"/>
      <c r="D143" s="151" t="s">
        <v>183</v>
      </c>
      <c r="E143" s="95">
        <f>'9'!F143</f>
        <v>10917.56</v>
      </c>
      <c r="F143" s="149">
        <v>10946</v>
      </c>
      <c r="G143" s="112">
        <f t="shared" si="10"/>
        <v>28.440000000000509</v>
      </c>
      <c r="H143" s="99">
        <f>G143+'9'!H143</f>
        <v>269</v>
      </c>
      <c r="I143" s="140"/>
      <c r="J143" s="328">
        <f>H143/DAY(B2)</f>
        <v>26.9</v>
      </c>
      <c r="O143" s="148">
        <v>582206</v>
      </c>
    </row>
    <row r="144" spans="1:15" ht="25.5">
      <c r="A144" s="1256" t="s">
        <v>90</v>
      </c>
      <c r="B144" s="1256"/>
      <c r="C144" s="1256"/>
      <c r="D144" s="151" t="s">
        <v>183</v>
      </c>
      <c r="E144" s="95">
        <f>'9'!F144</f>
        <v>935676</v>
      </c>
      <c r="F144" s="149">
        <v>935911</v>
      </c>
      <c r="G144" s="112">
        <f t="shared" si="10"/>
        <v>235</v>
      </c>
      <c r="H144" s="99">
        <f>G144+'9'!H144</f>
        <v>2390</v>
      </c>
      <c r="I144" s="140"/>
      <c r="J144" s="328">
        <f>H144/DAY(B2)</f>
        <v>239</v>
      </c>
    </row>
    <row r="145" spans="1:15" ht="25.5">
      <c r="A145" s="1269" t="s">
        <v>190</v>
      </c>
      <c r="B145" s="1269"/>
      <c r="C145" s="1269"/>
      <c r="D145" s="152" t="s">
        <v>183</v>
      </c>
      <c r="E145" s="95">
        <f>'9'!F145</f>
        <v>15200.16</v>
      </c>
      <c r="F145" s="149">
        <v>15392.4</v>
      </c>
      <c r="G145" s="112">
        <f t="shared" si="10"/>
        <v>192.23999999999978</v>
      </c>
      <c r="H145" s="99">
        <f>G145+'9'!H145</f>
        <v>2252.3999999999996</v>
      </c>
      <c r="I145" s="140"/>
      <c r="J145" s="328">
        <f>H145/DAY(B2)</f>
        <v>225.23999999999995</v>
      </c>
    </row>
    <row r="146" spans="1:15" ht="25.5">
      <c r="A146" s="1332" t="s">
        <v>191</v>
      </c>
      <c r="B146" s="1289"/>
      <c r="C146" s="1290"/>
      <c r="D146" s="152" t="s">
        <v>183</v>
      </c>
      <c r="E146" s="95">
        <f>'9'!F146</f>
        <v>784744</v>
      </c>
      <c r="F146" s="148">
        <v>784785</v>
      </c>
      <c r="G146" s="236">
        <f t="shared" si="10"/>
        <v>41</v>
      </c>
      <c r="H146" s="99">
        <f>G146+'9'!H146</f>
        <v>446</v>
      </c>
      <c r="I146" s="140"/>
      <c r="J146" s="328">
        <f>H146/DAY(B2)</f>
        <v>44.6</v>
      </c>
    </row>
    <row r="147" spans="1:15" ht="25.5">
      <c r="A147" s="1256" t="s">
        <v>192</v>
      </c>
      <c r="B147" s="1256"/>
      <c r="C147" s="1256"/>
      <c r="D147" s="152" t="s">
        <v>183</v>
      </c>
      <c r="E147" s="95">
        <f>'9'!F147</f>
        <v>727078</v>
      </c>
      <c r="F147" s="148">
        <v>727495.44</v>
      </c>
      <c r="G147" s="112">
        <f t="shared" si="10"/>
        <v>417.43999999994412</v>
      </c>
      <c r="H147" s="99">
        <f>G147+'9'!H147</f>
        <v>3973.4399999999441</v>
      </c>
      <c r="I147" s="140"/>
      <c r="J147" s="328">
        <f>H147/DAY(B2)</f>
        <v>397.34399999999442</v>
      </c>
    </row>
    <row r="148" spans="1:15" ht="25.5">
      <c r="A148" s="1257" t="s">
        <v>193</v>
      </c>
      <c r="B148" s="1258"/>
      <c r="C148" s="1259"/>
      <c r="D148" s="123" t="s">
        <v>130</v>
      </c>
      <c r="E148" s="95">
        <f>'9'!F148</f>
        <v>769091.92</v>
      </c>
      <c r="F148" s="150">
        <v>769397.2</v>
      </c>
      <c r="G148" s="112">
        <f t="shared" si="10"/>
        <v>305.27999999991152</v>
      </c>
      <c r="H148" s="99">
        <f>G148+'9'!H148</f>
        <v>2787.1999999999534</v>
      </c>
      <c r="I148" s="124"/>
      <c r="J148" s="328">
        <f>H148/DAY(B2)</f>
        <v>278.71999999999537</v>
      </c>
    </row>
    <row r="149" spans="1:15" ht="25.5">
      <c r="A149" s="1257" t="s">
        <v>336</v>
      </c>
      <c r="B149" s="1258"/>
      <c r="C149" s="1259"/>
      <c r="D149" s="227" t="s">
        <v>130</v>
      </c>
      <c r="E149" s="95">
        <f>'9'!F149</f>
        <v>161818.95000000001</v>
      </c>
      <c r="F149" s="146">
        <v>162204.26</v>
      </c>
      <c r="G149" s="112">
        <f t="shared" si="10"/>
        <v>385.30999999999767</v>
      </c>
      <c r="H149" s="99">
        <f>G149+'9'!H149</f>
        <v>4237.2600000000093</v>
      </c>
      <c r="I149" s="119"/>
      <c r="J149" s="328">
        <f>H149/DAY(B2)</f>
        <v>423.72600000000091</v>
      </c>
    </row>
    <row r="150" spans="1:15" ht="25.5">
      <c r="A150" s="1257" t="s">
        <v>337</v>
      </c>
      <c r="B150" s="1258"/>
      <c r="C150" s="1259"/>
      <c r="D150" s="117" t="s">
        <v>130</v>
      </c>
      <c r="E150" s="95">
        <f>'9'!F150</f>
        <v>65988.259999999995</v>
      </c>
      <c r="F150" s="233">
        <v>66202.429999999993</v>
      </c>
      <c r="G150" s="112">
        <f t="shared" si="10"/>
        <v>214.16999999999825</v>
      </c>
      <c r="H150" s="99">
        <f>G150+'9'!H150</f>
        <v>2224.429999999993</v>
      </c>
      <c r="I150" s="119"/>
      <c r="J150" s="328">
        <f>H150/DAY(B2)</f>
        <v>222.4429999999993</v>
      </c>
    </row>
    <row r="151" spans="1:15" ht="25.5">
      <c r="A151" s="1257" t="s">
        <v>338</v>
      </c>
      <c r="B151" s="1258"/>
      <c r="C151" s="1259"/>
      <c r="D151" s="117" t="s">
        <v>130</v>
      </c>
      <c r="E151" s="95">
        <f>'9'!F151</f>
        <v>150265</v>
      </c>
      <c r="F151" s="233">
        <v>150319</v>
      </c>
      <c r="G151" s="112">
        <f t="shared" si="10"/>
        <v>54</v>
      </c>
      <c r="H151" s="99">
        <f>G151+'9'!H151</f>
        <v>531</v>
      </c>
      <c r="I151" s="119"/>
      <c r="J151" s="328">
        <f>H151/DAY(B2)</f>
        <v>53.1</v>
      </c>
    </row>
    <row r="152" spans="1:15" ht="25.5">
      <c r="A152" s="1257" t="s">
        <v>339</v>
      </c>
      <c r="B152" s="1258"/>
      <c r="C152" s="1259"/>
      <c r="D152" s="117" t="s">
        <v>130</v>
      </c>
      <c r="E152" s="95">
        <f>'9'!F152</f>
        <v>31771</v>
      </c>
      <c r="F152" s="233">
        <v>31902.92</v>
      </c>
      <c r="G152" s="112">
        <f t="shared" si="10"/>
        <v>131.91999999999825</v>
      </c>
      <c r="H152" s="99">
        <f>G152+'9'!H152</f>
        <v>1288.9199999999983</v>
      </c>
      <c r="I152" s="119"/>
      <c r="J152" s="328">
        <f>H152/DAY(B2)</f>
        <v>128.89199999999983</v>
      </c>
    </row>
    <row r="153" spans="1:15" ht="25.5">
      <c r="A153" s="1261" t="s">
        <v>196</v>
      </c>
      <c r="B153" s="1262"/>
      <c r="C153" s="362"/>
      <c r="D153" s="355"/>
      <c r="E153" s="357"/>
      <c r="F153" s="358"/>
      <c r="G153" s="359">
        <f>SUM(G138:G152)</f>
        <v>2601.4099999998548</v>
      </c>
      <c r="H153" s="360"/>
      <c r="I153" s="119">
        <f>G153-(G38+G52)</f>
        <v>473.0899999997896</v>
      </c>
      <c r="J153" s="363"/>
    </row>
    <row r="154" spans="1:15" ht="27.75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5" ht="27.75">
      <c r="A155" s="1256" t="s">
        <v>345</v>
      </c>
      <c r="B155" s="1256"/>
      <c r="C155" s="1256"/>
      <c r="D155" s="117" t="s">
        <v>130</v>
      </c>
      <c r="E155" s="95">
        <f>'9'!F155</f>
        <v>190656.27</v>
      </c>
      <c r="F155" s="365">
        <v>191218.07</v>
      </c>
      <c r="G155" s="112">
        <f t="shared" ref="G155:G158" si="11">F155-E155</f>
        <v>561.80000000001746</v>
      </c>
      <c r="H155" s="99">
        <f>G155+'9'!H155</f>
        <v>5477.070000000007</v>
      </c>
      <c r="I155" s="361"/>
      <c r="J155" s="328">
        <f>H155/DAY(B2)</f>
        <v>547.70700000000068</v>
      </c>
      <c r="O155" s="65">
        <v>678.99000000000524</v>
      </c>
    </row>
    <row r="156" spans="1:15" ht="25.5">
      <c r="A156" s="1256" t="s">
        <v>346</v>
      </c>
      <c r="B156" s="1256"/>
      <c r="C156" s="1256"/>
      <c r="D156" s="117" t="s">
        <v>130</v>
      </c>
      <c r="E156" s="95">
        <f>'9'!F156</f>
        <v>21580.62</v>
      </c>
      <c r="F156" s="155">
        <v>21673.360000000001</v>
      </c>
      <c r="G156" s="112">
        <f t="shared" si="11"/>
        <v>92.740000000001601</v>
      </c>
      <c r="H156" s="99">
        <f>G156+'9'!H156</f>
        <v>934.36000000000058</v>
      </c>
      <c r="I156" s="165"/>
      <c r="J156" s="328">
        <f>H156/DAY(B2)</f>
        <v>93.436000000000064</v>
      </c>
      <c r="O156" s="65">
        <v>50.350000000000364</v>
      </c>
    </row>
    <row r="157" spans="1:15" ht="25.5">
      <c r="A157" s="1257" t="s">
        <v>358</v>
      </c>
      <c r="B157" s="1258"/>
      <c r="C157" s="1259"/>
      <c r="D157" s="117" t="s">
        <v>130</v>
      </c>
      <c r="E157" s="95">
        <f>'9'!F157</f>
        <v>37395.74</v>
      </c>
      <c r="F157" s="155">
        <v>37558.54</v>
      </c>
      <c r="G157" s="112">
        <f t="shared" si="11"/>
        <v>162.80000000000291</v>
      </c>
      <c r="H157" s="99">
        <f>G157+'9'!H157</f>
        <v>1434.5400000000009</v>
      </c>
      <c r="I157" s="165"/>
      <c r="J157" s="328">
        <f>H157/DAY(B2)</f>
        <v>143.45400000000009</v>
      </c>
      <c r="O157" s="65">
        <v>101.82999999999993</v>
      </c>
    </row>
    <row r="158" spans="1:15" ht="25.5">
      <c r="A158" s="1257" t="s">
        <v>359</v>
      </c>
      <c r="B158" s="1258"/>
      <c r="C158" s="1259"/>
      <c r="D158" s="117" t="s">
        <v>130</v>
      </c>
      <c r="E158" s="95">
        <f>'9'!F158</f>
        <v>718.99</v>
      </c>
      <c r="F158" s="155">
        <v>734.88</v>
      </c>
      <c r="G158" s="112">
        <f t="shared" si="11"/>
        <v>15.889999999999986</v>
      </c>
      <c r="H158" s="99">
        <f>G158+'9'!H158</f>
        <v>230.25</v>
      </c>
      <c r="I158" s="165"/>
      <c r="J158" s="328">
        <f>H158/DAY(B2)</f>
        <v>23.024999999999999</v>
      </c>
    </row>
    <row r="159" spans="1:15" ht="25.5">
      <c r="A159" s="1263"/>
      <c r="B159" s="1264"/>
      <c r="C159" s="1265"/>
      <c r="D159" s="117"/>
      <c r="E159" s="95"/>
      <c r="F159" s="155"/>
      <c r="G159" s="112"/>
      <c r="H159" s="99"/>
      <c r="I159" s="165"/>
      <c r="J159" s="328"/>
    </row>
    <row r="160" spans="1:15" ht="27.75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26.25">
      <c r="A161" s="242" t="s">
        <v>92</v>
      </c>
      <c r="B161" s="243"/>
      <c r="C161" s="243"/>
      <c r="D161" s="244" t="s">
        <v>180</v>
      </c>
      <c r="E161" s="95">
        <f>'9'!F161</f>
        <v>490913.32</v>
      </c>
      <c r="F161" s="235">
        <v>491210</v>
      </c>
      <c r="G161" s="238">
        <f t="shared" ref="G161:G165" si="12">F161-E161</f>
        <v>296.67999999999302</v>
      </c>
      <c r="H161" s="99">
        <f>G161+'9'!H161</f>
        <v>2887</v>
      </c>
      <c r="I161" s="236"/>
      <c r="J161" s="239">
        <f>H161/DAY(B2)</f>
        <v>288.7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'9'!F162</f>
        <v>97589.5</v>
      </c>
      <c r="F162" s="235">
        <v>97630.9</v>
      </c>
      <c r="G162" s="238">
        <f t="shared" si="12"/>
        <v>41.399999999994179</v>
      </c>
      <c r="H162" s="99">
        <f>G162+'9'!H162</f>
        <v>342.89999999999418</v>
      </c>
      <c r="I162" s="236"/>
      <c r="J162" s="239">
        <f>H162/DAY(B2)</f>
        <v>34.289999999999417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'9'!F163</f>
        <v>15122.9</v>
      </c>
      <c r="F163" s="235">
        <v>15241.8</v>
      </c>
      <c r="G163" s="238">
        <f t="shared" si="12"/>
        <v>118.89999999999964</v>
      </c>
      <c r="H163" s="99">
        <f>G163+'9'!H163</f>
        <v>1077.7999999999993</v>
      </c>
      <c r="I163" s="236"/>
      <c r="J163" s="239">
        <f>H163/DAY(B2)</f>
        <v>107.77999999999993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'9'!F164</f>
        <v>6672</v>
      </c>
      <c r="F164" s="235">
        <v>6679.5</v>
      </c>
      <c r="G164" s="238">
        <f t="shared" si="12"/>
        <v>7.5</v>
      </c>
      <c r="H164" s="99">
        <f>G164+'9'!H164</f>
        <v>67.5</v>
      </c>
      <c r="I164" s="236"/>
      <c r="J164" s="239">
        <f>H164/DAY(B2)</f>
        <v>6.75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'9'!F165</f>
        <v>32194.84</v>
      </c>
      <c r="F165" s="235">
        <v>32202.99</v>
      </c>
      <c r="G165" s="238">
        <f t="shared" si="12"/>
        <v>8.1500000000014552</v>
      </c>
      <c r="H165" s="99">
        <f>G165+'9'!H165</f>
        <v>61.990000000001601</v>
      </c>
      <c r="I165" s="236"/>
      <c r="J165" s="239">
        <f>H165/DAY(B2)</f>
        <v>6.1990000000001597</v>
      </c>
    </row>
    <row r="166" spans="1:10" ht="26.25">
      <c r="A166" s="1274"/>
      <c r="B166" s="1274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6.25">
      <c r="A167" s="1274"/>
      <c r="B167" s="1274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6.25">
      <c r="A168" s="1274"/>
      <c r="B168" s="1274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5.5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54" t="s">
        <v>209</v>
      </c>
      <c r="B173" s="1255"/>
      <c r="C173" s="333"/>
      <c r="D173" s="228" t="s">
        <v>142</v>
      </c>
      <c r="E173" s="95">
        <f>'9'!F173</f>
        <v>8591</v>
      </c>
      <c r="F173" s="155">
        <v>8593</v>
      </c>
      <c r="G173" s="155">
        <f>F173-E173</f>
        <v>2</v>
      </c>
      <c r="H173" s="99">
        <f>G173+'9'!H173</f>
        <v>12</v>
      </c>
      <c r="I173" s="155"/>
      <c r="J173" s="178">
        <f>H173/DAY(B2)</f>
        <v>1.2</v>
      </c>
    </row>
    <row r="174" spans="1:10" ht="34.5" customHeight="1">
      <c r="A174" s="1254" t="s">
        <v>75</v>
      </c>
      <c r="B174" s="1255"/>
      <c r="C174" s="333"/>
      <c r="D174" s="228" t="s">
        <v>142</v>
      </c>
      <c r="E174" s="95">
        <f>'9'!F174</f>
        <v>42077</v>
      </c>
      <c r="F174" s="157">
        <v>42089</v>
      </c>
      <c r="G174" s="155">
        <f t="shared" ref="G174:G175" si="13">F174-E174</f>
        <v>12</v>
      </c>
      <c r="H174" s="99">
        <f>G174+'9'!H174</f>
        <v>127</v>
      </c>
      <c r="I174" s="155"/>
      <c r="J174" s="178">
        <f>H174/DAY(B2)</f>
        <v>12.7</v>
      </c>
    </row>
    <row r="175" spans="1:10" ht="31.5" customHeight="1">
      <c r="A175" s="1254" t="s">
        <v>76</v>
      </c>
      <c r="B175" s="1324"/>
      <c r="C175" s="1255"/>
      <c r="D175" s="228" t="s">
        <v>142</v>
      </c>
      <c r="E175" s="95">
        <f>'9'!F175</f>
        <v>24796</v>
      </c>
      <c r="F175" s="155">
        <v>24805</v>
      </c>
      <c r="G175" s="155">
        <f t="shared" si="13"/>
        <v>9</v>
      </c>
      <c r="H175" s="99">
        <f>G175+'9'!H175</f>
        <v>108</v>
      </c>
      <c r="I175" s="155"/>
      <c r="J175" s="178">
        <f>H175/DAY(B2)</f>
        <v>10.8</v>
      </c>
    </row>
    <row r="176" spans="1:10" ht="21.75" customHeight="1">
      <c r="A176" s="1261" t="s">
        <v>196</v>
      </c>
      <c r="B176" s="1262"/>
      <c r="C176" s="333"/>
      <c r="D176" s="228"/>
      <c r="E176" s="95"/>
      <c r="F176" s="155"/>
      <c r="G176" s="155">
        <f>SUM(G173:G175)</f>
        <v>23</v>
      </c>
      <c r="H176" s="99">
        <f>G176+'9'!H176</f>
        <v>247</v>
      </c>
      <c r="I176" s="155"/>
      <c r="J176" s="178">
        <f>H176/DAY(B2)</f>
        <v>24.7</v>
      </c>
    </row>
    <row r="177" spans="1:10" ht="27.75" customHeight="1">
      <c r="A177" s="1254" t="s">
        <v>77</v>
      </c>
      <c r="B177" s="1255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1254" t="s">
        <v>210</v>
      </c>
      <c r="B178" s="1255"/>
      <c r="C178" s="333"/>
      <c r="D178" s="228" t="s">
        <v>142</v>
      </c>
      <c r="E178" s="95">
        <f>'9'!F178</f>
        <v>102114</v>
      </c>
      <c r="F178" s="157">
        <v>102114</v>
      </c>
      <c r="G178" s="155">
        <f>F178-E178</f>
        <v>0</v>
      </c>
      <c r="H178" s="99">
        <f>G178+'9'!H178</f>
        <v>0</v>
      </c>
      <c r="I178" s="155"/>
      <c r="J178" s="178">
        <f>H178/DAY(B2)</f>
        <v>0</v>
      </c>
    </row>
    <row r="179" spans="1:10" ht="27.75" customHeight="1">
      <c r="A179" s="1254" t="s">
        <v>211</v>
      </c>
      <c r="B179" s="1255"/>
      <c r="C179" s="333"/>
      <c r="D179" s="228" t="s">
        <v>142</v>
      </c>
      <c r="E179" s="95">
        <f>'9'!F179</f>
        <v>37501</v>
      </c>
      <c r="F179" s="155">
        <v>37501</v>
      </c>
      <c r="G179" s="155">
        <f t="shared" ref="G179:G180" si="14">F179-E179</f>
        <v>0</v>
      </c>
      <c r="H179" s="99">
        <f>G179+'9'!H179</f>
        <v>0</v>
      </c>
      <c r="I179" s="155"/>
      <c r="J179" s="178">
        <f>H179/DAY(B2)</f>
        <v>0</v>
      </c>
    </row>
    <row r="180" spans="1:10" ht="25.5">
      <c r="A180" s="1254" t="s">
        <v>212</v>
      </c>
      <c r="B180" s="1255"/>
      <c r="C180" s="333"/>
      <c r="D180" s="228" t="s">
        <v>142</v>
      </c>
      <c r="E180" s="95">
        <f>'9'!F180</f>
        <v>7231</v>
      </c>
      <c r="F180" s="155">
        <v>7231</v>
      </c>
      <c r="G180" s="155">
        <f t="shared" si="14"/>
        <v>0</v>
      </c>
      <c r="H180" s="99">
        <f>G180+'9'!H180</f>
        <v>0</v>
      </c>
      <c r="I180" s="155"/>
      <c r="J180" s="178">
        <f>H180/DAY(B2)</f>
        <v>0</v>
      </c>
    </row>
    <row r="181" spans="1:10" ht="25.5">
      <c r="A181" s="1325" t="s">
        <v>108</v>
      </c>
      <c r="B181" s="1326"/>
      <c r="C181" s="333"/>
      <c r="D181" s="228"/>
      <c r="E181" s="95"/>
      <c r="F181" s="155"/>
      <c r="G181" s="155">
        <f>SUM(G178:G180)</f>
        <v>0</v>
      </c>
      <c r="H181" s="99">
        <f>G181+'9'!H181</f>
        <v>0</v>
      </c>
      <c r="I181" s="155"/>
      <c r="J181" s="178">
        <f>H181/DAY(B2)</f>
        <v>0</v>
      </c>
    </row>
    <row r="182" spans="1:10" ht="25.5">
      <c r="A182" s="1254" t="s">
        <v>213</v>
      </c>
      <c r="B182" s="1255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5.5">
      <c r="A183" s="1254" t="s">
        <v>214</v>
      </c>
      <c r="B183" s="1255"/>
      <c r="C183" s="334"/>
      <c r="D183" s="228" t="s">
        <v>142</v>
      </c>
      <c r="E183" s="95">
        <f>'9'!F183</f>
        <v>17884</v>
      </c>
      <c r="F183" s="157">
        <v>17893</v>
      </c>
      <c r="G183" s="157">
        <f>F183-E183</f>
        <v>9</v>
      </c>
      <c r="H183" s="99">
        <f>G183+'9'!H183</f>
        <v>45</v>
      </c>
      <c r="I183" s="155"/>
      <c r="J183" s="178">
        <f>H183/DAY(B2)</f>
        <v>4.5</v>
      </c>
    </row>
    <row r="184" spans="1:10" ht="25.5">
      <c r="A184" s="1254" t="s">
        <v>215</v>
      </c>
      <c r="B184" s="1255"/>
      <c r="C184" s="334"/>
      <c r="D184" s="228" t="s">
        <v>142</v>
      </c>
      <c r="E184" s="95">
        <f>'9'!F184</f>
        <v>12410</v>
      </c>
      <c r="F184" s="157">
        <v>12415</v>
      </c>
      <c r="G184" s="157">
        <f t="shared" ref="G184:G185" si="15">F184-E184</f>
        <v>5</v>
      </c>
      <c r="H184" s="99">
        <f>G184+'9'!H184</f>
        <v>66</v>
      </c>
      <c r="I184" s="155"/>
      <c r="J184" s="178">
        <f>H184/DAY(B2)</f>
        <v>6.6</v>
      </c>
    </row>
    <row r="185" spans="1:10" ht="37.5" customHeight="1">
      <c r="A185" s="1254" t="s">
        <v>216</v>
      </c>
      <c r="B185" s="1255"/>
      <c r="C185" s="334"/>
      <c r="D185" s="228" t="s">
        <v>142</v>
      </c>
      <c r="E185" s="95">
        <v>0</v>
      </c>
      <c r="F185" s="157">
        <v>0</v>
      </c>
      <c r="G185" s="157">
        <f t="shared" si="15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1261" t="s">
        <v>196</v>
      </c>
      <c r="B186" s="1262"/>
      <c r="C186" s="334"/>
      <c r="D186" s="229"/>
      <c r="E186" s="95"/>
      <c r="F186" s="157"/>
      <c r="G186" s="157">
        <f>SUM(G183:G185)</f>
        <v>14</v>
      </c>
      <c r="H186" s="99">
        <f>G186+'9'!H186</f>
        <v>111</v>
      </c>
      <c r="I186" s="157"/>
      <c r="J186" s="178">
        <f>H186/DAY(B2)</f>
        <v>11.1</v>
      </c>
    </row>
    <row r="187" spans="1:10" ht="21.75" customHeight="1">
      <c r="A187" s="1250" t="s">
        <v>217</v>
      </c>
      <c r="B187" s="1251"/>
      <c r="C187" s="333"/>
      <c r="D187" s="230" t="s">
        <v>142</v>
      </c>
      <c r="E187" s="95"/>
      <c r="F187" s="159"/>
      <c r="G187" s="406">
        <f>G62+G19</f>
        <v>125</v>
      </c>
      <c r="H187" s="99">
        <f>G187+'9'!H187</f>
        <v>1420</v>
      </c>
      <c r="I187" s="158"/>
      <c r="J187" s="179">
        <f>H187/DAY(B2)</f>
        <v>142</v>
      </c>
    </row>
    <row r="188" spans="1:10" ht="21.75" customHeight="1">
      <c r="A188" s="1250" t="s">
        <v>218</v>
      </c>
      <c r="B188" s="1251"/>
      <c r="C188" s="333"/>
      <c r="D188" s="230" t="s">
        <v>142</v>
      </c>
      <c r="E188" s="95"/>
      <c r="F188" s="159"/>
      <c r="G188" s="406">
        <f>G65+G66+G67+G69+G70</f>
        <v>142</v>
      </c>
      <c r="H188" s="99">
        <f>G188+'9'!H188</f>
        <v>1468</v>
      </c>
      <c r="I188" s="158"/>
      <c r="J188" s="179">
        <f>H188/DAY(B2)</f>
        <v>146.80000000000001</v>
      </c>
    </row>
    <row r="189" spans="1:10" ht="21.75" customHeight="1">
      <c r="A189" s="1250" t="s">
        <v>219</v>
      </c>
      <c r="B189" s="1251"/>
      <c r="C189" s="333"/>
      <c r="D189" s="230" t="s">
        <v>142</v>
      </c>
      <c r="E189" s="95"/>
      <c r="F189" s="157"/>
      <c r="G189" s="403">
        <f>G181</f>
        <v>0</v>
      </c>
      <c r="H189" s="99">
        <f>G189+'9'!H189</f>
        <v>0</v>
      </c>
      <c r="I189" s="158"/>
      <c r="J189" s="179">
        <f>H189/DAY(B2)</f>
        <v>0</v>
      </c>
    </row>
    <row r="190" spans="1:10" ht="27" customHeight="1">
      <c r="A190" s="1252"/>
      <c r="B190" s="1253"/>
      <c r="C190" s="376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6.25"/>
    <row r="204" ht="26.25"/>
    <row r="205" ht="26.25"/>
    <row r="206" ht="26.25"/>
    <row r="207" ht="26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30" zoomScale="55" zoomScaleNormal="55" workbookViewId="0">
      <selection activeCell="B2" sqref="B2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0.75" customHeight="1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6" s="57" customFormat="1" ht="30.75" customHeight="1">
      <c r="A2" s="191" t="s">
        <v>372</v>
      </c>
      <c r="B2" s="262">
        <v>44845</v>
      </c>
      <c r="C2" s="348" t="s">
        <v>67</v>
      </c>
      <c r="D2" s="218">
        <v>0.4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30.75" customHeight="1">
      <c r="A3" s="189"/>
      <c r="B3" s="221"/>
      <c r="C3" s="348" t="s">
        <v>118</v>
      </c>
      <c r="D3" s="219">
        <v>26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6" s="57" customFormat="1" ht="30.75" customHeight="1">
      <c r="A4" s="192"/>
      <c r="B4" s="223"/>
      <c r="C4" s="348" t="s">
        <v>120</v>
      </c>
      <c r="D4" s="218">
        <v>0.95</v>
      </c>
      <c r="E4" s="103"/>
      <c r="F4" s="103"/>
      <c r="G4" s="103"/>
      <c r="H4" s="103"/>
      <c r="I4" s="104"/>
      <c r="J4" s="222"/>
      <c r="K4" s="62"/>
      <c r="L4" s="58"/>
    </row>
    <row r="5" spans="1:16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30.75" customHeight="1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.75" customHeight="1" thickBot="1">
      <c r="A7" s="194" t="s">
        <v>129</v>
      </c>
      <c r="B7" s="195"/>
      <c r="C7" s="195"/>
      <c r="D7" s="151" t="s">
        <v>130</v>
      </c>
      <c r="E7" s="95">
        <f>'10'!F7</f>
        <v>131494.32</v>
      </c>
      <c r="F7" s="95">
        <v>156432.4</v>
      </c>
      <c r="G7" s="112">
        <f>F7-E7</f>
        <v>24938.079999999987</v>
      </c>
      <c r="H7" s="99">
        <f>G7+'10'!H7</f>
        <v>274596.40000000002</v>
      </c>
      <c r="I7" s="113">
        <f>'1'!I7</f>
        <v>12000</v>
      </c>
      <c r="J7" s="175">
        <f>H7/DAY(B2)</f>
        <v>24963.309090909093</v>
      </c>
      <c r="K7" s="172">
        <v>1375467</v>
      </c>
      <c r="L7" s="66"/>
      <c r="N7" s="87"/>
      <c r="O7" s="71"/>
    </row>
    <row r="8" spans="1:16" ht="30.75" customHeight="1" thickBot="1">
      <c r="A8" s="196" t="s">
        <v>131</v>
      </c>
      <c r="B8" s="197"/>
      <c r="C8" s="198"/>
      <c r="D8" s="224" t="s">
        <v>24</v>
      </c>
      <c r="E8" s="95">
        <f>'10'!F8</f>
        <v>302445.96999999997</v>
      </c>
      <c r="F8" s="95">
        <v>327698.87</v>
      </c>
      <c r="G8" s="115">
        <f>F8-E8</f>
        <v>25252.900000000023</v>
      </c>
      <c r="H8" s="99">
        <f>G8+'10'!H8</f>
        <v>278318.87</v>
      </c>
      <c r="I8" s="116"/>
      <c r="J8" s="175">
        <f>H8/DAY(B2)</f>
        <v>25301.715454545454</v>
      </c>
      <c r="K8" s="172">
        <v>1715917</v>
      </c>
      <c r="L8" s="76">
        <v>1728480</v>
      </c>
      <c r="M8" s="87">
        <f>L8-K8</f>
        <v>12563</v>
      </c>
      <c r="N8" s="87"/>
      <c r="O8" s="71">
        <f>4500/60</f>
        <v>75</v>
      </c>
      <c r="P8" s="65">
        <f>O8*12</f>
        <v>900</v>
      </c>
    </row>
    <row r="9" spans="1:16" ht="30.75" customHeight="1">
      <c r="A9" s="199" t="s">
        <v>132</v>
      </c>
      <c r="B9" s="200"/>
      <c r="C9" s="200"/>
      <c r="D9" s="151" t="s">
        <v>130</v>
      </c>
      <c r="E9" s="95">
        <f>'10'!F9</f>
        <v>3768558.7</v>
      </c>
      <c r="F9" s="447">
        <v>3773617.5</v>
      </c>
      <c r="G9" s="112">
        <f>F9-E9</f>
        <v>5058.7999999998137</v>
      </c>
      <c r="H9" s="99">
        <f>G9+'10'!H9</f>
        <v>66910.5</v>
      </c>
      <c r="I9" s="124">
        <f>I7-J7</f>
        <v>-12963.309090909093</v>
      </c>
      <c r="J9" s="175">
        <f>H9/DAY(B2)</f>
        <v>6082.772727272727</v>
      </c>
      <c r="K9" s="79">
        <f>K8-100</f>
        <v>1715817</v>
      </c>
      <c r="L9" s="66"/>
      <c r="N9" s="87"/>
      <c r="O9" s="71"/>
    </row>
    <row r="10" spans="1:16" ht="30.75" customHeight="1">
      <c r="A10" s="194" t="s">
        <v>133</v>
      </c>
      <c r="B10" s="195"/>
      <c r="C10" s="195"/>
      <c r="D10" s="151" t="s">
        <v>130</v>
      </c>
      <c r="E10" s="95">
        <f>'10'!F10</f>
        <v>2924018.7</v>
      </c>
      <c r="F10" s="353">
        <v>2943231.5</v>
      </c>
      <c r="G10" s="112">
        <f t="shared" ref="G10:G12" si="0">F10-E10</f>
        <v>19212.799999999814</v>
      </c>
      <c r="H10" s="99">
        <f>G10+'10'!H10</f>
        <v>200537.5</v>
      </c>
      <c r="I10" s="282"/>
      <c r="J10" s="175">
        <f>H10/DAY(B2)</f>
        <v>18230.68181818182</v>
      </c>
      <c r="K10" s="79"/>
      <c r="L10" s="66"/>
      <c r="N10" s="87"/>
      <c r="O10" s="71"/>
    </row>
    <row r="11" spans="1:16" ht="30.75" customHeight="1">
      <c r="A11" s="194" t="s">
        <v>134</v>
      </c>
      <c r="B11" s="195"/>
      <c r="C11" s="195"/>
      <c r="D11" s="151" t="s">
        <v>130</v>
      </c>
      <c r="E11" s="95">
        <f>'10'!F11</f>
        <v>37560</v>
      </c>
      <c r="F11" s="95">
        <v>37560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30.75" customHeight="1">
      <c r="A12" s="194" t="s">
        <v>135</v>
      </c>
      <c r="B12" s="195"/>
      <c r="C12" s="195"/>
      <c r="D12" s="151" t="s">
        <v>130</v>
      </c>
      <c r="E12" s="95">
        <f>'10'!F12</f>
        <v>40380</v>
      </c>
      <c r="F12" s="117">
        <v>40380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24271.599999999627</v>
      </c>
      <c r="H13" s="99">
        <f>G13+'10'!H13</f>
        <v>268908</v>
      </c>
      <c r="I13" s="120">
        <f>G7-G13</f>
        <v>666.48000000035972</v>
      </c>
      <c r="J13" s="175">
        <f>H13/DAY(B2)</f>
        <v>24446.18181818182</v>
      </c>
      <c r="K13" s="79"/>
      <c r="L13" s="66"/>
      <c r="N13" s="87"/>
      <c r="O13" s="71"/>
    </row>
    <row r="14" spans="1:16" ht="30.75" customHeight="1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30.75" customHeight="1">
      <c r="A15" s="345" t="s">
        <v>138</v>
      </c>
      <c r="B15" s="205"/>
      <c r="C15" s="205"/>
      <c r="D15" s="151" t="s">
        <v>139</v>
      </c>
      <c r="E15" s="95">
        <f>'10'!F15</f>
        <v>2171616.92</v>
      </c>
      <c r="F15" s="447">
        <v>2172635.62</v>
      </c>
      <c r="G15" s="112">
        <f>(F15-E15)</f>
        <v>1018.7000000001863</v>
      </c>
      <c r="H15" s="99">
        <f>G15+'10'!H15</f>
        <v>11120.620000000112</v>
      </c>
      <c r="I15" s="113">
        <f>'1'!I15</f>
        <v>800</v>
      </c>
      <c r="J15" s="175">
        <f>H15/DAY(B2)</f>
        <v>1010.9654545454647</v>
      </c>
      <c r="K15" s="79"/>
      <c r="L15" s="66"/>
      <c r="N15" s="87"/>
      <c r="O15" s="71"/>
    </row>
    <row r="16" spans="1:16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-210.9654545454647</v>
      </c>
      <c r="J16" s="176"/>
      <c r="K16" s="79"/>
      <c r="L16" s="66"/>
      <c r="N16" s="87"/>
      <c r="O16" s="71"/>
    </row>
    <row r="17" spans="1:15" ht="30.75" customHeight="1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1281" t="s">
        <v>141</v>
      </c>
      <c r="B18" s="1282"/>
      <c r="C18" s="1283"/>
      <c r="D18" s="151" t="s">
        <v>142</v>
      </c>
      <c r="E18" s="95">
        <f>'10'!F18</f>
        <v>18</v>
      </c>
      <c r="F18" s="164">
        <v>29</v>
      </c>
      <c r="G18" s="119">
        <f>F18*10</f>
        <v>290</v>
      </c>
      <c r="H18" s="99">
        <f>G18+'10'!H18</f>
        <v>2630</v>
      </c>
      <c r="I18" s="113">
        <f>'1'!I18</f>
        <v>65</v>
      </c>
      <c r="J18" s="175">
        <f>H18/DAY(B2)</f>
        <v>239.09090909090909</v>
      </c>
      <c r="K18" s="79"/>
      <c r="L18" s="66"/>
      <c r="N18" s="87"/>
      <c r="O18" s="71"/>
    </row>
    <row r="19" spans="1:15" ht="30.75" customHeight="1">
      <c r="A19" s="1281" t="s">
        <v>69</v>
      </c>
      <c r="B19" s="1282"/>
      <c r="C19" s="1283"/>
      <c r="D19" s="151" t="s">
        <v>142</v>
      </c>
      <c r="E19" s="95">
        <f>'10'!F19</f>
        <v>165975</v>
      </c>
      <c r="F19" s="122">
        <v>166020</v>
      </c>
      <c r="G19" s="112">
        <f t="shared" ref="G19" si="1">F19-E19</f>
        <v>45</v>
      </c>
      <c r="H19" s="99">
        <f>G19+'10'!H19</f>
        <v>577</v>
      </c>
      <c r="I19" s="335"/>
      <c r="J19" s="175">
        <f>H19/DAY(B2)</f>
        <v>52.454545454545453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335</v>
      </c>
      <c r="H20" s="99">
        <f>G20+'10'!H20</f>
        <v>3207</v>
      </c>
      <c r="I20" s="336">
        <f>I18-J20</f>
        <v>-226.54545454545456</v>
      </c>
      <c r="J20" s="175">
        <f>H20/DAY(B2)</f>
        <v>291.54545454545456</v>
      </c>
      <c r="K20" s="79"/>
      <c r="L20" s="66"/>
      <c r="N20" s="87"/>
      <c r="O20" s="71"/>
    </row>
    <row r="21" spans="1:15" ht="30.75" customHeight="1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25252.900000000023</v>
      </c>
      <c r="F27" s="136">
        <v>10</v>
      </c>
      <c r="G27" s="137">
        <f>E27*F27</f>
        <v>252529.00000000023</v>
      </c>
      <c r="H27" s="99">
        <f>G27+'10'!H27</f>
        <v>2783188.7</v>
      </c>
      <c r="I27" s="138"/>
      <c r="J27" s="175">
        <f>H27/DAY(B2)</f>
        <v>253017.15454545457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1018.7000000001863</v>
      </c>
      <c r="F28" s="136">
        <v>75</v>
      </c>
      <c r="G28" s="137">
        <f>E28*F28</f>
        <v>76402.50000001397</v>
      </c>
      <c r="H28" s="99">
        <f>G28+'10'!H28</f>
        <v>834046.50000000838</v>
      </c>
      <c r="I28" s="140"/>
      <c r="J28" s="175">
        <f>H28/DAY(B2)</f>
        <v>75822.40909090986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45</v>
      </c>
      <c r="F30" s="136">
        <v>151</v>
      </c>
      <c r="G30" s="137">
        <f>E30*F30</f>
        <v>6795</v>
      </c>
      <c r="H30" s="99">
        <f>G30+'10'!H30</f>
        <v>87127</v>
      </c>
      <c r="I30" s="140"/>
      <c r="J30" s="175">
        <f>H30/DAY(B2)</f>
        <v>7920.636363636364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290</v>
      </c>
      <c r="F31" s="136">
        <v>85</v>
      </c>
      <c r="G31" s="137">
        <f>E31*F31</f>
        <v>24650</v>
      </c>
      <c r="H31" s="99">
        <f>G31+'10'!H31</f>
        <v>220400</v>
      </c>
      <c r="I31" s="140"/>
      <c r="J31" s="175">
        <f>H31/DAY(B2)</f>
        <v>20036.363636363636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360376.5000000142</v>
      </c>
      <c r="H32" s="99">
        <f>G32+'10'!H32</f>
        <v>3924762.2000000086</v>
      </c>
      <c r="I32" s="144"/>
      <c r="J32" s="175">
        <f>H32/DAY(B2)</f>
        <v>356796.56363636442</v>
      </c>
      <c r="K32" s="63"/>
      <c r="L32" s="89"/>
      <c r="N32" s="87"/>
      <c r="O32" s="71"/>
    </row>
    <row r="33" spans="1:15" ht="30.75" customHeight="1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241796.79</v>
      </c>
      <c r="F35" s="145">
        <v>243615.95</v>
      </c>
      <c r="G35" s="112">
        <f t="shared" ref="G35:G46" si="3">F35-E35</f>
        <v>1819.1600000000035</v>
      </c>
      <c r="H35" s="99">
        <f>G35+'10'!H35</f>
        <v>4902.9000000000233</v>
      </c>
      <c r="I35" s="95"/>
      <c r="J35" s="175">
        <f>H35/DAY(B2)</f>
        <v>445.71818181818395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277128.61</v>
      </c>
      <c r="F36" s="145">
        <v>278175.90999999997</v>
      </c>
      <c r="G36" s="112">
        <f t="shared" si="3"/>
        <v>1047.2999999999884</v>
      </c>
      <c r="H36" s="99">
        <f>G36+'10'!H36</f>
        <v>8692.9099999999744</v>
      </c>
      <c r="I36" s="95"/>
      <c r="J36" s="175">
        <f>H36/DAY(B2)</f>
        <v>790.26454545454317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322998.69</v>
      </c>
      <c r="F37" s="145">
        <v>322998.69</v>
      </c>
      <c r="G37" s="112">
        <f t="shared" si="3"/>
        <v>0</v>
      </c>
      <c r="H37" s="99">
        <f>G37+'10'!H37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616025.03</v>
      </c>
      <c r="F38" s="108">
        <v>618212.67000000004</v>
      </c>
      <c r="G38" s="112">
        <f t="shared" si="3"/>
        <v>2187.640000000014</v>
      </c>
      <c r="H38" s="99">
        <f>G38+'10'!H38</f>
        <v>24495.670000000042</v>
      </c>
      <c r="I38" s="95"/>
      <c r="J38" s="175">
        <f>H38/DAY(B2)</f>
        <v>2226.8790909090949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591584.18999999994</v>
      </c>
      <c r="F39" s="145">
        <v>591584.18999999994</v>
      </c>
      <c r="G39" s="112">
        <f t="shared" si="3"/>
        <v>0</v>
      </c>
      <c r="H39" s="99">
        <f>G39+'10'!H39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165321.31</v>
      </c>
      <c r="F40" s="145">
        <v>166049.12</v>
      </c>
      <c r="G40" s="112">
        <f t="shared" si="3"/>
        <v>727.80999999999767</v>
      </c>
      <c r="H40" s="99">
        <f>G40+'10'!H40</f>
        <v>8069.1199999999953</v>
      </c>
      <c r="I40" s="95"/>
      <c r="J40" s="175">
        <f>H40/DAY(B2)</f>
        <v>733.55636363636324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381351.55</v>
      </c>
      <c r="F41" s="145">
        <v>381351.55</v>
      </c>
      <c r="G41" s="112">
        <f t="shared" si="3"/>
        <v>0</v>
      </c>
      <c r="H41" s="99">
        <f>G41+'10'!H41</f>
        <v>1000</v>
      </c>
      <c r="I41" s="95"/>
      <c r="J41" s="175">
        <f>H41/DAY(B2)</f>
        <v>90.909090909090907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854975.91</v>
      </c>
      <c r="F42" s="145">
        <v>854975.91</v>
      </c>
      <c r="G42" s="112">
        <f t="shared" si="3"/>
        <v>0</v>
      </c>
      <c r="H42" s="99">
        <f>G42+'10'!H42</f>
        <v>29888.910000000033</v>
      </c>
      <c r="I42" s="95"/>
      <c r="J42" s="175">
        <f>H42/DAY(B2)</f>
        <v>2717.1736363636392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407028</v>
      </c>
      <c r="F43" s="405">
        <v>407028</v>
      </c>
      <c r="G43" s="112">
        <f t="shared" si="3"/>
        <v>0</v>
      </c>
      <c r="H43" s="99">
        <f>G43+'10'!H43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5781.9100000000035</v>
      </c>
      <c r="H47" s="99">
        <f>G47+'10'!H47</f>
        <v>77049.510000000068</v>
      </c>
      <c r="I47" s="95"/>
      <c r="J47" s="175">
        <f>H47/DAY(B2)</f>
        <v>7004.5009090909152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754097.67</v>
      </c>
      <c r="F49" s="145">
        <v>755765.11</v>
      </c>
      <c r="G49" s="112">
        <f t="shared" ref="G49:G58" si="4">F49-E49</f>
        <v>1667.4399999999441</v>
      </c>
      <c r="H49" s="99">
        <f>G49+'10'!H49</f>
        <v>35478.109999999986</v>
      </c>
      <c r="I49" s="95"/>
      <c r="J49" s="175">
        <f>H49/DAY(B2)</f>
        <v>3225.2827272727259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381052.47</v>
      </c>
      <c r="F50" s="145">
        <v>382592.27</v>
      </c>
      <c r="G50" s="112">
        <f t="shared" si="4"/>
        <v>1539.8000000000466</v>
      </c>
      <c r="H50" s="99">
        <f>G50+'10'!H50</f>
        <v>16821.270000000019</v>
      </c>
      <c r="I50" s="95"/>
      <c r="J50" s="175">
        <f>H50/DAY(B2)</f>
        <v>1529.2063636363653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81964.149999999994</v>
      </c>
      <c r="F51" s="145">
        <v>82981.240000000005</v>
      </c>
      <c r="G51" s="112">
        <f t="shared" si="4"/>
        <v>1017.0900000000111</v>
      </c>
      <c r="H51" s="99">
        <f>G51+'10'!H51</f>
        <v>11254.240000000005</v>
      </c>
      <c r="I51" s="95"/>
      <c r="J51" s="175">
        <f>H51/DAY(B2)</f>
        <v>1023.1127272727277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9.76</v>
      </c>
      <c r="F52" s="145">
        <v>9.76</v>
      </c>
      <c r="G52" s="112">
        <f t="shared" si="4"/>
        <v>0</v>
      </c>
      <c r="H52" s="99">
        <f>G52+'10'!H52</f>
        <v>-0.24000000000000021</v>
      </c>
      <c r="I52" s="95"/>
      <c r="J52" s="175">
        <f>H52/DAY(B2)</f>
        <v>-2.1818181818181837E-2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335831.35</v>
      </c>
      <c r="F53" s="145">
        <v>340107.67</v>
      </c>
      <c r="G53" s="112">
        <f t="shared" si="4"/>
        <v>4276.320000000007</v>
      </c>
      <c r="H53" s="99">
        <f>G53+'10'!H53</f>
        <v>46006.669999999984</v>
      </c>
      <c r="I53" s="95"/>
      <c r="J53" s="175">
        <f>H53/DAY(B2)</f>
        <v>4182.4245454545444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103115.67</v>
      </c>
      <c r="F54" s="145">
        <v>103254.92</v>
      </c>
      <c r="G54" s="112">
        <f t="shared" si="4"/>
        <v>139.25</v>
      </c>
      <c r="H54" s="99">
        <f>G54+'10'!H54</f>
        <v>1867.9199999999983</v>
      </c>
      <c r="I54" s="95"/>
      <c r="J54" s="175">
        <f>H54/DAY(B2)</f>
        <v>169.81090909090892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520864.35</v>
      </c>
      <c r="F55" s="145">
        <v>524506.55000000005</v>
      </c>
      <c r="G55" s="112">
        <f t="shared" si="4"/>
        <v>3642.2000000000698</v>
      </c>
      <c r="H55" s="99">
        <f>G55+'10'!H55</f>
        <v>30023.550000000047</v>
      </c>
      <c r="I55" s="95"/>
      <c r="J55" s="175">
        <f>H55/DAY(B2)</f>
        <v>2729.4136363636408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156304.60999999999</v>
      </c>
      <c r="F56" s="405">
        <v>157815.78</v>
      </c>
      <c r="G56" s="112">
        <f t="shared" si="4"/>
        <v>1511.1700000000128</v>
      </c>
      <c r="H56" s="99">
        <f>G56+'10'!H56</f>
        <v>8096.7799999999988</v>
      </c>
      <c r="I56" s="95"/>
      <c r="J56" s="175">
        <f>H56/DAY(B2)</f>
        <v>736.07090909090903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439227.47</v>
      </c>
      <c r="F57" s="145">
        <v>442005.47</v>
      </c>
      <c r="G57" s="112">
        <f t="shared" si="4"/>
        <v>2778</v>
      </c>
      <c r="H57" s="99">
        <f>G57+'10'!H57</f>
        <v>32927.469999999972</v>
      </c>
      <c r="I57" s="95"/>
      <c r="J57" s="175">
        <f>H57/DAY(B2)</f>
        <v>2993.4063636363612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66603.25</v>
      </c>
      <c r="F58" s="145">
        <v>66821.259999999995</v>
      </c>
      <c r="G58" s="112">
        <f t="shared" si="4"/>
        <v>218.00999999999476</v>
      </c>
      <c r="H58" s="99">
        <f>G58+'10'!H58</f>
        <v>2670.2599999999948</v>
      </c>
      <c r="I58" s="95"/>
      <c r="J58" s="175">
        <f>H58/DAY(B2)</f>
        <v>242.75090909090861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16789.280000000086</v>
      </c>
      <c r="H59" s="99">
        <f>G59+'10'!H59</f>
        <v>185146.03000000003</v>
      </c>
      <c r="I59" s="95">
        <f>G7-G60</f>
        <v>2366.8899999998976</v>
      </c>
      <c r="J59" s="175">
        <f>H59/DAY(B2)</f>
        <v>16831.457272727275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22571.19000000009</v>
      </c>
      <c r="H60" s="99">
        <f>G60+'10'!H60</f>
        <v>262195.54000000004</v>
      </c>
      <c r="I60" s="95">
        <f>G13-G60</f>
        <v>1700.4099999995378</v>
      </c>
      <c r="J60" s="175">
        <f>H60/DAY(B2)</f>
        <v>23835.958181818187</v>
      </c>
      <c r="K60" s="79"/>
      <c r="L60" s="66"/>
      <c r="N60" s="87"/>
      <c r="O60" s="71"/>
    </row>
    <row r="61" spans="1:15" s="68" customFormat="1" ht="30.75" customHeight="1">
      <c r="A61" s="1278" t="s">
        <v>332</v>
      </c>
      <c r="B61" s="1279"/>
      <c r="C61" s="12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1281" t="s">
        <v>198</v>
      </c>
      <c r="B62" s="1282"/>
      <c r="C62" s="1283"/>
      <c r="D62" s="151" t="s">
        <v>142</v>
      </c>
      <c r="E62" s="95">
        <f>'10'!F62</f>
        <v>302953</v>
      </c>
      <c r="F62" s="122">
        <v>303060</v>
      </c>
      <c r="G62" s="112">
        <f t="shared" ref="G62:G63" si="5">F62-E62</f>
        <v>107</v>
      </c>
      <c r="H62" s="99">
        <f>G62+'10'!H62</f>
        <v>995</v>
      </c>
      <c r="I62" s="118"/>
      <c r="J62" s="175">
        <f>H62/DAY(B2)</f>
        <v>90.454545454545453</v>
      </c>
      <c r="K62" s="80"/>
      <c r="L62" s="66"/>
      <c r="N62" s="87"/>
      <c r="O62" s="71"/>
    </row>
    <row r="63" spans="1:15" ht="30.75" customHeight="1">
      <c r="A63" s="1281" t="s">
        <v>199</v>
      </c>
      <c r="B63" s="1282"/>
      <c r="C63" s="1283"/>
      <c r="D63" s="151" t="s">
        <v>142</v>
      </c>
      <c r="E63" s="95">
        <f>'10'!F63</f>
        <v>245139</v>
      </c>
      <c r="F63" s="150">
        <v>245139</v>
      </c>
      <c r="G63" s="112">
        <f t="shared" si="5"/>
        <v>0</v>
      </c>
      <c r="H63" s="99">
        <f>G63+'10'!H63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30.75" customHeight="1">
      <c r="A64" s="1284" t="s">
        <v>200</v>
      </c>
      <c r="B64" s="1285"/>
      <c r="C64" s="1286"/>
      <c r="D64" s="151"/>
      <c r="E64" s="95">
        <f>'10'!F64</f>
        <v>0</v>
      </c>
      <c r="F64" s="122"/>
      <c r="G64" s="112">
        <f>G62+G63</f>
        <v>107</v>
      </c>
      <c r="H64" s="99">
        <f>G64+'10'!H64</f>
        <v>995</v>
      </c>
      <c r="I64" s="118"/>
      <c r="J64" s="175">
        <f>H64/DAY(B2)</f>
        <v>90.454545454545453</v>
      </c>
      <c r="K64" s="69"/>
      <c r="L64" s="66"/>
      <c r="N64" s="87"/>
      <c r="O64" s="71"/>
    </row>
    <row r="65" spans="1:15" ht="30.75" customHeight="1">
      <c r="A65" s="1281" t="s">
        <v>201</v>
      </c>
      <c r="B65" s="1282"/>
      <c r="C65" s="1283"/>
      <c r="D65" s="151" t="s">
        <v>142</v>
      </c>
      <c r="E65" s="95">
        <f>'10'!F65</f>
        <v>461831</v>
      </c>
      <c r="F65" s="122">
        <v>461926</v>
      </c>
      <c r="G65" s="112">
        <f t="shared" ref="G65:G70" si="6">F65-E65</f>
        <v>95</v>
      </c>
      <c r="H65" s="99">
        <f>G65+'10'!H65</f>
        <v>1102</v>
      </c>
      <c r="I65" s="118"/>
      <c r="J65" s="175">
        <f>H65/DAY(B2)</f>
        <v>100.18181818181819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112721</v>
      </c>
      <c r="F66" s="122">
        <v>112732</v>
      </c>
      <c r="G66" s="112">
        <f t="shared" si="6"/>
        <v>11</v>
      </c>
      <c r="H66" s="99">
        <f>G66+'10'!H66</f>
        <v>127</v>
      </c>
      <c r="I66" s="118"/>
      <c r="J66" s="175">
        <f>H66/DAY(B2)</f>
        <v>11.545454545454545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114932</v>
      </c>
      <c r="F67" s="150">
        <v>114954</v>
      </c>
      <c r="G67" s="112">
        <f t="shared" si="6"/>
        <v>22</v>
      </c>
      <c r="H67" s="99">
        <f>G67+'10'!H67</f>
        <v>246</v>
      </c>
      <c r="I67" s="118"/>
      <c r="J67" s="175">
        <f>H67/DAY(B2)</f>
        <v>22.363636363636363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166887</v>
      </c>
      <c r="F68" s="122">
        <v>166912</v>
      </c>
      <c r="G68" s="112">
        <f t="shared" si="6"/>
        <v>25</v>
      </c>
      <c r="H68" s="99">
        <f>G68+'10'!H68</f>
        <v>331</v>
      </c>
      <c r="I68" s="118"/>
      <c r="J68" s="175">
        <f>H68/DAY(B2)</f>
        <v>30.09090909090909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12597</v>
      </c>
      <c r="F69" s="122">
        <v>12601</v>
      </c>
      <c r="G69" s="112">
        <f t="shared" si="6"/>
        <v>4</v>
      </c>
      <c r="H69" s="99">
        <f>G69+'10'!H69</f>
        <v>37</v>
      </c>
      <c r="I69" s="118"/>
      <c r="J69" s="175">
        <f>H69/DAY(B2)</f>
        <v>3.3636363636363638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10421</v>
      </c>
      <c r="F70" s="122">
        <v>10434</v>
      </c>
      <c r="G70" s="112">
        <f t="shared" si="6"/>
        <v>13</v>
      </c>
      <c r="H70" s="99">
        <f>G70+'10'!H70</f>
        <v>101</v>
      </c>
      <c r="I70" s="118"/>
      <c r="J70" s="175">
        <f>H70/DAY(B2)</f>
        <v>9.1818181818181817</v>
      </c>
      <c r="K70" s="69"/>
      <c r="L70" s="66"/>
      <c r="N70" s="87"/>
      <c r="O70" s="71"/>
    </row>
    <row r="71" spans="1:15" ht="30.75" customHeight="1">
      <c r="A71" s="1284" t="s">
        <v>208</v>
      </c>
      <c r="B71" s="1285"/>
      <c r="C71" s="1286"/>
      <c r="D71" s="152"/>
      <c r="E71" s="152"/>
      <c r="F71" s="152"/>
      <c r="G71" s="153">
        <f>SUM(G65:G70)</f>
        <v>170</v>
      </c>
      <c r="H71" s="99">
        <f>G71+'10'!H71</f>
        <v>1944</v>
      </c>
      <c r="I71" s="154"/>
      <c r="J71" s="175">
        <f>H71/DAY(B2)</f>
        <v>176.72727272727272</v>
      </c>
      <c r="K71" s="69"/>
      <c r="L71" s="66"/>
      <c r="N71" s="87"/>
      <c r="O71" s="71"/>
    </row>
    <row r="72" spans="1:15" s="88" customFormat="1" ht="30.75" customHeight="1">
      <c r="A72" s="1287"/>
      <c r="B72" s="126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1295" t="s">
        <v>333</v>
      </c>
      <c r="B73" s="1296"/>
      <c r="C73" s="129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1281" t="s">
        <v>220</v>
      </c>
      <c r="B74" s="1282"/>
      <c r="C74" s="1283"/>
      <c r="D74" s="151" t="s">
        <v>139</v>
      </c>
      <c r="E74" s="95">
        <f>'10'!F74</f>
        <v>978786.64</v>
      </c>
      <c r="F74" s="117">
        <v>979083.81</v>
      </c>
      <c r="G74" s="112">
        <f>F74-E74</f>
        <v>297.17000000004191</v>
      </c>
      <c r="H74" s="99">
        <f>G74+'10'!H74</f>
        <v>3272.8100000000559</v>
      </c>
      <c r="I74" s="154"/>
      <c r="J74" s="175">
        <f>H74/DAY(B2)</f>
        <v>297.52818181818691</v>
      </c>
      <c r="K74" s="69"/>
      <c r="L74" s="66"/>
      <c r="N74" s="87"/>
      <c r="O74" s="71"/>
    </row>
    <row r="75" spans="1:15" ht="30.75" customHeight="1">
      <c r="A75" s="1281" t="s">
        <v>221</v>
      </c>
      <c r="B75" s="1282"/>
      <c r="C75" s="1283"/>
      <c r="D75" s="151" t="s">
        <v>139</v>
      </c>
      <c r="E75" s="95">
        <f>'10'!F75</f>
        <v>73586</v>
      </c>
      <c r="F75" s="123">
        <v>73586</v>
      </c>
      <c r="G75" s="112">
        <f t="shared" ref="G75:G78" si="7">F75-E75</f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1288" t="s">
        <v>222</v>
      </c>
      <c r="B76" s="1289"/>
      <c r="C76" s="1290"/>
      <c r="D76" s="151" t="s">
        <v>139</v>
      </c>
      <c r="E76" s="95">
        <f>'10'!F76</f>
        <v>197800.43</v>
      </c>
      <c r="F76" s="123">
        <v>197921.17</v>
      </c>
      <c r="G76" s="112">
        <f t="shared" si="7"/>
        <v>120.74000000001979</v>
      </c>
      <c r="H76" s="99">
        <f>G76+'10'!H76</f>
        <v>1185.1700000000128</v>
      </c>
      <c r="I76" s="154"/>
      <c r="J76" s="175">
        <f>H76/DAY(B2)</f>
        <v>107.74272727272843</v>
      </c>
      <c r="K76" s="69"/>
      <c r="L76" s="66"/>
      <c r="N76" s="87"/>
      <c r="O76" s="71"/>
    </row>
    <row r="77" spans="1:15" ht="30.75" customHeight="1">
      <c r="A77" s="1288" t="s">
        <v>223</v>
      </c>
      <c r="B77" s="1289"/>
      <c r="C77" s="1290"/>
      <c r="D77" s="151" t="s">
        <v>139</v>
      </c>
      <c r="E77" s="95">
        <f>'10'!F77</f>
        <v>53822.5</v>
      </c>
      <c r="F77" s="123">
        <v>53881</v>
      </c>
      <c r="G77" s="112">
        <f t="shared" si="7"/>
        <v>58.5</v>
      </c>
      <c r="H77" s="99">
        <f>G77+'10'!H77</f>
        <v>529</v>
      </c>
      <c r="I77" s="154"/>
      <c r="J77" s="175">
        <f>H77/DAY(B2)</f>
        <v>48.090909090909093</v>
      </c>
      <c r="K77" s="69"/>
      <c r="L77" s="66"/>
      <c r="N77" s="87"/>
      <c r="O77" s="71"/>
    </row>
    <row r="78" spans="1:15" ht="30.75" customHeight="1">
      <c r="A78" s="1288" t="s">
        <v>224</v>
      </c>
      <c r="B78" s="1289"/>
      <c r="C78" s="1290"/>
      <c r="D78" s="151" t="s">
        <v>139</v>
      </c>
      <c r="E78" s="95">
        <f>'10'!F78</f>
        <v>9563.4</v>
      </c>
      <c r="F78" s="123">
        <v>9563.4</v>
      </c>
      <c r="G78" s="112">
        <f t="shared" si="7"/>
        <v>0</v>
      </c>
      <c r="H78" s="99">
        <f>G78+'10'!H78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1288" t="s">
        <v>225</v>
      </c>
      <c r="B79" s="1289"/>
      <c r="C79" s="1290"/>
      <c r="D79" s="151"/>
      <c r="E79" s="95">
        <f>'10'!F79</f>
        <v>0</v>
      </c>
      <c r="F79" s="117"/>
      <c r="G79" s="112">
        <f>G15-SUM(G74:G78)</f>
        <v>542.29000000012456</v>
      </c>
      <c r="H79" s="99">
        <f>G79+'10'!H79</f>
        <v>6133.6400000000431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1284" t="s">
        <v>329</v>
      </c>
      <c r="B80" s="1285"/>
      <c r="C80" s="1286"/>
      <c r="D80" s="151"/>
      <c r="E80" s="117"/>
      <c r="F80" s="117"/>
      <c r="G80" s="112">
        <f>SUM(G74:G79)</f>
        <v>1018.7000000001863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538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538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43366.18</v>
      </c>
      <c r="F84" s="164">
        <v>43366.18</v>
      </c>
      <c r="G84" s="112">
        <f t="shared" si="8"/>
        <v>0</v>
      </c>
      <c r="H84" s="99">
        <f>G84+'10'!H84</f>
        <v>-0.62000000000261934</v>
      </c>
      <c r="I84" s="538"/>
      <c r="J84" s="175">
        <f>H84/DAY(B2)</f>
        <v>-5.6363636363874488E-2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5610.06</v>
      </c>
      <c r="F85" s="164">
        <v>5610.06</v>
      </c>
      <c r="G85" s="112">
        <f t="shared" si="8"/>
        <v>0</v>
      </c>
      <c r="H85" s="99">
        <f>G85+'10'!H85</f>
        <v>134.0600000000004</v>
      </c>
      <c r="I85" s="538"/>
      <c r="J85" s="175">
        <f>H85/DAY(B2)</f>
        <v>12.187272727272763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46454.84</v>
      </c>
      <c r="F86" s="164">
        <v>46478.58</v>
      </c>
      <c r="G86" s="112">
        <f t="shared" si="8"/>
        <v>23.740000000005239</v>
      </c>
      <c r="H86" s="99">
        <f>G86+'10'!H86</f>
        <v>207.16000000000349</v>
      </c>
      <c r="I86" s="538"/>
      <c r="J86" s="175">
        <f>H86/DAY(B2)</f>
        <v>18.832727272727592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35695.440000000002</v>
      </c>
      <c r="F87" s="164">
        <v>35707.019999999997</v>
      </c>
      <c r="G87" s="112">
        <f t="shared" si="8"/>
        <v>11.57999999999447</v>
      </c>
      <c r="H87" s="99">
        <f>G87+'10'!H87</f>
        <v>51.019999999996799</v>
      </c>
      <c r="I87" s="524">
        <f>G84+G85+G86+G87</f>
        <v>35.319999999999709</v>
      </c>
      <c r="J87" s="175">
        <f>H87/DAY(B2)</f>
        <v>4.6381818181815273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24442.51</v>
      </c>
      <c r="F88" s="164">
        <v>24442.51</v>
      </c>
      <c r="G88" s="112">
        <f t="shared" si="8"/>
        <v>0</v>
      </c>
      <c r="H88" s="99">
        <f>G88+'10'!H88</f>
        <v>18.549999999999272</v>
      </c>
      <c r="I88" s="524"/>
      <c r="J88" s="175">
        <f>H88/DAY(B2)</f>
        <v>1.6863636363635701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28061.69</v>
      </c>
      <c r="F89" s="164">
        <v>28070.240000000002</v>
      </c>
      <c r="G89" s="112">
        <f t="shared" si="8"/>
        <v>8.5500000000029104</v>
      </c>
      <c r="H89" s="99">
        <f>G89+'10'!H89</f>
        <v>82.240000000001601</v>
      </c>
      <c r="I89" s="524">
        <f>G88+G89</f>
        <v>8.5500000000029104</v>
      </c>
      <c r="J89" s="175">
        <f>H89/DAY(B2)</f>
        <v>7.4763636363637822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73351.899999999994</v>
      </c>
      <c r="F90" s="164">
        <v>73360.929999999993</v>
      </c>
      <c r="G90" s="112">
        <f t="shared" si="8"/>
        <v>9.0299999999988358</v>
      </c>
      <c r="H90" s="99">
        <f>G90+'10'!H90</f>
        <v>117.18999999998778</v>
      </c>
      <c r="I90" s="524">
        <f>G90</f>
        <v>9.0299999999988358</v>
      </c>
      <c r="J90" s="175">
        <f>H90/DAY(B2)</f>
        <v>10.653636363635252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4793.18</v>
      </c>
      <c r="F91" s="122">
        <v>4804.6000000000004</v>
      </c>
      <c r="G91" s="112">
        <f t="shared" si="8"/>
        <v>11.420000000000073</v>
      </c>
      <c r="H91" s="99">
        <f>G91+'10'!H91</f>
        <v>126.17000000000007</v>
      </c>
      <c r="I91" s="572"/>
      <c r="J91" s="175">
        <f>H91/DAY(B2)</f>
        <v>11.470000000000006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7000.23</v>
      </c>
      <c r="F92" s="122">
        <v>7000.23</v>
      </c>
      <c r="G92" s="112">
        <f t="shared" si="8"/>
        <v>0</v>
      </c>
      <c r="H92" s="99">
        <f>G92+'10'!H92</f>
        <v>0.22999999999956344</v>
      </c>
      <c r="I92" s="573">
        <f>G91+G92</f>
        <v>11.420000000000073</v>
      </c>
      <c r="J92" s="175">
        <f>H92/DAY(B2)</f>
        <v>2.0909090909051221E-2</v>
      </c>
      <c r="O92" s="71"/>
    </row>
    <row r="93" spans="1:15" ht="30.75" customHeight="1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6264.5999999999476</v>
      </c>
      <c r="H94" s="99">
        <f>G94+'10'!H94</f>
        <v>73308.479999999981</v>
      </c>
      <c r="I94" s="118"/>
      <c r="J94" s="175">
        <f>H94/DAY(B2)</f>
        <v>6664.4072727272714</v>
      </c>
      <c r="K94" s="69"/>
      <c r="L94" s="66"/>
      <c r="O94" s="71"/>
    </row>
    <row r="95" spans="1:15" ht="30.75" customHeight="1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0.25120618748516127</v>
      </c>
      <c r="H95" s="99">
        <f>G95+'10'!H95</f>
        <v>2.9386046898785541</v>
      </c>
      <c r="I95" s="167"/>
      <c r="J95" s="175">
        <f>H95/DAY(B2)</f>
        <v>0.26714588089805036</v>
      </c>
      <c r="K95" s="69"/>
      <c r="L95" s="66"/>
      <c r="O95" s="71"/>
    </row>
    <row r="96" spans="1:15" ht="30.75" customHeight="1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5153.3700000000827</v>
      </c>
      <c r="H96" s="99">
        <f>G96+'10'!H96</f>
        <v>69009.240000000078</v>
      </c>
      <c r="I96" s="118"/>
      <c r="J96" s="175">
        <f>H96/DAY(B2)</f>
        <v>6273.5672727272795</v>
      </c>
      <c r="K96" s="69"/>
      <c r="L96" s="66"/>
      <c r="O96" s="71"/>
    </row>
    <row r="97" spans="1:15" ht="30.75" customHeight="1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0.20664662235425041</v>
      </c>
      <c r="H97" s="99">
        <f>G97+'10'!H97</f>
        <v>2.7676044626458882</v>
      </c>
      <c r="I97" s="167"/>
      <c r="J97" s="175">
        <f>H97/DAY(B2)</f>
        <v>0.25160040569508074</v>
      </c>
      <c r="K97" s="69"/>
      <c r="L97" s="66"/>
      <c r="O97" s="71"/>
    </row>
    <row r="98" spans="1:15" ht="30.75" customHeight="1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4276.320000000007</v>
      </c>
      <c r="H98" s="99">
        <f>G98+'10'!H98</f>
        <v>46006.669999999984</v>
      </c>
      <c r="I98" s="168"/>
      <c r="J98" s="175">
        <f>H98/DAY(B2)</f>
        <v>4182.4245454545444</v>
      </c>
      <c r="K98" s="69"/>
      <c r="L98" s="66"/>
      <c r="O98" s="71"/>
    </row>
    <row r="99" spans="1:15" ht="30.75" customHeight="1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0.17147751551041657</v>
      </c>
      <c r="H99" s="99">
        <f>G99+'10'!H99</f>
        <v>1.8442124298685911</v>
      </c>
      <c r="I99" s="168"/>
      <c r="J99" s="175">
        <f>H99/DAY(B2)</f>
        <v>0.16765567544259918</v>
      </c>
      <c r="O99" s="71"/>
    </row>
    <row r="100" spans="1:15" ht="30.75" customHeight="1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2187.640000000014</v>
      </c>
      <c r="H100" s="99">
        <f>G100+'10'!H100</f>
        <v>24495.430000000044</v>
      </c>
      <c r="I100" s="118"/>
      <c r="J100" s="175">
        <f>H100/DAY(B2)</f>
        <v>2226.8572727272767</v>
      </c>
      <c r="K100" s="70"/>
      <c r="O100" s="71"/>
    </row>
    <row r="101" spans="1:15" ht="30.75" customHeight="1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8.7722872009393466E-2</v>
      </c>
      <c r="H101" s="99">
        <f>G101+'10'!H101</f>
        <v>0.98202818914892576</v>
      </c>
      <c r="I101" s="168"/>
      <c r="J101" s="175">
        <f>H101/DAY(B2)</f>
        <v>8.9275289922629619E-2</v>
      </c>
      <c r="O101" s="71"/>
    </row>
    <row r="102" spans="1:15" ht="30.75" customHeight="1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2587.1000000000349</v>
      </c>
      <c r="H102" s="99">
        <f>G102+'10'!H102</f>
        <v>25514.179999999993</v>
      </c>
      <c r="I102" s="168"/>
      <c r="J102" s="175">
        <f>H102/DAY(B2)</f>
        <v>2319.4709090909087</v>
      </c>
      <c r="O102" s="71"/>
    </row>
    <row r="103" spans="1:15" ht="30.75" customHeight="1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0.10374094557399913</v>
      </c>
      <c r="H103" s="99">
        <f>G103+'10'!H103</f>
        <v>1.0214114273675832</v>
      </c>
      <c r="I103" s="118"/>
      <c r="J103" s="175">
        <f>H103/DAY(B2)</f>
        <v>9.2855584306143921E-2</v>
      </c>
      <c r="O103" s="71"/>
    </row>
    <row r="104" spans="1:15" ht="30.75" customHeight="1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1017.0900000000111</v>
      </c>
      <c r="H104" s="99">
        <f>G104+'10'!H104</f>
        <v>11254.240000000005</v>
      </c>
      <c r="I104" s="118"/>
      <c r="J104" s="175">
        <f>H104/DAY(B2)</f>
        <v>1023.1127272727277</v>
      </c>
      <c r="O104" s="71"/>
    </row>
    <row r="105" spans="1:15" ht="30.75" customHeight="1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4.0784615335262842E-2</v>
      </c>
      <c r="H105" s="99">
        <f>G105+'10'!H105</f>
        <v>0.45108481312865772</v>
      </c>
      <c r="I105" s="187"/>
      <c r="J105" s="188">
        <f>H105/DAY(B2)</f>
        <v>4.1007710284423432E-2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30.75" customHeight="1">
      <c r="A109" s="1291"/>
      <c r="B109" s="1291"/>
    </row>
    <row r="110" spans="1:15" ht="30.75" customHeight="1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30.75" customHeight="1">
      <c r="A111" s="1270"/>
      <c r="B111" s="1271"/>
      <c r="C111" s="1272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1266" t="s">
        <v>252</v>
      </c>
      <c r="B112" s="1267"/>
      <c r="C112" s="1268"/>
      <c r="D112" s="146" t="s">
        <v>183</v>
      </c>
      <c r="E112" s="95">
        <f>'10'!F112</f>
        <v>12377.36</v>
      </c>
      <c r="F112" s="237">
        <v>12446.2</v>
      </c>
      <c r="G112" s="112">
        <f t="shared" ref="G112:G123" si="9">F112-E112</f>
        <v>68.840000000000146</v>
      </c>
      <c r="H112" s="99">
        <f>G112+'10'!H112</f>
        <v>783.20000000000073</v>
      </c>
      <c r="I112" s="165"/>
      <c r="J112" s="328">
        <f>H112/DAY(B2)</f>
        <v>71.20000000000006</v>
      </c>
    </row>
    <row r="113" spans="1:18" ht="30.75" customHeight="1">
      <c r="A113" s="1266" t="s">
        <v>253</v>
      </c>
      <c r="B113" s="1267"/>
      <c r="C113" s="1268"/>
      <c r="D113" s="146" t="s">
        <v>183</v>
      </c>
      <c r="E113" s="95">
        <f>'10'!F113</f>
        <v>24910.29</v>
      </c>
      <c r="F113" s="237">
        <v>25051.95</v>
      </c>
      <c r="G113" s="112">
        <f t="shared" si="9"/>
        <v>141.65999999999985</v>
      </c>
      <c r="H113" s="99">
        <f>G113+'10'!H113</f>
        <v>1530.9500000000007</v>
      </c>
      <c r="I113" s="165"/>
      <c r="J113" s="328">
        <f>H113/DAY(B2)</f>
        <v>139.17727272727279</v>
      </c>
    </row>
    <row r="114" spans="1:18" ht="30.75" customHeight="1">
      <c r="A114" s="1266" t="s">
        <v>254</v>
      </c>
      <c r="B114" s="1267"/>
      <c r="C114" s="1268"/>
      <c r="D114" s="146" t="s">
        <v>183</v>
      </c>
      <c r="E114" s="95">
        <f>'10'!F114</f>
        <v>37011.33</v>
      </c>
      <c r="F114" s="237">
        <v>37235.25</v>
      </c>
      <c r="G114" s="112">
        <f t="shared" si="9"/>
        <v>223.91999999999825</v>
      </c>
      <c r="H114" s="99">
        <f>G114+'10'!H114</f>
        <v>2460.25</v>
      </c>
      <c r="I114" s="165"/>
      <c r="J114" s="328">
        <f>H114/DAY(B2)</f>
        <v>223.65909090909091</v>
      </c>
    </row>
    <row r="115" spans="1:18" ht="30.75" customHeight="1">
      <c r="A115" s="1266" t="s">
        <v>255</v>
      </c>
      <c r="B115" s="1267"/>
      <c r="C115" s="1268"/>
      <c r="D115" s="146" t="s">
        <v>183</v>
      </c>
      <c r="E115" s="95">
        <f>'10'!F115</f>
        <v>23274.18</v>
      </c>
      <c r="F115" s="237">
        <v>23438.28</v>
      </c>
      <c r="G115" s="112">
        <f t="shared" si="9"/>
        <v>164.09999999999854</v>
      </c>
      <c r="H115" s="99">
        <f>G115+'10'!H115</f>
        <v>1385.2799999999988</v>
      </c>
      <c r="I115" s="165"/>
      <c r="J115" s="328">
        <f>H115/DAY(B2)</f>
        <v>125.93454545454534</v>
      </c>
    </row>
    <row r="116" spans="1:18" ht="30.75" customHeight="1">
      <c r="A116" s="1275" t="s">
        <v>96</v>
      </c>
      <c r="B116" s="1276"/>
      <c r="C116" s="1277"/>
      <c r="D116" s="146" t="s">
        <v>183</v>
      </c>
      <c r="E116" s="95">
        <f>'10'!F116</f>
        <v>101134.04</v>
      </c>
      <c r="F116" s="237">
        <v>101645.54</v>
      </c>
      <c r="G116" s="112">
        <f t="shared" si="9"/>
        <v>511.5</v>
      </c>
      <c r="H116" s="99">
        <f>G116+'10'!H116</f>
        <v>4510.5399999999936</v>
      </c>
      <c r="I116" s="165"/>
      <c r="J116" s="328">
        <f>H116/DAY(B2)</f>
        <v>410.04909090909035</v>
      </c>
      <c r="Q116" s="1266" t="s">
        <v>311</v>
      </c>
      <c r="R116" s="1268"/>
    </row>
    <row r="117" spans="1:18" ht="30.75" customHeight="1">
      <c r="A117" s="1275" t="s">
        <v>184</v>
      </c>
      <c r="B117" s="1276"/>
      <c r="C117" s="1277"/>
      <c r="D117" s="146" t="s">
        <v>183</v>
      </c>
      <c r="E117" s="95">
        <f>'10'!F117</f>
        <v>59842.98</v>
      </c>
      <c r="F117" s="237">
        <v>60126.91</v>
      </c>
      <c r="G117" s="112">
        <f t="shared" si="9"/>
        <v>283.93000000000029</v>
      </c>
      <c r="H117" s="99">
        <f>G117+'10'!H117</f>
        <v>3621.9100000000035</v>
      </c>
      <c r="I117" s="165"/>
      <c r="J117" s="328">
        <f>H117/DAY(B2)</f>
        <v>329.26454545454578</v>
      </c>
      <c r="Q117" s="1266" t="s">
        <v>312</v>
      </c>
      <c r="R117" s="1268"/>
    </row>
    <row r="118" spans="1:18" ht="30.75" customHeight="1">
      <c r="A118" s="1269" t="s">
        <v>97</v>
      </c>
      <c r="B118" s="1269"/>
      <c r="C118" s="1269"/>
      <c r="D118" s="151" t="s">
        <v>183</v>
      </c>
      <c r="E118" s="95">
        <f>'10'!F118</f>
        <v>107619.31</v>
      </c>
      <c r="F118" s="400">
        <v>108242.38</v>
      </c>
      <c r="G118" s="112">
        <f t="shared" si="9"/>
        <v>623.07000000000698</v>
      </c>
      <c r="H118" s="99">
        <f>G118+'10'!H118</f>
        <v>6488.3800000000047</v>
      </c>
      <c r="I118" s="165"/>
      <c r="J118" s="328">
        <f>H118/DAY(B2)</f>
        <v>589.85272727272775</v>
      </c>
      <c r="Q118" s="1266" t="s">
        <v>311</v>
      </c>
      <c r="R118" s="1268"/>
    </row>
    <row r="119" spans="1:18" ht="30.75" customHeight="1">
      <c r="A119" s="1269" t="s">
        <v>98</v>
      </c>
      <c r="B119" s="1269"/>
      <c r="C119" s="1269"/>
      <c r="D119" s="151" t="s">
        <v>183</v>
      </c>
      <c r="E119" s="95">
        <f>'10'!F119</f>
        <v>42699.54</v>
      </c>
      <c r="F119" s="237">
        <v>42712.33</v>
      </c>
      <c r="G119" s="112">
        <f t="shared" si="9"/>
        <v>12.790000000000873</v>
      </c>
      <c r="H119" s="99">
        <f>G119+'10'!H119</f>
        <v>131.33000000000175</v>
      </c>
      <c r="I119" s="165"/>
      <c r="J119" s="328">
        <f>H119/DAY(B2)</f>
        <v>11.939090909091068</v>
      </c>
    </row>
    <row r="120" spans="1:18" ht="30.75" customHeight="1">
      <c r="A120" s="1269" t="s">
        <v>99</v>
      </c>
      <c r="B120" s="1269"/>
      <c r="C120" s="1269"/>
      <c r="D120" s="151" t="s">
        <v>183</v>
      </c>
      <c r="E120" s="95">
        <f>'10'!F120</f>
        <v>75344.100000000006</v>
      </c>
      <c r="F120" s="237">
        <v>75741.070000000007</v>
      </c>
      <c r="G120" s="112">
        <f t="shared" si="9"/>
        <v>396.97000000000116</v>
      </c>
      <c r="H120" s="99">
        <f>G120+'10'!H120</f>
        <v>4409.070000000007</v>
      </c>
      <c r="I120" s="165"/>
      <c r="J120" s="328">
        <f>H120/DAY(B2)</f>
        <v>400.82454545454607</v>
      </c>
    </row>
    <row r="121" spans="1:18" ht="30.75" customHeight="1">
      <c r="A121" s="1269" t="s">
        <v>100</v>
      </c>
      <c r="B121" s="1269"/>
      <c r="C121" s="1269"/>
      <c r="D121" s="151" t="s">
        <v>183</v>
      </c>
      <c r="E121" s="95">
        <f>'10'!F121</f>
        <v>85809.59</v>
      </c>
      <c r="F121" s="237">
        <v>86233.97</v>
      </c>
      <c r="G121" s="112">
        <f t="shared" si="9"/>
        <v>424.38000000000466</v>
      </c>
      <c r="H121" s="99">
        <f>G121+'10'!H121</f>
        <v>4877.9700000000012</v>
      </c>
      <c r="I121" s="165"/>
      <c r="J121" s="328">
        <f>H121/DAY(B2)</f>
        <v>443.45181818181828</v>
      </c>
    </row>
    <row r="122" spans="1:18" ht="30.75" customHeight="1">
      <c r="A122" s="1269" t="s">
        <v>101</v>
      </c>
      <c r="B122" s="1269"/>
      <c r="C122" s="1269"/>
      <c r="D122" s="151" t="s">
        <v>183</v>
      </c>
      <c r="E122" s="95">
        <f>'10'!F122</f>
        <v>52887.34</v>
      </c>
      <c r="F122" s="237">
        <v>53262.64</v>
      </c>
      <c r="G122" s="112">
        <f t="shared" si="9"/>
        <v>375.30000000000291</v>
      </c>
      <c r="H122" s="99">
        <f>G122+'10'!H122</f>
        <v>4131.6399999999994</v>
      </c>
      <c r="I122" s="165"/>
      <c r="J122" s="328">
        <f>H122/DAY(B2)</f>
        <v>375.60363636363633</v>
      </c>
    </row>
    <row r="123" spans="1:18" ht="30.75" customHeight="1">
      <c r="A123" s="1269" t="s">
        <v>102</v>
      </c>
      <c r="B123" s="1269"/>
      <c r="C123" s="1269"/>
      <c r="D123" s="151" t="s">
        <v>183</v>
      </c>
      <c r="E123" s="95">
        <f>'10'!F123</f>
        <v>52805.79</v>
      </c>
      <c r="F123" s="237">
        <v>53105.64</v>
      </c>
      <c r="G123" s="112">
        <f t="shared" si="9"/>
        <v>299.84999999999854</v>
      </c>
      <c r="H123" s="99">
        <f>G123+'10'!H123</f>
        <v>3356.6399999999994</v>
      </c>
      <c r="I123" s="165"/>
      <c r="J123" s="328">
        <f>H123/DAY(B2)</f>
        <v>305.14909090909083</v>
      </c>
    </row>
    <row r="124" spans="1:18" ht="30.75" customHeight="1">
      <c r="A124" s="1270"/>
      <c r="B124" s="1271"/>
      <c r="C124" s="1272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1261" t="s">
        <v>196</v>
      </c>
      <c r="B125" s="1262"/>
      <c r="C125" s="245"/>
      <c r="D125" s="307"/>
      <c r="E125" s="308"/>
      <c r="F125" s="308"/>
      <c r="G125" s="309">
        <f>SUM(G112:G124)</f>
        <v>3526.3100000000122</v>
      </c>
      <c r="H125" s="156"/>
      <c r="I125" s="327">
        <f>G125-(G39+G53)</f>
        <v>-750.00999999999476</v>
      </c>
      <c r="J125" s="327"/>
    </row>
    <row r="126" spans="1:18" ht="30.75" customHeight="1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30.75" customHeight="1">
      <c r="A127" s="1274"/>
      <c r="B127" s="1274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1266" t="s">
        <v>318</v>
      </c>
      <c r="B128" s="1267"/>
      <c r="C128" s="1268"/>
      <c r="D128" s="151" t="s">
        <v>183</v>
      </c>
      <c r="E128" s="95">
        <f>'10'!F128</f>
        <v>159126.09</v>
      </c>
      <c r="F128" s="157">
        <v>159472.10999999999</v>
      </c>
      <c r="G128" s="112">
        <f t="shared" ref="G128:G134" si="10">F128-E128</f>
        <v>346.01999999998952</v>
      </c>
      <c r="H128" s="99">
        <f>G128+'10'!H128</f>
        <v>4657.109999999986</v>
      </c>
      <c r="I128" s="165"/>
      <c r="J128" s="328">
        <f>H128/DAY(B2)</f>
        <v>423.37363636363511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85646</v>
      </c>
      <c r="F129" s="157">
        <v>85855.81</v>
      </c>
      <c r="G129" s="112">
        <f t="shared" si="10"/>
        <v>209.80999999999767</v>
      </c>
      <c r="H129" s="99">
        <f>G129+'10'!H129</f>
        <v>1919.8099999999977</v>
      </c>
      <c r="I129" s="165"/>
      <c r="J129" s="328">
        <f>H129/DAY(B2)</f>
        <v>174.52818181818159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213285.53</v>
      </c>
      <c r="F130" s="157">
        <v>213815.97</v>
      </c>
      <c r="G130" s="112">
        <f t="shared" si="10"/>
        <v>530.44000000000233</v>
      </c>
      <c r="H130" s="99">
        <f>G130+'10'!H130</f>
        <v>7056.9700000000012</v>
      </c>
      <c r="I130" s="165"/>
      <c r="J130" s="328">
        <f>H130/DAY(B2)</f>
        <v>641.54272727272735</v>
      </c>
      <c r="N130" s="240"/>
      <c r="O130" s="241"/>
    </row>
    <row r="131" spans="1:15" ht="30.75" customHeight="1">
      <c r="A131" s="1266" t="s">
        <v>321</v>
      </c>
      <c r="B131" s="1267"/>
      <c r="C131" s="1268"/>
      <c r="D131" s="151" t="s">
        <v>183</v>
      </c>
      <c r="E131" s="95">
        <f>'10'!F131</f>
        <v>62279.51</v>
      </c>
      <c r="F131" s="157">
        <v>62460.57</v>
      </c>
      <c r="G131" s="112">
        <f t="shared" si="10"/>
        <v>181.05999999999767</v>
      </c>
      <c r="H131" s="99">
        <f>G131+'10'!H131</f>
        <v>2152.5699999999997</v>
      </c>
      <c r="I131" s="165"/>
      <c r="J131" s="328">
        <f>H131/DAY(B2)</f>
        <v>195.68818181818179</v>
      </c>
      <c r="N131" s="240"/>
      <c r="O131" s="241"/>
    </row>
    <row r="132" spans="1:15" ht="30.75" customHeight="1">
      <c r="A132" s="1266" t="s">
        <v>322</v>
      </c>
      <c r="B132" s="1267"/>
      <c r="C132" s="1268"/>
      <c r="D132" s="151" t="s">
        <v>183</v>
      </c>
      <c r="E132" s="95">
        <f>'10'!F132</f>
        <v>146985</v>
      </c>
      <c r="F132" s="157">
        <v>146985</v>
      </c>
      <c r="G132" s="112">
        <f t="shared" si="10"/>
        <v>0</v>
      </c>
      <c r="H132" s="99">
        <f>G132+'10'!H132</f>
        <v>0</v>
      </c>
      <c r="I132" s="165"/>
      <c r="J132" s="328">
        <f>H132/DAY(B2)</f>
        <v>0</v>
      </c>
    </row>
    <row r="133" spans="1:15" ht="30.75" customHeight="1">
      <c r="A133" s="1266" t="s">
        <v>357</v>
      </c>
      <c r="B133" s="1267"/>
      <c r="C133" s="1268"/>
      <c r="D133" s="151" t="s">
        <v>183</v>
      </c>
      <c r="E133" s="95">
        <f>'10'!F133</f>
        <v>274388.27</v>
      </c>
      <c r="F133" s="157">
        <v>275268.01</v>
      </c>
      <c r="G133" s="112">
        <f t="shared" si="10"/>
        <v>879.73999999999069</v>
      </c>
      <c r="H133" s="99">
        <f>G133+'10'!H133</f>
        <v>9323.0100000000093</v>
      </c>
      <c r="I133" s="165"/>
      <c r="J133" s="328">
        <f>H133/DAY(B2)</f>
        <v>847.5463636363645</v>
      </c>
    </row>
    <row r="134" spans="1:15" ht="30.75" customHeight="1">
      <c r="A134" s="1266" t="s">
        <v>340</v>
      </c>
      <c r="B134" s="1267"/>
      <c r="C134" s="1268"/>
      <c r="D134" s="151" t="s">
        <v>183</v>
      </c>
      <c r="E134" s="95">
        <f>'10'!F134</f>
        <v>66196.990000000005</v>
      </c>
      <c r="F134" s="157">
        <v>66450.94</v>
      </c>
      <c r="G134" s="112">
        <f t="shared" si="10"/>
        <v>253.94999999999709</v>
      </c>
      <c r="H134" s="99">
        <f>G134+'10'!H134</f>
        <v>2788.9400000000023</v>
      </c>
      <c r="I134" s="165"/>
      <c r="J134" s="328">
        <f>H134/DAY(B2)</f>
        <v>253.54000000000022</v>
      </c>
    </row>
    <row r="135" spans="1:15" ht="30.75" customHeight="1">
      <c r="A135" s="1261" t="s">
        <v>196</v>
      </c>
      <c r="B135" s="1262"/>
      <c r="C135" s="331"/>
      <c r="D135" s="151"/>
      <c r="E135" s="95"/>
      <c r="F135" s="165"/>
      <c r="G135" s="112">
        <f>SUM(G128:G134)</f>
        <v>2401.019999999975</v>
      </c>
      <c r="H135" s="99">
        <f>G135+'10'!H135</f>
        <v>27898.409999999996</v>
      </c>
      <c r="I135" s="327">
        <f>G135-(G35+G49)</f>
        <v>-1085.5799999999726</v>
      </c>
      <c r="J135" s="328">
        <f>H135/DAY(B2)</f>
        <v>2536.2190909090905</v>
      </c>
    </row>
    <row r="136" spans="1:15" ht="30.75" customHeight="1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30.75" customHeight="1">
      <c r="A137" s="245"/>
      <c r="B137" s="246"/>
      <c r="C137" s="246"/>
      <c r="D137" s="165"/>
      <c r="E137" s="165"/>
      <c r="F137" s="165" t="s">
        <v>355</v>
      </c>
      <c r="G137" s="165"/>
      <c r="H137" s="156"/>
      <c r="I137" s="165"/>
      <c r="J137" s="327"/>
    </row>
    <row r="138" spans="1:15" ht="30.75" customHeight="1">
      <c r="A138" s="1269" t="s">
        <v>185</v>
      </c>
      <c r="B138" s="1269"/>
      <c r="C138" s="1269"/>
      <c r="D138" s="151" t="s">
        <v>183</v>
      </c>
      <c r="E138" s="95">
        <f>'10'!F138</f>
        <v>899684</v>
      </c>
      <c r="F138" s="148">
        <v>899769</v>
      </c>
      <c r="G138" s="112">
        <f t="shared" ref="G138:G152" si="11">F138-E138</f>
        <v>85</v>
      </c>
      <c r="H138" s="99">
        <f>G138+'10'!H138</f>
        <v>1564</v>
      </c>
      <c r="I138" s="118"/>
      <c r="J138" s="328">
        <f>H138/DAY(B2)</f>
        <v>142.18181818181819</v>
      </c>
    </row>
    <row r="139" spans="1:15" ht="30.75" customHeight="1">
      <c r="A139" s="1269" t="s">
        <v>186</v>
      </c>
      <c r="B139" s="1269"/>
      <c r="C139" s="1269"/>
      <c r="D139" s="151" t="s">
        <v>183</v>
      </c>
      <c r="E139" s="95">
        <f>'10'!F139</f>
        <v>919717</v>
      </c>
      <c r="F139" s="148">
        <v>919883</v>
      </c>
      <c r="G139" s="112">
        <f t="shared" si="11"/>
        <v>166</v>
      </c>
      <c r="H139" s="99">
        <f>G139+'10'!H139</f>
        <v>1679</v>
      </c>
      <c r="I139" s="118"/>
      <c r="J139" s="328">
        <f>H139/DAY(B2)</f>
        <v>152.63636363636363</v>
      </c>
    </row>
    <row r="140" spans="1:15" ht="30.75" customHeight="1">
      <c r="A140" s="1269" t="s">
        <v>187</v>
      </c>
      <c r="B140" s="1269"/>
      <c r="C140" s="1269"/>
      <c r="D140" s="151" t="s">
        <v>183</v>
      </c>
      <c r="E140" s="95">
        <f>'10'!F140</f>
        <v>2460.65</v>
      </c>
      <c r="F140" s="148">
        <v>2471.48</v>
      </c>
      <c r="G140" s="112">
        <f t="shared" si="11"/>
        <v>10.829999999999927</v>
      </c>
      <c r="H140" s="99">
        <f>G140+'10'!H140</f>
        <v>128.48000000000002</v>
      </c>
      <c r="I140" s="118"/>
      <c r="J140" s="328">
        <f>H140/DAY(B2)</f>
        <v>11.680000000000001</v>
      </c>
    </row>
    <row r="141" spans="1:15" ht="30.75" customHeight="1">
      <c r="A141" s="1256" t="s">
        <v>188</v>
      </c>
      <c r="B141" s="1256"/>
      <c r="C141" s="1256"/>
      <c r="D141" s="151" t="s">
        <v>183</v>
      </c>
      <c r="E141" s="95">
        <f>'10'!F141</f>
        <v>106020.36</v>
      </c>
      <c r="F141" s="149">
        <v>106238</v>
      </c>
      <c r="G141" s="112">
        <f t="shared" si="11"/>
        <v>217.63999999999942</v>
      </c>
      <c r="H141" s="99">
        <f>G141+'10'!H141</f>
        <v>2464</v>
      </c>
      <c r="I141" s="118"/>
      <c r="J141" s="328">
        <f>H141/DAY(B2)</f>
        <v>224</v>
      </c>
    </row>
    <row r="142" spans="1:15" ht="30.75" customHeight="1">
      <c r="A142" s="1256" t="s">
        <v>189</v>
      </c>
      <c r="B142" s="1256"/>
      <c r="C142" s="1256"/>
      <c r="D142" s="151" t="s">
        <v>183</v>
      </c>
      <c r="E142" s="95">
        <f>'10'!F142</f>
        <v>42710.6</v>
      </c>
      <c r="F142" s="148">
        <v>42798.95</v>
      </c>
      <c r="G142" s="112">
        <f t="shared" si="11"/>
        <v>88.349999999998545</v>
      </c>
      <c r="H142" s="99">
        <f>G142+'10'!H142</f>
        <v>983.94999999999709</v>
      </c>
      <c r="I142" s="140"/>
      <c r="J142" s="328">
        <f>H142/DAY(B2)</f>
        <v>89.449999999999733</v>
      </c>
    </row>
    <row r="143" spans="1:15" ht="30.75" customHeight="1">
      <c r="A143" s="1269" t="s">
        <v>91</v>
      </c>
      <c r="B143" s="1269"/>
      <c r="C143" s="1269"/>
      <c r="D143" s="151" t="s">
        <v>183</v>
      </c>
      <c r="E143" s="95">
        <f>'10'!F143</f>
        <v>10946</v>
      </c>
      <c r="F143" s="149">
        <v>10968.7</v>
      </c>
      <c r="G143" s="112">
        <f t="shared" si="11"/>
        <v>22.700000000000728</v>
      </c>
      <c r="H143" s="99">
        <f>G143+'10'!H143</f>
        <v>291.70000000000073</v>
      </c>
      <c r="I143" s="140"/>
      <c r="J143" s="328">
        <f>H143/DAY(B2)</f>
        <v>26.518181818181883</v>
      </c>
    </row>
    <row r="144" spans="1:15" ht="30.75" customHeight="1">
      <c r="A144" s="1256" t="s">
        <v>90</v>
      </c>
      <c r="B144" s="1256"/>
      <c r="C144" s="1256"/>
      <c r="D144" s="151" t="s">
        <v>183</v>
      </c>
      <c r="E144" s="95">
        <f>'10'!F144</f>
        <v>935911</v>
      </c>
      <c r="F144" s="149">
        <v>936157</v>
      </c>
      <c r="G144" s="112">
        <f t="shared" si="11"/>
        <v>246</v>
      </c>
      <c r="H144" s="99">
        <f>G144+'10'!H144</f>
        <v>2636</v>
      </c>
      <c r="I144" s="140"/>
      <c r="J144" s="328">
        <f>H144/DAY(B2)</f>
        <v>239.63636363636363</v>
      </c>
    </row>
    <row r="145" spans="1:10" ht="30.75" customHeight="1">
      <c r="A145" s="1269" t="s">
        <v>190</v>
      </c>
      <c r="B145" s="1269"/>
      <c r="C145" s="1269"/>
      <c r="D145" s="152" t="s">
        <v>183</v>
      </c>
      <c r="E145" s="95">
        <f>'10'!F145</f>
        <v>15392.4</v>
      </c>
      <c r="F145" s="149">
        <v>15568.75</v>
      </c>
      <c r="G145" s="112">
        <f t="shared" si="11"/>
        <v>176.35000000000036</v>
      </c>
      <c r="H145" s="99">
        <f>G145+'10'!H145</f>
        <v>2428.75</v>
      </c>
      <c r="I145" s="140"/>
      <c r="J145" s="328">
        <f>H145/DAY(B2)</f>
        <v>220.79545454545453</v>
      </c>
    </row>
    <row r="146" spans="1:10" ht="30.75" customHeight="1">
      <c r="A146" s="1332" t="s">
        <v>191</v>
      </c>
      <c r="B146" s="1289"/>
      <c r="C146" s="1290"/>
      <c r="D146" s="152" t="s">
        <v>183</v>
      </c>
      <c r="E146" s="95">
        <f>'10'!F146</f>
        <v>784785</v>
      </c>
      <c r="F146" s="148">
        <v>784825</v>
      </c>
      <c r="G146" s="112">
        <f t="shared" si="11"/>
        <v>40</v>
      </c>
      <c r="H146" s="99">
        <f>G146+'10'!H146</f>
        <v>486</v>
      </c>
      <c r="I146" s="140"/>
      <c r="J146" s="328">
        <f>H146/DAY(B2)</f>
        <v>44.18181818181818</v>
      </c>
    </row>
    <row r="147" spans="1:10" ht="30.75" customHeight="1">
      <c r="A147" s="1256" t="s">
        <v>192</v>
      </c>
      <c r="B147" s="1256"/>
      <c r="C147" s="1256"/>
      <c r="D147" s="152" t="s">
        <v>183</v>
      </c>
      <c r="E147" s="95">
        <f>'10'!F147</f>
        <v>727495.44</v>
      </c>
      <c r="F147" s="148">
        <v>727872.8</v>
      </c>
      <c r="G147" s="112">
        <f t="shared" si="11"/>
        <v>377.36000000010245</v>
      </c>
      <c r="H147" s="99">
        <f>G147+'10'!H147</f>
        <v>4350.8000000000466</v>
      </c>
      <c r="I147" s="140"/>
      <c r="J147" s="328">
        <f>H147/DAY(B2)</f>
        <v>395.52727272727697</v>
      </c>
    </row>
    <row r="148" spans="1:10" ht="30.75" customHeight="1">
      <c r="A148" s="1257" t="s">
        <v>193</v>
      </c>
      <c r="B148" s="1258"/>
      <c r="C148" s="1259"/>
      <c r="D148" s="123" t="s">
        <v>130</v>
      </c>
      <c r="E148" s="95">
        <f>'10'!F148</f>
        <v>769397.2</v>
      </c>
      <c r="F148" s="150">
        <v>769737.04</v>
      </c>
      <c r="G148" s="112">
        <f t="shared" si="11"/>
        <v>339.84000000008382</v>
      </c>
      <c r="H148" s="99">
        <f>G148+'10'!H148</f>
        <v>3127.0400000000373</v>
      </c>
      <c r="I148" s="124"/>
      <c r="J148" s="328">
        <f>H148/DAY(B2)</f>
        <v>284.27636363636702</v>
      </c>
    </row>
    <row r="149" spans="1:10" ht="30.75" customHeight="1">
      <c r="A149" s="1257" t="s">
        <v>336</v>
      </c>
      <c r="B149" s="1258"/>
      <c r="C149" s="1259"/>
      <c r="D149" s="227" t="s">
        <v>130</v>
      </c>
      <c r="E149" s="95">
        <f>'10'!F149</f>
        <v>162204.26</v>
      </c>
      <c r="F149" s="146">
        <v>162658.85</v>
      </c>
      <c r="G149" s="112">
        <f t="shared" si="11"/>
        <v>454.58999999999651</v>
      </c>
      <c r="H149" s="99">
        <f>G149+'10'!H149</f>
        <v>4691.8500000000058</v>
      </c>
      <c r="I149" s="119"/>
      <c r="J149" s="328">
        <f>H149/DAY(B2)</f>
        <v>426.53181818181872</v>
      </c>
    </row>
    <row r="150" spans="1:10" ht="30.75" customHeight="1">
      <c r="A150" s="1257" t="s">
        <v>337</v>
      </c>
      <c r="B150" s="1258"/>
      <c r="C150" s="1259"/>
      <c r="D150" s="117" t="s">
        <v>130</v>
      </c>
      <c r="E150" s="95">
        <f>'10'!F150</f>
        <v>66202.429999999993</v>
      </c>
      <c r="F150" s="233">
        <v>66416.679999999993</v>
      </c>
      <c r="G150" s="112">
        <f t="shared" si="11"/>
        <v>214.25</v>
      </c>
      <c r="H150" s="99">
        <f>G150+'10'!H150</f>
        <v>2438.679999999993</v>
      </c>
      <c r="I150" s="119"/>
      <c r="J150" s="328">
        <f>H150/DAY(B2)</f>
        <v>221.69818181818118</v>
      </c>
    </row>
    <row r="151" spans="1:10" ht="30.75" customHeight="1">
      <c r="A151" s="1257" t="s">
        <v>338</v>
      </c>
      <c r="B151" s="1258"/>
      <c r="C151" s="1259"/>
      <c r="D151" s="117" t="s">
        <v>130</v>
      </c>
      <c r="E151" s="95">
        <f>'10'!F151</f>
        <v>150319</v>
      </c>
      <c r="F151" s="233">
        <v>150382</v>
      </c>
      <c r="G151" s="112">
        <f t="shared" si="11"/>
        <v>63</v>
      </c>
      <c r="H151" s="99">
        <f>G151+'10'!H151</f>
        <v>594</v>
      </c>
      <c r="I151" s="119"/>
      <c r="J151" s="328">
        <f>H151/DAY(B2)</f>
        <v>54</v>
      </c>
    </row>
    <row r="152" spans="1:10" ht="30.75" customHeight="1">
      <c r="A152" s="1257" t="s">
        <v>339</v>
      </c>
      <c r="B152" s="1258"/>
      <c r="C152" s="1259"/>
      <c r="D152" s="117" t="s">
        <v>130</v>
      </c>
      <c r="E152" s="95">
        <f>'10'!F152</f>
        <v>31902.92</v>
      </c>
      <c r="F152" s="233">
        <v>32031.23</v>
      </c>
      <c r="G152" s="112">
        <f t="shared" si="11"/>
        <v>128.31000000000131</v>
      </c>
      <c r="H152" s="99">
        <f>G152+'10'!H152</f>
        <v>1417.2299999999996</v>
      </c>
      <c r="I152" s="119"/>
      <c r="J152" s="328">
        <f>H152/DAY(B2)</f>
        <v>128.83909090909086</v>
      </c>
    </row>
    <row r="153" spans="1:10" ht="30.75" customHeight="1">
      <c r="A153" s="1261" t="s">
        <v>196</v>
      </c>
      <c r="B153" s="1262"/>
      <c r="C153" s="362"/>
      <c r="D153" s="355"/>
      <c r="E153" s="357"/>
      <c r="F153" s="358"/>
      <c r="G153" s="359">
        <f>SUM(G138:G152)</f>
        <v>2630.2200000001831</v>
      </c>
      <c r="H153" s="360"/>
      <c r="I153" s="119">
        <f>G153-(G38+G52)</f>
        <v>442.58000000016909</v>
      </c>
      <c r="J153" s="363"/>
    </row>
    <row r="154" spans="1:10" ht="30.75" customHeight="1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0" ht="30.75" customHeight="1">
      <c r="A155" s="1256" t="s">
        <v>345</v>
      </c>
      <c r="B155" s="1256"/>
      <c r="C155" s="1256"/>
      <c r="D155" s="117" t="s">
        <v>130</v>
      </c>
      <c r="E155" s="95">
        <f>'10'!F155</f>
        <v>191218.07</v>
      </c>
      <c r="F155" s="157">
        <v>191742.05</v>
      </c>
      <c r="G155" s="112">
        <f t="shared" ref="G155:G159" si="12">F155-E155</f>
        <v>523.97999999998137</v>
      </c>
      <c r="H155" s="99">
        <f>G155+'10'!H155</f>
        <v>6001.0499999999884</v>
      </c>
      <c r="I155" s="361"/>
      <c r="J155" s="328">
        <f>H155/DAY(B2)</f>
        <v>545.54999999999893</v>
      </c>
    </row>
    <row r="156" spans="1:10" ht="30.75" customHeight="1">
      <c r="A156" s="1256" t="s">
        <v>347</v>
      </c>
      <c r="B156" s="1256"/>
      <c r="C156" s="1256"/>
      <c r="D156" s="117" t="s">
        <v>130</v>
      </c>
      <c r="E156" s="95">
        <f>'10'!F156</f>
        <v>21673.360000000001</v>
      </c>
      <c r="F156" s="155">
        <v>21766.02</v>
      </c>
      <c r="G156" s="112">
        <f t="shared" si="12"/>
        <v>92.659999999999854</v>
      </c>
      <c r="H156" s="99">
        <f>G156+'10'!H156</f>
        <v>1027.0200000000004</v>
      </c>
      <c r="I156" s="165"/>
      <c r="J156" s="328">
        <f>H156/DAY(B2)</f>
        <v>93.365454545454583</v>
      </c>
    </row>
    <row r="157" spans="1:10" ht="30.75" customHeight="1">
      <c r="A157" s="1257" t="s">
        <v>358</v>
      </c>
      <c r="B157" s="1258"/>
      <c r="C157" s="1259"/>
      <c r="D157" s="117" t="s">
        <v>130</v>
      </c>
      <c r="E157" s="95">
        <f>'10'!F157</f>
        <v>37558.54</v>
      </c>
      <c r="F157" s="155">
        <v>37558.54</v>
      </c>
      <c r="G157" s="112">
        <f t="shared" si="12"/>
        <v>0</v>
      </c>
      <c r="H157" s="99">
        <f>G157+'10'!H157</f>
        <v>1434.5400000000009</v>
      </c>
      <c r="I157" s="165"/>
      <c r="J157" s="328">
        <f>H157/DAY(B2)</f>
        <v>130.41272727272735</v>
      </c>
    </row>
    <row r="158" spans="1:10" ht="30.75" customHeight="1">
      <c r="A158" s="1257" t="s">
        <v>359</v>
      </c>
      <c r="B158" s="1258"/>
      <c r="C158" s="1259"/>
      <c r="D158" s="117" t="s">
        <v>130</v>
      </c>
      <c r="E158" s="95">
        <f>'10'!F158</f>
        <v>734.88</v>
      </c>
      <c r="F158" s="155">
        <v>755.05</v>
      </c>
      <c r="G158" s="112">
        <f t="shared" si="12"/>
        <v>20.169999999999959</v>
      </c>
      <c r="H158" s="99">
        <f>G158+'10'!H158</f>
        <v>250.41999999999996</v>
      </c>
      <c r="I158" s="165"/>
      <c r="J158" s="328">
        <f>H158/DAY(B2)</f>
        <v>22.765454545454542</v>
      </c>
    </row>
    <row r="159" spans="1:10" ht="30.75" customHeight="1">
      <c r="A159" s="1263"/>
      <c r="B159" s="1264"/>
      <c r="C159" s="1265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491210</v>
      </c>
      <c r="F161" s="235">
        <v>491498.2</v>
      </c>
      <c r="G161" s="238">
        <f>F161-E161</f>
        <v>288.20000000001164</v>
      </c>
      <c r="H161" s="99">
        <f>G161+'10'!H161</f>
        <v>3175.2000000000116</v>
      </c>
      <c r="I161" s="236"/>
      <c r="J161" s="239">
        <f>H161/DAY(B2)</f>
        <v>288.65454545454651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97630.9</v>
      </c>
      <c r="F162" s="235">
        <v>97668.6</v>
      </c>
      <c r="G162" s="238">
        <f t="shared" ref="G162:G165" si="13">F162-E162</f>
        <v>37.700000000011642</v>
      </c>
      <c r="H162" s="99">
        <f>G162+'10'!H162</f>
        <v>380.60000000000582</v>
      </c>
      <c r="I162" s="236"/>
      <c r="J162" s="239">
        <f>H162/DAY(B2)</f>
        <v>34.600000000000527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15241.8</v>
      </c>
      <c r="F163" s="235">
        <v>15382.8</v>
      </c>
      <c r="G163" s="238">
        <f t="shared" si="13"/>
        <v>141</v>
      </c>
      <c r="H163" s="99">
        <f>G163+'10'!H163</f>
        <v>1218.7999999999993</v>
      </c>
      <c r="I163" s="236"/>
      <c r="J163" s="239">
        <f>H163/DAY(B2)</f>
        <v>110.79999999999994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6679.5</v>
      </c>
      <c r="F164" s="235">
        <v>6688.8</v>
      </c>
      <c r="G164" s="238">
        <f t="shared" si="13"/>
        <v>9.3000000000001819</v>
      </c>
      <c r="H164" s="99">
        <f>G164+'10'!H164</f>
        <v>76.800000000000182</v>
      </c>
      <c r="I164" s="236"/>
      <c r="J164" s="239">
        <f>H164/DAY(B2)</f>
        <v>6.9818181818181984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32202.99</v>
      </c>
      <c r="F165" s="235">
        <v>32211.65</v>
      </c>
      <c r="G165" s="238">
        <f t="shared" si="13"/>
        <v>8.6599999999998545</v>
      </c>
      <c r="H165" s="99">
        <f>G165+'10'!H165</f>
        <v>70.650000000001455</v>
      </c>
      <c r="I165" s="236"/>
      <c r="J165" s="239">
        <f>H165/DAY(B2)</f>
        <v>6.4227272727274052</v>
      </c>
    </row>
    <row r="166" spans="1:10" ht="30.75" customHeight="1">
      <c r="A166" s="1274"/>
      <c r="B166" s="1274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1274"/>
      <c r="B167" s="1274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1274"/>
      <c r="B168" s="1274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30.75" customHeight="1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1254" t="s">
        <v>209</v>
      </c>
      <c r="B173" s="1255"/>
      <c r="C173" s="333"/>
      <c r="D173" s="228" t="s">
        <v>142</v>
      </c>
      <c r="E173" s="95">
        <f>'10'!F173</f>
        <v>8593</v>
      </c>
      <c r="F173" s="157">
        <v>8595</v>
      </c>
      <c r="G173" s="155">
        <f>F173-E173</f>
        <v>2</v>
      </c>
      <c r="H173" s="99">
        <f>G173+'10'!H173</f>
        <v>14</v>
      </c>
      <c r="I173" s="155"/>
      <c r="J173" s="178">
        <f>H173/DAY(B2)</f>
        <v>1.2727272727272727</v>
      </c>
    </row>
    <row r="174" spans="1:10" ht="30.75" customHeight="1">
      <c r="A174" s="1254" t="s">
        <v>75</v>
      </c>
      <c r="B174" s="1255"/>
      <c r="C174" s="333"/>
      <c r="D174" s="228" t="s">
        <v>142</v>
      </c>
      <c r="E174" s="95">
        <f>'10'!F174</f>
        <v>42089</v>
      </c>
      <c r="F174" s="157">
        <v>42104</v>
      </c>
      <c r="G174" s="155">
        <f t="shared" ref="G174:G175" si="14">F174-E174</f>
        <v>15</v>
      </c>
      <c r="H174" s="99">
        <f>G174+'10'!H174</f>
        <v>142</v>
      </c>
      <c r="I174" s="155"/>
      <c r="J174" s="178">
        <f>H174/DAY(B2)</f>
        <v>12.909090909090908</v>
      </c>
    </row>
    <row r="175" spans="1:10" ht="30.75" customHeight="1">
      <c r="A175" s="1254" t="s">
        <v>76</v>
      </c>
      <c r="B175" s="1324"/>
      <c r="C175" s="1255"/>
      <c r="D175" s="228" t="s">
        <v>142</v>
      </c>
      <c r="E175" s="95">
        <f>'10'!F175</f>
        <v>24805</v>
      </c>
      <c r="F175" s="155">
        <v>24815</v>
      </c>
      <c r="G175" s="155">
        <f t="shared" si="14"/>
        <v>10</v>
      </c>
      <c r="H175" s="99">
        <f>G175+'10'!H175</f>
        <v>118</v>
      </c>
      <c r="I175" s="155"/>
      <c r="J175" s="178">
        <f>H175/DAY(B2)</f>
        <v>10.727272727272727</v>
      </c>
    </row>
    <row r="176" spans="1:10" ht="30.75" customHeight="1">
      <c r="A176" s="1261" t="s">
        <v>196</v>
      </c>
      <c r="B176" s="1262"/>
      <c r="C176" s="384"/>
      <c r="D176" s="228" t="s">
        <v>142</v>
      </c>
      <c r="E176" s="95"/>
      <c r="F176" s="155"/>
      <c r="G176" s="155">
        <f>SUM(G173:G175)</f>
        <v>27</v>
      </c>
      <c r="H176" s="99">
        <f>G176+'10'!H176</f>
        <v>274</v>
      </c>
      <c r="I176" s="155"/>
      <c r="J176" s="178">
        <f>H176/DAY(B2)</f>
        <v>24.90909090909091</v>
      </c>
    </row>
    <row r="177" spans="1:10" ht="30.75" customHeight="1">
      <c r="A177" s="1254" t="s">
        <v>77</v>
      </c>
      <c r="B177" s="1255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1254" t="s">
        <v>210</v>
      </c>
      <c r="B178" s="1255"/>
      <c r="C178" s="333"/>
      <c r="D178" s="228" t="s">
        <v>142</v>
      </c>
      <c r="E178" s="95">
        <f>'10'!F178</f>
        <v>102114</v>
      </c>
      <c r="F178" s="155">
        <v>102117</v>
      </c>
      <c r="G178" s="155">
        <f>F178-E178</f>
        <v>3</v>
      </c>
      <c r="H178" s="99">
        <f>G178+'10'!H178</f>
        <v>3</v>
      </c>
      <c r="I178" s="155"/>
      <c r="J178" s="178">
        <f>H178/DAY(B2)</f>
        <v>0.27272727272727271</v>
      </c>
    </row>
    <row r="179" spans="1:10" ht="30.75" customHeight="1">
      <c r="A179" s="1254" t="s">
        <v>211</v>
      </c>
      <c r="B179" s="1255"/>
      <c r="C179" s="333"/>
      <c r="D179" s="228" t="s">
        <v>142</v>
      </c>
      <c r="E179" s="95">
        <f>'10'!F179</f>
        <v>37501</v>
      </c>
      <c r="F179" s="155">
        <v>37501</v>
      </c>
      <c r="G179" s="155">
        <f t="shared" ref="G179:G180" si="15">F179-E179</f>
        <v>0</v>
      </c>
      <c r="H179" s="99">
        <f>G179+'10'!H179</f>
        <v>0</v>
      </c>
      <c r="I179" s="155"/>
      <c r="J179" s="178">
        <f>H179/DAY(B2)</f>
        <v>0</v>
      </c>
    </row>
    <row r="180" spans="1:10" ht="30.75" customHeight="1">
      <c r="A180" s="1254" t="s">
        <v>212</v>
      </c>
      <c r="B180" s="1255"/>
      <c r="C180" s="333"/>
      <c r="D180" s="228" t="s">
        <v>142</v>
      </c>
      <c r="E180" s="95">
        <f>'10'!F180</f>
        <v>7231</v>
      </c>
      <c r="F180" s="155">
        <v>7231</v>
      </c>
      <c r="G180" s="155">
        <f t="shared" si="15"/>
        <v>0</v>
      </c>
      <c r="H180" s="99">
        <f>G180+'10'!H180</f>
        <v>0</v>
      </c>
      <c r="I180" s="155"/>
      <c r="J180" s="178">
        <f>H180/DAY(B2)</f>
        <v>0</v>
      </c>
    </row>
    <row r="181" spans="1:10" ht="30.75" customHeight="1">
      <c r="A181" s="1325" t="s">
        <v>108</v>
      </c>
      <c r="B181" s="1326"/>
      <c r="C181" s="384"/>
      <c r="D181" s="228" t="s">
        <v>142</v>
      </c>
      <c r="E181" s="95"/>
      <c r="F181" s="155"/>
      <c r="G181" s="155">
        <f>SUM(G178:G180)</f>
        <v>3</v>
      </c>
      <c r="H181" s="99">
        <f>G181+'10'!H181</f>
        <v>3</v>
      </c>
      <c r="I181" s="155"/>
      <c r="J181" s="178">
        <f>H181/DAY(B2)</f>
        <v>0.27272727272727271</v>
      </c>
    </row>
    <row r="182" spans="1:10" ht="30.75" customHeight="1">
      <c r="A182" s="1254" t="s">
        <v>213</v>
      </c>
      <c r="B182" s="1255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1254" t="s">
        <v>214</v>
      </c>
      <c r="B183" s="1255"/>
      <c r="C183" s="334"/>
      <c r="D183" s="228" t="s">
        <v>142</v>
      </c>
      <c r="E183" s="95">
        <f>'10'!F183</f>
        <v>17893</v>
      </c>
      <c r="F183" s="157">
        <v>17897</v>
      </c>
      <c r="G183" s="157">
        <f>F183-E183</f>
        <v>4</v>
      </c>
      <c r="H183" s="99">
        <f>G183+'10'!H183</f>
        <v>49</v>
      </c>
      <c r="I183" s="155"/>
      <c r="J183" s="178">
        <f>H183/DAY(B2)</f>
        <v>4.4545454545454541</v>
      </c>
    </row>
    <row r="184" spans="1:10" ht="30.75" customHeight="1">
      <c r="A184" s="1254" t="s">
        <v>215</v>
      </c>
      <c r="B184" s="1255"/>
      <c r="C184" s="334"/>
      <c r="D184" s="228" t="s">
        <v>142</v>
      </c>
      <c r="E184" s="95">
        <f>'10'!F184</f>
        <v>12415</v>
      </c>
      <c r="F184" s="157">
        <v>12426</v>
      </c>
      <c r="G184" s="157">
        <f t="shared" ref="G184:G185" si="16">F184-E184</f>
        <v>11</v>
      </c>
      <c r="H184" s="99">
        <f>G184+'10'!H184</f>
        <v>77</v>
      </c>
      <c r="I184" s="155"/>
      <c r="J184" s="178">
        <f>H184/DAY(B2)</f>
        <v>7</v>
      </c>
    </row>
    <row r="185" spans="1:10" ht="30.75" customHeight="1">
      <c r="A185" s="1254" t="s">
        <v>216</v>
      </c>
      <c r="B185" s="1255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1261" t="s">
        <v>196</v>
      </c>
      <c r="B186" s="1262"/>
      <c r="C186" s="383"/>
      <c r="D186" s="228" t="s">
        <v>142</v>
      </c>
      <c r="E186" s="95"/>
      <c r="F186" s="157"/>
      <c r="G186" s="157">
        <f>SUM(G183:G185)</f>
        <v>15</v>
      </c>
      <c r="H186" s="99">
        <f>G186+'10'!H186</f>
        <v>126</v>
      </c>
      <c r="I186" s="157"/>
      <c r="J186" s="178">
        <f>H186/DAY(B2)</f>
        <v>11.454545454545455</v>
      </c>
    </row>
    <row r="187" spans="1:10" ht="30.75" customHeight="1">
      <c r="A187" s="1250" t="s">
        <v>217</v>
      </c>
      <c r="B187" s="1251"/>
      <c r="C187" s="333"/>
      <c r="D187" s="230" t="s">
        <v>142</v>
      </c>
      <c r="E187" s="95"/>
      <c r="F187" s="159"/>
      <c r="G187" s="159">
        <f>G62+G19</f>
        <v>152</v>
      </c>
      <c r="H187" s="99">
        <f>G187+'10'!H187</f>
        <v>1572</v>
      </c>
      <c r="I187" s="158"/>
      <c r="J187" s="179">
        <f>H187/DAY(B2)</f>
        <v>142.90909090909091</v>
      </c>
    </row>
    <row r="188" spans="1:10" ht="30.75" customHeight="1">
      <c r="A188" s="1250" t="s">
        <v>218</v>
      </c>
      <c r="B188" s="1251"/>
      <c r="C188" s="333"/>
      <c r="D188" s="230" t="s">
        <v>142</v>
      </c>
      <c r="E188" s="95"/>
      <c r="F188" s="159"/>
      <c r="G188" s="159">
        <f>G65+G66+G67+G69+G70</f>
        <v>145</v>
      </c>
      <c r="H188" s="99">
        <f>G188+'10'!H188</f>
        <v>1613</v>
      </c>
      <c r="I188" s="158"/>
      <c r="J188" s="179">
        <f>H188/DAY(B2)</f>
        <v>146.63636363636363</v>
      </c>
    </row>
    <row r="189" spans="1:10" ht="30.75" customHeight="1">
      <c r="A189" s="1250" t="s">
        <v>219</v>
      </c>
      <c r="B189" s="1251"/>
      <c r="C189" s="333"/>
      <c r="D189" s="230" t="s">
        <v>142</v>
      </c>
      <c r="E189" s="95"/>
      <c r="F189" s="157"/>
      <c r="G189" s="157">
        <f>G181</f>
        <v>3</v>
      </c>
      <c r="H189" s="99">
        <f>G189+'10'!H189</f>
        <v>3</v>
      </c>
      <c r="I189" s="158"/>
      <c r="J189" s="179">
        <f>H189/DAY(B2)</f>
        <v>0.27272727272727271</v>
      </c>
    </row>
    <row r="190" spans="1:10" ht="30.75" customHeight="1">
      <c r="A190" s="1252"/>
      <c r="B190" s="1253"/>
      <c r="C190" s="382"/>
      <c r="D190" s="379"/>
      <c r="E190" s="379" t="s">
        <v>207</v>
      </c>
      <c r="F190" s="379"/>
      <c r="G190" s="379"/>
      <c r="H190" s="380"/>
      <c r="I190" s="379"/>
      <c r="J190" s="381"/>
    </row>
  </sheetData>
  <mergeCells count="115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zoomScale="55" zoomScaleNormal="75" zoomScaleSheetLayoutView="55" workbookViewId="0">
      <selection activeCell="F161" sqref="F161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32.25" customHeight="1">
      <c r="A2" s="191" t="s">
        <v>353</v>
      </c>
      <c r="B2" s="262">
        <v>44846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30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156432.4</v>
      </c>
      <c r="F7" s="95">
        <v>180974.39</v>
      </c>
      <c r="G7" s="112">
        <f>F7-E7</f>
        <v>24541.99000000002</v>
      </c>
      <c r="H7" s="99">
        <f>G7+'11'!H7</f>
        <v>299138.39</v>
      </c>
      <c r="I7" s="113">
        <f>'1'!I7</f>
        <v>12000</v>
      </c>
      <c r="J7" s="175">
        <f>H7/DAY(B2)</f>
        <v>24928.199166666669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327698.87</v>
      </c>
      <c r="F8" s="95">
        <v>352597.07</v>
      </c>
      <c r="G8" s="115">
        <f>F8-E8</f>
        <v>24898.200000000012</v>
      </c>
      <c r="H8" s="99">
        <f>G8+'11'!H8</f>
        <v>303217.07</v>
      </c>
      <c r="I8" s="116"/>
      <c r="J8" s="175">
        <f>H8/DAY(B2)</f>
        <v>25268.089166666668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3773617.5</v>
      </c>
      <c r="F9" s="447">
        <v>3778697.9</v>
      </c>
      <c r="G9" s="112">
        <f>F9-E9</f>
        <v>5080.3999999999069</v>
      </c>
      <c r="H9" s="99">
        <f>G9+'11'!H9</f>
        <v>71990.899999999907</v>
      </c>
      <c r="I9" s="124">
        <f>I7-J7</f>
        <v>-12928.199166666669</v>
      </c>
      <c r="J9" s="175">
        <f>H9/DAY(B2)</f>
        <v>5999.2416666666586</v>
      </c>
      <c r="K9" s="79">
        <f>K8-100</f>
        <v>1715817</v>
      </c>
      <c r="L9" s="66"/>
      <c r="N9" s="87"/>
      <c r="O9" s="71"/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2943231.5</v>
      </c>
      <c r="F10" s="353">
        <v>2962024.5</v>
      </c>
      <c r="G10" s="112">
        <f t="shared" ref="G10:G12" si="0">F10-E10</f>
        <v>18793</v>
      </c>
      <c r="H10" s="99">
        <f>G10+'11'!H10</f>
        <v>219330.5</v>
      </c>
      <c r="I10" s="282"/>
      <c r="J10" s="175">
        <f>H10/DAY(B2)</f>
        <v>18277.541666666668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37560</v>
      </c>
      <c r="F11" s="95">
        <v>37560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40380</v>
      </c>
      <c r="F12" s="117">
        <v>40380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23873.399999999907</v>
      </c>
      <c r="H13" s="99">
        <f>G13+'11'!H13</f>
        <v>292781.39999999991</v>
      </c>
      <c r="I13" s="120">
        <f>G7-G13</f>
        <v>668.59000000011292</v>
      </c>
      <c r="J13" s="175">
        <f>H13/DAY(B2)</f>
        <v>24398.449999999993</v>
      </c>
      <c r="K13" s="79"/>
      <c r="L13" s="66"/>
      <c r="N13" s="87"/>
      <c r="O13" s="71"/>
    </row>
    <row r="14" spans="1:15" ht="32.25" customHeight="1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2172635.62</v>
      </c>
      <c r="F15" s="447">
        <v>2173665.63</v>
      </c>
      <c r="G15" s="112">
        <f>(F15-E15)</f>
        <v>1030.0099999997765</v>
      </c>
      <c r="H15" s="99">
        <f>G15+'11'!H15</f>
        <v>12150.629999999888</v>
      </c>
      <c r="I15" s="113">
        <f>'1'!I15</f>
        <v>800</v>
      </c>
      <c r="J15" s="175">
        <f>H15/DAY(B2)</f>
        <v>1012.5524999999907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-212.55249999999069</v>
      </c>
      <c r="J16" s="176"/>
      <c r="K16" s="79"/>
      <c r="L16" s="66"/>
      <c r="N16" s="87"/>
      <c r="O16" s="71"/>
    </row>
    <row r="17" spans="1:15" ht="32.25" customHeight="1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1281" t="s">
        <v>141</v>
      </c>
      <c r="B18" s="1282"/>
      <c r="C18" s="1283"/>
      <c r="D18" s="151" t="s">
        <v>142</v>
      </c>
      <c r="E18" s="95">
        <f>'11'!F18</f>
        <v>29</v>
      </c>
      <c r="F18" s="122">
        <v>26</v>
      </c>
      <c r="G18" s="119">
        <f>F18*10</f>
        <v>260</v>
      </c>
      <c r="H18" s="99">
        <f>G18+'11'!H18</f>
        <v>2890</v>
      </c>
      <c r="I18" s="113">
        <f>'1'!I18</f>
        <v>65</v>
      </c>
      <c r="J18" s="175">
        <f>H18/DAY(B2)</f>
        <v>240.83333333333334</v>
      </c>
      <c r="K18" s="79"/>
      <c r="L18" s="66"/>
      <c r="N18" s="87"/>
      <c r="O18" s="71"/>
    </row>
    <row r="19" spans="1:15" ht="32.25" customHeight="1">
      <c r="A19" s="1281" t="s">
        <v>69</v>
      </c>
      <c r="B19" s="1282"/>
      <c r="C19" s="1283"/>
      <c r="D19" s="151" t="s">
        <v>142</v>
      </c>
      <c r="E19" s="95">
        <f>'11'!F19</f>
        <v>166020</v>
      </c>
      <c r="F19" s="122">
        <v>166067</v>
      </c>
      <c r="G19" s="112">
        <f t="shared" ref="G19" si="1">F19-E19</f>
        <v>47</v>
      </c>
      <c r="H19" s="99">
        <f>G19+'11'!H19</f>
        <v>624</v>
      </c>
      <c r="I19" s="335"/>
      <c r="J19" s="175">
        <f>H19/DAY(B2)</f>
        <v>52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307</v>
      </c>
      <c r="H20" s="99">
        <f>G20+'11'!H20</f>
        <v>3514</v>
      </c>
      <c r="I20" s="336">
        <f>I18-J20</f>
        <v>-227.83333333333331</v>
      </c>
      <c r="J20" s="175">
        <f>H20/DAY(B2)</f>
        <v>292.83333333333331</v>
      </c>
      <c r="K20" s="79"/>
      <c r="L20" s="66"/>
      <c r="N20" s="87"/>
      <c r="O20" s="71"/>
    </row>
    <row r="21" spans="1:15" ht="32.25" customHeight="1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24898.200000000012</v>
      </c>
      <c r="F27" s="136">
        <v>10</v>
      </c>
      <c r="G27" s="137">
        <f>E27*F27</f>
        <v>248982.00000000012</v>
      </c>
      <c r="H27" s="99">
        <f>G27+'11'!H27</f>
        <v>3032170.7</v>
      </c>
      <c r="I27" s="138"/>
      <c r="J27" s="175">
        <f>H27/DAY(B2)</f>
        <v>252680.89166666669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1030.0099999997765</v>
      </c>
      <c r="F28" s="136">
        <v>75</v>
      </c>
      <c r="G28" s="137">
        <f>E28*F28</f>
        <v>77250.749999983236</v>
      </c>
      <c r="H28" s="99">
        <f>G28+'11'!H28</f>
        <v>911297.24999999162</v>
      </c>
      <c r="I28" s="140"/>
      <c r="J28" s="175">
        <f>H28/DAY(B2)</f>
        <v>75941.437499999302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G30+'11'!H30</f>
        <v>94224</v>
      </c>
      <c r="I30" s="140"/>
      <c r="J30" s="175">
        <f>H30/DAY(B2)</f>
        <v>7852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85</v>
      </c>
      <c r="G31" s="137">
        <f>E31*F31</f>
        <v>22100</v>
      </c>
      <c r="H31" s="99">
        <f>G31+'11'!H31</f>
        <v>242500</v>
      </c>
      <c r="I31" s="140"/>
      <c r="J31" s="175">
        <f>H31/DAY(B2)</f>
        <v>20208.333333333332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355429.74999998335</v>
      </c>
      <c r="H32" s="99">
        <f>G32+'11'!H32</f>
        <v>4280191.9499999918</v>
      </c>
      <c r="I32" s="144"/>
      <c r="J32" s="175">
        <f>H32/DAY(B2)</f>
        <v>356682.66249999934</v>
      </c>
      <c r="K32" s="63"/>
      <c r="L32" s="89"/>
      <c r="N32" s="87"/>
      <c r="O32" s="71"/>
    </row>
    <row r="33" spans="1:15" ht="32.25" customHeight="1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243615.95</v>
      </c>
      <c r="F35" s="145">
        <v>245454.55</v>
      </c>
      <c r="G35" s="112">
        <f t="shared" ref="G35:G46" si="3">F35-E35</f>
        <v>1838.5999999999767</v>
      </c>
      <c r="H35" s="99">
        <f>G35+'11'!H35</f>
        <v>6741.5</v>
      </c>
      <c r="I35" s="95"/>
      <c r="J35" s="175">
        <f>H35/DAY(B2)</f>
        <v>561.79166666666663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278175.90999999997</v>
      </c>
      <c r="F36" s="145">
        <v>279195.55</v>
      </c>
      <c r="G36" s="112">
        <f t="shared" si="3"/>
        <v>1019.640000000014</v>
      </c>
      <c r="H36" s="99">
        <f>G36+'11'!H36</f>
        <v>9712.5499999999884</v>
      </c>
      <c r="I36" s="95"/>
      <c r="J36" s="175">
        <f>H36/DAY(B2)</f>
        <v>809.3791666666657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322998.69</v>
      </c>
      <c r="F37" s="401">
        <v>322998.69</v>
      </c>
      <c r="G37" s="112">
        <f t="shared" si="3"/>
        <v>0</v>
      </c>
      <c r="H37" s="99">
        <f>G37+'11'!H37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618212.67000000004</v>
      </c>
      <c r="F38" s="108">
        <v>620436.06999999995</v>
      </c>
      <c r="G38" s="112">
        <f t="shared" si="3"/>
        <v>2223.3999999999069</v>
      </c>
      <c r="H38" s="99">
        <f>G38+'11'!H38</f>
        <v>26719.069999999949</v>
      </c>
      <c r="I38" s="95"/>
      <c r="J38" s="175">
        <f>H38/DAY(B2)</f>
        <v>2226.5891666666625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591584.18999999994</v>
      </c>
      <c r="F39" s="145">
        <v>591584.18999999994</v>
      </c>
      <c r="G39" s="112">
        <f t="shared" si="3"/>
        <v>0</v>
      </c>
      <c r="H39" s="99">
        <f>G39+'11'!H39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166049.12</v>
      </c>
      <c r="F40" s="145">
        <v>166772.14000000001</v>
      </c>
      <c r="G40" s="112">
        <f t="shared" si="3"/>
        <v>723.02000000001863</v>
      </c>
      <c r="H40" s="99">
        <f>G40+'11'!H40</f>
        <v>8792.140000000014</v>
      </c>
      <c r="I40" s="95"/>
      <c r="J40" s="175">
        <f>H40/DAY(B2)</f>
        <v>732.67833333333454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381351.55</v>
      </c>
      <c r="F41" s="145">
        <v>381351.55</v>
      </c>
      <c r="G41" s="112">
        <f t="shared" si="3"/>
        <v>0</v>
      </c>
      <c r="H41" s="99">
        <f>G41+'11'!H41</f>
        <v>1000</v>
      </c>
      <c r="I41" s="95"/>
      <c r="J41" s="175">
        <f>H41/DAY(B2)</f>
        <v>83.333333333333329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854975.91</v>
      </c>
      <c r="F42" s="145">
        <v>854975.91</v>
      </c>
      <c r="G42" s="112">
        <f t="shared" si="3"/>
        <v>0</v>
      </c>
      <c r="H42" s="99">
        <f>G42+'11'!H42</f>
        <v>29888.910000000033</v>
      </c>
      <c r="I42" s="95"/>
      <c r="J42" s="175">
        <f>H42/DAY(B2)</f>
        <v>2490.7425000000026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95">
        <f>'11'!F43</f>
        <v>407028</v>
      </c>
      <c r="F43" s="401">
        <v>407028</v>
      </c>
      <c r="G43" s="112">
        <f t="shared" si="3"/>
        <v>0</v>
      </c>
      <c r="H43" s="99">
        <f>G43+'11'!H43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5804.6599999999162</v>
      </c>
      <c r="H47" s="99">
        <f>G47+'11'!H47</f>
        <v>82854.169999999984</v>
      </c>
      <c r="I47" s="95"/>
      <c r="J47" s="175">
        <f>H47/DAY(B2)</f>
        <v>6904.514166666665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755765.11</v>
      </c>
      <c r="F49" s="145">
        <v>757395.43</v>
      </c>
      <c r="G49" s="112">
        <f t="shared" ref="G49:G58" si="4">F49-E49</f>
        <v>1630.3200000000652</v>
      </c>
      <c r="H49" s="99">
        <f>G49+'11'!H49</f>
        <v>37108.430000000051</v>
      </c>
      <c r="I49" s="95"/>
      <c r="J49" s="175">
        <f>H49/DAY(B2)</f>
        <v>3092.3691666666709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95">
        <f>'11'!F50</f>
        <v>382592.27</v>
      </c>
      <c r="F50" s="145">
        <v>384100.15</v>
      </c>
      <c r="G50" s="112">
        <f t="shared" si="4"/>
        <v>1507.8800000000047</v>
      </c>
      <c r="H50" s="99">
        <f>G50+'11'!H50</f>
        <v>18329.150000000023</v>
      </c>
      <c r="I50" s="95"/>
      <c r="J50" s="175">
        <f>H50/DAY(B2)</f>
        <v>1527.4291666666686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82981.240000000005</v>
      </c>
      <c r="F51" s="145">
        <v>83988.84</v>
      </c>
      <c r="G51" s="112">
        <f t="shared" si="4"/>
        <v>1007.5999999999913</v>
      </c>
      <c r="H51" s="99">
        <f>G51+'11'!H51</f>
        <v>12261.839999999997</v>
      </c>
      <c r="I51" s="95"/>
      <c r="J51" s="175">
        <f>H51/DAY(B2)</f>
        <v>1021.8199999999997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9.76</v>
      </c>
      <c r="F52" s="145">
        <v>9.76</v>
      </c>
      <c r="G52" s="112">
        <f t="shared" si="4"/>
        <v>0</v>
      </c>
      <c r="H52" s="99">
        <f>G52+'11'!H52</f>
        <v>-0.24000000000000021</v>
      </c>
      <c r="I52" s="95"/>
      <c r="J52" s="175">
        <f>H52/DAY(B2)</f>
        <v>-2.0000000000000018E-2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340107.67</v>
      </c>
      <c r="F53" s="145">
        <v>344443.83</v>
      </c>
      <c r="G53" s="112">
        <f t="shared" si="4"/>
        <v>4336.1600000000326</v>
      </c>
      <c r="H53" s="99">
        <f>G53+'11'!H53</f>
        <v>50342.830000000016</v>
      </c>
      <c r="I53" s="95"/>
      <c r="J53" s="175">
        <f>H53/DAY(B2)</f>
        <v>4195.235833333335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103254.92</v>
      </c>
      <c r="F54" s="145">
        <v>103256.79</v>
      </c>
      <c r="G54" s="112">
        <f t="shared" si="4"/>
        <v>1.8699999999953434</v>
      </c>
      <c r="H54" s="99">
        <f>G54+'11'!H54</f>
        <v>1869.7899999999936</v>
      </c>
      <c r="I54" s="95"/>
      <c r="J54" s="175">
        <f>H54/DAY(B2)</f>
        <v>155.81583333333279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524506.55000000005</v>
      </c>
      <c r="F55" s="145">
        <v>527945.63</v>
      </c>
      <c r="G55" s="112">
        <f t="shared" si="4"/>
        <v>3439.0799999999581</v>
      </c>
      <c r="H55" s="99">
        <f>G55+'11'!H55</f>
        <v>33462.630000000005</v>
      </c>
      <c r="I55" s="95"/>
      <c r="J55" s="175">
        <f>H55/DAY(B2)</f>
        <v>2788.5525000000002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157815.78</v>
      </c>
      <c r="F56" s="145">
        <v>159252.41</v>
      </c>
      <c r="G56" s="112">
        <f t="shared" si="4"/>
        <v>1436.6300000000047</v>
      </c>
      <c r="H56" s="99">
        <f>G56+'11'!H56</f>
        <v>9533.4100000000035</v>
      </c>
      <c r="I56" s="95"/>
      <c r="J56" s="175">
        <f>H56/DAY(B2)</f>
        <v>794.45083333333366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442005.47</v>
      </c>
      <c r="F57" s="145">
        <v>444788.91</v>
      </c>
      <c r="G57" s="112">
        <f t="shared" si="4"/>
        <v>2783.4400000000023</v>
      </c>
      <c r="H57" s="99">
        <f>G57+'11'!H57</f>
        <v>35710.909999999974</v>
      </c>
      <c r="I57" s="95"/>
      <c r="J57" s="175">
        <f>H57/DAY(B2)</f>
        <v>2975.9091666666645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66821.259999999995</v>
      </c>
      <c r="F58" s="145">
        <v>67064.77</v>
      </c>
      <c r="G58" s="112">
        <f t="shared" si="4"/>
        <v>243.51000000000931</v>
      </c>
      <c r="H58" s="99">
        <f>G58+'11'!H58</f>
        <v>2913.7700000000041</v>
      </c>
      <c r="I58" s="95"/>
      <c r="J58" s="175">
        <f>H58/DAY(B2)</f>
        <v>242.81416666666701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16386.490000000063</v>
      </c>
      <c r="H59" s="99">
        <f>G59+'11'!H59</f>
        <v>201532.52000000008</v>
      </c>
      <c r="I59" s="95">
        <f>G7-G60</f>
        <v>2350.8400000000402</v>
      </c>
      <c r="J59" s="175">
        <f>H59/DAY(B2)</f>
        <v>16794.376666666674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22191.14999999998</v>
      </c>
      <c r="H60" s="99">
        <f>G60+'11'!H60</f>
        <v>284386.69</v>
      </c>
      <c r="I60" s="95">
        <f>G13-G60</f>
        <v>1682.2499999999272</v>
      </c>
      <c r="J60" s="175">
        <f>H60/DAY(B2)</f>
        <v>23698.890833333335</v>
      </c>
      <c r="K60" s="79"/>
      <c r="L60" s="66"/>
      <c r="N60" s="87"/>
      <c r="O60" s="71"/>
    </row>
    <row r="61" spans="1:15" s="68" customFormat="1" ht="32.25" customHeight="1">
      <c r="A61" s="1278" t="s">
        <v>332</v>
      </c>
      <c r="B61" s="1279"/>
      <c r="C61" s="12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1281" t="s">
        <v>198</v>
      </c>
      <c r="B62" s="1282"/>
      <c r="C62" s="1283"/>
      <c r="D62" s="151" t="s">
        <v>142</v>
      </c>
      <c r="E62" s="95">
        <f>'11'!F62</f>
        <v>303060</v>
      </c>
      <c r="F62" s="122">
        <v>303167</v>
      </c>
      <c r="G62" s="112">
        <f t="shared" ref="G62:G63" si="5">F62-E62</f>
        <v>107</v>
      </c>
      <c r="H62" s="99">
        <f>G62+'11'!H62</f>
        <v>1102</v>
      </c>
      <c r="I62" s="118"/>
      <c r="J62" s="175">
        <f>H62/DAY(B2)</f>
        <v>91.833333333333329</v>
      </c>
      <c r="K62" s="80"/>
      <c r="L62" s="66"/>
      <c r="N62" s="87"/>
      <c r="O62" s="71"/>
    </row>
    <row r="63" spans="1:15" ht="32.25" customHeight="1">
      <c r="A63" s="1281" t="s">
        <v>199</v>
      </c>
      <c r="B63" s="1282"/>
      <c r="C63" s="1283"/>
      <c r="D63" s="151" t="s">
        <v>142</v>
      </c>
      <c r="E63" s="95">
        <f>'11'!F63</f>
        <v>245139</v>
      </c>
      <c r="F63" s="122">
        <v>245139</v>
      </c>
      <c r="G63" s="112">
        <f t="shared" si="5"/>
        <v>0</v>
      </c>
      <c r="H63" s="99">
        <f>G63+'11'!H63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32.25" customHeight="1">
      <c r="A64" s="1284" t="s">
        <v>200</v>
      </c>
      <c r="B64" s="1285"/>
      <c r="C64" s="1286"/>
      <c r="D64" s="151"/>
      <c r="E64" s="95">
        <f>'11'!F64</f>
        <v>0</v>
      </c>
      <c r="F64" s="122"/>
      <c r="G64" s="112">
        <f>G62+G63</f>
        <v>107</v>
      </c>
      <c r="H64" s="99">
        <f>G64+'11'!H64</f>
        <v>1102</v>
      </c>
      <c r="I64" s="118"/>
      <c r="J64" s="175">
        <f>H64/DAY(B2)</f>
        <v>91.833333333333329</v>
      </c>
      <c r="K64" s="69"/>
      <c r="L64" s="66"/>
      <c r="N64" s="87"/>
      <c r="O64" s="71"/>
    </row>
    <row r="65" spans="1:16" ht="32.25" customHeight="1">
      <c r="A65" s="1281" t="s">
        <v>201</v>
      </c>
      <c r="B65" s="1282"/>
      <c r="C65" s="1283"/>
      <c r="D65" s="151" t="s">
        <v>142</v>
      </c>
      <c r="E65" s="95">
        <f>'11'!F65</f>
        <v>461926</v>
      </c>
      <c r="F65" s="122">
        <v>462049</v>
      </c>
      <c r="G65" s="112">
        <f t="shared" ref="G65:G70" si="6">F65-E65</f>
        <v>123</v>
      </c>
      <c r="H65" s="99">
        <f>G65+'11'!H65</f>
        <v>1225</v>
      </c>
      <c r="I65" s="118"/>
      <c r="J65" s="175">
        <f>H65/DAY(B2)</f>
        <v>102.08333333333333</v>
      </c>
      <c r="K65" s="69"/>
      <c r="L65" s="66"/>
      <c r="N65" s="87"/>
      <c r="O65" s="71"/>
    </row>
    <row r="66" spans="1:16" ht="32.25" customHeight="1">
      <c r="A66" s="345" t="s">
        <v>202</v>
      </c>
      <c r="B66" s="346"/>
      <c r="C66" s="346"/>
      <c r="D66" s="151" t="s">
        <v>142</v>
      </c>
      <c r="E66" s="95">
        <f>'11'!F66</f>
        <v>112732</v>
      </c>
      <c r="F66" s="122">
        <v>112741</v>
      </c>
      <c r="G66" s="112">
        <f t="shared" si="6"/>
        <v>9</v>
      </c>
      <c r="H66" s="99">
        <f>G66+'11'!H66</f>
        <v>136</v>
      </c>
      <c r="I66" s="118"/>
      <c r="J66" s="175">
        <f>H66/DAY(B2)</f>
        <v>11.333333333333334</v>
      </c>
      <c r="K66" s="78"/>
      <c r="L66" s="66"/>
      <c r="N66" s="87"/>
      <c r="O66" s="71"/>
    </row>
    <row r="67" spans="1:16" ht="32.25" customHeight="1">
      <c r="A67" s="345" t="s">
        <v>203</v>
      </c>
      <c r="B67" s="346"/>
      <c r="C67" s="346"/>
      <c r="D67" s="151" t="s">
        <v>142</v>
      </c>
      <c r="E67" s="95">
        <f>'11'!F67</f>
        <v>114954</v>
      </c>
      <c r="F67" s="122">
        <v>114968</v>
      </c>
      <c r="G67" s="112">
        <f t="shared" si="6"/>
        <v>14</v>
      </c>
      <c r="H67" s="99">
        <f>G67+'11'!H67</f>
        <v>260</v>
      </c>
      <c r="I67" s="118"/>
      <c r="J67" s="175">
        <f>H67/DAY(B2)</f>
        <v>21.666666666666668</v>
      </c>
      <c r="K67" s="81"/>
      <c r="L67" s="66"/>
      <c r="N67" s="87"/>
      <c r="O67" s="71"/>
    </row>
    <row r="68" spans="1:16" ht="32.25" customHeight="1">
      <c r="A68" s="345" t="s">
        <v>204</v>
      </c>
      <c r="B68" s="346"/>
      <c r="C68" s="346"/>
      <c r="D68" s="151" t="s">
        <v>142</v>
      </c>
      <c r="E68" s="95">
        <f>'11'!F68</f>
        <v>166912</v>
      </c>
      <c r="F68" s="122">
        <v>166955</v>
      </c>
      <c r="G68" s="112">
        <f t="shared" si="6"/>
        <v>43</v>
      </c>
      <c r="H68" s="99">
        <f>G68+'11'!H68</f>
        <v>374</v>
      </c>
      <c r="I68" s="118"/>
      <c r="J68" s="175">
        <f>H68/DAY(B2)</f>
        <v>31.166666666666668</v>
      </c>
      <c r="K68" s="69"/>
      <c r="L68" s="66"/>
      <c r="N68" s="87"/>
      <c r="O68" s="71"/>
    </row>
    <row r="69" spans="1:16" ht="32.25" customHeight="1">
      <c r="A69" s="345" t="s">
        <v>205</v>
      </c>
      <c r="B69" s="346"/>
      <c r="C69" s="346"/>
      <c r="D69" s="151" t="s">
        <v>142</v>
      </c>
      <c r="E69" s="95">
        <f>'11'!F69</f>
        <v>12601</v>
      </c>
      <c r="F69" s="122">
        <v>12607</v>
      </c>
      <c r="G69" s="112">
        <f t="shared" si="6"/>
        <v>6</v>
      </c>
      <c r="H69" s="99">
        <f>G69+'11'!H69</f>
        <v>43</v>
      </c>
      <c r="I69" s="118"/>
      <c r="J69" s="175">
        <f>H69/DAY(B2)</f>
        <v>3.5833333333333335</v>
      </c>
      <c r="K69" s="69"/>
      <c r="L69" s="66"/>
      <c r="N69" s="87"/>
      <c r="O69" s="71"/>
    </row>
    <row r="70" spans="1:16" ht="32.25" customHeight="1">
      <c r="A70" s="345" t="s">
        <v>206</v>
      </c>
      <c r="B70" s="346"/>
      <c r="C70" s="346"/>
      <c r="D70" s="151" t="s">
        <v>142</v>
      </c>
      <c r="E70" s="95">
        <f>'11'!F70</f>
        <v>10434</v>
      </c>
      <c r="F70" s="122">
        <v>10441</v>
      </c>
      <c r="G70" s="112">
        <f t="shared" si="6"/>
        <v>7</v>
      </c>
      <c r="H70" s="99">
        <f>G70+'11'!H70</f>
        <v>108</v>
      </c>
      <c r="I70" s="118"/>
      <c r="J70" s="175">
        <f>H70/DAY(B2)</f>
        <v>9</v>
      </c>
      <c r="K70" s="69"/>
      <c r="L70" s="66"/>
      <c r="N70" s="87"/>
      <c r="O70" s="71"/>
    </row>
    <row r="71" spans="1:16" ht="32.25" customHeight="1">
      <c r="A71" s="1284" t="s">
        <v>208</v>
      </c>
      <c r="B71" s="1285"/>
      <c r="C71" s="1286"/>
      <c r="D71" s="152"/>
      <c r="E71" s="152"/>
      <c r="F71" s="152"/>
      <c r="G71" s="153">
        <f>SUM(G65:G70)</f>
        <v>202</v>
      </c>
      <c r="H71" s="99">
        <f>G71+'11'!H71</f>
        <v>2146</v>
      </c>
      <c r="I71" s="154"/>
      <c r="J71" s="175">
        <f>H71/DAY(B2)</f>
        <v>178.83333333333334</v>
      </c>
      <c r="K71" s="69"/>
      <c r="L71" s="66"/>
      <c r="N71" s="87"/>
      <c r="O71" s="71"/>
    </row>
    <row r="72" spans="1:16" s="88" customFormat="1" ht="32.25" customHeight="1">
      <c r="A72" s="1287"/>
      <c r="B72" s="126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6" ht="32.25" customHeight="1">
      <c r="A73" s="1295" t="s">
        <v>333</v>
      </c>
      <c r="B73" s="1296"/>
      <c r="C73" s="129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6" ht="32.25" customHeight="1">
      <c r="A74" s="1281" t="s">
        <v>220</v>
      </c>
      <c r="B74" s="1282"/>
      <c r="C74" s="1283"/>
      <c r="D74" s="151" t="s">
        <v>139</v>
      </c>
      <c r="E74" s="95">
        <f>'11'!F74</f>
        <v>979083.81</v>
      </c>
      <c r="F74" s="353">
        <v>979376.03</v>
      </c>
      <c r="G74" s="112">
        <f t="shared" ref="G74:G78" si="7">F74-E74</f>
        <v>292.21999999997206</v>
      </c>
      <c r="H74" s="99">
        <f>G74+'11'!H74</f>
        <v>3565.0300000000279</v>
      </c>
      <c r="I74" s="154"/>
      <c r="J74" s="175">
        <f>H74/DAY(B2)</f>
        <v>297.08583333333564</v>
      </c>
      <c r="K74" s="69"/>
      <c r="L74" s="66"/>
      <c r="N74" s="87"/>
      <c r="O74" s="71"/>
      <c r="P74" s="87"/>
    </row>
    <row r="75" spans="1:16" ht="32.25" customHeight="1">
      <c r="A75" s="1281" t="s">
        <v>221</v>
      </c>
      <c r="B75" s="1282"/>
      <c r="C75" s="1283"/>
      <c r="D75" s="151" t="s">
        <v>139</v>
      </c>
      <c r="E75" s="95">
        <f>'11'!F75</f>
        <v>73586</v>
      </c>
      <c r="F75" s="353">
        <v>73586</v>
      </c>
      <c r="G75" s="112">
        <f t="shared" si="7"/>
        <v>0</v>
      </c>
      <c r="H75" s="99">
        <f>G75+'11'!H75</f>
        <v>0</v>
      </c>
      <c r="I75" s="154"/>
      <c r="J75" s="175">
        <f>H75/DAY(B2)</f>
        <v>0</v>
      </c>
      <c r="K75" s="69"/>
      <c r="L75" s="66"/>
      <c r="N75" s="87"/>
      <c r="O75" s="71"/>
      <c r="P75" s="87"/>
    </row>
    <row r="76" spans="1:16" ht="32.25" customHeight="1">
      <c r="A76" s="1288" t="s">
        <v>222</v>
      </c>
      <c r="B76" s="1289"/>
      <c r="C76" s="1290"/>
      <c r="D76" s="151" t="s">
        <v>139</v>
      </c>
      <c r="E76" s="95">
        <f>'11'!F76</f>
        <v>197921.17</v>
      </c>
      <c r="F76" s="353">
        <v>198050.01</v>
      </c>
      <c r="G76" s="112">
        <f t="shared" si="7"/>
        <v>128.83999999999651</v>
      </c>
      <c r="H76" s="99">
        <f>G76+'11'!H76</f>
        <v>1314.0100000000093</v>
      </c>
      <c r="I76" s="154"/>
      <c r="J76" s="175">
        <f>H76/DAY(B2)</f>
        <v>109.50083333333411</v>
      </c>
      <c r="K76" s="69"/>
      <c r="L76" s="66"/>
      <c r="N76" s="87"/>
      <c r="O76" s="71"/>
      <c r="P76" s="87"/>
    </row>
    <row r="77" spans="1:16" ht="32.25" customHeight="1">
      <c r="A77" s="1288" t="s">
        <v>223</v>
      </c>
      <c r="B77" s="1289"/>
      <c r="C77" s="1290"/>
      <c r="D77" s="151" t="s">
        <v>139</v>
      </c>
      <c r="E77" s="95">
        <f>'11'!F77</f>
        <v>53881</v>
      </c>
      <c r="F77" s="353">
        <v>53937.5</v>
      </c>
      <c r="G77" s="112">
        <f t="shared" si="7"/>
        <v>56.5</v>
      </c>
      <c r="H77" s="99">
        <f>G77+'11'!H77</f>
        <v>585.5</v>
      </c>
      <c r="I77" s="154"/>
      <c r="J77" s="175">
        <f>H77/DAY(B2)</f>
        <v>48.791666666666664</v>
      </c>
      <c r="K77" s="69"/>
      <c r="L77" s="66"/>
      <c r="N77" s="87"/>
      <c r="O77" s="71"/>
      <c r="P77" s="87"/>
    </row>
    <row r="78" spans="1:16" ht="32.25" customHeight="1">
      <c r="A78" s="1288" t="s">
        <v>224</v>
      </c>
      <c r="B78" s="1289"/>
      <c r="C78" s="1290"/>
      <c r="D78" s="151" t="s">
        <v>139</v>
      </c>
      <c r="E78" s="95">
        <f>'11'!F78</f>
        <v>9563.4</v>
      </c>
      <c r="F78" s="353">
        <v>9563</v>
      </c>
      <c r="G78" s="112">
        <f t="shared" si="7"/>
        <v>-0.3999999999996362</v>
      </c>
      <c r="H78" s="99">
        <f>G78+'11'!H78</f>
        <v>-0.3999999999996362</v>
      </c>
      <c r="I78" s="118"/>
      <c r="J78" s="175">
        <f>H78/DAY(B2)</f>
        <v>-3.3333333333303017E-2</v>
      </c>
      <c r="K78" s="69"/>
      <c r="L78" s="66"/>
      <c r="N78" s="87"/>
      <c r="O78" s="71"/>
      <c r="P78" s="87"/>
    </row>
    <row r="79" spans="1:16" s="57" customFormat="1" ht="32.25" customHeight="1">
      <c r="A79" s="1288" t="s">
        <v>225</v>
      </c>
      <c r="B79" s="1289"/>
      <c r="C79" s="1290"/>
      <c r="D79" s="151"/>
      <c r="E79" s="95">
        <f>'11'!F79</f>
        <v>0</v>
      </c>
      <c r="F79" s="117"/>
      <c r="G79" s="112">
        <f>G15-SUM(G74:G78)</f>
        <v>552.84999999980755</v>
      </c>
      <c r="H79" s="99">
        <f>G79+'11'!H79</f>
        <v>6686.4899999998506</v>
      </c>
      <c r="I79" s="118"/>
      <c r="J79" s="175">
        <f>H79/DAY(B2)</f>
        <v>557.20749999998759</v>
      </c>
      <c r="K79" s="59"/>
      <c r="L79" s="58"/>
      <c r="N79" s="87"/>
      <c r="O79" s="71"/>
    </row>
    <row r="80" spans="1:16" s="57" customFormat="1" ht="32.25" customHeight="1">
      <c r="A80" s="1284" t="s">
        <v>329</v>
      </c>
      <c r="B80" s="1285"/>
      <c r="C80" s="1286"/>
      <c r="D80" s="151"/>
      <c r="E80" s="117"/>
      <c r="F80" s="117"/>
      <c r="G80" s="112">
        <f>SUM(G74:G79)</f>
        <v>1030.0099999997765</v>
      </c>
      <c r="H80" s="99">
        <f>G80+'11'!H80</f>
        <v>1030.0099999997765</v>
      </c>
      <c r="I80" s="118"/>
      <c r="J80" s="175">
        <f>H80/DAY(B2)</f>
        <v>85.834166666648045</v>
      </c>
      <c r="K80" s="59"/>
      <c r="L80" s="58"/>
      <c r="N80" s="87"/>
      <c r="O80" s="71"/>
    </row>
    <row r="81" spans="1:15" ht="32.25" customHeight="1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538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538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43366.18</v>
      </c>
      <c r="F84" s="622">
        <v>43366.18</v>
      </c>
      <c r="G84" s="112">
        <f t="shared" si="8"/>
        <v>0</v>
      </c>
      <c r="H84" s="99">
        <f>G84+'11'!H84</f>
        <v>-0.62000000000261934</v>
      </c>
      <c r="I84" s="538"/>
      <c r="J84" s="175">
        <f>H84/DAY(B2)</f>
        <v>-5.1666666666884943E-2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5610.06</v>
      </c>
      <c r="F85" s="164">
        <v>5610.06</v>
      </c>
      <c r="G85" s="112">
        <f t="shared" si="8"/>
        <v>0</v>
      </c>
      <c r="H85" s="99">
        <f>G85+'11'!H85</f>
        <v>134.0600000000004</v>
      </c>
      <c r="I85" s="538"/>
      <c r="J85" s="175">
        <f>H85/DAY(B2)</f>
        <v>11.171666666666701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46478.58</v>
      </c>
      <c r="F86" s="164">
        <v>46503.02</v>
      </c>
      <c r="G86" s="112">
        <f t="shared" si="8"/>
        <v>24.439999999995052</v>
      </c>
      <c r="H86" s="99">
        <f>G86+'11'!H86</f>
        <v>231.59999999999854</v>
      </c>
      <c r="I86" s="538"/>
      <c r="J86" s="175">
        <f>H86/DAY(B2)</f>
        <v>19.29999999999988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35707.019999999997</v>
      </c>
      <c r="F87" s="164">
        <v>35718.31</v>
      </c>
      <c r="G87" s="112">
        <f t="shared" si="8"/>
        <v>11.290000000000873</v>
      </c>
      <c r="H87" s="99">
        <f>G87+'11'!H87</f>
        <v>62.309999999997672</v>
      </c>
      <c r="I87" s="538">
        <f>G84+G85+G86+G87</f>
        <v>35.729999999995925</v>
      </c>
      <c r="J87" s="175">
        <f>H87/DAY(B2)</f>
        <v>5.1924999999998063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24442.51</v>
      </c>
      <c r="F88" s="164">
        <v>24442.51</v>
      </c>
      <c r="G88" s="112">
        <f t="shared" si="8"/>
        <v>0</v>
      </c>
      <c r="H88" s="99">
        <f>G88+'11'!H88</f>
        <v>18.549999999999272</v>
      </c>
      <c r="I88" s="538"/>
      <c r="J88" s="175">
        <f>H88/DAY(B2)</f>
        <v>1.5458333333332728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28070.240000000002</v>
      </c>
      <c r="F89" s="164">
        <v>28079.360000000001</v>
      </c>
      <c r="G89" s="112">
        <f t="shared" si="8"/>
        <v>9.1199999999989814</v>
      </c>
      <c r="H89" s="99">
        <f>G89+'11'!H89</f>
        <v>91.360000000000582</v>
      </c>
      <c r="I89" s="538">
        <f>G88+G89</f>
        <v>9.1199999999989814</v>
      </c>
      <c r="J89" s="175">
        <f>H89/DAY(B2)</f>
        <v>7.6133333333333821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73360.929999999993</v>
      </c>
      <c r="F90" s="164">
        <v>73371.05</v>
      </c>
      <c r="G90" s="112">
        <f t="shared" si="8"/>
        <v>10.120000000009895</v>
      </c>
      <c r="H90" s="99">
        <f>G90+'11'!H90</f>
        <v>127.30999999999767</v>
      </c>
      <c r="I90" s="538">
        <f>G90</f>
        <v>10.120000000009895</v>
      </c>
      <c r="J90" s="175">
        <f>H90/DAY(B2)</f>
        <v>10.609166666666473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4804.6000000000004</v>
      </c>
      <c r="F91" s="122">
        <v>4815.84</v>
      </c>
      <c r="G91" s="112">
        <f t="shared" si="8"/>
        <v>11.239999999999782</v>
      </c>
      <c r="H91" s="99">
        <f>G91+'11'!H91</f>
        <v>137.40999999999985</v>
      </c>
      <c r="I91" s="557"/>
      <c r="J91" s="175">
        <f>H91/DAY(B2)</f>
        <v>11.450833333333321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7000.23</v>
      </c>
      <c r="F92" s="122">
        <v>7000.23</v>
      </c>
      <c r="G92" s="112">
        <f t="shared" si="8"/>
        <v>0</v>
      </c>
      <c r="H92" s="99">
        <f>G92+'11'!H92</f>
        <v>0.22999999999956344</v>
      </c>
      <c r="I92" s="561">
        <f>G91+G92</f>
        <v>11.239999999999782</v>
      </c>
      <c r="J92" s="175">
        <f>H92/DAY(B2)</f>
        <v>1.9166666666630288E-2</v>
      </c>
      <c r="O92" s="71"/>
    </row>
    <row r="93" spans="1:15" ht="32.25" customHeight="1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6252.3600000000442</v>
      </c>
      <c r="H94" s="99">
        <f>G94+'11'!H94</f>
        <v>79560.840000000026</v>
      </c>
      <c r="I94" s="118"/>
      <c r="J94" s="175">
        <f>H94/DAY(B2)</f>
        <v>6630.0700000000024</v>
      </c>
      <c r="K94" s="69"/>
      <c r="L94" s="66"/>
      <c r="O94" s="71"/>
    </row>
    <row r="95" spans="1:15" ht="32.25" customHeight="1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0.25476173692516535</v>
      </c>
      <c r="H95" s="99">
        <f>G95+'11'!H95</f>
        <v>3.1933664268037196</v>
      </c>
      <c r="I95" s="167"/>
      <c r="J95" s="175">
        <f>H95/DAY(B2)</f>
        <v>0.26611386890030997</v>
      </c>
      <c r="K95" s="69"/>
      <c r="L95" s="66"/>
      <c r="O95" s="71"/>
    </row>
    <row r="96" spans="1:15" ht="32.25" customHeight="1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4875.7099999999627</v>
      </c>
      <c r="H96" s="99">
        <f>G96+'11'!H96</f>
        <v>73884.950000000041</v>
      </c>
      <c r="I96" s="118"/>
      <c r="J96" s="175">
        <f>H96/DAY(B2)</f>
        <v>6157.0791666666701</v>
      </c>
      <c r="K96" s="69"/>
      <c r="L96" s="66"/>
      <c r="O96" s="71"/>
    </row>
    <row r="97" spans="1:15" ht="32.25" customHeight="1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0.19866807866843555</v>
      </c>
      <c r="H97" s="99">
        <f>G97+'11'!H97</f>
        <v>2.9662725413143236</v>
      </c>
      <c r="I97" s="167"/>
      <c r="J97" s="175">
        <f>H97/DAY(B2)</f>
        <v>0.24718937844286029</v>
      </c>
      <c r="K97" s="69"/>
      <c r="L97" s="66"/>
      <c r="O97" s="71"/>
    </row>
    <row r="98" spans="1:15" ht="32.25" customHeight="1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4336.1600000000326</v>
      </c>
      <c r="H98" s="99">
        <f>G98+'11'!H98</f>
        <v>50342.830000000016</v>
      </c>
      <c r="I98" s="168"/>
      <c r="J98" s="175">
        <f>H98/DAY(B2)</f>
        <v>4195.235833333335</v>
      </c>
      <c r="K98" s="69"/>
      <c r="L98" s="66"/>
      <c r="O98" s="71"/>
    </row>
    <row r="99" spans="1:15" ht="32.25" customHeight="1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0.17668330889223038</v>
      </c>
      <c r="H99" s="99">
        <f>G99+'11'!H99</f>
        <v>2.0208957387608217</v>
      </c>
      <c r="I99" s="168"/>
      <c r="J99" s="175">
        <f>H99/DAY(B2)</f>
        <v>0.16840797823006848</v>
      </c>
      <c r="O99" s="71"/>
    </row>
    <row r="100" spans="1:15" ht="32.25" customHeight="1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2223.3999999999069</v>
      </c>
      <c r="H100" s="99">
        <f>G100+'11'!H100</f>
        <v>26718.829999999951</v>
      </c>
      <c r="I100" s="118"/>
      <c r="J100" s="175">
        <f>H100/DAY(B2)</f>
        <v>2226.5691666666626</v>
      </c>
      <c r="K100" s="70"/>
      <c r="O100" s="71"/>
    </row>
    <row r="101" spans="1:15" ht="32.25" customHeight="1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9.0595750385356083E-2</v>
      </c>
      <c r="H101" s="99">
        <f>G101+'11'!H101</f>
        <v>1.0726239395342818</v>
      </c>
      <c r="I101" s="168"/>
      <c r="J101" s="175">
        <f>H101/DAY(B2)</f>
        <v>8.9385328294523489E-2</v>
      </c>
      <c r="O101" s="71"/>
    </row>
    <row r="102" spans="1:15" ht="32.25" customHeight="1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2527.5200000000186</v>
      </c>
      <c r="H102" s="99">
        <f>G102+'11'!H102</f>
        <v>28041.700000000012</v>
      </c>
      <c r="I102" s="168"/>
      <c r="J102" s="175">
        <f>H102/DAY(B2)</f>
        <v>2336.8083333333343</v>
      </c>
      <c r="O102" s="71"/>
    </row>
    <row r="103" spans="1:15" ht="32.25" customHeight="1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0.10298757354232549</v>
      </c>
      <c r="H103" s="99">
        <f>G103+'11'!H103</f>
        <v>1.1243990009099087</v>
      </c>
      <c r="I103" s="118"/>
      <c r="J103" s="175">
        <f>H103/DAY(B2)</f>
        <v>9.3699916742492395E-2</v>
      </c>
      <c r="O103" s="71"/>
    </row>
    <row r="104" spans="1:15" ht="32.25" customHeight="1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1007.5999999999913</v>
      </c>
      <c r="H104" s="99">
        <f>G104+'11'!H104</f>
        <v>12261.839999999997</v>
      </c>
      <c r="I104" s="118"/>
      <c r="J104" s="175">
        <f>H104/DAY(B2)</f>
        <v>1021.8199999999997</v>
      </c>
      <c r="O104" s="71"/>
    </row>
    <row r="105" spans="1:15" ht="32.25" customHeight="1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4.1056165372082315E-2</v>
      </c>
      <c r="H105" s="99">
        <f>G105+'11'!H105</f>
        <v>0.49214097850074001</v>
      </c>
      <c r="I105" s="187"/>
      <c r="J105" s="188">
        <f>H105/DAY(B2)</f>
        <v>4.1011748208395003E-2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32.25" customHeight="1">
      <c r="A109" s="1291"/>
      <c r="B109" s="1291"/>
    </row>
    <row r="110" spans="1:15" ht="32.25" customHeight="1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32.25" customHeight="1">
      <c r="A111" s="1270"/>
      <c r="B111" s="1271"/>
      <c r="C111" s="1272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1266" t="s">
        <v>252</v>
      </c>
      <c r="B112" s="1267"/>
      <c r="C112" s="1268"/>
      <c r="D112" s="146" t="s">
        <v>183</v>
      </c>
      <c r="E112" s="95">
        <f>'11'!F112</f>
        <v>12446.2</v>
      </c>
      <c r="F112" s="237">
        <v>12517.16</v>
      </c>
      <c r="G112" s="112">
        <f t="shared" ref="G112:G123" si="9">F112-E112</f>
        <v>70.959999999999127</v>
      </c>
      <c r="H112" s="99">
        <f>G112+'11'!H112</f>
        <v>854.15999999999985</v>
      </c>
      <c r="I112" s="165"/>
      <c r="J112" s="328">
        <f>H112/DAY(B2)</f>
        <v>71.179999999999993</v>
      </c>
    </row>
    <row r="113" spans="1:18" ht="32.25" customHeight="1">
      <c r="A113" s="1266" t="s">
        <v>253</v>
      </c>
      <c r="B113" s="1267"/>
      <c r="C113" s="1268"/>
      <c r="D113" s="146" t="s">
        <v>183</v>
      </c>
      <c r="E113" s="95">
        <f>'11'!F113</f>
        <v>25051.95</v>
      </c>
      <c r="F113" s="446">
        <v>25191.26</v>
      </c>
      <c r="G113" s="112">
        <f t="shared" si="9"/>
        <v>139.30999999999767</v>
      </c>
      <c r="H113" s="99">
        <f>G113+'11'!H113</f>
        <v>1670.2599999999984</v>
      </c>
      <c r="I113" s="165"/>
      <c r="J113" s="328">
        <f>H113/DAY(B2)</f>
        <v>139.18833333333319</v>
      </c>
    </row>
    <row r="114" spans="1:18" ht="32.25" customHeight="1">
      <c r="A114" s="1266" t="s">
        <v>254</v>
      </c>
      <c r="B114" s="1267"/>
      <c r="C114" s="1268"/>
      <c r="D114" s="146" t="s">
        <v>183</v>
      </c>
      <c r="E114" s="95">
        <f>'11'!F114</f>
        <v>37235.25</v>
      </c>
      <c r="F114" s="237">
        <v>37461.54</v>
      </c>
      <c r="G114" s="112">
        <f t="shared" si="9"/>
        <v>226.29000000000087</v>
      </c>
      <c r="H114" s="99">
        <f>G114+'11'!H114</f>
        <v>2686.5400000000009</v>
      </c>
      <c r="I114" s="165"/>
      <c r="J114" s="328">
        <f>H114/DAY(B2)</f>
        <v>223.87833333333342</v>
      </c>
    </row>
    <row r="115" spans="1:18" ht="32.25" customHeight="1">
      <c r="A115" s="1266" t="s">
        <v>255</v>
      </c>
      <c r="B115" s="1267"/>
      <c r="C115" s="1268"/>
      <c r="D115" s="146" t="s">
        <v>183</v>
      </c>
      <c r="E115" s="95">
        <f>'11'!F115</f>
        <v>23438.28</v>
      </c>
      <c r="F115" s="237">
        <v>23603.21</v>
      </c>
      <c r="G115" s="112">
        <f t="shared" si="9"/>
        <v>164.93000000000029</v>
      </c>
      <c r="H115" s="99">
        <f>G115+'11'!H115</f>
        <v>1550.2099999999991</v>
      </c>
      <c r="I115" s="165"/>
      <c r="J115" s="328">
        <f>H115/DAY(B2)</f>
        <v>129.18416666666658</v>
      </c>
    </row>
    <row r="116" spans="1:18" ht="32.25" customHeight="1">
      <c r="A116" s="1275" t="s">
        <v>96</v>
      </c>
      <c r="B116" s="1276"/>
      <c r="C116" s="1277"/>
      <c r="D116" s="146" t="s">
        <v>183</v>
      </c>
      <c r="E116" s="95">
        <f>'11'!F116</f>
        <v>101645.54</v>
      </c>
      <c r="F116" s="237">
        <v>102082.02</v>
      </c>
      <c r="G116" s="112">
        <f t="shared" si="9"/>
        <v>436.48000000001048</v>
      </c>
      <c r="H116" s="99">
        <f>G116+'11'!H116</f>
        <v>4947.0200000000041</v>
      </c>
      <c r="I116" s="165"/>
      <c r="J116" s="328">
        <f>H116/DAY(B2)</f>
        <v>412.25166666666701</v>
      </c>
      <c r="Q116" s="1266" t="s">
        <v>311</v>
      </c>
      <c r="R116" s="1268"/>
    </row>
    <row r="117" spans="1:18" ht="32.25" customHeight="1">
      <c r="A117" s="1275" t="s">
        <v>184</v>
      </c>
      <c r="B117" s="1276"/>
      <c r="C117" s="1277"/>
      <c r="D117" s="146" t="s">
        <v>183</v>
      </c>
      <c r="E117" s="95">
        <f>'11'!F117</f>
        <v>60126.91</v>
      </c>
      <c r="F117" s="237">
        <v>60484.01</v>
      </c>
      <c r="G117" s="112">
        <f t="shared" si="9"/>
        <v>357.09999999999854</v>
      </c>
      <c r="H117" s="99">
        <f>G117+'11'!H117</f>
        <v>3979.010000000002</v>
      </c>
      <c r="I117" s="165"/>
      <c r="J117" s="328">
        <f>H117/DAY(B2)</f>
        <v>331.58416666666682</v>
      </c>
      <c r="Q117" s="1266" t="s">
        <v>312</v>
      </c>
      <c r="R117" s="1268"/>
    </row>
    <row r="118" spans="1:18" ht="32.25" customHeight="1">
      <c r="A118" s="1269" t="s">
        <v>97</v>
      </c>
      <c r="B118" s="1269"/>
      <c r="C118" s="1269"/>
      <c r="D118" s="151" t="s">
        <v>183</v>
      </c>
      <c r="E118" s="95">
        <f>'11'!F118</f>
        <v>108242.38</v>
      </c>
      <c r="F118" s="237">
        <v>108866</v>
      </c>
      <c r="G118" s="112">
        <f t="shared" si="9"/>
        <v>623.61999999999534</v>
      </c>
      <c r="H118" s="99">
        <f>G118+'11'!H118</f>
        <v>7112</v>
      </c>
      <c r="I118" s="165"/>
      <c r="J118" s="328">
        <f>H118/DAY(B2)</f>
        <v>592.66666666666663</v>
      </c>
      <c r="Q118" s="1266" t="s">
        <v>311</v>
      </c>
      <c r="R118" s="1268"/>
    </row>
    <row r="119" spans="1:18" ht="32.25" customHeight="1">
      <c r="A119" s="1269" t="s">
        <v>98</v>
      </c>
      <c r="B119" s="1269"/>
      <c r="C119" s="1269"/>
      <c r="D119" s="151" t="s">
        <v>183</v>
      </c>
      <c r="E119" s="95">
        <f>'11'!F119</f>
        <v>42712.33</v>
      </c>
      <c r="F119" s="237">
        <v>42724.71</v>
      </c>
      <c r="G119" s="112">
        <f t="shared" si="9"/>
        <v>12.379999999997381</v>
      </c>
      <c r="H119" s="99">
        <f>G119+'11'!H119</f>
        <v>143.70999999999913</v>
      </c>
      <c r="I119" s="165"/>
      <c r="J119" s="328">
        <f>H119/DAY(B2)</f>
        <v>11.975833333333261</v>
      </c>
    </row>
    <row r="120" spans="1:18" ht="32.25" customHeight="1">
      <c r="A120" s="1269" t="s">
        <v>99</v>
      </c>
      <c r="B120" s="1269"/>
      <c r="C120" s="1269"/>
      <c r="D120" s="151" t="s">
        <v>183</v>
      </c>
      <c r="E120" s="95">
        <f>'11'!F120</f>
        <v>75741.070000000007</v>
      </c>
      <c r="F120" s="237">
        <v>76131.179999999993</v>
      </c>
      <c r="G120" s="112">
        <f t="shared" si="9"/>
        <v>390.10999999998603</v>
      </c>
      <c r="H120" s="99">
        <f>G120+'11'!H120</f>
        <v>4799.179999999993</v>
      </c>
      <c r="I120" s="165"/>
      <c r="J120" s="328">
        <f>H120/DAY(B2)</f>
        <v>399.9316666666661</v>
      </c>
    </row>
    <row r="121" spans="1:18" ht="32.25" customHeight="1">
      <c r="A121" s="1269" t="s">
        <v>100</v>
      </c>
      <c r="B121" s="1269"/>
      <c r="C121" s="1269"/>
      <c r="D121" s="151" t="s">
        <v>183</v>
      </c>
      <c r="E121" s="95">
        <f>'11'!F121</f>
        <v>86233.97</v>
      </c>
      <c r="F121" s="237">
        <v>86684.43</v>
      </c>
      <c r="G121" s="112">
        <f t="shared" si="9"/>
        <v>450.45999999999185</v>
      </c>
      <c r="H121" s="99">
        <f>G121+'11'!H121</f>
        <v>5328.429999999993</v>
      </c>
      <c r="I121" s="165"/>
      <c r="J121" s="328">
        <f>H121/DAY(B2)</f>
        <v>444.03583333333273</v>
      </c>
    </row>
    <row r="122" spans="1:18" ht="32.25" customHeight="1">
      <c r="A122" s="1269" t="s">
        <v>101</v>
      </c>
      <c r="B122" s="1269"/>
      <c r="C122" s="1269"/>
      <c r="D122" s="151" t="s">
        <v>183</v>
      </c>
      <c r="E122" s="95">
        <f>'11'!F122</f>
        <v>53262.64</v>
      </c>
      <c r="F122" s="237">
        <v>53651.11</v>
      </c>
      <c r="G122" s="112">
        <f t="shared" si="9"/>
        <v>388.47000000000116</v>
      </c>
      <c r="H122" s="99">
        <f>G122+'11'!H122</f>
        <v>4520.1100000000006</v>
      </c>
      <c r="I122" s="165"/>
      <c r="J122" s="328">
        <f>H122/DAY(B2)</f>
        <v>376.6758333333334</v>
      </c>
    </row>
    <row r="123" spans="1:18" ht="32.25" customHeight="1">
      <c r="A123" s="1269" t="s">
        <v>102</v>
      </c>
      <c r="B123" s="1269"/>
      <c r="C123" s="1269"/>
      <c r="D123" s="151" t="s">
        <v>183</v>
      </c>
      <c r="E123" s="95">
        <f>'11'!F123</f>
        <v>53105.64</v>
      </c>
      <c r="F123" s="237">
        <v>53408.32</v>
      </c>
      <c r="G123" s="112">
        <f t="shared" si="9"/>
        <v>302.68000000000029</v>
      </c>
      <c r="H123" s="99">
        <f>G123+'11'!H123</f>
        <v>3659.3199999999997</v>
      </c>
      <c r="I123" s="165"/>
      <c r="J123" s="328">
        <f>H123/DAY(B2)</f>
        <v>304.94333333333333</v>
      </c>
    </row>
    <row r="124" spans="1:18" ht="32.25" customHeight="1">
      <c r="A124" s="1270"/>
      <c r="B124" s="1271"/>
      <c r="C124" s="1272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1261" t="s">
        <v>196</v>
      </c>
      <c r="B125" s="1262"/>
      <c r="C125" s="245"/>
      <c r="D125" s="307"/>
      <c r="E125" s="308"/>
      <c r="F125" s="308"/>
      <c r="G125" s="309">
        <f>SUM(G112:G124)</f>
        <v>3562.789999999979</v>
      </c>
      <c r="H125" s="156"/>
      <c r="I125" s="327" t="s">
        <v>363</v>
      </c>
      <c r="J125" s="327"/>
    </row>
    <row r="126" spans="1:18" ht="32.25" customHeight="1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32.25" customHeight="1">
      <c r="A127" s="1274"/>
      <c r="B127" s="1274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1266" t="s">
        <v>318</v>
      </c>
      <c r="B128" s="1267"/>
      <c r="C128" s="1268"/>
      <c r="D128" s="151" t="s">
        <v>183</v>
      </c>
      <c r="E128" s="95">
        <f>'11'!F128</f>
        <v>159472.10999999999</v>
      </c>
      <c r="F128" s="165">
        <v>159825.48000000001</v>
      </c>
      <c r="G128" s="112">
        <f t="shared" ref="G128:G134" si="10">F128-E128</f>
        <v>353.37000000002445</v>
      </c>
      <c r="H128" s="99">
        <f>G128+'11'!H128</f>
        <v>5010.4800000000105</v>
      </c>
      <c r="I128" s="165"/>
      <c r="J128" s="328">
        <f>H128/DAY(B2)</f>
        <v>417.54000000000087</v>
      </c>
    </row>
    <row r="129" spans="1:17" ht="32.25" customHeight="1">
      <c r="A129" s="329" t="s">
        <v>319</v>
      </c>
      <c r="B129" s="330"/>
      <c r="C129" s="331"/>
      <c r="D129" s="151" t="s">
        <v>183</v>
      </c>
      <c r="E129" s="95">
        <f>'11'!F129</f>
        <v>85855.81</v>
      </c>
      <c r="F129" s="165">
        <v>86003.95</v>
      </c>
      <c r="G129" s="112">
        <f t="shared" si="10"/>
        <v>148.13999999999942</v>
      </c>
      <c r="H129" s="99">
        <f>G129+'11'!H129</f>
        <v>2067.9499999999971</v>
      </c>
      <c r="I129" s="165"/>
      <c r="J129" s="328">
        <f>H129/DAY(B2)</f>
        <v>172.32916666666642</v>
      </c>
      <c r="N129" s="240"/>
      <c r="O129" s="241"/>
    </row>
    <row r="130" spans="1:17" ht="32.25" customHeight="1">
      <c r="A130" s="329" t="s">
        <v>320</v>
      </c>
      <c r="B130" s="330"/>
      <c r="C130" s="331"/>
      <c r="D130" s="151" t="s">
        <v>183</v>
      </c>
      <c r="E130" s="95">
        <f>'11'!F130</f>
        <v>213815.97</v>
      </c>
      <c r="F130" s="165">
        <v>214363.63</v>
      </c>
      <c r="G130" s="112">
        <f t="shared" si="10"/>
        <v>547.66000000000349</v>
      </c>
      <c r="H130" s="99">
        <f>G130+'11'!H130</f>
        <v>7604.6300000000047</v>
      </c>
      <c r="I130" s="165"/>
      <c r="J130" s="328">
        <f>H130/DAY(B2)</f>
        <v>633.71916666666709</v>
      </c>
      <c r="N130" s="240"/>
      <c r="O130" s="241"/>
    </row>
    <row r="131" spans="1:17" ht="32.25" customHeight="1">
      <c r="A131" s="1266" t="s">
        <v>321</v>
      </c>
      <c r="B131" s="1267"/>
      <c r="C131" s="1268"/>
      <c r="D131" s="151" t="s">
        <v>183</v>
      </c>
      <c r="E131" s="95">
        <f>'11'!F131</f>
        <v>62460.57</v>
      </c>
      <c r="F131" s="165">
        <v>62639.23</v>
      </c>
      <c r="G131" s="112">
        <f t="shared" si="10"/>
        <v>178.66000000000349</v>
      </c>
      <c r="H131" s="99">
        <f>G131+'11'!H131</f>
        <v>2331.2300000000032</v>
      </c>
      <c r="I131" s="165"/>
      <c r="J131" s="328">
        <f>H131/DAY(B2)</f>
        <v>194.26916666666693</v>
      </c>
      <c r="N131" s="240"/>
      <c r="O131" s="241"/>
    </row>
    <row r="132" spans="1:17" ht="32.25" customHeight="1">
      <c r="A132" s="1266" t="s">
        <v>322</v>
      </c>
      <c r="B132" s="1267"/>
      <c r="C132" s="1268"/>
      <c r="D132" s="151" t="s">
        <v>183</v>
      </c>
      <c r="E132" s="95">
        <f>'11'!F132</f>
        <v>146985</v>
      </c>
      <c r="F132" s="165">
        <v>146985</v>
      </c>
      <c r="G132" s="112">
        <f t="shared" si="10"/>
        <v>0</v>
      </c>
      <c r="H132" s="99">
        <f>G132+'11'!H132</f>
        <v>0</v>
      </c>
      <c r="I132" s="165"/>
      <c r="J132" s="328">
        <f>H132/DAY(B2)</f>
        <v>0</v>
      </c>
    </row>
    <row r="133" spans="1:17" ht="32.25" customHeight="1">
      <c r="A133" s="1266" t="s">
        <v>357</v>
      </c>
      <c r="B133" s="1267"/>
      <c r="C133" s="1268"/>
      <c r="D133" s="151" t="s">
        <v>183</v>
      </c>
      <c r="E133" s="95">
        <f>'11'!F133</f>
        <v>275268.01</v>
      </c>
      <c r="F133" s="443">
        <v>276220.81</v>
      </c>
      <c r="G133" s="112">
        <f t="shared" si="10"/>
        <v>952.79999999998836</v>
      </c>
      <c r="H133" s="99">
        <f>G133+'11'!H133</f>
        <v>10275.809999999998</v>
      </c>
      <c r="I133" s="165"/>
      <c r="J133" s="328">
        <f>H133/DAY(B2)</f>
        <v>856.31749999999977</v>
      </c>
    </row>
    <row r="134" spans="1:17" ht="32.25" customHeight="1">
      <c r="A134" s="1266" t="s">
        <v>340</v>
      </c>
      <c r="B134" s="1267"/>
      <c r="C134" s="1268"/>
      <c r="D134" s="151" t="s">
        <v>183</v>
      </c>
      <c r="E134" s="95">
        <f>'11'!F134</f>
        <v>66450.94</v>
      </c>
      <c r="F134" s="165">
        <v>66703.47</v>
      </c>
      <c r="G134" s="112">
        <f t="shared" si="10"/>
        <v>252.52999999999884</v>
      </c>
      <c r="H134" s="99">
        <f>G134+'11'!H134</f>
        <v>3041.4700000000012</v>
      </c>
      <c r="I134" s="165"/>
      <c r="J134" s="328">
        <f>H134/DAY(B2)</f>
        <v>253.45583333333343</v>
      </c>
    </row>
    <row r="135" spans="1:17" ht="32.25" customHeight="1">
      <c r="A135" s="1261" t="s">
        <v>196</v>
      </c>
      <c r="B135" s="1262"/>
      <c r="C135" s="331"/>
      <c r="D135" s="151"/>
      <c r="E135" s="95"/>
      <c r="F135" s="165"/>
      <c r="G135" s="112">
        <f>SUM(G128:G134)</f>
        <v>2433.160000000018</v>
      </c>
      <c r="H135" s="99">
        <f>G135+'10'!H135</f>
        <v>27930.550000000039</v>
      </c>
      <c r="I135" s="327">
        <f>G135-(G35+G49)</f>
        <v>-1035.7600000000239</v>
      </c>
      <c r="J135" s="328">
        <f>H135/DAY(B2)</f>
        <v>2327.5458333333368</v>
      </c>
    </row>
    <row r="136" spans="1:17" ht="32.25" customHeight="1">
      <c r="A136" s="1260" t="s">
        <v>207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7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7" ht="32.25" customHeight="1">
      <c r="A138" s="1269" t="s">
        <v>185</v>
      </c>
      <c r="B138" s="1269"/>
      <c r="C138" s="1269"/>
      <c r="D138" s="151" t="s">
        <v>183</v>
      </c>
      <c r="E138" s="95">
        <f>'11'!F138</f>
        <v>899769</v>
      </c>
      <c r="F138" s="627">
        <v>899896</v>
      </c>
      <c r="G138" s="112">
        <f t="shared" ref="G138:G152" si="11">F138-E138</f>
        <v>127</v>
      </c>
      <c r="H138" s="99">
        <f>G138+'11'!H138</f>
        <v>1691</v>
      </c>
      <c r="I138" s="118"/>
      <c r="J138" s="328">
        <f>H138/DAY(B2)</f>
        <v>140.91666666666666</v>
      </c>
      <c r="Q138" s="65">
        <f>P138+O138</f>
        <v>0</v>
      </c>
    </row>
    <row r="139" spans="1:17" ht="32.25" customHeight="1">
      <c r="A139" s="1269" t="s">
        <v>186</v>
      </c>
      <c r="B139" s="1269"/>
      <c r="C139" s="1269"/>
      <c r="D139" s="151" t="s">
        <v>183</v>
      </c>
      <c r="E139" s="95">
        <f>'11'!F139</f>
        <v>919883</v>
      </c>
      <c r="F139" s="627">
        <v>920031</v>
      </c>
      <c r="G139" s="112">
        <f t="shared" si="11"/>
        <v>148</v>
      </c>
      <c r="H139" s="99">
        <f>G139+'11'!H139</f>
        <v>1827</v>
      </c>
      <c r="I139" s="118"/>
      <c r="J139" s="328">
        <f>H139/DAY(B2)</f>
        <v>152.25</v>
      </c>
      <c r="Q139" s="65">
        <f t="shared" ref="Q139:Q151" si="12">P139+O139</f>
        <v>0</v>
      </c>
    </row>
    <row r="140" spans="1:17" ht="32.25" customHeight="1">
      <c r="A140" s="1269" t="s">
        <v>187</v>
      </c>
      <c r="B140" s="1269"/>
      <c r="C140" s="1269"/>
      <c r="D140" s="151" t="s">
        <v>183</v>
      </c>
      <c r="E140" s="95">
        <f>'11'!F140</f>
        <v>2471.48</v>
      </c>
      <c r="F140" s="627">
        <v>2484.7199999999998</v>
      </c>
      <c r="G140" s="112">
        <f t="shared" si="11"/>
        <v>13.239999999999782</v>
      </c>
      <c r="H140" s="99">
        <f>G140+'11'!H140</f>
        <v>141.7199999999998</v>
      </c>
      <c r="I140" s="118"/>
      <c r="J140" s="328">
        <f>H140/DAY(B2)</f>
        <v>11.809999999999983</v>
      </c>
      <c r="Q140" s="65">
        <f t="shared" si="12"/>
        <v>0</v>
      </c>
    </row>
    <row r="141" spans="1:17" ht="32.25" customHeight="1">
      <c r="A141" s="1256" t="s">
        <v>188</v>
      </c>
      <c r="B141" s="1256"/>
      <c r="C141" s="1256"/>
      <c r="D141" s="151" t="s">
        <v>183</v>
      </c>
      <c r="E141" s="95">
        <f>'11'!F141</f>
        <v>106238</v>
      </c>
      <c r="F141" s="627">
        <v>106456.99</v>
      </c>
      <c r="G141" s="112">
        <f t="shared" si="11"/>
        <v>218.99000000000524</v>
      </c>
      <c r="H141" s="99">
        <f>G141+'11'!H141</f>
        <v>2682.9900000000052</v>
      </c>
      <c r="I141" s="118"/>
      <c r="J141" s="328">
        <f>H141/DAY(B2)</f>
        <v>223.58250000000044</v>
      </c>
      <c r="Q141" s="65">
        <f t="shared" si="12"/>
        <v>0</v>
      </c>
    </row>
    <row r="142" spans="1:17" ht="32.25" customHeight="1">
      <c r="A142" s="1256" t="s">
        <v>189</v>
      </c>
      <c r="B142" s="1256"/>
      <c r="C142" s="1256"/>
      <c r="D142" s="151" t="s">
        <v>183</v>
      </c>
      <c r="E142" s="95">
        <f>'11'!F142</f>
        <v>42798.95</v>
      </c>
      <c r="F142" s="627">
        <v>42894.64</v>
      </c>
      <c r="G142" s="112">
        <f t="shared" si="11"/>
        <v>95.690000000002328</v>
      </c>
      <c r="H142" s="99">
        <f>G142+'11'!H142</f>
        <v>1079.6399999999994</v>
      </c>
      <c r="I142" s="140"/>
      <c r="J142" s="328">
        <f>H142/DAY(B2)</f>
        <v>89.969999999999956</v>
      </c>
      <c r="Q142" s="65">
        <f t="shared" si="12"/>
        <v>0</v>
      </c>
    </row>
    <row r="143" spans="1:17" ht="32.25" customHeight="1">
      <c r="A143" s="1269" t="s">
        <v>91</v>
      </c>
      <c r="B143" s="1269"/>
      <c r="C143" s="1269"/>
      <c r="D143" s="151" t="s">
        <v>183</v>
      </c>
      <c r="E143" s="95">
        <f>'11'!F143</f>
        <v>10968.7</v>
      </c>
      <c r="F143" s="627">
        <v>10997.86</v>
      </c>
      <c r="G143" s="112">
        <f t="shared" si="11"/>
        <v>29.159999999999854</v>
      </c>
      <c r="H143" s="99">
        <f>G143+'11'!H143</f>
        <v>320.86000000000058</v>
      </c>
      <c r="I143" s="140"/>
      <c r="J143" s="328">
        <f>H143/DAY(B2)</f>
        <v>26.738333333333383</v>
      </c>
      <c r="Q143" s="65">
        <f t="shared" si="12"/>
        <v>0</v>
      </c>
    </row>
    <row r="144" spans="1:17" ht="32.25" customHeight="1">
      <c r="A144" s="1256" t="s">
        <v>90</v>
      </c>
      <c r="B144" s="1256"/>
      <c r="C144" s="1256"/>
      <c r="D144" s="151" t="s">
        <v>183</v>
      </c>
      <c r="E144" s="95">
        <f>'11'!F144</f>
        <v>936157</v>
      </c>
      <c r="F144" s="627">
        <v>936390</v>
      </c>
      <c r="G144" s="112">
        <f t="shared" si="11"/>
        <v>233</v>
      </c>
      <c r="H144" s="99">
        <f>G144+'11'!H144</f>
        <v>2869</v>
      </c>
      <c r="I144" s="140"/>
      <c r="J144" s="328">
        <f>H144/DAY(B2)</f>
        <v>239.08333333333334</v>
      </c>
      <c r="Q144" s="65">
        <f t="shared" si="12"/>
        <v>0</v>
      </c>
    </row>
    <row r="145" spans="1:17" ht="32.25" customHeight="1">
      <c r="A145" s="1269" t="s">
        <v>190</v>
      </c>
      <c r="B145" s="1269"/>
      <c r="C145" s="1269"/>
      <c r="D145" s="152" t="s">
        <v>183</v>
      </c>
      <c r="E145" s="95">
        <f>'11'!F145</f>
        <v>15568.75</v>
      </c>
      <c r="F145" s="627">
        <v>15726.81</v>
      </c>
      <c r="G145" s="112">
        <f t="shared" si="11"/>
        <v>158.05999999999949</v>
      </c>
      <c r="H145" s="99">
        <f>G145+'11'!H145</f>
        <v>2586.8099999999995</v>
      </c>
      <c r="I145" s="140"/>
      <c r="J145" s="328">
        <f>H145/DAY(B2)</f>
        <v>215.56749999999997</v>
      </c>
      <c r="Q145" s="65">
        <f t="shared" si="12"/>
        <v>0</v>
      </c>
    </row>
    <row r="146" spans="1:17" ht="32.25" customHeight="1">
      <c r="A146" s="1332" t="s">
        <v>191</v>
      </c>
      <c r="B146" s="1289"/>
      <c r="C146" s="1290"/>
      <c r="D146" s="152" t="s">
        <v>183</v>
      </c>
      <c r="E146" s="95">
        <f>'11'!F146</f>
        <v>784825</v>
      </c>
      <c r="F146" s="627">
        <v>784865</v>
      </c>
      <c r="G146" s="112">
        <f t="shared" si="11"/>
        <v>40</v>
      </c>
      <c r="H146" s="99">
        <f>G146+'11'!H146</f>
        <v>526</v>
      </c>
      <c r="I146" s="140"/>
      <c r="J146" s="328">
        <f>H146/DAY(B2)</f>
        <v>43.833333333333336</v>
      </c>
      <c r="Q146" s="65">
        <f t="shared" si="12"/>
        <v>0</v>
      </c>
    </row>
    <row r="147" spans="1:17" ht="32.25" customHeight="1">
      <c r="A147" s="1256" t="s">
        <v>192</v>
      </c>
      <c r="B147" s="1256"/>
      <c r="C147" s="1256"/>
      <c r="D147" s="152" t="s">
        <v>183</v>
      </c>
      <c r="E147" s="95">
        <f>'11'!F147</f>
        <v>727872.8</v>
      </c>
      <c r="F147" s="627">
        <v>728280.56</v>
      </c>
      <c r="G147" s="112">
        <f t="shared" si="11"/>
        <v>407.76000000000931</v>
      </c>
      <c r="H147" s="99">
        <f>G147+'11'!H147</f>
        <v>4758.5600000000559</v>
      </c>
      <c r="I147" s="140"/>
      <c r="J147" s="328">
        <f>H147/DAY(B2)</f>
        <v>396.54666666667134</v>
      </c>
      <c r="Q147" s="65">
        <f t="shared" si="12"/>
        <v>0</v>
      </c>
    </row>
    <row r="148" spans="1:17" ht="32.25" customHeight="1">
      <c r="A148" s="1257" t="s">
        <v>193</v>
      </c>
      <c r="B148" s="1258"/>
      <c r="C148" s="1259"/>
      <c r="D148" s="123" t="s">
        <v>130</v>
      </c>
      <c r="E148" s="95">
        <f>'11'!F148</f>
        <v>769737.04</v>
      </c>
      <c r="F148" s="627">
        <v>770083.92</v>
      </c>
      <c r="G148" s="112">
        <f t="shared" si="11"/>
        <v>346.88000000000466</v>
      </c>
      <c r="H148" s="99">
        <f>G148+'11'!H148</f>
        <v>3473.9200000000419</v>
      </c>
      <c r="I148" s="124"/>
      <c r="J148" s="328">
        <f>H148/DAY(B2)</f>
        <v>289.49333333333681</v>
      </c>
      <c r="Q148" s="65">
        <f t="shared" si="12"/>
        <v>0</v>
      </c>
    </row>
    <row r="149" spans="1:17" ht="32.25" customHeight="1">
      <c r="A149" s="1257" t="s">
        <v>336</v>
      </c>
      <c r="B149" s="1258"/>
      <c r="C149" s="1259"/>
      <c r="D149" s="227" t="s">
        <v>130</v>
      </c>
      <c r="E149" s="95">
        <f>'11'!F149</f>
        <v>162658.85</v>
      </c>
      <c r="F149" s="627">
        <v>163123</v>
      </c>
      <c r="G149" s="112">
        <f t="shared" si="11"/>
        <v>464.14999999999418</v>
      </c>
      <c r="H149" s="99">
        <f>G149+'11'!H149</f>
        <v>5156</v>
      </c>
      <c r="I149" s="119"/>
      <c r="J149" s="328">
        <f>H149/DAY(B2)</f>
        <v>429.66666666666669</v>
      </c>
      <c r="Q149" s="65">
        <f t="shared" si="12"/>
        <v>0</v>
      </c>
    </row>
    <row r="150" spans="1:17" ht="32.25" customHeight="1">
      <c r="A150" s="1257" t="s">
        <v>337</v>
      </c>
      <c r="B150" s="1258"/>
      <c r="C150" s="1259"/>
      <c r="D150" s="117" t="s">
        <v>130</v>
      </c>
      <c r="E150" s="95">
        <f>'11'!F150</f>
        <v>66416.679999999993</v>
      </c>
      <c r="F150" s="627">
        <v>66631.63</v>
      </c>
      <c r="G150" s="112">
        <f t="shared" si="11"/>
        <v>214.95000000001164</v>
      </c>
      <c r="H150" s="99">
        <f>G150+'11'!H150</f>
        <v>2653.6300000000047</v>
      </c>
      <c r="I150" s="119"/>
      <c r="J150" s="328">
        <f>H150/DAY(B2)</f>
        <v>221.13583333333372</v>
      </c>
      <c r="Q150" s="65">
        <f t="shared" si="12"/>
        <v>0</v>
      </c>
    </row>
    <row r="151" spans="1:17" ht="32.25" customHeight="1">
      <c r="A151" s="1257" t="s">
        <v>338</v>
      </c>
      <c r="B151" s="1258"/>
      <c r="C151" s="1259"/>
      <c r="D151" s="117" t="s">
        <v>130</v>
      </c>
      <c r="E151" s="95">
        <f>'11'!F151</f>
        <v>150382</v>
      </c>
      <c r="F151" s="627">
        <v>150429</v>
      </c>
      <c r="G151" s="112">
        <f t="shared" si="11"/>
        <v>47</v>
      </c>
      <c r="H151" s="99">
        <f>G151+'11'!H151</f>
        <v>641</v>
      </c>
      <c r="I151" s="119"/>
      <c r="J151" s="328">
        <f>H151/DAY(B2)</f>
        <v>53.416666666666664</v>
      </c>
      <c r="Q151" s="65">
        <f t="shared" si="12"/>
        <v>0</v>
      </c>
    </row>
    <row r="152" spans="1:17" ht="32.25" customHeight="1">
      <c r="A152" s="1257" t="s">
        <v>339</v>
      </c>
      <c r="B152" s="1258"/>
      <c r="C152" s="1259"/>
      <c r="D152" s="117" t="s">
        <v>130</v>
      </c>
      <c r="E152" s="95">
        <f>'11'!F152</f>
        <v>32031.23</v>
      </c>
      <c r="F152" s="627">
        <v>32159.35</v>
      </c>
      <c r="G152" s="112">
        <f t="shared" si="11"/>
        <v>128.11999999999898</v>
      </c>
      <c r="H152" s="99">
        <f>G152+'11'!H152</f>
        <v>1545.3499999999985</v>
      </c>
      <c r="I152" s="119"/>
      <c r="J152" s="328">
        <f>H152/DAY(B2)</f>
        <v>128.77916666666655</v>
      </c>
    </row>
    <row r="153" spans="1:17" ht="32.25" customHeight="1">
      <c r="A153" s="1261" t="s">
        <v>196</v>
      </c>
      <c r="B153" s="1262"/>
      <c r="C153" s="362"/>
      <c r="D153" s="355"/>
      <c r="E153" s="357"/>
      <c r="F153" s="358"/>
      <c r="G153" s="359">
        <f>SUM(G138:G152)</f>
        <v>2672.0000000000255</v>
      </c>
      <c r="H153" s="360"/>
      <c r="I153" s="119">
        <f>G153-(G38+G52)</f>
        <v>448.6000000001186</v>
      </c>
      <c r="J153" s="363"/>
    </row>
    <row r="154" spans="1:17" ht="32.25" customHeight="1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7" ht="32.25" customHeight="1">
      <c r="A155" s="1256" t="s">
        <v>345</v>
      </c>
      <c r="B155" s="1256"/>
      <c r="C155" s="1256"/>
      <c r="D155" s="117" t="s">
        <v>130</v>
      </c>
      <c r="E155" s="95">
        <f>'11'!F155</f>
        <v>191742.05</v>
      </c>
      <c r="F155" s="404">
        <v>192283</v>
      </c>
      <c r="G155" s="112">
        <f t="shared" ref="G155:G158" si="13">F155-E155</f>
        <v>540.95000000001164</v>
      </c>
      <c r="H155" s="99">
        <f>G155+'11'!H155</f>
        <v>6542</v>
      </c>
      <c r="I155" s="361"/>
      <c r="J155" s="328">
        <f>H155/DAY(B2)</f>
        <v>545.16666666666663</v>
      </c>
    </row>
    <row r="156" spans="1:17" ht="32.25" customHeight="1">
      <c r="A156" s="1256" t="s">
        <v>347</v>
      </c>
      <c r="B156" s="1256"/>
      <c r="C156" s="1256"/>
      <c r="D156" s="117" t="s">
        <v>130</v>
      </c>
      <c r="E156" s="95">
        <f>'11'!F156</f>
        <v>21766.02</v>
      </c>
      <c r="F156" s="404">
        <v>21861.97</v>
      </c>
      <c r="G156" s="112">
        <f t="shared" si="13"/>
        <v>95.950000000000728</v>
      </c>
      <c r="H156" s="99">
        <f>G156+'11'!H156</f>
        <v>1122.9700000000012</v>
      </c>
      <c r="I156" s="165"/>
      <c r="J156" s="328">
        <f>H156/DAY(B2)</f>
        <v>93.58083333333343</v>
      </c>
    </row>
    <row r="157" spans="1:17" ht="32.25" customHeight="1">
      <c r="A157" s="1257" t="s">
        <v>358</v>
      </c>
      <c r="B157" s="1258"/>
      <c r="C157" s="1259"/>
      <c r="D157" s="117" t="s">
        <v>130</v>
      </c>
      <c r="E157" s="95">
        <f>'11'!F157</f>
        <v>37558.54</v>
      </c>
      <c r="F157" s="404">
        <v>37558.54</v>
      </c>
      <c r="G157" s="112">
        <f t="shared" si="13"/>
        <v>0</v>
      </c>
      <c r="H157" s="99">
        <f>G157+'11'!H157</f>
        <v>1434.5400000000009</v>
      </c>
      <c r="I157" s="165"/>
      <c r="J157" s="328">
        <f>H157/DAY(B2)</f>
        <v>119.54500000000007</v>
      </c>
    </row>
    <row r="158" spans="1:17" ht="32.25" customHeight="1">
      <c r="A158" s="1257" t="s">
        <v>359</v>
      </c>
      <c r="B158" s="1258"/>
      <c r="C158" s="1259"/>
      <c r="D158" s="117" t="s">
        <v>130</v>
      </c>
      <c r="E158" s="95">
        <f>'11'!F158</f>
        <v>755.05</v>
      </c>
      <c r="F158" s="404">
        <v>786.08</v>
      </c>
      <c r="G158" s="112">
        <f t="shared" si="13"/>
        <v>31.030000000000086</v>
      </c>
      <c r="H158" s="99">
        <f>G158+'11'!H158</f>
        <v>281.45000000000005</v>
      </c>
      <c r="I158" s="165"/>
      <c r="J158" s="328">
        <f>H158/DAY(B2)</f>
        <v>23.454166666666669</v>
      </c>
    </row>
    <row r="159" spans="1:17" ht="32.25" customHeight="1">
      <c r="A159" s="1263"/>
      <c r="B159" s="1264"/>
      <c r="C159" s="1265"/>
      <c r="D159" s="117"/>
      <c r="E159" s="95"/>
      <c r="F159" s="165"/>
      <c r="G159" s="359">
        <f>SUM(G155:G158)</f>
        <v>667.93000000001246</v>
      </c>
      <c r="H159" s="99"/>
      <c r="I159" s="165"/>
      <c r="J159" s="328"/>
    </row>
    <row r="160" spans="1:17" ht="32.25" customHeight="1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6" ht="32.25" customHeight="1">
      <c r="A161" s="242" t="s">
        <v>92</v>
      </c>
      <c r="B161" s="243"/>
      <c r="C161" s="243"/>
      <c r="D161" s="244" t="s">
        <v>180</v>
      </c>
      <c r="E161" s="95">
        <f>'11'!F161</f>
        <v>491498.2</v>
      </c>
      <c r="F161" s="628">
        <v>491788.84</v>
      </c>
      <c r="G161" s="238">
        <f t="shared" ref="G161:G165" si="14">F161-E161</f>
        <v>290.64000000001397</v>
      </c>
      <c r="H161" s="99">
        <f>G161+'11'!H161</f>
        <v>3465.8400000000256</v>
      </c>
      <c r="I161" s="236"/>
      <c r="J161" s="239">
        <f>H161/DAY(B2)</f>
        <v>288.82000000000215</v>
      </c>
      <c r="P161" s="71"/>
    </row>
    <row r="162" spans="1:16" ht="32.25" customHeight="1">
      <c r="A162" s="242" t="s">
        <v>93</v>
      </c>
      <c r="B162" s="243"/>
      <c r="C162" s="243"/>
      <c r="D162" s="244" t="s">
        <v>180</v>
      </c>
      <c r="E162" s="95">
        <f>'11'!F162</f>
        <v>97668.6</v>
      </c>
      <c r="F162" s="628">
        <v>97714.3</v>
      </c>
      <c r="G162" s="238">
        <f t="shared" si="14"/>
        <v>45.69999999999709</v>
      </c>
      <c r="H162" s="99">
        <f>G162+'11'!H162</f>
        <v>426.30000000000291</v>
      </c>
      <c r="I162" s="236"/>
      <c r="J162" s="239">
        <f>H162/DAY(B2)</f>
        <v>35.52500000000024</v>
      </c>
      <c r="P162" s="71"/>
    </row>
    <row r="163" spans="1:16" ht="32.25" customHeight="1">
      <c r="A163" s="242" t="s">
        <v>197</v>
      </c>
      <c r="B163" s="243"/>
      <c r="C163" s="243"/>
      <c r="D163" s="244" t="s">
        <v>180</v>
      </c>
      <c r="E163" s="95">
        <f>'11'!F163</f>
        <v>15382.8</v>
      </c>
      <c r="F163" s="628">
        <v>15519.4</v>
      </c>
      <c r="G163" s="238">
        <f t="shared" si="14"/>
        <v>136.60000000000036</v>
      </c>
      <c r="H163" s="99">
        <f>G163+'11'!H163</f>
        <v>1355.3999999999996</v>
      </c>
      <c r="I163" s="236"/>
      <c r="J163" s="239">
        <f>H163/DAY(B2)</f>
        <v>112.94999999999997</v>
      </c>
      <c r="P163" s="71"/>
    </row>
    <row r="164" spans="1:16" ht="32.25" customHeight="1">
      <c r="A164" s="242" t="s">
        <v>197</v>
      </c>
      <c r="B164" s="243"/>
      <c r="C164" s="243"/>
      <c r="D164" s="244" t="s">
        <v>180</v>
      </c>
      <c r="E164" s="95">
        <f>'11'!F164</f>
        <v>6688.8</v>
      </c>
      <c r="F164" s="628">
        <v>6695.6</v>
      </c>
      <c r="G164" s="238">
        <f t="shared" si="14"/>
        <v>6.8000000000001819</v>
      </c>
      <c r="H164" s="99">
        <f>G164+'11'!H164</f>
        <v>83.600000000000364</v>
      </c>
      <c r="I164" s="236"/>
      <c r="J164" s="239">
        <f>H164/DAY(B2)</f>
        <v>6.966666666666697</v>
      </c>
      <c r="P164" s="71"/>
    </row>
    <row r="165" spans="1:16" ht="32.25" customHeight="1">
      <c r="A165" s="242" t="s">
        <v>309</v>
      </c>
      <c r="B165" s="243"/>
      <c r="C165" s="243"/>
      <c r="D165" s="244" t="s">
        <v>180</v>
      </c>
      <c r="E165" s="95">
        <f>'11'!F165</f>
        <v>32211.65</v>
      </c>
      <c r="F165" s="628">
        <v>32221.25</v>
      </c>
      <c r="G165" s="238">
        <f t="shared" si="14"/>
        <v>9.5999999999985448</v>
      </c>
      <c r="H165" s="99">
        <f>G165+'11'!H165</f>
        <v>80.25</v>
      </c>
      <c r="I165" s="236"/>
      <c r="J165" s="239">
        <f>H165/DAY(B2)</f>
        <v>6.6875</v>
      </c>
      <c r="P165" s="71"/>
    </row>
    <row r="166" spans="1:16" ht="32.25" customHeight="1">
      <c r="A166" s="1274"/>
      <c r="B166" s="1274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6" ht="32.25" customHeight="1">
      <c r="A167" s="1274"/>
      <c r="B167" s="1274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6" ht="32.25" customHeight="1">
      <c r="A168" s="1274"/>
      <c r="B168" s="1274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6" ht="32.25" customHeight="1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6" ht="32.25" customHeight="1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6" ht="32.25" customHeight="1">
      <c r="A173" s="1254" t="s">
        <v>209</v>
      </c>
      <c r="B173" s="1255"/>
      <c r="C173" s="333"/>
      <c r="D173" s="228" t="s">
        <v>142</v>
      </c>
      <c r="E173" s="157">
        <f>'11'!F173</f>
        <v>8595</v>
      </c>
      <c r="F173" s="155">
        <v>8604</v>
      </c>
      <c r="G173" s="155">
        <f>F173-E173</f>
        <v>9</v>
      </c>
      <c r="H173" s="99">
        <f>G173+'11'!H173</f>
        <v>23</v>
      </c>
      <c r="I173" s="155"/>
      <c r="J173" s="178">
        <f>H173/DAY(B2)</f>
        <v>1.9166666666666667</v>
      </c>
    </row>
    <row r="174" spans="1:16" ht="32.25" customHeight="1">
      <c r="A174" s="1254" t="s">
        <v>75</v>
      </c>
      <c r="B174" s="1255"/>
      <c r="C174" s="333"/>
      <c r="D174" s="228" t="s">
        <v>142</v>
      </c>
      <c r="E174" s="157">
        <f>'11'!F174</f>
        <v>42104</v>
      </c>
      <c r="F174" s="157">
        <v>42119</v>
      </c>
      <c r="G174" s="155">
        <f t="shared" ref="G174:G175" si="15">F174-E174</f>
        <v>15</v>
      </c>
      <c r="H174" s="99">
        <f>G174+'11'!H174</f>
        <v>157</v>
      </c>
      <c r="I174" s="155"/>
      <c r="J174" s="178">
        <f>H174/DAY(B2)</f>
        <v>13.083333333333334</v>
      </c>
    </row>
    <row r="175" spans="1:16" ht="32.25" customHeight="1">
      <c r="A175" s="1254" t="s">
        <v>76</v>
      </c>
      <c r="B175" s="1324"/>
      <c r="C175" s="1255"/>
      <c r="D175" s="228" t="s">
        <v>142</v>
      </c>
      <c r="E175" s="157">
        <f>'11'!F175</f>
        <v>24815</v>
      </c>
      <c r="F175" s="155">
        <v>24825</v>
      </c>
      <c r="G175" s="155">
        <f t="shared" si="15"/>
        <v>10</v>
      </c>
      <c r="H175" s="99">
        <f>G175+'11'!H175</f>
        <v>128</v>
      </c>
      <c r="I175" s="155"/>
      <c r="J175" s="178">
        <f>H175/DAY(B2)</f>
        <v>10.666666666666666</v>
      </c>
    </row>
    <row r="176" spans="1:16" ht="32.25" customHeight="1">
      <c r="A176" s="441" t="s">
        <v>196</v>
      </c>
      <c r="B176" s="442"/>
      <c r="C176" s="384"/>
      <c r="D176" s="228" t="s">
        <v>142</v>
      </c>
      <c r="E176" s="95"/>
      <c r="F176" s="155"/>
      <c r="G176" s="155">
        <f>SUM(G173:G175)</f>
        <v>34</v>
      </c>
      <c r="H176" s="99">
        <f>G176+'11'!H176</f>
        <v>308</v>
      </c>
      <c r="I176" s="155"/>
      <c r="J176" s="178">
        <f>H176/DAY(B2)</f>
        <v>25.666666666666668</v>
      </c>
    </row>
    <row r="177" spans="1:10" ht="32.25" customHeight="1">
      <c r="A177" s="1254" t="s">
        <v>77</v>
      </c>
      <c r="B177" s="1255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1254" t="s">
        <v>210</v>
      </c>
      <c r="B178" s="1255"/>
      <c r="C178" s="333"/>
      <c r="D178" s="228" t="s">
        <v>142</v>
      </c>
      <c r="E178" s="95">
        <f>'11'!F178</f>
        <v>102117</v>
      </c>
      <c r="F178" s="621">
        <v>102117</v>
      </c>
      <c r="G178" s="155">
        <f>F178-E178</f>
        <v>0</v>
      </c>
      <c r="H178" s="99">
        <f>G178+'11'!H178</f>
        <v>3</v>
      </c>
      <c r="I178" s="155"/>
      <c r="J178" s="178">
        <f>H178/DAY(B2)</f>
        <v>0.25</v>
      </c>
    </row>
    <row r="179" spans="1:10" ht="32.25" customHeight="1">
      <c r="A179" s="1254" t="s">
        <v>211</v>
      </c>
      <c r="B179" s="1255"/>
      <c r="C179" s="333"/>
      <c r="D179" s="228" t="s">
        <v>142</v>
      </c>
      <c r="E179" s="95">
        <f>'11'!F179</f>
        <v>37501</v>
      </c>
      <c r="F179" s="155">
        <v>37501</v>
      </c>
      <c r="G179" s="155">
        <f t="shared" ref="G179:G180" si="16">F179-E179</f>
        <v>0</v>
      </c>
      <c r="H179" s="99">
        <f>G179+'11'!H179</f>
        <v>0</v>
      </c>
      <c r="I179" s="155"/>
      <c r="J179" s="178">
        <f>H179/DAY(B2)</f>
        <v>0</v>
      </c>
    </row>
    <row r="180" spans="1:10" ht="32.25" customHeight="1">
      <c r="A180" s="1254" t="s">
        <v>212</v>
      </c>
      <c r="B180" s="1255"/>
      <c r="C180" s="333"/>
      <c r="D180" s="228" t="s">
        <v>142</v>
      </c>
      <c r="E180" s="95">
        <f>'11'!F180</f>
        <v>7231</v>
      </c>
      <c r="F180" s="621">
        <v>7231</v>
      </c>
      <c r="G180" s="155">
        <f t="shared" si="16"/>
        <v>0</v>
      </c>
      <c r="H180" s="99">
        <f>G180+'11'!H180</f>
        <v>0</v>
      </c>
      <c r="I180" s="155"/>
      <c r="J180" s="178">
        <f>H180/DAY(B2)</f>
        <v>0</v>
      </c>
    </row>
    <row r="181" spans="1:10" ht="32.25" customHeight="1">
      <c r="A181" s="1325" t="s">
        <v>108</v>
      </c>
      <c r="B181" s="1326"/>
      <c r="C181" s="384"/>
      <c r="D181" s="228" t="s">
        <v>142</v>
      </c>
      <c r="E181" s="95"/>
      <c r="F181" s="155"/>
      <c r="G181" s="155">
        <f>SUM(G178:G180)</f>
        <v>0</v>
      </c>
      <c r="H181" s="99">
        <f>G181+'11'!H181</f>
        <v>3</v>
      </c>
      <c r="I181" s="155"/>
      <c r="J181" s="178">
        <f>H181/DAY(B2)</f>
        <v>0.25</v>
      </c>
    </row>
    <row r="182" spans="1:10" ht="32.25" customHeight="1">
      <c r="A182" s="1254" t="s">
        <v>213</v>
      </c>
      <c r="B182" s="1255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1254" t="s">
        <v>214</v>
      </c>
      <c r="B183" s="1255"/>
      <c r="C183" s="334"/>
      <c r="D183" s="228" t="s">
        <v>142</v>
      </c>
      <c r="E183" s="95">
        <f>'11'!F183</f>
        <v>17897</v>
      </c>
      <c r="F183" s="157">
        <v>17905</v>
      </c>
      <c r="G183" s="157">
        <f>F183-E183</f>
        <v>8</v>
      </c>
      <c r="H183" s="99">
        <f>G183+'11'!H183</f>
        <v>57</v>
      </c>
      <c r="I183" s="155"/>
      <c r="J183" s="178">
        <f>H183/DAY(B2)</f>
        <v>4.75</v>
      </c>
    </row>
    <row r="184" spans="1:10" ht="32.25" customHeight="1">
      <c r="A184" s="1254" t="s">
        <v>215</v>
      </c>
      <c r="B184" s="1255"/>
      <c r="C184" s="334"/>
      <c r="D184" s="228" t="s">
        <v>142</v>
      </c>
      <c r="E184" s="95">
        <f>'11'!F184</f>
        <v>12426</v>
      </c>
      <c r="F184" s="157">
        <v>12432</v>
      </c>
      <c r="G184" s="157">
        <f t="shared" ref="G184:G185" si="17">F184-E184</f>
        <v>6</v>
      </c>
      <c r="H184" s="99">
        <f>G184+'11'!H184</f>
        <v>83</v>
      </c>
      <c r="I184" s="155"/>
      <c r="J184" s="178">
        <f>H184/DAY(B2)</f>
        <v>6.916666666666667</v>
      </c>
    </row>
    <row r="185" spans="1:10" ht="32.25" customHeight="1">
      <c r="A185" s="1254" t="s">
        <v>216</v>
      </c>
      <c r="B185" s="1255"/>
      <c r="C185" s="334"/>
      <c r="D185" s="228" t="s">
        <v>142</v>
      </c>
      <c r="E185" s="95">
        <f>'11'!F185</f>
        <v>0</v>
      </c>
      <c r="F185" s="157">
        <v>0</v>
      </c>
      <c r="G185" s="157">
        <f t="shared" si="17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1261" t="s">
        <v>196</v>
      </c>
      <c r="B186" s="1262"/>
      <c r="C186" s="383"/>
      <c r="D186" s="228" t="s">
        <v>142</v>
      </c>
      <c r="E186" s="95"/>
      <c r="F186" s="157"/>
      <c r="G186" s="157">
        <f>SUM(G183:G185)</f>
        <v>14</v>
      </c>
      <c r="H186" s="99">
        <f>G186+'11'!H186</f>
        <v>140</v>
      </c>
      <c r="I186" s="157"/>
      <c r="J186" s="178">
        <f>H186/DAY(B2)</f>
        <v>11.666666666666666</v>
      </c>
    </row>
    <row r="187" spans="1:10" ht="32.25" customHeight="1">
      <c r="A187" s="1250" t="s">
        <v>217</v>
      </c>
      <c r="B187" s="1251"/>
      <c r="C187" s="333"/>
      <c r="D187" s="230" t="s">
        <v>142</v>
      </c>
      <c r="E187" s="95"/>
      <c r="F187" s="159"/>
      <c r="G187" s="159">
        <f>G62+G19</f>
        <v>154</v>
      </c>
      <c r="H187" s="99">
        <f>G187+'11'!H187</f>
        <v>1726</v>
      </c>
      <c r="I187" s="158"/>
      <c r="J187" s="179">
        <f>H187/DAY(B2)</f>
        <v>143.83333333333334</v>
      </c>
    </row>
    <row r="188" spans="1:10" ht="32.25" customHeight="1">
      <c r="A188" s="1250" t="s">
        <v>218</v>
      </c>
      <c r="B188" s="1251"/>
      <c r="C188" s="333"/>
      <c r="D188" s="230" t="s">
        <v>142</v>
      </c>
      <c r="E188" s="95"/>
      <c r="F188" s="159"/>
      <c r="G188" s="159">
        <f>G65+G66+G67+G69+G70</f>
        <v>159</v>
      </c>
      <c r="H188" s="99">
        <f>G188+'11'!H188</f>
        <v>1772</v>
      </c>
      <c r="I188" s="158"/>
      <c r="J188" s="179">
        <f>H188/DAY(B2)</f>
        <v>147.66666666666666</v>
      </c>
    </row>
    <row r="189" spans="1:10" ht="32.25" customHeight="1">
      <c r="A189" s="1250" t="s">
        <v>219</v>
      </c>
      <c r="B189" s="1251"/>
      <c r="C189" s="333"/>
      <c r="D189" s="230" t="s">
        <v>142</v>
      </c>
      <c r="E189" s="95"/>
      <c r="F189" s="157"/>
      <c r="G189" s="157">
        <f>G181</f>
        <v>0</v>
      </c>
      <c r="H189" s="99">
        <f>G189+'11'!H189</f>
        <v>3</v>
      </c>
      <c r="I189" s="158"/>
      <c r="J189" s="179">
        <f>H189/DAY(B2)</f>
        <v>0.25</v>
      </c>
    </row>
    <row r="190" spans="1:10" ht="32.25" customHeight="1">
      <c r="A190" s="1252"/>
      <c r="B190" s="1253"/>
      <c r="C190" s="382"/>
      <c r="D190" s="379"/>
      <c r="E190" s="377"/>
      <c r="F190" s="379"/>
      <c r="G190" s="379"/>
      <c r="H190" s="385"/>
      <c r="I190" s="379"/>
      <c r="J190" s="381"/>
    </row>
  </sheetData>
  <mergeCells count="114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</mergeCells>
  <pageMargins left="0.23622047244094491" right="0.15748031496062992" top="0.15748031496062992" bottom="0.19685039370078741" header="0.19685039370078741" footer="0.19685039370078741"/>
  <pageSetup paperSize="5" scale="20" fitToHeight="2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139" zoomScale="55" zoomScaleSheetLayoutView="55" workbookViewId="0">
      <selection activeCell="F158" sqref="F158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7.75" customHeight="1">
      <c r="A2" s="191" t="s">
        <v>303</v>
      </c>
      <c r="B2" s="262">
        <v>44847</v>
      </c>
      <c r="C2" s="348" t="s">
        <v>67</v>
      </c>
      <c r="D2" s="218">
        <v>0.48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27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180974.39</v>
      </c>
      <c r="F7" s="95">
        <v>205506</v>
      </c>
      <c r="G7" s="112">
        <f>F7-E7</f>
        <v>24531.609999999986</v>
      </c>
      <c r="H7" s="99">
        <f>G7+'12'!H7</f>
        <v>323670</v>
      </c>
      <c r="I7" s="113">
        <f>'1'!I7</f>
        <v>12000</v>
      </c>
      <c r="J7" s="175">
        <f>H7/DAY(B2)</f>
        <v>24897.692307692309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352597.07</v>
      </c>
      <c r="F8" s="95">
        <v>377411</v>
      </c>
      <c r="G8" s="115">
        <f>F8-E8</f>
        <v>24813.929999999993</v>
      </c>
      <c r="H8" s="99">
        <f>G8+'12'!H8</f>
        <v>328031</v>
      </c>
      <c r="I8" s="116"/>
      <c r="J8" s="175">
        <f>H8/DAY(B2)</f>
        <v>25233.153846153848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3778697.9</v>
      </c>
      <c r="F9" s="447">
        <v>3783697</v>
      </c>
      <c r="G9" s="112">
        <f>F9-E9</f>
        <v>4999.1000000000931</v>
      </c>
      <c r="H9" s="99">
        <f>G9+'12'!H9</f>
        <v>76990</v>
      </c>
      <c r="I9" s="124">
        <f>I7-J7</f>
        <v>-12897.692307692309</v>
      </c>
      <c r="J9" s="175">
        <f>H9/DAY(B2)</f>
        <v>5922.3076923076924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'12'!F10</f>
        <v>2962024.5</v>
      </c>
      <c r="F10" s="353">
        <v>2980882</v>
      </c>
      <c r="G10" s="112">
        <f t="shared" ref="G10:G12" si="0">F10-E10</f>
        <v>18857.5</v>
      </c>
      <c r="H10" s="99">
        <f>G10+'12'!H10</f>
        <v>238188</v>
      </c>
      <c r="I10" s="282"/>
      <c r="J10" s="175">
        <f>H10/DAY(B2)</f>
        <v>18322.153846153848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37560</v>
      </c>
      <c r="F11" s="447">
        <v>37560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40380</v>
      </c>
      <c r="F12" s="117">
        <v>40380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23856.600000000093</v>
      </c>
      <c r="H13" s="99">
        <f>G13+'12'!H13</f>
        <v>316638</v>
      </c>
      <c r="I13" s="120">
        <f>G7-G13</f>
        <v>675.0099999998929</v>
      </c>
      <c r="J13" s="175">
        <f>H13/DAY(B2)</f>
        <v>24356.76923076923</v>
      </c>
      <c r="K13" s="79"/>
      <c r="L13" s="66"/>
      <c r="N13" s="87"/>
      <c r="O13" s="71"/>
    </row>
    <row r="14" spans="1:15" ht="27.75" customHeight="1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47">
        <f>'12'!F15</f>
        <v>2173665.63</v>
      </c>
      <c r="F15" s="447">
        <v>2174738</v>
      </c>
      <c r="G15" s="112">
        <f>(F15-E15)</f>
        <v>1072.3700000001118</v>
      </c>
      <c r="H15" s="99">
        <f>G15+'12'!H15</f>
        <v>13223</v>
      </c>
      <c r="I15" s="113">
        <f>'1'!I15</f>
        <v>800</v>
      </c>
      <c r="J15" s="175">
        <f>H15/DAY(B2)</f>
        <v>1017.1538461538462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-217.15384615384619</v>
      </c>
      <c r="J16" s="176"/>
      <c r="K16" s="79"/>
      <c r="L16" s="66"/>
      <c r="N16" s="87"/>
      <c r="O16" s="71"/>
    </row>
    <row r="17" spans="1:15" ht="27.75" customHeight="1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1281" t="s">
        <v>141</v>
      </c>
      <c r="B18" s="1282"/>
      <c r="C18" s="1283"/>
      <c r="D18" s="151" t="s">
        <v>142</v>
      </c>
      <c r="E18" s="95">
        <f>'12'!F18</f>
        <v>26</v>
      </c>
      <c r="F18" s="122">
        <v>26</v>
      </c>
      <c r="G18" s="119">
        <f>F18*10</f>
        <v>260</v>
      </c>
      <c r="H18" s="99">
        <f>G18+'12'!H18</f>
        <v>3150</v>
      </c>
      <c r="I18" s="113">
        <f>'1'!I18</f>
        <v>65</v>
      </c>
      <c r="J18" s="175">
        <f>H18/DAY(B2)</f>
        <v>242.30769230769232</v>
      </c>
      <c r="K18" s="79"/>
      <c r="L18" s="66"/>
      <c r="N18" s="87"/>
      <c r="O18" s="71"/>
    </row>
    <row r="19" spans="1:15" ht="27.75" customHeight="1">
      <c r="A19" s="1281" t="s">
        <v>69</v>
      </c>
      <c r="B19" s="1282"/>
      <c r="C19" s="1283"/>
      <c r="D19" s="151" t="s">
        <v>142</v>
      </c>
      <c r="E19" s="95">
        <f>'12'!F19</f>
        <v>166067</v>
      </c>
      <c r="F19" s="122">
        <v>166116</v>
      </c>
      <c r="G19" s="112">
        <f t="shared" ref="G19" si="1">F19-E19</f>
        <v>49</v>
      </c>
      <c r="H19" s="99">
        <f>G19+'12'!H19</f>
        <v>673</v>
      </c>
      <c r="I19" s="335"/>
      <c r="J19" s="175">
        <f>H19/DAY(B2)</f>
        <v>51.769230769230766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309</v>
      </c>
      <c r="H20" s="99">
        <f>G20+'12'!H20</f>
        <v>3823</v>
      </c>
      <c r="I20" s="336">
        <f>I18-J20</f>
        <v>-229.07692307692309</v>
      </c>
      <c r="J20" s="175">
        <f>H20/DAY(B2)</f>
        <v>294.07692307692309</v>
      </c>
      <c r="K20" s="79"/>
      <c r="L20" s="66"/>
      <c r="N20" s="87"/>
      <c r="O20" s="71"/>
    </row>
    <row r="21" spans="1:15" ht="27.75" customHeight="1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2000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4470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24813.929999999993</v>
      </c>
      <c r="F27" s="136">
        <v>10</v>
      </c>
      <c r="G27" s="137">
        <f>E27*F27</f>
        <v>248139.29999999993</v>
      </c>
      <c r="H27" s="99">
        <f>G27+'12'!H27</f>
        <v>3280310</v>
      </c>
      <c r="I27" s="138"/>
      <c r="J27" s="175">
        <f>H27/DAY(B2)</f>
        <v>252331.53846153847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1072.3700000001118</v>
      </c>
      <c r="F28" s="136">
        <v>75</v>
      </c>
      <c r="G28" s="137">
        <f>E28*F28</f>
        <v>80427.750000008382</v>
      </c>
      <c r="H28" s="99">
        <f>G28+'12'!H28</f>
        <v>991725</v>
      </c>
      <c r="I28" s="140"/>
      <c r="J28" s="175">
        <f>H28/DAY(B2)</f>
        <v>76286.538461538468</v>
      </c>
      <c r="K28" s="63"/>
      <c r="L28" s="89"/>
      <c r="N28" s="87"/>
      <c r="O28" s="71">
        <v>0</v>
      </c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G30+'12'!H30</f>
        <v>101623</v>
      </c>
      <c r="I30" s="140"/>
      <c r="J30" s="175">
        <f>H30/DAY(B2)</f>
        <v>7817.1538461538457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85</v>
      </c>
      <c r="G31" s="137">
        <f>E31*F31</f>
        <v>22100</v>
      </c>
      <c r="H31" s="99">
        <f>G31+'12'!H31</f>
        <v>264600</v>
      </c>
      <c r="I31" s="140"/>
      <c r="J31" s="175">
        <f>H31/DAY(B2)</f>
        <v>20353.846153846152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358066.05000000831</v>
      </c>
      <c r="H32" s="99">
        <f>G32+'12'!H32</f>
        <v>4638258</v>
      </c>
      <c r="I32" s="144"/>
      <c r="J32" s="175">
        <f>H32/DAY(B2)</f>
        <v>356789.07692307694</v>
      </c>
      <c r="K32" s="63"/>
      <c r="L32" s="89"/>
      <c r="N32" s="87"/>
      <c r="O32" s="71"/>
    </row>
    <row r="33" spans="1:15" ht="27.75" customHeight="1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245454.55</v>
      </c>
      <c r="F35" s="145">
        <v>247352</v>
      </c>
      <c r="G35" s="112">
        <f t="shared" ref="G35:G46" si="3">F35-E35</f>
        <v>1897.4500000000116</v>
      </c>
      <c r="H35" s="99">
        <f>G35+'12'!H35</f>
        <v>8638.9500000000116</v>
      </c>
      <c r="I35" s="95"/>
      <c r="J35" s="175">
        <f>H35/DAY(B2)</f>
        <v>664.53461538461625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279195.55</v>
      </c>
      <c r="F36" s="145">
        <v>280066</v>
      </c>
      <c r="G36" s="112">
        <f t="shared" si="3"/>
        <v>870.45000000001164</v>
      </c>
      <c r="H36" s="99">
        <f>G36+'12'!H36</f>
        <v>10583</v>
      </c>
      <c r="I36" s="95"/>
      <c r="J36" s="175">
        <f>H36/DAY(B2)</f>
        <v>814.07692307692309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322998.69</v>
      </c>
      <c r="F37" s="145">
        <v>322999</v>
      </c>
      <c r="G37" s="112">
        <f t="shared" si="3"/>
        <v>0.30999999999767169</v>
      </c>
      <c r="H37" s="99">
        <f>G37+'12'!H37</f>
        <v>0.30999999999767169</v>
      </c>
      <c r="I37" s="95"/>
      <c r="J37" s="175">
        <f>H37/DAY(B2)</f>
        <v>2.3846153845974747E-2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620436.06999999995</v>
      </c>
      <c r="F38" s="629">
        <v>622668</v>
      </c>
      <c r="G38" s="112">
        <f t="shared" si="3"/>
        <v>2231.9300000000512</v>
      </c>
      <c r="H38" s="99">
        <f>G38+'12'!H38</f>
        <v>28951</v>
      </c>
      <c r="I38" s="95"/>
      <c r="J38" s="175">
        <f>H38/DAY(B2)</f>
        <v>2227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591584.18999999994</v>
      </c>
      <c r="F39" s="145">
        <v>591584.18999999994</v>
      </c>
      <c r="G39" s="112">
        <f t="shared" si="3"/>
        <v>0</v>
      </c>
      <c r="H39" s="99">
        <f>G39+'12'!H39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166772.14000000001</v>
      </c>
      <c r="F40" s="145">
        <v>167569</v>
      </c>
      <c r="G40" s="112">
        <f t="shared" si="3"/>
        <v>796.85999999998603</v>
      </c>
      <c r="H40" s="99">
        <f>G40+'12'!H40</f>
        <v>9589</v>
      </c>
      <c r="I40" s="95"/>
      <c r="J40" s="175">
        <f>H40/DAY(B2)</f>
        <v>737.61538461538464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381351.55</v>
      </c>
      <c r="F41" s="145">
        <v>381351.55</v>
      </c>
      <c r="G41" s="112">
        <f t="shared" si="3"/>
        <v>0</v>
      </c>
      <c r="H41" s="99">
        <f>G41+'12'!H41</f>
        <v>1000</v>
      </c>
      <c r="I41" s="95"/>
      <c r="J41" s="175">
        <f>H41/DAY(B2)</f>
        <v>76.92307692307692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854975.91</v>
      </c>
      <c r="F42" s="145">
        <v>854975.91</v>
      </c>
      <c r="G42" s="112">
        <f t="shared" si="3"/>
        <v>0</v>
      </c>
      <c r="H42" s="99">
        <f>G42+'12'!H42</f>
        <v>29888.910000000033</v>
      </c>
      <c r="I42" s="95"/>
      <c r="J42" s="175">
        <f>H42/DAY(B2)</f>
        <v>2299.1469230769258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407028</v>
      </c>
      <c r="F43" s="145">
        <v>407028</v>
      </c>
      <c r="G43" s="112">
        <f t="shared" si="3"/>
        <v>0</v>
      </c>
      <c r="H43" s="99">
        <f>G43+'12'!H43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5797.0000000000582</v>
      </c>
      <c r="H47" s="99">
        <f>G47+'12'!H47</f>
        <v>88651.170000000042</v>
      </c>
      <c r="I47" s="95"/>
      <c r="J47" s="175">
        <f>H47/DAY(B2)</f>
        <v>6819.3207692307724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757395.43</v>
      </c>
      <c r="F49" s="145">
        <v>759181</v>
      </c>
      <c r="G49" s="112">
        <f t="shared" ref="G49:G58" si="4">F49-E49</f>
        <v>1785.5699999999488</v>
      </c>
      <c r="H49" s="99">
        <f>G49+'12'!H49</f>
        <v>38894</v>
      </c>
      <c r="I49" s="95"/>
      <c r="J49" s="175">
        <f>H49/DAY(B2)</f>
        <v>2991.8461538461538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384100.15</v>
      </c>
      <c r="F50" s="145">
        <v>386167</v>
      </c>
      <c r="G50" s="112">
        <f t="shared" si="4"/>
        <v>2066.8499999999767</v>
      </c>
      <c r="H50" s="99">
        <f>G50+'12'!H50</f>
        <v>20396</v>
      </c>
      <c r="I50" s="95"/>
      <c r="J50" s="175">
        <f>H50/DAY(B2)</f>
        <v>1568.9230769230769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83988.84</v>
      </c>
      <c r="F51" s="145">
        <v>84978</v>
      </c>
      <c r="G51" s="112">
        <f t="shared" si="4"/>
        <v>989.16000000000349</v>
      </c>
      <c r="H51" s="99">
        <f>G51+'12'!H51</f>
        <v>13251</v>
      </c>
      <c r="I51" s="95"/>
      <c r="J51" s="175">
        <f>H51/DAY(B2)</f>
        <v>1019.3076923076923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9.76</v>
      </c>
      <c r="F52" s="145">
        <v>9.76</v>
      </c>
      <c r="G52" s="112">
        <f t="shared" si="4"/>
        <v>0</v>
      </c>
      <c r="H52" s="99">
        <f>G52+'12'!H52</f>
        <v>-0.24000000000000021</v>
      </c>
      <c r="I52" s="95"/>
      <c r="J52" s="175">
        <f>H52/DAY(B2)</f>
        <v>-1.8461538461538477E-2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344443.83</v>
      </c>
      <c r="F53" s="145">
        <v>348482</v>
      </c>
      <c r="G53" s="112">
        <f t="shared" si="4"/>
        <v>4038.1699999999837</v>
      </c>
      <c r="H53" s="99">
        <f>G53+'12'!H53</f>
        <v>54381</v>
      </c>
      <c r="I53" s="95"/>
      <c r="J53" s="175">
        <f>H53/DAY(B2)</f>
        <v>4183.1538461538457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103256.79</v>
      </c>
      <c r="F54" s="145">
        <v>103256.79</v>
      </c>
      <c r="G54" s="112">
        <f t="shared" si="4"/>
        <v>0</v>
      </c>
      <c r="H54" s="99">
        <f>G54+'12'!H54</f>
        <v>1869.7899999999936</v>
      </c>
      <c r="I54" s="95"/>
      <c r="J54" s="175">
        <f>H54/DAY(B2)</f>
        <v>143.8299999999995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527945.63</v>
      </c>
      <c r="F55" s="145">
        <v>531274</v>
      </c>
      <c r="G55" s="112">
        <f t="shared" si="4"/>
        <v>3328.3699999999953</v>
      </c>
      <c r="H55" s="99">
        <f>G55+'12'!H55</f>
        <v>36791</v>
      </c>
      <c r="I55" s="95"/>
      <c r="J55" s="175">
        <f>H55/DAY(B2)</f>
        <v>2830.0769230769229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159252.41</v>
      </c>
      <c r="F56" s="145">
        <v>160711</v>
      </c>
      <c r="G56" s="112">
        <f t="shared" si="4"/>
        <v>1458.5899999999965</v>
      </c>
      <c r="H56" s="99">
        <f>G56+'12'!H56</f>
        <v>10992</v>
      </c>
      <c r="I56" s="95"/>
      <c r="J56" s="175">
        <f>H56/DAY(B2)</f>
        <v>845.53846153846155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444788.91</v>
      </c>
      <c r="F57" s="145">
        <v>447597</v>
      </c>
      <c r="G57" s="112">
        <f t="shared" si="4"/>
        <v>2808.0900000000256</v>
      </c>
      <c r="H57" s="99">
        <f>G57+'12'!H57</f>
        <v>38519</v>
      </c>
      <c r="I57" s="95"/>
      <c r="J57" s="175">
        <f>H57/DAY(B2)</f>
        <v>2963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67064.77</v>
      </c>
      <c r="F58" s="145">
        <v>67302</v>
      </c>
      <c r="G58" s="112">
        <f t="shared" si="4"/>
        <v>237.22999999999593</v>
      </c>
      <c r="H58" s="99">
        <f>G58+'12'!H58</f>
        <v>3151</v>
      </c>
      <c r="I58" s="95"/>
      <c r="J58" s="175">
        <f>H58/DAY(B2)</f>
        <v>242.38461538461539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16712.029999999926</v>
      </c>
      <c r="H59" s="99">
        <f>G59+'12'!H59</f>
        <v>218244.55</v>
      </c>
      <c r="I59" s="95">
        <f>G7-G60</f>
        <v>2022.5800000000017</v>
      </c>
      <c r="J59" s="175">
        <f>H59/DAY(B2)</f>
        <v>16788.042307692307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22509.029999999984</v>
      </c>
      <c r="H60" s="99">
        <f>G60+'12'!H60</f>
        <v>306895.71999999997</v>
      </c>
      <c r="I60" s="95">
        <f>G13-G60</f>
        <v>1347.5700000001088</v>
      </c>
      <c r="J60" s="175">
        <f>H60/DAY(B2)</f>
        <v>23607.363076923073</v>
      </c>
      <c r="K60" s="79"/>
      <c r="L60" s="66"/>
      <c r="N60" s="87"/>
      <c r="O60" s="71"/>
    </row>
    <row r="61" spans="1:15" s="68" customFormat="1" ht="27.75" customHeight="1">
      <c r="A61" s="1278" t="s">
        <v>332</v>
      </c>
      <c r="B61" s="1279"/>
      <c r="C61" s="12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1281" t="s">
        <v>198</v>
      </c>
      <c r="B62" s="1282"/>
      <c r="C62" s="1283"/>
      <c r="D62" s="151" t="s">
        <v>142</v>
      </c>
      <c r="E62" s="95">
        <f>'12'!F62</f>
        <v>303167</v>
      </c>
      <c r="F62" s="122">
        <v>303267</v>
      </c>
      <c r="G62" s="112">
        <f t="shared" ref="G62:G63" si="5">F62-E62</f>
        <v>100</v>
      </c>
      <c r="H62" s="99">
        <f>G62+'12'!H62</f>
        <v>1202</v>
      </c>
      <c r="I62" s="118"/>
      <c r="J62" s="175">
        <f>H62/DAY(B2)</f>
        <v>92.461538461538467</v>
      </c>
      <c r="K62" s="80"/>
      <c r="L62" s="66"/>
      <c r="N62" s="87"/>
      <c r="O62" s="71"/>
    </row>
    <row r="63" spans="1:15" ht="27.75" customHeight="1">
      <c r="A63" s="1281" t="s">
        <v>199</v>
      </c>
      <c r="B63" s="1282"/>
      <c r="C63" s="1283"/>
      <c r="D63" s="151" t="s">
        <v>142</v>
      </c>
      <c r="E63" s="95">
        <f>'12'!F63</f>
        <v>245139</v>
      </c>
      <c r="F63" s="164">
        <v>245139</v>
      </c>
      <c r="G63" s="112">
        <f t="shared" si="5"/>
        <v>0</v>
      </c>
      <c r="H63" s="99">
        <f>G63+'12'!H63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7.75" customHeight="1">
      <c r="A64" s="1284" t="s">
        <v>200</v>
      </c>
      <c r="B64" s="1285"/>
      <c r="C64" s="1286"/>
      <c r="D64" s="151"/>
      <c r="E64" s="95">
        <f>'12'!F64</f>
        <v>0</v>
      </c>
      <c r="F64" s="122"/>
      <c r="G64" s="112">
        <f>G62+G63</f>
        <v>100</v>
      </c>
      <c r="H64" s="99">
        <f>G64+'12'!H64</f>
        <v>1202</v>
      </c>
      <c r="I64" s="118"/>
      <c r="J64" s="175">
        <f>H64/DAY(B2)</f>
        <v>92.461538461538467</v>
      </c>
      <c r="K64" s="69"/>
      <c r="L64" s="66"/>
      <c r="N64" s="87"/>
      <c r="O64" s="71"/>
    </row>
    <row r="65" spans="1:15" ht="27.75" customHeight="1">
      <c r="A65" s="1281" t="s">
        <v>201</v>
      </c>
      <c r="B65" s="1282"/>
      <c r="C65" s="1283"/>
      <c r="D65" s="151" t="s">
        <v>142</v>
      </c>
      <c r="E65" s="95">
        <f>'12'!F65</f>
        <v>462049</v>
      </c>
      <c r="F65" s="122">
        <v>462162</v>
      </c>
      <c r="G65" s="112">
        <f t="shared" ref="G65:G70" si="6">F65-E65</f>
        <v>113</v>
      </c>
      <c r="H65" s="99">
        <f>G65+'12'!H65</f>
        <v>1338</v>
      </c>
      <c r="I65" s="118"/>
      <c r="J65" s="175">
        <f>H65/DAY(B2)</f>
        <v>102.92307692307692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112741</v>
      </c>
      <c r="F66" s="122">
        <v>112750</v>
      </c>
      <c r="G66" s="112">
        <f t="shared" si="6"/>
        <v>9</v>
      </c>
      <c r="H66" s="99">
        <f>G66+'12'!H66</f>
        <v>145</v>
      </c>
      <c r="I66" s="118"/>
      <c r="J66" s="175">
        <f>H66/DAY(B2)</f>
        <v>11.153846153846153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114968</v>
      </c>
      <c r="F67" s="122">
        <v>114987</v>
      </c>
      <c r="G67" s="112">
        <f t="shared" si="6"/>
        <v>19</v>
      </c>
      <c r="H67" s="99">
        <f>G67+'12'!H67</f>
        <v>279</v>
      </c>
      <c r="I67" s="118"/>
      <c r="J67" s="175">
        <f>H67/DAY(B2)</f>
        <v>21.46153846153846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166955</v>
      </c>
      <c r="F68" s="122">
        <v>166985</v>
      </c>
      <c r="G68" s="112">
        <f t="shared" si="6"/>
        <v>30</v>
      </c>
      <c r="H68" s="99">
        <f>G68+'12'!H68</f>
        <v>404</v>
      </c>
      <c r="I68" s="118"/>
      <c r="J68" s="175">
        <f>H68/DAY(B2)</f>
        <v>31.076923076923077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12607</v>
      </c>
      <c r="F69" s="122">
        <v>12609</v>
      </c>
      <c r="G69" s="112">
        <f t="shared" si="6"/>
        <v>2</v>
      </c>
      <c r="H69" s="99">
        <f>G69+'12'!H69</f>
        <v>45</v>
      </c>
      <c r="I69" s="118"/>
      <c r="J69" s="175">
        <f>H69/DAY(B2)</f>
        <v>3.4615384615384617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10441</v>
      </c>
      <c r="F70" s="122">
        <v>10453</v>
      </c>
      <c r="G70" s="112">
        <f t="shared" si="6"/>
        <v>12</v>
      </c>
      <c r="H70" s="99">
        <f>G70+'12'!H70</f>
        <v>120</v>
      </c>
      <c r="I70" s="118"/>
      <c r="J70" s="175">
        <f>H70/DAY(B2)</f>
        <v>9.2307692307692299</v>
      </c>
      <c r="K70" s="69"/>
      <c r="L70" s="66"/>
      <c r="N70" s="87"/>
      <c r="O70" s="71"/>
    </row>
    <row r="71" spans="1:15" ht="27.75" customHeight="1">
      <c r="A71" s="1284" t="s">
        <v>208</v>
      </c>
      <c r="B71" s="1285"/>
      <c r="C71" s="1286"/>
      <c r="D71" s="152"/>
      <c r="E71" s="152"/>
      <c r="F71" s="152" t="s">
        <v>367</v>
      </c>
      <c r="G71" s="153">
        <f>SUM(G65:G70)</f>
        <v>185</v>
      </c>
      <c r="H71" s="99">
        <f>G71+'12'!H71</f>
        <v>2331</v>
      </c>
      <c r="I71" s="154"/>
      <c r="J71" s="175">
        <f>H71/DAY(B2)</f>
        <v>179.30769230769232</v>
      </c>
      <c r="K71" s="69"/>
      <c r="L71" s="66"/>
      <c r="N71" s="87"/>
      <c r="O71" s="71"/>
    </row>
    <row r="72" spans="1:15" s="88" customFormat="1" ht="27.75" customHeight="1">
      <c r="A72" s="1287"/>
      <c r="B72" s="126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1295" t="s">
        <v>333</v>
      </c>
      <c r="B73" s="1296"/>
      <c r="C73" s="129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1281" t="s">
        <v>220</v>
      </c>
      <c r="B74" s="1282"/>
      <c r="C74" s="1283"/>
      <c r="D74" s="151" t="s">
        <v>139</v>
      </c>
      <c r="E74" s="95">
        <f>'12'!F74</f>
        <v>979376.03</v>
      </c>
      <c r="F74" s="117">
        <v>979666</v>
      </c>
      <c r="G74" s="112">
        <f>F74-E74</f>
        <v>289.96999999997206</v>
      </c>
      <c r="H74" s="99">
        <f>G74+'12'!H74</f>
        <v>3855</v>
      </c>
      <c r="I74" s="154"/>
      <c r="J74" s="175">
        <f>H74/DAY(B2)</f>
        <v>296.53846153846155</v>
      </c>
      <c r="K74" s="69"/>
      <c r="L74" s="66"/>
      <c r="N74" s="87"/>
      <c r="O74" s="71"/>
    </row>
    <row r="75" spans="1:15" ht="27.75" customHeight="1">
      <c r="A75" s="1281" t="s">
        <v>221</v>
      </c>
      <c r="B75" s="1282"/>
      <c r="C75" s="1283"/>
      <c r="D75" s="151" t="s">
        <v>139</v>
      </c>
      <c r="E75" s="95">
        <f>'12'!F75</f>
        <v>73586</v>
      </c>
      <c r="F75" s="123">
        <v>73586</v>
      </c>
      <c r="G75" s="112">
        <f t="shared" ref="G75:G78" si="7">F75-E75</f>
        <v>0</v>
      </c>
      <c r="H75" s="99">
        <f>G75+'12'!H75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1288" t="s">
        <v>222</v>
      </c>
      <c r="B76" s="1289"/>
      <c r="C76" s="1290"/>
      <c r="D76" s="151" t="s">
        <v>139</v>
      </c>
      <c r="E76" s="95">
        <f>'12'!F76</f>
        <v>198050.01</v>
      </c>
      <c r="F76" s="123">
        <v>198169</v>
      </c>
      <c r="G76" s="112">
        <f t="shared" si="7"/>
        <v>118.98999999999069</v>
      </c>
      <c r="H76" s="99">
        <f>G76+'12'!H76</f>
        <v>1433</v>
      </c>
      <c r="I76" s="154"/>
      <c r="J76" s="175">
        <f>H76/DAY(B2)</f>
        <v>110.23076923076923</v>
      </c>
      <c r="K76" s="69"/>
      <c r="L76" s="66"/>
      <c r="N76" s="87"/>
      <c r="O76" s="71"/>
    </row>
    <row r="77" spans="1:15" ht="27.75" customHeight="1">
      <c r="A77" s="1288" t="s">
        <v>223</v>
      </c>
      <c r="B77" s="1289"/>
      <c r="C77" s="1290"/>
      <c r="D77" s="151" t="s">
        <v>139</v>
      </c>
      <c r="E77" s="95">
        <f>'12'!F77</f>
        <v>53937.5</v>
      </c>
      <c r="F77" s="123">
        <v>53998</v>
      </c>
      <c r="G77" s="112">
        <f t="shared" si="7"/>
        <v>60.5</v>
      </c>
      <c r="H77" s="99">
        <f>G77+'12'!H77</f>
        <v>646</v>
      </c>
      <c r="I77" s="154"/>
      <c r="J77" s="175">
        <f>H77/DAY(B2)</f>
        <v>49.692307692307693</v>
      </c>
      <c r="K77" s="69"/>
      <c r="L77" s="66"/>
      <c r="N77" s="87"/>
      <c r="O77" s="71"/>
    </row>
    <row r="78" spans="1:15" ht="27.75" customHeight="1">
      <c r="A78" s="1288" t="s">
        <v>224</v>
      </c>
      <c r="B78" s="1289"/>
      <c r="C78" s="1290"/>
      <c r="D78" s="151" t="s">
        <v>139</v>
      </c>
      <c r="E78" s="95">
        <f>'12'!F78</f>
        <v>9563</v>
      </c>
      <c r="F78" s="123">
        <v>9563</v>
      </c>
      <c r="G78" s="112">
        <f t="shared" si="7"/>
        <v>0</v>
      </c>
      <c r="H78" s="99">
        <f>G78+'12'!H78</f>
        <v>-0.3999999999996362</v>
      </c>
      <c r="I78" s="118"/>
      <c r="J78" s="175">
        <f>H78/DAY(B2)</f>
        <v>-3.0769230769202786E-2</v>
      </c>
      <c r="K78" s="69"/>
      <c r="L78" s="66"/>
      <c r="N78" s="87"/>
      <c r="O78" s="71"/>
    </row>
    <row r="79" spans="1:15" s="57" customFormat="1" ht="27.75" customHeight="1">
      <c r="A79" s="1288" t="s">
        <v>225</v>
      </c>
      <c r="B79" s="1289"/>
      <c r="C79" s="1290"/>
      <c r="D79" s="151"/>
      <c r="E79" s="95">
        <f>'12'!F79</f>
        <v>0</v>
      </c>
      <c r="F79" s="117"/>
      <c r="G79" s="112">
        <f>G15-SUM(G74:G78)</f>
        <v>602.91000000014901</v>
      </c>
      <c r="H79" s="99">
        <f>G79+'12'!H79</f>
        <v>7289.4</v>
      </c>
      <c r="I79" s="118"/>
      <c r="J79" s="175">
        <f>H79/DAY(B2)</f>
        <v>560.72307692307686</v>
      </c>
      <c r="K79" s="59"/>
      <c r="L79" s="58"/>
      <c r="N79" s="87"/>
      <c r="O79" s="71"/>
    </row>
    <row r="80" spans="1:15" s="57" customFormat="1" ht="27.75" customHeight="1">
      <c r="A80" s="1284" t="s">
        <v>329</v>
      </c>
      <c r="B80" s="1285"/>
      <c r="C80" s="1286"/>
      <c r="D80" s="151"/>
      <c r="E80" s="117"/>
      <c r="F80" s="117"/>
      <c r="G80" s="112">
        <f>SUM(G74:G79)</f>
        <v>1072.3700000001118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538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538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43366.18</v>
      </c>
      <c r="F84" s="164">
        <v>43366.18</v>
      </c>
      <c r="G84" s="112">
        <f t="shared" si="8"/>
        <v>0</v>
      </c>
      <c r="H84" s="99">
        <f>G84+'12'!H84</f>
        <v>-0.62000000000261934</v>
      </c>
      <c r="I84" s="538"/>
      <c r="J84" s="175">
        <f>H84/DAY(B2)</f>
        <v>-4.7692307692509178E-2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5610.06</v>
      </c>
      <c r="F85" s="164">
        <v>5610.06</v>
      </c>
      <c r="G85" s="112">
        <f t="shared" si="8"/>
        <v>0</v>
      </c>
      <c r="H85" s="99">
        <f>G85+'12'!H85</f>
        <v>134.0600000000004</v>
      </c>
      <c r="I85" s="538"/>
      <c r="J85" s="175">
        <f>H85/DAY(B2)</f>
        <v>10.312307692307723</v>
      </c>
      <c r="N85" s="71"/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46503.02</v>
      </c>
      <c r="F86" s="164">
        <v>46527</v>
      </c>
      <c r="G86" s="112">
        <f t="shared" si="8"/>
        <v>23.980000000003201</v>
      </c>
      <c r="H86" s="99">
        <f>G86+'12'!H86</f>
        <v>255.58000000000175</v>
      </c>
      <c r="I86" s="538"/>
      <c r="J86" s="175">
        <f>H86/DAY(B2)</f>
        <v>19.660000000000135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35718.31</v>
      </c>
      <c r="F87" s="164">
        <v>35730</v>
      </c>
      <c r="G87" s="112">
        <f t="shared" si="8"/>
        <v>11.690000000002328</v>
      </c>
      <c r="H87" s="99">
        <f>G87+'12'!H87</f>
        <v>74</v>
      </c>
      <c r="I87" s="524">
        <f>G84+G85+G86+G87</f>
        <v>35.67000000000553</v>
      </c>
      <c r="J87" s="175">
        <f>H87/DAY(B2)</f>
        <v>5.6923076923076925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24442.51</v>
      </c>
      <c r="F88" s="164">
        <v>24443.95</v>
      </c>
      <c r="G88" s="112">
        <f t="shared" si="8"/>
        <v>1.4400000000023283</v>
      </c>
      <c r="H88" s="99">
        <f>G88+'12'!H88</f>
        <v>19.990000000001601</v>
      </c>
      <c r="I88" s="524"/>
      <c r="J88" s="175">
        <f>H88/DAY(B2)</f>
        <v>1.5376923076924309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28079.360000000001</v>
      </c>
      <c r="F89" s="164">
        <v>28087</v>
      </c>
      <c r="G89" s="112">
        <f t="shared" si="8"/>
        <v>7.6399999999994179</v>
      </c>
      <c r="H89" s="99">
        <f>G89+'12'!H89</f>
        <v>99</v>
      </c>
      <c r="I89" s="524">
        <f>G88+G89</f>
        <v>9.0800000000017462</v>
      </c>
      <c r="J89" s="175">
        <f>H89/DAY(B2)</f>
        <v>7.615384615384615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73371.05</v>
      </c>
      <c r="F90" s="164">
        <v>73381.72</v>
      </c>
      <c r="G90" s="112">
        <f t="shared" si="8"/>
        <v>10.669999999998254</v>
      </c>
      <c r="H90" s="99">
        <f>G90+'12'!H90</f>
        <v>137.97999999999593</v>
      </c>
      <c r="I90" s="524">
        <f>G90</f>
        <v>10.669999999998254</v>
      </c>
      <c r="J90" s="175">
        <f>H90/DAY(B2)</f>
        <v>10.61384615384584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4815.84</v>
      </c>
      <c r="F91" s="122">
        <v>4826.9799999999996</v>
      </c>
      <c r="G91" s="112">
        <f t="shared" si="8"/>
        <v>11.139999999999418</v>
      </c>
      <c r="H91" s="99">
        <f>G91+'12'!H91</f>
        <v>148.54999999999927</v>
      </c>
      <c r="I91" s="572"/>
      <c r="J91" s="175">
        <f>H91/DAY(B2)</f>
        <v>11.426923076923021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7000.23</v>
      </c>
      <c r="F92" s="122">
        <v>7000.23</v>
      </c>
      <c r="G92" s="112">
        <f t="shared" si="8"/>
        <v>0</v>
      </c>
      <c r="H92" s="99">
        <f>G92+'12'!H92</f>
        <v>0.22999999999956344</v>
      </c>
      <c r="I92" s="573">
        <f>G91+G92</f>
        <v>11.139999999999418</v>
      </c>
      <c r="J92" s="175">
        <f>H92/DAY(B2)</f>
        <v>1.769230769227411E-2</v>
      </c>
      <c r="O92" s="71"/>
    </row>
    <row r="93" spans="1:15" ht="27.75" customHeight="1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6491.109999999986</v>
      </c>
      <c r="H94" s="99">
        <f>G94+'12'!H94</f>
        <v>86051.950000000012</v>
      </c>
      <c r="I94" s="118"/>
      <c r="J94" s="175">
        <f>H94/DAY(B2)</f>
        <v>6619.3807692307701</v>
      </c>
      <c r="K94" s="69"/>
      <c r="L94" s="66"/>
      <c r="O94" s="71"/>
    </row>
    <row r="95" spans="1:15" ht="27.75" customHeight="1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0.26460187488713499</v>
      </c>
      <c r="H95" s="99">
        <f>G95+'12'!H95</f>
        <v>3.4579683016908547</v>
      </c>
      <c r="I95" s="167"/>
      <c r="J95" s="175">
        <f>H95/DAY(B2)</f>
        <v>0.26599756166852728</v>
      </c>
      <c r="K95" s="69"/>
      <c r="L95" s="66"/>
      <c r="O95" s="71"/>
    </row>
    <row r="96" spans="1:15" ht="27.75" customHeight="1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4786.9599999999919</v>
      </c>
      <c r="H96" s="99">
        <f>G96+'12'!H96</f>
        <v>78671.910000000033</v>
      </c>
      <c r="I96" s="118"/>
      <c r="J96" s="175">
        <f>H96/DAY(B2)</f>
        <v>6051.6853846153872</v>
      </c>
      <c r="K96" s="69"/>
      <c r="L96" s="66"/>
      <c r="O96" s="71"/>
    </row>
    <row r="97" spans="1:15" ht="27.75" customHeight="1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0.19513435930214099</v>
      </c>
      <c r="H97" s="99">
        <f>G97+'12'!H97</f>
        <v>3.1614069006164645</v>
      </c>
      <c r="I97" s="167"/>
      <c r="J97" s="175">
        <f>H97/DAY(B2)</f>
        <v>0.24318514620126649</v>
      </c>
      <c r="K97" s="69"/>
      <c r="L97" s="66"/>
      <c r="O97" s="71"/>
    </row>
    <row r="98" spans="1:15" ht="27.75" customHeight="1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4038.1699999999837</v>
      </c>
      <c r="H98" s="99">
        <f>G98+'12'!H98</f>
        <v>54381</v>
      </c>
      <c r="I98" s="168"/>
      <c r="J98" s="175">
        <f>H98/DAY(B2)</f>
        <v>4183.1538461538457</v>
      </c>
      <c r="K98" s="69"/>
      <c r="L98" s="66"/>
      <c r="O98" s="71"/>
    </row>
    <row r="99" spans="1:15" ht="27.75" customHeight="1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0.16461088367212695</v>
      </c>
      <c r="H99" s="99">
        <f>G99+'12'!H99</f>
        <v>2.1855066224329489</v>
      </c>
      <c r="I99" s="168"/>
      <c r="J99" s="175">
        <f>H99/DAY(B2)</f>
        <v>0.16811589403330376</v>
      </c>
      <c r="O99" s="71"/>
    </row>
    <row r="100" spans="1:15" ht="27.75" customHeight="1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2231.9300000000512</v>
      </c>
      <c r="H100" s="99">
        <f>G100+'12'!H100</f>
        <v>28950.760000000002</v>
      </c>
      <c r="I100" s="118"/>
      <c r="J100" s="175">
        <f>H100/DAY(B2)</f>
        <v>2226.9815384615385</v>
      </c>
      <c r="K100" s="70"/>
      <c r="O100" s="71"/>
    </row>
    <row r="101" spans="1:15" ht="27.75" customHeight="1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9.0981798585582127E-2</v>
      </c>
      <c r="H101" s="99">
        <f>G101+'12'!H101</f>
        <v>1.1636057381198639</v>
      </c>
      <c r="I101" s="168"/>
      <c r="J101" s="175">
        <f>H101/DAY(B2)</f>
        <v>8.9508133701527992E-2</v>
      </c>
      <c r="O101" s="71"/>
    </row>
    <row r="102" spans="1:15" ht="27.75" customHeight="1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2937.2999999999884</v>
      </c>
      <c r="H102" s="99">
        <f>G102+'12'!H102</f>
        <v>30979</v>
      </c>
      <c r="I102" s="168"/>
      <c r="J102" s="175">
        <f>H102/DAY(B2)</f>
        <v>2383</v>
      </c>
      <c r="O102" s="71"/>
    </row>
    <row r="103" spans="1:15" ht="27.75" customHeight="1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0.1197353129289105</v>
      </c>
      <c r="H103" s="99">
        <f>G103+'12'!H103</f>
        <v>1.2441343138388192</v>
      </c>
      <c r="I103" s="118"/>
      <c r="J103" s="175">
        <f>H103/DAY(B2)</f>
        <v>9.5702639526063019E-2</v>
      </c>
      <c r="O103" s="71"/>
    </row>
    <row r="104" spans="1:15" ht="27.75" customHeight="1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989.47000000000116</v>
      </c>
      <c r="H104" s="99">
        <f>G104+'12'!H104</f>
        <v>13251.309999999998</v>
      </c>
      <c r="I104" s="118"/>
      <c r="J104" s="175">
        <f>H104/DAY(B2)</f>
        <v>1019.3315384615382</v>
      </c>
      <c r="O104" s="71"/>
    </row>
    <row r="105" spans="1:15" ht="27.75" customHeight="1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4.0334490887471375E-2</v>
      </c>
      <c r="H105" s="99">
        <f>G105+'12'!H105</f>
        <v>0.53247546938821144</v>
      </c>
      <c r="I105" s="187"/>
      <c r="J105" s="188">
        <f>H105/DAY(B2)</f>
        <v>4.0959651491400878E-2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7.75" customHeight="1">
      <c r="A109" s="1291"/>
      <c r="B109" s="1291"/>
    </row>
    <row r="110" spans="1:15" ht="27.75" customHeight="1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7.75" customHeight="1">
      <c r="A111" s="1270"/>
      <c r="B111" s="1271"/>
      <c r="C111" s="1272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1266" t="s">
        <v>252</v>
      </c>
      <c r="B112" s="1267"/>
      <c r="C112" s="1268"/>
      <c r="D112" s="146" t="s">
        <v>183</v>
      </c>
      <c r="E112" s="95">
        <f>'12'!F112</f>
        <v>12517.16</v>
      </c>
      <c r="F112" s="237">
        <v>12589</v>
      </c>
      <c r="G112" s="112">
        <f t="shared" ref="G112:G123" si="9">F112-E112</f>
        <v>71.840000000000146</v>
      </c>
      <c r="H112" s="99">
        <f>G112+'12'!H112</f>
        <v>926</v>
      </c>
      <c r="I112" s="165"/>
      <c r="J112" s="328">
        <f>H112/DAY(B2)</f>
        <v>71.230769230769226</v>
      </c>
    </row>
    <row r="113" spans="1:18" ht="27.75" customHeight="1">
      <c r="A113" s="1266" t="s">
        <v>253</v>
      </c>
      <c r="B113" s="1267"/>
      <c r="C113" s="1268"/>
      <c r="D113" s="146" t="s">
        <v>183</v>
      </c>
      <c r="E113" s="95">
        <f>'12'!F113</f>
        <v>25191.26</v>
      </c>
      <c r="F113" s="237">
        <v>25331</v>
      </c>
      <c r="G113" s="112">
        <f t="shared" si="9"/>
        <v>139.7400000000016</v>
      </c>
      <c r="H113" s="99">
        <f>G113+'12'!H113</f>
        <v>1810</v>
      </c>
      <c r="I113" s="165"/>
      <c r="J113" s="328">
        <f>H113/DAY(B2)</f>
        <v>139.23076923076923</v>
      </c>
    </row>
    <row r="114" spans="1:18" ht="27.75" customHeight="1">
      <c r="A114" s="1266" t="s">
        <v>254</v>
      </c>
      <c r="B114" s="1267"/>
      <c r="C114" s="1268"/>
      <c r="D114" s="146" t="s">
        <v>183</v>
      </c>
      <c r="E114" s="95">
        <f>'12'!F114</f>
        <v>37461.54</v>
      </c>
      <c r="F114" s="237">
        <v>37690</v>
      </c>
      <c r="G114" s="112">
        <f t="shared" si="9"/>
        <v>228.45999999999913</v>
      </c>
      <c r="H114" s="99">
        <f>G114+'12'!H114</f>
        <v>2915</v>
      </c>
      <c r="I114" s="165"/>
      <c r="J114" s="328">
        <f>H114/DAY(B2)</f>
        <v>224.23076923076923</v>
      </c>
    </row>
    <row r="115" spans="1:18" ht="27.75" customHeight="1">
      <c r="A115" s="1266" t="s">
        <v>255</v>
      </c>
      <c r="B115" s="1267"/>
      <c r="C115" s="1268"/>
      <c r="D115" s="146" t="s">
        <v>183</v>
      </c>
      <c r="E115" s="95">
        <f>'12'!F115</f>
        <v>23603.21</v>
      </c>
      <c r="F115" s="237">
        <v>23767</v>
      </c>
      <c r="G115" s="112">
        <f t="shared" si="9"/>
        <v>163.79000000000087</v>
      </c>
      <c r="H115" s="99">
        <f>G115+'12'!H115</f>
        <v>1714</v>
      </c>
      <c r="I115" s="165"/>
      <c r="J115" s="328">
        <f>H115/DAY(B2)</f>
        <v>131.84615384615384</v>
      </c>
    </row>
    <row r="116" spans="1:18" ht="27.75" customHeight="1">
      <c r="A116" s="1275" t="s">
        <v>96</v>
      </c>
      <c r="B116" s="1276"/>
      <c r="C116" s="1277"/>
      <c r="D116" s="146" t="s">
        <v>183</v>
      </c>
      <c r="E116" s="95">
        <f>'12'!F116</f>
        <v>102082.02</v>
      </c>
      <c r="F116" s="237">
        <v>102232</v>
      </c>
      <c r="G116" s="112">
        <f t="shared" si="9"/>
        <v>149.97999999999593</v>
      </c>
      <c r="H116" s="99">
        <f>G116+'12'!H116</f>
        <v>5097</v>
      </c>
      <c r="I116" s="165"/>
      <c r="J116" s="328">
        <f>H116/DAY(B2)</f>
        <v>392.07692307692309</v>
      </c>
      <c r="Q116" s="1266"/>
      <c r="R116" s="1268"/>
    </row>
    <row r="117" spans="1:18" ht="27.75" customHeight="1">
      <c r="A117" s="1275" t="s">
        <v>184</v>
      </c>
      <c r="B117" s="1276"/>
      <c r="C117" s="1277"/>
      <c r="D117" s="146" t="s">
        <v>183</v>
      </c>
      <c r="E117" s="95">
        <f>'12'!F117</f>
        <v>60484.01</v>
      </c>
      <c r="F117" s="237">
        <v>60815</v>
      </c>
      <c r="G117" s="112">
        <f t="shared" si="9"/>
        <v>330.98999999999796</v>
      </c>
      <c r="H117" s="99">
        <f>G117+'12'!H117</f>
        <v>4310</v>
      </c>
      <c r="I117" s="165"/>
      <c r="J117" s="328">
        <f>H117/DAY(B2)</f>
        <v>331.53846153846155</v>
      </c>
      <c r="Q117" s="1266"/>
      <c r="R117" s="1268"/>
    </row>
    <row r="118" spans="1:18" ht="27.75" customHeight="1">
      <c r="A118" s="1269" t="s">
        <v>97</v>
      </c>
      <c r="B118" s="1269"/>
      <c r="C118" s="1269"/>
      <c r="D118" s="151" t="s">
        <v>183</v>
      </c>
      <c r="E118" s="95">
        <f>'12'!F118</f>
        <v>108866</v>
      </c>
      <c r="F118" s="400">
        <v>109440</v>
      </c>
      <c r="G118" s="112">
        <f t="shared" si="9"/>
        <v>574</v>
      </c>
      <c r="H118" s="99">
        <f>G118+'12'!H118</f>
        <v>7686</v>
      </c>
      <c r="I118" s="165"/>
      <c r="J118" s="328">
        <f>H118/DAY(B2)</f>
        <v>591.23076923076928</v>
      </c>
      <c r="Q118" s="1266"/>
      <c r="R118" s="1268"/>
    </row>
    <row r="119" spans="1:18" ht="27.75" customHeight="1">
      <c r="A119" s="1269" t="s">
        <v>98</v>
      </c>
      <c r="B119" s="1269"/>
      <c r="C119" s="1269"/>
      <c r="D119" s="151" t="s">
        <v>183</v>
      </c>
      <c r="E119" s="95">
        <f>'12'!F119</f>
        <v>42724.71</v>
      </c>
      <c r="F119" s="237">
        <v>42738</v>
      </c>
      <c r="G119" s="112">
        <f t="shared" si="9"/>
        <v>13.290000000000873</v>
      </c>
      <c r="H119" s="99">
        <f>G119+'12'!H119</f>
        <v>157</v>
      </c>
      <c r="I119" s="165"/>
      <c r="J119" s="328">
        <f>H119/DAY(B2)</f>
        <v>12.076923076923077</v>
      </c>
    </row>
    <row r="120" spans="1:18" ht="27.75" customHeight="1">
      <c r="A120" s="1269" t="s">
        <v>99</v>
      </c>
      <c r="B120" s="1269"/>
      <c r="C120" s="1269"/>
      <c r="D120" s="151" t="s">
        <v>183</v>
      </c>
      <c r="E120" s="95">
        <f>'12'!F120</f>
        <v>76131.179999999993</v>
      </c>
      <c r="F120" s="237">
        <v>76532</v>
      </c>
      <c r="G120" s="112">
        <f t="shared" si="9"/>
        <v>400.82000000000698</v>
      </c>
      <c r="H120" s="99">
        <f>G120+'12'!H120</f>
        <v>5200</v>
      </c>
      <c r="I120" s="165"/>
      <c r="J120" s="328">
        <f>H120/DAY(B2)</f>
        <v>400</v>
      </c>
    </row>
    <row r="121" spans="1:18" ht="27.75" customHeight="1">
      <c r="A121" s="1269" t="s">
        <v>100</v>
      </c>
      <c r="B121" s="1269"/>
      <c r="C121" s="1269"/>
      <c r="D121" s="151" t="s">
        <v>183</v>
      </c>
      <c r="E121" s="95">
        <f>'12'!F121</f>
        <v>86684.43</v>
      </c>
      <c r="F121" s="237">
        <v>87161</v>
      </c>
      <c r="G121" s="112">
        <f t="shared" si="9"/>
        <v>476.57000000000698</v>
      </c>
      <c r="H121" s="99">
        <f>G121+'12'!H121</f>
        <v>5805</v>
      </c>
      <c r="I121" s="165"/>
      <c r="J121" s="328">
        <f>H121/DAY(B2)</f>
        <v>446.53846153846155</v>
      </c>
    </row>
    <row r="122" spans="1:18" ht="27.75" customHeight="1">
      <c r="A122" s="1269" t="s">
        <v>101</v>
      </c>
      <c r="B122" s="1269"/>
      <c r="C122" s="1269"/>
      <c r="D122" s="151" t="s">
        <v>183</v>
      </c>
      <c r="E122" s="95">
        <f>'12'!F122</f>
        <v>53651.11</v>
      </c>
      <c r="F122" s="237">
        <v>54042</v>
      </c>
      <c r="G122" s="112">
        <f t="shared" si="9"/>
        <v>390.88999999999942</v>
      </c>
      <c r="H122" s="99">
        <f>G122+'12'!H122</f>
        <v>4911</v>
      </c>
      <c r="I122" s="165"/>
      <c r="J122" s="328">
        <f>H122/DAY(B2)</f>
        <v>377.76923076923077</v>
      </c>
    </row>
    <row r="123" spans="1:18" ht="27.75" customHeight="1">
      <c r="A123" s="1269" t="s">
        <v>102</v>
      </c>
      <c r="B123" s="1269"/>
      <c r="C123" s="1269"/>
      <c r="D123" s="151" t="s">
        <v>183</v>
      </c>
      <c r="E123" s="95">
        <f>'12'!F123</f>
        <v>53408.32</v>
      </c>
      <c r="F123" s="237">
        <v>53713</v>
      </c>
      <c r="G123" s="112">
        <f t="shared" si="9"/>
        <v>304.68000000000029</v>
      </c>
      <c r="H123" s="99">
        <f>G123+'12'!H123</f>
        <v>3964</v>
      </c>
      <c r="I123" s="165"/>
      <c r="J123" s="328">
        <f>H123/DAY(B2)</f>
        <v>304.92307692307691</v>
      </c>
    </row>
    <row r="124" spans="1:18" ht="27.75" customHeight="1">
      <c r="A124" s="1270"/>
      <c r="B124" s="1271"/>
      <c r="C124" s="1272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1261" t="s">
        <v>196</v>
      </c>
      <c r="B125" s="1262"/>
      <c r="C125" s="245"/>
      <c r="D125" s="307"/>
      <c r="E125" s="308"/>
      <c r="F125" s="308"/>
      <c r="G125" s="309">
        <f>SUM(G112:G124)</f>
        <v>3245.0500000000102</v>
      </c>
      <c r="H125" s="156"/>
      <c r="I125" s="327">
        <f>G125-(G39+G53)</f>
        <v>-793.11999999997352</v>
      </c>
      <c r="J125" s="327"/>
    </row>
    <row r="126" spans="1:18" ht="27.75" customHeight="1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7.75" customHeight="1">
      <c r="A127" s="1274"/>
      <c r="B127" s="1274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1266" t="s">
        <v>318</v>
      </c>
      <c r="B128" s="1267"/>
      <c r="C128" s="1268"/>
      <c r="D128" s="151" t="s">
        <v>183</v>
      </c>
      <c r="E128" s="95">
        <f>'12'!F128</f>
        <v>159825.48000000001</v>
      </c>
      <c r="F128" s="165">
        <v>160216</v>
      </c>
      <c r="G128" s="112">
        <f t="shared" ref="G128:G134" si="10">F128-E128</f>
        <v>390.51999999998952</v>
      </c>
      <c r="H128" s="99">
        <f>G128+'12'!H128</f>
        <v>5401</v>
      </c>
      <c r="I128" s="165"/>
      <c r="J128" s="328">
        <f>H128/DAY(B2)</f>
        <v>415.46153846153845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86003.95</v>
      </c>
      <c r="F129" s="165">
        <v>86175</v>
      </c>
      <c r="G129" s="112">
        <f t="shared" si="10"/>
        <v>171.05000000000291</v>
      </c>
      <c r="H129" s="99">
        <f>G129+'12'!H129</f>
        <v>2239</v>
      </c>
      <c r="I129" s="165"/>
      <c r="J129" s="328">
        <f>H129/DAY(B2)</f>
        <v>172.23076923076923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214363.63</v>
      </c>
      <c r="F130" s="165">
        <v>214930</v>
      </c>
      <c r="G130" s="112">
        <f t="shared" si="10"/>
        <v>566.36999999999534</v>
      </c>
      <c r="H130" s="99">
        <f>G130+'12'!H130</f>
        <v>8171</v>
      </c>
      <c r="I130" s="165"/>
      <c r="J130" s="328">
        <f>H130/DAY(B2)</f>
        <v>628.53846153846155</v>
      </c>
      <c r="N130" s="240"/>
      <c r="O130" s="241"/>
    </row>
    <row r="131" spans="1:15" ht="27.75" customHeight="1">
      <c r="A131" s="1266" t="s">
        <v>321</v>
      </c>
      <c r="B131" s="1267"/>
      <c r="C131" s="1268"/>
      <c r="D131" s="151" t="s">
        <v>183</v>
      </c>
      <c r="E131" s="95">
        <f>'12'!F131</f>
        <v>62639.23</v>
      </c>
      <c r="F131" s="165">
        <v>62812</v>
      </c>
      <c r="G131" s="112">
        <f t="shared" si="10"/>
        <v>172.7699999999968</v>
      </c>
      <c r="H131" s="99">
        <f>G131+'12'!H131</f>
        <v>2504</v>
      </c>
      <c r="I131" s="165"/>
      <c r="J131" s="328">
        <f>H131/DAY(B2)</f>
        <v>192.61538461538461</v>
      </c>
      <c r="N131" s="240"/>
      <c r="O131" s="241"/>
    </row>
    <row r="132" spans="1:15" ht="27.75" customHeight="1">
      <c r="A132" s="1266" t="s">
        <v>322</v>
      </c>
      <c r="B132" s="1267"/>
      <c r="C132" s="1268"/>
      <c r="D132" s="151" t="s">
        <v>183</v>
      </c>
      <c r="E132" s="95">
        <f>'12'!F132</f>
        <v>146985</v>
      </c>
      <c r="F132" s="165">
        <v>146985</v>
      </c>
      <c r="G132" s="112">
        <f t="shared" si="10"/>
        <v>0</v>
      </c>
      <c r="H132" s="99">
        <f>G132+'12'!H132</f>
        <v>0</v>
      </c>
      <c r="I132" s="165"/>
      <c r="J132" s="328">
        <f>H132/DAY(B2)</f>
        <v>0</v>
      </c>
    </row>
    <row r="133" spans="1:15" ht="27.75" customHeight="1">
      <c r="A133" s="1266" t="s">
        <v>357</v>
      </c>
      <c r="B133" s="1267"/>
      <c r="C133" s="1268"/>
      <c r="D133" s="151" t="s">
        <v>183</v>
      </c>
      <c r="E133" s="365">
        <v>276220.81</v>
      </c>
      <c r="F133" s="165">
        <v>277254</v>
      </c>
      <c r="G133" s="112">
        <f t="shared" si="10"/>
        <v>1033.1900000000023</v>
      </c>
      <c r="H133" s="99">
        <f>G133+'12'!H133</f>
        <v>11309</v>
      </c>
      <c r="I133" s="165"/>
      <c r="J133" s="328">
        <f>H133/DAY(B2)</f>
        <v>869.92307692307691</v>
      </c>
    </row>
    <row r="134" spans="1:15" ht="27.75" customHeight="1">
      <c r="A134" s="1266" t="s">
        <v>340</v>
      </c>
      <c r="B134" s="1267"/>
      <c r="C134" s="1268"/>
      <c r="D134" s="151" t="s">
        <v>183</v>
      </c>
      <c r="E134" s="95">
        <f>'12'!F134</f>
        <v>66703.47</v>
      </c>
      <c r="F134" s="165">
        <v>66956</v>
      </c>
      <c r="G134" s="112">
        <f t="shared" si="10"/>
        <v>252.52999999999884</v>
      </c>
      <c r="H134" s="99">
        <f>G134+'12'!H134</f>
        <v>3294</v>
      </c>
      <c r="I134" s="165"/>
      <c r="J134" s="328">
        <f>H134/DAY(B2)</f>
        <v>253.38461538461539</v>
      </c>
    </row>
    <row r="135" spans="1:15" ht="27.75" customHeight="1">
      <c r="A135" s="1261" t="s">
        <v>196</v>
      </c>
      <c r="B135" s="1262"/>
      <c r="C135" s="331"/>
      <c r="D135" s="151"/>
      <c r="E135" s="95"/>
      <c r="F135" s="165"/>
      <c r="G135" s="112">
        <f>SUM(G128:G134)</f>
        <v>2586.4299999999857</v>
      </c>
      <c r="H135" s="99">
        <f>G135+'12'!H135</f>
        <v>30516.980000000025</v>
      </c>
      <c r="I135" s="327">
        <f>G135-(G35+G49)</f>
        <v>-1096.5899999999747</v>
      </c>
      <c r="J135" s="328">
        <f>H135/DAY(B2)</f>
        <v>2347.4600000000019</v>
      </c>
    </row>
    <row r="136" spans="1:15" ht="27.75" customHeight="1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1269" t="s">
        <v>185</v>
      </c>
      <c r="B138" s="1269"/>
      <c r="C138" s="1269"/>
      <c r="D138" s="151" t="s">
        <v>183</v>
      </c>
      <c r="E138" s="95">
        <f>'12'!F138</f>
        <v>899896</v>
      </c>
      <c r="F138" s="148">
        <v>900046</v>
      </c>
      <c r="G138" s="112">
        <f t="shared" ref="G138:G152" si="11">F138-E138</f>
        <v>150</v>
      </c>
      <c r="H138" s="99">
        <f>G138+'12'!H138</f>
        <v>1841</v>
      </c>
      <c r="I138" s="118"/>
      <c r="J138" s="328">
        <f>H138/DAY(B2)</f>
        <v>141.61538461538461</v>
      </c>
    </row>
    <row r="139" spans="1:15" ht="27.75" customHeight="1">
      <c r="A139" s="1269" t="s">
        <v>186</v>
      </c>
      <c r="B139" s="1269"/>
      <c r="C139" s="1269"/>
      <c r="D139" s="151" t="s">
        <v>183</v>
      </c>
      <c r="E139" s="95">
        <f>'12'!F139</f>
        <v>920031</v>
      </c>
      <c r="F139" s="148">
        <v>920208</v>
      </c>
      <c r="G139" s="112">
        <f t="shared" si="11"/>
        <v>177</v>
      </c>
      <c r="H139" s="99">
        <f>G139+'12'!H139</f>
        <v>2004</v>
      </c>
      <c r="I139" s="118"/>
      <c r="J139" s="328">
        <f>H139/DAY(B2)</f>
        <v>154.15384615384616</v>
      </c>
    </row>
    <row r="140" spans="1:15" ht="27.75" customHeight="1">
      <c r="A140" s="1269" t="s">
        <v>187</v>
      </c>
      <c r="B140" s="1269"/>
      <c r="C140" s="1269"/>
      <c r="D140" s="151" t="s">
        <v>183</v>
      </c>
      <c r="E140" s="95">
        <f>'12'!F140</f>
        <v>2484.7199999999998</v>
      </c>
      <c r="F140" s="149">
        <v>2495</v>
      </c>
      <c r="G140" s="112">
        <f t="shared" si="11"/>
        <v>10.2800000000002</v>
      </c>
      <c r="H140" s="99">
        <f>G140+'12'!H140</f>
        <v>152</v>
      </c>
      <c r="I140" s="118"/>
      <c r="J140" s="328">
        <f>H140/DAY(B2)</f>
        <v>11.692307692307692</v>
      </c>
    </row>
    <row r="141" spans="1:15" ht="27.75" customHeight="1">
      <c r="A141" s="1256" t="s">
        <v>188</v>
      </c>
      <c r="B141" s="1256"/>
      <c r="C141" s="1256"/>
      <c r="D141" s="151" t="s">
        <v>183</v>
      </c>
      <c r="E141" s="95">
        <f>'12'!F141</f>
        <v>106456.99</v>
      </c>
      <c r="F141" s="149">
        <v>106675</v>
      </c>
      <c r="G141" s="112">
        <f t="shared" si="11"/>
        <v>218.00999999999476</v>
      </c>
      <c r="H141" s="99">
        <f>G141+'12'!H141</f>
        <v>2901</v>
      </c>
      <c r="I141" s="118"/>
      <c r="J141" s="328">
        <f>H141/DAY(B2)</f>
        <v>223.15384615384616</v>
      </c>
    </row>
    <row r="142" spans="1:15" ht="27.75" customHeight="1">
      <c r="A142" s="1256" t="s">
        <v>189</v>
      </c>
      <c r="B142" s="1256"/>
      <c r="C142" s="1256"/>
      <c r="D142" s="151" t="s">
        <v>183</v>
      </c>
      <c r="E142" s="95">
        <f>'12'!F142</f>
        <v>42894.64</v>
      </c>
      <c r="F142" s="148">
        <v>42982</v>
      </c>
      <c r="G142" s="112">
        <f t="shared" si="11"/>
        <v>87.360000000000582</v>
      </c>
      <c r="H142" s="99">
        <f>G142+'12'!H142</f>
        <v>1167</v>
      </c>
      <c r="I142" s="140"/>
      <c r="J142" s="328">
        <f>H142/DAY(B2)</f>
        <v>89.769230769230774</v>
      </c>
    </row>
    <row r="143" spans="1:15" ht="27.75" customHeight="1">
      <c r="A143" s="1269" t="s">
        <v>91</v>
      </c>
      <c r="B143" s="1269"/>
      <c r="C143" s="1269"/>
      <c r="D143" s="151" t="s">
        <v>183</v>
      </c>
      <c r="E143" s="95">
        <f>'12'!F143</f>
        <v>10997.86</v>
      </c>
      <c r="F143" s="149">
        <v>11024</v>
      </c>
      <c r="G143" s="112">
        <f t="shared" si="11"/>
        <v>26.139999999999418</v>
      </c>
      <c r="H143" s="99">
        <f>G143+'12'!H143</f>
        <v>347</v>
      </c>
      <c r="I143" s="140"/>
      <c r="J143" s="328">
        <f>H143/DAY(B2)</f>
        <v>26.692307692307693</v>
      </c>
    </row>
    <row r="144" spans="1:15" ht="27.75" customHeight="1">
      <c r="A144" s="1256" t="s">
        <v>90</v>
      </c>
      <c r="B144" s="1256"/>
      <c r="C144" s="1256"/>
      <c r="D144" s="151" t="s">
        <v>183</v>
      </c>
      <c r="E144" s="95">
        <f>'12'!F144</f>
        <v>936390</v>
      </c>
      <c r="F144" s="148">
        <v>936650</v>
      </c>
      <c r="G144" s="112">
        <f t="shared" si="11"/>
        <v>260</v>
      </c>
      <c r="H144" s="99">
        <f>G144+'12'!H144</f>
        <v>3129</v>
      </c>
      <c r="I144" s="140"/>
      <c r="J144" s="328">
        <f>H144/DAY(B2)</f>
        <v>240.69230769230768</v>
      </c>
    </row>
    <row r="145" spans="1:10" ht="27.75" customHeight="1">
      <c r="A145" s="1269" t="s">
        <v>190</v>
      </c>
      <c r="B145" s="1269"/>
      <c r="C145" s="1269"/>
      <c r="D145" s="152" t="s">
        <v>183</v>
      </c>
      <c r="E145" s="95">
        <f>'12'!F145</f>
        <v>15726.81</v>
      </c>
      <c r="F145" s="149">
        <v>15904</v>
      </c>
      <c r="G145" s="112">
        <f t="shared" si="11"/>
        <v>177.19000000000051</v>
      </c>
      <c r="H145" s="99">
        <f>G145+'12'!H145</f>
        <v>2764</v>
      </c>
      <c r="I145" s="140"/>
      <c r="J145" s="328">
        <f>H145/DAY(B2)</f>
        <v>212.61538461538461</v>
      </c>
    </row>
    <row r="146" spans="1:10" ht="27.75" customHeight="1">
      <c r="A146" s="1332" t="s">
        <v>191</v>
      </c>
      <c r="B146" s="1289"/>
      <c r="C146" s="1290"/>
      <c r="D146" s="152" t="s">
        <v>183</v>
      </c>
      <c r="E146" s="95">
        <f>'12'!F146</f>
        <v>784865</v>
      </c>
      <c r="F146" s="148">
        <v>784927</v>
      </c>
      <c r="G146" s="112">
        <f t="shared" si="11"/>
        <v>62</v>
      </c>
      <c r="H146" s="99">
        <f>G146+'12'!H146</f>
        <v>588</v>
      </c>
      <c r="I146" s="140"/>
      <c r="J146" s="328">
        <f>H146/DAY(B2)</f>
        <v>45.230769230769234</v>
      </c>
    </row>
    <row r="147" spans="1:10" ht="27.75" customHeight="1">
      <c r="A147" s="1256" t="s">
        <v>192</v>
      </c>
      <c r="B147" s="1256"/>
      <c r="C147" s="1256"/>
      <c r="D147" s="152" t="s">
        <v>183</v>
      </c>
      <c r="E147" s="95">
        <f>'12'!F147</f>
        <v>728280.56</v>
      </c>
      <c r="F147" s="148">
        <v>728705</v>
      </c>
      <c r="G147" s="112">
        <f t="shared" si="11"/>
        <v>424.43999999994412</v>
      </c>
      <c r="H147" s="99">
        <f>G147+'12'!H147</f>
        <v>5183</v>
      </c>
      <c r="I147" s="140"/>
      <c r="J147" s="328">
        <f>H147/DAY(B2)</f>
        <v>398.69230769230768</v>
      </c>
    </row>
    <row r="148" spans="1:10" ht="27.75" customHeight="1">
      <c r="A148" s="1257" t="s">
        <v>193</v>
      </c>
      <c r="B148" s="1258"/>
      <c r="C148" s="1259"/>
      <c r="D148" s="123" t="s">
        <v>130</v>
      </c>
      <c r="E148" s="95">
        <f>'12'!F148</f>
        <v>770083.92</v>
      </c>
      <c r="F148" s="150">
        <v>770400</v>
      </c>
      <c r="G148" s="112">
        <f t="shared" si="11"/>
        <v>316.07999999995809</v>
      </c>
      <c r="H148" s="99">
        <f>G148+'12'!H148</f>
        <v>3790</v>
      </c>
      <c r="I148" s="124"/>
      <c r="J148" s="328">
        <f>H148/DAY(B2)</f>
        <v>291.53846153846155</v>
      </c>
    </row>
    <row r="149" spans="1:10" ht="27.75" customHeight="1">
      <c r="A149" s="1257" t="s">
        <v>336</v>
      </c>
      <c r="B149" s="1258"/>
      <c r="C149" s="1259"/>
      <c r="D149" s="227" t="s">
        <v>130</v>
      </c>
      <c r="E149" s="95">
        <f>'12'!F149</f>
        <v>163123</v>
      </c>
      <c r="F149" s="629">
        <v>163533</v>
      </c>
      <c r="G149" s="112">
        <f t="shared" si="11"/>
        <v>410</v>
      </c>
      <c r="H149" s="99">
        <f>G149+'12'!H149</f>
        <v>5566</v>
      </c>
      <c r="I149" s="119"/>
      <c r="J149" s="328">
        <f>H149/DAY(B2)</f>
        <v>428.15384615384613</v>
      </c>
    </row>
    <row r="150" spans="1:10" ht="27.75" customHeight="1">
      <c r="A150" s="1257" t="s">
        <v>337</v>
      </c>
      <c r="B150" s="1258"/>
      <c r="C150" s="1259"/>
      <c r="D150" s="117" t="s">
        <v>130</v>
      </c>
      <c r="E150" s="95">
        <f>'12'!F150</f>
        <v>66631.63</v>
      </c>
      <c r="F150" s="629">
        <v>66845</v>
      </c>
      <c r="G150" s="112">
        <f t="shared" si="11"/>
        <v>213.36999999999534</v>
      </c>
      <c r="H150" s="99">
        <f>G150+'12'!H150</f>
        <v>2867</v>
      </c>
      <c r="I150" s="119"/>
      <c r="J150" s="328">
        <f>H150/DAY(B2)</f>
        <v>220.53846153846155</v>
      </c>
    </row>
    <row r="151" spans="1:10" ht="27.75" customHeight="1">
      <c r="A151" s="1257" t="s">
        <v>338</v>
      </c>
      <c r="B151" s="1258"/>
      <c r="C151" s="1259"/>
      <c r="D151" s="117" t="s">
        <v>130</v>
      </c>
      <c r="E151" s="95">
        <f>'12'!F151</f>
        <v>150429</v>
      </c>
      <c r="F151" s="629">
        <v>150485</v>
      </c>
      <c r="G151" s="112">
        <f t="shared" si="11"/>
        <v>56</v>
      </c>
      <c r="H151" s="99">
        <f>G151+'12'!H151</f>
        <v>697</v>
      </c>
      <c r="I151" s="119"/>
      <c r="J151" s="328">
        <f>H151/DAY(B2)</f>
        <v>53.615384615384613</v>
      </c>
    </row>
    <row r="152" spans="1:10" ht="27.75" customHeight="1">
      <c r="A152" s="1257" t="s">
        <v>339</v>
      </c>
      <c r="B152" s="1258"/>
      <c r="C152" s="1259"/>
      <c r="D152" s="117" t="s">
        <v>130</v>
      </c>
      <c r="E152" s="95">
        <f>'12'!F152</f>
        <v>32159.35</v>
      </c>
      <c r="F152" s="629">
        <v>32286</v>
      </c>
      <c r="G152" s="112">
        <f t="shared" si="11"/>
        <v>126.65000000000146</v>
      </c>
      <c r="H152" s="99">
        <f>G152+'12'!H152</f>
        <v>1672</v>
      </c>
      <c r="I152" s="119"/>
      <c r="J152" s="328">
        <f>H152/DAY(B2)</f>
        <v>128.61538461538461</v>
      </c>
    </row>
    <row r="153" spans="1:10" ht="27.75" customHeight="1">
      <c r="A153" s="1261" t="s">
        <v>196</v>
      </c>
      <c r="B153" s="1262"/>
      <c r="C153" s="362"/>
      <c r="D153" s="355"/>
      <c r="E153" s="357"/>
      <c r="F153" s="358"/>
      <c r="G153" s="359">
        <f>SUM(G138:G152)</f>
        <v>2714.5199999998945</v>
      </c>
      <c r="H153" s="360"/>
      <c r="I153" s="119">
        <f>G153-(G38+G52)</f>
        <v>482.58999999984326</v>
      </c>
      <c r="J153" s="363"/>
    </row>
    <row r="154" spans="1:10" ht="27.75" customHeight="1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0" ht="27.75" customHeight="1">
      <c r="A155" s="1256" t="s">
        <v>345</v>
      </c>
      <c r="B155" s="1256"/>
      <c r="C155" s="1256"/>
      <c r="D155" s="117" t="s">
        <v>130</v>
      </c>
      <c r="E155" s="404">
        <v>192283</v>
      </c>
      <c r="F155" s="365">
        <v>192809</v>
      </c>
      <c r="G155" s="112">
        <f t="shared" ref="G155:G158" si="12">F155-E155</f>
        <v>526</v>
      </c>
      <c r="H155" s="99">
        <f>G155+'12'!H155</f>
        <v>7068</v>
      </c>
      <c r="I155" s="361"/>
      <c r="J155" s="328">
        <f>H155/DAY(B2)</f>
        <v>543.69230769230774</v>
      </c>
    </row>
    <row r="156" spans="1:10" ht="27.75" customHeight="1">
      <c r="A156" s="1256" t="s">
        <v>347</v>
      </c>
      <c r="B156" s="1256"/>
      <c r="C156" s="1256"/>
      <c r="D156" s="117" t="s">
        <v>130</v>
      </c>
      <c r="E156" s="404">
        <v>21861.97</v>
      </c>
      <c r="F156" s="365">
        <v>21960</v>
      </c>
      <c r="G156" s="112">
        <f t="shared" si="12"/>
        <v>98.029999999998836</v>
      </c>
      <c r="H156" s="99">
        <f>G156+'12'!H156</f>
        <v>1221</v>
      </c>
      <c r="I156" s="165"/>
      <c r="J156" s="328">
        <f>H156/DAY(B2)</f>
        <v>93.92307692307692</v>
      </c>
    </row>
    <row r="157" spans="1:10" ht="27.75" customHeight="1">
      <c r="A157" s="1257" t="s">
        <v>358</v>
      </c>
      <c r="B157" s="1258"/>
      <c r="C157" s="1259"/>
      <c r="D157" s="117" t="s">
        <v>130</v>
      </c>
      <c r="E157" s="404">
        <v>37558.54</v>
      </c>
      <c r="F157" s="365">
        <v>37558.54</v>
      </c>
      <c r="G157" s="112">
        <f t="shared" si="12"/>
        <v>0</v>
      </c>
      <c r="H157" s="99">
        <f>G157+'12'!H157</f>
        <v>1434.5400000000009</v>
      </c>
      <c r="I157" s="165"/>
      <c r="J157" s="328">
        <f>H157/DAY(B2)</f>
        <v>110.34923076923084</v>
      </c>
    </row>
    <row r="158" spans="1:10" ht="27.75" customHeight="1">
      <c r="A158" s="1257" t="s">
        <v>359</v>
      </c>
      <c r="B158" s="1258"/>
      <c r="C158" s="1259"/>
      <c r="D158" s="117" t="s">
        <v>130</v>
      </c>
      <c r="E158" s="404">
        <v>786.08</v>
      </c>
      <c r="F158" s="365">
        <v>809</v>
      </c>
      <c r="G158" s="112">
        <f t="shared" si="12"/>
        <v>22.919999999999959</v>
      </c>
      <c r="H158" s="99">
        <f>G158+'12'!H158</f>
        <v>304.37</v>
      </c>
      <c r="I158" s="165"/>
      <c r="J158" s="328">
        <f>H158/DAY(B2)</f>
        <v>23.413076923076922</v>
      </c>
    </row>
    <row r="159" spans="1:10" ht="27.75" customHeight="1">
      <c r="A159" s="1263"/>
      <c r="B159" s="1264"/>
      <c r="C159" s="1265"/>
      <c r="D159" s="117"/>
      <c r="E159" s="95"/>
      <c r="F159" s="165"/>
      <c r="G159" s="359">
        <f>SUM(G155:G158)</f>
        <v>646.94999999999879</v>
      </c>
      <c r="H159" s="99"/>
      <c r="I159" s="165"/>
      <c r="J159" s="328"/>
    </row>
    <row r="160" spans="1:10" ht="27.75" customHeight="1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491788.84</v>
      </c>
      <c r="F161" s="235">
        <v>492088.12</v>
      </c>
      <c r="G161" s="238">
        <f t="shared" ref="G161:G165" si="13">F161-E161</f>
        <v>299.27999999996973</v>
      </c>
      <c r="H161" s="99">
        <f>G161+'12'!H161</f>
        <v>3765.1199999999953</v>
      </c>
      <c r="I161" s="236"/>
      <c r="J161" s="239">
        <f>H161/DAY(B2)</f>
        <v>289.62461538461503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97714.3</v>
      </c>
      <c r="F162" s="235">
        <v>97764</v>
      </c>
      <c r="G162" s="238">
        <f t="shared" si="13"/>
        <v>49.69999999999709</v>
      </c>
      <c r="H162" s="99">
        <f>G162+'12'!H162</f>
        <v>476</v>
      </c>
      <c r="I162" s="236"/>
      <c r="J162" s="239">
        <f>H162/DAY(B2)</f>
        <v>36.615384615384613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15519.4</v>
      </c>
      <c r="F163" s="235">
        <v>15616</v>
      </c>
      <c r="G163" s="238">
        <f t="shared" si="13"/>
        <v>96.600000000000364</v>
      </c>
      <c r="H163" s="99">
        <f>G163+'12'!H163</f>
        <v>1452</v>
      </c>
      <c r="I163" s="236"/>
      <c r="J163" s="239">
        <f>H163/DAY(B2)</f>
        <v>111.69230769230769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6695.6</v>
      </c>
      <c r="F164" s="235">
        <v>6701</v>
      </c>
      <c r="G164" s="238">
        <f t="shared" si="13"/>
        <v>5.3999999999996362</v>
      </c>
      <c r="H164" s="99">
        <f>G164+'12'!H164</f>
        <v>89</v>
      </c>
      <c r="I164" s="236"/>
      <c r="J164" s="239">
        <f>H164/DAY(B2)</f>
        <v>6.8461538461538458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32221.25</v>
      </c>
      <c r="F165" s="235">
        <v>32229</v>
      </c>
      <c r="G165" s="238">
        <f t="shared" si="13"/>
        <v>7.75</v>
      </c>
      <c r="H165" s="99">
        <f>G165+'12'!H165</f>
        <v>88</v>
      </c>
      <c r="I165" s="236"/>
      <c r="J165" s="239">
        <f>H165/DAY(B2)</f>
        <v>6.7692307692307692</v>
      </c>
    </row>
    <row r="166" spans="1:10" ht="27.75" customHeight="1">
      <c r="A166" s="1274"/>
      <c r="B166" s="1274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1274"/>
      <c r="B167" s="1274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1274"/>
      <c r="B168" s="1274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7.75" customHeight="1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1254" t="s">
        <v>209</v>
      </c>
      <c r="B173" s="1255"/>
      <c r="C173" s="333"/>
      <c r="D173" s="228" t="s">
        <v>142</v>
      </c>
      <c r="E173" s="95">
        <f>'12'!F173</f>
        <v>8604</v>
      </c>
      <c r="F173" s="155">
        <v>8604</v>
      </c>
      <c r="G173" s="155">
        <f>F173-E173</f>
        <v>0</v>
      </c>
      <c r="H173" s="99">
        <f>G173+'12'!H173</f>
        <v>23</v>
      </c>
      <c r="I173" s="155"/>
      <c r="J173" s="178">
        <f>H173/DAY(B2)</f>
        <v>1.7692307692307692</v>
      </c>
    </row>
    <row r="174" spans="1:10" ht="27.75" customHeight="1">
      <c r="A174" s="1254" t="s">
        <v>75</v>
      </c>
      <c r="B174" s="1255"/>
      <c r="C174" s="333"/>
      <c r="D174" s="228" t="s">
        <v>142</v>
      </c>
      <c r="E174" s="95">
        <f>'12'!F174</f>
        <v>42119</v>
      </c>
      <c r="F174" s="157">
        <v>42134</v>
      </c>
      <c r="G174" s="155">
        <f t="shared" ref="G174:G175" si="14">F174-E174</f>
        <v>15</v>
      </c>
      <c r="H174" s="99">
        <f>G174+'12'!H174</f>
        <v>172</v>
      </c>
      <c r="I174" s="155"/>
      <c r="J174" s="178">
        <f>H174/DAY(B2)</f>
        <v>13.23076923076923</v>
      </c>
    </row>
    <row r="175" spans="1:10" ht="27.75" customHeight="1">
      <c r="A175" s="1254" t="s">
        <v>76</v>
      </c>
      <c r="B175" s="1324"/>
      <c r="C175" s="1255"/>
      <c r="D175" s="228" t="s">
        <v>142</v>
      </c>
      <c r="E175" s="95">
        <f>'12'!F175</f>
        <v>24825</v>
      </c>
      <c r="F175" s="157">
        <v>24835</v>
      </c>
      <c r="G175" s="155">
        <f t="shared" si="14"/>
        <v>10</v>
      </c>
      <c r="H175" s="99">
        <f>G175+'12'!H175</f>
        <v>138</v>
      </c>
      <c r="I175" s="155"/>
      <c r="J175" s="178">
        <f>H175/DAY(B2)</f>
        <v>10.615384615384615</v>
      </c>
    </row>
    <row r="176" spans="1:10" ht="27.75" customHeight="1">
      <c r="A176" s="1261" t="s">
        <v>196</v>
      </c>
      <c r="B176" s="1262"/>
      <c r="C176" s="384"/>
      <c r="D176" s="228" t="s">
        <v>142</v>
      </c>
      <c r="E176" s="95"/>
      <c r="F176" s="155"/>
      <c r="G176" s="155">
        <f>SUM(G173:G175)</f>
        <v>25</v>
      </c>
      <c r="H176" s="99">
        <f>G176+'12'!H176</f>
        <v>333</v>
      </c>
      <c r="I176" s="155"/>
      <c r="J176" s="178">
        <f>H176/DAY(B2)</f>
        <v>25.615384615384617</v>
      </c>
    </row>
    <row r="177" spans="1:15" ht="27.75" customHeight="1">
      <c r="A177" s="1254" t="s">
        <v>77</v>
      </c>
      <c r="B177" s="1255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1254" t="s">
        <v>210</v>
      </c>
      <c r="B178" s="1255"/>
      <c r="C178" s="333"/>
      <c r="D178" s="228" t="s">
        <v>142</v>
      </c>
      <c r="E178" s="95">
        <f>'12'!F178</f>
        <v>102117</v>
      </c>
      <c r="F178" s="155">
        <v>102117</v>
      </c>
      <c r="G178" s="155">
        <f>F178-E178</f>
        <v>0</v>
      </c>
      <c r="H178" s="99">
        <f>G178+'12'!H178</f>
        <v>3</v>
      </c>
      <c r="I178" s="155"/>
      <c r="J178" s="178">
        <f>H178/DAY(B2)</f>
        <v>0.23076923076923078</v>
      </c>
    </row>
    <row r="179" spans="1:15" ht="27.75" customHeight="1">
      <c r="A179" s="1254" t="s">
        <v>211</v>
      </c>
      <c r="B179" s="1255"/>
      <c r="C179" s="333"/>
      <c r="D179" s="228" t="s">
        <v>142</v>
      </c>
      <c r="E179" s="95">
        <f>'12'!F179</f>
        <v>37501</v>
      </c>
      <c r="F179" s="155">
        <v>37501</v>
      </c>
      <c r="G179" s="155">
        <f t="shared" ref="G179:G180" si="15">F179-E179</f>
        <v>0</v>
      </c>
      <c r="H179" s="99">
        <f>G179+'12'!H179</f>
        <v>0</v>
      </c>
      <c r="I179" s="155"/>
      <c r="J179" s="178">
        <f>H179/DAY(B2)</f>
        <v>0</v>
      </c>
    </row>
    <row r="180" spans="1:15" ht="27.75" customHeight="1">
      <c r="A180" s="1254" t="s">
        <v>212</v>
      </c>
      <c r="B180" s="1255"/>
      <c r="C180" s="333"/>
      <c r="D180" s="228" t="s">
        <v>142</v>
      </c>
      <c r="E180" s="95">
        <f>'12'!F180</f>
        <v>7231</v>
      </c>
      <c r="F180" s="155">
        <v>7231</v>
      </c>
      <c r="G180" s="155">
        <f t="shared" si="15"/>
        <v>0</v>
      </c>
      <c r="H180" s="99">
        <f>G180+'12'!H180</f>
        <v>0</v>
      </c>
      <c r="I180" s="155"/>
      <c r="J180" s="178">
        <f>H180/DAY(B2)</f>
        <v>0</v>
      </c>
    </row>
    <row r="181" spans="1:15" ht="27.75" customHeight="1">
      <c r="A181" s="1325" t="s">
        <v>108</v>
      </c>
      <c r="B181" s="1326"/>
      <c r="C181" s="384"/>
      <c r="D181" s="228" t="s">
        <v>142</v>
      </c>
      <c r="E181" s="95"/>
      <c r="F181" s="155"/>
      <c r="G181" s="155">
        <f>SUM(G178:G180)</f>
        <v>0</v>
      </c>
      <c r="H181" s="99">
        <f>G181+'12'!H181</f>
        <v>3</v>
      </c>
      <c r="I181" s="155"/>
      <c r="J181" s="178">
        <f>H181/DAY(B2)</f>
        <v>0.23076923076923078</v>
      </c>
    </row>
    <row r="182" spans="1:15" ht="27.75" customHeight="1">
      <c r="A182" s="1254" t="s">
        <v>213</v>
      </c>
      <c r="B182" s="1255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1254" t="s">
        <v>214</v>
      </c>
      <c r="B183" s="1255"/>
      <c r="C183" s="334"/>
      <c r="D183" s="228" t="s">
        <v>142</v>
      </c>
      <c r="E183" s="95">
        <f>'12'!F183</f>
        <v>17905</v>
      </c>
      <c r="F183" s="157">
        <v>17908</v>
      </c>
      <c r="G183" s="157">
        <f>F183-E183</f>
        <v>3</v>
      </c>
      <c r="H183" s="99">
        <f>G183+'12'!H183</f>
        <v>60</v>
      </c>
      <c r="I183" s="155"/>
      <c r="J183" s="178">
        <f>H183/DAY(B2)</f>
        <v>4.615384615384615</v>
      </c>
    </row>
    <row r="184" spans="1:15" ht="27.75" customHeight="1">
      <c r="A184" s="1254" t="s">
        <v>215</v>
      </c>
      <c r="B184" s="1255"/>
      <c r="C184" s="334"/>
      <c r="D184" s="228" t="s">
        <v>142</v>
      </c>
      <c r="E184" s="95">
        <f>'12'!F184</f>
        <v>12432</v>
      </c>
      <c r="F184" s="157">
        <v>12443</v>
      </c>
      <c r="G184" s="157">
        <f t="shared" ref="G184:G185" si="16">F184-E184</f>
        <v>11</v>
      </c>
      <c r="H184" s="99">
        <f>G184+'12'!H184</f>
        <v>94</v>
      </c>
      <c r="I184" s="155"/>
      <c r="J184" s="178">
        <f>H184/DAY(B2)</f>
        <v>7.2307692307692308</v>
      </c>
      <c r="O184" s="65" t="s">
        <v>360</v>
      </c>
    </row>
    <row r="185" spans="1:15" ht="27.75" customHeight="1">
      <c r="A185" s="1254" t="s">
        <v>216</v>
      </c>
      <c r="B185" s="1255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1261" t="s">
        <v>196</v>
      </c>
      <c r="B186" s="1262"/>
      <c r="C186" s="383"/>
      <c r="D186" s="228" t="s">
        <v>142</v>
      </c>
      <c r="E186" s="95"/>
      <c r="F186" s="157"/>
      <c r="G186" s="157">
        <f>SUM(G183:G185)</f>
        <v>14</v>
      </c>
      <c r="H186" s="99">
        <f>G186+'12'!H186</f>
        <v>154</v>
      </c>
      <c r="I186" s="157"/>
      <c r="J186" s="178">
        <f>H186/DAY(B2)</f>
        <v>11.846153846153847</v>
      </c>
    </row>
    <row r="187" spans="1:15" ht="27.75" customHeight="1">
      <c r="A187" s="1250" t="s">
        <v>217</v>
      </c>
      <c r="B187" s="1251"/>
      <c r="C187" s="333"/>
      <c r="D187" s="230" t="s">
        <v>142</v>
      </c>
      <c r="E187" s="95"/>
      <c r="F187" s="159"/>
      <c r="G187" s="159">
        <f>G62+G19</f>
        <v>149</v>
      </c>
      <c r="H187" s="99">
        <f>G187+'12'!H187</f>
        <v>1875</v>
      </c>
      <c r="I187" s="158"/>
      <c r="J187" s="179">
        <f>H187/DAY(B2)</f>
        <v>144.23076923076923</v>
      </c>
    </row>
    <row r="188" spans="1:15" ht="27.75" customHeight="1">
      <c r="A188" s="1250" t="s">
        <v>218</v>
      </c>
      <c r="B188" s="1251"/>
      <c r="C188" s="333"/>
      <c r="D188" s="230" t="s">
        <v>142</v>
      </c>
      <c r="E188" s="95"/>
      <c r="F188" s="159"/>
      <c r="G188" s="159">
        <f>G65+G66+G67+G69+G70</f>
        <v>155</v>
      </c>
      <c r="H188" s="99">
        <f>G188+'12'!H188</f>
        <v>1927</v>
      </c>
      <c r="I188" s="158"/>
      <c r="J188" s="179">
        <f>H188/DAY(B2)</f>
        <v>148.23076923076923</v>
      </c>
    </row>
    <row r="189" spans="1:15" ht="27.75" customHeight="1">
      <c r="A189" s="1250" t="s">
        <v>219</v>
      </c>
      <c r="B189" s="1251"/>
      <c r="C189" s="333"/>
      <c r="D189" s="230" t="s">
        <v>142</v>
      </c>
      <c r="E189" s="95"/>
      <c r="F189" s="157"/>
      <c r="G189" s="157">
        <f>G181</f>
        <v>0</v>
      </c>
      <c r="H189" s="99">
        <f>G189+'12'!H189</f>
        <v>3</v>
      </c>
      <c r="I189" s="158"/>
      <c r="J189" s="179">
        <f>H189/DAY(B2)</f>
        <v>0.23076923076923078</v>
      </c>
    </row>
    <row r="190" spans="1:15" ht="27.75" customHeight="1">
      <c r="A190" s="1252"/>
      <c r="B190" s="1253"/>
      <c r="C190" s="382"/>
      <c r="D190" s="379"/>
      <c r="E190" s="379" t="s">
        <v>207</v>
      </c>
      <c r="F190" s="379"/>
      <c r="G190" s="379"/>
      <c r="H190" s="380"/>
      <c r="I190" s="379"/>
      <c r="J190" s="381"/>
    </row>
  </sheetData>
  <mergeCells count="115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139" zoomScale="55" zoomScaleSheetLayoutView="55" workbookViewId="0">
      <selection activeCell="F159" sqref="F159"/>
    </sheetView>
  </sheetViews>
  <sheetFormatPr defaultColWidth="22.33203125" defaultRowHeight="27.75" customHeight="1"/>
  <cols>
    <col min="1" max="1" width="41.33203125" style="94" customWidth="1"/>
    <col min="2" max="2" width="23.33203125" style="97" customWidth="1"/>
    <col min="3" max="3" width="15.88671875" style="97" customWidth="1"/>
    <col min="4" max="4" width="13.6640625" style="160" customWidth="1"/>
    <col min="5" max="5" width="25" style="160" customWidth="1"/>
    <col min="6" max="6" width="24.5546875" style="160" customWidth="1"/>
    <col min="7" max="7" width="27.109375" style="160" customWidth="1"/>
    <col min="8" max="8" width="27.33203125" style="161" customWidth="1"/>
    <col min="9" max="9" width="20.33203125" style="160" customWidth="1"/>
    <col min="10" max="10" width="21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7.75" customHeight="1">
      <c r="A2" s="191" t="s">
        <v>303</v>
      </c>
      <c r="B2" s="262">
        <v>44848</v>
      </c>
      <c r="C2" s="348" t="s">
        <v>67</v>
      </c>
      <c r="D2" s="218">
        <v>0.52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27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205506</v>
      </c>
      <c r="F7" s="95">
        <v>231074</v>
      </c>
      <c r="G7" s="112">
        <f>F7-E7</f>
        <v>25568</v>
      </c>
      <c r="H7" s="99">
        <f>G7+'13'!H7</f>
        <v>349238</v>
      </c>
      <c r="I7" s="113">
        <f>'1'!I7</f>
        <v>12000</v>
      </c>
      <c r="J7" s="175">
        <f>H7/DAY(B2)</f>
        <v>24945.571428571428</v>
      </c>
      <c r="K7" s="172">
        <v>1375467</v>
      </c>
      <c r="L7" s="66"/>
      <c r="N7" s="87">
        <f>G8-G7</f>
        <v>325</v>
      </c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377411</v>
      </c>
      <c r="F8" s="95">
        <v>403304</v>
      </c>
      <c r="G8" s="115">
        <f>F8-E8</f>
        <v>25893</v>
      </c>
      <c r="H8" s="99">
        <f>G8+'13'!H8</f>
        <v>353924</v>
      </c>
      <c r="I8" s="116"/>
      <c r="J8" s="175">
        <f>H8/DAY(B2)</f>
        <v>25280.285714285714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3783697</v>
      </c>
      <c r="F9" s="447">
        <v>3789087</v>
      </c>
      <c r="G9" s="112">
        <f>F9-E9</f>
        <v>5390</v>
      </c>
      <c r="H9" s="99">
        <f>G9+'13'!H9</f>
        <v>82380</v>
      </c>
      <c r="I9" s="124">
        <f>I7-J7</f>
        <v>-12945.571428571428</v>
      </c>
      <c r="J9" s="175">
        <f>H9/DAY(B2)</f>
        <v>5884.2857142857147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2980882</v>
      </c>
      <c r="F10" s="353">
        <v>3000365</v>
      </c>
      <c r="G10" s="112">
        <f t="shared" ref="G10:G12" si="0">F10-E10</f>
        <v>19483</v>
      </c>
      <c r="H10" s="99">
        <f>G10+'13'!H10</f>
        <v>257671</v>
      </c>
      <c r="I10" s="282"/>
      <c r="J10" s="175">
        <f>H10/DAY(B2)</f>
        <v>18405.071428571428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37560</v>
      </c>
      <c r="F11" s="95">
        <v>37560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40380</v>
      </c>
      <c r="F12" s="117">
        <v>40380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24873</v>
      </c>
      <c r="H13" s="99">
        <f>G13+'13'!H13</f>
        <v>341511</v>
      </c>
      <c r="I13" s="120">
        <f>G7-G13</f>
        <v>695</v>
      </c>
      <c r="J13" s="175">
        <f>H13/DAY(B2)</f>
        <v>24393.642857142859</v>
      </c>
      <c r="K13" s="79"/>
      <c r="L13" s="66"/>
      <c r="N13" s="87"/>
      <c r="O13" s="71"/>
    </row>
    <row r="14" spans="1:15" ht="27.75" customHeight="1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47">
        <f>'13'!F15</f>
        <v>2174738</v>
      </c>
      <c r="F15" s="447">
        <v>2175936</v>
      </c>
      <c r="G15" s="112">
        <f>(F15-E15)</f>
        <v>1198</v>
      </c>
      <c r="H15" s="99">
        <f>G15+'13'!H15</f>
        <v>14421</v>
      </c>
      <c r="I15" s="113">
        <f>'1'!I15</f>
        <v>800</v>
      </c>
      <c r="J15" s="175">
        <f>H15/DAY(B2)</f>
        <v>1030.0714285714287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-230.07142857142867</v>
      </c>
      <c r="J16" s="176"/>
      <c r="K16" s="79"/>
      <c r="L16" s="66"/>
      <c r="N16" s="87"/>
      <c r="O16" s="71"/>
    </row>
    <row r="17" spans="1:15" ht="27.75" customHeight="1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1281" t="s">
        <v>141</v>
      </c>
      <c r="B18" s="1282"/>
      <c r="C18" s="1283"/>
      <c r="D18" s="151" t="s">
        <v>142</v>
      </c>
      <c r="E18" s="95">
        <f>'13'!F18</f>
        <v>26</v>
      </c>
      <c r="F18" s="122">
        <v>22</v>
      </c>
      <c r="G18" s="119">
        <f>F18*10</f>
        <v>220</v>
      </c>
      <c r="H18" s="99">
        <f>G18+'13'!H18</f>
        <v>3370</v>
      </c>
      <c r="I18" s="113">
        <f>'1'!I18</f>
        <v>65</v>
      </c>
      <c r="J18" s="175">
        <f>H18/DAY(B2)</f>
        <v>240.71428571428572</v>
      </c>
      <c r="K18" s="79"/>
      <c r="L18" s="66"/>
      <c r="N18" s="87"/>
      <c r="O18" s="71"/>
    </row>
    <row r="19" spans="1:15" ht="27.75" customHeight="1">
      <c r="A19" s="1281" t="s">
        <v>69</v>
      </c>
      <c r="B19" s="1282"/>
      <c r="C19" s="1283"/>
      <c r="D19" s="151" t="s">
        <v>142</v>
      </c>
      <c r="E19" s="95">
        <f>'13'!F19</f>
        <v>166116</v>
      </c>
      <c r="F19" s="122">
        <v>166163</v>
      </c>
      <c r="G19" s="112">
        <f t="shared" ref="G19" si="1">F19-E19</f>
        <v>47</v>
      </c>
      <c r="H19" s="99">
        <f>G19+'13'!H19</f>
        <v>720</v>
      </c>
      <c r="I19" s="335"/>
      <c r="J19" s="175">
        <f>H19/DAY(B2)</f>
        <v>51.428571428571431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267</v>
      </c>
      <c r="H20" s="99">
        <f>G20+'13'!H20</f>
        <v>4090</v>
      </c>
      <c r="I20" s="336">
        <f>I18-J20</f>
        <v>-227.14285714285717</v>
      </c>
      <c r="J20" s="175">
        <f>H20/DAY(B2)</f>
        <v>292.14285714285717</v>
      </c>
      <c r="K20" s="79"/>
      <c r="L20" s="66"/>
      <c r="N20" s="87"/>
      <c r="O20" s="71"/>
    </row>
    <row r="21" spans="1:15" ht="27.75" customHeight="1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25893</v>
      </c>
      <c r="F27" s="136">
        <v>10</v>
      </c>
      <c r="G27" s="137">
        <f>E27*F27</f>
        <v>258930</v>
      </c>
      <c r="H27" s="99">
        <f>G27+'13'!H27</f>
        <v>3539240</v>
      </c>
      <c r="I27" s="138"/>
      <c r="J27" s="175">
        <f>H27/DAY(B2)</f>
        <v>252802.85714285713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1198</v>
      </c>
      <c r="F28" s="136">
        <v>75</v>
      </c>
      <c r="G28" s="137">
        <f>E28*F28</f>
        <v>89850</v>
      </c>
      <c r="H28" s="99">
        <f>G28+'13'!H28</f>
        <v>1081575</v>
      </c>
      <c r="I28" s="140"/>
      <c r="J28" s="175">
        <f>H28/DAY(B2)</f>
        <v>77255.357142857145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G30+'13'!H30</f>
        <v>108720</v>
      </c>
      <c r="I30" s="140"/>
      <c r="J30" s="175">
        <f>H30/DAY(B2)</f>
        <v>7765.7142857142853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85</v>
      </c>
      <c r="G31" s="137">
        <f>E31*F31</f>
        <v>18700</v>
      </c>
      <c r="H31" s="99">
        <f>G31+'13'!H31</f>
        <v>283300</v>
      </c>
      <c r="I31" s="140"/>
      <c r="J31" s="175">
        <f>H31/DAY(B2)</f>
        <v>20235.714285714286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374577</v>
      </c>
      <c r="H32" s="99">
        <f>G32+'13'!H32</f>
        <v>5012835</v>
      </c>
      <c r="I32" s="144"/>
      <c r="J32" s="175">
        <f>H32/DAY(B2)</f>
        <v>358059.64285714284</v>
      </c>
      <c r="K32" s="63"/>
      <c r="L32" s="89"/>
      <c r="N32" s="87"/>
      <c r="O32" s="71"/>
    </row>
    <row r="33" spans="1:15" ht="27.75" customHeight="1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247352</v>
      </c>
      <c r="F35" s="145">
        <v>249301</v>
      </c>
      <c r="G35" s="112">
        <f t="shared" ref="G35:G46" si="3">F35-E35</f>
        <v>1949</v>
      </c>
      <c r="H35" s="99">
        <f>G35+'13'!H35</f>
        <v>10587.950000000012</v>
      </c>
      <c r="I35" s="95"/>
      <c r="J35" s="175">
        <f>H35/DAY(B2)</f>
        <v>756.28214285714364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280066</v>
      </c>
      <c r="F36" s="145">
        <v>281169</v>
      </c>
      <c r="G36" s="112">
        <f t="shared" si="3"/>
        <v>1103</v>
      </c>
      <c r="H36" s="99">
        <f>G36+'13'!H36</f>
        <v>11686</v>
      </c>
      <c r="I36" s="95"/>
      <c r="J36" s="175">
        <f>H36/DAY(B2)</f>
        <v>834.71428571428567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322999</v>
      </c>
      <c r="F37" s="145">
        <v>322999</v>
      </c>
      <c r="G37" s="112">
        <f t="shared" si="3"/>
        <v>0</v>
      </c>
      <c r="H37" s="99">
        <f>G37+'13'!H37</f>
        <v>0.30999999999767169</v>
      </c>
      <c r="I37" s="95"/>
      <c r="J37" s="175">
        <f>H37/DAY(B2)</f>
        <v>2.2142857142690837E-2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622668</v>
      </c>
      <c r="F38" s="108">
        <v>625017</v>
      </c>
      <c r="G38" s="112">
        <f t="shared" si="3"/>
        <v>2349</v>
      </c>
      <c r="H38" s="99">
        <f>G38+'13'!H38</f>
        <v>31300</v>
      </c>
      <c r="I38" s="95"/>
      <c r="J38" s="175">
        <f>H38/DAY(B2)</f>
        <v>2235.7142857142858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591584.18999999994</v>
      </c>
      <c r="F39" s="145">
        <v>591584</v>
      </c>
      <c r="G39" s="112">
        <f t="shared" si="3"/>
        <v>-0.18999999994412065</v>
      </c>
      <c r="H39" s="99">
        <f>G39+'13'!H39</f>
        <v>-0.18999999994412065</v>
      </c>
      <c r="I39" s="95"/>
      <c r="J39" s="175">
        <f>H39/DAY(B2)</f>
        <v>-1.3571428567437189E-2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167569</v>
      </c>
      <c r="F40" s="145">
        <v>168409</v>
      </c>
      <c r="G40" s="112">
        <f t="shared" si="3"/>
        <v>840</v>
      </c>
      <c r="H40" s="99">
        <f>G40+'13'!H40</f>
        <v>10429</v>
      </c>
      <c r="I40" s="95"/>
      <c r="J40" s="175">
        <f>H40/DAY(B2)</f>
        <v>744.92857142857144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381351.55</v>
      </c>
      <c r="F41" s="145">
        <v>381351.55</v>
      </c>
      <c r="G41" s="112">
        <f t="shared" si="3"/>
        <v>0</v>
      </c>
      <c r="H41" s="99">
        <f>G41+'13'!H41</f>
        <v>1000</v>
      </c>
      <c r="I41" s="95"/>
      <c r="J41" s="175">
        <f>H41/DAY(B2)</f>
        <v>71.428571428571431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'13'!F42</f>
        <v>854975.91</v>
      </c>
      <c r="F42" s="145">
        <v>854976</v>
      </c>
      <c r="G42" s="112">
        <f t="shared" si="3"/>
        <v>8.999999996740371E-2</v>
      </c>
      <c r="H42" s="99">
        <f>G42+'13'!H42</f>
        <v>29889</v>
      </c>
      <c r="I42" s="95"/>
      <c r="J42" s="175">
        <f>H42/DAY(B2)</f>
        <v>2134.9285714285716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'13'!F43</f>
        <v>407028</v>
      </c>
      <c r="F43" s="145">
        <v>407028</v>
      </c>
      <c r="G43" s="112">
        <f t="shared" si="3"/>
        <v>0</v>
      </c>
      <c r="H43" s="99">
        <f>G43+'13'!H43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6240.9000000000233</v>
      </c>
      <c r="H47" s="99">
        <f>G47+'13'!H47</f>
        <v>94892.070000000065</v>
      </c>
      <c r="I47" s="95"/>
      <c r="J47" s="175">
        <f>H47/DAY(B2)</f>
        <v>6778.0050000000047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759181</v>
      </c>
      <c r="F49" s="145">
        <v>760965</v>
      </c>
      <c r="G49" s="112">
        <f t="shared" ref="G49:G58" si="4">F49-E49</f>
        <v>1784</v>
      </c>
      <c r="H49" s="99">
        <f>G49+'13'!H49</f>
        <v>40678</v>
      </c>
      <c r="I49" s="95"/>
      <c r="J49" s="175">
        <f>H49/DAY(B2)</f>
        <v>2905.5714285714284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386167</v>
      </c>
      <c r="F50" s="145">
        <v>388062</v>
      </c>
      <c r="G50" s="112">
        <f t="shared" si="4"/>
        <v>1895</v>
      </c>
      <c r="H50" s="99">
        <f>G50+'13'!H50</f>
        <v>22291</v>
      </c>
      <c r="I50" s="95"/>
      <c r="J50" s="175">
        <f>H50/DAY(B2)</f>
        <v>1592.2142857142858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84978</v>
      </c>
      <c r="F51" s="145">
        <v>86027</v>
      </c>
      <c r="G51" s="112">
        <f t="shared" si="4"/>
        <v>1049</v>
      </c>
      <c r="H51" s="99">
        <f>G51+'13'!H51</f>
        <v>14300</v>
      </c>
      <c r="I51" s="95"/>
      <c r="J51" s="175">
        <f>H51/DAY(B2)</f>
        <v>1021.4285714285714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9.76</v>
      </c>
      <c r="F52" s="145">
        <v>10</v>
      </c>
      <c r="G52" s="112">
        <f t="shared" si="4"/>
        <v>0.24000000000000021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348482</v>
      </c>
      <c r="F53" s="145">
        <v>352564</v>
      </c>
      <c r="G53" s="112">
        <f t="shared" si="4"/>
        <v>4082</v>
      </c>
      <c r="H53" s="99">
        <f>G53+'13'!H53</f>
        <v>58463</v>
      </c>
      <c r="I53" s="95"/>
      <c r="J53" s="175">
        <f>H53/DAY(B2)</f>
        <v>4175.9285714285716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103256.79</v>
      </c>
      <c r="F54" s="145">
        <v>103257</v>
      </c>
      <c r="G54" s="112">
        <f t="shared" si="4"/>
        <v>0.21000000000640284</v>
      </c>
      <c r="H54" s="99">
        <f>G54+'13'!H54</f>
        <v>1870</v>
      </c>
      <c r="I54" s="95"/>
      <c r="J54" s="175">
        <f>H54/DAY(B2)</f>
        <v>133.57142857142858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531274</v>
      </c>
      <c r="F55" s="145">
        <v>534620</v>
      </c>
      <c r="G55" s="112">
        <f t="shared" si="4"/>
        <v>3346</v>
      </c>
      <c r="H55" s="99">
        <f>G55+'13'!H55</f>
        <v>40137</v>
      </c>
      <c r="I55" s="95"/>
      <c r="J55" s="175">
        <f>H55/DAY(B2)</f>
        <v>2866.9285714285716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160711</v>
      </c>
      <c r="F56" s="145">
        <v>162460</v>
      </c>
      <c r="G56" s="112">
        <f t="shared" si="4"/>
        <v>1749</v>
      </c>
      <c r="H56" s="99">
        <f>G56+'13'!H56</f>
        <v>12741</v>
      </c>
      <c r="I56" s="95"/>
      <c r="J56" s="175">
        <f>H56/DAY(B2)</f>
        <v>910.07142857142856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447597</v>
      </c>
      <c r="F57" s="145">
        <v>450523</v>
      </c>
      <c r="G57" s="112">
        <f t="shared" si="4"/>
        <v>2926</v>
      </c>
      <c r="H57" s="99">
        <f>G57+'13'!H57</f>
        <v>41445</v>
      </c>
      <c r="I57" s="95"/>
      <c r="J57" s="175">
        <f>H57/DAY(B2)</f>
        <v>2960.3571428571427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67302</v>
      </c>
      <c r="F58" s="145">
        <v>67556</v>
      </c>
      <c r="G58" s="112">
        <f t="shared" si="4"/>
        <v>254</v>
      </c>
      <c r="H58" s="99">
        <f>G58+'13'!H58</f>
        <v>3405</v>
      </c>
      <c r="I58" s="95"/>
      <c r="J58" s="175">
        <f>H58/DAY(B2)</f>
        <v>243.21428571428572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17085.450000000004</v>
      </c>
      <c r="H59" s="99">
        <f>G59+'13'!H59</f>
        <v>235330</v>
      </c>
      <c r="I59" s="95">
        <f>G7-G60</f>
        <v>2241.6499999999724</v>
      </c>
      <c r="J59" s="175">
        <f>H59/DAY(B2)</f>
        <v>16809.285714285714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23326.350000000028</v>
      </c>
      <c r="H60" s="99">
        <f>G60+'13'!H60</f>
        <v>330222.07</v>
      </c>
      <c r="I60" s="95">
        <f>G13-G60</f>
        <v>1546.6499999999724</v>
      </c>
      <c r="J60" s="175">
        <f>H60/DAY(B2)</f>
        <v>23587.290714285715</v>
      </c>
      <c r="K60" s="79"/>
      <c r="L60" s="66"/>
      <c r="N60" s="87"/>
      <c r="O60" s="71"/>
    </row>
    <row r="61" spans="1:15" s="68" customFormat="1" ht="27.75" customHeight="1">
      <c r="A61" s="1278" t="s">
        <v>332</v>
      </c>
      <c r="B61" s="1279"/>
      <c r="C61" s="12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1281" t="s">
        <v>198</v>
      </c>
      <c r="B62" s="1282"/>
      <c r="C62" s="1283"/>
      <c r="D62" s="151" t="s">
        <v>142</v>
      </c>
      <c r="E62" s="95">
        <f>'13'!F62</f>
        <v>303267</v>
      </c>
      <c r="F62" s="122">
        <v>303377</v>
      </c>
      <c r="G62" s="112">
        <f t="shared" ref="G62:G63" si="5">F62-E62</f>
        <v>110</v>
      </c>
      <c r="H62" s="99">
        <f>G62+'13'!H62</f>
        <v>1312</v>
      </c>
      <c r="I62" s="118"/>
      <c r="J62" s="175">
        <f>H62/DAY(B2)</f>
        <v>93.714285714285708</v>
      </c>
      <c r="K62" s="80"/>
      <c r="L62" s="66"/>
      <c r="N62" s="87"/>
      <c r="O62" s="71"/>
    </row>
    <row r="63" spans="1:15" ht="27.75" customHeight="1">
      <c r="A63" s="1281" t="s">
        <v>199</v>
      </c>
      <c r="B63" s="1282"/>
      <c r="C63" s="1283"/>
      <c r="D63" s="151" t="s">
        <v>142</v>
      </c>
      <c r="E63" s="95">
        <f>'13'!F63</f>
        <v>245139</v>
      </c>
      <c r="F63" s="122">
        <v>245139</v>
      </c>
      <c r="G63" s="112">
        <f t="shared" si="5"/>
        <v>0</v>
      </c>
      <c r="H63" s="99">
        <f>G63+'13'!H63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7.75" customHeight="1">
      <c r="A64" s="1284" t="s">
        <v>200</v>
      </c>
      <c r="B64" s="1285"/>
      <c r="C64" s="1286"/>
      <c r="D64" s="151"/>
      <c r="E64" s="95">
        <f>'13'!F64</f>
        <v>0</v>
      </c>
      <c r="F64" s="122"/>
      <c r="G64" s="112">
        <f>G62+G63</f>
        <v>110</v>
      </c>
      <c r="H64" s="99">
        <f>G64+'13'!H64</f>
        <v>1312</v>
      </c>
      <c r="I64" s="118"/>
      <c r="J64" s="175">
        <f>H64/DAY(B2)</f>
        <v>93.714285714285708</v>
      </c>
      <c r="K64" s="69"/>
      <c r="L64" s="66"/>
      <c r="N64" s="87"/>
      <c r="O64" s="71"/>
    </row>
    <row r="65" spans="1:17" ht="27.75" customHeight="1">
      <c r="A65" s="1281" t="s">
        <v>201</v>
      </c>
      <c r="B65" s="1282"/>
      <c r="C65" s="1283"/>
      <c r="D65" s="151" t="s">
        <v>142</v>
      </c>
      <c r="E65" s="95">
        <f>'13'!F65</f>
        <v>462162</v>
      </c>
      <c r="F65" s="122">
        <v>462280</v>
      </c>
      <c r="G65" s="112">
        <f t="shared" ref="G65:G70" si="6">F65-E65</f>
        <v>118</v>
      </c>
      <c r="H65" s="99">
        <f>G65+'13'!H65</f>
        <v>1456</v>
      </c>
      <c r="I65" s="118"/>
      <c r="J65" s="175">
        <f>H65/DAY(B2)</f>
        <v>104</v>
      </c>
      <c r="K65" s="69"/>
      <c r="L65" s="66"/>
      <c r="N65" s="87"/>
      <c r="O65" s="71"/>
    </row>
    <row r="66" spans="1:17" ht="27.75" customHeight="1">
      <c r="A66" s="345" t="s">
        <v>202</v>
      </c>
      <c r="B66" s="346"/>
      <c r="C66" s="346"/>
      <c r="D66" s="151" t="s">
        <v>142</v>
      </c>
      <c r="E66" s="95">
        <f>'13'!F66</f>
        <v>112750</v>
      </c>
      <c r="F66" s="122">
        <v>112768</v>
      </c>
      <c r="G66" s="112">
        <f t="shared" si="6"/>
        <v>18</v>
      </c>
      <c r="H66" s="99">
        <f>G66+'13'!H66</f>
        <v>163</v>
      </c>
      <c r="I66" s="118"/>
      <c r="J66" s="175">
        <f>H66/DAY(B2)</f>
        <v>11.642857142857142</v>
      </c>
      <c r="K66" s="78"/>
      <c r="L66" s="66"/>
      <c r="N66" s="87"/>
      <c r="O66" s="71"/>
    </row>
    <row r="67" spans="1:17" ht="27.75" customHeight="1">
      <c r="A67" s="345" t="s">
        <v>203</v>
      </c>
      <c r="B67" s="346"/>
      <c r="C67" s="346"/>
      <c r="D67" s="151" t="s">
        <v>142</v>
      </c>
      <c r="E67" s="95">
        <f>'13'!F67</f>
        <v>114987</v>
      </c>
      <c r="F67" s="122">
        <v>115003</v>
      </c>
      <c r="G67" s="112">
        <f t="shared" si="6"/>
        <v>16</v>
      </c>
      <c r="H67" s="99">
        <f>G67+'13'!H67</f>
        <v>295</v>
      </c>
      <c r="I67" s="118"/>
      <c r="J67" s="175">
        <f>H67/DAY(B2)</f>
        <v>21.071428571428573</v>
      </c>
      <c r="K67" s="81"/>
      <c r="L67" s="66"/>
      <c r="N67" s="87"/>
      <c r="O67" s="71"/>
    </row>
    <row r="68" spans="1:17" ht="27.75" customHeight="1">
      <c r="A68" s="345" t="s">
        <v>204</v>
      </c>
      <c r="B68" s="346"/>
      <c r="C68" s="346"/>
      <c r="D68" s="151" t="s">
        <v>142</v>
      </c>
      <c r="E68" s="95">
        <f>'13'!F68</f>
        <v>166985</v>
      </c>
      <c r="F68" s="122">
        <v>167023</v>
      </c>
      <c r="G68" s="112">
        <f t="shared" si="6"/>
        <v>38</v>
      </c>
      <c r="H68" s="99">
        <f>G68+'13'!H68</f>
        <v>442</v>
      </c>
      <c r="I68" s="118"/>
      <c r="J68" s="175">
        <f>H68/DAY(B2)</f>
        <v>31.571428571428573</v>
      </c>
      <c r="K68" s="69"/>
      <c r="L68" s="66"/>
      <c r="N68" s="87"/>
      <c r="O68" s="71"/>
    </row>
    <row r="69" spans="1:17" ht="27.75" customHeight="1">
      <c r="A69" s="345" t="s">
        <v>205</v>
      </c>
      <c r="B69" s="346"/>
      <c r="C69" s="346"/>
      <c r="D69" s="151" t="s">
        <v>142</v>
      </c>
      <c r="E69" s="95">
        <f>'13'!F69</f>
        <v>12609</v>
      </c>
      <c r="F69" s="122">
        <v>12611</v>
      </c>
      <c r="G69" s="112">
        <f t="shared" si="6"/>
        <v>2</v>
      </c>
      <c r="H69" s="99">
        <f>G69+'13'!H69</f>
        <v>47</v>
      </c>
      <c r="I69" s="118"/>
      <c r="J69" s="175">
        <f>H69/DAY(B2)</f>
        <v>3.3571428571428572</v>
      </c>
      <c r="K69" s="69"/>
      <c r="L69" s="66"/>
      <c r="N69" s="87"/>
      <c r="O69" s="71"/>
    </row>
    <row r="70" spans="1:17" ht="27.75" customHeight="1">
      <c r="A70" s="345" t="s">
        <v>206</v>
      </c>
      <c r="B70" s="346"/>
      <c r="C70" s="346"/>
      <c r="D70" s="151" t="s">
        <v>142</v>
      </c>
      <c r="E70" s="95">
        <f>'13'!F70</f>
        <v>10453</v>
      </c>
      <c r="F70" s="122">
        <v>10459</v>
      </c>
      <c r="G70" s="112">
        <f t="shared" si="6"/>
        <v>6</v>
      </c>
      <c r="H70" s="99">
        <f>G70+'13'!H70</f>
        <v>126</v>
      </c>
      <c r="I70" s="118"/>
      <c r="J70" s="175">
        <f>H70/DAY(B2)</f>
        <v>9</v>
      </c>
      <c r="K70" s="69"/>
      <c r="L70" s="66"/>
      <c r="N70" s="87"/>
      <c r="O70" s="71"/>
    </row>
    <row r="71" spans="1:17" ht="27.75" customHeight="1">
      <c r="A71" s="1284" t="s">
        <v>208</v>
      </c>
      <c r="B71" s="1285"/>
      <c r="C71" s="1286"/>
      <c r="D71" s="152"/>
      <c r="E71" s="152"/>
      <c r="F71" s="152"/>
      <c r="G71" s="153">
        <f>SUM(G65:G70)</f>
        <v>198</v>
      </c>
      <c r="H71" s="99">
        <f>G71+'13'!H71</f>
        <v>2529</v>
      </c>
      <c r="I71" s="154"/>
      <c r="J71" s="175">
        <f>H71/DAY(B2)</f>
        <v>180.64285714285714</v>
      </c>
      <c r="K71" s="69"/>
      <c r="L71" s="66"/>
      <c r="N71" s="87"/>
      <c r="O71" s="71"/>
    </row>
    <row r="72" spans="1:17" s="88" customFormat="1" ht="27.75" customHeight="1">
      <c r="A72" s="1287"/>
      <c r="B72" s="126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7" ht="27.75" customHeight="1">
      <c r="A73" s="1295" t="s">
        <v>333</v>
      </c>
      <c r="B73" s="1296"/>
      <c r="C73" s="129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7" ht="27.75" customHeight="1">
      <c r="A74" s="1281" t="s">
        <v>220</v>
      </c>
      <c r="B74" s="1282"/>
      <c r="C74" s="1283"/>
      <c r="D74" s="151" t="s">
        <v>139</v>
      </c>
      <c r="E74" s="95">
        <f>'13'!F74</f>
        <v>979666</v>
      </c>
      <c r="F74" s="393">
        <v>979963</v>
      </c>
      <c r="G74" s="112">
        <f t="shared" ref="G74:G78" si="7">F74-E74</f>
        <v>297</v>
      </c>
      <c r="H74" s="99">
        <f>G74+'13'!H74</f>
        <v>4152</v>
      </c>
      <c r="I74" s="154"/>
      <c r="J74" s="175">
        <f>H74/DAY(B2)</f>
        <v>296.57142857142856</v>
      </c>
      <c r="K74" s="69"/>
      <c r="L74" s="66"/>
      <c r="N74" s="87"/>
      <c r="O74" s="71"/>
    </row>
    <row r="75" spans="1:17" ht="27.75" customHeight="1">
      <c r="A75" s="1281" t="s">
        <v>221</v>
      </c>
      <c r="B75" s="1282"/>
      <c r="C75" s="1283"/>
      <c r="D75" s="151" t="s">
        <v>139</v>
      </c>
      <c r="E75" s="95">
        <f>'13'!F75</f>
        <v>73586</v>
      </c>
      <c r="F75" s="123">
        <v>73586</v>
      </c>
      <c r="G75" s="112">
        <f t="shared" si="7"/>
        <v>0</v>
      </c>
      <c r="H75" s="99">
        <f>G75+'13'!H75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7" ht="27.75" customHeight="1">
      <c r="A76" s="1288" t="s">
        <v>222</v>
      </c>
      <c r="B76" s="1289"/>
      <c r="C76" s="1290"/>
      <c r="D76" s="151" t="s">
        <v>139</v>
      </c>
      <c r="E76" s="95">
        <f>'13'!F76</f>
        <v>198169</v>
      </c>
      <c r="F76" s="123">
        <v>198294</v>
      </c>
      <c r="G76" s="112">
        <f t="shared" si="7"/>
        <v>125</v>
      </c>
      <c r="H76" s="99">
        <f>G76+'13'!H76</f>
        <v>1558</v>
      </c>
      <c r="I76" s="154"/>
      <c r="J76" s="175">
        <f>H76/DAY(B2)</f>
        <v>111.28571428571429</v>
      </c>
      <c r="K76" s="69"/>
      <c r="L76" s="66"/>
      <c r="N76" s="87"/>
      <c r="O76" s="71"/>
    </row>
    <row r="77" spans="1:17" ht="27.75" customHeight="1">
      <c r="A77" s="1288" t="s">
        <v>223</v>
      </c>
      <c r="B77" s="1289"/>
      <c r="C77" s="1290"/>
      <c r="D77" s="151" t="s">
        <v>139</v>
      </c>
      <c r="E77" s="95">
        <f>'13'!F77</f>
        <v>53998</v>
      </c>
      <c r="F77" s="123">
        <v>54051</v>
      </c>
      <c r="G77" s="112">
        <f t="shared" si="7"/>
        <v>53</v>
      </c>
      <c r="H77" s="99">
        <f>G77+'13'!H77</f>
        <v>699</v>
      </c>
      <c r="I77" s="154"/>
      <c r="J77" s="175">
        <f>H77/DAY(B2)</f>
        <v>49.928571428571431</v>
      </c>
      <c r="K77" s="69"/>
      <c r="L77" s="66"/>
      <c r="N77" s="87"/>
      <c r="O77" s="71"/>
    </row>
    <row r="78" spans="1:17" ht="27.75" customHeight="1">
      <c r="A78" s="1288" t="s">
        <v>224</v>
      </c>
      <c r="B78" s="1289"/>
      <c r="C78" s="1290"/>
      <c r="D78" s="151" t="s">
        <v>139</v>
      </c>
      <c r="E78" s="123">
        <v>9564</v>
      </c>
      <c r="F78" s="123">
        <v>9564</v>
      </c>
      <c r="G78" s="112">
        <f t="shared" si="7"/>
        <v>0</v>
      </c>
      <c r="H78" s="99">
        <f>G78+'13'!H78</f>
        <v>-0.3999999999996362</v>
      </c>
      <c r="I78" s="118"/>
      <c r="J78" s="175">
        <f>H78/DAY(B2)</f>
        <v>-2.8571428571402584E-2</v>
      </c>
      <c r="K78" s="69"/>
      <c r="L78" s="66"/>
      <c r="N78" s="87"/>
      <c r="O78" s="71"/>
      <c r="Q78" s="65" t="s">
        <v>207</v>
      </c>
    </row>
    <row r="79" spans="1:17" s="57" customFormat="1" ht="27.75" customHeight="1">
      <c r="A79" s="1288" t="s">
        <v>225</v>
      </c>
      <c r="B79" s="1289"/>
      <c r="C79" s="1290"/>
      <c r="D79" s="151"/>
      <c r="E79" s="95">
        <f>'13'!F79</f>
        <v>0</v>
      </c>
      <c r="F79" s="117"/>
      <c r="G79" s="112">
        <f>G15-SUM(G74:G78)</f>
        <v>723</v>
      </c>
      <c r="H79" s="99">
        <f>G79+'13'!H79</f>
        <v>8012.4</v>
      </c>
      <c r="I79" s="118"/>
      <c r="J79" s="175">
        <f>H79/DAY(B2)</f>
        <v>572.31428571428569</v>
      </c>
      <c r="K79" s="59"/>
      <c r="L79" s="58"/>
      <c r="N79" s="87"/>
      <c r="O79" s="71"/>
    </row>
    <row r="80" spans="1:17" s="57" customFormat="1" ht="27.75" customHeight="1">
      <c r="A80" s="1284" t="s">
        <v>329</v>
      </c>
      <c r="B80" s="1285"/>
      <c r="C80" s="1286"/>
      <c r="D80" s="151"/>
      <c r="E80" s="117"/>
      <c r="F80" s="117"/>
      <c r="G80" s="112">
        <f>SUM(G74:G79)</f>
        <v>1198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>
        <v>0</v>
      </c>
      <c r="G82" s="112">
        <f t="shared" ref="G82:G92" si="8">F82-E82</f>
        <v>0</v>
      </c>
      <c r="H82" s="99">
        <f>G82+'13'!H82</f>
        <v>0</v>
      </c>
      <c r="I82" s="538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>
        <v>0</v>
      </c>
      <c r="G83" s="112">
        <f t="shared" si="8"/>
        <v>0</v>
      </c>
      <c r="H83" s="99">
        <f>G83+'13'!H83</f>
        <v>0</v>
      </c>
      <c r="I83" s="538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43366.18</v>
      </c>
      <c r="F84" s="164">
        <v>43366.18</v>
      </c>
      <c r="G84" s="112">
        <f t="shared" si="8"/>
        <v>0</v>
      </c>
      <c r="H84" s="99">
        <f>G84+'13'!H84</f>
        <v>-0.62000000000261934</v>
      </c>
      <c r="I84" s="538"/>
      <c r="J84" s="175">
        <f>H84/DAY(B2)</f>
        <v>-4.4285714285901383E-2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5610.06</v>
      </c>
      <c r="F85" s="164">
        <v>5610.06</v>
      </c>
      <c r="G85" s="112">
        <f t="shared" si="8"/>
        <v>0</v>
      </c>
      <c r="H85" s="99">
        <f>G85+'13'!H85</f>
        <v>134.0600000000004</v>
      </c>
      <c r="I85" s="538"/>
      <c r="J85" s="175">
        <f>H85/DAY(B2)</f>
        <v>9.575714285714314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46527</v>
      </c>
      <c r="F86" s="164">
        <v>46551</v>
      </c>
      <c r="G86" s="112">
        <f t="shared" si="8"/>
        <v>24</v>
      </c>
      <c r="H86" s="99">
        <f>G86+'13'!H86</f>
        <v>279.58000000000175</v>
      </c>
      <c r="I86" s="538"/>
      <c r="J86" s="175">
        <f>H86/DAY(B2)</f>
        <v>19.970000000000123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35730</v>
      </c>
      <c r="F87" s="164">
        <v>35744</v>
      </c>
      <c r="G87" s="112">
        <f t="shared" si="8"/>
        <v>14</v>
      </c>
      <c r="H87" s="99">
        <f>G87+'13'!H87</f>
        <v>88</v>
      </c>
      <c r="I87" s="524">
        <f>G84+G85+G86+G87</f>
        <v>38</v>
      </c>
      <c r="J87" s="175">
        <f>H87/DAY(B2)</f>
        <v>6.2857142857142856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24443.95</v>
      </c>
      <c r="F88" s="164">
        <v>24444.78</v>
      </c>
      <c r="G88" s="112">
        <f t="shared" si="8"/>
        <v>0.82999999999810825</v>
      </c>
      <c r="H88" s="99">
        <f>G88+'13'!H88</f>
        <v>20.819999999999709</v>
      </c>
      <c r="I88" s="524"/>
      <c r="J88" s="175">
        <f>H88/DAY(B2)</f>
        <v>1.4871428571428364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28087</v>
      </c>
      <c r="F89" s="164">
        <v>28096</v>
      </c>
      <c r="G89" s="112">
        <f t="shared" si="8"/>
        <v>9</v>
      </c>
      <c r="H89" s="99">
        <f>G89+'13'!H89</f>
        <v>108</v>
      </c>
      <c r="I89" s="524">
        <f>G88+G89</f>
        <v>9.8299999999981083</v>
      </c>
      <c r="J89" s="175">
        <f>H89/DAY(B2)</f>
        <v>7.7142857142857144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73381.72</v>
      </c>
      <c r="F90" s="164">
        <v>73395.070000000007</v>
      </c>
      <c r="G90" s="112">
        <f t="shared" si="8"/>
        <v>13.350000000005821</v>
      </c>
      <c r="H90" s="99">
        <f>G90+'13'!H90</f>
        <v>151.33000000000175</v>
      </c>
      <c r="I90" s="524">
        <f>G90</f>
        <v>13.350000000005821</v>
      </c>
      <c r="J90" s="175">
        <f>H90/DAY(B2)</f>
        <v>10.809285714285839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4826.9799999999996</v>
      </c>
      <c r="F91" s="122">
        <v>4838.25</v>
      </c>
      <c r="G91" s="112">
        <f t="shared" si="8"/>
        <v>11.270000000000437</v>
      </c>
      <c r="H91" s="99">
        <f>G91+'13'!H91</f>
        <v>159.81999999999971</v>
      </c>
      <c r="I91" s="572"/>
      <c r="J91" s="175">
        <f>H91/DAY(B2)</f>
        <v>11.415714285714264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7000.23</v>
      </c>
      <c r="F92" s="122">
        <v>7000.23</v>
      </c>
      <c r="G92" s="112">
        <f t="shared" si="8"/>
        <v>0</v>
      </c>
      <c r="H92" s="99">
        <f>G92+'13'!H92</f>
        <v>0.22999999999956344</v>
      </c>
      <c r="I92" s="573">
        <f>G91+G92</f>
        <v>11.270000000000437</v>
      </c>
      <c r="J92" s="175">
        <f>H92/DAY(B2)</f>
        <v>1.6428571428540244E-2</v>
      </c>
      <c r="O92" s="71"/>
    </row>
    <row r="93" spans="1:15" ht="27.75" customHeight="1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6659</v>
      </c>
      <c r="H94" s="99">
        <f>G94+'13'!H94</f>
        <v>92710.950000000012</v>
      </c>
      <c r="I94" s="118"/>
      <c r="J94" s="175">
        <f>H94/DAY(B2)</f>
        <v>6622.2107142857149</v>
      </c>
      <c r="K94" s="69"/>
      <c r="L94" s="66"/>
      <c r="O94" s="71"/>
    </row>
    <row r="95" spans="1:15" ht="27.75" customHeight="1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0.26044274092615771</v>
      </c>
      <c r="H95" s="99">
        <f>G95+'13'!H95</f>
        <v>3.7184110426170123</v>
      </c>
      <c r="I95" s="167"/>
      <c r="J95" s="175">
        <f>H95/DAY(B2)</f>
        <v>0.26560078875835802</v>
      </c>
      <c r="K95" s="69"/>
      <c r="L95" s="66"/>
      <c r="O95" s="71"/>
    </row>
    <row r="96" spans="1:15" ht="27.75" customHeight="1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5095.0899999999674</v>
      </c>
      <c r="H96" s="99">
        <f>G96+'13'!H96</f>
        <v>83767</v>
      </c>
      <c r="I96" s="118"/>
      <c r="J96" s="175">
        <f>H96/DAY(B2)</f>
        <v>5983.3571428571431</v>
      </c>
      <c r="K96" s="69"/>
      <c r="L96" s="66"/>
      <c r="O96" s="71"/>
    </row>
    <row r="97" spans="1:15" ht="27.75" customHeight="1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0.19927604818523026</v>
      </c>
      <c r="H97" s="99">
        <f>G97+'13'!H97</f>
        <v>3.3606829488016947</v>
      </c>
      <c r="I97" s="167"/>
      <c r="J97" s="175">
        <f>H97/DAY(B2)</f>
        <v>0.2400487820572639</v>
      </c>
      <c r="K97" s="69"/>
      <c r="L97" s="66"/>
      <c r="O97" s="71"/>
    </row>
    <row r="98" spans="1:15" ht="27.75" customHeight="1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4081.8100000000559</v>
      </c>
      <c r="H98" s="99">
        <f>G98+'13'!H98</f>
        <v>58462.810000000056</v>
      </c>
      <c r="I98" s="168"/>
      <c r="J98" s="175">
        <f>H98/DAY(B2)</f>
        <v>4175.9150000000036</v>
      </c>
      <c r="K98" s="69"/>
      <c r="L98" s="66"/>
      <c r="O98" s="71"/>
    </row>
    <row r="99" spans="1:15" ht="27.75" customHeight="1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0.15964525969962673</v>
      </c>
      <c r="H99" s="99">
        <f>G99+'13'!H99</f>
        <v>2.3451518821325754</v>
      </c>
      <c r="I99" s="168"/>
      <c r="J99" s="175">
        <f>H99/DAY(B2)</f>
        <v>0.16751084872375538</v>
      </c>
      <c r="O99" s="71"/>
    </row>
    <row r="100" spans="1:15" ht="27.75" customHeight="1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2349.2399999999998</v>
      </c>
      <c r="H100" s="99">
        <f>G100+'13'!H100</f>
        <v>31300</v>
      </c>
      <c r="I100" s="118"/>
      <c r="J100" s="175">
        <f>H100/DAY(B2)</f>
        <v>2235.7142857142858</v>
      </c>
      <c r="K100" s="70"/>
      <c r="O100" s="71"/>
    </row>
    <row r="101" spans="1:15" ht="27.75" customHeight="1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9.1882040050062563E-2</v>
      </c>
      <c r="H101" s="99">
        <f>G101+'13'!H101</f>
        <v>1.2554877781699265</v>
      </c>
      <c r="I101" s="168"/>
      <c r="J101" s="175">
        <f>H101/DAY(B2)</f>
        <v>8.9677698440709039E-2</v>
      </c>
      <c r="O101" s="71"/>
    </row>
    <row r="102" spans="1:15" ht="27.75" customHeight="1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2998</v>
      </c>
      <c r="H102" s="99">
        <f>G102+'13'!H102</f>
        <v>33977</v>
      </c>
      <c r="I102" s="168"/>
      <c r="J102" s="175">
        <f>H102/DAY(B2)</f>
        <v>2426.9285714285716</v>
      </c>
      <c r="O102" s="71"/>
    </row>
    <row r="103" spans="1:15" ht="27.75" customHeight="1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0.11725594493116395</v>
      </c>
      <c r="H103" s="99">
        <f>G103+'13'!H103</f>
        <v>1.3613902587699831</v>
      </c>
      <c r="I103" s="118"/>
      <c r="J103" s="175">
        <f>H103/DAY(B2)</f>
        <v>9.7242161340713076E-2</v>
      </c>
      <c r="O103" s="71"/>
    </row>
    <row r="104" spans="1:15" ht="27.75" customHeight="1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1049</v>
      </c>
      <c r="H104" s="99">
        <f>G104+'13'!H104</f>
        <v>14300.309999999998</v>
      </c>
      <c r="I104" s="118"/>
      <c r="J104" s="175">
        <f>H104/DAY(B2)</f>
        <v>1021.4507142857141</v>
      </c>
      <c r="O104" s="71"/>
    </row>
    <row r="105" spans="1:15" ht="27.75" customHeight="1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4.1027847309136417E-2</v>
      </c>
      <c r="H105" s="99">
        <f>G105+'13'!H105</f>
        <v>0.57350331669734789</v>
      </c>
      <c r="I105" s="187"/>
      <c r="J105" s="188">
        <f>H105/DAY(B2)</f>
        <v>4.0964522621239133E-2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7.75" customHeight="1">
      <c r="A109" s="1291"/>
      <c r="B109" s="1291"/>
    </row>
    <row r="110" spans="1:15" ht="27.75" customHeight="1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7.75" customHeight="1">
      <c r="A111" s="1270"/>
      <c r="B111" s="1271"/>
      <c r="C111" s="1272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1266" t="s">
        <v>252</v>
      </c>
      <c r="B112" s="1267"/>
      <c r="C112" s="1268"/>
      <c r="D112" s="146" t="s">
        <v>183</v>
      </c>
      <c r="E112" s="95">
        <f>'13'!F112</f>
        <v>12589</v>
      </c>
      <c r="F112" s="237">
        <v>12661</v>
      </c>
      <c r="G112" s="112">
        <f t="shared" ref="G112:G123" si="9">F112-E112</f>
        <v>72</v>
      </c>
      <c r="H112" s="99">
        <f>G112+'13'!H112</f>
        <v>998</v>
      </c>
      <c r="I112" s="165"/>
      <c r="J112" s="328">
        <f>H112/DAY(B2)</f>
        <v>71.285714285714292</v>
      </c>
    </row>
    <row r="113" spans="1:18" ht="27.75" customHeight="1">
      <c r="A113" s="1266" t="s">
        <v>253</v>
      </c>
      <c r="B113" s="1267"/>
      <c r="C113" s="1268"/>
      <c r="D113" s="146" t="s">
        <v>183</v>
      </c>
      <c r="E113" s="95">
        <f>'13'!F113</f>
        <v>25331</v>
      </c>
      <c r="F113" s="237">
        <v>25471</v>
      </c>
      <c r="G113" s="112">
        <f t="shared" si="9"/>
        <v>140</v>
      </c>
      <c r="H113" s="99">
        <f>G113+'13'!H113</f>
        <v>1950</v>
      </c>
      <c r="I113" s="165"/>
      <c r="J113" s="328">
        <f>H113/DAY(B2)</f>
        <v>139.28571428571428</v>
      </c>
    </row>
    <row r="114" spans="1:18" ht="27.75" customHeight="1">
      <c r="A114" s="1266" t="s">
        <v>254</v>
      </c>
      <c r="B114" s="1267"/>
      <c r="C114" s="1268"/>
      <c r="D114" s="146" t="s">
        <v>183</v>
      </c>
      <c r="E114" s="95">
        <f>'13'!F114</f>
        <v>37690</v>
      </c>
      <c r="F114" s="237">
        <v>37918</v>
      </c>
      <c r="G114" s="112">
        <f t="shared" si="9"/>
        <v>228</v>
      </c>
      <c r="H114" s="99">
        <f>G114+'13'!H114</f>
        <v>3143</v>
      </c>
      <c r="I114" s="165"/>
      <c r="J114" s="328">
        <f>H114/DAY(B2)</f>
        <v>224.5</v>
      </c>
    </row>
    <row r="115" spans="1:18" ht="27.75" customHeight="1">
      <c r="A115" s="1266" t="s">
        <v>255</v>
      </c>
      <c r="B115" s="1267"/>
      <c r="C115" s="1268"/>
      <c r="D115" s="146" t="s">
        <v>183</v>
      </c>
      <c r="E115" s="95">
        <f>'13'!F115</f>
        <v>23767</v>
      </c>
      <c r="F115" s="237">
        <v>23926</v>
      </c>
      <c r="G115" s="112">
        <f t="shared" si="9"/>
        <v>159</v>
      </c>
      <c r="H115" s="99">
        <f>G115+'13'!H115</f>
        <v>1873</v>
      </c>
      <c r="I115" s="165"/>
      <c r="J115" s="328">
        <f>H115/DAY(B2)</f>
        <v>133.78571428571428</v>
      </c>
    </row>
    <row r="116" spans="1:18" ht="27.75" customHeight="1">
      <c r="A116" s="1275" t="s">
        <v>96</v>
      </c>
      <c r="B116" s="1276"/>
      <c r="C116" s="1277"/>
      <c r="D116" s="146" t="s">
        <v>183</v>
      </c>
      <c r="E116" s="95">
        <f>'13'!F116</f>
        <v>102232</v>
      </c>
      <c r="F116" s="237">
        <v>102450</v>
      </c>
      <c r="G116" s="112">
        <f t="shared" si="9"/>
        <v>218</v>
      </c>
      <c r="H116" s="99">
        <f>G116+'13'!H116</f>
        <v>5315</v>
      </c>
      <c r="I116" s="165"/>
      <c r="J116" s="328">
        <f>H116/DAY(B2)</f>
        <v>379.64285714285717</v>
      </c>
      <c r="Q116" s="1266"/>
      <c r="R116" s="1268"/>
    </row>
    <row r="117" spans="1:18" ht="27.75" customHeight="1">
      <c r="A117" s="1275" t="s">
        <v>184</v>
      </c>
      <c r="B117" s="1276"/>
      <c r="C117" s="1277"/>
      <c r="D117" s="146" t="s">
        <v>183</v>
      </c>
      <c r="E117" s="95">
        <f>'13'!F117</f>
        <v>60815</v>
      </c>
      <c r="F117" s="237">
        <v>61092</v>
      </c>
      <c r="G117" s="112">
        <f t="shared" si="9"/>
        <v>277</v>
      </c>
      <c r="H117" s="99">
        <f>G117+'13'!H117</f>
        <v>4587</v>
      </c>
      <c r="I117" s="165"/>
      <c r="J117" s="328">
        <f>H117/DAY(B2)</f>
        <v>327.64285714285717</v>
      </c>
      <c r="Q117" s="1266"/>
      <c r="R117" s="1268"/>
    </row>
    <row r="118" spans="1:18" ht="27.75" customHeight="1">
      <c r="A118" s="1269" t="s">
        <v>97</v>
      </c>
      <c r="B118" s="1269"/>
      <c r="C118" s="1269"/>
      <c r="D118" s="151" t="s">
        <v>183</v>
      </c>
      <c r="E118" s="95">
        <f>'13'!F118</f>
        <v>109440</v>
      </c>
      <c r="F118" s="237">
        <v>110077</v>
      </c>
      <c r="G118" s="112">
        <f t="shared" si="9"/>
        <v>637</v>
      </c>
      <c r="H118" s="99">
        <f>G118+'13'!H118</f>
        <v>8323</v>
      </c>
      <c r="I118" s="165"/>
      <c r="J118" s="328">
        <f>H118/DAY(B2)</f>
        <v>594.5</v>
      </c>
      <c r="Q118" s="1266"/>
      <c r="R118" s="1268"/>
    </row>
    <row r="119" spans="1:18" ht="27.75" customHeight="1">
      <c r="A119" s="1269" t="s">
        <v>98</v>
      </c>
      <c r="B119" s="1269"/>
      <c r="C119" s="1269"/>
      <c r="D119" s="151" t="s">
        <v>183</v>
      </c>
      <c r="E119" s="95">
        <f>'13'!F119</f>
        <v>42738</v>
      </c>
      <c r="F119" s="237">
        <v>42751</v>
      </c>
      <c r="G119" s="112">
        <f t="shared" si="9"/>
        <v>13</v>
      </c>
      <c r="H119" s="99">
        <f>G119+'13'!H119</f>
        <v>170</v>
      </c>
      <c r="I119" s="165"/>
      <c r="J119" s="328">
        <f>H119/DAY(B2)</f>
        <v>12.142857142857142</v>
      </c>
    </row>
    <row r="120" spans="1:18" ht="27.75" customHeight="1">
      <c r="A120" s="1269" t="s">
        <v>99</v>
      </c>
      <c r="B120" s="1269"/>
      <c r="C120" s="1269"/>
      <c r="D120" s="151" t="s">
        <v>183</v>
      </c>
      <c r="E120" s="95">
        <f>'13'!F120</f>
        <v>76532</v>
      </c>
      <c r="F120" s="237">
        <v>76938</v>
      </c>
      <c r="G120" s="112">
        <f t="shared" si="9"/>
        <v>406</v>
      </c>
      <c r="H120" s="99">
        <f>G120+'13'!H120</f>
        <v>5606</v>
      </c>
      <c r="I120" s="165"/>
      <c r="J120" s="328">
        <f>H120/DAY(B2)</f>
        <v>400.42857142857144</v>
      </c>
    </row>
    <row r="121" spans="1:18" ht="27.75" customHeight="1">
      <c r="A121" s="1269" t="s">
        <v>100</v>
      </c>
      <c r="B121" s="1269"/>
      <c r="C121" s="1269"/>
      <c r="D121" s="151" t="s">
        <v>183</v>
      </c>
      <c r="E121" s="95">
        <f>'13'!F121</f>
        <v>87161</v>
      </c>
      <c r="F121" s="237">
        <v>87620</v>
      </c>
      <c r="G121" s="112">
        <f t="shared" si="9"/>
        <v>459</v>
      </c>
      <c r="H121" s="99">
        <f>G121+'13'!H121</f>
        <v>6264</v>
      </c>
      <c r="I121" s="165"/>
      <c r="J121" s="328">
        <f>H121/DAY(B2)</f>
        <v>447.42857142857144</v>
      </c>
    </row>
    <row r="122" spans="1:18" ht="27.75" customHeight="1">
      <c r="A122" s="1269" t="s">
        <v>101</v>
      </c>
      <c r="B122" s="1269"/>
      <c r="C122" s="1269"/>
      <c r="D122" s="151" t="s">
        <v>183</v>
      </c>
      <c r="E122" s="95">
        <f>'13'!F122</f>
        <v>54042</v>
      </c>
      <c r="F122" s="237">
        <v>54427</v>
      </c>
      <c r="G122" s="112">
        <f t="shared" si="9"/>
        <v>385</v>
      </c>
      <c r="H122" s="99">
        <f>G122+'13'!H122</f>
        <v>5296</v>
      </c>
      <c r="I122" s="165"/>
      <c r="J122" s="328">
        <f>H122/DAY(B2)</f>
        <v>378.28571428571428</v>
      </c>
    </row>
    <row r="123" spans="1:18" ht="27.75" customHeight="1">
      <c r="A123" s="1269" t="s">
        <v>102</v>
      </c>
      <c r="B123" s="1269"/>
      <c r="C123" s="1269"/>
      <c r="D123" s="151" t="s">
        <v>183</v>
      </c>
      <c r="E123" s="95">
        <f>'13'!F123</f>
        <v>53713</v>
      </c>
      <c r="F123" s="237">
        <v>54024</v>
      </c>
      <c r="G123" s="112">
        <f t="shared" si="9"/>
        <v>311</v>
      </c>
      <c r="H123" s="99">
        <f>G123+'13'!H123</f>
        <v>4275</v>
      </c>
      <c r="I123" s="165"/>
      <c r="J123" s="328">
        <f>H123/DAY(B2)</f>
        <v>305.35714285714283</v>
      </c>
    </row>
    <row r="124" spans="1:18" ht="27.75" customHeight="1">
      <c r="A124" s="1270"/>
      <c r="B124" s="1271"/>
      <c r="C124" s="1272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1261" t="s">
        <v>196</v>
      </c>
      <c r="B125" s="1262"/>
      <c r="C125" s="245"/>
      <c r="D125" s="307"/>
      <c r="E125" s="308"/>
      <c r="F125" s="308"/>
      <c r="G125" s="309">
        <f>SUM(G112:G124)</f>
        <v>3305</v>
      </c>
      <c r="H125" s="156"/>
      <c r="I125" s="327">
        <f>G125-(G39+G53)</f>
        <v>-776.81000000005588</v>
      </c>
      <c r="J125" s="327"/>
    </row>
    <row r="126" spans="1:18" ht="27.75" customHeight="1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7.75" customHeight="1">
      <c r="A127" s="1274"/>
      <c r="B127" s="1274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1266" t="s">
        <v>318</v>
      </c>
      <c r="B128" s="1267"/>
      <c r="C128" s="1268"/>
      <c r="D128" s="151" t="s">
        <v>183</v>
      </c>
      <c r="E128" s="95">
        <f>'13'!F128</f>
        <v>160216</v>
      </c>
      <c r="F128" s="165">
        <v>160608</v>
      </c>
      <c r="G128" s="112">
        <f t="shared" ref="G128:G134" si="10">F128-E128</f>
        <v>392</v>
      </c>
      <c r="H128" s="99">
        <f>G128+'13'!H128</f>
        <v>5793</v>
      </c>
      <c r="I128" s="165"/>
      <c r="J128" s="328">
        <f>H128/DAY(B2)</f>
        <v>413.78571428571428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86175</v>
      </c>
      <c r="F129" s="165">
        <v>86344</v>
      </c>
      <c r="G129" s="112">
        <f t="shared" si="10"/>
        <v>169</v>
      </c>
      <c r="H129" s="99">
        <f>G129+'13'!H129</f>
        <v>2408</v>
      </c>
      <c r="I129" s="165"/>
      <c r="J129" s="328">
        <f>H129/DAY(B2)</f>
        <v>172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214930</v>
      </c>
      <c r="F130" s="165">
        <v>215501</v>
      </c>
      <c r="G130" s="112">
        <f t="shared" si="10"/>
        <v>571</v>
      </c>
      <c r="H130" s="99">
        <f>G130+'13'!H130</f>
        <v>8742</v>
      </c>
      <c r="I130" s="165"/>
      <c r="J130" s="328">
        <f>H130/DAY(B2)</f>
        <v>624.42857142857144</v>
      </c>
      <c r="N130" s="240"/>
      <c r="O130" s="241"/>
    </row>
    <row r="131" spans="1:15" ht="27.75" customHeight="1">
      <c r="A131" s="1266" t="s">
        <v>321</v>
      </c>
      <c r="B131" s="1267"/>
      <c r="C131" s="1268"/>
      <c r="D131" s="151" t="s">
        <v>183</v>
      </c>
      <c r="E131" s="95">
        <f>'13'!F131</f>
        <v>62812</v>
      </c>
      <c r="F131" s="165">
        <v>63027</v>
      </c>
      <c r="G131" s="112">
        <f t="shared" si="10"/>
        <v>215</v>
      </c>
      <c r="H131" s="99">
        <f>G131+'13'!H131</f>
        <v>2719</v>
      </c>
      <c r="I131" s="165"/>
      <c r="J131" s="328">
        <f>H131/DAY(B2)</f>
        <v>194.21428571428572</v>
      </c>
      <c r="N131" s="240"/>
      <c r="O131" s="241"/>
    </row>
    <row r="132" spans="1:15" ht="27.75" customHeight="1">
      <c r="A132" s="1266" t="s">
        <v>322</v>
      </c>
      <c r="B132" s="1267"/>
      <c r="C132" s="1268"/>
      <c r="D132" s="151" t="s">
        <v>183</v>
      </c>
      <c r="E132" s="95">
        <f>'13'!F132</f>
        <v>146985</v>
      </c>
      <c r="F132" s="165">
        <v>146985</v>
      </c>
      <c r="G132" s="112">
        <f t="shared" si="10"/>
        <v>0</v>
      </c>
      <c r="H132" s="99">
        <f>G132+'13'!H132</f>
        <v>0</v>
      </c>
      <c r="I132" s="165"/>
      <c r="J132" s="328">
        <f>H132/DAY(B2)</f>
        <v>0</v>
      </c>
    </row>
    <row r="133" spans="1:15" ht="27.75" customHeight="1">
      <c r="A133" s="1266" t="s">
        <v>341</v>
      </c>
      <c r="B133" s="1267"/>
      <c r="C133" s="1268"/>
      <c r="D133" s="151" t="s">
        <v>183</v>
      </c>
      <c r="E133" s="95">
        <f>'13'!F133</f>
        <v>277254</v>
      </c>
      <c r="F133" s="165">
        <v>278291</v>
      </c>
      <c r="G133" s="112">
        <f t="shared" si="10"/>
        <v>1037</v>
      </c>
      <c r="H133" s="99">
        <f>G133+'13'!H133</f>
        <v>12346</v>
      </c>
      <c r="I133" s="165"/>
      <c r="J133" s="328">
        <f>H133/DAY(B2)</f>
        <v>881.85714285714289</v>
      </c>
    </row>
    <row r="134" spans="1:15" ht="27.75" customHeight="1">
      <c r="A134" s="1266" t="s">
        <v>340</v>
      </c>
      <c r="B134" s="1267"/>
      <c r="C134" s="1268"/>
      <c r="D134" s="151" t="s">
        <v>183</v>
      </c>
      <c r="E134" s="95">
        <f>'13'!F134</f>
        <v>66956</v>
      </c>
      <c r="F134" s="165">
        <v>67210</v>
      </c>
      <c r="G134" s="112">
        <f t="shared" si="10"/>
        <v>254</v>
      </c>
      <c r="H134" s="99">
        <f>G134+'13'!H134</f>
        <v>3548</v>
      </c>
      <c r="I134" s="165"/>
      <c r="J134" s="328">
        <f>H134/DAY(B2)</f>
        <v>253.42857142857142</v>
      </c>
    </row>
    <row r="135" spans="1:15" ht="27.75" customHeight="1">
      <c r="A135" s="1261" t="s">
        <v>196</v>
      </c>
      <c r="B135" s="1262"/>
      <c r="C135" s="331"/>
      <c r="D135" s="151"/>
      <c r="E135" s="95"/>
      <c r="F135" s="165"/>
      <c r="G135" s="112">
        <f>SUM(G128:G134)</f>
        <v>2638</v>
      </c>
      <c r="H135" s="119">
        <f>H128+H134</f>
        <v>9341</v>
      </c>
      <c r="I135" s="327">
        <f>G135-(G35+G49)</f>
        <v>-1095</v>
      </c>
      <c r="J135" s="328">
        <f>H135/DAY(B2)</f>
        <v>667.21428571428567</v>
      </c>
    </row>
    <row r="136" spans="1:15" ht="27.75" customHeight="1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1269" t="s">
        <v>185</v>
      </c>
      <c r="B138" s="1269"/>
      <c r="C138" s="1269"/>
      <c r="D138" s="151" t="s">
        <v>183</v>
      </c>
      <c r="E138" s="95">
        <f>'13'!F138</f>
        <v>900046</v>
      </c>
      <c r="F138" s="147">
        <v>900210</v>
      </c>
      <c r="G138" s="112">
        <f t="shared" ref="G138:G152" si="11">F138-E138</f>
        <v>164</v>
      </c>
      <c r="H138" s="99">
        <f>G138+'13'!H138</f>
        <v>2005</v>
      </c>
      <c r="I138" s="118"/>
      <c r="J138" s="328">
        <f>H138/DAY(B2)</f>
        <v>143.21428571428572</v>
      </c>
    </row>
    <row r="139" spans="1:15" ht="27.75" customHeight="1">
      <c r="A139" s="1269" t="s">
        <v>186</v>
      </c>
      <c r="B139" s="1269"/>
      <c r="C139" s="1269"/>
      <c r="D139" s="151" t="s">
        <v>183</v>
      </c>
      <c r="E139" s="95">
        <f>'13'!F139</f>
        <v>920208</v>
      </c>
      <c r="F139" s="148">
        <v>920363</v>
      </c>
      <c r="G139" s="112">
        <f t="shared" si="11"/>
        <v>155</v>
      </c>
      <c r="H139" s="99">
        <f>G139+'13'!H139</f>
        <v>2159</v>
      </c>
      <c r="I139" s="118"/>
      <c r="J139" s="328">
        <f>H139/DAY(B2)</f>
        <v>154.21428571428572</v>
      </c>
    </row>
    <row r="140" spans="1:15" ht="27.75" customHeight="1">
      <c r="A140" s="1269" t="s">
        <v>187</v>
      </c>
      <c r="B140" s="1269"/>
      <c r="C140" s="1269"/>
      <c r="D140" s="151" t="s">
        <v>183</v>
      </c>
      <c r="E140" s="95">
        <f>'13'!F140</f>
        <v>2495</v>
      </c>
      <c r="F140" s="149">
        <v>2505</v>
      </c>
      <c r="G140" s="112">
        <f t="shared" si="11"/>
        <v>10</v>
      </c>
      <c r="H140" s="99">
        <f>G140+'13'!H140</f>
        <v>162</v>
      </c>
      <c r="I140" s="118"/>
      <c r="J140" s="328">
        <f>H140/DAY(B2)</f>
        <v>11.571428571428571</v>
      </c>
    </row>
    <row r="141" spans="1:15" ht="27.75" customHeight="1">
      <c r="A141" s="1256" t="s">
        <v>188</v>
      </c>
      <c r="B141" s="1256"/>
      <c r="C141" s="1256"/>
      <c r="D141" s="151" t="s">
        <v>183</v>
      </c>
      <c r="E141" s="95">
        <f>'13'!F141</f>
        <v>106675</v>
      </c>
      <c r="F141" s="149">
        <v>106889</v>
      </c>
      <c r="G141" s="112">
        <f t="shared" si="11"/>
        <v>214</v>
      </c>
      <c r="H141" s="99">
        <f>G141+'13'!H141</f>
        <v>3115</v>
      </c>
      <c r="I141" s="118"/>
      <c r="J141" s="328">
        <f>H141/DAY(B2)</f>
        <v>222.5</v>
      </c>
    </row>
    <row r="142" spans="1:15" ht="27.75" customHeight="1">
      <c r="A142" s="1256" t="s">
        <v>189</v>
      </c>
      <c r="B142" s="1256"/>
      <c r="C142" s="1256"/>
      <c r="D142" s="151" t="s">
        <v>183</v>
      </c>
      <c r="E142" s="95">
        <f>'13'!F142</f>
        <v>42982</v>
      </c>
      <c r="F142" s="148">
        <v>43072</v>
      </c>
      <c r="G142" s="112">
        <f t="shared" si="11"/>
        <v>90</v>
      </c>
      <c r="H142" s="99">
        <f>G142+'13'!H142</f>
        <v>1257</v>
      </c>
      <c r="I142" s="140"/>
      <c r="J142" s="328">
        <f>H142/DAY(B2)</f>
        <v>89.785714285714292</v>
      </c>
    </row>
    <row r="143" spans="1:15" ht="27.75" customHeight="1">
      <c r="A143" s="1269" t="s">
        <v>91</v>
      </c>
      <c r="B143" s="1269"/>
      <c r="C143" s="1269"/>
      <c r="D143" s="151" t="s">
        <v>183</v>
      </c>
      <c r="E143" s="95">
        <f>'13'!F143</f>
        <v>11024</v>
      </c>
      <c r="F143" s="149">
        <v>11056</v>
      </c>
      <c r="G143" s="112">
        <f t="shared" si="11"/>
        <v>32</v>
      </c>
      <c r="H143" s="99">
        <f>G143+'13'!H143</f>
        <v>379</v>
      </c>
      <c r="I143" s="140"/>
      <c r="J143" s="328">
        <f>H143/DAY(B2)</f>
        <v>27.071428571428573</v>
      </c>
    </row>
    <row r="144" spans="1:15" ht="27.75" customHeight="1">
      <c r="A144" s="1256" t="s">
        <v>90</v>
      </c>
      <c r="B144" s="1256"/>
      <c r="C144" s="1256"/>
      <c r="D144" s="151" t="s">
        <v>183</v>
      </c>
      <c r="E144" s="148">
        <v>936650</v>
      </c>
      <c r="F144" s="149">
        <v>936886</v>
      </c>
      <c r="G144" s="112">
        <f t="shared" si="11"/>
        <v>236</v>
      </c>
      <c r="H144" s="99">
        <f>G144+'13'!H144</f>
        <v>3365</v>
      </c>
      <c r="I144" s="140"/>
      <c r="J144" s="328">
        <f>H144/DAY(B2)</f>
        <v>240.35714285714286</v>
      </c>
    </row>
    <row r="145" spans="1:10" ht="27.75" customHeight="1">
      <c r="A145" s="1269" t="s">
        <v>190</v>
      </c>
      <c r="B145" s="1269"/>
      <c r="C145" s="1269"/>
      <c r="D145" s="152" t="s">
        <v>183</v>
      </c>
      <c r="E145" s="95">
        <f>'13'!F145</f>
        <v>15904</v>
      </c>
      <c r="F145" s="149">
        <v>16145</v>
      </c>
      <c r="G145" s="112">
        <f t="shared" si="11"/>
        <v>241</v>
      </c>
      <c r="H145" s="99">
        <f>G145+'13'!H145</f>
        <v>3005</v>
      </c>
      <c r="I145" s="140"/>
      <c r="J145" s="328">
        <f>H145/DAY(B2)</f>
        <v>214.64285714285714</v>
      </c>
    </row>
    <row r="146" spans="1:10" ht="27.75" customHeight="1">
      <c r="A146" s="1332" t="s">
        <v>191</v>
      </c>
      <c r="B146" s="1289"/>
      <c r="C146" s="1290"/>
      <c r="D146" s="152" t="s">
        <v>183</v>
      </c>
      <c r="E146" s="95">
        <f>'13'!F146</f>
        <v>784927</v>
      </c>
      <c r="F146" s="148">
        <v>784976</v>
      </c>
      <c r="G146" s="112">
        <f t="shared" si="11"/>
        <v>49</v>
      </c>
      <c r="H146" s="99">
        <f>G146+'13'!H146</f>
        <v>637</v>
      </c>
      <c r="I146" s="140"/>
      <c r="J146" s="328">
        <f>H146/DAY(B2)</f>
        <v>45.5</v>
      </c>
    </row>
    <row r="147" spans="1:10" ht="27.75" customHeight="1">
      <c r="A147" s="1256" t="s">
        <v>192</v>
      </c>
      <c r="B147" s="1256"/>
      <c r="C147" s="1256"/>
      <c r="D147" s="152" t="s">
        <v>183</v>
      </c>
      <c r="E147" s="95">
        <f>'13'!F147</f>
        <v>728705</v>
      </c>
      <c r="F147" s="148">
        <v>729136</v>
      </c>
      <c r="G147" s="112">
        <f t="shared" si="11"/>
        <v>431</v>
      </c>
      <c r="H147" s="99">
        <f>G147+'13'!H147</f>
        <v>5614</v>
      </c>
      <c r="I147" s="140"/>
      <c r="J147" s="328">
        <f>H147/DAY(B2)</f>
        <v>401</v>
      </c>
    </row>
    <row r="148" spans="1:10" ht="27.75" customHeight="1">
      <c r="A148" s="1257" t="s">
        <v>193</v>
      </c>
      <c r="B148" s="1258"/>
      <c r="C148" s="1259"/>
      <c r="D148" s="123" t="s">
        <v>130</v>
      </c>
      <c r="E148" s="95">
        <f>'13'!F148</f>
        <v>770400</v>
      </c>
      <c r="F148" s="150">
        <v>770736</v>
      </c>
      <c r="G148" s="112">
        <f t="shared" si="11"/>
        <v>336</v>
      </c>
      <c r="H148" s="99">
        <f>G148+'13'!H148</f>
        <v>4126</v>
      </c>
      <c r="I148" s="124"/>
      <c r="J148" s="328">
        <f>H148/DAY(B2)</f>
        <v>294.71428571428572</v>
      </c>
    </row>
    <row r="149" spans="1:10" ht="27.75" customHeight="1">
      <c r="A149" s="1257" t="s">
        <v>336</v>
      </c>
      <c r="B149" s="1258"/>
      <c r="C149" s="1259"/>
      <c r="D149" s="227" t="s">
        <v>130</v>
      </c>
      <c r="E149" s="95">
        <f>'13'!F149</f>
        <v>163533</v>
      </c>
      <c r="F149" s="227">
        <v>163971</v>
      </c>
      <c r="G149" s="112">
        <f t="shared" si="11"/>
        <v>438</v>
      </c>
      <c r="H149" s="99">
        <f>G149+'13'!H149</f>
        <v>6004</v>
      </c>
      <c r="I149" s="119"/>
      <c r="J149" s="328">
        <f>H149/DAY(B2)</f>
        <v>428.85714285714283</v>
      </c>
    </row>
    <row r="150" spans="1:10" ht="27.75" customHeight="1">
      <c r="A150" s="1257" t="s">
        <v>337</v>
      </c>
      <c r="B150" s="1258"/>
      <c r="C150" s="1259"/>
      <c r="D150" s="117" t="s">
        <v>130</v>
      </c>
      <c r="E150" s="95">
        <f>'13'!F150</f>
        <v>66845</v>
      </c>
      <c r="F150" s="233">
        <v>67059</v>
      </c>
      <c r="G150" s="112">
        <f t="shared" si="11"/>
        <v>214</v>
      </c>
      <c r="H150" s="99">
        <f>G150+'13'!H150</f>
        <v>3081</v>
      </c>
      <c r="I150" s="119"/>
      <c r="J150" s="328">
        <f>H150/DAY(B2)</f>
        <v>220.07142857142858</v>
      </c>
    </row>
    <row r="151" spans="1:10" ht="27.75" customHeight="1">
      <c r="A151" s="1257" t="s">
        <v>338</v>
      </c>
      <c r="B151" s="1258"/>
      <c r="C151" s="1259"/>
      <c r="D151" s="117" t="s">
        <v>130</v>
      </c>
      <c r="E151" s="95">
        <f>'13'!F151</f>
        <v>150485</v>
      </c>
      <c r="F151" s="233">
        <v>150529</v>
      </c>
      <c r="G151" s="112">
        <f t="shared" si="11"/>
        <v>44</v>
      </c>
      <c r="H151" s="99">
        <f>G151+'13'!H151</f>
        <v>741</v>
      </c>
      <c r="I151" s="119"/>
      <c r="J151" s="328">
        <f>H151/DAY(B2)</f>
        <v>52.928571428571431</v>
      </c>
    </row>
    <row r="152" spans="1:10" ht="27.75" customHeight="1">
      <c r="A152" s="1257" t="s">
        <v>339</v>
      </c>
      <c r="B152" s="1258"/>
      <c r="C152" s="1259"/>
      <c r="D152" s="117" t="s">
        <v>130</v>
      </c>
      <c r="E152" s="95">
        <f>'13'!F152</f>
        <v>32286</v>
      </c>
      <c r="F152" s="233">
        <v>32420</v>
      </c>
      <c r="G152" s="112">
        <f t="shared" si="11"/>
        <v>134</v>
      </c>
      <c r="H152" s="99">
        <f>G152+'13'!H152</f>
        <v>1806</v>
      </c>
      <c r="I152" s="119"/>
      <c r="J152" s="328">
        <f>H152/DAY(B2)</f>
        <v>129</v>
      </c>
    </row>
    <row r="153" spans="1:10" ht="27.75" customHeight="1">
      <c r="A153" s="1261" t="s">
        <v>196</v>
      </c>
      <c r="B153" s="1262"/>
      <c r="C153" s="362"/>
      <c r="D153" s="355"/>
      <c r="E153" s="357"/>
      <c r="F153" s="358"/>
      <c r="G153" s="359">
        <f>SUM(G138:G152)</f>
        <v>2788</v>
      </c>
      <c r="H153" s="360"/>
      <c r="I153" s="119">
        <f>G153-(G38+G52)</f>
        <v>438.76000000000022</v>
      </c>
      <c r="J153" s="363"/>
    </row>
    <row r="154" spans="1:10" ht="27.75" customHeight="1">
      <c r="A154" s="1260"/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0" ht="27.75" customHeight="1">
      <c r="A155" s="1256" t="s">
        <v>345</v>
      </c>
      <c r="B155" s="1256"/>
      <c r="C155" s="1256"/>
      <c r="D155" s="117" t="s">
        <v>130</v>
      </c>
      <c r="E155" s="365">
        <v>192809</v>
      </c>
      <c r="F155" s="365">
        <v>193381</v>
      </c>
      <c r="G155" s="112">
        <f t="shared" ref="G155:G158" si="12">F155-E155</f>
        <v>572</v>
      </c>
      <c r="H155" s="99">
        <f>G155+'13'!H155</f>
        <v>7640</v>
      </c>
      <c r="I155" s="361"/>
      <c r="J155" s="328">
        <f>H155/DAY(B2)</f>
        <v>545.71428571428567</v>
      </c>
    </row>
    <row r="156" spans="1:10" ht="27.75" customHeight="1">
      <c r="A156" s="1256" t="s">
        <v>347</v>
      </c>
      <c r="B156" s="1256"/>
      <c r="C156" s="1256"/>
      <c r="D156" s="117" t="s">
        <v>130</v>
      </c>
      <c r="E156" s="365">
        <v>21960</v>
      </c>
      <c r="F156" s="155">
        <v>22063</v>
      </c>
      <c r="G156" s="112">
        <f t="shared" si="12"/>
        <v>103</v>
      </c>
      <c r="H156" s="99">
        <f>G156+'13'!H156</f>
        <v>1324</v>
      </c>
      <c r="I156" s="165"/>
      <c r="J156" s="328">
        <f>H156/DAY(B2)</f>
        <v>94.571428571428569</v>
      </c>
    </row>
    <row r="157" spans="1:10" ht="27.75" customHeight="1">
      <c r="A157" s="1257" t="s">
        <v>358</v>
      </c>
      <c r="B157" s="1258"/>
      <c r="C157" s="1259"/>
      <c r="D157" s="117" t="s">
        <v>130</v>
      </c>
      <c r="E157" s="365">
        <v>37558.54</v>
      </c>
      <c r="F157" s="155">
        <v>37558.54</v>
      </c>
      <c r="G157" s="112">
        <f t="shared" si="12"/>
        <v>0</v>
      </c>
      <c r="H157" s="99">
        <f>G157+'13'!H157</f>
        <v>1434.5400000000009</v>
      </c>
      <c r="I157" s="165"/>
      <c r="J157" s="328">
        <f>H157/DAY(B2)</f>
        <v>102.46714285714292</v>
      </c>
    </row>
    <row r="158" spans="1:10" ht="27.75" customHeight="1">
      <c r="A158" s="1257" t="s">
        <v>359</v>
      </c>
      <c r="B158" s="1258"/>
      <c r="C158" s="1259"/>
      <c r="D158" s="117" t="s">
        <v>130</v>
      </c>
      <c r="E158" s="365">
        <v>809</v>
      </c>
      <c r="F158" s="155">
        <v>830</v>
      </c>
      <c r="G158" s="112">
        <f t="shared" si="12"/>
        <v>21</v>
      </c>
      <c r="H158" s="99">
        <f>G158+'13'!H158</f>
        <v>325.37</v>
      </c>
      <c r="I158" s="165"/>
      <c r="J158" s="328">
        <f>H158/DAY(B2)</f>
        <v>23.240714285714287</v>
      </c>
    </row>
    <row r="159" spans="1:10" ht="27.75" customHeight="1">
      <c r="A159" s="1263"/>
      <c r="B159" s="1264"/>
      <c r="C159" s="1265"/>
      <c r="D159" s="117"/>
      <c r="E159" s="165"/>
      <c r="F159" s="165"/>
      <c r="G159" s="359">
        <f>SUM(G155:G158)</f>
        <v>696</v>
      </c>
      <c r="H159" s="99"/>
      <c r="I159" s="165"/>
      <c r="J159" s="328"/>
    </row>
    <row r="160" spans="1:10" ht="27.75" customHeight="1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27.75" customHeight="1">
      <c r="A161" s="242" t="s">
        <v>92</v>
      </c>
      <c r="B161" s="243"/>
      <c r="C161" s="243"/>
      <c r="D161" s="244" t="s">
        <v>180</v>
      </c>
      <c r="E161" s="235">
        <f>'13'!F161</f>
        <v>492088.12</v>
      </c>
      <c r="F161" s="235">
        <v>492368</v>
      </c>
      <c r="G161" s="238">
        <f t="shared" ref="G161:G165" si="13">F161-E161</f>
        <v>279.88000000000466</v>
      </c>
      <c r="H161" s="99">
        <f>G161+'13'!H161</f>
        <v>4045</v>
      </c>
      <c r="I161" s="236"/>
      <c r="J161" s="239">
        <f>H161/DAY(B2)</f>
        <v>288.92857142857144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235">
        <f>'13'!F162</f>
        <v>97764</v>
      </c>
      <c r="F162" s="235">
        <v>97806</v>
      </c>
      <c r="G162" s="238">
        <f t="shared" si="13"/>
        <v>42</v>
      </c>
      <c r="H162" s="99">
        <f>G162+'13'!H162</f>
        <v>518</v>
      </c>
      <c r="I162" s="236"/>
      <c r="J162" s="239">
        <f>H162/DAY(B2)</f>
        <v>37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235">
        <f>'13'!F163</f>
        <v>15616</v>
      </c>
      <c r="F163" s="235">
        <v>15758</v>
      </c>
      <c r="G163" s="238">
        <f t="shared" si="13"/>
        <v>142</v>
      </c>
      <c r="H163" s="99">
        <f>G163+'13'!H163</f>
        <v>1594</v>
      </c>
      <c r="I163" s="236"/>
      <c r="J163" s="239">
        <f>H163/DAY(B2)</f>
        <v>113.85714285714286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235">
        <f>'13'!F164</f>
        <v>6701</v>
      </c>
      <c r="F164" s="235">
        <v>6709</v>
      </c>
      <c r="G164" s="238">
        <f t="shared" si="13"/>
        <v>8</v>
      </c>
      <c r="H164" s="99">
        <f>G164+'13'!H164</f>
        <v>97</v>
      </c>
      <c r="I164" s="236"/>
      <c r="J164" s="239">
        <f>H164/DAY(B2)</f>
        <v>6.9285714285714288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235">
        <f>'13'!F165</f>
        <v>32229</v>
      </c>
      <c r="F165" s="235">
        <v>32237</v>
      </c>
      <c r="G165" s="238">
        <f t="shared" si="13"/>
        <v>8</v>
      </c>
      <c r="H165" s="99">
        <f>G165+'13'!H165</f>
        <v>96</v>
      </c>
      <c r="I165" s="236"/>
      <c r="J165" s="239">
        <f>H165/DAY(B2)</f>
        <v>6.8571428571428568</v>
      </c>
    </row>
    <row r="166" spans="1:10" ht="27.75" customHeight="1">
      <c r="A166" s="1274"/>
      <c r="B166" s="1274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1274"/>
      <c r="B167" s="1274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1274"/>
      <c r="B168" s="1274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7.75" customHeight="1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1254" t="s">
        <v>209</v>
      </c>
      <c r="B173" s="1255"/>
      <c r="C173" s="333"/>
      <c r="D173" s="228" t="s">
        <v>142</v>
      </c>
      <c r="E173" s="95">
        <f>'13'!F173</f>
        <v>8604</v>
      </c>
      <c r="F173" s="155">
        <v>8604</v>
      </c>
      <c r="G173" s="155">
        <f>F173-E173</f>
        <v>0</v>
      </c>
      <c r="H173" s="99">
        <f>G173+'13'!H173</f>
        <v>23</v>
      </c>
      <c r="I173" s="155"/>
      <c r="J173" s="178">
        <f>H173/DAY(B2)</f>
        <v>1.6428571428571428</v>
      </c>
    </row>
    <row r="174" spans="1:10" ht="27.75" customHeight="1">
      <c r="A174" s="1254" t="s">
        <v>75</v>
      </c>
      <c r="B174" s="1255"/>
      <c r="C174" s="333"/>
      <c r="D174" s="228" t="s">
        <v>142</v>
      </c>
      <c r="E174" s="95">
        <f>'13'!F174</f>
        <v>42134</v>
      </c>
      <c r="F174" s="157">
        <v>42146</v>
      </c>
      <c r="G174" s="155">
        <f t="shared" ref="G174:G175" si="14">F174-E174</f>
        <v>12</v>
      </c>
      <c r="H174" s="99">
        <f>G174+'13'!H174</f>
        <v>184</v>
      </c>
      <c r="I174" s="155"/>
      <c r="J174" s="178">
        <f>H174/DAY(B2)</f>
        <v>13.142857142857142</v>
      </c>
    </row>
    <row r="175" spans="1:10" ht="27.75" customHeight="1">
      <c r="A175" s="1254" t="s">
        <v>76</v>
      </c>
      <c r="B175" s="1324"/>
      <c r="C175" s="1255"/>
      <c r="D175" s="228" t="s">
        <v>142</v>
      </c>
      <c r="E175" s="95">
        <f>'13'!F175</f>
        <v>24835</v>
      </c>
      <c r="F175" s="155">
        <v>24847</v>
      </c>
      <c r="G175" s="155">
        <f t="shared" si="14"/>
        <v>12</v>
      </c>
      <c r="H175" s="99">
        <f>G175+'13'!H175</f>
        <v>150</v>
      </c>
      <c r="I175" s="155"/>
      <c r="J175" s="178">
        <f>H175/DAY(B2)</f>
        <v>10.714285714285714</v>
      </c>
    </row>
    <row r="176" spans="1:10" ht="27.75" customHeight="1">
      <c r="A176" s="1261" t="s">
        <v>196</v>
      </c>
      <c r="B176" s="1262"/>
      <c r="C176" s="384"/>
      <c r="D176" s="228" t="s">
        <v>142</v>
      </c>
      <c r="E176" s="95"/>
      <c r="F176" s="155"/>
      <c r="G176" s="155">
        <f>SUM(G173:G175)</f>
        <v>24</v>
      </c>
      <c r="H176" s="99">
        <f>G176+'13'!H176</f>
        <v>357</v>
      </c>
      <c r="I176" s="155"/>
      <c r="J176" s="178">
        <f>H176/DAY(B2)</f>
        <v>25.5</v>
      </c>
    </row>
    <row r="177" spans="1:10" ht="27.75" customHeight="1">
      <c r="A177" s="1254" t="s">
        <v>77</v>
      </c>
      <c r="B177" s="1255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1254" t="s">
        <v>210</v>
      </c>
      <c r="B178" s="1255"/>
      <c r="C178" s="333"/>
      <c r="D178" s="228" t="s">
        <v>142</v>
      </c>
      <c r="E178" s="95">
        <f>'13'!F178</f>
        <v>102117</v>
      </c>
      <c r="F178" s="157">
        <v>102117</v>
      </c>
      <c r="G178" s="155">
        <f>F178-E178</f>
        <v>0</v>
      </c>
      <c r="H178" s="99">
        <f>G178+'13'!H178</f>
        <v>3</v>
      </c>
      <c r="I178" s="155"/>
      <c r="J178" s="178">
        <f>H178/DAY(B2)</f>
        <v>0.21428571428571427</v>
      </c>
    </row>
    <row r="179" spans="1:10" ht="27.75" customHeight="1">
      <c r="A179" s="1254" t="s">
        <v>211</v>
      </c>
      <c r="B179" s="1255"/>
      <c r="C179" s="333"/>
      <c r="D179" s="228" t="s">
        <v>142</v>
      </c>
      <c r="E179" s="95">
        <f>'13'!F179</f>
        <v>37501</v>
      </c>
      <c r="F179" s="155">
        <v>37501</v>
      </c>
      <c r="G179" s="155">
        <f t="shared" ref="G179:G180" si="15">F179-E179</f>
        <v>0</v>
      </c>
      <c r="H179" s="99">
        <f>G179+'13'!H179</f>
        <v>0</v>
      </c>
      <c r="I179" s="155"/>
      <c r="J179" s="178">
        <f>H179/DAY(B2)</f>
        <v>0</v>
      </c>
    </row>
    <row r="180" spans="1:10" ht="27.75" customHeight="1">
      <c r="A180" s="1254" t="s">
        <v>212</v>
      </c>
      <c r="B180" s="1255"/>
      <c r="C180" s="333"/>
      <c r="D180" s="228" t="s">
        <v>142</v>
      </c>
      <c r="E180" s="95">
        <f>'13'!F180</f>
        <v>7231</v>
      </c>
      <c r="F180" s="155">
        <v>7231</v>
      </c>
      <c r="G180" s="155">
        <f t="shared" si="15"/>
        <v>0</v>
      </c>
      <c r="H180" s="99">
        <f>G180+'13'!H180</f>
        <v>0</v>
      </c>
      <c r="I180" s="155"/>
      <c r="J180" s="178">
        <f>H180/DAY(B2)</f>
        <v>0</v>
      </c>
    </row>
    <row r="181" spans="1:10" ht="27.75" customHeight="1">
      <c r="A181" s="1325" t="s">
        <v>108</v>
      </c>
      <c r="B181" s="1326"/>
      <c r="C181" s="384"/>
      <c r="D181" s="228" t="s">
        <v>142</v>
      </c>
      <c r="E181" s="95"/>
      <c r="F181" s="155" t="s">
        <v>207</v>
      </c>
      <c r="G181" s="155">
        <f>SUM(G178:G180)</f>
        <v>0</v>
      </c>
      <c r="H181" s="99">
        <f>G181+'13'!H181</f>
        <v>3</v>
      </c>
      <c r="I181" s="155"/>
      <c r="J181" s="178">
        <f>H181/DAY(B2)</f>
        <v>0.21428571428571427</v>
      </c>
    </row>
    <row r="182" spans="1:10" ht="27.75" customHeight="1">
      <c r="A182" s="1254" t="s">
        <v>213</v>
      </c>
      <c r="B182" s="1255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1254" t="s">
        <v>214</v>
      </c>
      <c r="B183" s="1255"/>
      <c r="C183" s="334"/>
      <c r="D183" s="228" t="s">
        <v>142</v>
      </c>
      <c r="E183" s="95">
        <f>'13'!F183</f>
        <v>17908</v>
      </c>
      <c r="F183" s="157">
        <v>17911</v>
      </c>
      <c r="G183" s="157">
        <f>F183-E183</f>
        <v>3</v>
      </c>
      <c r="H183" s="99">
        <f>G183+'13'!H183</f>
        <v>63</v>
      </c>
      <c r="I183" s="155"/>
      <c r="J183" s="178">
        <f>H183/DAY(B2)</f>
        <v>4.5</v>
      </c>
    </row>
    <row r="184" spans="1:10" ht="27.75" customHeight="1">
      <c r="A184" s="1254" t="s">
        <v>215</v>
      </c>
      <c r="B184" s="1255"/>
      <c r="C184" s="334"/>
      <c r="D184" s="228" t="s">
        <v>142</v>
      </c>
      <c r="E184" s="95">
        <f>'13'!F184</f>
        <v>12443</v>
      </c>
      <c r="F184" s="157">
        <v>12448</v>
      </c>
      <c r="G184" s="157">
        <f t="shared" ref="G184:G185" si="16">F184-E184</f>
        <v>5</v>
      </c>
      <c r="H184" s="99">
        <f>G184+'13'!H184</f>
        <v>99</v>
      </c>
      <c r="I184" s="155"/>
      <c r="J184" s="178">
        <f>H184/DAY(B2)</f>
        <v>7.0714285714285712</v>
      </c>
    </row>
    <row r="185" spans="1:10" ht="27.75" customHeight="1">
      <c r="A185" s="1254" t="s">
        <v>216</v>
      </c>
      <c r="B185" s="1255"/>
      <c r="C185" s="334"/>
      <c r="D185" s="228" t="s">
        <v>142</v>
      </c>
      <c r="E185" s="95"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1261" t="s">
        <v>196</v>
      </c>
      <c r="B186" s="1262"/>
      <c r="C186" s="383"/>
      <c r="D186" s="228" t="s">
        <v>142</v>
      </c>
      <c r="E186" s="95"/>
      <c r="F186" s="157"/>
      <c r="G186" s="157">
        <f>SUM(G183:G185)</f>
        <v>8</v>
      </c>
      <c r="H186" s="99">
        <f>G186+'13'!H186</f>
        <v>162</v>
      </c>
      <c r="I186" s="157"/>
      <c r="J186" s="178">
        <f>H186/DAY(B2)</f>
        <v>11.571428571428571</v>
      </c>
    </row>
    <row r="187" spans="1:10" ht="27.75" customHeight="1">
      <c r="A187" s="1250" t="s">
        <v>217</v>
      </c>
      <c r="B187" s="1251"/>
      <c r="C187" s="333"/>
      <c r="D187" s="230" t="s">
        <v>142</v>
      </c>
      <c r="E187" s="95"/>
      <c r="F187" s="159"/>
      <c r="G187" s="159">
        <f>G62+G19</f>
        <v>157</v>
      </c>
      <c r="H187" s="99">
        <f>G187+'13'!H187</f>
        <v>2032</v>
      </c>
      <c r="I187" s="158"/>
      <c r="J187" s="179">
        <f>H187/DAY(B2)</f>
        <v>145.14285714285714</v>
      </c>
    </row>
    <row r="188" spans="1:10" ht="27.75" customHeight="1">
      <c r="A188" s="1250" t="s">
        <v>218</v>
      </c>
      <c r="B188" s="1251"/>
      <c r="C188" s="333"/>
      <c r="D188" s="230" t="s">
        <v>142</v>
      </c>
      <c r="E188" s="95"/>
      <c r="F188" s="159"/>
      <c r="G188" s="159">
        <f>G65+G66+G67+G69+G70</f>
        <v>160</v>
      </c>
      <c r="H188" s="99"/>
      <c r="I188" s="158"/>
      <c r="J188" s="388">
        <f>H188/DAY(B2)</f>
        <v>0</v>
      </c>
    </row>
    <row r="189" spans="1:10" ht="27.75" customHeight="1">
      <c r="A189" s="1250" t="s">
        <v>219</v>
      </c>
      <c r="B189" s="1251"/>
      <c r="C189" s="333"/>
      <c r="D189" s="230" t="s">
        <v>142</v>
      </c>
      <c r="E189" s="95"/>
      <c r="F189" s="157"/>
      <c r="G189" s="157">
        <f>G181</f>
        <v>0</v>
      </c>
      <c r="H189" s="99">
        <f>G189+'13'!H189</f>
        <v>3</v>
      </c>
      <c r="I189" s="158"/>
      <c r="J189" s="179">
        <f>H189/DAY(B2)</f>
        <v>0.21428571428571427</v>
      </c>
    </row>
    <row r="190" spans="1:10" ht="27.75" customHeight="1">
      <c r="A190" s="1252"/>
      <c r="B190" s="1253"/>
      <c r="C190" s="382"/>
      <c r="D190" s="379"/>
      <c r="E190" s="379" t="s">
        <v>207</v>
      </c>
      <c r="F190" s="379"/>
      <c r="G190" s="379"/>
      <c r="H190" s="380"/>
      <c r="I190" s="379"/>
      <c r="J190" s="381"/>
    </row>
  </sheetData>
  <mergeCells count="115"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</mergeCells>
  <pageMargins left="0.23622047244094491" right="0.15748031496062992" top="0.15748031496062992" bottom="0.16" header="0.19685039370078741" footer="0.19685039370078741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zoomScale="55" zoomScaleSheetLayoutView="55" workbookViewId="0">
      <selection activeCell="F159" sqref="F15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3.25">
      <c r="A2" s="191" t="s">
        <v>303</v>
      </c>
      <c r="B2" s="262">
        <v>44849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'14'!F7</f>
        <v>231074</v>
      </c>
      <c r="F7" s="95">
        <v>256579</v>
      </c>
      <c r="G7" s="112">
        <f>F7-E7</f>
        <v>25505</v>
      </c>
      <c r="H7" s="99">
        <f>G7+'14'!H7</f>
        <v>374743</v>
      </c>
      <c r="I7" s="113">
        <f>'1'!I7</f>
        <v>12000</v>
      </c>
      <c r="J7" s="175">
        <f>H7/DAY(B2)</f>
        <v>24982.866666666665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'14'!F8</f>
        <v>403304</v>
      </c>
      <c r="F8" s="95">
        <v>429122</v>
      </c>
      <c r="G8" s="493">
        <f>F8-E8</f>
        <v>25818</v>
      </c>
      <c r="H8" s="99">
        <f>G8+'14'!H8</f>
        <v>379742</v>
      </c>
      <c r="I8" s="116"/>
      <c r="J8" s="175">
        <f>H8/DAY(B2)</f>
        <v>25316.133333333335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'14'!F9</f>
        <v>3789087</v>
      </c>
      <c r="F9" s="447">
        <v>3797064</v>
      </c>
      <c r="G9" s="112">
        <f>F9-E9</f>
        <v>7977</v>
      </c>
      <c r="H9" s="99">
        <f>G9+'14'!H9</f>
        <v>90357</v>
      </c>
      <c r="I9" s="124">
        <f>I7-J7</f>
        <v>-12982.866666666665</v>
      </c>
      <c r="J9" s="175">
        <f>H9/DAY(B2)</f>
        <v>6023.8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'14'!F10</f>
        <v>3000365</v>
      </c>
      <c r="F10" s="353">
        <v>3017217</v>
      </c>
      <c r="G10" s="112">
        <f>F10-E10</f>
        <v>16852</v>
      </c>
      <c r="H10" s="99">
        <f>G10+'14'!H10</f>
        <v>274523</v>
      </c>
      <c r="I10" s="282"/>
      <c r="J10" s="175">
        <f>H10/DAY(B2)</f>
        <v>18301.533333333333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'14'!F11</f>
        <v>37560</v>
      </c>
      <c r="F11" s="95">
        <v>37560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'14'!F12</f>
        <v>40380</v>
      </c>
      <c r="F12" s="117">
        <v>40380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24829</v>
      </c>
      <c r="H13" s="99">
        <f>G13+'14'!H13</f>
        <v>366340</v>
      </c>
      <c r="I13" s="120">
        <f>G7-G13</f>
        <v>676</v>
      </c>
      <c r="J13" s="175">
        <f>H13/DAY(B2)</f>
        <v>24422.666666666668</v>
      </c>
      <c r="K13" s="79"/>
      <c r="L13" s="66"/>
      <c r="N13" s="87"/>
      <c r="O13" s="71"/>
    </row>
    <row r="14" spans="1:15" ht="26.25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47">
        <f>'14'!F15</f>
        <v>2175936</v>
      </c>
      <c r="F15" s="447">
        <v>2176853</v>
      </c>
      <c r="G15" s="112">
        <f>(F15-E15)</f>
        <v>917</v>
      </c>
      <c r="H15" s="99">
        <f>G15+'14'!H15</f>
        <v>15338</v>
      </c>
      <c r="I15" s="113">
        <f>'1'!I15</f>
        <v>800</v>
      </c>
      <c r="J15" s="175">
        <f>H15/DAY(B2)</f>
        <v>1022.5333333333333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G16" s="112"/>
      <c r="H16" s="124"/>
      <c r="I16" s="120">
        <f>I15-J15</f>
        <v>-222.5333333333333</v>
      </c>
      <c r="J16" s="176"/>
      <c r="K16" s="79"/>
      <c r="L16" s="66"/>
      <c r="N16" s="87"/>
      <c r="O16" s="71"/>
    </row>
    <row r="17" spans="1:15" ht="26.25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81" t="s">
        <v>141</v>
      </c>
      <c r="B18" s="1282"/>
      <c r="C18" s="1283"/>
      <c r="D18" s="151" t="s">
        <v>142</v>
      </c>
      <c r="E18" s="95">
        <f>'14'!F18</f>
        <v>22</v>
      </c>
      <c r="F18" s="122">
        <v>27</v>
      </c>
      <c r="G18" s="119">
        <f>F18*10</f>
        <v>270</v>
      </c>
      <c r="H18" s="99">
        <f>G18+'14'!H18</f>
        <v>3640</v>
      </c>
      <c r="I18" s="113">
        <f>'1'!I18</f>
        <v>65</v>
      </c>
      <c r="J18" s="175">
        <f>H18/DAY(B2)</f>
        <v>242.66666666666666</v>
      </c>
      <c r="K18" s="79"/>
      <c r="L18" s="66"/>
      <c r="N18" s="87"/>
      <c r="O18" s="71"/>
    </row>
    <row r="19" spans="1:15" ht="25.5">
      <c r="A19" s="1281" t="s">
        <v>69</v>
      </c>
      <c r="B19" s="1282"/>
      <c r="C19" s="1283"/>
      <c r="D19" s="151" t="s">
        <v>142</v>
      </c>
      <c r="E19" s="95">
        <f>'14'!F19</f>
        <v>166163</v>
      </c>
      <c r="F19" s="122">
        <v>166215</v>
      </c>
      <c r="G19" s="112">
        <f t="shared" ref="G19" si="1">F19-E19</f>
        <v>52</v>
      </c>
      <c r="H19" s="99">
        <f>G19+'14'!H19</f>
        <v>772</v>
      </c>
      <c r="I19" s="335"/>
      <c r="J19" s="175">
        <f>H19/DAY(B2)</f>
        <v>51.466666666666669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322</v>
      </c>
      <c r="H20" s="99">
        <f>G20+'14'!H20</f>
        <v>4412</v>
      </c>
      <c r="I20" s="336">
        <f>I18-J20</f>
        <v>-229.13333333333333</v>
      </c>
      <c r="J20" s="175">
        <f>H20/DAY(B2)</f>
        <v>294.13333333333333</v>
      </c>
      <c r="K20" s="79"/>
      <c r="L20" s="66"/>
      <c r="N20" s="87"/>
      <c r="O20" s="71"/>
    </row>
    <row r="21" spans="1:15" ht="26.25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'14'!F24</f>
        <v>4470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25818</v>
      </c>
      <c r="F27" s="136">
        <v>10</v>
      </c>
      <c r="G27" s="137">
        <f>E27*F27</f>
        <v>258180</v>
      </c>
      <c r="H27" s="99">
        <f>G27+'14'!H27</f>
        <v>3797420</v>
      </c>
      <c r="I27" s="138"/>
      <c r="J27" s="175">
        <f>H27/DAY(B2)</f>
        <v>253161.33333333334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917</v>
      </c>
      <c r="F28" s="136">
        <v>75</v>
      </c>
      <c r="G28" s="137">
        <f>E28*F28</f>
        <v>68775</v>
      </c>
      <c r="H28" s="99">
        <f>G28+'14'!H28</f>
        <v>1150350</v>
      </c>
      <c r="I28" s="140"/>
      <c r="J28" s="175">
        <f>H28/DAY(B2)</f>
        <v>76690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G30+'14'!H30</f>
        <v>116572</v>
      </c>
      <c r="I30" s="140"/>
      <c r="J30" s="175">
        <f>H30/DAY(B2)</f>
        <v>7771.4666666666662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85</v>
      </c>
      <c r="G31" s="137">
        <f>E31*F31</f>
        <v>22950</v>
      </c>
      <c r="H31" s="99">
        <f>G31+'14'!H31</f>
        <v>306250</v>
      </c>
      <c r="I31" s="140"/>
      <c r="J31" s="175">
        <f>H31/DAY(B2)</f>
        <v>20416.666666666668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357757</v>
      </c>
      <c r="H32" s="99">
        <f>G32+'14'!H32</f>
        <v>5370592</v>
      </c>
      <c r="I32" s="144"/>
      <c r="J32" s="175">
        <f>H32/DAY(B2)</f>
        <v>358039.46666666667</v>
      </c>
      <c r="K32" s="63"/>
      <c r="L32" s="89"/>
      <c r="N32" s="87"/>
      <c r="O32" s="71"/>
    </row>
    <row r="33" spans="1:15" ht="25.5" customHeight="1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'14'!F35</f>
        <v>249301</v>
      </c>
      <c r="F35" s="145">
        <v>251242</v>
      </c>
      <c r="G35" s="112">
        <f t="shared" ref="G35:G46" si="3">F35-E35</f>
        <v>1941</v>
      </c>
      <c r="H35" s="99">
        <f>G35+'14'!H35</f>
        <v>12528.950000000012</v>
      </c>
      <c r="I35" s="95"/>
      <c r="J35" s="175">
        <f>H35/DAY(B2)</f>
        <v>835.26333333333412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'14'!F36</f>
        <v>281169</v>
      </c>
      <c r="F36" s="145">
        <v>282258</v>
      </c>
      <c r="G36" s="112">
        <f t="shared" si="3"/>
        <v>1089</v>
      </c>
      <c r="H36" s="99">
        <f>G36+'14'!H36</f>
        <v>12775</v>
      </c>
      <c r="I36" s="95"/>
      <c r="J36" s="175">
        <f>H36/DAY(B2)</f>
        <v>851.66666666666663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'14'!F37</f>
        <v>322999</v>
      </c>
      <c r="F37" s="145">
        <v>322999</v>
      </c>
      <c r="G37" s="112">
        <f t="shared" si="3"/>
        <v>0</v>
      </c>
      <c r="H37" s="99">
        <f>G37+'14'!H37</f>
        <v>0.30999999999767169</v>
      </c>
      <c r="I37" s="95"/>
      <c r="J37" s="175">
        <f>H37/DAY(B2)</f>
        <v>2.0666666666511447E-2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'14'!F38</f>
        <v>625017</v>
      </c>
      <c r="F38" s="108">
        <v>627459</v>
      </c>
      <c r="G38" s="112">
        <f t="shared" si="3"/>
        <v>2442</v>
      </c>
      <c r="H38" s="99">
        <f>G38+'14'!H38</f>
        <v>33742</v>
      </c>
      <c r="I38" s="95"/>
      <c r="J38" s="175">
        <f>H38/DAY(B2)</f>
        <v>2249.4666666666667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'14'!F39</f>
        <v>591584</v>
      </c>
      <c r="F39" s="145">
        <v>591584</v>
      </c>
      <c r="G39" s="112">
        <f t="shared" si="3"/>
        <v>0</v>
      </c>
      <c r="H39" s="99">
        <f>G39+'14'!H39</f>
        <v>-0.18999999994412065</v>
      </c>
      <c r="I39" s="95"/>
      <c r="J39" s="175">
        <f>H39/DAY(B2)</f>
        <v>-1.2666666662941377E-2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'14'!F40</f>
        <v>168409</v>
      </c>
      <c r="F40" s="145">
        <v>169216</v>
      </c>
      <c r="G40" s="112">
        <f t="shared" si="3"/>
        <v>807</v>
      </c>
      <c r="H40" s="99">
        <f>G40+'14'!H40</f>
        <v>11236</v>
      </c>
      <c r="I40" s="95"/>
      <c r="J40" s="175">
        <f>H40/DAY(B2)</f>
        <v>749.06666666666672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'14'!F41</f>
        <v>381351.55</v>
      </c>
      <c r="F41" s="145">
        <v>381352</v>
      </c>
      <c r="G41" s="112">
        <f t="shared" si="3"/>
        <v>0.45000000001164153</v>
      </c>
      <c r="H41" s="99">
        <f>G41+'14'!H41</f>
        <v>1000.4500000000116</v>
      </c>
      <c r="I41" s="95"/>
      <c r="J41" s="175">
        <f>H41/DAY(B2)</f>
        <v>66.69666666666744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'14'!F42</f>
        <v>854976</v>
      </c>
      <c r="F42" s="145">
        <v>857592</v>
      </c>
      <c r="G42" s="112">
        <f t="shared" si="3"/>
        <v>2616</v>
      </c>
      <c r="H42" s="99">
        <f>G42+'14'!H42</f>
        <v>32505</v>
      </c>
      <c r="I42" s="95"/>
      <c r="J42" s="175">
        <f>H42/DAY(B2)</f>
        <v>2167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'14'!F43</f>
        <v>407028</v>
      </c>
      <c r="F43" s="145">
        <v>407028</v>
      </c>
      <c r="G43" s="112">
        <f t="shared" si="3"/>
        <v>0</v>
      </c>
      <c r="H43" s="99">
        <f>G43+'14'!H43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8895.4500000000116</v>
      </c>
      <c r="H47" s="99">
        <f>G47+'14'!H47</f>
        <v>103787.52000000008</v>
      </c>
      <c r="I47" s="95"/>
      <c r="J47" s="175">
        <f>H47/DAY(B2)</f>
        <v>6919.1680000000051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'14'!F49</f>
        <v>760965</v>
      </c>
      <c r="F49" s="145">
        <v>762574</v>
      </c>
      <c r="G49" s="112">
        <f t="shared" ref="G49:G58" si="4">F49-E49</f>
        <v>1609</v>
      </c>
      <c r="H49" s="99">
        <f>G49+'14'!H49</f>
        <v>42287</v>
      </c>
      <c r="I49" s="95"/>
      <c r="J49" s="175">
        <f>H49/DAY(B2)</f>
        <v>2819.1333333333332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v>388062</v>
      </c>
      <c r="F50" s="145">
        <v>389971</v>
      </c>
      <c r="G50" s="112">
        <f t="shared" si="4"/>
        <v>1909</v>
      </c>
      <c r="H50" s="99">
        <f>G50+'14'!H50</f>
        <v>24200</v>
      </c>
      <c r="I50" s="95"/>
      <c r="J50" s="175">
        <f>H50/DAY(B2)</f>
        <v>1613.3333333333333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'14'!F51</f>
        <v>86027</v>
      </c>
      <c r="F51" s="145">
        <v>87074</v>
      </c>
      <c r="G51" s="112">
        <f t="shared" si="4"/>
        <v>1047</v>
      </c>
      <c r="H51" s="99">
        <f>G51+'14'!H51</f>
        <v>15347</v>
      </c>
      <c r="I51" s="95"/>
      <c r="J51" s="175">
        <f>H51/DAY(B2)</f>
        <v>1023.1333333333333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10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'14'!F53</f>
        <v>352564</v>
      </c>
      <c r="F53" s="145">
        <v>356756</v>
      </c>
      <c r="G53" s="112">
        <f t="shared" si="4"/>
        <v>4192</v>
      </c>
      <c r="H53" s="99">
        <f>G53+'14'!H53</f>
        <v>62655</v>
      </c>
      <c r="I53" s="95"/>
      <c r="J53" s="175">
        <f>H53/DAY(B2)</f>
        <v>4177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'14'!F54</f>
        <v>103257</v>
      </c>
      <c r="F54" s="145">
        <v>103257</v>
      </c>
      <c r="G54" s="112">
        <f t="shared" si="4"/>
        <v>0</v>
      </c>
      <c r="H54" s="99">
        <f>G54+'14'!H54</f>
        <v>1870</v>
      </c>
      <c r="I54" s="95"/>
      <c r="J54" s="175">
        <f>H54/DAY(B2)</f>
        <v>124.66666666666667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'14'!F55</f>
        <v>534620</v>
      </c>
      <c r="F55" s="145">
        <v>535980</v>
      </c>
      <c r="G55" s="112">
        <f t="shared" si="4"/>
        <v>1360</v>
      </c>
      <c r="H55" s="99">
        <f>G55+'14'!H55</f>
        <v>41497</v>
      </c>
      <c r="I55" s="95"/>
      <c r="J55" s="175">
        <f>H55/DAY(B2)</f>
        <v>2766.4666666666667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'14'!F56</f>
        <v>162460</v>
      </c>
      <c r="F56" s="145">
        <v>164277</v>
      </c>
      <c r="G56" s="112">
        <f t="shared" si="4"/>
        <v>1817</v>
      </c>
      <c r="H56" s="99">
        <f>G56+'14'!H56</f>
        <v>14558</v>
      </c>
      <c r="I56" s="95"/>
      <c r="J56" s="175">
        <f>H56/DAY(B2)</f>
        <v>970.5333333333333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'14'!F57</f>
        <v>450523</v>
      </c>
      <c r="F57" s="145">
        <v>453512</v>
      </c>
      <c r="G57" s="112">
        <f t="shared" si="4"/>
        <v>2989</v>
      </c>
      <c r="H57" s="99">
        <f>G57+'14'!H57</f>
        <v>44434</v>
      </c>
      <c r="I57" s="95"/>
      <c r="J57" s="175">
        <f>H57/DAY(B2)</f>
        <v>2962.2666666666669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'14'!F58</f>
        <v>67556</v>
      </c>
      <c r="F58" s="145">
        <v>67797</v>
      </c>
      <c r="G58" s="112">
        <f t="shared" si="4"/>
        <v>241</v>
      </c>
      <c r="H58" s="99">
        <f>G58+'14'!H58</f>
        <v>3646</v>
      </c>
      <c r="I58" s="95"/>
      <c r="J58" s="175">
        <f>H58/DAY(B2)</f>
        <v>243.06666666666666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15164</v>
      </c>
      <c r="H59" s="99">
        <f>G59+'14'!H59</f>
        <v>250494</v>
      </c>
      <c r="I59" s="95">
        <f>G7-G60</f>
        <v>1445.5499999999884</v>
      </c>
      <c r="J59" s="175">
        <f>H59/DAY(B2)</f>
        <v>16699.599999999999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24059.450000000012</v>
      </c>
      <c r="H60" s="99">
        <f>G60+'14'!H60</f>
        <v>354281.52</v>
      </c>
      <c r="I60" s="95">
        <f>G13-G60</f>
        <v>769.54999999998836</v>
      </c>
      <c r="J60" s="175">
        <f>H60/DAY(B2)</f>
        <v>23618.768</v>
      </c>
      <c r="K60" s="79"/>
      <c r="L60" s="66"/>
      <c r="N60" s="87"/>
      <c r="O60" s="71"/>
    </row>
    <row r="61" spans="1:15" s="68" customFormat="1" ht="26.25">
      <c r="A61" s="1278" t="s">
        <v>332</v>
      </c>
      <c r="B61" s="1279"/>
      <c r="C61" s="12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81" t="s">
        <v>198</v>
      </c>
      <c r="B62" s="1282"/>
      <c r="C62" s="1283"/>
      <c r="D62" s="151" t="s">
        <v>142</v>
      </c>
      <c r="E62" s="95">
        <f>'14'!F62</f>
        <v>303377</v>
      </c>
      <c r="F62" s="122">
        <v>303501</v>
      </c>
      <c r="G62" s="112">
        <f t="shared" ref="G62:G63" si="5">F62-E62</f>
        <v>124</v>
      </c>
      <c r="H62" s="99">
        <f>G62+'14'!H62</f>
        <v>1436</v>
      </c>
      <c r="I62" s="118"/>
      <c r="J62" s="175">
        <f>H62/DAY(B2)</f>
        <v>95.733333333333334</v>
      </c>
      <c r="K62" s="80"/>
      <c r="L62" s="66"/>
      <c r="N62" s="87"/>
      <c r="O62" s="71"/>
    </row>
    <row r="63" spans="1:15" ht="25.5">
      <c r="A63" s="1281" t="s">
        <v>199</v>
      </c>
      <c r="B63" s="1282"/>
      <c r="C63" s="1283"/>
      <c r="D63" s="151" t="s">
        <v>142</v>
      </c>
      <c r="E63" s="95">
        <f>'14'!F63</f>
        <v>245139</v>
      </c>
      <c r="F63" s="122">
        <v>245139</v>
      </c>
      <c r="G63" s="112">
        <f t="shared" si="5"/>
        <v>0</v>
      </c>
      <c r="H63" s="99">
        <f>G63+'14'!H63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6.25">
      <c r="A64" s="1284" t="s">
        <v>200</v>
      </c>
      <c r="B64" s="1285"/>
      <c r="C64" s="1286"/>
      <c r="D64" s="151"/>
      <c r="E64" s="95"/>
      <c r="F64" s="122"/>
      <c r="G64" s="112">
        <f>G62+G63</f>
        <v>124</v>
      </c>
      <c r="H64" s="99">
        <f>G64+'14'!H64</f>
        <v>1436</v>
      </c>
      <c r="I64" s="118"/>
      <c r="J64" s="175">
        <f>H64/DAY(B2)</f>
        <v>95.733333333333334</v>
      </c>
      <c r="K64" s="69"/>
      <c r="L64" s="66"/>
      <c r="N64" s="87"/>
      <c r="O64" s="71"/>
    </row>
    <row r="65" spans="1:15" ht="25.5">
      <c r="A65" s="1281" t="s">
        <v>201</v>
      </c>
      <c r="B65" s="1282"/>
      <c r="C65" s="1283"/>
      <c r="D65" s="151" t="s">
        <v>142</v>
      </c>
      <c r="E65" s="95">
        <f>'14'!F65</f>
        <v>462280</v>
      </c>
      <c r="F65" s="122">
        <v>462413</v>
      </c>
      <c r="G65" s="112">
        <f t="shared" ref="G65:G70" si="6">F65-E65</f>
        <v>133</v>
      </c>
      <c r="H65" s="99">
        <f>G65+'14'!H65</f>
        <v>1589</v>
      </c>
      <c r="I65" s="118"/>
      <c r="J65" s="175">
        <f>H65/DAY(B2)</f>
        <v>105.93333333333334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'14'!F66</f>
        <v>112768</v>
      </c>
      <c r="F66" s="122">
        <v>112775</v>
      </c>
      <c r="G66" s="112">
        <f t="shared" si="6"/>
        <v>7</v>
      </c>
      <c r="H66" s="99">
        <f>G66+'14'!H66</f>
        <v>170</v>
      </c>
      <c r="I66" s="118"/>
      <c r="J66" s="175">
        <f>H66/DAY(B2)</f>
        <v>11.333333333333334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'14'!F67</f>
        <v>115003</v>
      </c>
      <c r="F67" s="122">
        <v>115025</v>
      </c>
      <c r="G67" s="112">
        <f t="shared" si="6"/>
        <v>22</v>
      </c>
      <c r="H67" s="99">
        <f>G67+'14'!H67</f>
        <v>317</v>
      </c>
      <c r="I67" s="118"/>
      <c r="J67" s="175">
        <f>H67/DAY(B2)</f>
        <v>21.133333333333333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'14'!F68</f>
        <v>167023</v>
      </c>
      <c r="F68" s="122">
        <v>167064</v>
      </c>
      <c r="G68" s="112">
        <f t="shared" si="6"/>
        <v>41</v>
      </c>
      <c r="H68" s="99">
        <f>G68+'14'!H68</f>
        <v>483</v>
      </c>
      <c r="I68" s="118"/>
      <c r="J68" s="175">
        <f>H68/DAY(B2)</f>
        <v>32.200000000000003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'14'!F69</f>
        <v>12611</v>
      </c>
      <c r="F69" s="122">
        <v>12616</v>
      </c>
      <c r="G69" s="112">
        <f t="shared" si="6"/>
        <v>5</v>
      </c>
      <c r="H69" s="99">
        <f>G69+'14'!H69</f>
        <v>52</v>
      </c>
      <c r="I69" s="118"/>
      <c r="J69" s="175">
        <f>H69/DAY(B2)</f>
        <v>3.4666666666666668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'14'!F70</f>
        <v>10459</v>
      </c>
      <c r="F70" s="122">
        <v>10482</v>
      </c>
      <c r="G70" s="112">
        <f t="shared" si="6"/>
        <v>23</v>
      </c>
      <c r="H70" s="99">
        <f>G70+'14'!H70</f>
        <v>149</v>
      </c>
      <c r="I70" s="118"/>
      <c r="J70" s="175">
        <f>H70/DAY(B2)</f>
        <v>9.9333333333333336</v>
      </c>
      <c r="K70" s="69"/>
      <c r="L70" s="66"/>
      <c r="N70" s="87"/>
      <c r="O70" s="71"/>
    </row>
    <row r="71" spans="1:15" ht="26.25">
      <c r="A71" s="1284" t="s">
        <v>208</v>
      </c>
      <c r="B71" s="1285"/>
      <c r="C71" s="1286"/>
      <c r="D71" s="152"/>
      <c r="E71" s="152"/>
      <c r="F71" s="152"/>
      <c r="G71" s="153">
        <f>SUM(G65:G70)</f>
        <v>231</v>
      </c>
      <c r="H71" s="99">
        <f>G71+'14'!H71</f>
        <v>2760</v>
      </c>
      <c r="I71" s="154"/>
      <c r="J71" s="175">
        <f>H71/DAY(B2)</f>
        <v>184</v>
      </c>
      <c r="K71" s="69"/>
      <c r="L71" s="66"/>
      <c r="N71" s="87"/>
      <c r="O71" s="71"/>
    </row>
    <row r="72" spans="1:15" s="88" customFormat="1" ht="25.5">
      <c r="A72" s="1287"/>
      <c r="B72" s="126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5" t="s">
        <v>333</v>
      </c>
      <c r="B73" s="1296"/>
      <c r="C73" s="129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81" t="s">
        <v>220</v>
      </c>
      <c r="B74" s="1282"/>
      <c r="C74" s="1283"/>
      <c r="D74" s="151" t="s">
        <v>139</v>
      </c>
      <c r="E74" s="95">
        <f>'14'!F74</f>
        <v>979963</v>
      </c>
      <c r="F74" s="123">
        <v>980241</v>
      </c>
      <c r="G74" s="112">
        <f t="shared" ref="G74:G78" si="7">F74-E74</f>
        <v>278</v>
      </c>
      <c r="H74" s="99">
        <f>G74+'14'!H74</f>
        <v>4430</v>
      </c>
      <c r="I74" s="154"/>
      <c r="J74" s="175">
        <f>H74/DAY(B2)</f>
        <v>295.33333333333331</v>
      </c>
      <c r="K74" s="69"/>
      <c r="L74" s="66"/>
      <c r="N74" s="87"/>
      <c r="O74" s="71"/>
    </row>
    <row r="75" spans="1:15" ht="25.5">
      <c r="A75" s="1281" t="s">
        <v>221</v>
      </c>
      <c r="B75" s="1282"/>
      <c r="C75" s="1283"/>
      <c r="D75" s="151" t="s">
        <v>139</v>
      </c>
      <c r="E75" s="95">
        <f>'14'!F75</f>
        <v>73586</v>
      </c>
      <c r="F75" s="123">
        <v>73586</v>
      </c>
      <c r="G75" s="112">
        <f t="shared" si="7"/>
        <v>0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288" t="s">
        <v>222</v>
      </c>
      <c r="B76" s="1289"/>
      <c r="C76" s="1290"/>
      <c r="D76" s="151" t="s">
        <v>139</v>
      </c>
      <c r="E76" s="95">
        <f>'14'!F76</f>
        <v>198294</v>
      </c>
      <c r="F76" s="123">
        <v>198423</v>
      </c>
      <c r="G76" s="112">
        <f t="shared" si="7"/>
        <v>129</v>
      </c>
      <c r="H76" s="99">
        <f>G76+'14'!H76</f>
        <v>1687</v>
      </c>
      <c r="I76" s="154"/>
      <c r="J76" s="175">
        <f>H76/DAY(B2)</f>
        <v>112.46666666666667</v>
      </c>
      <c r="K76" s="69"/>
      <c r="L76" s="66"/>
      <c r="N76" s="87"/>
      <c r="O76" s="71"/>
    </row>
    <row r="77" spans="1:15" ht="25.5">
      <c r="A77" s="1288" t="s">
        <v>223</v>
      </c>
      <c r="B77" s="1289"/>
      <c r="C77" s="1290"/>
      <c r="D77" s="151" t="s">
        <v>139</v>
      </c>
      <c r="E77" s="95">
        <f>'14'!F77</f>
        <v>54051</v>
      </c>
      <c r="F77" s="123">
        <v>54110</v>
      </c>
      <c r="G77" s="112">
        <f t="shared" si="7"/>
        <v>59</v>
      </c>
      <c r="H77" s="99">
        <f>G77+'14'!H77</f>
        <v>758</v>
      </c>
      <c r="I77" s="154"/>
      <c r="J77" s="175">
        <f>H77/DAY(B2)</f>
        <v>50.533333333333331</v>
      </c>
      <c r="K77" s="69"/>
      <c r="L77" s="66"/>
      <c r="N77" s="87"/>
      <c r="O77" s="71"/>
    </row>
    <row r="78" spans="1:15" ht="25.5">
      <c r="A78" s="1288" t="s">
        <v>224</v>
      </c>
      <c r="B78" s="1289"/>
      <c r="C78" s="1290"/>
      <c r="D78" s="151" t="s">
        <v>139</v>
      </c>
      <c r="E78" s="95">
        <f>'14'!F78</f>
        <v>9564</v>
      </c>
      <c r="F78" s="393">
        <v>9564</v>
      </c>
      <c r="G78" s="112">
        <f t="shared" si="7"/>
        <v>0</v>
      </c>
      <c r="H78" s="99">
        <f>G78+'14'!H78</f>
        <v>-0.3999999999996362</v>
      </c>
      <c r="I78" s="118"/>
      <c r="J78" s="175">
        <f>H78/DAY(B2)</f>
        <v>-2.6666666666642413E-2</v>
      </c>
      <c r="K78" s="69"/>
      <c r="L78" s="66"/>
      <c r="N78" s="87"/>
      <c r="O78" s="71"/>
    </row>
    <row r="79" spans="1:15" s="57" customFormat="1" ht="25.5">
      <c r="A79" s="1288" t="s">
        <v>225</v>
      </c>
      <c r="B79" s="1289"/>
      <c r="C79" s="1290"/>
      <c r="D79" s="151"/>
      <c r="E79" s="95">
        <f>'14'!F79</f>
        <v>0</v>
      </c>
      <c r="F79" s="123"/>
      <c r="G79" s="112">
        <f>G15-SUM(G74:G78)</f>
        <v>451</v>
      </c>
      <c r="H79" s="99">
        <f>G79+'14'!H79</f>
        <v>8463.4</v>
      </c>
      <c r="I79" s="118"/>
      <c r="J79" s="175"/>
      <c r="K79" s="59"/>
      <c r="L79" s="58"/>
      <c r="N79" s="87"/>
      <c r="O79" s="71"/>
    </row>
    <row r="80" spans="1:15" s="57" customFormat="1" ht="26.25">
      <c r="A80" s="1284" t="s">
        <v>329</v>
      </c>
      <c r="B80" s="1285"/>
      <c r="C80" s="1286"/>
      <c r="D80" s="151"/>
      <c r="E80" s="117"/>
      <c r="F80" s="117"/>
      <c r="G80" s="112">
        <f>SUM(G74:G79)</f>
        <v>917</v>
      </c>
      <c r="H80" s="99"/>
      <c r="I80" s="118"/>
      <c r="J80" s="175"/>
      <c r="K80" s="59"/>
      <c r="L80" s="58"/>
      <c r="N80" s="87"/>
      <c r="O80" s="71"/>
    </row>
    <row r="81" spans="1:15" ht="25.5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'14'!F84</f>
        <v>43366.18</v>
      </c>
      <c r="F84" s="164">
        <v>43366.18</v>
      </c>
      <c r="G84" s="112">
        <f t="shared" si="8"/>
        <v>0</v>
      </c>
      <c r="H84" s="99">
        <f>G84+'14'!H84</f>
        <v>-0.62000000000261934</v>
      </c>
      <c r="I84" s="538"/>
      <c r="J84" s="175">
        <f>H84/DAY(B2)</f>
        <v>-4.1333333333507957E-2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'14'!F85</f>
        <v>5610.06</v>
      </c>
      <c r="F85" s="164">
        <v>5622</v>
      </c>
      <c r="G85" s="112">
        <f t="shared" si="8"/>
        <v>11.9399999999996</v>
      </c>
      <c r="H85" s="99">
        <f>G85+'14'!H85</f>
        <v>146</v>
      </c>
      <c r="I85" s="538"/>
      <c r="J85" s="175">
        <f>H85/DAY(B2)</f>
        <v>9.7333333333333325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'14'!F86</f>
        <v>46551</v>
      </c>
      <c r="F86" s="164">
        <v>46561</v>
      </c>
      <c r="G86" s="112">
        <f t="shared" si="8"/>
        <v>10</v>
      </c>
      <c r="H86" s="99">
        <f>G86+'14'!H86</f>
        <v>289.58000000000175</v>
      </c>
      <c r="I86" s="538"/>
      <c r="J86" s="175">
        <f>H86/DAY(B2)</f>
        <v>19.305333333333451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'14'!F87</f>
        <v>35744</v>
      </c>
      <c r="F87" s="164">
        <v>35759</v>
      </c>
      <c r="G87" s="112">
        <f t="shared" si="8"/>
        <v>15</v>
      </c>
      <c r="H87" s="99">
        <f>G87+'14'!H87</f>
        <v>103</v>
      </c>
      <c r="I87" s="524">
        <f>G84+G85+G86+G87</f>
        <v>36.9399999999996</v>
      </c>
      <c r="J87" s="175">
        <f>H87/DAY(B2)</f>
        <v>6.8666666666666663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'14'!F88</f>
        <v>24444.78</v>
      </c>
      <c r="F88" s="164">
        <v>24444.78</v>
      </c>
      <c r="G88" s="112">
        <f t="shared" si="8"/>
        <v>0</v>
      </c>
      <c r="H88" s="99">
        <f>G88+'14'!H88</f>
        <v>20.819999999999709</v>
      </c>
      <c r="I88" s="524"/>
      <c r="J88" s="175">
        <f>H88/DAY(B2)</f>
        <v>1.3879999999999806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'14'!F89</f>
        <v>28096</v>
      </c>
      <c r="F89" s="164">
        <v>28105.599999999999</v>
      </c>
      <c r="G89" s="112">
        <f t="shared" si="8"/>
        <v>9.5999999999985448</v>
      </c>
      <c r="H89" s="99">
        <f>G89+'14'!H89</f>
        <v>117.59999999999854</v>
      </c>
      <c r="I89" s="524">
        <f>G88+G89</f>
        <v>9.5999999999985448</v>
      </c>
      <c r="J89" s="175">
        <f>H89/DAY(B2)</f>
        <v>7.839999999999903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'14'!F90</f>
        <v>73395.070000000007</v>
      </c>
      <c r="F90" s="164">
        <v>73404.94</v>
      </c>
      <c r="G90" s="112">
        <f t="shared" si="8"/>
        <v>9.8699999999953434</v>
      </c>
      <c r="H90" s="99">
        <f>G90+'14'!H90</f>
        <v>161.19999999999709</v>
      </c>
      <c r="I90" s="524">
        <f>G90</f>
        <v>9.8699999999953434</v>
      </c>
      <c r="J90" s="175">
        <f>H90/DAY(B2)</f>
        <v>10.746666666666473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'14'!F91</f>
        <v>4838.25</v>
      </c>
      <c r="F91" s="122">
        <v>4848.96</v>
      </c>
      <c r="G91" s="112">
        <f t="shared" si="8"/>
        <v>10.710000000000036</v>
      </c>
      <c r="H91" s="99">
        <f>G91+'14'!H91</f>
        <v>170.52999999999975</v>
      </c>
      <c r="I91" s="572"/>
      <c r="J91" s="175">
        <f>H91/DAY(B2)</f>
        <v>11.36866666666665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'14'!F92</f>
        <v>7000.23</v>
      </c>
      <c r="F92" s="122">
        <v>7000.23</v>
      </c>
      <c r="G92" s="112">
        <f t="shared" si="8"/>
        <v>0</v>
      </c>
      <c r="H92" s="99">
        <f>G92+'14'!H92</f>
        <v>0.22999999999956344</v>
      </c>
      <c r="I92" s="573">
        <f>G91+G92</f>
        <v>10.710000000000036</v>
      </c>
      <c r="J92" s="175">
        <f>H92/DAY(B2)</f>
        <v>1.5333333333304229E-2</v>
      </c>
      <c r="O92" s="71"/>
    </row>
    <row r="93" spans="1:15" ht="26.25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6539</v>
      </c>
      <c r="H94" s="99">
        <f>G94+'14'!H94</f>
        <v>99249.950000000012</v>
      </c>
      <c r="I94" s="118"/>
      <c r="J94" s="175">
        <f>H94/DAY(B2)</f>
        <v>6616.6633333333339</v>
      </c>
      <c r="K94" s="69"/>
      <c r="L94" s="66"/>
      <c r="O94" s="71"/>
    </row>
    <row r="95" spans="1:15" ht="25.5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0.25638110174475592</v>
      </c>
      <c r="H95" s="99">
        <f>G95+'14'!H95</f>
        <v>3.9747921443617682</v>
      </c>
      <c r="I95" s="167"/>
      <c r="J95" s="175">
        <f>H95/DAY(B2)</f>
        <v>0.26498614295745121</v>
      </c>
      <c r="K95" s="69"/>
      <c r="L95" s="66"/>
      <c r="O95" s="71"/>
    </row>
    <row r="96" spans="1:15" ht="25.5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5793.4500000000116</v>
      </c>
      <c r="H96" s="99">
        <f>G96+'14'!H96</f>
        <v>89560.450000000012</v>
      </c>
      <c r="I96" s="118"/>
      <c r="J96" s="175">
        <f>H96/DAY(B2)</f>
        <v>5970.6966666666676</v>
      </c>
      <c r="K96" s="69"/>
      <c r="L96" s="66"/>
      <c r="O96" s="71"/>
    </row>
    <row r="97" spans="1:15" ht="25.5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0.22714957851401732</v>
      </c>
      <c r="H97" s="99">
        <f>G97+'14'!H97</f>
        <v>3.5878325273157121</v>
      </c>
      <c r="I97" s="167"/>
      <c r="J97" s="175">
        <f>H97/DAY(B2)</f>
        <v>0.2391888351543808</v>
      </c>
      <c r="K97" s="69"/>
      <c r="L97" s="66"/>
      <c r="O97" s="71"/>
    </row>
    <row r="98" spans="1:15" ht="25.5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4192</v>
      </c>
      <c r="H98" s="99">
        <f>G98+'14'!H98</f>
        <v>62654.810000000056</v>
      </c>
      <c r="I98" s="168"/>
      <c r="J98" s="175">
        <f>H98/DAY(B2)</f>
        <v>4176.9873333333371</v>
      </c>
      <c r="K98" s="69"/>
      <c r="L98" s="66"/>
      <c r="O98" s="71"/>
    </row>
    <row r="99" spans="1:15" ht="25.5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0.16435992942560282</v>
      </c>
      <c r="H99" s="99">
        <f>G99+'14'!H99</f>
        <v>2.5095118115581783</v>
      </c>
      <c r="I99" s="168"/>
      <c r="J99" s="175">
        <f>H99/DAY(B2)</f>
        <v>0.16730078743721188</v>
      </c>
      <c r="O99" s="71"/>
    </row>
    <row r="100" spans="1:15" ht="26.25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2442</v>
      </c>
      <c r="H100" s="99">
        <f>G100+'14'!H100</f>
        <v>33742</v>
      </c>
      <c r="I100" s="118"/>
      <c r="J100" s="175">
        <f>H100/DAY(B2)</f>
        <v>2249.4666666666667</v>
      </c>
      <c r="K100" s="70"/>
      <c r="O100" s="71"/>
    </row>
    <row r="101" spans="1:15" ht="25.5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9.5745932170162709E-2</v>
      </c>
      <c r="H101" s="99">
        <f>G101+'14'!H101</f>
        <v>1.3512337103400893</v>
      </c>
      <c r="I101" s="168"/>
      <c r="J101" s="175">
        <f>H101/DAY(B2)</f>
        <v>9.0082247356005951E-2</v>
      </c>
      <c r="O101" s="71"/>
    </row>
    <row r="102" spans="1:15" ht="25.5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2998</v>
      </c>
      <c r="H102" s="99">
        <f>G102+'14'!H102</f>
        <v>36975</v>
      </c>
      <c r="I102" s="168"/>
      <c r="J102" s="175">
        <f>H102/DAY(B2)</f>
        <v>2465</v>
      </c>
      <c r="O102" s="71"/>
    </row>
    <row r="103" spans="1:15" ht="25.5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0.11754557929817683</v>
      </c>
      <c r="H103" s="99">
        <f>G103+'14'!H103</f>
        <v>1.4789358380681599</v>
      </c>
      <c r="I103" s="118"/>
      <c r="J103" s="175">
        <f>H103/DAY(B2)</f>
        <v>9.8595722537877323E-2</v>
      </c>
      <c r="O103" s="71"/>
    </row>
    <row r="104" spans="1:15" ht="25.5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1047</v>
      </c>
      <c r="H104" s="99">
        <f>G104+'14'!H104</f>
        <v>15347.309999999998</v>
      </c>
      <c r="I104" s="118"/>
      <c r="J104" s="175">
        <f>H104/DAY(B2)</f>
        <v>1023.1539999999999</v>
      </c>
      <c r="O104" s="71"/>
    </row>
    <row r="105" spans="1:15" ht="26.25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4.1050774357969028E-2</v>
      </c>
      <c r="H105" s="99">
        <f>G105+'14'!H105</f>
        <v>0.61455409105531689</v>
      </c>
      <c r="I105" s="187"/>
      <c r="J105" s="188">
        <f>H105/DAY(B2)</f>
        <v>4.0970272737021127E-2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6.25">
      <c r="A109" s="1291"/>
      <c r="B109" s="1291"/>
    </row>
    <row r="110" spans="1:15" ht="26.25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5.5">
      <c r="A111" s="1270"/>
      <c r="B111" s="1271"/>
      <c r="C111" s="1272"/>
      <c r="D111" s="165"/>
      <c r="E111" s="165"/>
      <c r="F111" s="165"/>
      <c r="G111" s="165"/>
      <c r="H111" s="156"/>
      <c r="I111" s="165"/>
      <c r="J111" s="327"/>
    </row>
    <row r="112" spans="1:15" ht="25.5">
      <c r="A112" s="1266" t="s">
        <v>252</v>
      </c>
      <c r="B112" s="1267"/>
      <c r="C112" s="1268"/>
      <c r="D112" s="146" t="s">
        <v>183</v>
      </c>
      <c r="E112" s="95">
        <f>'14'!F112</f>
        <v>12661</v>
      </c>
      <c r="F112" s="237">
        <v>12728</v>
      </c>
      <c r="G112" s="112">
        <f t="shared" ref="G112:G123" si="9">F112-E112</f>
        <v>67</v>
      </c>
      <c r="H112" s="99">
        <f>G112+'14'!H112</f>
        <v>1065</v>
      </c>
      <c r="I112" s="165"/>
      <c r="J112" s="328">
        <f>H112/DAY(B2)</f>
        <v>71</v>
      </c>
    </row>
    <row r="113" spans="1:18" ht="29.25" customHeight="1">
      <c r="A113" s="1266" t="s">
        <v>253</v>
      </c>
      <c r="B113" s="1267"/>
      <c r="C113" s="1268"/>
      <c r="D113" s="146" t="s">
        <v>183</v>
      </c>
      <c r="E113" s="95">
        <f>'14'!F113</f>
        <v>25471</v>
      </c>
      <c r="F113" s="237">
        <v>25615</v>
      </c>
      <c r="G113" s="112">
        <f t="shared" si="9"/>
        <v>144</v>
      </c>
      <c r="H113" s="99">
        <f>G113+'14'!H113</f>
        <v>2094</v>
      </c>
      <c r="I113" s="165"/>
      <c r="J113" s="328">
        <f>H113/DAY(B2)</f>
        <v>139.6</v>
      </c>
    </row>
    <row r="114" spans="1:18" ht="29.25" customHeight="1">
      <c r="A114" s="1266" t="s">
        <v>254</v>
      </c>
      <c r="B114" s="1267"/>
      <c r="C114" s="1268"/>
      <c r="D114" s="146" t="s">
        <v>183</v>
      </c>
      <c r="E114" s="95">
        <f>'14'!F114</f>
        <v>37918</v>
      </c>
      <c r="F114" s="237">
        <v>38145</v>
      </c>
      <c r="G114" s="112">
        <f t="shared" si="9"/>
        <v>227</v>
      </c>
      <c r="H114" s="99">
        <f>G114+'14'!H114</f>
        <v>3370</v>
      </c>
      <c r="I114" s="165"/>
      <c r="J114" s="328">
        <f>H114/DAY(B2)</f>
        <v>224.66666666666666</v>
      </c>
    </row>
    <row r="115" spans="1:18" ht="29.25" customHeight="1">
      <c r="A115" s="1266" t="s">
        <v>255</v>
      </c>
      <c r="B115" s="1267"/>
      <c r="C115" s="1268"/>
      <c r="D115" s="146" t="s">
        <v>183</v>
      </c>
      <c r="E115" s="95">
        <f>'14'!F115</f>
        <v>23926</v>
      </c>
      <c r="F115" s="237">
        <v>24076</v>
      </c>
      <c r="G115" s="112">
        <f t="shared" si="9"/>
        <v>150</v>
      </c>
      <c r="H115" s="99">
        <f>G115+'14'!H115</f>
        <v>2023</v>
      </c>
      <c r="I115" s="165"/>
      <c r="J115" s="328">
        <f>H115/DAY(B2)</f>
        <v>134.86666666666667</v>
      </c>
    </row>
    <row r="116" spans="1:18" ht="29.25" customHeight="1">
      <c r="A116" s="1275" t="s">
        <v>96</v>
      </c>
      <c r="B116" s="1276"/>
      <c r="C116" s="1277"/>
      <c r="D116" s="146" t="s">
        <v>183</v>
      </c>
      <c r="E116" s="95">
        <f>'14'!F116</f>
        <v>102450</v>
      </c>
      <c r="F116" s="400">
        <v>102748</v>
      </c>
      <c r="G116" s="112">
        <f t="shared" si="9"/>
        <v>298</v>
      </c>
      <c r="H116" s="99">
        <f>G116+'14'!H116</f>
        <v>5613</v>
      </c>
      <c r="I116" s="165"/>
      <c r="J116" s="328">
        <f>H116/DAY(B2)</f>
        <v>374.2</v>
      </c>
      <c r="Q116" s="1266"/>
      <c r="R116" s="1268"/>
    </row>
    <row r="117" spans="1:18" ht="29.25" customHeight="1">
      <c r="A117" s="1275" t="s">
        <v>184</v>
      </c>
      <c r="B117" s="1276"/>
      <c r="C117" s="1277"/>
      <c r="D117" s="146" t="s">
        <v>183</v>
      </c>
      <c r="E117" s="95">
        <f>'14'!F117</f>
        <v>61092</v>
      </c>
      <c r="F117" s="237">
        <v>61441</v>
      </c>
      <c r="G117" s="112">
        <f t="shared" si="9"/>
        <v>349</v>
      </c>
      <c r="H117" s="99">
        <f>G117+'14'!H117</f>
        <v>4936</v>
      </c>
      <c r="I117" s="165"/>
      <c r="J117" s="328">
        <f>H117/DAY(B2)</f>
        <v>329.06666666666666</v>
      </c>
      <c r="Q117" s="1266"/>
      <c r="R117" s="1268"/>
    </row>
    <row r="118" spans="1:18" ht="25.5">
      <c r="A118" s="1269" t="s">
        <v>97</v>
      </c>
      <c r="B118" s="1269"/>
      <c r="C118" s="1269"/>
      <c r="D118" s="151" t="s">
        <v>183</v>
      </c>
      <c r="E118" s="95">
        <f>'14'!F118</f>
        <v>110077</v>
      </c>
      <c r="F118" s="237">
        <v>110714</v>
      </c>
      <c r="G118" s="112">
        <f t="shared" si="9"/>
        <v>637</v>
      </c>
      <c r="H118" s="99">
        <f>G118+'14'!H118</f>
        <v>8960</v>
      </c>
      <c r="I118" s="165"/>
      <c r="J118" s="328">
        <f>H118/DAY(B2)</f>
        <v>597.33333333333337</v>
      </c>
      <c r="Q118" s="1266"/>
      <c r="R118" s="1268"/>
    </row>
    <row r="119" spans="1:18" ht="25.5">
      <c r="A119" s="1269" t="s">
        <v>98</v>
      </c>
      <c r="B119" s="1269"/>
      <c r="C119" s="1269"/>
      <c r="D119" s="151" t="s">
        <v>183</v>
      </c>
      <c r="E119" s="95">
        <f>'14'!F119</f>
        <v>42751</v>
      </c>
      <c r="F119" s="237">
        <v>42764</v>
      </c>
      <c r="G119" s="112">
        <f t="shared" si="9"/>
        <v>13</v>
      </c>
      <c r="H119" s="99">
        <f>G119+'14'!H119</f>
        <v>183</v>
      </c>
      <c r="I119" s="165"/>
      <c r="J119" s="328">
        <f>H119/DAY(B2)</f>
        <v>12.2</v>
      </c>
    </row>
    <row r="120" spans="1:18" ht="25.5">
      <c r="A120" s="1269" t="s">
        <v>99</v>
      </c>
      <c r="B120" s="1269"/>
      <c r="C120" s="1269"/>
      <c r="D120" s="151" t="s">
        <v>183</v>
      </c>
      <c r="E120" s="95">
        <f>'14'!F120</f>
        <v>76938</v>
      </c>
      <c r="F120" s="237">
        <v>77344</v>
      </c>
      <c r="G120" s="112">
        <f t="shared" si="9"/>
        <v>406</v>
      </c>
      <c r="H120" s="99">
        <f>G120+'14'!H120</f>
        <v>6012</v>
      </c>
      <c r="I120" s="165"/>
      <c r="J120" s="328">
        <f>H120/DAY(B2)</f>
        <v>400.8</v>
      </c>
    </row>
    <row r="121" spans="1:18" ht="25.5">
      <c r="A121" s="1269" t="s">
        <v>100</v>
      </c>
      <c r="B121" s="1269"/>
      <c r="C121" s="1269"/>
      <c r="D121" s="151" t="s">
        <v>183</v>
      </c>
      <c r="E121" s="95">
        <f>'14'!F121</f>
        <v>87620</v>
      </c>
      <c r="F121" s="237">
        <v>88062</v>
      </c>
      <c r="G121" s="112">
        <f t="shared" si="9"/>
        <v>442</v>
      </c>
      <c r="H121" s="99">
        <f>G121+'14'!H121</f>
        <v>6706</v>
      </c>
      <c r="I121" s="165"/>
      <c r="J121" s="328">
        <f>H121/DAY(B2)</f>
        <v>447.06666666666666</v>
      </c>
    </row>
    <row r="122" spans="1:18" ht="25.5">
      <c r="A122" s="1269" t="s">
        <v>101</v>
      </c>
      <c r="B122" s="1269"/>
      <c r="C122" s="1269"/>
      <c r="D122" s="151" t="s">
        <v>183</v>
      </c>
      <c r="E122" s="95">
        <f>'14'!F122</f>
        <v>54427</v>
      </c>
      <c r="F122" s="237">
        <v>54811</v>
      </c>
      <c r="G122" s="112">
        <f t="shared" si="9"/>
        <v>384</v>
      </c>
      <c r="H122" s="99">
        <f>G122+'14'!H122</f>
        <v>5680</v>
      </c>
      <c r="I122" s="165"/>
      <c r="J122" s="328">
        <f>H122/DAY(B2)</f>
        <v>378.66666666666669</v>
      </c>
    </row>
    <row r="123" spans="1:18" ht="25.5">
      <c r="A123" s="1269" t="s">
        <v>102</v>
      </c>
      <c r="B123" s="1269"/>
      <c r="C123" s="1269"/>
      <c r="D123" s="151" t="s">
        <v>183</v>
      </c>
      <c r="E123" s="95">
        <f>'14'!F123</f>
        <v>54024</v>
      </c>
      <c r="F123" s="237">
        <v>54329</v>
      </c>
      <c r="G123" s="112">
        <f t="shared" si="9"/>
        <v>305</v>
      </c>
      <c r="H123" s="99">
        <f>G123+'14'!H123</f>
        <v>4580</v>
      </c>
      <c r="I123" s="165"/>
      <c r="J123" s="328">
        <f>H123/DAY(B2)</f>
        <v>305.33333333333331</v>
      </c>
    </row>
    <row r="124" spans="1:18" ht="29.25" customHeight="1">
      <c r="A124" s="1270"/>
      <c r="B124" s="1271"/>
      <c r="C124" s="1272"/>
      <c r="D124" s="165"/>
      <c r="E124" s="165"/>
      <c r="F124" s="165"/>
      <c r="G124" s="327"/>
      <c r="H124" s="156"/>
      <c r="I124" s="165"/>
      <c r="J124" s="327"/>
    </row>
    <row r="125" spans="1:18" ht="25.5">
      <c r="A125" s="1261" t="s">
        <v>196</v>
      </c>
      <c r="B125" s="1262"/>
      <c r="C125" s="245"/>
      <c r="D125" s="307"/>
      <c r="E125" s="308"/>
      <c r="F125" s="308"/>
      <c r="G125" s="309">
        <f>SUM(G112:G124)</f>
        <v>3422</v>
      </c>
      <c r="H125" s="156"/>
      <c r="I125" s="327">
        <f>G125-(G39+G53)</f>
        <v>-770</v>
      </c>
      <c r="J125" s="327"/>
    </row>
    <row r="126" spans="1:18" ht="25.5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5.5">
      <c r="A127" s="1274"/>
      <c r="B127" s="1274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1266" t="s">
        <v>318</v>
      </c>
      <c r="B128" s="1267"/>
      <c r="C128" s="1268"/>
      <c r="D128" s="151" t="s">
        <v>183</v>
      </c>
      <c r="E128" s="95">
        <f>'14'!F128</f>
        <v>160608</v>
      </c>
      <c r="F128" s="165">
        <v>160997</v>
      </c>
      <c r="G128" s="112">
        <f t="shared" ref="G128:G134" si="10">F128-E128</f>
        <v>389</v>
      </c>
      <c r="H128" s="99">
        <f>G128+'14'!H128</f>
        <v>6182</v>
      </c>
      <c r="I128" s="165"/>
      <c r="J128" s="328">
        <f>H128/DAY(B2)</f>
        <v>412.13333333333333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'14'!F129</f>
        <v>86344</v>
      </c>
      <c r="F129" s="165">
        <v>86525</v>
      </c>
      <c r="G129" s="112">
        <f t="shared" si="10"/>
        <v>181</v>
      </c>
      <c r="H129" s="99">
        <f>G129+'14'!H129</f>
        <v>2589</v>
      </c>
      <c r="I129" s="165"/>
      <c r="J129" s="328">
        <f>H129/DAY(B2)</f>
        <v>172.6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'14'!F130</f>
        <v>215501</v>
      </c>
      <c r="F130" s="165">
        <v>216075</v>
      </c>
      <c r="G130" s="112">
        <f t="shared" si="10"/>
        <v>574</v>
      </c>
      <c r="H130" s="99">
        <f>G130+'14'!H130</f>
        <v>9316</v>
      </c>
      <c r="I130" s="165"/>
      <c r="J130" s="328">
        <f>H130/DAY(B2)</f>
        <v>621.06666666666672</v>
      </c>
      <c r="N130" s="240"/>
      <c r="O130" s="241"/>
    </row>
    <row r="131" spans="1:15" ht="25.5">
      <c r="A131" s="1266" t="s">
        <v>321</v>
      </c>
      <c r="B131" s="1267"/>
      <c r="C131" s="1268"/>
      <c r="D131" s="151" t="s">
        <v>183</v>
      </c>
      <c r="E131" s="95">
        <f>'14'!F131</f>
        <v>63027</v>
      </c>
      <c r="F131" s="158">
        <v>63234</v>
      </c>
      <c r="G131" s="112">
        <f t="shared" si="10"/>
        <v>207</v>
      </c>
      <c r="H131" s="99">
        <f>G131+'14'!H131</f>
        <v>2926</v>
      </c>
      <c r="I131" s="165"/>
      <c r="J131" s="328">
        <f>H131/DAY(B2)</f>
        <v>195.06666666666666</v>
      </c>
      <c r="N131" s="240"/>
      <c r="O131" s="241"/>
    </row>
    <row r="132" spans="1:15" ht="25.5">
      <c r="A132" s="1266" t="s">
        <v>322</v>
      </c>
      <c r="B132" s="1267"/>
      <c r="C132" s="1268"/>
      <c r="D132" s="151" t="s">
        <v>183</v>
      </c>
      <c r="E132" s="95">
        <f>'14'!F132</f>
        <v>146985</v>
      </c>
      <c r="F132" s="165">
        <v>146985</v>
      </c>
      <c r="G132" s="112">
        <f t="shared" si="10"/>
        <v>0</v>
      </c>
      <c r="H132" s="99">
        <f>G132+'14'!H132</f>
        <v>0</v>
      </c>
      <c r="I132" s="165"/>
      <c r="J132" s="328">
        <f>H132/DAY(B2)</f>
        <v>0</v>
      </c>
    </row>
    <row r="133" spans="1:15" ht="25.5">
      <c r="A133" s="1266" t="s">
        <v>357</v>
      </c>
      <c r="B133" s="1267"/>
      <c r="C133" s="1268"/>
      <c r="D133" s="151" t="s">
        <v>183</v>
      </c>
      <c r="E133" s="95">
        <f>'14'!F133</f>
        <v>278291</v>
      </c>
      <c r="F133" s="165">
        <v>279187</v>
      </c>
      <c r="G133" s="112">
        <f t="shared" si="10"/>
        <v>896</v>
      </c>
      <c r="H133" s="99">
        <f>G133+'14'!H133</f>
        <v>13242</v>
      </c>
      <c r="I133" s="165"/>
      <c r="J133" s="328">
        <f>H133/DAY(B2)</f>
        <v>882.8</v>
      </c>
    </row>
    <row r="134" spans="1:15" s="392" customFormat="1" ht="25.5">
      <c r="A134" s="1333" t="s">
        <v>340</v>
      </c>
      <c r="B134" s="1334"/>
      <c r="C134" s="1335"/>
      <c r="D134" s="233" t="s">
        <v>183</v>
      </c>
      <c r="E134" s="389">
        <f>'14'!F134</f>
        <v>67210</v>
      </c>
      <c r="F134" s="158">
        <v>67462</v>
      </c>
      <c r="G134" s="236">
        <f t="shared" si="10"/>
        <v>252</v>
      </c>
      <c r="H134" s="238">
        <f>G134+'14'!H134</f>
        <v>3800</v>
      </c>
      <c r="I134" s="158"/>
      <c r="J134" s="391">
        <f>H134/DAY(B2)</f>
        <v>253.33333333333334</v>
      </c>
    </row>
    <row r="135" spans="1:15" ht="25.5">
      <c r="A135" s="1261" t="s">
        <v>196</v>
      </c>
      <c r="B135" s="1262"/>
      <c r="C135" s="331"/>
      <c r="D135" s="151"/>
      <c r="E135" s="95"/>
      <c r="F135" s="165"/>
      <c r="G135" s="112">
        <f>SUM(G128:G134)</f>
        <v>2499</v>
      </c>
      <c r="H135" s="99">
        <f>G135+'10'!H135</f>
        <v>27996.390000000021</v>
      </c>
      <c r="I135" s="327">
        <f>G135-(G35+G49)</f>
        <v>-1051</v>
      </c>
      <c r="J135" s="391">
        <f>H135/DAY(B2)</f>
        <v>1866.4260000000015</v>
      </c>
    </row>
    <row r="136" spans="1:15" ht="27.75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9" t="s">
        <v>185</v>
      </c>
      <c r="B138" s="1269"/>
      <c r="C138" s="1269"/>
      <c r="D138" s="151" t="s">
        <v>183</v>
      </c>
      <c r="E138" s="95">
        <f>'14'!F138</f>
        <v>900210</v>
      </c>
      <c r="F138" s="147">
        <v>900378</v>
      </c>
      <c r="G138" s="112">
        <f t="shared" ref="G138:G152" si="11">F138-E138</f>
        <v>168</v>
      </c>
      <c r="H138" s="99">
        <f>G138+'14'!H138</f>
        <v>2173</v>
      </c>
      <c r="I138" s="118"/>
      <c r="J138" s="328">
        <f>H138/DAY(B2)</f>
        <v>144.86666666666667</v>
      </c>
    </row>
    <row r="139" spans="1:15" ht="25.5">
      <c r="A139" s="1269" t="s">
        <v>186</v>
      </c>
      <c r="B139" s="1269"/>
      <c r="C139" s="1269"/>
      <c r="D139" s="151" t="s">
        <v>183</v>
      </c>
      <c r="E139" s="95">
        <f>'14'!F139</f>
        <v>920363</v>
      </c>
      <c r="F139" s="148">
        <v>920502</v>
      </c>
      <c r="G139" s="112">
        <f t="shared" si="11"/>
        <v>139</v>
      </c>
      <c r="H139" s="99">
        <f>G139+'14'!H139</f>
        <v>2298</v>
      </c>
      <c r="I139" s="118"/>
      <c r="J139" s="328">
        <f>H139/DAY(B2)</f>
        <v>153.19999999999999</v>
      </c>
    </row>
    <row r="140" spans="1:15" ht="25.5">
      <c r="A140" s="1269" t="s">
        <v>187</v>
      </c>
      <c r="B140" s="1269"/>
      <c r="C140" s="1269"/>
      <c r="D140" s="151" t="s">
        <v>183</v>
      </c>
      <c r="E140" s="95">
        <f>'14'!F140</f>
        <v>2505</v>
      </c>
      <c r="F140" s="149">
        <v>2518</v>
      </c>
      <c r="G140" s="112">
        <f t="shared" si="11"/>
        <v>13</v>
      </c>
      <c r="H140" s="99">
        <f>G140+'14'!H140</f>
        <v>175</v>
      </c>
      <c r="I140" s="118"/>
      <c r="J140" s="328">
        <f>H140/DAY(B2)</f>
        <v>11.666666666666666</v>
      </c>
    </row>
    <row r="141" spans="1:15" ht="25.5">
      <c r="A141" s="1256" t="s">
        <v>188</v>
      </c>
      <c r="B141" s="1256"/>
      <c r="C141" s="1256"/>
      <c r="D141" s="151" t="s">
        <v>183</v>
      </c>
      <c r="E141" s="95">
        <f>'14'!F141</f>
        <v>106889</v>
      </c>
      <c r="F141" s="149">
        <v>107113</v>
      </c>
      <c r="G141" s="112">
        <f t="shared" si="11"/>
        <v>224</v>
      </c>
      <c r="H141" s="99">
        <f>G141+'14'!H141</f>
        <v>3339</v>
      </c>
      <c r="I141" s="118"/>
      <c r="J141" s="328">
        <f>H141/DAY(B2)</f>
        <v>222.6</v>
      </c>
    </row>
    <row r="142" spans="1:15" ht="25.5">
      <c r="A142" s="1256" t="s">
        <v>189</v>
      </c>
      <c r="B142" s="1256"/>
      <c r="C142" s="1256"/>
      <c r="D142" s="151" t="s">
        <v>183</v>
      </c>
      <c r="E142" s="95">
        <f>'14'!F142</f>
        <v>43072</v>
      </c>
      <c r="F142" s="148">
        <v>43170</v>
      </c>
      <c r="G142" s="112">
        <f t="shared" si="11"/>
        <v>98</v>
      </c>
      <c r="H142" s="99">
        <f>G142+'14'!H142</f>
        <v>1355</v>
      </c>
      <c r="I142" s="140"/>
      <c r="J142" s="328">
        <f>H142/DAY(B2)</f>
        <v>90.333333333333329</v>
      </c>
    </row>
    <row r="143" spans="1:15" ht="25.5">
      <c r="A143" s="1269" t="s">
        <v>91</v>
      </c>
      <c r="B143" s="1269"/>
      <c r="C143" s="1269"/>
      <c r="D143" s="151" t="s">
        <v>183</v>
      </c>
      <c r="E143" s="95">
        <f>'14'!F143</f>
        <v>11056</v>
      </c>
      <c r="F143" s="149">
        <v>11087</v>
      </c>
      <c r="G143" s="112">
        <f t="shared" si="11"/>
        <v>31</v>
      </c>
      <c r="H143" s="99">
        <f>G143+'14'!H143</f>
        <v>410</v>
      </c>
      <c r="I143" s="140"/>
      <c r="J143" s="328">
        <f>H143/DAY(B2)</f>
        <v>27.333333333333332</v>
      </c>
    </row>
    <row r="144" spans="1:15" ht="25.5">
      <c r="A144" s="1256" t="s">
        <v>90</v>
      </c>
      <c r="B144" s="1256"/>
      <c r="C144" s="1256"/>
      <c r="D144" s="151" t="s">
        <v>183</v>
      </c>
      <c r="E144" s="95">
        <f>'14'!F144</f>
        <v>936886</v>
      </c>
      <c r="F144" s="149">
        <v>937107</v>
      </c>
      <c r="G144" s="112">
        <f t="shared" si="11"/>
        <v>221</v>
      </c>
      <c r="H144" s="99">
        <f>G144+'14'!H144</f>
        <v>3586</v>
      </c>
      <c r="I144" s="140"/>
      <c r="J144" s="328">
        <f>H144/DAY(B2)</f>
        <v>239.06666666666666</v>
      </c>
    </row>
    <row r="145" spans="1:10" ht="25.5">
      <c r="A145" s="1269" t="s">
        <v>190</v>
      </c>
      <c r="B145" s="1269"/>
      <c r="C145" s="1269"/>
      <c r="D145" s="152" t="s">
        <v>183</v>
      </c>
      <c r="E145" s="95">
        <f>'14'!F145</f>
        <v>16145</v>
      </c>
      <c r="F145" s="148">
        <v>16402</v>
      </c>
      <c r="G145" s="112">
        <f t="shared" si="11"/>
        <v>257</v>
      </c>
      <c r="H145" s="99">
        <f>G145+'14'!H145</f>
        <v>3262</v>
      </c>
      <c r="I145" s="140"/>
      <c r="J145" s="328">
        <f>H145/DAY(B2)</f>
        <v>217.46666666666667</v>
      </c>
    </row>
    <row r="146" spans="1:10" ht="25.5">
      <c r="A146" s="1332" t="s">
        <v>191</v>
      </c>
      <c r="B146" s="1289"/>
      <c r="C146" s="1290"/>
      <c r="D146" s="152" t="s">
        <v>183</v>
      </c>
      <c r="E146" s="95">
        <f>'14'!F146</f>
        <v>784976</v>
      </c>
      <c r="F146" s="148">
        <v>785034</v>
      </c>
      <c r="G146" s="112">
        <f t="shared" si="11"/>
        <v>58</v>
      </c>
      <c r="H146" s="99">
        <f>G146+'14'!H146</f>
        <v>695</v>
      </c>
      <c r="I146" s="140"/>
      <c r="J146" s="328">
        <f>H146/DAY(B2)</f>
        <v>46.333333333333336</v>
      </c>
    </row>
    <row r="147" spans="1:10" ht="25.5">
      <c r="A147" s="1256" t="s">
        <v>192</v>
      </c>
      <c r="B147" s="1256"/>
      <c r="C147" s="1256"/>
      <c r="D147" s="152" t="s">
        <v>183</v>
      </c>
      <c r="E147" s="95">
        <f>'14'!F147</f>
        <v>729136</v>
      </c>
      <c r="F147" s="148">
        <v>729558</v>
      </c>
      <c r="G147" s="112">
        <f t="shared" si="11"/>
        <v>422</v>
      </c>
      <c r="H147" s="99">
        <f>G147+'14'!H147</f>
        <v>6036</v>
      </c>
      <c r="I147" s="140"/>
      <c r="J147" s="328">
        <f>H147/DAY(B2)</f>
        <v>402.4</v>
      </c>
    </row>
    <row r="148" spans="1:10" ht="25.5">
      <c r="A148" s="1257" t="s">
        <v>193</v>
      </c>
      <c r="B148" s="1258"/>
      <c r="C148" s="1259"/>
      <c r="D148" s="123" t="s">
        <v>130</v>
      </c>
      <c r="E148" s="95">
        <f>'14'!F148</f>
        <v>770736</v>
      </c>
      <c r="F148" s="150">
        <v>771110</v>
      </c>
      <c r="G148" s="112">
        <f t="shared" si="11"/>
        <v>374</v>
      </c>
      <c r="H148" s="99">
        <f>G148+'14'!H148</f>
        <v>4500</v>
      </c>
      <c r="I148" s="124"/>
      <c r="J148" s="328">
        <f>H148/DAY(B2)</f>
        <v>300</v>
      </c>
    </row>
    <row r="149" spans="1:10" ht="25.5">
      <c r="A149" s="1257" t="s">
        <v>336</v>
      </c>
      <c r="B149" s="1258"/>
      <c r="C149" s="1259"/>
      <c r="D149" s="227" t="s">
        <v>130</v>
      </c>
      <c r="E149" s="95">
        <f>'14'!F149</f>
        <v>163971</v>
      </c>
      <c r="F149" s="399">
        <v>164395</v>
      </c>
      <c r="G149" s="112">
        <f t="shared" si="11"/>
        <v>424</v>
      </c>
      <c r="H149" s="99">
        <f>G149+'14'!H149</f>
        <v>6428</v>
      </c>
      <c r="I149" s="119"/>
      <c r="J149" s="328">
        <f>H149/DAY(B2)</f>
        <v>428.53333333333336</v>
      </c>
    </row>
    <row r="150" spans="1:10" ht="25.5">
      <c r="A150" s="1257" t="s">
        <v>337</v>
      </c>
      <c r="B150" s="1258"/>
      <c r="C150" s="1259"/>
      <c r="D150" s="117" t="s">
        <v>130</v>
      </c>
      <c r="E150" s="95">
        <f>'14'!F150</f>
        <v>67059</v>
      </c>
      <c r="F150" s="233">
        <v>67284</v>
      </c>
      <c r="G150" s="112">
        <f t="shared" si="11"/>
        <v>225</v>
      </c>
      <c r="H150" s="99">
        <f>G150+'14'!H150</f>
        <v>3306</v>
      </c>
      <c r="I150" s="119"/>
      <c r="J150" s="328">
        <f>H150/DAY(B2)</f>
        <v>220.4</v>
      </c>
    </row>
    <row r="151" spans="1:10" ht="25.5">
      <c r="A151" s="1257" t="s">
        <v>338</v>
      </c>
      <c r="B151" s="1258"/>
      <c r="C151" s="1259"/>
      <c r="D151" s="117" t="s">
        <v>130</v>
      </c>
      <c r="E151" s="95">
        <f>'14'!F151</f>
        <v>150529</v>
      </c>
      <c r="F151" s="233">
        <v>150593</v>
      </c>
      <c r="G151" s="112">
        <f t="shared" si="11"/>
        <v>64</v>
      </c>
      <c r="H151" s="99">
        <f>G151+'14'!H151</f>
        <v>805</v>
      </c>
      <c r="I151" s="119"/>
      <c r="J151" s="328">
        <f>H151/DAY(B2)</f>
        <v>53.666666666666664</v>
      </c>
    </row>
    <row r="152" spans="1:10" ht="25.5">
      <c r="A152" s="1257" t="s">
        <v>339</v>
      </c>
      <c r="B152" s="1258"/>
      <c r="C152" s="1259"/>
      <c r="D152" s="117" t="s">
        <v>130</v>
      </c>
      <c r="E152" s="95">
        <f>'14'!F152</f>
        <v>32420</v>
      </c>
      <c r="F152" s="233">
        <v>32550</v>
      </c>
      <c r="G152" s="112">
        <f t="shared" si="11"/>
        <v>130</v>
      </c>
      <c r="H152" s="99">
        <f>G152+'14'!H152</f>
        <v>1936</v>
      </c>
      <c r="I152" s="119"/>
      <c r="J152" s="328">
        <f>H152/DAY(B2)</f>
        <v>129.06666666666666</v>
      </c>
    </row>
    <row r="153" spans="1:10" ht="25.5">
      <c r="A153" s="1261" t="s">
        <v>196</v>
      </c>
      <c r="B153" s="1262"/>
      <c r="C153" s="362"/>
      <c r="D153" s="355"/>
      <c r="E153" s="357"/>
      <c r="F153" s="358"/>
      <c r="G153" s="359">
        <f>SUM(G138:G152)</f>
        <v>2848</v>
      </c>
      <c r="H153" s="360"/>
      <c r="I153" s="119">
        <f>G153-(G38+G52)</f>
        <v>406</v>
      </c>
      <c r="J153" s="363"/>
    </row>
    <row r="154" spans="1:10" ht="27.75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0" ht="27.75">
      <c r="A155" s="1256" t="s">
        <v>345</v>
      </c>
      <c r="B155" s="1256"/>
      <c r="C155" s="1256"/>
      <c r="D155" s="117" t="s">
        <v>130</v>
      </c>
      <c r="E155" s="95">
        <f>'14'!F155</f>
        <v>193381</v>
      </c>
      <c r="F155" s="157">
        <v>193950</v>
      </c>
      <c r="G155" s="112">
        <f t="shared" ref="G155:G158" si="12">F155-E155</f>
        <v>569</v>
      </c>
      <c r="H155" s="99">
        <f>G155+'14'!H155</f>
        <v>8209</v>
      </c>
      <c r="I155" s="361"/>
      <c r="J155" s="328">
        <f>H155/DAY(B2)</f>
        <v>547.26666666666665</v>
      </c>
    </row>
    <row r="156" spans="1:10" ht="25.5">
      <c r="A156" s="1256" t="s">
        <v>347</v>
      </c>
      <c r="B156" s="1256"/>
      <c r="C156" s="1256"/>
      <c r="D156" s="117" t="s">
        <v>130</v>
      </c>
      <c r="E156" s="95">
        <f>'14'!F156</f>
        <v>22063</v>
      </c>
      <c r="F156" s="157">
        <v>22165</v>
      </c>
      <c r="G156" s="112">
        <f t="shared" si="12"/>
        <v>102</v>
      </c>
      <c r="H156" s="99">
        <f>G156+'14'!H156</f>
        <v>1426</v>
      </c>
      <c r="I156" s="165"/>
      <c r="J156" s="328">
        <f>H156/DAY(B2)</f>
        <v>95.066666666666663</v>
      </c>
    </row>
    <row r="157" spans="1:10" ht="25.5">
      <c r="A157" s="1257" t="s">
        <v>358</v>
      </c>
      <c r="B157" s="1258"/>
      <c r="C157" s="1259"/>
      <c r="D157" s="117" t="s">
        <v>130</v>
      </c>
      <c r="E157" s="95">
        <f>'14'!F157</f>
        <v>37558.54</v>
      </c>
      <c r="F157" s="157">
        <v>37558.54</v>
      </c>
      <c r="G157" s="112">
        <f t="shared" si="12"/>
        <v>0</v>
      </c>
      <c r="H157" s="99">
        <f>G157+'14'!H157</f>
        <v>1434.5400000000009</v>
      </c>
      <c r="I157" s="165"/>
      <c r="J157" s="328">
        <f>H157/DAY(B2)</f>
        <v>95.636000000000053</v>
      </c>
    </row>
    <row r="158" spans="1:10" ht="25.5">
      <c r="A158" s="1257" t="s">
        <v>359</v>
      </c>
      <c r="B158" s="1258"/>
      <c r="C158" s="1259"/>
      <c r="D158" s="117" t="s">
        <v>130</v>
      </c>
      <c r="E158" s="95">
        <f>'14'!F158</f>
        <v>830</v>
      </c>
      <c r="F158" s="157">
        <v>850</v>
      </c>
      <c r="G158" s="112">
        <f t="shared" si="12"/>
        <v>20</v>
      </c>
      <c r="H158" s="99">
        <f>G158+'14'!H158</f>
        <v>345.37</v>
      </c>
      <c r="I158" s="165"/>
      <c r="J158" s="328">
        <f>H158/DAY(B2)</f>
        <v>23.024666666666668</v>
      </c>
    </row>
    <row r="159" spans="1:10" ht="25.5">
      <c r="A159" s="1263"/>
      <c r="B159" s="1264"/>
      <c r="C159" s="1265"/>
      <c r="D159" s="117"/>
      <c r="E159" s="95"/>
      <c r="F159" s="165"/>
      <c r="G159" s="359">
        <f>SUM(G155:G158)</f>
        <v>691</v>
      </c>
      <c r="H159" s="99"/>
      <c r="I159" s="165"/>
      <c r="J159" s="328"/>
    </row>
    <row r="160" spans="1:10" ht="27.75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26.25">
      <c r="A161" s="242" t="s">
        <v>92</v>
      </c>
      <c r="B161" s="243"/>
      <c r="C161" s="243"/>
      <c r="D161" s="244" t="s">
        <v>180</v>
      </c>
      <c r="E161" s="95">
        <f>'14'!F161</f>
        <v>492368</v>
      </c>
      <c r="F161" s="235">
        <v>492661</v>
      </c>
      <c r="G161" s="238">
        <f t="shared" ref="G161:G165" si="13">F161-E161</f>
        <v>293</v>
      </c>
      <c r="H161" s="99">
        <f>G161+'14'!H161</f>
        <v>4338</v>
      </c>
      <c r="I161" s="236"/>
      <c r="J161" s="239">
        <f>H161/DAY(B2)</f>
        <v>289.2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'14'!F162</f>
        <v>97806</v>
      </c>
      <c r="F162" s="235">
        <v>97844</v>
      </c>
      <c r="G162" s="238">
        <f t="shared" si="13"/>
        <v>38</v>
      </c>
      <c r="H162" s="99">
        <f>G162+'14'!H162</f>
        <v>556</v>
      </c>
      <c r="I162" s="236"/>
      <c r="J162" s="239">
        <f>H162/DAY(B2)</f>
        <v>37.06666666666667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'14'!F163</f>
        <v>15758</v>
      </c>
      <c r="F163" s="235">
        <v>15908</v>
      </c>
      <c r="G163" s="238">
        <f t="shared" si="13"/>
        <v>150</v>
      </c>
      <c r="H163" s="99">
        <f>G163+'14'!H163</f>
        <v>1744</v>
      </c>
      <c r="I163" s="236"/>
      <c r="J163" s="239">
        <f>H163/DAY(B2)</f>
        <v>116.26666666666667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'14'!F164</f>
        <v>6709</v>
      </c>
      <c r="F164" s="235">
        <v>6716</v>
      </c>
      <c r="G164" s="238">
        <f t="shared" si="13"/>
        <v>7</v>
      </c>
      <c r="H164" s="99">
        <f>G164+'14'!H164</f>
        <v>104</v>
      </c>
      <c r="I164" s="236"/>
      <c r="J164" s="239">
        <f>H164/DAY(B2)</f>
        <v>6.9333333333333336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'14'!F165</f>
        <v>32237</v>
      </c>
      <c r="F165" s="235">
        <v>32245</v>
      </c>
      <c r="G165" s="238">
        <f t="shared" si="13"/>
        <v>8</v>
      </c>
      <c r="H165" s="99">
        <f>G165+'14'!H165</f>
        <v>104</v>
      </c>
      <c r="I165" s="236"/>
      <c r="J165" s="239">
        <f>H165/DAY(B2)</f>
        <v>6.9333333333333336</v>
      </c>
    </row>
    <row r="166" spans="1:10" ht="26.25">
      <c r="A166" s="1274"/>
      <c r="B166" s="1274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6.25">
      <c r="A167" s="1274"/>
      <c r="B167" s="1274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6.25">
      <c r="A168" s="1274"/>
      <c r="B168" s="1274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1.75" customHeight="1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1254" t="s">
        <v>209</v>
      </c>
      <c r="B173" s="1255"/>
      <c r="C173" s="333"/>
      <c r="D173" s="228" t="s">
        <v>142</v>
      </c>
      <c r="E173" s="95">
        <f>'14'!F173</f>
        <v>8604</v>
      </c>
      <c r="F173" s="155">
        <v>8604</v>
      </c>
      <c r="G173" s="155">
        <f>F173-E173</f>
        <v>0</v>
      </c>
      <c r="H173" s="99">
        <f>G173+'14'!H173</f>
        <v>23</v>
      </c>
      <c r="I173" s="155"/>
      <c r="J173" s="178">
        <f>H173/DAY(B2)</f>
        <v>1.5333333333333334</v>
      </c>
    </row>
    <row r="174" spans="1:10" ht="21.75" customHeight="1">
      <c r="A174" s="1254" t="s">
        <v>75</v>
      </c>
      <c r="B174" s="1255"/>
      <c r="C174" s="333"/>
      <c r="D174" s="228" t="s">
        <v>142</v>
      </c>
      <c r="E174" s="95">
        <f>'14'!F174</f>
        <v>42146</v>
      </c>
      <c r="F174" s="157">
        <v>42162</v>
      </c>
      <c r="G174" s="155">
        <f t="shared" ref="G174:G175" si="14">F174-E174</f>
        <v>16</v>
      </c>
      <c r="H174" s="99">
        <f>G174+'14'!H174</f>
        <v>200</v>
      </c>
      <c r="I174" s="155"/>
      <c r="J174" s="178">
        <f>H174/DAY(B2)</f>
        <v>13.333333333333334</v>
      </c>
    </row>
    <row r="175" spans="1:10" ht="21.75" customHeight="1">
      <c r="A175" s="1254" t="s">
        <v>76</v>
      </c>
      <c r="B175" s="1324"/>
      <c r="C175" s="1255"/>
      <c r="D175" s="228" t="s">
        <v>142</v>
      </c>
      <c r="E175" s="95">
        <f>'14'!F175</f>
        <v>24847</v>
      </c>
      <c r="F175" s="155">
        <v>24859</v>
      </c>
      <c r="G175" s="155">
        <f t="shared" si="14"/>
        <v>12</v>
      </c>
      <c r="H175" s="99">
        <f>G175+'14'!H175</f>
        <v>162</v>
      </c>
      <c r="I175" s="155"/>
      <c r="J175" s="178">
        <f>H175/DAY(B2)</f>
        <v>10.8</v>
      </c>
    </row>
    <row r="176" spans="1:10" ht="21.75" customHeight="1">
      <c r="A176" s="1261" t="s">
        <v>196</v>
      </c>
      <c r="B176" s="1262"/>
      <c r="C176" s="333"/>
      <c r="D176" s="228" t="s">
        <v>142</v>
      </c>
      <c r="E176" s="95"/>
      <c r="F176" s="155"/>
      <c r="G176" s="155">
        <f>SUM(G173:G175)</f>
        <v>28</v>
      </c>
      <c r="H176" s="99">
        <f>G176+'14'!H176</f>
        <v>385</v>
      </c>
      <c r="I176" s="155"/>
      <c r="J176" s="178">
        <f>H176/DAY(B2)</f>
        <v>25.666666666666668</v>
      </c>
    </row>
    <row r="177" spans="1:10" ht="21.75" customHeight="1">
      <c r="A177" s="1254" t="s">
        <v>77</v>
      </c>
      <c r="B177" s="1255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1254" t="s">
        <v>210</v>
      </c>
      <c r="B178" s="1255"/>
      <c r="C178" s="333"/>
      <c r="D178" s="228" t="s">
        <v>142</v>
      </c>
      <c r="E178" s="95">
        <v>102114</v>
      </c>
      <c r="F178" s="155">
        <v>102114</v>
      </c>
      <c r="G178" s="155">
        <f>F178-E178</f>
        <v>0</v>
      </c>
      <c r="H178" s="99">
        <f>G178+'14'!H178</f>
        <v>3</v>
      </c>
      <c r="I178" s="155"/>
      <c r="J178" s="178">
        <f>H178/DAY(B2)</f>
        <v>0.2</v>
      </c>
    </row>
    <row r="179" spans="1:10" ht="24" customHeight="1">
      <c r="A179" s="1254" t="s">
        <v>211</v>
      </c>
      <c r="B179" s="1255"/>
      <c r="C179" s="333"/>
      <c r="D179" s="228" t="s">
        <v>142</v>
      </c>
      <c r="E179" s="95">
        <f>'14'!F179</f>
        <v>37501</v>
      </c>
      <c r="F179" s="155">
        <v>37501</v>
      </c>
      <c r="G179" s="155">
        <f t="shared" ref="G179:G180" si="15">F179-E179</f>
        <v>0</v>
      </c>
      <c r="H179" s="99">
        <f>G179+'14'!H179</f>
        <v>0</v>
      </c>
      <c r="I179" s="155"/>
      <c r="J179" s="178">
        <f>H179/DAY(B2)</f>
        <v>0</v>
      </c>
    </row>
    <row r="180" spans="1:10" ht="25.5">
      <c r="A180" s="1254" t="s">
        <v>212</v>
      </c>
      <c r="B180" s="1255"/>
      <c r="C180" s="333"/>
      <c r="D180" s="228" t="s">
        <v>142</v>
      </c>
      <c r="E180" s="95">
        <f>'14'!F180</f>
        <v>7231</v>
      </c>
      <c r="F180" s="155">
        <v>7231</v>
      </c>
      <c r="G180" s="155">
        <f t="shared" si="15"/>
        <v>0</v>
      </c>
      <c r="H180" s="99">
        <f>G180+'14'!H180</f>
        <v>0</v>
      </c>
      <c r="I180" s="155"/>
      <c r="J180" s="178">
        <f>H180/DAY(B2)</f>
        <v>0</v>
      </c>
    </row>
    <row r="181" spans="1:10" ht="25.5">
      <c r="A181" s="1325" t="s">
        <v>108</v>
      </c>
      <c r="B181" s="1326"/>
      <c r="C181" s="333"/>
      <c r="D181" s="228" t="s">
        <v>142</v>
      </c>
      <c r="E181" s="95"/>
      <c r="F181" s="155"/>
      <c r="G181" s="155">
        <f>SUM(G178:G180)</f>
        <v>0</v>
      </c>
      <c r="H181" s="99">
        <f>G181+'14'!H181</f>
        <v>3</v>
      </c>
      <c r="I181" s="155"/>
      <c r="J181" s="178">
        <f>H181/DAY(B2)</f>
        <v>0.2</v>
      </c>
    </row>
    <row r="182" spans="1:10" ht="25.5">
      <c r="A182" s="1254" t="s">
        <v>213</v>
      </c>
      <c r="B182" s="1255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5.5">
      <c r="A183" s="1254" t="s">
        <v>214</v>
      </c>
      <c r="B183" s="1255"/>
      <c r="C183" s="334"/>
      <c r="D183" s="228" t="s">
        <v>142</v>
      </c>
      <c r="E183" s="95">
        <f>'14'!F183</f>
        <v>17911</v>
      </c>
      <c r="F183" s="157">
        <v>17916</v>
      </c>
      <c r="G183" s="157">
        <f>F183-E183</f>
        <v>5</v>
      </c>
      <c r="H183" s="99">
        <f>G183+'14'!H183</f>
        <v>68</v>
      </c>
      <c r="I183" s="155"/>
      <c r="J183" s="178">
        <f>H183/DAY(B2)</f>
        <v>4.5333333333333332</v>
      </c>
    </row>
    <row r="184" spans="1:10" ht="25.5">
      <c r="A184" s="1254" t="s">
        <v>215</v>
      </c>
      <c r="B184" s="1255"/>
      <c r="C184" s="334"/>
      <c r="D184" s="228" t="s">
        <v>142</v>
      </c>
      <c r="E184" s="95">
        <f>'14'!F184</f>
        <v>12448</v>
      </c>
      <c r="F184" s="157">
        <v>12464</v>
      </c>
      <c r="G184" s="157">
        <f t="shared" ref="G184:G185" si="16">F184-E184</f>
        <v>16</v>
      </c>
      <c r="H184" s="99">
        <f>G184+'14'!H184</f>
        <v>115</v>
      </c>
      <c r="I184" s="155"/>
      <c r="J184" s="178">
        <f>H184/DAY(B2)</f>
        <v>7.666666666666667</v>
      </c>
    </row>
    <row r="185" spans="1:10" ht="32.25" customHeight="1">
      <c r="A185" s="1254" t="s">
        <v>216</v>
      </c>
      <c r="B185" s="1255"/>
      <c r="C185" s="334"/>
      <c r="D185" s="228" t="s">
        <v>142</v>
      </c>
      <c r="E185" s="95">
        <f>'14'!F185</f>
        <v>0</v>
      </c>
      <c r="F185" s="157">
        <v>0</v>
      </c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5.5">
      <c r="A186" s="1261" t="s">
        <v>196</v>
      </c>
      <c r="B186" s="1262"/>
      <c r="C186" s="334"/>
      <c r="D186" s="228" t="s">
        <v>142</v>
      </c>
      <c r="E186" s="95"/>
      <c r="F186" s="157"/>
      <c r="G186" s="157">
        <f>SUM(G183:G185)</f>
        <v>21</v>
      </c>
      <c r="H186" s="99">
        <f>G186+'14'!H186</f>
        <v>183</v>
      </c>
      <c r="I186" s="157"/>
      <c r="J186" s="178">
        <f>H186/DAY(B2)</f>
        <v>12.2</v>
      </c>
    </row>
    <row r="187" spans="1:10" ht="25.5">
      <c r="A187" s="1250" t="s">
        <v>217</v>
      </c>
      <c r="B187" s="1251"/>
      <c r="C187" s="333"/>
      <c r="D187" s="230" t="s">
        <v>142</v>
      </c>
      <c r="E187" s="95"/>
      <c r="F187" s="159"/>
      <c r="G187" s="159">
        <f>G62+G19</f>
        <v>176</v>
      </c>
      <c r="H187" s="99">
        <f>G187+'14'!H187</f>
        <v>2208</v>
      </c>
      <c r="I187" s="158"/>
      <c r="J187" s="179">
        <f>H187/DAY(B2)</f>
        <v>147.19999999999999</v>
      </c>
    </row>
    <row r="188" spans="1:10" ht="25.5">
      <c r="A188" s="1250" t="s">
        <v>218</v>
      </c>
      <c r="B188" s="1251"/>
      <c r="C188" s="333"/>
      <c r="D188" s="230" t="s">
        <v>142</v>
      </c>
      <c r="E188" s="95"/>
      <c r="F188" s="159"/>
      <c r="G188" s="159">
        <f>G65+G66+G67+G69+G70</f>
        <v>190</v>
      </c>
      <c r="H188" s="99">
        <f>G188+'14'!H188</f>
        <v>190</v>
      </c>
      <c r="I188" s="158"/>
      <c r="J188" s="179">
        <f>H188/DAY(B2)</f>
        <v>12.666666666666666</v>
      </c>
    </row>
    <row r="189" spans="1:10" ht="27" customHeight="1">
      <c r="A189" s="1250" t="s">
        <v>219</v>
      </c>
      <c r="B189" s="1251"/>
      <c r="C189" s="333"/>
      <c r="D189" s="230" t="s">
        <v>142</v>
      </c>
      <c r="E189" s="95"/>
      <c r="F189" s="157"/>
      <c r="G189" s="157">
        <f>G181</f>
        <v>0</v>
      </c>
      <c r="H189" s="99">
        <f>G189+'14'!H189</f>
        <v>3</v>
      </c>
      <c r="I189" s="158"/>
      <c r="J189" s="179">
        <f>H189/DAY(B2)</f>
        <v>0.2</v>
      </c>
    </row>
    <row r="190" spans="1:10" ht="27" customHeight="1">
      <c r="A190" s="1252"/>
      <c r="B190" s="1253"/>
      <c r="C190" s="382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46" zoomScale="55" zoomScaleNormal="90" zoomScaleSheetLayoutView="55" workbookViewId="0">
      <selection activeCell="F178" sqref="F17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397" customWidth="1"/>
    <col min="7" max="7" width="28.88671875" style="702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6" s="57" customFormat="1" ht="23.25">
      <c r="A2" s="191" t="s">
        <v>349</v>
      </c>
      <c r="B2" s="262">
        <v>44850</v>
      </c>
      <c r="C2" s="348" t="s">
        <v>67</v>
      </c>
      <c r="D2" s="218">
        <v>0.56000000000000005</v>
      </c>
      <c r="E2" s="100"/>
      <c r="F2" s="348"/>
      <c r="G2" s="679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5.5">
      <c r="A3" s="189"/>
      <c r="B3" s="221"/>
      <c r="C3" s="348" t="s">
        <v>118</v>
      </c>
      <c r="D3" s="219">
        <v>27</v>
      </c>
      <c r="E3" s="1322" t="s">
        <v>119</v>
      </c>
      <c r="F3" s="1323"/>
      <c r="G3" s="680"/>
      <c r="H3" s="102"/>
      <c r="I3" s="102"/>
      <c r="J3" s="222"/>
      <c r="K3" s="61"/>
      <c r="L3" s="58"/>
      <c r="P3" s="675" t="s">
        <v>373</v>
      </c>
    </row>
    <row r="4" spans="1:16" s="57" customFormat="1" ht="23.25">
      <c r="A4" s="192"/>
      <c r="B4" s="223"/>
      <c r="C4" s="348" t="s">
        <v>120</v>
      </c>
      <c r="D4" s="218">
        <v>0.9</v>
      </c>
      <c r="E4" s="103"/>
      <c r="F4" s="103"/>
      <c r="G4" s="680"/>
      <c r="H4" s="103"/>
      <c r="I4" s="104"/>
      <c r="J4" s="222"/>
      <c r="K4" s="62"/>
      <c r="L4" s="58"/>
      <c r="P4" s="676">
        <v>10</v>
      </c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681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674">
        <v>10</v>
      </c>
    </row>
    <row r="6" spans="1:16" ht="26.25">
      <c r="A6" s="1319" t="s">
        <v>128</v>
      </c>
      <c r="B6" s="1320"/>
      <c r="C6" s="1321"/>
      <c r="D6" s="110"/>
      <c r="E6" s="110"/>
      <c r="F6" s="111"/>
      <c r="G6" s="682"/>
      <c r="H6" s="111"/>
      <c r="I6" s="111"/>
      <c r="J6" s="174"/>
      <c r="K6" s="78"/>
      <c r="L6" s="66"/>
      <c r="P6" s="674">
        <v>10</v>
      </c>
    </row>
    <row r="7" spans="1:16" ht="27" thickBot="1">
      <c r="A7" s="194" t="s">
        <v>129</v>
      </c>
      <c r="B7" s="195"/>
      <c r="C7" s="195"/>
      <c r="D7" s="151" t="s">
        <v>130</v>
      </c>
      <c r="E7" s="95">
        <f>'15'!F7</f>
        <v>256579</v>
      </c>
      <c r="F7" s="95">
        <v>280513.59999999998</v>
      </c>
      <c r="G7" s="683">
        <f>F7-E7</f>
        <v>23934.599999999977</v>
      </c>
      <c r="H7" s="99">
        <f>G7+'15'!H7</f>
        <v>398677.6</v>
      </c>
      <c r="I7" s="113">
        <f>'1'!I7</f>
        <v>12000</v>
      </c>
      <c r="J7" s="175">
        <f>H7/DAY(B2)</f>
        <v>24917.35</v>
      </c>
      <c r="K7" s="172">
        <v>1375467</v>
      </c>
      <c r="L7" s="66"/>
      <c r="N7" s="87"/>
      <c r="O7" s="71"/>
      <c r="P7" s="674">
        <v>10</v>
      </c>
    </row>
    <row r="8" spans="1:16" ht="27" thickBot="1">
      <c r="A8" s="196" t="s">
        <v>131</v>
      </c>
      <c r="B8" s="197"/>
      <c r="C8" s="198"/>
      <c r="D8" s="224" t="s">
        <v>24</v>
      </c>
      <c r="E8" s="95">
        <f>'15'!F8</f>
        <v>429122</v>
      </c>
      <c r="F8" s="95">
        <v>453282</v>
      </c>
      <c r="G8" s="684">
        <f>F8-E8</f>
        <v>24160</v>
      </c>
      <c r="H8" s="99">
        <f>G8+'15'!H8</f>
        <v>403902</v>
      </c>
      <c r="I8" s="116"/>
      <c r="J8" s="175">
        <f>H8/DAY(B2)</f>
        <v>25243.875</v>
      </c>
      <c r="K8" s="172">
        <v>1715917</v>
      </c>
      <c r="L8" s="76">
        <v>1728480</v>
      </c>
      <c r="M8" s="87">
        <f>L8-K8</f>
        <v>12563</v>
      </c>
      <c r="N8" s="87"/>
      <c r="O8" s="71"/>
      <c r="P8" s="674">
        <v>10</v>
      </c>
    </row>
    <row r="9" spans="1:16" ht="26.25">
      <c r="A9" s="199" t="s">
        <v>132</v>
      </c>
      <c r="B9" s="200"/>
      <c r="C9" s="200"/>
      <c r="D9" s="151" t="s">
        <v>130</v>
      </c>
      <c r="E9" s="95">
        <f>'15'!F9</f>
        <v>3797064</v>
      </c>
      <c r="F9" s="447">
        <v>3802663.3</v>
      </c>
      <c r="G9" s="683">
        <f>F9-E9</f>
        <v>5599.2999999998137</v>
      </c>
      <c r="H9" s="99">
        <f>G9+'15'!H9</f>
        <v>95956.299999999814</v>
      </c>
      <c r="I9" s="124">
        <f>I7-J7</f>
        <v>-12917.349999999999</v>
      </c>
      <c r="J9" s="175">
        <f>H9/DAY(B2)</f>
        <v>5997.2687499999884</v>
      </c>
      <c r="K9" s="79">
        <f>K8-100</f>
        <v>1715817</v>
      </c>
      <c r="L9" s="66"/>
      <c r="N9" s="87"/>
      <c r="O9" s="71"/>
      <c r="P9" s="674">
        <v>20</v>
      </c>
    </row>
    <row r="10" spans="1:16" ht="26.25">
      <c r="A10" s="194" t="s">
        <v>133</v>
      </c>
      <c r="B10" s="195"/>
      <c r="C10" s="195"/>
      <c r="D10" s="151" t="s">
        <v>130</v>
      </c>
      <c r="E10" s="95">
        <f>'15'!F10</f>
        <v>3017217</v>
      </c>
      <c r="F10" s="353">
        <v>3034945.5</v>
      </c>
      <c r="G10" s="683">
        <f t="shared" ref="G10:G12" si="0">F10-E10</f>
        <v>17728.5</v>
      </c>
      <c r="H10" s="99">
        <f>G10+'15'!H10</f>
        <v>292251.5</v>
      </c>
      <c r="I10" s="282"/>
      <c r="J10" s="175">
        <f>H10/DAY(B2)</f>
        <v>18265.71875</v>
      </c>
      <c r="K10" s="79"/>
      <c r="L10" s="66"/>
      <c r="N10" s="87"/>
      <c r="O10" s="71"/>
      <c r="P10" s="674">
        <v>20</v>
      </c>
    </row>
    <row r="11" spans="1:16" ht="26.25">
      <c r="A11" s="194" t="s">
        <v>134</v>
      </c>
      <c r="B11" s="195"/>
      <c r="C11" s="195"/>
      <c r="D11" s="151" t="s">
        <v>130</v>
      </c>
      <c r="E11" s="95">
        <f>'15'!F11</f>
        <v>37560</v>
      </c>
      <c r="F11" s="95">
        <v>37560</v>
      </c>
      <c r="G11" s="683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  <c r="P11" s="674">
        <v>20</v>
      </c>
    </row>
    <row r="12" spans="1:16" ht="26.25">
      <c r="A12" s="194" t="s">
        <v>135</v>
      </c>
      <c r="B12" s="195"/>
      <c r="C12" s="195"/>
      <c r="D12" s="151" t="s">
        <v>130</v>
      </c>
      <c r="E12" s="95">
        <f>'15'!F12</f>
        <v>40380</v>
      </c>
      <c r="F12" s="117">
        <v>40380</v>
      </c>
      <c r="G12" s="683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  <c r="P12" s="674">
        <v>20</v>
      </c>
    </row>
    <row r="13" spans="1:16" ht="26.25">
      <c r="A13" s="201" t="s">
        <v>136</v>
      </c>
      <c r="B13" s="202"/>
      <c r="C13" s="202"/>
      <c r="D13" s="151"/>
      <c r="E13" s="95"/>
      <c r="F13" s="95"/>
      <c r="G13" s="685">
        <f>G9+G10+G11+G12</f>
        <v>23327.799999999814</v>
      </c>
      <c r="H13" s="99">
        <f>G13+'15'!H13</f>
        <v>389667.79999999981</v>
      </c>
      <c r="I13" s="120">
        <f>G7-G13</f>
        <v>606.80000000016298</v>
      </c>
      <c r="J13" s="175">
        <f>H13/DAY(B2)</f>
        <v>24354.237499999988</v>
      </c>
      <c r="K13" s="79"/>
      <c r="L13" s="66"/>
      <c r="N13" s="87"/>
      <c r="O13" s="71"/>
      <c r="P13" s="674">
        <v>20</v>
      </c>
    </row>
    <row r="14" spans="1:16" ht="26.25">
      <c r="A14" s="1308" t="s">
        <v>137</v>
      </c>
      <c r="B14" s="1309"/>
      <c r="C14" s="1310"/>
      <c r="D14" s="111"/>
      <c r="E14" s="111"/>
      <c r="F14" s="111"/>
      <c r="G14" s="686"/>
      <c r="H14" s="111"/>
      <c r="I14" s="111"/>
      <c r="J14" s="174"/>
      <c r="K14" s="80"/>
      <c r="L14" s="66"/>
      <c r="N14" s="87"/>
      <c r="O14" s="71"/>
      <c r="P14" s="674">
        <v>20</v>
      </c>
    </row>
    <row r="15" spans="1:16" ht="26.25">
      <c r="A15" s="345" t="s">
        <v>138</v>
      </c>
      <c r="B15" s="205"/>
      <c r="C15" s="205"/>
      <c r="D15" s="151" t="s">
        <v>139</v>
      </c>
      <c r="E15" s="95">
        <f>'15'!F15</f>
        <v>2176853</v>
      </c>
      <c r="F15" s="447">
        <v>2177951</v>
      </c>
      <c r="G15" s="683">
        <f>(F15-E15)</f>
        <v>1098</v>
      </c>
      <c r="H15" s="99">
        <f>G15+'15'!H15</f>
        <v>16436</v>
      </c>
      <c r="I15" s="113">
        <f>'1'!I15</f>
        <v>800</v>
      </c>
      <c r="J15" s="175">
        <f>H15/DAY(B2)</f>
        <v>1027.25</v>
      </c>
      <c r="K15" s="79"/>
      <c r="L15" s="66"/>
      <c r="N15" s="87"/>
      <c r="O15" s="71"/>
      <c r="P15" s="677">
        <f>SUM(P4:P14)</f>
        <v>170</v>
      </c>
    </row>
    <row r="16" spans="1:16" ht="26.25">
      <c r="A16" s="203"/>
      <c r="B16" s="204"/>
      <c r="C16" s="204"/>
      <c r="D16" s="152"/>
      <c r="E16" s="123"/>
      <c r="F16" s="123"/>
      <c r="G16" s="683"/>
      <c r="H16" s="124"/>
      <c r="I16" s="120">
        <f>I15-J15</f>
        <v>-227.25</v>
      </c>
      <c r="J16" s="176"/>
      <c r="K16" s="79"/>
      <c r="L16" s="66"/>
      <c r="N16" s="87"/>
      <c r="O16" s="71"/>
    </row>
    <row r="17" spans="1:15" ht="26.25">
      <c r="A17" s="1308" t="s">
        <v>140</v>
      </c>
      <c r="B17" s="1309"/>
      <c r="C17" s="1310"/>
      <c r="D17" s="111"/>
      <c r="E17" s="111"/>
      <c r="F17" s="111"/>
      <c r="G17" s="686"/>
      <c r="H17" s="111"/>
      <c r="I17" s="111"/>
      <c r="J17" s="174"/>
      <c r="K17" s="79"/>
      <c r="L17" s="66"/>
      <c r="N17" s="87"/>
      <c r="O17" s="71"/>
    </row>
    <row r="18" spans="1:15" ht="25.5">
      <c r="A18" s="1281" t="s">
        <v>141</v>
      </c>
      <c r="B18" s="1282"/>
      <c r="C18" s="1283"/>
      <c r="D18" s="151" t="s">
        <v>142</v>
      </c>
      <c r="E18" s="95">
        <f>'15'!F18</f>
        <v>27</v>
      </c>
      <c r="F18" s="164">
        <v>32</v>
      </c>
      <c r="G18" s="685">
        <f>F18*10</f>
        <v>320</v>
      </c>
      <c r="H18" s="99">
        <f>G18+'15'!H18</f>
        <v>3960</v>
      </c>
      <c r="I18" s="113">
        <f>'1'!I18</f>
        <v>65</v>
      </c>
      <c r="J18" s="175">
        <f>H18/DAY(B2)</f>
        <v>247.5</v>
      </c>
      <c r="K18" s="79"/>
      <c r="L18" s="66"/>
      <c r="N18" s="87"/>
      <c r="O18" s="71"/>
    </row>
    <row r="19" spans="1:15" ht="25.5">
      <c r="A19" s="1281" t="s">
        <v>69</v>
      </c>
      <c r="B19" s="1282"/>
      <c r="C19" s="1283"/>
      <c r="D19" s="151" t="s">
        <v>142</v>
      </c>
      <c r="E19" s="95">
        <f>'15'!F19</f>
        <v>166215</v>
      </c>
      <c r="F19" s="122">
        <v>166265</v>
      </c>
      <c r="G19" s="683">
        <f t="shared" ref="G19" si="1">F19-E19</f>
        <v>50</v>
      </c>
      <c r="H19" s="99">
        <f>G19+'15'!H19</f>
        <v>822</v>
      </c>
      <c r="I19" s="335"/>
      <c r="J19" s="175">
        <f>H19/DAY(B2)</f>
        <v>51.375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687">
        <f>G18+G19</f>
        <v>370</v>
      </c>
      <c r="H20" s="99">
        <f>G20+'15'!H20</f>
        <v>4782</v>
      </c>
      <c r="I20" s="336">
        <f>I18-J20</f>
        <v>-233.875</v>
      </c>
      <c r="J20" s="175">
        <f>H20/DAY(B2)</f>
        <v>298.875</v>
      </c>
      <c r="K20" s="79"/>
      <c r="L20" s="66"/>
      <c r="N20" s="87"/>
      <c r="O20" s="71"/>
    </row>
    <row r="21" spans="1:15" ht="26.25">
      <c r="A21" s="1308" t="s">
        <v>144</v>
      </c>
      <c r="B21" s="1309"/>
      <c r="C21" s="1310"/>
      <c r="D21" s="111"/>
      <c r="E21" s="111"/>
      <c r="F21" s="111"/>
      <c r="G21" s="686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685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'15'!F23</f>
        <v>2000</v>
      </c>
      <c r="F23" s="122">
        <v>1500</v>
      </c>
      <c r="G23" s="685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685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311" t="s">
        <v>149</v>
      </c>
      <c r="B25" s="1312"/>
      <c r="C25" s="1313"/>
      <c r="D25" s="110"/>
      <c r="E25" s="110"/>
      <c r="F25" s="111"/>
      <c r="G25" s="688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689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24160</v>
      </c>
      <c r="F27" s="136">
        <v>10</v>
      </c>
      <c r="G27" s="137">
        <f>E27*F27</f>
        <v>241600</v>
      </c>
      <c r="H27" s="99">
        <f>G27+'15'!H27</f>
        <v>4039020</v>
      </c>
      <c r="I27" s="138"/>
      <c r="J27" s="175">
        <f>H27/DAY(B2)</f>
        <v>252438.75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1098</v>
      </c>
      <c r="F28" s="136">
        <v>75</v>
      </c>
      <c r="G28" s="137">
        <f>E28*F28</f>
        <v>82350</v>
      </c>
      <c r="H28" s="99">
        <f>G28+'15'!H28</f>
        <v>1232700</v>
      </c>
      <c r="I28" s="140"/>
      <c r="J28" s="175">
        <f>H28/DAY(B2)</f>
        <v>77043.75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G30+'15'!H30</f>
        <v>124122</v>
      </c>
      <c r="I30" s="140"/>
      <c r="J30" s="175">
        <f>H30/DAY(B2)</f>
        <v>7757.625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320</v>
      </c>
      <c r="F31" s="136">
        <v>85</v>
      </c>
      <c r="G31" s="137">
        <f>E31*F31</f>
        <v>27200</v>
      </c>
      <c r="H31" s="99">
        <f>G31+'15'!H31</f>
        <v>333450</v>
      </c>
      <c r="I31" s="140"/>
      <c r="J31" s="175">
        <f>H31/DAY(B2)</f>
        <v>20840.625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690">
        <f>G27+G28+G29+G30+G31</f>
        <v>358700</v>
      </c>
      <c r="H32" s="99">
        <f>G32+'15'!H32</f>
        <v>5729292</v>
      </c>
      <c r="I32" s="144"/>
      <c r="J32" s="175">
        <f>H32/DAY(B2)</f>
        <v>358080.75</v>
      </c>
      <c r="K32" s="63"/>
      <c r="L32" s="89"/>
      <c r="N32" s="87"/>
      <c r="O32" s="71"/>
    </row>
    <row r="33" spans="1:15" ht="25.5" customHeight="1">
      <c r="A33" s="1314" t="s">
        <v>331</v>
      </c>
      <c r="B33" s="1315"/>
      <c r="C33" s="1315"/>
      <c r="D33" s="337"/>
      <c r="E33" s="337"/>
      <c r="F33" s="394"/>
      <c r="G33" s="691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1"/>
      <c r="G34" s="692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'15'!F35</f>
        <v>251242</v>
      </c>
      <c r="F35" s="117">
        <v>253286.69</v>
      </c>
      <c r="G35" s="683">
        <f t="shared" ref="G35:G46" si="3">F35-E35</f>
        <v>2044.6900000000023</v>
      </c>
      <c r="H35" s="99">
        <f>G35+'15'!H35</f>
        <v>14573.640000000014</v>
      </c>
      <c r="I35" s="95"/>
      <c r="J35" s="175">
        <f>H35/DAY(B2)</f>
        <v>910.85250000000087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'15'!F36</f>
        <v>282258</v>
      </c>
      <c r="F36" s="117">
        <v>283373.59999999998</v>
      </c>
      <c r="G36" s="683">
        <f t="shared" si="3"/>
        <v>1115.5999999999767</v>
      </c>
      <c r="H36" s="99">
        <f>G36+'15'!H36</f>
        <v>13890.599999999977</v>
      </c>
      <c r="I36" s="95"/>
      <c r="J36" s="175">
        <f>H36/DAY(B2)</f>
        <v>868.16249999999854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'15'!F37</f>
        <v>322999</v>
      </c>
      <c r="F37" s="117">
        <v>322998.69</v>
      </c>
      <c r="G37" s="683">
        <f t="shared" si="3"/>
        <v>-0.30999999999767169</v>
      </c>
      <c r="H37" s="99">
        <f>G37+'15'!H37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'15'!F38</f>
        <v>627459</v>
      </c>
      <c r="F38" s="95">
        <v>629897.69999999995</v>
      </c>
      <c r="G38" s="683">
        <f t="shared" si="3"/>
        <v>2438.6999999999534</v>
      </c>
      <c r="H38" s="99">
        <f>G38+'15'!H38</f>
        <v>36180.699999999953</v>
      </c>
      <c r="I38" s="95"/>
      <c r="J38" s="175">
        <f>H38/DAY(B2)</f>
        <v>2261.2937499999971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'15'!F39</f>
        <v>591584</v>
      </c>
      <c r="F39" s="117">
        <v>591584</v>
      </c>
      <c r="G39" s="683">
        <f t="shared" si="3"/>
        <v>0</v>
      </c>
      <c r="H39" s="99">
        <f>G39+'15'!H39</f>
        <v>-0.18999999994412065</v>
      </c>
      <c r="I39" s="95"/>
      <c r="J39" s="175">
        <f>H39/DAY(B2)</f>
        <v>-1.187499999650754E-2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'15'!F40</f>
        <v>169216</v>
      </c>
      <c r="F40" s="117">
        <v>170045</v>
      </c>
      <c r="G40" s="683">
        <f t="shared" si="3"/>
        <v>829</v>
      </c>
      <c r="H40" s="99">
        <f>G40+'15'!H40</f>
        <v>12065</v>
      </c>
      <c r="I40" s="95"/>
      <c r="J40" s="175">
        <f>H40/DAY(B2)</f>
        <v>754.0625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'15'!F41</f>
        <v>381352</v>
      </c>
      <c r="F41" s="117">
        <v>381351.85</v>
      </c>
      <c r="G41" s="683">
        <f t="shared" si="3"/>
        <v>-0.15000000002328306</v>
      </c>
      <c r="H41" s="99">
        <f>G41+'15'!H41</f>
        <v>1000.2999999999884</v>
      </c>
      <c r="I41" s="95"/>
      <c r="J41" s="175">
        <f>H41/DAY(B2)</f>
        <v>62.518749999999272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'15'!F42</f>
        <v>857592</v>
      </c>
      <c r="F42" s="117">
        <v>857592</v>
      </c>
      <c r="G42" s="683">
        <f t="shared" si="3"/>
        <v>0</v>
      </c>
      <c r="H42" s="99">
        <f>G42+'15'!H42</f>
        <v>32505</v>
      </c>
      <c r="I42" s="95"/>
      <c r="J42" s="175">
        <f>H42/DAY(B2)</f>
        <v>2031.5625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'15'!F43</f>
        <v>407028</v>
      </c>
      <c r="F43" s="117">
        <v>407028</v>
      </c>
      <c r="G43" s="683">
        <f t="shared" si="3"/>
        <v>0</v>
      </c>
      <c r="H43" s="99">
        <f>G43+'15'!H43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683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683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683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51"/>
      <c r="G47" s="685">
        <f>G35+G36+G37+G38+G39+G40+G41+G42+G43+G44+G45+G46</f>
        <v>6427.5299999999115</v>
      </c>
      <c r="H47" s="99">
        <f>G47+'15'!H47</f>
        <v>110215.04999999999</v>
      </c>
      <c r="I47" s="95"/>
      <c r="J47" s="175">
        <f>H47/DAY(B2)</f>
        <v>6888.4406249999993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1"/>
      <c r="G48" s="692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'15'!F49</f>
        <v>762574</v>
      </c>
      <c r="F49" s="393">
        <v>764187.67</v>
      </c>
      <c r="G49" s="683">
        <f t="shared" ref="G49:G58" si="4">F49-E49</f>
        <v>1613.6700000000419</v>
      </c>
      <c r="H49" s="99">
        <f>G49+'15'!H49</f>
        <v>43900.670000000042</v>
      </c>
      <c r="I49" s="95"/>
      <c r="J49" s="175">
        <f>H49/DAY(B2)</f>
        <v>2743.7918750000026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'15'!F50</f>
        <v>389971</v>
      </c>
      <c r="F50" s="117">
        <v>391681.9</v>
      </c>
      <c r="G50" s="683">
        <f t="shared" si="4"/>
        <v>1710.9000000000233</v>
      </c>
      <c r="H50" s="99">
        <f>G50+'15'!H50</f>
        <v>25910.900000000023</v>
      </c>
      <c r="I50" s="95"/>
      <c r="J50" s="175">
        <f>H50/DAY(B2)</f>
        <v>1619.4312500000015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'15'!F51</f>
        <v>87074</v>
      </c>
      <c r="F51" s="117">
        <v>88070.32</v>
      </c>
      <c r="G51" s="683">
        <f t="shared" si="4"/>
        <v>996.32000000000698</v>
      </c>
      <c r="H51" s="99">
        <f>G51+'15'!H51</f>
        <v>16343.320000000007</v>
      </c>
      <c r="I51" s="95"/>
      <c r="J51" s="175">
        <f>H51/DAY(B2)</f>
        <v>1021.4575000000004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'15'!F52</f>
        <v>10</v>
      </c>
      <c r="F52" s="117">
        <v>10</v>
      </c>
      <c r="G52" s="683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'15'!F53</f>
        <v>356756</v>
      </c>
      <c r="F53" s="393">
        <v>361063.47</v>
      </c>
      <c r="G53" s="693">
        <f t="shared" si="4"/>
        <v>4307.4699999999721</v>
      </c>
      <c r="H53" s="99">
        <f>G53+'15'!H53</f>
        <v>66962.469999999972</v>
      </c>
      <c r="I53" s="95"/>
      <c r="J53" s="175">
        <f>H53/DAY(B2)</f>
        <v>4185.1543749999983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'15'!F54</f>
        <v>103257</v>
      </c>
      <c r="F54" s="393">
        <v>103257.59</v>
      </c>
      <c r="G54" s="693">
        <f t="shared" si="4"/>
        <v>0.58999999999650754</v>
      </c>
      <c r="H54" s="99">
        <f>G54+'15'!H54</f>
        <v>1870.5899999999965</v>
      </c>
      <c r="I54" s="95"/>
      <c r="J54" s="175">
        <f>H54/DAY(B2)</f>
        <v>116.91187499999978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'15'!F55</f>
        <v>535980</v>
      </c>
      <c r="F55" s="393">
        <v>536979.27</v>
      </c>
      <c r="G55" s="693">
        <f t="shared" si="4"/>
        <v>999.27000000001863</v>
      </c>
      <c r="H55" s="99">
        <f>G55+'15'!H55</f>
        <v>42496.270000000019</v>
      </c>
      <c r="I55" s="95"/>
      <c r="J55" s="175">
        <f>H55/DAY(B2)</f>
        <v>2656.0168750000012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'15'!F56</f>
        <v>164277</v>
      </c>
      <c r="F56" s="117">
        <v>167287.12</v>
      </c>
      <c r="G56" s="683">
        <f t="shared" si="4"/>
        <v>3010.1199999999953</v>
      </c>
      <c r="H56" s="99">
        <f>G56+'15'!H56</f>
        <v>17568.119999999995</v>
      </c>
      <c r="I56" s="95"/>
      <c r="J56" s="175">
        <f>H56/DAY(B2)</f>
        <v>1098.0074999999997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'15'!F57</f>
        <v>453512</v>
      </c>
      <c r="F57" s="117">
        <v>456201.59</v>
      </c>
      <c r="G57" s="683">
        <f t="shared" si="4"/>
        <v>2689.5900000000256</v>
      </c>
      <c r="H57" s="99">
        <f>G57+'15'!H57</f>
        <v>47123.590000000026</v>
      </c>
      <c r="I57" s="95"/>
      <c r="J57" s="175">
        <f>H57/DAY(B2)</f>
        <v>2945.2243750000016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'15'!F58</f>
        <v>67797</v>
      </c>
      <c r="F58" s="117">
        <v>68036.789999999994</v>
      </c>
      <c r="G58" s="683">
        <f t="shared" si="4"/>
        <v>239.7899999999936</v>
      </c>
      <c r="H58" s="99">
        <f>G58+'15'!H58</f>
        <v>3885.7899999999936</v>
      </c>
      <c r="I58" s="95"/>
      <c r="J58" s="175">
        <f>H58/DAY(B2)</f>
        <v>242.8618749999996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51"/>
      <c r="G59" s="685">
        <f>G49+G50+G51+G52+G53+G54+G55+G56+G57+G58</f>
        <v>15567.720000000074</v>
      </c>
      <c r="H59" s="99">
        <f>G59+'15'!H59</f>
        <v>266061.72000000009</v>
      </c>
      <c r="I59" s="95">
        <f>G7-G60</f>
        <v>1939.3499999999913</v>
      </c>
      <c r="J59" s="175">
        <f>H59/DAY(B2)</f>
        <v>16628.857500000006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51"/>
      <c r="G60" s="685">
        <f>G47+G59</f>
        <v>21995.249999999985</v>
      </c>
      <c r="H60" s="99">
        <f>G60+'15'!H60</f>
        <v>376276.77</v>
      </c>
      <c r="I60" s="95">
        <f>G13-G60</f>
        <v>1332.5499999998283</v>
      </c>
      <c r="J60" s="175">
        <f>H60/DAY(B2)</f>
        <v>23517.298125000001</v>
      </c>
      <c r="K60" s="79"/>
      <c r="L60" s="66"/>
      <c r="N60" s="87"/>
      <c r="O60" s="71"/>
    </row>
    <row r="61" spans="1:15" s="68" customFormat="1" ht="26.25">
      <c r="A61" s="1278" t="s">
        <v>332</v>
      </c>
      <c r="B61" s="1279"/>
      <c r="C61" s="1280"/>
      <c r="D61" s="339"/>
      <c r="E61" s="339"/>
      <c r="F61" s="339"/>
      <c r="G61" s="694"/>
      <c r="H61" s="339"/>
      <c r="I61" s="339"/>
      <c r="J61" s="341"/>
      <c r="K61" s="69"/>
      <c r="L61" s="67"/>
      <c r="N61" s="87"/>
      <c r="O61" s="71"/>
    </row>
    <row r="62" spans="1:15" ht="25.5">
      <c r="A62" s="1281" t="s">
        <v>198</v>
      </c>
      <c r="B62" s="1282"/>
      <c r="C62" s="1283"/>
      <c r="D62" s="151" t="s">
        <v>142</v>
      </c>
      <c r="E62" s="95">
        <f>'15'!F62</f>
        <v>303501</v>
      </c>
      <c r="F62" s="122">
        <v>303626</v>
      </c>
      <c r="G62" s="683">
        <f t="shared" ref="G62:G63" si="5">F62-E62</f>
        <v>125</v>
      </c>
      <c r="H62" s="99">
        <f>G62+'15'!H62</f>
        <v>1561</v>
      </c>
      <c r="I62" s="118"/>
      <c r="J62" s="175">
        <f>H62/DAY(B2)</f>
        <v>97.5625</v>
      </c>
      <c r="K62" s="80"/>
      <c r="L62" s="66"/>
      <c r="N62" s="87"/>
      <c r="O62" s="71"/>
    </row>
    <row r="63" spans="1:15" ht="25.5">
      <c r="A63" s="1281" t="s">
        <v>199</v>
      </c>
      <c r="B63" s="1282"/>
      <c r="C63" s="1283"/>
      <c r="D63" s="151" t="s">
        <v>142</v>
      </c>
      <c r="E63" s="95">
        <f>'15'!F63</f>
        <v>245139</v>
      </c>
      <c r="F63" s="164">
        <v>245139</v>
      </c>
      <c r="G63" s="683">
        <f t="shared" si="5"/>
        <v>0</v>
      </c>
      <c r="H63" s="99">
        <f>G63+'15'!H63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6.25">
      <c r="A64" s="1284" t="s">
        <v>200</v>
      </c>
      <c r="B64" s="1285"/>
      <c r="C64" s="1286"/>
      <c r="D64" s="151"/>
      <c r="E64" s="95">
        <v>0</v>
      </c>
      <c r="F64" s="122"/>
      <c r="G64" s="683">
        <f>G62+G63</f>
        <v>125</v>
      </c>
      <c r="H64" s="99">
        <f>G64+'15'!H64</f>
        <v>1561</v>
      </c>
      <c r="I64" s="118"/>
      <c r="J64" s="175">
        <f>H64/DAY(B2)</f>
        <v>97.5625</v>
      </c>
      <c r="K64" s="69"/>
      <c r="L64" s="66"/>
      <c r="N64" s="87"/>
      <c r="O64" s="71"/>
    </row>
    <row r="65" spans="1:15" ht="25.5">
      <c r="A65" s="1281" t="s">
        <v>201</v>
      </c>
      <c r="B65" s="1282"/>
      <c r="C65" s="1283"/>
      <c r="D65" s="151" t="s">
        <v>142</v>
      </c>
      <c r="E65" s="95">
        <f>'15'!F65</f>
        <v>462413</v>
      </c>
      <c r="F65" s="150">
        <v>462536</v>
      </c>
      <c r="G65" s="683">
        <f t="shared" ref="G65:G70" si="6">F65-E65</f>
        <v>123</v>
      </c>
      <c r="H65" s="99">
        <f>G65+'15'!H65</f>
        <v>1712</v>
      </c>
      <c r="I65" s="118"/>
      <c r="J65" s="175">
        <f>H65/DAY(B2)</f>
        <v>107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'15'!F66</f>
        <v>112775</v>
      </c>
      <c r="F66" s="122">
        <v>112786</v>
      </c>
      <c r="G66" s="683">
        <f t="shared" si="6"/>
        <v>11</v>
      </c>
      <c r="H66" s="99">
        <f>G66+'15'!H66</f>
        <v>181</v>
      </c>
      <c r="I66" s="118"/>
      <c r="J66" s="175">
        <f>H66/DAY(B2)</f>
        <v>11.3125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'15'!F67</f>
        <v>115025</v>
      </c>
      <c r="F67" s="122">
        <v>115057</v>
      </c>
      <c r="G67" s="683">
        <f t="shared" si="6"/>
        <v>32</v>
      </c>
      <c r="H67" s="99">
        <f>G67+'15'!H67</f>
        <v>349</v>
      </c>
      <c r="I67" s="118"/>
      <c r="J67" s="175">
        <f>H67/DAY(B2)</f>
        <v>21.8125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'15'!F68</f>
        <v>167064</v>
      </c>
      <c r="F68" s="122">
        <v>167089</v>
      </c>
      <c r="G68" s="683">
        <f t="shared" si="6"/>
        <v>25</v>
      </c>
      <c r="H68" s="99">
        <f>G68+'15'!H68</f>
        <v>508</v>
      </c>
      <c r="I68" s="118"/>
      <c r="J68" s="175">
        <f>H68/DAY(B2)</f>
        <v>31.75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'15'!F69</f>
        <v>12616</v>
      </c>
      <c r="F69" s="122">
        <v>12623</v>
      </c>
      <c r="G69" s="683">
        <f t="shared" si="6"/>
        <v>7</v>
      </c>
      <c r="H69" s="99">
        <f>G69+'15'!H69</f>
        <v>59</v>
      </c>
      <c r="I69" s="118"/>
      <c r="J69" s="175">
        <f>H69/DAY(B2)</f>
        <v>3.6875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'15'!F70</f>
        <v>10482</v>
      </c>
      <c r="F70" s="122">
        <v>10494</v>
      </c>
      <c r="G70" s="683">
        <f t="shared" si="6"/>
        <v>12</v>
      </c>
      <c r="H70" s="99">
        <f>G70+'15'!H70</f>
        <v>161</v>
      </c>
      <c r="I70" s="118"/>
      <c r="J70" s="175">
        <f>H70/DAY(B2)</f>
        <v>10.0625</v>
      </c>
      <c r="K70" s="69"/>
      <c r="L70" s="66"/>
      <c r="N70" s="87"/>
      <c r="O70" s="71"/>
    </row>
    <row r="71" spans="1:15" ht="26.25">
      <c r="A71" s="1284" t="s">
        <v>208</v>
      </c>
      <c r="B71" s="1285"/>
      <c r="C71" s="1286"/>
      <c r="D71" s="152"/>
      <c r="E71" s="152"/>
      <c r="F71" s="152"/>
      <c r="G71" s="695">
        <f>SUM(G65:G70)</f>
        <v>210</v>
      </c>
      <c r="H71" s="99">
        <f>G71+'15'!H71</f>
        <v>2970</v>
      </c>
      <c r="I71" s="154"/>
      <c r="J71" s="175">
        <f>H71/DAY(B2)</f>
        <v>185.625</v>
      </c>
      <c r="K71" s="69"/>
      <c r="L71" s="66"/>
      <c r="N71" s="87"/>
      <c r="O71" s="71"/>
    </row>
    <row r="72" spans="1:15" s="88" customFormat="1" ht="25.5">
      <c r="A72" s="1287"/>
      <c r="B72" s="1268"/>
      <c r="C72" s="347"/>
      <c r="D72" s="180"/>
      <c r="E72" s="180" t="s">
        <v>207</v>
      </c>
      <c r="F72" s="395"/>
      <c r="G72" s="696"/>
      <c r="H72" s="181"/>
      <c r="I72" s="180"/>
      <c r="J72" s="182"/>
      <c r="N72" s="87"/>
      <c r="O72" s="71"/>
    </row>
    <row r="73" spans="1:15" ht="26.25">
      <c r="A73" s="1295" t="s">
        <v>333</v>
      </c>
      <c r="B73" s="1296"/>
      <c r="C73" s="1297"/>
      <c r="D73" s="339"/>
      <c r="E73" s="339"/>
      <c r="F73" s="339"/>
      <c r="G73" s="694"/>
      <c r="H73" s="342"/>
      <c r="I73" s="342"/>
      <c r="J73" s="343"/>
      <c r="K73" s="69"/>
      <c r="L73" s="66"/>
      <c r="N73" s="87"/>
      <c r="O73" s="71"/>
    </row>
    <row r="74" spans="1:15" ht="25.5">
      <c r="A74" s="1281" t="s">
        <v>220</v>
      </c>
      <c r="B74" s="1282"/>
      <c r="C74" s="1283"/>
      <c r="D74" s="151" t="s">
        <v>139</v>
      </c>
      <c r="E74" s="95">
        <f>'15'!F74</f>
        <v>980241</v>
      </c>
      <c r="F74" s="117">
        <v>980536.57</v>
      </c>
      <c r="G74" s="683">
        <f t="shared" ref="G74:G78" si="7">F74-E74</f>
        <v>295.56999999994878</v>
      </c>
      <c r="H74" s="99">
        <f>G74+'15'!H74</f>
        <v>4725.5699999999488</v>
      </c>
      <c r="I74" s="154"/>
      <c r="J74" s="175">
        <f>H74/DAY(B2)</f>
        <v>295.3481249999968</v>
      </c>
      <c r="K74" s="69"/>
      <c r="L74" s="66"/>
      <c r="N74" s="87"/>
      <c r="O74" s="71"/>
    </row>
    <row r="75" spans="1:15" ht="25.5">
      <c r="A75" s="1281" t="s">
        <v>221</v>
      </c>
      <c r="B75" s="1282"/>
      <c r="C75" s="1283"/>
      <c r="D75" s="151" t="s">
        <v>139</v>
      </c>
      <c r="E75" s="95">
        <f>'15'!F75</f>
        <v>73586</v>
      </c>
      <c r="F75" s="123">
        <v>73586.8</v>
      </c>
      <c r="G75" s="683">
        <f t="shared" si="7"/>
        <v>0.80000000000291038</v>
      </c>
      <c r="H75" s="99">
        <f>G75+'15'!H75</f>
        <v>0.80000000000291038</v>
      </c>
      <c r="I75" s="154"/>
      <c r="J75" s="175">
        <f>H75/DAY(B2)</f>
        <v>5.0000000000181899E-2</v>
      </c>
      <c r="K75" s="69"/>
      <c r="L75" s="66"/>
      <c r="N75" s="87"/>
      <c r="O75" s="71"/>
    </row>
    <row r="76" spans="1:15" ht="25.5">
      <c r="A76" s="1288" t="s">
        <v>222</v>
      </c>
      <c r="B76" s="1289"/>
      <c r="C76" s="1290"/>
      <c r="D76" s="151" t="s">
        <v>139</v>
      </c>
      <c r="E76" s="95">
        <f>'15'!F76</f>
        <v>198423</v>
      </c>
      <c r="F76" s="123">
        <v>198561.3</v>
      </c>
      <c r="G76" s="683">
        <f t="shared" si="7"/>
        <v>138.29999999998836</v>
      </c>
      <c r="H76" s="99">
        <f>G76+'15'!H76</f>
        <v>1825.2999999999884</v>
      </c>
      <c r="I76" s="154"/>
      <c r="J76" s="175">
        <f>H76/DAY(B2)</f>
        <v>114.08124999999927</v>
      </c>
      <c r="K76" s="69"/>
      <c r="L76" s="66"/>
      <c r="N76" s="87"/>
      <c r="O76" s="71"/>
    </row>
    <row r="77" spans="1:15" ht="25.5">
      <c r="A77" s="1288" t="s">
        <v>223</v>
      </c>
      <c r="B77" s="1289"/>
      <c r="C77" s="1290"/>
      <c r="D77" s="151" t="s">
        <v>139</v>
      </c>
      <c r="E77" s="95">
        <f>'15'!F77</f>
        <v>54110</v>
      </c>
      <c r="F77" s="123">
        <v>54177</v>
      </c>
      <c r="G77" s="683">
        <f t="shared" si="7"/>
        <v>67</v>
      </c>
      <c r="H77" s="99">
        <f>G77+'15'!H77</f>
        <v>825</v>
      </c>
      <c r="I77" s="154"/>
      <c r="J77" s="175">
        <f>H77/DAY(B2)</f>
        <v>51.5625</v>
      </c>
      <c r="K77" s="69"/>
      <c r="L77" s="66"/>
      <c r="N77" s="87"/>
      <c r="O77" s="71"/>
    </row>
    <row r="78" spans="1:15" ht="25.5">
      <c r="A78" s="1288" t="s">
        <v>224</v>
      </c>
      <c r="B78" s="1289"/>
      <c r="C78" s="1290"/>
      <c r="D78" s="151" t="s">
        <v>139</v>
      </c>
      <c r="E78" s="95">
        <f>'15'!F78</f>
        <v>9564</v>
      </c>
      <c r="F78" s="123">
        <v>9563</v>
      </c>
      <c r="G78" s="683">
        <f t="shared" si="7"/>
        <v>-1</v>
      </c>
      <c r="H78" s="99">
        <f>G78+'15'!H78</f>
        <v>-1.3999999999996362</v>
      </c>
      <c r="I78" s="118"/>
      <c r="J78" s="175">
        <f>H78/DAY(B2)</f>
        <v>-8.7499999999977263E-2</v>
      </c>
      <c r="K78" s="69"/>
      <c r="L78" s="66"/>
      <c r="N78" s="87"/>
      <c r="O78" s="71"/>
    </row>
    <row r="79" spans="1:15" s="57" customFormat="1" ht="25.5">
      <c r="A79" s="1288" t="s">
        <v>225</v>
      </c>
      <c r="B79" s="1289"/>
      <c r="C79" s="1290"/>
      <c r="D79" s="151"/>
      <c r="E79" s="95">
        <f>'15'!F79</f>
        <v>0</v>
      </c>
      <c r="F79" s="123"/>
      <c r="G79" s="683">
        <f>G15-SUM(G74:G78)</f>
        <v>597.33000000005995</v>
      </c>
      <c r="H79" s="99">
        <f>G79+'15'!H79</f>
        <v>9060.7300000000596</v>
      </c>
      <c r="I79" s="118"/>
      <c r="J79" s="175"/>
      <c r="K79" s="59"/>
      <c r="L79" s="58"/>
      <c r="N79" s="87"/>
      <c r="O79" s="71"/>
    </row>
    <row r="80" spans="1:15" s="57" customFormat="1" ht="26.25">
      <c r="A80" s="1284" t="s">
        <v>329</v>
      </c>
      <c r="B80" s="1285"/>
      <c r="C80" s="1286"/>
      <c r="D80" s="151"/>
      <c r="E80" s="117"/>
      <c r="F80" s="117"/>
      <c r="G80" s="683">
        <f>SUM(G74:G79)</f>
        <v>1098</v>
      </c>
      <c r="H80" s="99">
        <f>G80+'15'!H80</f>
        <v>1098</v>
      </c>
      <c r="I80" s="118"/>
      <c r="J80" s="175"/>
      <c r="K80" s="59"/>
      <c r="L80" s="58"/>
      <c r="N80" s="87"/>
      <c r="O80" s="71"/>
    </row>
    <row r="81" spans="1:15" ht="25.5">
      <c r="A81" s="1302" t="s">
        <v>226</v>
      </c>
      <c r="B81" s="1303"/>
      <c r="C81" s="1304"/>
      <c r="D81" s="110"/>
      <c r="E81" s="110"/>
      <c r="F81" s="111"/>
      <c r="G81" s="697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683">
        <f t="shared" ref="G82:G92" si="8">F82-E82</f>
        <v>0</v>
      </c>
      <c r="H82" s="99">
        <f>G82+'15'!H82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683">
        <f t="shared" si="8"/>
        <v>0</v>
      </c>
      <c r="H83" s="99">
        <f>G83+'15'!H83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'15'!F84</f>
        <v>43366.18</v>
      </c>
      <c r="F84" s="164">
        <v>43366.18</v>
      </c>
      <c r="G84" s="683">
        <f t="shared" si="8"/>
        <v>0</v>
      </c>
      <c r="H84" s="99">
        <f>G84+'15'!H84</f>
        <v>-0.62000000000261934</v>
      </c>
      <c r="I84" s="538"/>
      <c r="J84" s="175">
        <f>H84/DAY(B2)</f>
        <v>-3.8750000000163709E-2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'15'!F85</f>
        <v>5622</v>
      </c>
      <c r="F85" s="164">
        <v>5622</v>
      </c>
      <c r="G85" s="683">
        <f t="shared" si="8"/>
        <v>0</v>
      </c>
      <c r="H85" s="99">
        <f>G85+'15'!H85</f>
        <v>146</v>
      </c>
      <c r="I85" s="538"/>
      <c r="J85" s="175">
        <f>H85/DAY(B2)</f>
        <v>9.125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'15'!F86</f>
        <v>46561</v>
      </c>
      <c r="F86" s="164">
        <v>46568.22</v>
      </c>
      <c r="G86" s="683">
        <f t="shared" si="8"/>
        <v>7.2200000000011642</v>
      </c>
      <c r="H86" s="99">
        <f>G86+'15'!H86</f>
        <v>296.80000000000291</v>
      </c>
      <c r="I86" s="538"/>
      <c r="J86" s="175">
        <f>H86/DAY(B2)</f>
        <v>18.550000000000182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'15'!F87</f>
        <v>35759</v>
      </c>
      <c r="F87" s="164">
        <v>35783.300000000003</v>
      </c>
      <c r="G87" s="683">
        <f t="shared" si="8"/>
        <v>24.30000000000291</v>
      </c>
      <c r="H87" s="99">
        <f>G87+'15'!H87</f>
        <v>127.30000000000291</v>
      </c>
      <c r="I87" s="524">
        <f>G84+G85+G86+G87</f>
        <v>31.520000000004075</v>
      </c>
      <c r="J87" s="175">
        <f>H87/DAY(B2)</f>
        <v>7.9562500000001819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'15'!F88</f>
        <v>24444.78</v>
      </c>
      <c r="F88" s="164">
        <v>24444.787</v>
      </c>
      <c r="G88" s="683">
        <f t="shared" si="8"/>
        <v>7.0000000014260877E-3</v>
      </c>
      <c r="H88" s="99">
        <f>G88+'15'!H88</f>
        <v>20.827000000001135</v>
      </c>
      <c r="I88" s="524"/>
      <c r="J88" s="175">
        <f>H88/DAY(B2)</f>
        <v>1.3016875000000709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'15'!F89</f>
        <v>28105.599999999999</v>
      </c>
      <c r="F89" s="164">
        <v>28114.94</v>
      </c>
      <c r="G89" s="683">
        <f t="shared" si="8"/>
        <v>9.3400000000001455</v>
      </c>
      <c r="H89" s="99">
        <f>G89+'15'!H89</f>
        <v>126.93999999999869</v>
      </c>
      <c r="I89" s="524">
        <f>G88+G89</f>
        <v>9.3470000000015716</v>
      </c>
      <c r="J89" s="175">
        <f>H89/DAY(B2)</f>
        <v>7.9337499999999181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'15'!F90</f>
        <v>73404.94</v>
      </c>
      <c r="F90" s="164">
        <v>73416.23</v>
      </c>
      <c r="G90" s="683">
        <f t="shared" si="8"/>
        <v>11.289999999993597</v>
      </c>
      <c r="H90" s="99">
        <f>G90+'15'!H90</f>
        <v>172.48999999999069</v>
      </c>
      <c r="I90" s="524">
        <f>G90</f>
        <v>11.289999999993597</v>
      </c>
      <c r="J90" s="175">
        <f>H90/DAY(B2)</f>
        <v>10.780624999999418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'15'!F91</f>
        <v>4848.96</v>
      </c>
      <c r="F91" s="122">
        <v>4860.29</v>
      </c>
      <c r="G91" s="683">
        <f t="shared" si="8"/>
        <v>11.329999999999927</v>
      </c>
      <c r="H91" s="99">
        <f>G91+'15'!H91</f>
        <v>181.85999999999967</v>
      </c>
      <c r="I91" s="572"/>
      <c r="J91" s="175">
        <f>H91/DAY(B2)</f>
        <v>11.36624999999998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'15'!F92</f>
        <v>7000.23</v>
      </c>
      <c r="F92" s="122">
        <v>7000.23</v>
      </c>
      <c r="G92" s="683">
        <f t="shared" si="8"/>
        <v>0</v>
      </c>
      <c r="H92" s="99">
        <f>G92+'15'!H92</f>
        <v>0.22999999999956344</v>
      </c>
      <c r="I92" s="573">
        <f>G91+G92</f>
        <v>11.329999999999927</v>
      </c>
      <c r="J92" s="175">
        <f>H92/DAY(B2)</f>
        <v>1.4374999999972715E-2</v>
      </c>
      <c r="O92" s="71"/>
    </row>
    <row r="93" spans="1:15" ht="26.25">
      <c r="A93" s="1305" t="s">
        <v>239</v>
      </c>
      <c r="B93" s="1306"/>
      <c r="C93" s="1307"/>
      <c r="D93" s="111"/>
      <c r="E93" s="111"/>
      <c r="F93" s="111"/>
      <c r="G93" s="686"/>
      <c r="H93" s="121"/>
      <c r="I93" s="121"/>
      <c r="J93" s="183"/>
      <c r="K93" s="69"/>
      <c r="L93" s="66"/>
      <c r="O93" s="71"/>
    </row>
    <row r="94" spans="1:15" ht="25.5">
      <c r="A94" s="1281" t="s">
        <v>240</v>
      </c>
      <c r="B94" s="1282"/>
      <c r="C94" s="1283"/>
      <c r="D94" s="151" t="s">
        <v>130</v>
      </c>
      <c r="E94" s="151"/>
      <c r="F94" s="151"/>
      <c r="G94" s="698">
        <f>G35+G43+G49+G57</f>
        <v>6347.9500000000698</v>
      </c>
      <c r="H94" s="99">
        <f>G94+'15'!H94</f>
        <v>105597.90000000008</v>
      </c>
      <c r="I94" s="118"/>
      <c r="J94" s="175">
        <f>H94/DAY(B2)</f>
        <v>6599.8687500000051</v>
      </c>
      <c r="K94" s="69"/>
      <c r="L94" s="66"/>
      <c r="O94" s="71"/>
    </row>
    <row r="95" spans="1:15" ht="25.5">
      <c r="A95" s="1281" t="s">
        <v>241</v>
      </c>
      <c r="B95" s="1282"/>
      <c r="C95" s="1283"/>
      <c r="D95" s="151" t="s">
        <v>23</v>
      </c>
      <c r="E95" s="146"/>
      <c r="F95" s="151"/>
      <c r="G95" s="699">
        <f>G94/G7</f>
        <v>0.26522064291862307</v>
      </c>
      <c r="H95" s="99">
        <f>G95+'15'!H95</f>
        <v>4.2400127872803912</v>
      </c>
      <c r="I95" s="167"/>
      <c r="J95" s="175">
        <f>H95/DAY(B2)</f>
        <v>0.26500079920502445</v>
      </c>
      <c r="K95" s="69"/>
      <c r="L95" s="66"/>
      <c r="O95" s="71"/>
    </row>
    <row r="96" spans="1:15" ht="25.5">
      <c r="A96" s="1281" t="s">
        <v>242</v>
      </c>
      <c r="B96" s="1282"/>
      <c r="C96" s="1283"/>
      <c r="D96" s="151" t="s">
        <v>130</v>
      </c>
      <c r="E96" s="95"/>
      <c r="F96" s="95"/>
      <c r="G96" s="698">
        <f>G41+G42+G55+G56</f>
        <v>4009.2399999999907</v>
      </c>
      <c r="H96" s="99">
        <f>G96+'15'!H96</f>
        <v>93569.69</v>
      </c>
      <c r="I96" s="118"/>
      <c r="J96" s="175">
        <f>H96/DAY(B2)</f>
        <v>5848.1056250000001</v>
      </c>
      <c r="K96" s="69"/>
      <c r="L96" s="66"/>
      <c r="O96" s="71"/>
    </row>
    <row r="97" spans="1:15" ht="25.5">
      <c r="A97" s="1281" t="s">
        <v>243</v>
      </c>
      <c r="B97" s="1282"/>
      <c r="C97" s="1283"/>
      <c r="D97" s="151" t="s">
        <v>23</v>
      </c>
      <c r="E97" s="95"/>
      <c r="F97" s="95"/>
      <c r="G97" s="699">
        <f>G96/G7</f>
        <v>0.16750812631086354</v>
      </c>
      <c r="H97" s="99">
        <f>G97+'15'!H97</f>
        <v>3.7553406536265754</v>
      </c>
      <c r="I97" s="167"/>
      <c r="J97" s="175">
        <f>H97/DAY(B2)</f>
        <v>0.23470879085166096</v>
      </c>
      <c r="K97" s="69"/>
      <c r="L97" s="66"/>
      <c r="O97" s="71"/>
    </row>
    <row r="98" spans="1:15" ht="25.5">
      <c r="A98" s="1281" t="s">
        <v>244</v>
      </c>
      <c r="B98" s="1282"/>
      <c r="C98" s="1283"/>
      <c r="D98" s="151" t="s">
        <v>130</v>
      </c>
      <c r="E98" s="95"/>
      <c r="F98" s="95"/>
      <c r="G98" s="698">
        <f>G39+G53</f>
        <v>4307.4699999999721</v>
      </c>
      <c r="H98" s="99">
        <f>G98+'15'!H98</f>
        <v>66962.280000000028</v>
      </c>
      <c r="I98" s="168"/>
      <c r="J98" s="175">
        <f>H98/DAY(B2)</f>
        <v>4185.1425000000017</v>
      </c>
      <c r="K98" s="69"/>
      <c r="L98" s="66"/>
      <c r="O98" s="71"/>
    </row>
    <row r="99" spans="1:15" ht="25.5">
      <c r="A99" s="1281" t="s">
        <v>245</v>
      </c>
      <c r="B99" s="1282"/>
      <c r="C99" s="1283"/>
      <c r="D99" s="151" t="s">
        <v>23</v>
      </c>
      <c r="E99" s="95"/>
      <c r="F99" s="95"/>
      <c r="G99" s="699">
        <f>G98/G7</f>
        <v>0.17996833036691554</v>
      </c>
      <c r="H99" s="99">
        <f>G99+'15'!H99</f>
        <v>2.689480141925094</v>
      </c>
      <c r="I99" s="168"/>
      <c r="J99" s="175">
        <f>H99/DAY(B2)</f>
        <v>0.16809250887031837</v>
      </c>
      <c r="O99" s="71"/>
    </row>
    <row r="100" spans="1:15" ht="26.25">
      <c r="A100" s="1281" t="s">
        <v>246</v>
      </c>
      <c r="B100" s="1282"/>
      <c r="C100" s="1283"/>
      <c r="D100" s="151" t="s">
        <v>180</v>
      </c>
      <c r="E100" s="95"/>
      <c r="F100" s="95"/>
      <c r="G100" s="698">
        <f>G38+G52</f>
        <v>2438.6999999999534</v>
      </c>
      <c r="H100" s="99">
        <f>G100+'15'!H100</f>
        <v>36180.699999999953</v>
      </c>
      <c r="I100" s="118"/>
      <c r="J100" s="175">
        <f>H100/DAY(B2)</f>
        <v>2261.2937499999971</v>
      </c>
      <c r="K100" s="70"/>
      <c r="O100" s="71"/>
    </row>
    <row r="101" spans="1:15" ht="25.5">
      <c r="A101" s="1281" t="s">
        <v>247</v>
      </c>
      <c r="B101" s="1282"/>
      <c r="C101" s="1283"/>
      <c r="D101" s="151" t="s">
        <v>23</v>
      </c>
      <c r="E101" s="95"/>
      <c r="F101" s="95"/>
      <c r="G101" s="699">
        <f>G100/G7</f>
        <v>0.10189015066054816</v>
      </c>
      <c r="H101" s="99">
        <f>G101+'15'!H101</f>
        <v>1.4531238610006374</v>
      </c>
      <c r="I101" s="168"/>
      <c r="J101" s="175">
        <f>H101/DAY(B2)</f>
        <v>9.0820241312539837E-2</v>
      </c>
      <c r="O101" s="71"/>
    </row>
    <row r="102" spans="1:15" ht="25.5">
      <c r="A102" s="1281" t="s">
        <v>248</v>
      </c>
      <c r="B102" s="1282"/>
      <c r="C102" s="1283"/>
      <c r="D102" s="151" t="s">
        <v>180</v>
      </c>
      <c r="E102" s="95"/>
      <c r="F102" s="95"/>
      <c r="G102" s="698">
        <f>G36+G50</f>
        <v>2826.5</v>
      </c>
      <c r="H102" s="99">
        <f>G102+'15'!H102</f>
        <v>39801.5</v>
      </c>
      <c r="I102" s="168"/>
      <c r="J102" s="175">
        <f>H102/DAY(B2)</f>
        <v>2487.59375</v>
      </c>
      <c r="O102" s="71"/>
    </row>
    <row r="103" spans="1:15" ht="25.5">
      <c r="A103" s="1281" t="s">
        <v>249</v>
      </c>
      <c r="B103" s="1282"/>
      <c r="C103" s="1283"/>
      <c r="D103" s="151" t="s">
        <v>23</v>
      </c>
      <c r="E103" s="95"/>
      <c r="F103" s="95"/>
      <c r="G103" s="699">
        <f>G102/G7</f>
        <v>0.11809263576579523</v>
      </c>
      <c r="H103" s="99">
        <f>G103+'15'!H103</f>
        <v>1.5970284738339551</v>
      </c>
      <c r="I103" s="118"/>
      <c r="J103" s="175">
        <f>H103/DAY(B2)</f>
        <v>9.9814279614622192E-2</v>
      </c>
      <c r="O103" s="71"/>
    </row>
    <row r="104" spans="1:15" ht="25.5">
      <c r="A104" s="1281" t="s">
        <v>250</v>
      </c>
      <c r="B104" s="1282"/>
      <c r="C104" s="1283"/>
      <c r="D104" s="151" t="s">
        <v>180</v>
      </c>
      <c r="E104" s="95"/>
      <c r="F104" s="95"/>
      <c r="G104" s="698">
        <f>G37+G51</f>
        <v>996.01000000000931</v>
      </c>
      <c r="H104" s="99">
        <f>G104+'15'!H104</f>
        <v>16343.320000000007</v>
      </c>
      <c r="I104" s="118"/>
      <c r="J104" s="175">
        <f>H104/DAY(B2)</f>
        <v>1021.4575000000004</v>
      </c>
      <c r="O104" s="71"/>
    </row>
    <row r="105" spans="1:15" ht="26.25" thickBot="1">
      <c r="A105" s="1298" t="s">
        <v>251</v>
      </c>
      <c r="B105" s="1299"/>
      <c r="C105" s="1300"/>
      <c r="D105" s="231" t="s">
        <v>23</v>
      </c>
      <c r="E105" s="185"/>
      <c r="F105" s="185"/>
      <c r="G105" s="700">
        <f>G104/G7</f>
        <v>4.1613814310663653E-2</v>
      </c>
      <c r="H105" s="99">
        <f>G105+'15'!H105</f>
        <v>0.65616790536598057</v>
      </c>
      <c r="I105" s="187"/>
      <c r="J105" s="188">
        <f>H105/DAY(B2)</f>
        <v>4.1010494085373786E-2</v>
      </c>
      <c r="O105" s="71"/>
    </row>
    <row r="106" spans="1:15" ht="25.5">
      <c r="A106" s="105"/>
      <c r="B106" s="96"/>
      <c r="C106" s="96"/>
      <c r="D106" s="169"/>
      <c r="E106" s="169"/>
      <c r="F106" s="396"/>
      <c r="G106" s="701"/>
      <c r="H106" s="170"/>
      <c r="I106" s="169"/>
      <c r="J106" s="171"/>
      <c r="O106" s="71"/>
    </row>
    <row r="107" spans="1:15" ht="26.25"/>
    <row r="108" spans="1:15" ht="27.75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6.25">
      <c r="A109" s="1291"/>
      <c r="B109" s="1291"/>
    </row>
    <row r="110" spans="1:15" ht="26.25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5.5">
      <c r="A111" s="1270"/>
      <c r="B111" s="1271"/>
      <c r="C111" s="1272"/>
      <c r="D111" s="165"/>
      <c r="E111" s="165"/>
      <c r="F111" s="155"/>
      <c r="G111" s="703"/>
      <c r="H111" s="156"/>
      <c r="I111" s="165"/>
      <c r="J111" s="327"/>
    </row>
    <row r="112" spans="1:15" ht="25.5">
      <c r="A112" s="1266" t="s">
        <v>252</v>
      </c>
      <c r="B112" s="1267"/>
      <c r="C112" s="1268"/>
      <c r="D112" s="146" t="s">
        <v>183</v>
      </c>
      <c r="E112" s="95">
        <f>'15'!F112</f>
        <v>12728</v>
      </c>
      <c r="F112" s="237">
        <v>12791.85</v>
      </c>
      <c r="G112" s="683">
        <f t="shared" ref="G112:G123" si="9">F112-E112</f>
        <v>63.850000000000364</v>
      </c>
      <c r="H112" s="99">
        <f>G112+'15'!H112</f>
        <v>1128.8500000000004</v>
      </c>
      <c r="I112" s="165"/>
      <c r="J112" s="328">
        <f>H112/DAY(B2)</f>
        <v>70.553125000000023</v>
      </c>
    </row>
    <row r="113" spans="1:18" ht="29.25" customHeight="1">
      <c r="A113" s="1266" t="s">
        <v>253</v>
      </c>
      <c r="B113" s="1267"/>
      <c r="C113" s="1268"/>
      <c r="D113" s="146" t="s">
        <v>183</v>
      </c>
      <c r="E113" s="95">
        <f>'15'!F113</f>
        <v>25615</v>
      </c>
      <c r="F113" s="237">
        <v>25749.5</v>
      </c>
      <c r="G113" s="683">
        <f t="shared" si="9"/>
        <v>134.5</v>
      </c>
      <c r="H113" s="99">
        <f>G113+'15'!H113</f>
        <v>2228.5</v>
      </c>
      <c r="I113" s="165"/>
      <c r="J113" s="328">
        <f>H113/DAY(B2)</f>
        <v>139.28125</v>
      </c>
    </row>
    <row r="114" spans="1:18" ht="29.25" customHeight="1">
      <c r="A114" s="1266" t="s">
        <v>254</v>
      </c>
      <c r="B114" s="1267"/>
      <c r="C114" s="1268"/>
      <c r="D114" s="146" t="s">
        <v>183</v>
      </c>
      <c r="E114" s="95">
        <f>'15'!F114</f>
        <v>38145</v>
      </c>
      <c r="F114" s="400">
        <v>38363.800000000003</v>
      </c>
      <c r="G114" s="683">
        <f t="shared" si="9"/>
        <v>218.80000000000291</v>
      </c>
      <c r="H114" s="99">
        <f>G114+'15'!H114</f>
        <v>3588.8000000000029</v>
      </c>
      <c r="I114" s="165"/>
      <c r="J114" s="328">
        <f>H114/DAY(B2)</f>
        <v>224.30000000000018</v>
      </c>
    </row>
    <row r="115" spans="1:18" ht="29.25" customHeight="1">
      <c r="A115" s="1266" t="s">
        <v>255</v>
      </c>
      <c r="B115" s="1267"/>
      <c r="C115" s="1268"/>
      <c r="D115" s="146" t="s">
        <v>183</v>
      </c>
      <c r="E115" s="95">
        <f>'15'!F115</f>
        <v>24076</v>
      </c>
      <c r="F115" s="446">
        <v>24221.9</v>
      </c>
      <c r="G115" s="693">
        <f t="shared" si="9"/>
        <v>145.90000000000146</v>
      </c>
      <c r="H115" s="99">
        <f>G115+'15'!H115</f>
        <v>2168.9000000000015</v>
      </c>
      <c r="I115" s="165"/>
      <c r="J115" s="328">
        <f>H115/DAY(B2)</f>
        <v>135.55625000000009</v>
      </c>
      <c r="N115" s="448" t="s">
        <v>361</v>
      </c>
    </row>
    <row r="116" spans="1:18" ht="29.25" customHeight="1">
      <c r="A116" s="1275" t="s">
        <v>96</v>
      </c>
      <c r="B116" s="1276"/>
      <c r="C116" s="1277"/>
      <c r="D116" s="146" t="s">
        <v>183</v>
      </c>
      <c r="E116" s="95">
        <f>'15'!F116</f>
        <v>102748</v>
      </c>
      <c r="F116" s="237">
        <v>103352</v>
      </c>
      <c r="G116" s="683">
        <f t="shared" si="9"/>
        <v>604</v>
      </c>
      <c r="H116" s="99">
        <f>G116+'15'!H116</f>
        <v>6217</v>
      </c>
      <c r="I116" s="165"/>
      <c r="J116" s="328">
        <f>H116/DAY(B2)</f>
        <v>388.5625</v>
      </c>
      <c r="Q116" s="1266"/>
      <c r="R116" s="1268"/>
    </row>
    <row r="117" spans="1:18" ht="29.25" customHeight="1">
      <c r="A117" s="1275" t="s">
        <v>184</v>
      </c>
      <c r="B117" s="1276"/>
      <c r="C117" s="1277"/>
      <c r="D117" s="146" t="s">
        <v>183</v>
      </c>
      <c r="E117" s="95">
        <f>'15'!F117</f>
        <v>61441</v>
      </c>
      <c r="F117" s="237">
        <v>61714.5</v>
      </c>
      <c r="G117" s="683">
        <f t="shared" si="9"/>
        <v>273.5</v>
      </c>
      <c r="H117" s="99">
        <f>G117+'15'!H117</f>
        <v>5209.5</v>
      </c>
      <c r="I117" s="165"/>
      <c r="J117" s="328">
        <f>H117/DAY(B2)</f>
        <v>325.59375</v>
      </c>
      <c r="Q117" s="1266"/>
      <c r="R117" s="1268"/>
    </row>
    <row r="118" spans="1:18" ht="25.5">
      <c r="A118" s="1269" t="s">
        <v>97</v>
      </c>
      <c r="B118" s="1269"/>
      <c r="C118" s="1269"/>
      <c r="D118" s="151" t="s">
        <v>183</v>
      </c>
      <c r="E118" s="95">
        <f>'15'!F118</f>
        <v>110714</v>
      </c>
      <c r="F118" s="237">
        <v>111280.2</v>
      </c>
      <c r="G118" s="683">
        <f t="shared" si="9"/>
        <v>566.19999999999709</v>
      </c>
      <c r="H118" s="99">
        <f>G118+'15'!H118</f>
        <v>9526.1999999999971</v>
      </c>
      <c r="I118" s="165"/>
      <c r="J118" s="328">
        <f>H118/DAY(B2)</f>
        <v>595.38749999999982</v>
      </c>
      <c r="Q118" s="1266"/>
      <c r="R118" s="1268"/>
    </row>
    <row r="119" spans="1:18" ht="25.5">
      <c r="A119" s="1269" t="s">
        <v>98</v>
      </c>
      <c r="B119" s="1269"/>
      <c r="C119" s="1269"/>
      <c r="D119" s="151" t="s">
        <v>183</v>
      </c>
      <c r="E119" s="95">
        <f>'15'!F119</f>
        <v>42764</v>
      </c>
      <c r="F119" s="446">
        <v>42775.040000000001</v>
      </c>
      <c r="G119" s="683">
        <f t="shared" si="9"/>
        <v>11.040000000000873</v>
      </c>
      <c r="H119" s="99">
        <f>G119+'15'!H119</f>
        <v>194.04000000000087</v>
      </c>
      <c r="I119" s="165"/>
      <c r="J119" s="328">
        <f>H119/DAY(B2)</f>
        <v>12.127500000000055</v>
      </c>
    </row>
    <row r="120" spans="1:18" ht="25.5">
      <c r="A120" s="1269" t="s">
        <v>99</v>
      </c>
      <c r="B120" s="1269"/>
      <c r="C120" s="1269"/>
      <c r="D120" s="151" t="s">
        <v>183</v>
      </c>
      <c r="E120" s="95">
        <f>'15'!F120</f>
        <v>77344</v>
      </c>
      <c r="F120" s="237">
        <v>77749.3</v>
      </c>
      <c r="G120" s="683">
        <f t="shared" si="9"/>
        <v>405.30000000000291</v>
      </c>
      <c r="H120" s="99">
        <f>G120+'15'!H120</f>
        <v>6417.3000000000029</v>
      </c>
      <c r="I120" s="165"/>
      <c r="J120" s="328">
        <f>H120/DAY(B2)</f>
        <v>401.08125000000018</v>
      </c>
    </row>
    <row r="121" spans="1:18" ht="25.5">
      <c r="A121" s="1269" t="s">
        <v>100</v>
      </c>
      <c r="B121" s="1269"/>
      <c r="C121" s="1269"/>
      <c r="D121" s="151" t="s">
        <v>183</v>
      </c>
      <c r="E121" s="95">
        <f>'15'!F121</f>
        <v>88062</v>
      </c>
      <c r="F121" s="237">
        <v>88491.24</v>
      </c>
      <c r="G121" s="683">
        <f t="shared" si="9"/>
        <v>429.24000000000524</v>
      </c>
      <c r="H121" s="99">
        <f>G121+'15'!H121</f>
        <v>7135.2400000000052</v>
      </c>
      <c r="I121" s="165"/>
      <c r="J121" s="328">
        <f>H121/DAY(B2)</f>
        <v>445.95250000000033</v>
      </c>
    </row>
    <row r="122" spans="1:18" ht="25.5">
      <c r="A122" s="1269" t="s">
        <v>101</v>
      </c>
      <c r="B122" s="1269"/>
      <c r="C122" s="1269"/>
      <c r="D122" s="151" t="s">
        <v>183</v>
      </c>
      <c r="E122" s="95">
        <f>'15'!F122</f>
        <v>54811</v>
      </c>
      <c r="F122" s="237">
        <v>55208.2</v>
      </c>
      <c r="G122" s="683">
        <f t="shared" si="9"/>
        <v>397.19999999999709</v>
      </c>
      <c r="H122" s="99">
        <f>G122+'15'!H122</f>
        <v>6077.1999999999971</v>
      </c>
      <c r="I122" s="165"/>
      <c r="J122" s="328">
        <f>H122/DAY(B2)</f>
        <v>379.82499999999982</v>
      </c>
    </row>
    <row r="123" spans="1:18" ht="25.5">
      <c r="A123" s="1269" t="s">
        <v>102</v>
      </c>
      <c r="B123" s="1269"/>
      <c r="C123" s="1269"/>
      <c r="D123" s="151" t="s">
        <v>183</v>
      </c>
      <c r="E123" s="95">
        <f>'15'!F123</f>
        <v>54329</v>
      </c>
      <c r="F123" s="237">
        <v>54638.16</v>
      </c>
      <c r="G123" s="683">
        <f t="shared" si="9"/>
        <v>309.16000000000349</v>
      </c>
      <c r="H123" s="99">
        <f>G123+'15'!H123</f>
        <v>4889.1600000000035</v>
      </c>
      <c r="I123" s="165"/>
      <c r="J123" s="328">
        <f>H123/DAY(B2)</f>
        <v>305.57250000000022</v>
      </c>
    </row>
    <row r="124" spans="1:18" ht="29.25" customHeight="1">
      <c r="A124" s="1270"/>
      <c r="B124" s="1271"/>
      <c r="C124" s="1272"/>
      <c r="D124" s="165"/>
      <c r="E124" s="165"/>
      <c r="F124" s="155"/>
      <c r="G124" s="703"/>
      <c r="H124" s="156"/>
      <c r="I124" s="165"/>
      <c r="J124" s="327"/>
    </row>
    <row r="125" spans="1:18" ht="25.5">
      <c r="A125" s="1261" t="s">
        <v>196</v>
      </c>
      <c r="B125" s="1262"/>
      <c r="C125" s="245"/>
      <c r="D125" s="307"/>
      <c r="E125" s="308"/>
      <c r="F125" s="308"/>
      <c r="G125" s="704">
        <f>SUM(G112:G124)</f>
        <v>3558.6900000000114</v>
      </c>
      <c r="H125" s="156"/>
      <c r="I125" s="327">
        <f>G125-(G39+G53)</f>
        <v>-748.77999999996064</v>
      </c>
      <c r="J125" s="327"/>
    </row>
    <row r="126" spans="1:18" ht="25.5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5.5">
      <c r="A127" s="1274"/>
      <c r="B127" s="1274"/>
      <c r="C127" s="245"/>
      <c r="D127" s="307"/>
      <c r="E127" s="308"/>
      <c r="F127" s="308"/>
      <c r="G127" s="704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1266" t="s">
        <v>318</v>
      </c>
      <c r="B128" s="1267"/>
      <c r="C128" s="1268"/>
      <c r="D128" s="151" t="s">
        <v>183</v>
      </c>
      <c r="E128" s="95">
        <f>'15'!F128</f>
        <v>160997</v>
      </c>
      <c r="F128" s="155">
        <v>161409.35999999999</v>
      </c>
      <c r="G128" s="683">
        <f t="shared" ref="G128:G134" si="10">F128-E128</f>
        <v>412.35999999998603</v>
      </c>
      <c r="H128" s="99">
        <f>G128+'15'!H128</f>
        <v>6594.359999999986</v>
      </c>
      <c r="I128" s="165"/>
      <c r="J128" s="328">
        <f>H128/DAY(B2)</f>
        <v>412.14749999999913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'15'!F129</f>
        <v>86525</v>
      </c>
      <c r="F129" s="155">
        <v>86733.7</v>
      </c>
      <c r="G129" s="683">
        <f t="shared" si="10"/>
        <v>208.69999999999709</v>
      </c>
      <c r="H129" s="99">
        <f>G129+'15'!H129</f>
        <v>2797.6999999999971</v>
      </c>
      <c r="I129" s="165"/>
      <c r="J129" s="328">
        <f>H129/DAY(B2)</f>
        <v>174.85624999999982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'15'!F130</f>
        <v>216075</v>
      </c>
      <c r="F130" s="157">
        <v>216770.3</v>
      </c>
      <c r="G130" s="683">
        <f t="shared" si="10"/>
        <v>695.29999999998836</v>
      </c>
      <c r="H130" s="99">
        <f>G130+'15'!H130</f>
        <v>10011.299999999988</v>
      </c>
      <c r="I130" s="165"/>
      <c r="J130" s="328">
        <f>H130/DAY(B2)</f>
        <v>625.70624999999927</v>
      </c>
      <c r="N130" s="240"/>
      <c r="O130" s="241"/>
    </row>
    <row r="131" spans="1:15" ht="25.5">
      <c r="A131" s="1266" t="s">
        <v>321</v>
      </c>
      <c r="B131" s="1267"/>
      <c r="C131" s="1268"/>
      <c r="D131" s="151" t="s">
        <v>183</v>
      </c>
      <c r="E131" s="95">
        <f>'15'!F131</f>
        <v>63234</v>
      </c>
      <c r="F131" s="155">
        <v>63398.6</v>
      </c>
      <c r="G131" s="683">
        <f t="shared" si="10"/>
        <v>164.59999999999854</v>
      </c>
      <c r="H131" s="99">
        <f>G131+'15'!H131</f>
        <v>3090.5999999999985</v>
      </c>
      <c r="I131" s="165"/>
      <c r="J131" s="328">
        <f>H131/DAY(B2)</f>
        <v>193.16249999999991</v>
      </c>
      <c r="N131" s="240"/>
      <c r="O131" s="241"/>
    </row>
    <row r="132" spans="1:15" ht="25.5">
      <c r="A132" s="1266" t="s">
        <v>322</v>
      </c>
      <c r="B132" s="1267"/>
      <c r="C132" s="1268"/>
      <c r="D132" s="151" t="s">
        <v>183</v>
      </c>
      <c r="E132" s="678">
        <f>'15'!F132</f>
        <v>146985</v>
      </c>
      <c r="F132" s="407">
        <v>146985</v>
      </c>
      <c r="G132" s="683">
        <f t="shared" si="10"/>
        <v>0</v>
      </c>
      <c r="H132" s="99">
        <f>G132+'15'!H132</f>
        <v>0</v>
      </c>
      <c r="I132" s="165"/>
      <c r="J132" s="328">
        <f>H132/DAY(B2)</f>
        <v>0</v>
      </c>
      <c r="N132" s="65">
        <v>826209</v>
      </c>
    </row>
    <row r="133" spans="1:15" ht="25.5">
      <c r="A133" s="1266" t="s">
        <v>357</v>
      </c>
      <c r="B133" s="1267"/>
      <c r="C133" s="1268"/>
      <c r="D133" s="151" t="s">
        <v>183</v>
      </c>
      <c r="E133" s="95">
        <f>'15'!F133</f>
        <v>279187</v>
      </c>
      <c r="F133" s="155">
        <v>280037.46999999997</v>
      </c>
      <c r="G133" s="683">
        <f t="shared" si="10"/>
        <v>850.46999999997206</v>
      </c>
      <c r="H133" s="99">
        <f>G133+'15'!H133</f>
        <v>14092.469999999972</v>
      </c>
      <c r="I133" s="165"/>
      <c r="J133" s="328">
        <f>H133/DAY(B2)</f>
        <v>880.77937499999825</v>
      </c>
    </row>
    <row r="134" spans="1:15" s="392" customFormat="1" ht="25.5">
      <c r="A134" s="1333" t="s">
        <v>340</v>
      </c>
      <c r="B134" s="1334"/>
      <c r="C134" s="1335"/>
      <c r="D134" s="233" t="s">
        <v>183</v>
      </c>
      <c r="E134" s="389">
        <f>'15'!F134</f>
        <v>67462</v>
      </c>
      <c r="F134" s="157">
        <v>67716.399999999994</v>
      </c>
      <c r="G134" s="693">
        <f t="shared" si="10"/>
        <v>254.39999999999418</v>
      </c>
      <c r="H134" s="238">
        <f>G134+'15'!H134</f>
        <v>4054.3999999999942</v>
      </c>
      <c r="I134" s="158"/>
      <c r="J134" s="391">
        <f>H134/DAY(B2)</f>
        <v>253.39999999999964</v>
      </c>
    </row>
    <row r="135" spans="1:15" ht="25.5">
      <c r="A135" s="1261" t="s">
        <v>196</v>
      </c>
      <c r="B135" s="1262"/>
      <c r="C135" s="331"/>
      <c r="D135" s="151"/>
      <c r="E135" s="95"/>
      <c r="F135" s="155"/>
      <c r="G135" s="683">
        <f>SUM(G128:G134)</f>
        <v>2585.8299999999363</v>
      </c>
      <c r="H135" s="99">
        <f>G135+'10'!H135</f>
        <v>28083.219999999958</v>
      </c>
      <c r="I135" s="327">
        <f>G135-(G35+G49)</f>
        <v>-1072.530000000108</v>
      </c>
      <c r="J135" s="328"/>
    </row>
    <row r="136" spans="1:15" ht="27.75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6.25">
      <c r="A137" s="245"/>
      <c r="B137" s="246"/>
      <c r="C137" s="246"/>
      <c r="D137" s="165"/>
      <c r="E137" s="165"/>
      <c r="F137" s="155"/>
      <c r="G137" s="703"/>
      <c r="H137" s="156"/>
      <c r="I137" s="165"/>
      <c r="J137" s="327"/>
    </row>
    <row r="138" spans="1:15" s="392" customFormat="1" ht="25.5">
      <c r="A138" s="1338" t="s">
        <v>185</v>
      </c>
      <c r="B138" s="1338"/>
      <c r="C138" s="1338"/>
      <c r="D138" s="233" t="s">
        <v>183</v>
      </c>
      <c r="E138" s="389">
        <f>'15'!F138</f>
        <v>900378</v>
      </c>
      <c r="F138" s="148">
        <v>900554</v>
      </c>
      <c r="G138" s="693">
        <f t="shared" ref="G138:G152" si="11">F138-E138</f>
        <v>176</v>
      </c>
      <c r="H138" s="238">
        <f>G138+'15'!H138</f>
        <v>2349</v>
      </c>
      <c r="I138" s="390"/>
      <c r="J138" s="391">
        <f>H138/DAY(B2)</f>
        <v>146.8125</v>
      </c>
    </row>
    <row r="139" spans="1:15" ht="25.5">
      <c r="A139" s="1269" t="s">
        <v>186</v>
      </c>
      <c r="B139" s="1269"/>
      <c r="C139" s="1269"/>
      <c r="D139" s="151" t="s">
        <v>183</v>
      </c>
      <c r="E139" s="120">
        <f>'15'!F139</f>
        <v>920502</v>
      </c>
      <c r="F139" s="147">
        <v>920651</v>
      </c>
      <c r="G139" s="683">
        <f t="shared" si="11"/>
        <v>149</v>
      </c>
      <c r="H139" s="99">
        <f>G139+'15'!H139</f>
        <v>2447</v>
      </c>
      <c r="I139" s="118"/>
      <c r="J139" s="328">
        <f>H139/DAY(B2)</f>
        <v>152.9375</v>
      </c>
    </row>
    <row r="140" spans="1:15" ht="25.5">
      <c r="A140" s="1269" t="s">
        <v>187</v>
      </c>
      <c r="B140" s="1269"/>
      <c r="C140" s="1269"/>
      <c r="D140" s="151" t="s">
        <v>183</v>
      </c>
      <c r="E140" s="120">
        <f>'15'!F140</f>
        <v>2518</v>
      </c>
      <c r="F140" s="149">
        <v>2529.4</v>
      </c>
      <c r="G140" s="683">
        <f t="shared" si="11"/>
        <v>11.400000000000091</v>
      </c>
      <c r="H140" s="99">
        <f>G140+'15'!H140</f>
        <v>186.40000000000009</v>
      </c>
      <c r="I140" s="118"/>
      <c r="J140" s="328">
        <f>H140/DAY(B2)</f>
        <v>11.650000000000006</v>
      </c>
    </row>
    <row r="141" spans="1:15" ht="25.5">
      <c r="A141" s="1256" t="s">
        <v>188</v>
      </c>
      <c r="B141" s="1256"/>
      <c r="C141" s="1256"/>
      <c r="D141" s="151" t="s">
        <v>183</v>
      </c>
      <c r="E141" s="95">
        <f>'15'!F141</f>
        <v>107113</v>
      </c>
      <c r="F141" s="149">
        <v>107362.9</v>
      </c>
      <c r="G141" s="683">
        <f t="shared" si="11"/>
        <v>249.89999999999418</v>
      </c>
      <c r="H141" s="99">
        <f>G141+'15'!H141</f>
        <v>3588.8999999999942</v>
      </c>
      <c r="I141" s="118"/>
      <c r="J141" s="328">
        <f>H141/DAY(B2)</f>
        <v>224.30624999999964</v>
      </c>
    </row>
    <row r="142" spans="1:15" ht="25.5">
      <c r="A142" s="1256" t="s">
        <v>189</v>
      </c>
      <c r="B142" s="1256"/>
      <c r="C142" s="1256"/>
      <c r="D142" s="151" t="s">
        <v>183</v>
      </c>
      <c r="E142" s="95">
        <f>'15'!F142</f>
        <v>43170</v>
      </c>
      <c r="F142" s="148">
        <v>43284.7</v>
      </c>
      <c r="G142" s="683">
        <f t="shared" si="11"/>
        <v>114.69999999999709</v>
      </c>
      <c r="H142" s="99">
        <f>G142+'15'!H142</f>
        <v>1469.6999999999971</v>
      </c>
      <c r="I142" s="140"/>
      <c r="J142" s="328">
        <f>H142/DAY(B2)</f>
        <v>91.856249999999818</v>
      </c>
    </row>
    <row r="143" spans="1:15" ht="25.5">
      <c r="A143" s="1269" t="s">
        <v>91</v>
      </c>
      <c r="B143" s="1269"/>
      <c r="C143" s="1269"/>
      <c r="D143" s="151" t="s">
        <v>183</v>
      </c>
      <c r="E143" s="95">
        <f>'15'!F143</f>
        <v>11087</v>
      </c>
      <c r="F143" s="149">
        <v>11116</v>
      </c>
      <c r="G143" s="683">
        <f t="shared" si="11"/>
        <v>29</v>
      </c>
      <c r="H143" s="99">
        <f>G143+'15'!H143</f>
        <v>439</v>
      </c>
      <c r="I143" s="140"/>
      <c r="J143" s="328">
        <f>H143/DAY(B2)</f>
        <v>27.4375</v>
      </c>
    </row>
    <row r="144" spans="1:15" ht="25.5">
      <c r="A144" s="1256" t="s">
        <v>90</v>
      </c>
      <c r="B144" s="1256"/>
      <c r="C144" s="1256"/>
      <c r="D144" s="151" t="s">
        <v>183</v>
      </c>
      <c r="E144" s="120">
        <f>'15'!F144</f>
        <v>937107</v>
      </c>
      <c r="F144" s="147">
        <v>937353</v>
      </c>
      <c r="G144" s="683">
        <f t="shared" si="11"/>
        <v>246</v>
      </c>
      <c r="H144" s="99">
        <f>G144+'15'!H144</f>
        <v>3832</v>
      </c>
      <c r="I144" s="140"/>
      <c r="J144" s="328">
        <f>H144/DAY(B2)</f>
        <v>239.5</v>
      </c>
    </row>
    <row r="145" spans="1:10" ht="25.5">
      <c r="A145" s="1269" t="s">
        <v>190</v>
      </c>
      <c r="B145" s="1269"/>
      <c r="C145" s="1269"/>
      <c r="D145" s="152" t="s">
        <v>183</v>
      </c>
      <c r="E145" s="95">
        <f>'15'!F145</f>
        <v>16402</v>
      </c>
      <c r="F145" s="148">
        <v>16584.7</v>
      </c>
      <c r="G145" s="683">
        <f t="shared" si="11"/>
        <v>182.70000000000073</v>
      </c>
      <c r="H145" s="99">
        <f>G145+'15'!H145</f>
        <v>3444.7000000000007</v>
      </c>
      <c r="I145" s="140"/>
      <c r="J145" s="328">
        <f>H145/DAY(B2)</f>
        <v>215.29375000000005</v>
      </c>
    </row>
    <row r="146" spans="1:10" ht="25.5">
      <c r="A146" s="1332" t="s">
        <v>191</v>
      </c>
      <c r="B146" s="1289"/>
      <c r="C146" s="1290"/>
      <c r="D146" s="152" t="s">
        <v>183</v>
      </c>
      <c r="E146" s="95">
        <f>'15'!F146</f>
        <v>785034</v>
      </c>
      <c r="F146" s="148">
        <v>785075</v>
      </c>
      <c r="G146" s="683">
        <f t="shared" si="11"/>
        <v>41</v>
      </c>
      <c r="H146" s="99">
        <f>G146+'15'!H146</f>
        <v>736</v>
      </c>
      <c r="I146" s="140"/>
      <c r="J146" s="328">
        <f>H146/DAY(B2)</f>
        <v>46</v>
      </c>
    </row>
    <row r="147" spans="1:10" ht="25.5">
      <c r="A147" s="1256" t="s">
        <v>192</v>
      </c>
      <c r="B147" s="1256"/>
      <c r="C147" s="1256"/>
      <c r="D147" s="152" t="s">
        <v>183</v>
      </c>
      <c r="E147" s="95">
        <f>'15'!F147</f>
        <v>729558</v>
      </c>
      <c r="F147" s="148">
        <v>729975.76</v>
      </c>
      <c r="G147" s="683">
        <f t="shared" si="11"/>
        <v>417.76000000000931</v>
      </c>
      <c r="H147" s="99">
        <f>G147+'15'!H147</f>
        <v>6453.7600000000093</v>
      </c>
      <c r="I147" s="140"/>
      <c r="J147" s="328">
        <f>H147/DAY(B2)</f>
        <v>403.36000000000058</v>
      </c>
    </row>
    <row r="148" spans="1:10" ht="25.5">
      <c r="A148" s="1257" t="s">
        <v>193</v>
      </c>
      <c r="B148" s="1258"/>
      <c r="C148" s="1259"/>
      <c r="D148" s="123" t="s">
        <v>130</v>
      </c>
      <c r="E148" s="95">
        <f>'15'!F148</f>
        <v>771110</v>
      </c>
      <c r="F148" s="164">
        <v>771434.96</v>
      </c>
      <c r="G148" s="683">
        <f t="shared" si="11"/>
        <v>324.95999999996275</v>
      </c>
      <c r="H148" s="99">
        <f>G148+'15'!H148</f>
        <v>4824.9599999999627</v>
      </c>
      <c r="I148" s="124"/>
      <c r="J148" s="328">
        <f>H148/DAY(B2)</f>
        <v>301.55999999999767</v>
      </c>
    </row>
    <row r="149" spans="1:10" ht="25.5">
      <c r="A149" s="1257" t="s">
        <v>336</v>
      </c>
      <c r="B149" s="1258"/>
      <c r="C149" s="1259"/>
      <c r="D149" s="227" t="s">
        <v>130</v>
      </c>
      <c r="E149" s="120">
        <f>'15'!F149</f>
        <v>164395</v>
      </c>
      <c r="F149" s="152">
        <v>164980</v>
      </c>
      <c r="G149" s="683">
        <f t="shared" si="11"/>
        <v>585</v>
      </c>
      <c r="H149" s="99">
        <f>G149+'15'!H149</f>
        <v>7013</v>
      </c>
      <c r="I149" s="119"/>
      <c r="J149" s="328">
        <f>H149/DAY(B2)</f>
        <v>438.3125</v>
      </c>
    </row>
    <row r="150" spans="1:10" ht="25.5">
      <c r="A150" s="1257" t="s">
        <v>337</v>
      </c>
      <c r="B150" s="1258"/>
      <c r="C150" s="1259"/>
      <c r="D150" s="117" t="s">
        <v>130</v>
      </c>
      <c r="E150" s="95">
        <f>'15'!F150</f>
        <v>67284</v>
      </c>
      <c r="F150" s="233">
        <v>67512.399999999994</v>
      </c>
      <c r="G150" s="683">
        <f t="shared" si="11"/>
        <v>228.39999999999418</v>
      </c>
      <c r="H150" s="99">
        <f>G150+'15'!H150</f>
        <v>3534.3999999999942</v>
      </c>
      <c r="I150" s="119"/>
      <c r="J150" s="328">
        <f>H150/DAY(B2)</f>
        <v>220.89999999999964</v>
      </c>
    </row>
    <row r="151" spans="1:10" ht="25.5">
      <c r="A151" s="1257" t="s">
        <v>338</v>
      </c>
      <c r="B151" s="1258"/>
      <c r="C151" s="1259"/>
      <c r="D151" s="117" t="s">
        <v>130</v>
      </c>
      <c r="E151" s="95">
        <f>'15'!F151</f>
        <v>150593</v>
      </c>
      <c r="F151" s="233">
        <v>150673</v>
      </c>
      <c r="G151" s="683">
        <f t="shared" si="11"/>
        <v>80</v>
      </c>
      <c r="H151" s="99">
        <f>G151+'15'!H151</f>
        <v>885</v>
      </c>
      <c r="I151" s="119"/>
      <c r="J151" s="328">
        <f>H151/DAY(B2)</f>
        <v>55.3125</v>
      </c>
    </row>
    <row r="152" spans="1:10" ht="25.5">
      <c r="A152" s="1257" t="s">
        <v>339</v>
      </c>
      <c r="B152" s="1258"/>
      <c r="C152" s="1259"/>
      <c r="D152" s="117" t="s">
        <v>130</v>
      </c>
      <c r="E152" s="95">
        <f>'15'!F152</f>
        <v>32550</v>
      </c>
      <c r="F152" s="233">
        <v>32679.599999999999</v>
      </c>
      <c r="G152" s="683">
        <f t="shared" si="11"/>
        <v>129.59999999999854</v>
      </c>
      <c r="H152" s="99">
        <f>G152+'15'!H152</f>
        <v>2065.5999999999985</v>
      </c>
      <c r="I152" s="119"/>
      <c r="J152" s="328">
        <f>H152/DAY(B2)</f>
        <v>129.09999999999991</v>
      </c>
    </row>
    <row r="153" spans="1:10" ht="25.5">
      <c r="A153" s="1261" t="s">
        <v>196</v>
      </c>
      <c r="B153" s="1262"/>
      <c r="C153" s="362"/>
      <c r="D153" s="355"/>
      <c r="E153" s="357"/>
      <c r="F153" s="358"/>
      <c r="G153" s="705">
        <f>SUM(G138:G152)</f>
        <v>2965.4199999999569</v>
      </c>
      <c r="H153" s="360"/>
      <c r="I153" s="119">
        <f>G153-(G38+G52)</f>
        <v>526.72000000000344</v>
      </c>
      <c r="J153" s="363"/>
    </row>
    <row r="154" spans="1:10" ht="27.75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0" ht="27.75">
      <c r="A155" s="1256" t="s">
        <v>345</v>
      </c>
      <c r="B155" s="1256"/>
      <c r="C155" s="1256"/>
      <c r="D155" s="117" t="s">
        <v>130</v>
      </c>
      <c r="E155" s="389">
        <f>'15'!F155</f>
        <v>193950</v>
      </c>
      <c r="F155" s="618">
        <v>194499.51</v>
      </c>
      <c r="G155" s="693">
        <f>F155-E155</f>
        <v>549.51000000000931</v>
      </c>
      <c r="H155" s="99">
        <f>G155+'15'!H155</f>
        <v>8758.5100000000093</v>
      </c>
      <c r="I155" s="361"/>
      <c r="J155" s="328">
        <f>H155/DAY(B2)</f>
        <v>547.40687500000058</v>
      </c>
    </row>
    <row r="156" spans="1:10" ht="25.5">
      <c r="A156" s="1256" t="s">
        <v>347</v>
      </c>
      <c r="B156" s="1256"/>
      <c r="C156" s="1256"/>
      <c r="D156" s="117" t="s">
        <v>130</v>
      </c>
      <c r="E156" s="389">
        <f>'15'!F156</f>
        <v>22165</v>
      </c>
      <c r="F156" s="157">
        <v>22269.06</v>
      </c>
      <c r="G156" s="693">
        <f t="shared" ref="G156:G158" si="12">F156-E156</f>
        <v>104.06000000000131</v>
      </c>
      <c r="H156" s="99">
        <f>G156+'15'!H156</f>
        <v>1530.0600000000013</v>
      </c>
      <c r="I156" s="165"/>
      <c r="J156" s="328">
        <f>H156/DAY(B2)</f>
        <v>95.628750000000082</v>
      </c>
    </row>
    <row r="157" spans="1:10" ht="25.5">
      <c r="A157" s="1257" t="s">
        <v>358</v>
      </c>
      <c r="B157" s="1258"/>
      <c r="C157" s="1259"/>
      <c r="D157" s="117" t="s">
        <v>130</v>
      </c>
      <c r="E157" s="389">
        <f>'15'!F157</f>
        <v>37558.54</v>
      </c>
      <c r="F157" s="157">
        <v>37558.54</v>
      </c>
      <c r="G157" s="693">
        <f t="shared" si="12"/>
        <v>0</v>
      </c>
      <c r="H157" s="99">
        <f>G157+'15'!H157</f>
        <v>1434.5400000000009</v>
      </c>
      <c r="I157" s="165"/>
      <c r="J157" s="328">
        <f>H157/DAY(B2)</f>
        <v>89.658750000000055</v>
      </c>
    </row>
    <row r="158" spans="1:10" ht="25.5">
      <c r="A158" s="1257" t="s">
        <v>359</v>
      </c>
      <c r="B158" s="1258"/>
      <c r="C158" s="1259"/>
      <c r="D158" s="117" t="s">
        <v>130</v>
      </c>
      <c r="E158" s="389">
        <f>'15'!F158</f>
        <v>850</v>
      </c>
      <c r="F158" s="157">
        <v>872</v>
      </c>
      <c r="G158" s="693">
        <f t="shared" si="12"/>
        <v>22</v>
      </c>
      <c r="H158" s="99">
        <f>G158+'15'!H158</f>
        <v>367.37</v>
      </c>
      <c r="I158" s="165"/>
      <c r="J158" s="328">
        <f>H158/DAY(B2)</f>
        <v>22.960625</v>
      </c>
    </row>
    <row r="159" spans="1:10" ht="25.5">
      <c r="A159" s="1263"/>
      <c r="B159" s="1264"/>
      <c r="C159" s="1265"/>
      <c r="D159" s="117"/>
      <c r="E159" s="95"/>
      <c r="F159" s="155"/>
      <c r="G159" s="705">
        <f>SUM(G155:G158)</f>
        <v>675.57000000001062</v>
      </c>
      <c r="H159" s="99">
        <f>G159+'15'!H159</f>
        <v>675.57000000001062</v>
      </c>
      <c r="I159" s="165"/>
      <c r="J159" s="328">
        <f>H159/DAY(B2)</f>
        <v>42.223125000000664</v>
      </c>
    </row>
    <row r="160" spans="1:10" ht="27.75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26.25">
      <c r="A161" s="242" t="s">
        <v>92</v>
      </c>
      <c r="B161" s="243"/>
      <c r="C161" s="243"/>
      <c r="D161" s="244" t="s">
        <v>180</v>
      </c>
      <c r="E161" s="95">
        <f>'15'!F161</f>
        <v>492661</v>
      </c>
      <c r="F161" s="235">
        <v>492953.2</v>
      </c>
      <c r="G161" s="706">
        <f t="shared" ref="G161:G165" si="13">F161-E161</f>
        <v>292.20000000001164</v>
      </c>
      <c r="H161" s="99">
        <f>G161+'15'!H161</f>
        <v>4630.2000000000116</v>
      </c>
      <c r="I161" s="236"/>
      <c r="J161" s="239">
        <f>H161/DAY(B2)</f>
        <v>289.38750000000073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'15'!F162</f>
        <v>97844</v>
      </c>
      <c r="F162" s="235">
        <v>97872.8</v>
      </c>
      <c r="G162" s="706">
        <f t="shared" si="13"/>
        <v>28.80000000000291</v>
      </c>
      <c r="H162" s="99">
        <f>G162+'15'!H162</f>
        <v>584.80000000000291</v>
      </c>
      <c r="I162" s="236"/>
      <c r="J162" s="239">
        <f>H162/DAY(B2)</f>
        <v>36.550000000000182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'15'!F163</f>
        <v>15908</v>
      </c>
      <c r="F163" s="235">
        <v>16014.1</v>
      </c>
      <c r="G163" s="706">
        <f t="shared" si="13"/>
        <v>106.10000000000036</v>
      </c>
      <c r="H163" s="99">
        <f>G163+'15'!H163</f>
        <v>1850.1000000000004</v>
      </c>
      <c r="I163" s="236"/>
      <c r="J163" s="239">
        <f>H163/DAY(B2)</f>
        <v>115.63125000000002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'15'!F164</f>
        <v>6716</v>
      </c>
      <c r="F164" s="235">
        <v>6720.5</v>
      </c>
      <c r="G164" s="706">
        <f t="shared" si="13"/>
        <v>4.5</v>
      </c>
      <c r="H164" s="99">
        <f>G164+'15'!H164</f>
        <v>108.5</v>
      </c>
      <c r="I164" s="236"/>
      <c r="J164" s="239">
        <f>H164/DAY(B2)</f>
        <v>6.78125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'15'!F165</f>
        <v>32245</v>
      </c>
      <c r="F165" s="235">
        <v>32248.73</v>
      </c>
      <c r="G165" s="706">
        <f t="shared" si="13"/>
        <v>3.7299999999995634</v>
      </c>
      <c r="H165" s="99">
        <f>G165+'15'!H165</f>
        <v>107.72999999999956</v>
      </c>
      <c r="I165" s="236"/>
      <c r="J165" s="239">
        <f>H165/DAY(B2)</f>
        <v>6.7331249999999727</v>
      </c>
    </row>
    <row r="166" spans="1:10" ht="26.25">
      <c r="A166" s="1274"/>
      <c r="B166" s="1274"/>
      <c r="C166" s="246"/>
      <c r="D166" s="244" t="s">
        <v>180</v>
      </c>
      <c r="E166" s="95">
        <f>'15'!F166</f>
        <v>0</v>
      </c>
      <c r="F166" s="155"/>
      <c r="G166" s="703"/>
      <c r="H166" s="99">
        <f>G166+'15'!H166</f>
        <v>0</v>
      </c>
      <c r="I166" s="165"/>
      <c r="J166" s="239">
        <f>H166/DAY(B2)</f>
        <v>0</v>
      </c>
    </row>
    <row r="167" spans="1:10" ht="26.25">
      <c r="A167" s="1274"/>
      <c r="B167" s="1274"/>
      <c r="C167" s="246"/>
      <c r="D167" s="244" t="s">
        <v>180</v>
      </c>
      <c r="E167" s="95">
        <f>'15'!F167</f>
        <v>0</v>
      </c>
      <c r="F167" s="155"/>
      <c r="G167" s="703"/>
      <c r="H167" s="99">
        <f>G167+'15'!H167</f>
        <v>0</v>
      </c>
      <c r="I167" s="165"/>
      <c r="J167" s="239">
        <f>H167/DAY(B2)</f>
        <v>0</v>
      </c>
    </row>
    <row r="168" spans="1:10" ht="26.25">
      <c r="A168" s="1274"/>
      <c r="B168" s="1274"/>
      <c r="C168" s="246"/>
      <c r="D168" s="244" t="s">
        <v>180</v>
      </c>
      <c r="E168" s="95">
        <f>'15'!F168</f>
        <v>0</v>
      </c>
      <c r="F168" s="155"/>
      <c r="G168" s="703"/>
      <c r="H168" s="99">
        <f>G168+'15'!H168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5.5">
      <c r="A172" s="1330"/>
      <c r="B172" s="1331"/>
      <c r="C172" s="332"/>
      <c r="D172" s="228"/>
      <c r="E172" s="155"/>
      <c r="F172" s="155"/>
      <c r="G172" s="707"/>
      <c r="H172" s="156"/>
      <c r="I172" s="155"/>
      <c r="J172" s="178"/>
    </row>
    <row r="173" spans="1:10" ht="25.5">
      <c r="A173" s="1254" t="s">
        <v>209</v>
      </c>
      <c r="B173" s="1255"/>
      <c r="C173" s="333"/>
      <c r="D173" s="228" t="s">
        <v>142</v>
      </c>
      <c r="E173" s="95">
        <f>'15'!F173</f>
        <v>8604</v>
      </c>
      <c r="F173" s="155">
        <v>8606</v>
      </c>
      <c r="G173" s="707">
        <f>F173-E173</f>
        <v>2</v>
      </c>
      <c r="H173" s="99">
        <f>G173+'15'!H173</f>
        <v>25</v>
      </c>
      <c r="I173" s="155"/>
      <c r="J173" s="178">
        <f>H173/DAY(B2)</f>
        <v>1.5625</v>
      </c>
    </row>
    <row r="174" spans="1:10" ht="25.5">
      <c r="A174" s="1254" t="s">
        <v>75</v>
      </c>
      <c r="B174" s="1255"/>
      <c r="C174" s="333"/>
      <c r="D174" s="228" t="s">
        <v>142</v>
      </c>
      <c r="E174" s="95">
        <f>'15'!F174</f>
        <v>42162</v>
      </c>
      <c r="F174" s="157">
        <v>42177</v>
      </c>
      <c r="G174" s="707">
        <f t="shared" ref="G174:G175" si="14">F174-E174</f>
        <v>15</v>
      </c>
      <c r="H174" s="99">
        <f>G174+'15'!H174</f>
        <v>215</v>
      </c>
      <c r="I174" s="155"/>
      <c r="J174" s="178">
        <f>H174/DAY(B2)</f>
        <v>13.4375</v>
      </c>
    </row>
    <row r="175" spans="1:10" ht="25.5">
      <c r="A175" s="1254" t="s">
        <v>76</v>
      </c>
      <c r="B175" s="1324"/>
      <c r="C175" s="1255"/>
      <c r="D175" s="228" t="s">
        <v>142</v>
      </c>
      <c r="E175" s="95">
        <f>'15'!F175</f>
        <v>24859</v>
      </c>
      <c r="F175" s="155">
        <v>24870</v>
      </c>
      <c r="G175" s="707">
        <f t="shared" si="14"/>
        <v>11</v>
      </c>
      <c r="H175" s="99">
        <f>G175+'15'!H175</f>
        <v>173</v>
      </c>
      <c r="I175" s="155"/>
      <c r="J175" s="178">
        <f>H175/DAY(B2)</f>
        <v>10.8125</v>
      </c>
    </row>
    <row r="176" spans="1:10" ht="25.5">
      <c r="A176" s="1261" t="s">
        <v>196</v>
      </c>
      <c r="B176" s="1262"/>
      <c r="C176" s="333"/>
      <c r="D176" s="228" t="s">
        <v>142</v>
      </c>
      <c r="E176" s="95">
        <f>'15'!F176</f>
        <v>0</v>
      </c>
      <c r="F176" s="155"/>
      <c r="G176" s="707">
        <f>SUM(G173:G175)</f>
        <v>28</v>
      </c>
      <c r="H176" s="99">
        <f>G176+'15'!H176</f>
        <v>413</v>
      </c>
      <c r="I176" s="155"/>
      <c r="J176" s="178">
        <f>H176/DAY(B2)</f>
        <v>25.8125</v>
      </c>
    </row>
    <row r="177" spans="1:11" ht="25.5">
      <c r="A177" s="1254" t="s">
        <v>77</v>
      </c>
      <c r="B177" s="1255"/>
      <c r="C177" s="333"/>
      <c r="D177" s="228" t="s">
        <v>142</v>
      </c>
      <c r="E177" s="95">
        <f>'15'!F177</f>
        <v>0</v>
      </c>
      <c r="F177" s="155"/>
      <c r="G177" s="707"/>
      <c r="H177" s="99">
        <f>G177+'15'!H177</f>
        <v>0</v>
      </c>
      <c r="I177" s="155"/>
      <c r="J177" s="178">
        <f>H177/DAY(B2)</f>
        <v>0</v>
      </c>
    </row>
    <row r="178" spans="1:11" ht="25.5">
      <c r="A178" s="1254" t="s">
        <v>210</v>
      </c>
      <c r="B178" s="1255"/>
      <c r="C178" s="333"/>
      <c r="D178" s="228" t="s">
        <v>142</v>
      </c>
      <c r="E178" s="95">
        <f>'15'!F178</f>
        <v>102114</v>
      </c>
      <c r="F178" s="155">
        <v>102114</v>
      </c>
      <c r="G178" s="707">
        <f>F178-E178</f>
        <v>0</v>
      </c>
      <c r="H178" s="99">
        <f>G178+'15'!H178</f>
        <v>3</v>
      </c>
      <c r="I178" s="155"/>
      <c r="J178" s="178">
        <f>H178/DAY(B2)</f>
        <v>0.1875</v>
      </c>
    </row>
    <row r="179" spans="1:11" ht="25.5">
      <c r="A179" s="1254" t="s">
        <v>211</v>
      </c>
      <c r="B179" s="1255"/>
      <c r="C179" s="333"/>
      <c r="D179" s="228" t="s">
        <v>142</v>
      </c>
      <c r="E179" s="95">
        <f>'15'!F179</f>
        <v>37501</v>
      </c>
      <c r="F179" s="155">
        <v>37501</v>
      </c>
      <c r="G179" s="707">
        <f t="shared" ref="G179:G180" si="15">F179-E179</f>
        <v>0</v>
      </c>
      <c r="H179" s="99">
        <f>G179+'15'!H179</f>
        <v>0</v>
      </c>
      <c r="I179" s="155"/>
      <c r="J179" s="178">
        <f>H179/DAY(B2)</f>
        <v>0</v>
      </c>
    </row>
    <row r="180" spans="1:11" ht="25.5">
      <c r="A180" s="1254" t="s">
        <v>212</v>
      </c>
      <c r="B180" s="1255"/>
      <c r="C180" s="333"/>
      <c r="D180" s="228" t="s">
        <v>142</v>
      </c>
      <c r="E180" s="95">
        <f>'15'!F180</f>
        <v>7231</v>
      </c>
      <c r="F180" s="155">
        <v>7231</v>
      </c>
      <c r="G180" s="707">
        <f t="shared" si="15"/>
        <v>0</v>
      </c>
      <c r="H180" s="99">
        <f>G180+'15'!H180</f>
        <v>0</v>
      </c>
      <c r="I180" s="155"/>
      <c r="J180" s="178">
        <f>H180/DAY(B2)</f>
        <v>0</v>
      </c>
    </row>
    <row r="181" spans="1:11" ht="25.5">
      <c r="A181" s="1325" t="s">
        <v>108</v>
      </c>
      <c r="B181" s="1326"/>
      <c r="C181" s="333"/>
      <c r="D181" s="228" t="s">
        <v>142</v>
      </c>
      <c r="E181" s="95">
        <f>'15'!F181</f>
        <v>0</v>
      </c>
      <c r="F181" s="155"/>
      <c r="G181" s="707">
        <f>SUM(G178:G180)</f>
        <v>0</v>
      </c>
      <c r="H181" s="99">
        <f>G181+'15'!H181</f>
        <v>3</v>
      </c>
      <c r="I181" s="155"/>
      <c r="J181" s="178">
        <f>H181/DAY(B2)</f>
        <v>0.1875</v>
      </c>
    </row>
    <row r="182" spans="1:11" ht="25.5">
      <c r="A182" s="1254" t="s">
        <v>213</v>
      </c>
      <c r="B182" s="1255"/>
      <c r="C182" s="333"/>
      <c r="D182" s="228" t="s">
        <v>142</v>
      </c>
      <c r="E182" s="95">
        <f>'15'!F182</f>
        <v>0</v>
      </c>
      <c r="F182" s="155"/>
      <c r="G182" s="707"/>
      <c r="H182" s="99">
        <f>G182+'15'!H182</f>
        <v>0</v>
      </c>
      <c r="I182" s="155"/>
      <c r="J182" s="178">
        <f>H182/DAY(B2)</f>
        <v>0</v>
      </c>
    </row>
    <row r="183" spans="1:11" ht="25.5">
      <c r="A183" s="1254" t="s">
        <v>214</v>
      </c>
      <c r="B183" s="1255"/>
      <c r="C183" s="334"/>
      <c r="D183" s="228" t="s">
        <v>142</v>
      </c>
      <c r="E183" s="95">
        <f>'15'!F183</f>
        <v>17916</v>
      </c>
      <c r="F183" s="157">
        <v>17926</v>
      </c>
      <c r="G183" s="708">
        <f>F183-E183</f>
        <v>10</v>
      </c>
      <c r="H183" s="99">
        <f>G183+'15'!H183</f>
        <v>78</v>
      </c>
      <c r="I183" s="155"/>
      <c r="J183" s="178">
        <f>H183/DAY(B2)</f>
        <v>4.875</v>
      </c>
    </row>
    <row r="184" spans="1:11" ht="25.5">
      <c r="A184" s="1254" t="s">
        <v>215</v>
      </c>
      <c r="B184" s="1255"/>
      <c r="C184" s="334"/>
      <c r="D184" s="228" t="s">
        <v>142</v>
      </c>
      <c r="E184" s="95">
        <f>'15'!F184</f>
        <v>12464</v>
      </c>
      <c r="F184" s="157">
        <v>12472</v>
      </c>
      <c r="G184" s="708">
        <f t="shared" ref="G184:G185" si="16">F184-E184</f>
        <v>8</v>
      </c>
      <c r="H184" s="99">
        <f>G184+'15'!H184</f>
        <v>123</v>
      </c>
      <c r="I184" s="155"/>
      <c r="J184" s="178">
        <f>H184/DAY(B2)</f>
        <v>7.6875</v>
      </c>
    </row>
    <row r="185" spans="1:11" ht="32.25" customHeight="1">
      <c r="A185" s="1254" t="s">
        <v>216</v>
      </c>
      <c r="B185" s="1255"/>
      <c r="C185" s="334"/>
      <c r="D185" s="228" t="s">
        <v>142</v>
      </c>
      <c r="E185" s="95">
        <f>'15'!F185</f>
        <v>0</v>
      </c>
      <c r="F185" s="157">
        <v>0</v>
      </c>
      <c r="G185" s="708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5.5">
      <c r="A186" s="1261" t="s">
        <v>196</v>
      </c>
      <c r="B186" s="1262"/>
      <c r="C186" s="334"/>
      <c r="D186" s="228" t="s">
        <v>142</v>
      </c>
      <c r="E186" s="95">
        <f>'15'!F186</f>
        <v>0</v>
      </c>
      <c r="F186" s="157"/>
      <c r="G186" s="708">
        <f>SUM(G183:G185)</f>
        <v>18</v>
      </c>
      <c r="H186" s="99">
        <f>G186+'15'!H186</f>
        <v>201</v>
      </c>
      <c r="I186" s="157"/>
      <c r="J186" s="178">
        <f>H186/DAY(B2)</f>
        <v>12.5625</v>
      </c>
    </row>
    <row r="187" spans="1:11" ht="25.5">
      <c r="A187" s="1250" t="s">
        <v>217</v>
      </c>
      <c r="B187" s="1251"/>
      <c r="C187" s="333"/>
      <c r="D187" s="230" t="s">
        <v>142</v>
      </c>
      <c r="E187" s="95">
        <f>'15'!F187</f>
        <v>0</v>
      </c>
      <c r="F187" s="159"/>
      <c r="G187" s="708">
        <f>G62+G19</f>
        <v>175</v>
      </c>
      <c r="H187" s="99">
        <f>G187+'15'!H187</f>
        <v>2383</v>
      </c>
      <c r="I187" s="158"/>
      <c r="J187" s="179">
        <f>H187/DAY(B2)</f>
        <v>148.9375</v>
      </c>
    </row>
    <row r="188" spans="1:11" ht="25.5">
      <c r="A188" s="1250" t="s">
        <v>218</v>
      </c>
      <c r="B188" s="1251"/>
      <c r="C188" s="333"/>
      <c r="D188" s="230" t="s">
        <v>142</v>
      </c>
      <c r="E188" s="95">
        <f>'15'!F188</f>
        <v>0</v>
      </c>
      <c r="F188" s="159"/>
      <c r="G188" s="708">
        <f>G65+G66+G67+G69+G70</f>
        <v>185</v>
      </c>
      <c r="H188" s="99">
        <f>G188+'15'!H188</f>
        <v>375</v>
      </c>
      <c r="I188" s="158"/>
      <c r="J188" s="179">
        <f>H188/DAY(B2)</f>
        <v>23.4375</v>
      </c>
    </row>
    <row r="189" spans="1:11" ht="23.25" customHeight="1">
      <c r="A189" s="1250" t="s">
        <v>219</v>
      </c>
      <c r="B189" s="1251"/>
      <c r="C189" s="333"/>
      <c r="D189" s="230" t="s">
        <v>142</v>
      </c>
      <c r="E189" s="95">
        <f>'15'!F189</f>
        <v>0</v>
      </c>
      <c r="F189" s="157"/>
      <c r="G189" s="708">
        <f>G181</f>
        <v>0</v>
      </c>
      <c r="H189" s="99">
        <f>G189+'15'!H189</f>
        <v>3</v>
      </c>
      <c r="I189" s="158"/>
      <c r="J189" s="179">
        <f>H189/DAY(B2)</f>
        <v>0.1875</v>
      </c>
    </row>
    <row r="190" spans="1:11" ht="23.25" customHeight="1">
      <c r="A190" s="1336"/>
      <c r="B190" s="1337"/>
      <c r="C190" s="408"/>
      <c r="D190" s="379"/>
      <c r="E190" s="379" t="s">
        <v>207</v>
      </c>
      <c r="F190" s="398"/>
      <c r="G190" s="709"/>
      <c r="H190" s="380"/>
      <c r="I190" s="379"/>
      <c r="J190" s="381"/>
    </row>
    <row r="191" spans="1:11" ht="23.25" customHeight="1">
      <c r="A191" s="245"/>
      <c r="B191" s="246"/>
      <c r="C191" s="246"/>
      <c r="D191" s="165"/>
      <c r="E191" s="165"/>
      <c r="F191" s="155"/>
      <c r="G191" s="703"/>
      <c r="H191" s="238"/>
      <c r="I191" s="99"/>
      <c r="J191" s="236"/>
      <c r="K191" s="239" t="e">
        <f>I191/DAY(C28)</f>
        <v>#DIV/0!</v>
      </c>
    </row>
    <row r="192" spans="1:11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43" zoomScale="55" zoomScaleSheetLayoutView="55" zoomScalePageLayoutView="60" workbookViewId="0">
      <selection activeCell="F63" sqref="F63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72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7.75" customHeight="1">
      <c r="A2" s="191" t="s">
        <v>349</v>
      </c>
      <c r="B2" s="262">
        <v>44851</v>
      </c>
      <c r="C2" s="348" t="s">
        <v>67</v>
      </c>
      <c r="D2" s="218">
        <v>0.5</v>
      </c>
      <c r="E2" s="100"/>
      <c r="F2" s="100"/>
      <c r="G2" s="449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26</v>
      </c>
      <c r="E3" s="1322" t="s">
        <v>119</v>
      </c>
      <c r="F3" s="1323"/>
      <c r="G3" s="450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0.95</v>
      </c>
      <c r="E4" s="103"/>
      <c r="F4" s="103"/>
      <c r="G4" s="450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51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1319" t="s">
        <v>128</v>
      </c>
      <c r="B6" s="1320"/>
      <c r="C6" s="1321"/>
      <c r="D6" s="110"/>
      <c r="E6" s="110"/>
      <c r="F6" s="110"/>
      <c r="G6" s="452"/>
      <c r="H6" s="111"/>
      <c r="I6" s="111"/>
      <c r="J6" s="174"/>
      <c r="K6" s="78"/>
      <c r="L6" s="66"/>
      <c r="O6" s="65" t="s">
        <v>68</v>
      </c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v>280513.59999999998</v>
      </c>
      <c r="F7" s="95">
        <v>305118</v>
      </c>
      <c r="G7" s="453">
        <v>24604.400000000023</v>
      </c>
      <c r="H7" s="99">
        <v>423282</v>
      </c>
      <c r="I7" s="113">
        <v>12000</v>
      </c>
      <c r="J7" s="175">
        <v>24898.941176470587</v>
      </c>
      <c r="K7" s="172">
        <v>1375467</v>
      </c>
      <c r="L7" s="66"/>
      <c r="N7" s="87"/>
      <c r="O7" s="71">
        <v>10</v>
      </c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v>453282</v>
      </c>
      <c r="F8" s="95">
        <v>478188</v>
      </c>
      <c r="G8" s="453">
        <v>24906</v>
      </c>
      <c r="H8" s="99">
        <v>428808</v>
      </c>
      <c r="I8" s="116"/>
      <c r="J8" s="175">
        <v>25224</v>
      </c>
      <c r="K8" s="172">
        <v>1715917</v>
      </c>
      <c r="L8" s="76">
        <v>1728480</v>
      </c>
      <c r="M8" s="87">
        <v>12563</v>
      </c>
      <c r="N8" s="87"/>
      <c r="O8" s="71">
        <v>10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v>3802663.3</v>
      </c>
      <c r="F9" s="447">
        <v>3807801.1</v>
      </c>
      <c r="G9" s="453">
        <v>5137.8000000002794</v>
      </c>
      <c r="H9" s="99">
        <v>101094.10000000009</v>
      </c>
      <c r="I9" s="124">
        <v>-12898.941176470587</v>
      </c>
      <c r="J9" s="175">
        <v>5946.7117647058876</v>
      </c>
      <c r="K9" s="79">
        <v>1715817</v>
      </c>
      <c r="L9" s="66"/>
      <c r="N9" s="87"/>
      <c r="O9" s="71">
        <v>10</v>
      </c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v>3034945.5</v>
      </c>
      <c r="F10" s="447">
        <v>3053750.7</v>
      </c>
      <c r="G10" s="453">
        <v>18805.200000000186</v>
      </c>
      <c r="H10" s="99">
        <v>311056.70000000019</v>
      </c>
      <c r="I10" s="282"/>
      <c r="J10" s="175">
        <v>18297.452941176482</v>
      </c>
      <c r="K10" s="79"/>
      <c r="L10" s="66"/>
      <c r="N10" s="87"/>
      <c r="O10" s="71">
        <v>10</v>
      </c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v>37560</v>
      </c>
      <c r="F11" s="447">
        <v>37560</v>
      </c>
      <c r="G11" s="453">
        <v>0</v>
      </c>
      <c r="H11" s="99">
        <v>0</v>
      </c>
      <c r="I11" s="282"/>
      <c r="J11" s="175">
        <v>0</v>
      </c>
      <c r="K11" s="79"/>
      <c r="L11" s="66"/>
      <c r="N11" s="87"/>
      <c r="O11" s="71">
        <v>10</v>
      </c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v>40380</v>
      </c>
      <c r="F12" s="447">
        <v>40380</v>
      </c>
      <c r="G12" s="453">
        <v>0</v>
      </c>
      <c r="H12" s="99">
        <v>0</v>
      </c>
      <c r="I12" s="282"/>
      <c r="J12" s="175">
        <v>0</v>
      </c>
      <c r="K12" s="79"/>
      <c r="L12" s="66"/>
      <c r="N12" s="87"/>
      <c r="O12" s="71">
        <v>10</v>
      </c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55">
        <v>23943.000000000466</v>
      </c>
      <c r="H13" s="99">
        <v>413610.80000000028</v>
      </c>
      <c r="I13" s="120">
        <v>661.39999999955762</v>
      </c>
      <c r="J13" s="175">
        <v>24330.047058823548</v>
      </c>
      <c r="K13" s="79"/>
      <c r="L13" s="66"/>
      <c r="N13" s="87"/>
      <c r="O13" s="71">
        <v>10</v>
      </c>
    </row>
    <row r="14" spans="1:15" ht="27.75" customHeight="1">
      <c r="A14" s="1308" t="s">
        <v>137</v>
      </c>
      <c r="B14" s="1309"/>
      <c r="C14" s="1310"/>
      <c r="D14" s="111"/>
      <c r="E14" s="111"/>
      <c r="F14" s="111"/>
      <c r="G14" s="456"/>
      <c r="H14" s="111"/>
      <c r="I14" s="111"/>
      <c r="J14" s="174"/>
      <c r="K14" s="80"/>
      <c r="L14" s="66"/>
      <c r="N14" s="87"/>
      <c r="O14" s="71">
        <v>10</v>
      </c>
    </row>
    <row r="15" spans="1:15" ht="27.75" customHeight="1">
      <c r="A15" s="345" t="s">
        <v>138</v>
      </c>
      <c r="B15" s="205"/>
      <c r="C15" s="205"/>
      <c r="D15" s="151" t="s">
        <v>139</v>
      </c>
      <c r="E15" s="447">
        <v>2177951</v>
      </c>
      <c r="F15" s="447">
        <v>2178973</v>
      </c>
      <c r="G15" s="453">
        <v>1022</v>
      </c>
      <c r="H15" s="99">
        <v>17458</v>
      </c>
      <c r="I15" s="113">
        <v>800</v>
      </c>
      <c r="J15" s="175">
        <v>1026.9411764705883</v>
      </c>
      <c r="K15" s="79"/>
      <c r="L15" s="66"/>
      <c r="N15" s="87"/>
      <c r="O15" s="71">
        <v>20</v>
      </c>
    </row>
    <row r="16" spans="1:15" ht="27.75" customHeight="1">
      <c r="A16" s="203"/>
      <c r="B16" s="204"/>
      <c r="C16" s="204"/>
      <c r="D16" s="152"/>
      <c r="E16" s="123"/>
      <c r="F16" s="123"/>
      <c r="G16" s="453"/>
      <c r="H16" s="124"/>
      <c r="I16" s="120">
        <v>-226.94117647058829</v>
      </c>
      <c r="J16" s="176"/>
      <c r="K16" s="79"/>
      <c r="L16" s="66"/>
      <c r="N16" s="87"/>
      <c r="O16" s="71">
        <v>20</v>
      </c>
    </row>
    <row r="17" spans="1:15" ht="27.75" customHeight="1">
      <c r="A17" s="1308" t="s">
        <v>140</v>
      </c>
      <c r="B17" s="1309"/>
      <c r="C17" s="1310"/>
      <c r="D17" s="111"/>
      <c r="E17" s="111"/>
      <c r="F17" s="111"/>
      <c r="G17" s="456"/>
      <c r="H17" s="111"/>
      <c r="I17" s="111"/>
      <c r="J17" s="174"/>
      <c r="K17" s="79"/>
      <c r="L17" s="66"/>
      <c r="N17" s="87"/>
      <c r="O17" s="71">
        <v>20</v>
      </c>
    </row>
    <row r="18" spans="1:15" ht="27.75" customHeight="1">
      <c r="A18" s="1281" t="s">
        <v>141</v>
      </c>
      <c r="B18" s="1282"/>
      <c r="C18" s="1283"/>
      <c r="D18" s="151" t="s">
        <v>142</v>
      </c>
      <c r="E18" s="95">
        <v>32</v>
      </c>
      <c r="F18" s="122">
        <v>25</v>
      </c>
      <c r="G18" s="455">
        <v>250</v>
      </c>
      <c r="H18" s="99">
        <v>4210</v>
      </c>
      <c r="I18" s="113">
        <v>65</v>
      </c>
      <c r="J18" s="175">
        <v>247.64705882352942</v>
      </c>
      <c r="K18" s="79"/>
      <c r="L18" s="66"/>
      <c r="N18" s="87"/>
      <c r="O18" s="71">
        <v>20</v>
      </c>
    </row>
    <row r="19" spans="1:15" ht="27.75" customHeight="1">
      <c r="A19" s="1281" t="s">
        <v>69</v>
      </c>
      <c r="B19" s="1282"/>
      <c r="C19" s="1283"/>
      <c r="D19" s="151" t="s">
        <v>142</v>
      </c>
      <c r="E19" s="95">
        <v>166265</v>
      </c>
      <c r="F19" s="122">
        <v>166317</v>
      </c>
      <c r="G19" s="453">
        <v>52</v>
      </c>
      <c r="H19" s="99">
        <v>874</v>
      </c>
      <c r="I19" s="335"/>
      <c r="J19" s="175">
        <v>51.411764705882355</v>
      </c>
      <c r="K19" s="79"/>
      <c r="L19" s="66"/>
      <c r="N19" s="87"/>
      <c r="O19" s="71">
        <v>20</v>
      </c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57">
        <v>302</v>
      </c>
      <c r="H20" s="99">
        <v>5084</v>
      </c>
      <c r="I20" s="336">
        <v>-234.05882352941177</v>
      </c>
      <c r="J20" s="175">
        <v>299.05882352941177</v>
      </c>
      <c r="K20" s="79"/>
      <c r="L20" s="66"/>
      <c r="N20" s="87"/>
      <c r="O20" s="71">
        <v>180</v>
      </c>
    </row>
    <row r="21" spans="1:15" ht="27.75" customHeight="1">
      <c r="A21" s="1308" t="s">
        <v>144</v>
      </c>
      <c r="B21" s="1309"/>
      <c r="C21" s="1310"/>
      <c r="D21" s="111"/>
      <c r="E21" s="111"/>
      <c r="F21" s="111"/>
      <c r="G21" s="456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v>2970</v>
      </c>
      <c r="F22" s="122">
        <v>2970</v>
      </c>
      <c r="G22" s="455">
        <v>0</v>
      </c>
      <c r="H22" s="99">
        <v>0</v>
      </c>
      <c r="I22" s="118"/>
      <c r="J22" s="175"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v>1500</v>
      </c>
      <c r="F23" s="122">
        <v>1500</v>
      </c>
      <c r="G23" s="455">
        <v>0</v>
      </c>
      <c r="H23" s="99">
        <v>0</v>
      </c>
      <c r="I23" s="118"/>
      <c r="J23" s="175"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455">
        <v>0</v>
      </c>
      <c r="H24" s="99">
        <v>0</v>
      </c>
      <c r="I24" s="118"/>
      <c r="J24" s="175">
        <v>0</v>
      </c>
      <c r="K24" s="79"/>
      <c r="L24" s="66"/>
      <c r="N24" s="87"/>
      <c r="O24" s="71"/>
    </row>
    <row r="25" spans="1:15" s="88" customFormat="1" ht="27.75" customHeight="1">
      <c r="A25" s="1311" t="s">
        <v>149</v>
      </c>
      <c r="B25" s="1312"/>
      <c r="C25" s="1313"/>
      <c r="D25" s="110"/>
      <c r="E25" s="110"/>
      <c r="F25" s="110"/>
      <c r="G25" s="458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59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v>24906</v>
      </c>
      <c r="F27" s="136">
        <v>10</v>
      </c>
      <c r="G27" s="460">
        <v>249060</v>
      </c>
      <c r="H27" s="99">
        <v>4288080</v>
      </c>
      <c r="I27" s="138"/>
      <c r="J27" s="175">
        <v>252240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v>1022</v>
      </c>
      <c r="F28" s="136">
        <v>75</v>
      </c>
      <c r="G28" s="460">
        <v>76650</v>
      </c>
      <c r="H28" s="99">
        <v>1309350</v>
      </c>
      <c r="I28" s="140"/>
      <c r="J28" s="175">
        <v>77020.588235294112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v>0</v>
      </c>
      <c r="F29" s="136">
        <v>69</v>
      </c>
      <c r="G29" s="460">
        <v>0</v>
      </c>
      <c r="H29" s="99">
        <v>0</v>
      </c>
      <c r="I29" s="140"/>
      <c r="J29" s="175"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v>52</v>
      </c>
      <c r="F30" s="136">
        <v>151</v>
      </c>
      <c r="G30" s="460">
        <v>7852</v>
      </c>
      <c r="H30" s="99">
        <v>131974</v>
      </c>
      <c r="I30" s="140"/>
      <c r="J30" s="175">
        <v>7763.1764705882351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v>250</v>
      </c>
      <c r="F31" s="136">
        <v>85</v>
      </c>
      <c r="G31" s="460">
        <v>21250</v>
      </c>
      <c r="H31" s="99">
        <v>354700</v>
      </c>
      <c r="I31" s="140"/>
      <c r="J31" s="175">
        <v>20864.705882352941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61">
        <v>354812</v>
      </c>
      <c r="H32" s="99">
        <v>6084104</v>
      </c>
      <c r="I32" s="144"/>
      <c r="J32" s="175">
        <v>357888.4705882353</v>
      </c>
      <c r="K32" s="63"/>
      <c r="L32" s="89"/>
      <c r="N32" s="87"/>
      <c r="O32" s="71"/>
    </row>
    <row r="33" spans="1:15" ht="27.75" customHeight="1">
      <c r="A33" s="1314" t="s">
        <v>331</v>
      </c>
      <c r="B33" s="1315"/>
      <c r="C33" s="1315"/>
      <c r="D33" s="337"/>
      <c r="E33" s="337"/>
      <c r="F33" s="337"/>
      <c r="G33" s="462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63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v>253286.69</v>
      </c>
      <c r="F35" s="1022">
        <v>255483.61</v>
      </c>
      <c r="G35" s="453">
        <v>2196.9199999999837</v>
      </c>
      <c r="H35" s="99">
        <v>16770.559999999998</v>
      </c>
      <c r="I35" s="95"/>
      <c r="J35" s="175">
        <v>986.50352941176459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v>283373.59999999998</v>
      </c>
      <c r="F36" s="710">
        <v>284090.78999999998</v>
      </c>
      <c r="G36" s="453">
        <v>717.19000000000233</v>
      </c>
      <c r="H36" s="99">
        <v>14607.789999999979</v>
      </c>
      <c r="I36" s="95"/>
      <c r="J36" s="175">
        <v>859.28176470588107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v>322998.69</v>
      </c>
      <c r="F37" s="710">
        <v>322998.69</v>
      </c>
      <c r="G37" s="453">
        <v>0</v>
      </c>
      <c r="H37" s="99">
        <v>0</v>
      </c>
      <c r="I37" s="95"/>
      <c r="J37" s="175">
        <v>0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v>629897.69999999995</v>
      </c>
      <c r="F38" s="710">
        <v>632233.31000000006</v>
      </c>
      <c r="G38" s="453">
        <v>2335.6100000001024</v>
      </c>
      <c r="H38" s="99">
        <v>38516.310000000056</v>
      </c>
      <c r="I38" s="95"/>
      <c r="J38" s="175">
        <v>2265.6652941176503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v>591584</v>
      </c>
      <c r="F39" s="710">
        <v>591584</v>
      </c>
      <c r="G39" s="453">
        <v>0</v>
      </c>
      <c r="H39" s="99">
        <v>-0.18999999994412065</v>
      </c>
      <c r="I39" s="95"/>
      <c r="J39" s="175">
        <v>-1.1176470584948273E-2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v>170045</v>
      </c>
      <c r="F40" s="710">
        <v>170880</v>
      </c>
      <c r="G40" s="453">
        <v>0</v>
      </c>
      <c r="H40" s="99">
        <v>12900</v>
      </c>
      <c r="I40" s="95"/>
      <c r="J40" s="175">
        <v>758.82352941176475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v>381351.85</v>
      </c>
      <c r="F41" s="710">
        <v>381351.85</v>
      </c>
      <c r="G41" s="453">
        <v>0</v>
      </c>
      <c r="H41" s="99">
        <v>1000.2999999999884</v>
      </c>
      <c r="I41" s="95"/>
      <c r="J41" s="175">
        <v>58.841176470587548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v>857592</v>
      </c>
      <c r="F42" s="710">
        <v>857592.15</v>
      </c>
      <c r="G42" s="453">
        <v>0.15000000002328306</v>
      </c>
      <c r="H42" s="99">
        <v>32505.150000000023</v>
      </c>
      <c r="I42" s="95"/>
      <c r="J42" s="175">
        <v>1912.0676470588248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v>407028</v>
      </c>
      <c r="F43" s="710">
        <v>407028</v>
      </c>
      <c r="G43" s="453">
        <v>0</v>
      </c>
      <c r="H43" s="99">
        <v>0</v>
      </c>
      <c r="I43" s="95"/>
      <c r="J43" s="175"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v>0</v>
      </c>
      <c r="F44" s="710">
        <v>0</v>
      </c>
      <c r="G44" s="453">
        <v>0</v>
      </c>
      <c r="H44" s="99">
        <v>0</v>
      </c>
      <c r="I44" s="95"/>
      <c r="J44" s="175"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v>0</v>
      </c>
      <c r="F45" s="710">
        <v>0</v>
      </c>
      <c r="G45" s="453">
        <v>0</v>
      </c>
      <c r="H45" s="99">
        <v>0</v>
      </c>
      <c r="I45" s="95"/>
      <c r="J45" s="175"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v>0</v>
      </c>
      <c r="F46" s="710">
        <v>0</v>
      </c>
      <c r="G46" s="453">
        <v>0</v>
      </c>
      <c r="H46" s="99">
        <v>0</v>
      </c>
      <c r="I46" s="95"/>
      <c r="J46" s="175"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55">
        <f>SUM(G35:G46)</f>
        <v>5249.8700000001118</v>
      </c>
      <c r="H47" s="99">
        <v>120408.85999999999</v>
      </c>
      <c r="I47" s="95"/>
      <c r="J47" s="175">
        <v>7082.8741176470576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63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v>764187.67</v>
      </c>
      <c r="F49" s="710">
        <v>765793.43</v>
      </c>
      <c r="G49" s="453">
        <v>1605.7600000000093</v>
      </c>
      <c r="H49" s="99">
        <v>45506.430000000051</v>
      </c>
      <c r="I49" s="95"/>
      <c r="J49" s="175">
        <v>2676.8488235294149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v>391681.9</v>
      </c>
      <c r="F50" s="710">
        <v>393124.59</v>
      </c>
      <c r="G50" s="453">
        <v>1442.69</v>
      </c>
      <c r="H50" s="99">
        <v>27353.590000000026</v>
      </c>
      <c r="I50" s="95"/>
      <c r="J50" s="175">
        <v>1609.0347058823545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v>88070.32</v>
      </c>
      <c r="F51" s="710">
        <v>89121.2</v>
      </c>
      <c r="G51" s="453">
        <v>1050.8799999999901</v>
      </c>
      <c r="H51" s="99">
        <v>17394.199999999997</v>
      </c>
      <c r="I51" s="95"/>
      <c r="J51" s="175">
        <v>1023.1882352941175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v>10</v>
      </c>
      <c r="F52" s="710">
        <v>10</v>
      </c>
      <c r="G52" s="453">
        <v>0</v>
      </c>
      <c r="H52" s="99">
        <v>0</v>
      </c>
      <c r="I52" s="95"/>
      <c r="J52" s="175"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v>361063.47</v>
      </c>
      <c r="F53" s="710">
        <v>365489.51</v>
      </c>
      <c r="G53" s="453">
        <v>4426.0400000000373</v>
      </c>
      <c r="H53" s="99">
        <v>71388.510000000009</v>
      </c>
      <c r="I53" s="95"/>
      <c r="J53" s="175">
        <v>4199.3241176470592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v>103257.59</v>
      </c>
      <c r="F54" s="710">
        <v>103257.71</v>
      </c>
      <c r="G54" s="453">
        <v>0.1200000000098953</v>
      </c>
      <c r="H54" s="99">
        <v>1870.7100000000064</v>
      </c>
      <c r="I54" s="95"/>
      <c r="J54" s="175">
        <v>110.04176470588273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v>536979.27</v>
      </c>
      <c r="F55" s="710">
        <v>538458.39</v>
      </c>
      <c r="G55" s="453">
        <v>1479.1199999999953</v>
      </c>
      <c r="H55" s="99">
        <v>43975.390000000014</v>
      </c>
      <c r="I55" s="95"/>
      <c r="J55" s="175">
        <v>2586.7876470588244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v>167287.12</v>
      </c>
      <c r="F56" s="710">
        <v>170431.79</v>
      </c>
      <c r="G56" s="453">
        <v>3144.6700000000128</v>
      </c>
      <c r="H56" s="99">
        <v>20712.790000000008</v>
      </c>
      <c r="I56" s="95"/>
      <c r="J56" s="175">
        <v>1218.3994117647064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v>456201.59</v>
      </c>
      <c r="F57" s="710">
        <v>459140.71</v>
      </c>
      <c r="G57" s="453">
        <v>2939.1199999999953</v>
      </c>
      <c r="H57" s="99">
        <v>50062.710000000021</v>
      </c>
      <c r="I57" s="95"/>
      <c r="J57" s="175">
        <v>2944.8652941176483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v>68036.789999999994</v>
      </c>
      <c r="F58" s="710">
        <v>68284.600000000006</v>
      </c>
      <c r="G58" s="453">
        <v>247.81000000001222</v>
      </c>
      <c r="H58" s="99">
        <v>4133.6000000000058</v>
      </c>
      <c r="I58" s="95"/>
      <c r="J58" s="175">
        <v>243.15294117647093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55">
        <v>15567.720000000074</v>
      </c>
      <c r="H59" s="99">
        <v>281768.75000000012</v>
      </c>
      <c r="I59" s="95">
        <v>-1296.4400000000314</v>
      </c>
      <c r="J59" s="175">
        <v>16574.632352941182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55">
        <v>21995.249999999985</v>
      </c>
      <c r="H60" s="99">
        <v>402177.6100000001</v>
      </c>
      <c r="I60" s="95">
        <v>-1957.8399999995891</v>
      </c>
      <c r="J60" s="175">
        <v>23657.50647058824</v>
      </c>
      <c r="K60" s="79"/>
      <c r="L60" s="66"/>
      <c r="N60" s="87"/>
      <c r="O60" s="71"/>
    </row>
    <row r="61" spans="1:15" s="68" customFormat="1" ht="27.75" customHeight="1">
      <c r="A61" s="1278" t="s">
        <v>332</v>
      </c>
      <c r="B61" s="1279"/>
      <c r="C61" s="1280"/>
      <c r="D61" s="339"/>
      <c r="E61" s="339"/>
      <c r="F61" s="339"/>
      <c r="G61" s="464"/>
      <c r="H61" s="339"/>
      <c r="I61" s="339"/>
      <c r="J61" s="341"/>
      <c r="K61" s="69"/>
      <c r="L61" s="67"/>
      <c r="N61" s="87"/>
      <c r="O61" s="71"/>
    </row>
    <row r="62" spans="1:15" ht="27.75" customHeight="1">
      <c r="A62" s="1281" t="s">
        <v>198</v>
      </c>
      <c r="B62" s="1282"/>
      <c r="C62" s="1283"/>
      <c r="D62" s="151" t="s">
        <v>142</v>
      </c>
      <c r="E62" s="95">
        <v>303626</v>
      </c>
      <c r="F62" s="514">
        <v>303743</v>
      </c>
      <c r="G62" s="453">
        <v>117</v>
      </c>
      <c r="H62" s="99">
        <v>1678</v>
      </c>
      <c r="I62" s="118"/>
      <c r="J62" s="175">
        <v>98.705882352941174</v>
      </c>
      <c r="K62" s="80"/>
      <c r="L62" s="66"/>
      <c r="N62" s="87"/>
      <c r="O62" s="71"/>
    </row>
    <row r="63" spans="1:15" ht="27.75" customHeight="1">
      <c r="A63" s="1281" t="s">
        <v>199</v>
      </c>
      <c r="B63" s="1282"/>
      <c r="C63" s="1283"/>
      <c r="D63" s="151" t="s">
        <v>142</v>
      </c>
      <c r="E63" s="95">
        <v>245139</v>
      </c>
      <c r="F63" s="514">
        <v>245139</v>
      </c>
      <c r="G63" s="453">
        <v>0</v>
      </c>
      <c r="H63" s="99">
        <v>127</v>
      </c>
      <c r="I63" s="118"/>
      <c r="J63" s="175">
        <v>7.4705882352941178</v>
      </c>
      <c r="K63" s="69"/>
      <c r="L63" s="66"/>
      <c r="N63" s="87"/>
      <c r="O63" s="71"/>
    </row>
    <row r="64" spans="1:15" ht="27.75" customHeight="1">
      <c r="A64" s="1284" t="s">
        <v>200</v>
      </c>
      <c r="B64" s="1285"/>
      <c r="C64" s="1286"/>
      <c r="D64" s="151"/>
      <c r="E64" s="95">
        <v>0</v>
      </c>
      <c r="F64" s="122"/>
      <c r="G64" s="453">
        <v>125</v>
      </c>
      <c r="H64" s="99">
        <v>1784</v>
      </c>
      <c r="I64" s="118"/>
      <c r="J64" s="175">
        <v>104.94117647058823</v>
      </c>
      <c r="K64" s="69"/>
      <c r="L64" s="66"/>
      <c r="N64" s="87"/>
      <c r="O64" s="71"/>
    </row>
    <row r="65" spans="1:15" ht="27.75" customHeight="1">
      <c r="A65" s="1281" t="s">
        <v>201</v>
      </c>
      <c r="B65" s="1282"/>
      <c r="C65" s="1283"/>
      <c r="D65" s="151" t="s">
        <v>142</v>
      </c>
      <c r="E65" s="95">
        <v>462536</v>
      </c>
      <c r="F65" s="714">
        <v>462644</v>
      </c>
      <c r="G65" s="453">
        <v>108</v>
      </c>
      <c r="H65" s="99">
        <v>1820</v>
      </c>
      <c r="I65" s="118"/>
      <c r="J65" s="175">
        <v>107.05882352941177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v>112786</v>
      </c>
      <c r="F66" s="714">
        <v>112796</v>
      </c>
      <c r="G66" s="453">
        <v>10</v>
      </c>
      <c r="H66" s="99">
        <v>191</v>
      </c>
      <c r="I66" s="118"/>
      <c r="J66" s="175">
        <v>11.235294117647058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v>115057</v>
      </c>
      <c r="F67" s="714">
        <v>115077</v>
      </c>
      <c r="G67" s="453">
        <v>20</v>
      </c>
      <c r="H67" s="99">
        <v>369</v>
      </c>
      <c r="I67" s="118"/>
      <c r="J67" s="175">
        <v>21.705882352941178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v>167089</v>
      </c>
      <c r="F68" s="714">
        <v>167123</v>
      </c>
      <c r="G68" s="453">
        <v>34</v>
      </c>
      <c r="H68" s="99">
        <v>542</v>
      </c>
      <c r="I68" s="118"/>
      <c r="J68" s="175">
        <v>31.882352941176471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v>12623</v>
      </c>
      <c r="F69" s="714">
        <v>12630</v>
      </c>
      <c r="G69" s="453">
        <v>7</v>
      </c>
      <c r="H69" s="99">
        <v>66</v>
      </c>
      <c r="I69" s="118"/>
      <c r="J69" s="175">
        <v>3.8823529411764706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v>10494</v>
      </c>
      <c r="F70" s="714">
        <v>10505</v>
      </c>
      <c r="G70" s="453">
        <v>11</v>
      </c>
      <c r="H70" s="99">
        <v>172</v>
      </c>
      <c r="I70" s="118"/>
      <c r="J70" s="175">
        <v>10.117647058823529</v>
      </c>
      <c r="K70" s="69"/>
      <c r="L70" s="66"/>
      <c r="N70" s="87"/>
      <c r="O70" s="71"/>
    </row>
    <row r="71" spans="1:15" ht="27.75" customHeight="1">
      <c r="A71" s="1284" t="s">
        <v>208</v>
      </c>
      <c r="B71" s="1285"/>
      <c r="C71" s="1286"/>
      <c r="D71" s="152"/>
      <c r="E71" s="152"/>
      <c r="F71" s="152"/>
      <c r="G71" s="465">
        <v>190</v>
      </c>
      <c r="H71" s="99">
        <v>3160</v>
      </c>
      <c r="I71" s="154"/>
      <c r="J71" s="175">
        <v>185.88235294117646</v>
      </c>
      <c r="K71" s="69"/>
      <c r="L71" s="66"/>
      <c r="N71" s="87"/>
      <c r="O71" s="71"/>
    </row>
    <row r="72" spans="1:15" s="88" customFormat="1" ht="27.75" customHeight="1">
      <c r="A72" s="1287"/>
      <c r="B72" s="1268"/>
      <c r="C72" s="347"/>
      <c r="D72" s="180"/>
      <c r="E72" s="180" t="s">
        <v>207</v>
      </c>
      <c r="F72" s="180"/>
      <c r="G72" s="466"/>
      <c r="H72" s="181"/>
      <c r="I72" s="180"/>
      <c r="J72" s="182"/>
      <c r="N72" s="87"/>
      <c r="O72" s="71"/>
    </row>
    <row r="73" spans="1:15" ht="27.75" customHeight="1">
      <c r="A73" s="1295" t="s">
        <v>333</v>
      </c>
      <c r="B73" s="1296"/>
      <c r="C73" s="1297"/>
      <c r="D73" s="339"/>
      <c r="E73" s="339"/>
      <c r="F73" s="339"/>
      <c r="G73" s="464"/>
      <c r="H73" s="342"/>
      <c r="I73" s="342"/>
      <c r="J73" s="343"/>
      <c r="K73" s="69"/>
      <c r="L73" s="66"/>
      <c r="N73" s="87"/>
      <c r="O73" s="71"/>
    </row>
    <row r="74" spans="1:15" ht="27.75" customHeight="1">
      <c r="A74" s="1281" t="s">
        <v>220</v>
      </c>
      <c r="B74" s="1282"/>
      <c r="C74" s="1283"/>
      <c r="D74" s="151" t="s">
        <v>139</v>
      </c>
      <c r="E74" s="95">
        <v>980536.57</v>
      </c>
      <c r="F74" s="353">
        <v>980827.6</v>
      </c>
      <c r="G74" s="453">
        <v>291.03000000002794</v>
      </c>
      <c r="H74" s="99">
        <v>5016.5999999999767</v>
      </c>
      <c r="I74" s="154"/>
      <c r="J74" s="175">
        <v>295.09411764705743</v>
      </c>
      <c r="K74" s="69"/>
      <c r="L74" s="66"/>
      <c r="N74" s="87"/>
      <c r="O74" s="71"/>
    </row>
    <row r="75" spans="1:15" ht="27.75" customHeight="1">
      <c r="A75" s="1281" t="s">
        <v>221</v>
      </c>
      <c r="B75" s="1282"/>
      <c r="C75" s="1283"/>
      <c r="D75" s="151" t="s">
        <v>139</v>
      </c>
      <c r="E75" s="95">
        <v>73586.8</v>
      </c>
      <c r="F75" s="353">
        <v>73586</v>
      </c>
      <c r="G75" s="453">
        <v>-0.80000000000291038</v>
      </c>
      <c r="H75" s="99">
        <v>0</v>
      </c>
      <c r="I75" s="154"/>
      <c r="J75" s="175">
        <v>0</v>
      </c>
      <c r="K75" s="69"/>
      <c r="L75" s="66"/>
      <c r="N75" s="87"/>
      <c r="O75" s="71"/>
    </row>
    <row r="76" spans="1:15" ht="27.75" customHeight="1">
      <c r="A76" s="1288" t="s">
        <v>222</v>
      </c>
      <c r="B76" s="1289"/>
      <c r="C76" s="1290"/>
      <c r="D76" s="151" t="s">
        <v>139</v>
      </c>
      <c r="E76" s="95">
        <v>198561.3</v>
      </c>
      <c r="F76" s="353">
        <v>198662.2</v>
      </c>
      <c r="G76" s="453">
        <v>100.90000000002328</v>
      </c>
      <c r="H76" s="99">
        <v>1926.2000000000116</v>
      </c>
      <c r="I76" s="154"/>
      <c r="J76" s="175">
        <v>113.30588235294186</v>
      </c>
      <c r="K76" s="69"/>
      <c r="L76" s="66"/>
      <c r="N76" s="87"/>
      <c r="O76" s="71"/>
    </row>
    <row r="77" spans="1:15" ht="27.75" customHeight="1">
      <c r="A77" s="1288" t="s">
        <v>223</v>
      </c>
      <c r="B77" s="1289"/>
      <c r="C77" s="1290"/>
      <c r="D77" s="151" t="s">
        <v>139</v>
      </c>
      <c r="E77" s="95">
        <v>54177</v>
      </c>
      <c r="F77" s="353">
        <v>54220</v>
      </c>
      <c r="G77" s="453">
        <v>43</v>
      </c>
      <c r="H77" s="99">
        <v>868</v>
      </c>
      <c r="I77" s="154"/>
      <c r="J77" s="175">
        <v>51.058823529411768</v>
      </c>
      <c r="K77" s="69"/>
      <c r="L77" s="66"/>
      <c r="N77" s="87"/>
      <c r="O77" s="71"/>
    </row>
    <row r="78" spans="1:15" ht="27.75" customHeight="1">
      <c r="A78" s="1288" t="s">
        <v>224</v>
      </c>
      <c r="B78" s="1289"/>
      <c r="C78" s="1290"/>
      <c r="D78" s="151" t="s">
        <v>139</v>
      </c>
      <c r="E78" s="95">
        <v>9563</v>
      </c>
      <c r="F78" s="353">
        <v>9563</v>
      </c>
      <c r="G78" s="453">
        <v>-1</v>
      </c>
      <c r="H78" s="99">
        <v>-1.3999999999996362</v>
      </c>
      <c r="I78" s="118"/>
      <c r="J78" s="175">
        <v>-8.2352941176449188E-2</v>
      </c>
      <c r="K78" s="69"/>
      <c r="L78" s="66"/>
      <c r="N78" s="87"/>
      <c r="O78" s="71"/>
    </row>
    <row r="79" spans="1:15" s="57" customFormat="1" ht="27.75" customHeight="1">
      <c r="A79" s="1288" t="s">
        <v>225</v>
      </c>
      <c r="B79" s="1289"/>
      <c r="C79" s="1290"/>
      <c r="D79" s="151"/>
      <c r="E79" s="95">
        <v>0</v>
      </c>
      <c r="F79" s="123"/>
      <c r="G79" s="453">
        <v>597.33000000005995</v>
      </c>
      <c r="H79" s="99">
        <v>9645.3799999999665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1284" t="s">
        <v>329</v>
      </c>
      <c r="B80" s="1285"/>
      <c r="C80" s="1286"/>
      <c r="D80" s="151"/>
      <c r="E80" s="117"/>
      <c r="F80" s="117"/>
      <c r="G80" s="453">
        <v>1098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1302" t="s">
        <v>226</v>
      </c>
      <c r="B81" s="1303"/>
      <c r="C81" s="1304"/>
      <c r="D81" s="110"/>
      <c r="E81" s="110"/>
      <c r="F81" s="110"/>
      <c r="G81" s="467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v>0</v>
      </c>
      <c r="F82" s="122">
        <v>0</v>
      </c>
      <c r="G82" s="453">
        <v>0</v>
      </c>
      <c r="H82" s="99">
        <v>0</v>
      </c>
      <c r="I82" s="538"/>
      <c r="J82" s="175"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v>0</v>
      </c>
      <c r="F83" s="122">
        <v>0</v>
      </c>
      <c r="G83" s="453">
        <v>0</v>
      </c>
      <c r="H83" s="99">
        <v>0</v>
      </c>
      <c r="I83" s="538"/>
      <c r="J83" s="175"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v>43366.18</v>
      </c>
      <c r="F84" s="164">
        <v>43366.18</v>
      </c>
      <c r="G84" s="453">
        <v>0</v>
      </c>
      <c r="H84" s="99">
        <v>-0.62000000000261934</v>
      </c>
      <c r="I84" s="538"/>
      <c r="J84" s="175">
        <v>-3.6470588235448194E-2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v>5622</v>
      </c>
      <c r="F85" s="164">
        <v>5622</v>
      </c>
      <c r="G85" s="453">
        <v>0</v>
      </c>
      <c r="H85" s="99">
        <v>146</v>
      </c>
      <c r="I85" s="538"/>
      <c r="J85" s="175">
        <v>8.5882352941176467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v>46568.22</v>
      </c>
      <c r="F86" s="164">
        <v>46579</v>
      </c>
      <c r="G86" s="453">
        <v>10.779999999998836</v>
      </c>
      <c r="H86" s="99">
        <v>307.58000000000175</v>
      </c>
      <c r="I86" s="538"/>
      <c r="J86" s="175">
        <v>18.092941176470692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v>35783.300000000003</v>
      </c>
      <c r="F87" s="164">
        <v>35807.4</v>
      </c>
      <c r="G87" s="453">
        <v>24.099999999998545</v>
      </c>
      <c r="H87" s="99">
        <v>151.40000000000146</v>
      </c>
      <c r="I87" s="524">
        <v>34.879999999997381</v>
      </c>
      <c r="J87" s="175">
        <v>8.9058823529412621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v>24444.787</v>
      </c>
      <c r="F88" s="164">
        <v>24447.7</v>
      </c>
      <c r="G88" s="453">
        <v>2.9130000000004657</v>
      </c>
      <c r="H88" s="99">
        <v>23.740000000001601</v>
      </c>
      <c r="I88" s="524"/>
      <c r="J88" s="175">
        <v>1.3964705882353883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v>28114.94</v>
      </c>
      <c r="F89" s="164">
        <v>28125.06</v>
      </c>
      <c r="G89" s="453">
        <v>10.120000000002619</v>
      </c>
      <c r="H89" s="99">
        <v>137.06000000000131</v>
      </c>
      <c r="I89" s="524">
        <v>13.033000000003085</v>
      </c>
      <c r="J89" s="175">
        <v>8.0623529411765471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v>73416.23</v>
      </c>
      <c r="F90" s="164">
        <v>73421.2</v>
      </c>
      <c r="G90" s="453">
        <v>4.9700000000011642</v>
      </c>
      <c r="H90" s="99">
        <v>177.45999999999185</v>
      </c>
      <c r="I90" s="524">
        <v>4.9700000000011642</v>
      </c>
      <c r="J90" s="175">
        <v>10.438823529411286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v>4860.29</v>
      </c>
      <c r="F91" s="122">
        <v>4871.46</v>
      </c>
      <c r="G91" s="453">
        <v>11.170000000000073</v>
      </c>
      <c r="H91" s="99">
        <v>193.02999999999975</v>
      </c>
      <c r="I91" s="572"/>
      <c r="J91" s="175">
        <v>11.354705882352926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v>7000.23</v>
      </c>
      <c r="F92" s="122">
        <v>7000.23</v>
      </c>
      <c r="G92" s="453">
        <v>0</v>
      </c>
      <c r="H92" s="99">
        <v>0.22999999999956344</v>
      </c>
      <c r="I92" s="573">
        <v>11.170000000000073</v>
      </c>
      <c r="J92" s="175">
        <v>1.3529411764680203E-2</v>
      </c>
      <c r="O92" s="71"/>
    </row>
    <row r="93" spans="1:15" ht="27.75" customHeight="1">
      <c r="A93" s="1305" t="s">
        <v>239</v>
      </c>
      <c r="B93" s="1306"/>
      <c r="C93" s="1307"/>
      <c r="D93" s="111"/>
      <c r="E93" s="111"/>
      <c r="F93" s="111"/>
      <c r="G93" s="456"/>
      <c r="H93" s="121"/>
      <c r="I93" s="121"/>
      <c r="J93" s="183"/>
      <c r="K93" s="69"/>
      <c r="L93" s="66"/>
      <c r="O93" s="71"/>
    </row>
    <row r="94" spans="1:15" ht="27.75" customHeight="1">
      <c r="A94" s="1281" t="s">
        <v>240</v>
      </c>
      <c r="B94" s="1282"/>
      <c r="C94" s="1283"/>
      <c r="D94" s="151" t="s">
        <v>130</v>
      </c>
      <c r="E94" s="151"/>
      <c r="F94" s="151"/>
      <c r="G94" s="468">
        <v>6347.9500000000698</v>
      </c>
      <c r="H94" s="99">
        <v>112444.90000000008</v>
      </c>
      <c r="I94" s="118"/>
      <c r="J94" s="175">
        <v>6614.4058823529458</v>
      </c>
      <c r="K94" s="69"/>
      <c r="L94" s="66"/>
      <c r="O94" s="71"/>
    </row>
    <row r="95" spans="1:15" ht="27.75" customHeight="1">
      <c r="A95" s="1281" t="s">
        <v>241</v>
      </c>
      <c r="B95" s="1282"/>
      <c r="C95" s="1283"/>
      <c r="D95" s="151" t="s">
        <v>23</v>
      </c>
      <c r="E95" s="146"/>
      <c r="F95" s="146"/>
      <c r="G95" s="469">
        <v>0.26522064291862307</v>
      </c>
      <c r="H95" s="99">
        <v>4.5033801118076315</v>
      </c>
      <c r="I95" s="167"/>
      <c r="J95" s="175">
        <v>0.26490471245927244</v>
      </c>
      <c r="K95" s="69"/>
      <c r="L95" s="66"/>
      <c r="O95" s="71"/>
    </row>
    <row r="96" spans="1:15" ht="27.75" customHeight="1">
      <c r="A96" s="1281" t="s">
        <v>242</v>
      </c>
      <c r="B96" s="1282"/>
      <c r="C96" s="1283"/>
      <c r="D96" s="151" t="s">
        <v>130</v>
      </c>
      <c r="E96" s="95"/>
      <c r="F96" s="95"/>
      <c r="G96" s="468">
        <v>4623.9400000000314</v>
      </c>
      <c r="H96" s="99">
        <v>98193.630000000034</v>
      </c>
      <c r="I96" s="118"/>
      <c r="J96" s="175">
        <v>5776.0958823529436</v>
      </c>
      <c r="K96" s="69"/>
      <c r="L96" s="66"/>
      <c r="O96" s="71"/>
    </row>
    <row r="97" spans="1:15" ht="27.75" customHeight="1">
      <c r="A97" s="1281" t="s">
        <v>243</v>
      </c>
      <c r="B97" s="1282"/>
      <c r="C97" s="1283"/>
      <c r="D97" s="151" t="s">
        <v>23</v>
      </c>
      <c r="E97" s="95"/>
      <c r="F97" s="95"/>
      <c r="G97" s="469">
        <v>0.18793142689925491</v>
      </c>
      <c r="H97" s="99">
        <v>3.9432720805258303</v>
      </c>
      <c r="I97" s="167"/>
      <c r="J97" s="175">
        <v>0.23195718120740177</v>
      </c>
      <c r="K97" s="69"/>
      <c r="L97" s="66"/>
      <c r="O97" s="71"/>
    </row>
    <row r="98" spans="1:15" ht="27.75" customHeight="1">
      <c r="A98" s="1281" t="s">
        <v>244</v>
      </c>
      <c r="B98" s="1282"/>
      <c r="C98" s="1283"/>
      <c r="D98" s="151" t="s">
        <v>130</v>
      </c>
      <c r="E98" s="95"/>
      <c r="F98" s="95"/>
      <c r="G98" s="468">
        <v>4307.4699999999721</v>
      </c>
      <c r="H98" s="99">
        <v>71287.280000000028</v>
      </c>
      <c r="I98" s="168"/>
      <c r="J98" s="175">
        <v>4193.3694117647074</v>
      </c>
      <c r="K98" s="69"/>
      <c r="L98" s="66"/>
      <c r="O98" s="71"/>
    </row>
    <row r="99" spans="1:15" ht="27.75" customHeight="1">
      <c r="A99" s="1281" t="s">
        <v>245</v>
      </c>
      <c r="B99" s="1282"/>
      <c r="C99" s="1283"/>
      <c r="D99" s="151" t="s">
        <v>23</v>
      </c>
      <c r="E99" s="95"/>
      <c r="F99" s="95"/>
      <c r="G99" s="469">
        <v>0.17996833036691554</v>
      </c>
      <c r="H99" s="99">
        <v>2.8558396685178082</v>
      </c>
      <c r="I99" s="168"/>
      <c r="J99" s="175">
        <v>0.16799056873634166</v>
      </c>
      <c r="O99" s="71"/>
    </row>
    <row r="100" spans="1:15" ht="27.75" customHeight="1">
      <c r="A100" s="1281" t="s">
        <v>246</v>
      </c>
      <c r="B100" s="1282"/>
      <c r="C100" s="1283"/>
      <c r="D100" s="151" t="s">
        <v>180</v>
      </c>
      <c r="E100" s="95"/>
      <c r="F100" s="95"/>
      <c r="G100" s="468">
        <v>2438.6999999999534</v>
      </c>
      <c r="H100" s="99">
        <v>38603.699999999953</v>
      </c>
      <c r="I100" s="118"/>
      <c r="J100" s="175">
        <v>2270.8058823529386</v>
      </c>
      <c r="K100" s="70"/>
      <c r="O100" s="71"/>
    </row>
    <row r="101" spans="1:15" ht="27.75" customHeight="1">
      <c r="A101" s="1281" t="s">
        <v>247</v>
      </c>
      <c r="B101" s="1282"/>
      <c r="C101" s="1283"/>
      <c r="D101" s="151" t="s">
        <v>23</v>
      </c>
      <c r="E101" s="95"/>
      <c r="F101" s="95"/>
      <c r="G101" s="469">
        <v>0.10189015066054816</v>
      </c>
      <c r="H101" s="99">
        <v>1.5463236605229835</v>
      </c>
      <c r="I101" s="168"/>
      <c r="J101" s="175">
        <v>9.0960215324881383E-2</v>
      </c>
      <c r="O101" s="71"/>
    </row>
    <row r="102" spans="1:15" ht="27.75" customHeight="1">
      <c r="A102" s="1281" t="s">
        <v>248</v>
      </c>
      <c r="B102" s="1282"/>
      <c r="C102" s="1283"/>
      <c r="D102" s="151" t="s">
        <v>180</v>
      </c>
      <c r="E102" s="95"/>
      <c r="F102" s="95"/>
      <c r="G102" s="468">
        <v>2159.8800000000047</v>
      </c>
      <c r="H102" s="99">
        <v>41961.380000000005</v>
      </c>
      <c r="I102" s="168"/>
      <c r="J102" s="175">
        <v>2468.3164705882355</v>
      </c>
      <c r="O102" s="71"/>
    </row>
    <row r="103" spans="1:15" ht="27.75" customHeight="1">
      <c r="A103" s="1281" t="s">
        <v>249</v>
      </c>
      <c r="B103" s="1282"/>
      <c r="C103" s="1283"/>
      <c r="D103" s="151" t="s">
        <v>23</v>
      </c>
      <c r="E103" s="95"/>
      <c r="F103" s="95"/>
      <c r="G103" s="469">
        <v>8.778429874331431E-2</v>
      </c>
      <c r="H103" s="99">
        <v>1.6848127725772695</v>
      </c>
      <c r="I103" s="118"/>
      <c r="J103" s="175">
        <v>9.9106633681015854E-2</v>
      </c>
      <c r="O103" s="71"/>
    </row>
    <row r="104" spans="1:15" ht="27.75" customHeight="1">
      <c r="A104" s="1281" t="s">
        <v>250</v>
      </c>
      <c r="B104" s="1282"/>
      <c r="C104" s="1283"/>
      <c r="D104" s="151" t="s">
        <v>180</v>
      </c>
      <c r="E104" s="95"/>
      <c r="F104" s="95"/>
      <c r="G104" s="468">
        <v>1050.8799999999901</v>
      </c>
      <c r="H104" s="99">
        <v>17394.199999999997</v>
      </c>
      <c r="I104" s="118"/>
      <c r="J104" s="175">
        <v>1023.1882352941175</v>
      </c>
      <c r="O104" s="71"/>
    </row>
    <row r="105" spans="1:15" ht="27.75" customHeight="1" thickBot="1">
      <c r="A105" s="1298" t="s">
        <v>251</v>
      </c>
      <c r="B105" s="1299"/>
      <c r="C105" s="1300"/>
      <c r="D105" s="231" t="s">
        <v>23</v>
      </c>
      <c r="E105" s="185"/>
      <c r="F105" s="185"/>
      <c r="G105" s="470">
        <v>4.2711059810439968E-2</v>
      </c>
      <c r="H105" s="99">
        <v>0.69887896517642056</v>
      </c>
      <c r="I105" s="187"/>
      <c r="J105" s="188">
        <v>4.1110527363318855E-2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71"/>
      <c r="H106" s="170"/>
      <c r="I106" s="169"/>
      <c r="J106" s="171"/>
      <c r="O106" s="71"/>
    </row>
    <row r="108" spans="1:15" ht="27.75" customHeight="1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7.75" customHeight="1">
      <c r="A109" s="1291"/>
      <c r="B109" s="1291"/>
    </row>
    <row r="110" spans="1:15" ht="27.75" customHeight="1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7.75" customHeight="1">
      <c r="A111" s="1270"/>
      <c r="B111" s="1271"/>
      <c r="C111" s="1272"/>
      <c r="D111" s="165"/>
      <c r="E111" s="165"/>
      <c r="F111" s="165"/>
      <c r="G111" s="473"/>
      <c r="H111" s="156"/>
      <c r="I111" s="165"/>
      <c r="J111" s="327"/>
    </row>
    <row r="112" spans="1:15" ht="27.75" customHeight="1">
      <c r="A112" s="1266" t="s">
        <v>252</v>
      </c>
      <c r="B112" s="1267"/>
      <c r="C112" s="1268"/>
      <c r="D112" s="146" t="s">
        <v>183</v>
      </c>
      <c r="E112" s="95">
        <v>12791.85</v>
      </c>
      <c r="F112" s="711">
        <v>12857</v>
      </c>
      <c r="G112" s="453">
        <v>65.149999999999636</v>
      </c>
      <c r="H112" s="99">
        <v>1194</v>
      </c>
      <c r="I112" s="165"/>
      <c r="J112" s="328">
        <v>70.235294117647058</v>
      </c>
    </row>
    <row r="113" spans="1:18" ht="27.75" customHeight="1">
      <c r="A113" s="1266" t="s">
        <v>253</v>
      </c>
      <c r="B113" s="1267"/>
      <c r="C113" s="1268"/>
      <c r="D113" s="146" t="s">
        <v>183</v>
      </c>
      <c r="E113" s="95">
        <v>25749.5</v>
      </c>
      <c r="F113" s="711">
        <v>25890.7</v>
      </c>
      <c r="G113" s="453">
        <v>141.20000000000073</v>
      </c>
      <c r="H113" s="99">
        <v>2369.7000000000007</v>
      </c>
      <c r="I113" s="165"/>
      <c r="J113" s="328">
        <v>139.39411764705886</v>
      </c>
    </row>
    <row r="114" spans="1:18" ht="27.75" customHeight="1">
      <c r="A114" s="1266" t="s">
        <v>254</v>
      </c>
      <c r="B114" s="1267"/>
      <c r="C114" s="1268"/>
      <c r="D114" s="146" t="s">
        <v>183</v>
      </c>
      <c r="E114" s="95">
        <v>38363.800000000003</v>
      </c>
      <c r="F114" s="711">
        <v>38588.199999999997</v>
      </c>
      <c r="G114" s="453">
        <v>224.39999999999418</v>
      </c>
      <c r="H114" s="99">
        <v>3813.1999999999971</v>
      </c>
      <c r="I114" s="165"/>
      <c r="J114" s="328">
        <v>224.30588235294101</v>
      </c>
    </row>
    <row r="115" spans="1:18" ht="27.75" customHeight="1">
      <c r="A115" s="1266" t="s">
        <v>255</v>
      </c>
      <c r="B115" s="1267"/>
      <c r="C115" s="1268"/>
      <c r="D115" s="146" t="s">
        <v>183</v>
      </c>
      <c r="E115" s="95">
        <v>24221.9</v>
      </c>
      <c r="F115" s="711">
        <v>24358.9</v>
      </c>
      <c r="G115" s="567">
        <v>137</v>
      </c>
      <c r="H115" s="99">
        <v>2305.9000000000015</v>
      </c>
      <c r="I115" s="165"/>
      <c r="J115" s="328">
        <v>135.64117647058833</v>
      </c>
    </row>
    <row r="116" spans="1:18" ht="27.75" customHeight="1">
      <c r="A116" s="1275" t="s">
        <v>96</v>
      </c>
      <c r="B116" s="1276"/>
      <c r="C116" s="1277"/>
      <c r="D116" s="146" t="s">
        <v>183</v>
      </c>
      <c r="E116" s="95">
        <v>103352</v>
      </c>
      <c r="F116" s="711">
        <v>103923.3</v>
      </c>
      <c r="G116" s="453">
        <v>571.30000000000291</v>
      </c>
      <c r="H116" s="99">
        <v>6788.3000000000029</v>
      </c>
      <c r="I116" s="165"/>
      <c r="J116" s="328">
        <v>399.31176470588252</v>
      </c>
      <c r="Q116" s="1266"/>
      <c r="R116" s="1268"/>
    </row>
    <row r="117" spans="1:18" ht="27.75" customHeight="1">
      <c r="A117" s="1275" t="s">
        <v>184</v>
      </c>
      <c r="B117" s="1276"/>
      <c r="C117" s="1277"/>
      <c r="D117" s="146" t="s">
        <v>183</v>
      </c>
      <c r="E117" s="95">
        <v>61714.5</v>
      </c>
      <c r="F117" s="711">
        <v>62035.9</v>
      </c>
      <c r="G117" s="453">
        <v>321.40000000000146</v>
      </c>
      <c r="H117" s="99">
        <v>5530.9000000000015</v>
      </c>
      <c r="I117" s="165"/>
      <c r="J117" s="328">
        <v>325.34705882352949</v>
      </c>
      <c r="Q117" s="1266"/>
      <c r="R117" s="1268"/>
    </row>
    <row r="118" spans="1:18" ht="27.75" customHeight="1">
      <c r="A118" s="1269" t="s">
        <v>97</v>
      </c>
      <c r="B118" s="1269"/>
      <c r="C118" s="1269"/>
      <c r="D118" s="151" t="s">
        <v>183</v>
      </c>
      <c r="E118" s="95">
        <v>111280.2</v>
      </c>
      <c r="F118" s="711">
        <v>111885.4</v>
      </c>
      <c r="G118" s="453">
        <v>605.19999999999709</v>
      </c>
      <c r="H118" s="99">
        <v>10131.399999999994</v>
      </c>
      <c r="I118" s="165"/>
      <c r="J118" s="328">
        <v>595.96470588235263</v>
      </c>
      <c r="Q118" s="1266"/>
      <c r="R118" s="1268"/>
    </row>
    <row r="119" spans="1:18" ht="27.75" customHeight="1">
      <c r="A119" s="1269" t="s">
        <v>98</v>
      </c>
      <c r="B119" s="1269"/>
      <c r="C119" s="1269"/>
      <c r="D119" s="151" t="s">
        <v>183</v>
      </c>
      <c r="E119" s="95">
        <v>42775.040000000001</v>
      </c>
      <c r="F119" s="711">
        <v>42789</v>
      </c>
      <c r="G119" s="453">
        <v>13.959999999999127</v>
      </c>
      <c r="H119" s="99">
        <v>208</v>
      </c>
      <c r="I119" s="165"/>
      <c r="J119" s="328">
        <v>12.235294117647058</v>
      </c>
    </row>
    <row r="120" spans="1:18" ht="27.75" customHeight="1">
      <c r="A120" s="1269" t="s">
        <v>99</v>
      </c>
      <c r="B120" s="1269"/>
      <c r="C120" s="1269"/>
      <c r="D120" s="151" t="s">
        <v>183</v>
      </c>
      <c r="E120" s="95">
        <v>77749.3</v>
      </c>
      <c r="F120" s="711">
        <v>78179.600000000006</v>
      </c>
      <c r="G120" s="453">
        <v>430.30000000000291</v>
      </c>
      <c r="H120" s="99">
        <v>6847.6000000000058</v>
      </c>
      <c r="I120" s="165"/>
      <c r="J120" s="328">
        <v>402.80000000000035</v>
      </c>
    </row>
    <row r="121" spans="1:18" ht="27.75" customHeight="1">
      <c r="A121" s="1269" t="s">
        <v>100</v>
      </c>
      <c r="B121" s="1269"/>
      <c r="C121" s="1269"/>
      <c r="D121" s="151" t="s">
        <v>183</v>
      </c>
      <c r="E121" s="95">
        <v>88491.24</v>
      </c>
      <c r="F121" s="711">
        <v>88939.8</v>
      </c>
      <c r="G121" s="453">
        <v>448.55999999999767</v>
      </c>
      <c r="H121" s="99">
        <v>7583.8000000000029</v>
      </c>
      <c r="I121" s="165"/>
      <c r="J121" s="328">
        <v>446.10588235294136</v>
      </c>
    </row>
    <row r="122" spans="1:18" ht="27.75" customHeight="1">
      <c r="A122" s="1269" t="s">
        <v>101</v>
      </c>
      <c r="B122" s="1269"/>
      <c r="C122" s="1269"/>
      <c r="D122" s="151" t="s">
        <v>183</v>
      </c>
      <c r="E122" s="95">
        <v>55208.2</v>
      </c>
      <c r="F122" s="711">
        <v>55595.3</v>
      </c>
      <c r="G122" s="453">
        <v>387.10000000000582</v>
      </c>
      <c r="H122" s="99">
        <v>6464.3000000000029</v>
      </c>
      <c r="I122" s="165"/>
      <c r="J122" s="328">
        <v>380.25294117647076</v>
      </c>
    </row>
    <row r="123" spans="1:18" ht="27.75" customHeight="1">
      <c r="A123" s="1269" t="s">
        <v>102</v>
      </c>
      <c r="B123" s="1269"/>
      <c r="C123" s="1269"/>
      <c r="D123" s="151" t="s">
        <v>183</v>
      </c>
      <c r="E123" s="95">
        <v>54638.16</v>
      </c>
      <c r="F123" s="711">
        <v>54941.8</v>
      </c>
      <c r="G123" s="453">
        <v>303.63999999999942</v>
      </c>
      <c r="H123" s="99">
        <v>5192.8000000000029</v>
      </c>
      <c r="I123" s="165"/>
      <c r="J123" s="328">
        <v>305.45882352941192</v>
      </c>
    </row>
    <row r="124" spans="1:18" ht="27.75" customHeight="1">
      <c r="A124" s="1270"/>
      <c r="B124" s="1271"/>
      <c r="C124" s="1272"/>
      <c r="D124" s="165"/>
      <c r="E124" s="95">
        <v>0</v>
      </c>
      <c r="F124" s="165"/>
      <c r="G124" s="473"/>
      <c r="H124" s="99">
        <v>0</v>
      </c>
      <c r="I124" s="165"/>
      <c r="J124" s="327"/>
    </row>
    <row r="125" spans="1:18" ht="27.75" customHeight="1">
      <c r="A125" s="1261" t="s">
        <v>196</v>
      </c>
      <c r="B125" s="1262"/>
      <c r="C125" s="245"/>
      <c r="D125" s="307"/>
      <c r="E125" s="308"/>
      <c r="F125" s="308"/>
      <c r="G125" s="474">
        <v>3649.2100000000009</v>
      </c>
      <c r="H125" s="156"/>
      <c r="I125" s="327">
        <v>-747</v>
      </c>
      <c r="J125" s="327"/>
    </row>
    <row r="126" spans="1:18" ht="27.75" customHeight="1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7.75" customHeight="1">
      <c r="A127" s="1274"/>
      <c r="B127" s="1274"/>
      <c r="C127" s="245"/>
      <c r="D127" s="307"/>
      <c r="E127" s="308"/>
      <c r="F127" s="308"/>
      <c r="G127" s="474"/>
      <c r="H127" s="99">
        <v>0</v>
      </c>
      <c r="I127" s="165"/>
      <c r="J127" s="328">
        <v>0</v>
      </c>
    </row>
    <row r="128" spans="1:18" ht="27.75" customHeight="1">
      <c r="A128" s="1266" t="s">
        <v>318</v>
      </c>
      <c r="B128" s="1267"/>
      <c r="C128" s="1268"/>
      <c r="D128" s="151" t="s">
        <v>183</v>
      </c>
      <c r="E128" s="95">
        <v>161409.35999999999</v>
      </c>
      <c r="F128" s="712">
        <v>161832.04</v>
      </c>
      <c r="G128" s="453">
        <v>422.68000000002212</v>
      </c>
      <c r="H128" s="99">
        <v>7017.0400000000081</v>
      </c>
      <c r="I128" s="165"/>
      <c r="J128" s="328">
        <v>412.76705882352991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v>86733.7</v>
      </c>
      <c r="F129" s="712">
        <v>86950.32</v>
      </c>
      <c r="G129" s="453">
        <v>216.6200000000099</v>
      </c>
      <c r="H129" s="99">
        <v>3014.320000000007</v>
      </c>
      <c r="I129" s="165"/>
      <c r="J129" s="328">
        <v>177.31294117647099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v>216770.3</v>
      </c>
      <c r="F130" s="712">
        <v>217492.19</v>
      </c>
      <c r="G130" s="453">
        <v>721.89000000001397</v>
      </c>
      <c r="H130" s="99">
        <v>10733.190000000002</v>
      </c>
      <c r="I130" s="165"/>
      <c r="J130" s="328">
        <v>631.36411764705895</v>
      </c>
      <c r="N130" s="240"/>
      <c r="O130" s="241"/>
    </row>
    <row r="131" spans="1:15" ht="27.75" customHeight="1">
      <c r="A131" s="1266" t="s">
        <v>321</v>
      </c>
      <c r="B131" s="1267"/>
      <c r="C131" s="1268"/>
      <c r="D131" s="151" t="s">
        <v>183</v>
      </c>
      <c r="E131" s="95">
        <v>63398.6</v>
      </c>
      <c r="F131" s="712">
        <v>63575.4</v>
      </c>
      <c r="G131" s="453">
        <v>176.80000000000291</v>
      </c>
      <c r="H131" s="99">
        <v>3267.4000000000015</v>
      </c>
      <c r="I131" s="165"/>
      <c r="J131" s="328">
        <v>192.20000000000007</v>
      </c>
      <c r="N131" s="240"/>
      <c r="O131" s="241"/>
    </row>
    <row r="132" spans="1:15" ht="27.75" customHeight="1">
      <c r="A132" s="1266" t="s">
        <v>322</v>
      </c>
      <c r="B132" s="1267"/>
      <c r="C132" s="1268"/>
      <c r="D132" s="151" t="s">
        <v>183</v>
      </c>
      <c r="E132" s="95">
        <v>146985</v>
      </c>
      <c r="F132" s="712">
        <v>146985</v>
      </c>
      <c r="G132" s="453">
        <v>0</v>
      </c>
      <c r="H132" s="99">
        <v>0</v>
      </c>
      <c r="I132" s="165"/>
      <c r="J132" s="328">
        <v>0</v>
      </c>
    </row>
    <row r="133" spans="1:15" ht="27.75" customHeight="1">
      <c r="A133" s="1266" t="s">
        <v>357</v>
      </c>
      <c r="B133" s="1267"/>
      <c r="C133" s="1268"/>
      <c r="D133" s="151" t="s">
        <v>183</v>
      </c>
      <c r="E133" s="95">
        <v>280037.46999999997</v>
      </c>
      <c r="F133" s="712">
        <v>280877.8</v>
      </c>
      <c r="G133" s="453">
        <v>840.3300000000163</v>
      </c>
      <c r="H133" s="99">
        <v>14932.799999999988</v>
      </c>
      <c r="I133" s="165"/>
      <c r="J133" s="328">
        <v>878.3999999999993</v>
      </c>
    </row>
    <row r="134" spans="1:15" ht="27.75" customHeight="1">
      <c r="A134" s="1266" t="s">
        <v>340</v>
      </c>
      <c r="B134" s="1267"/>
      <c r="C134" s="1268"/>
      <c r="D134" s="151" t="s">
        <v>183</v>
      </c>
      <c r="E134" s="95">
        <v>67716.399999999994</v>
      </c>
      <c r="F134" s="712">
        <v>67969.47</v>
      </c>
      <c r="G134" s="453">
        <v>253.07000000000698</v>
      </c>
      <c r="H134" s="99">
        <v>4307.4700000000012</v>
      </c>
      <c r="I134" s="165"/>
      <c r="J134" s="328">
        <v>253.3805882352942</v>
      </c>
    </row>
    <row r="135" spans="1:15" ht="27.75" customHeight="1">
      <c r="A135" s="1261" t="s">
        <v>196</v>
      </c>
      <c r="B135" s="1262"/>
      <c r="C135" s="331"/>
      <c r="D135" s="151"/>
      <c r="E135" s="95"/>
      <c r="F135" s="165"/>
      <c r="G135" s="453">
        <v>2631.3900000000722</v>
      </c>
      <c r="H135" s="99">
        <v>28128.780000000093</v>
      </c>
      <c r="I135" s="327">
        <v>-1171.2899999999208</v>
      </c>
      <c r="J135" s="328"/>
    </row>
    <row r="136" spans="1:15" ht="27.75" customHeight="1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7.75" customHeight="1">
      <c r="A137" s="245"/>
      <c r="B137" s="246"/>
      <c r="C137" s="246"/>
      <c r="D137" s="165"/>
      <c r="E137" s="165"/>
      <c r="F137" s="165"/>
      <c r="G137" s="473"/>
      <c r="H137" s="156"/>
      <c r="I137" s="165"/>
      <c r="J137" s="327"/>
    </row>
    <row r="138" spans="1:15" ht="27.75" customHeight="1">
      <c r="A138" s="1338" t="s">
        <v>185</v>
      </c>
      <c r="B138" s="1338"/>
      <c r="C138" s="1338"/>
      <c r="D138" s="233" t="s">
        <v>183</v>
      </c>
      <c r="E138" s="389">
        <v>900554</v>
      </c>
      <c r="F138" s="713">
        <v>900724</v>
      </c>
      <c r="G138" s="567">
        <v>170</v>
      </c>
      <c r="H138" s="238">
        <v>2519</v>
      </c>
      <c r="I138" s="390"/>
      <c r="J138" s="391">
        <v>148.1764705882353</v>
      </c>
    </row>
    <row r="139" spans="1:15" ht="27.75" customHeight="1">
      <c r="A139" s="1338" t="s">
        <v>186</v>
      </c>
      <c r="B139" s="1338"/>
      <c r="C139" s="1338"/>
      <c r="D139" s="233" t="s">
        <v>183</v>
      </c>
      <c r="E139" s="389">
        <v>920651</v>
      </c>
      <c r="F139" s="713">
        <v>920789</v>
      </c>
      <c r="G139" s="567">
        <v>138</v>
      </c>
      <c r="H139" s="238">
        <v>2585</v>
      </c>
      <c r="I139" s="390"/>
      <c r="J139" s="391">
        <v>152.05882352941177</v>
      </c>
    </row>
    <row r="140" spans="1:15" ht="27.75" customHeight="1">
      <c r="A140" s="1338" t="s">
        <v>187</v>
      </c>
      <c r="B140" s="1338"/>
      <c r="C140" s="1338"/>
      <c r="D140" s="233" t="s">
        <v>183</v>
      </c>
      <c r="E140" s="389">
        <v>2529.4</v>
      </c>
      <c r="F140" s="713">
        <v>2540.6</v>
      </c>
      <c r="G140" s="567">
        <v>11.199999999999818</v>
      </c>
      <c r="H140" s="238">
        <v>197.59999999999991</v>
      </c>
      <c r="I140" s="390"/>
      <c r="J140" s="391">
        <v>11.6235294117647</v>
      </c>
    </row>
    <row r="141" spans="1:15" ht="27.75" customHeight="1">
      <c r="A141" s="1339" t="s">
        <v>188</v>
      </c>
      <c r="B141" s="1339"/>
      <c r="C141" s="1339"/>
      <c r="D141" s="233" t="s">
        <v>183</v>
      </c>
      <c r="E141" s="389">
        <v>107362.9</v>
      </c>
      <c r="F141" s="713">
        <v>107576.06</v>
      </c>
      <c r="G141" s="567">
        <v>213.16000000000349</v>
      </c>
      <c r="H141" s="238">
        <v>3802.0599999999977</v>
      </c>
      <c r="I141" s="390"/>
      <c r="J141" s="391">
        <v>223.65058823529398</v>
      </c>
    </row>
    <row r="142" spans="1:15" ht="27.75" customHeight="1">
      <c r="A142" s="1339" t="s">
        <v>189</v>
      </c>
      <c r="B142" s="1339"/>
      <c r="C142" s="1339"/>
      <c r="D142" s="233" t="s">
        <v>183</v>
      </c>
      <c r="E142" s="389">
        <v>43284.7</v>
      </c>
      <c r="F142" s="713">
        <v>43385.5</v>
      </c>
      <c r="G142" s="567">
        <v>100.80000000000291</v>
      </c>
      <c r="H142" s="238">
        <v>1570.5</v>
      </c>
      <c r="I142" s="507"/>
      <c r="J142" s="391">
        <v>92.382352941176464</v>
      </c>
    </row>
    <row r="143" spans="1:15" ht="27.75" customHeight="1">
      <c r="A143" s="1338" t="s">
        <v>91</v>
      </c>
      <c r="B143" s="1338"/>
      <c r="C143" s="1338"/>
      <c r="D143" s="233" t="s">
        <v>183</v>
      </c>
      <c r="E143" s="389">
        <v>11116</v>
      </c>
      <c r="F143" s="713">
        <v>11143</v>
      </c>
      <c r="G143" s="567">
        <v>27</v>
      </c>
      <c r="H143" s="238">
        <v>466</v>
      </c>
      <c r="I143" s="507"/>
      <c r="J143" s="391">
        <v>27.411764705882351</v>
      </c>
    </row>
    <row r="144" spans="1:15" ht="27.75" customHeight="1">
      <c r="A144" s="1339" t="s">
        <v>90</v>
      </c>
      <c r="B144" s="1339"/>
      <c r="C144" s="1339"/>
      <c r="D144" s="233" t="s">
        <v>183</v>
      </c>
      <c r="E144" s="389">
        <v>937353</v>
      </c>
      <c r="F144" s="713">
        <v>937605</v>
      </c>
      <c r="G144" s="567">
        <v>252</v>
      </c>
      <c r="H144" s="238">
        <v>4084</v>
      </c>
      <c r="I144" s="507"/>
      <c r="J144" s="391">
        <v>240.23529411764707</v>
      </c>
    </row>
    <row r="145" spans="1:10" ht="27.75" customHeight="1">
      <c r="A145" s="1338" t="s">
        <v>190</v>
      </c>
      <c r="B145" s="1338"/>
      <c r="C145" s="1338"/>
      <c r="D145" s="233" t="s">
        <v>183</v>
      </c>
      <c r="E145" s="389">
        <v>16584.7</v>
      </c>
      <c r="F145" s="713">
        <v>16784.599999999999</v>
      </c>
      <c r="G145" s="567">
        <v>199.89999999999782</v>
      </c>
      <c r="H145" s="238">
        <v>3644.5999999999985</v>
      </c>
      <c r="I145" s="507"/>
      <c r="J145" s="391">
        <v>214.38823529411755</v>
      </c>
    </row>
    <row r="146" spans="1:10" ht="27.75" customHeight="1">
      <c r="A146" s="1343" t="s">
        <v>191</v>
      </c>
      <c r="B146" s="1344"/>
      <c r="C146" s="1345"/>
      <c r="D146" s="233" t="s">
        <v>183</v>
      </c>
      <c r="E146" s="389">
        <v>785075</v>
      </c>
      <c r="F146" s="713">
        <v>785118</v>
      </c>
      <c r="G146" s="567">
        <v>43</v>
      </c>
      <c r="H146" s="238">
        <v>779</v>
      </c>
      <c r="I146" s="507"/>
      <c r="J146" s="391">
        <v>45.823529411764703</v>
      </c>
    </row>
    <row r="147" spans="1:10" ht="27.75" customHeight="1">
      <c r="A147" s="1339" t="s">
        <v>192</v>
      </c>
      <c r="B147" s="1339"/>
      <c r="C147" s="1339"/>
      <c r="D147" s="233" t="s">
        <v>183</v>
      </c>
      <c r="E147" s="389">
        <v>729975.76</v>
      </c>
      <c r="F147" s="713">
        <v>730345.28</v>
      </c>
      <c r="G147" s="567">
        <v>369.52000000001863</v>
      </c>
      <c r="H147" s="238">
        <v>6823.2800000000279</v>
      </c>
      <c r="I147" s="507"/>
      <c r="J147" s="391">
        <v>401.36941176470754</v>
      </c>
    </row>
    <row r="148" spans="1:10" ht="27.75" customHeight="1">
      <c r="A148" s="1340" t="s">
        <v>193</v>
      </c>
      <c r="B148" s="1341"/>
      <c r="C148" s="1342"/>
      <c r="D148" s="393" t="s">
        <v>130</v>
      </c>
      <c r="E148" s="389">
        <v>771434.96</v>
      </c>
      <c r="F148" s="713">
        <v>771719.76</v>
      </c>
      <c r="G148" s="567">
        <v>284.80000000004657</v>
      </c>
      <c r="H148" s="238">
        <v>5109.7600000000093</v>
      </c>
      <c r="I148" s="238"/>
      <c r="J148" s="391">
        <v>300.57411764705938</v>
      </c>
    </row>
    <row r="149" spans="1:10" ht="27.75" customHeight="1">
      <c r="A149" s="1340" t="s">
        <v>336</v>
      </c>
      <c r="B149" s="1341"/>
      <c r="C149" s="1342"/>
      <c r="D149" s="399" t="s">
        <v>130</v>
      </c>
      <c r="E149" s="389">
        <v>164980</v>
      </c>
      <c r="F149" s="713">
        <v>165459.79999999999</v>
      </c>
      <c r="G149" s="567">
        <v>479.79999999998836</v>
      </c>
      <c r="H149" s="238">
        <v>7492.7999999999884</v>
      </c>
      <c r="I149" s="236"/>
      <c r="J149" s="391">
        <v>440.7529411764699</v>
      </c>
    </row>
    <row r="150" spans="1:10" ht="27.75" customHeight="1">
      <c r="A150" s="1340" t="s">
        <v>337</v>
      </c>
      <c r="B150" s="1341"/>
      <c r="C150" s="1342"/>
      <c r="D150" s="393" t="s">
        <v>130</v>
      </c>
      <c r="E150" s="389">
        <v>67512.399999999994</v>
      </c>
      <c r="F150" s="713">
        <v>67754.75</v>
      </c>
      <c r="G150" s="567">
        <v>242.35000000000582</v>
      </c>
      <c r="H150" s="238">
        <v>3776.75</v>
      </c>
      <c r="I150" s="236"/>
      <c r="J150" s="391">
        <v>222.16176470588235</v>
      </c>
    </row>
    <row r="151" spans="1:10" ht="27.75" customHeight="1">
      <c r="A151" s="1340" t="s">
        <v>338</v>
      </c>
      <c r="B151" s="1341"/>
      <c r="C151" s="1342"/>
      <c r="D151" s="393" t="s">
        <v>130</v>
      </c>
      <c r="E151" s="389">
        <v>150673</v>
      </c>
      <c r="F151" s="713">
        <v>150718</v>
      </c>
      <c r="G151" s="567">
        <v>45</v>
      </c>
      <c r="H151" s="238">
        <v>930</v>
      </c>
      <c r="I151" s="236"/>
      <c r="J151" s="391">
        <v>54.705882352941174</v>
      </c>
    </row>
    <row r="152" spans="1:10" ht="27.75" customHeight="1">
      <c r="A152" s="1340" t="s">
        <v>339</v>
      </c>
      <c r="B152" s="1341"/>
      <c r="C152" s="1342"/>
      <c r="D152" s="393" t="s">
        <v>130</v>
      </c>
      <c r="E152" s="389">
        <v>32679.599999999999</v>
      </c>
      <c r="F152" s="713">
        <v>32807.300000000003</v>
      </c>
      <c r="G152" s="567">
        <v>127.70000000000437</v>
      </c>
      <c r="H152" s="238">
        <v>2193.3000000000029</v>
      </c>
      <c r="I152" s="236"/>
      <c r="J152" s="391">
        <v>129.01764705882371</v>
      </c>
    </row>
    <row r="153" spans="1:10" ht="27.75" customHeight="1">
      <c r="A153" s="1347" t="s">
        <v>196</v>
      </c>
      <c r="B153" s="1348"/>
      <c r="C153" s="508"/>
      <c r="D153" s="509"/>
      <c r="E153" s="510"/>
      <c r="F153" s="358"/>
      <c r="G153" s="568">
        <v>2704.2300000000678</v>
      </c>
      <c r="H153" s="511"/>
      <c r="I153" s="236">
        <v>333.68000000005122</v>
      </c>
      <c r="J153" s="512"/>
    </row>
    <row r="154" spans="1:10" ht="27.75" customHeight="1">
      <c r="A154" s="1346" t="s">
        <v>344</v>
      </c>
      <c r="B154" s="1346"/>
      <c r="C154" s="1346"/>
      <c r="D154" s="1346"/>
      <c r="E154" s="1346"/>
      <c r="F154" s="1346"/>
      <c r="G154" s="1346"/>
      <c r="H154" s="1346"/>
      <c r="I154" s="1346"/>
      <c r="J154" s="1346"/>
    </row>
    <row r="155" spans="1:10" ht="27.75" customHeight="1">
      <c r="A155" s="1339" t="s">
        <v>345</v>
      </c>
      <c r="B155" s="1339"/>
      <c r="C155" s="1339"/>
      <c r="D155" s="393" t="s">
        <v>130</v>
      </c>
      <c r="E155" s="389">
        <v>194499.51</v>
      </c>
      <c r="F155" s="618">
        <v>195049.51</v>
      </c>
      <c r="G155" s="567">
        <v>550</v>
      </c>
      <c r="H155" s="238">
        <v>9308.5100000000093</v>
      </c>
      <c r="I155" s="513"/>
      <c r="J155" s="391">
        <v>547.5594117647064</v>
      </c>
    </row>
    <row r="156" spans="1:10" ht="27.75" customHeight="1">
      <c r="A156" s="1339" t="s">
        <v>347</v>
      </c>
      <c r="B156" s="1339"/>
      <c r="C156" s="1339"/>
      <c r="D156" s="393" t="s">
        <v>130</v>
      </c>
      <c r="E156" s="389">
        <v>22269.06</v>
      </c>
      <c r="F156" s="618">
        <v>22374.06</v>
      </c>
      <c r="G156" s="567">
        <v>105</v>
      </c>
      <c r="H156" s="238">
        <v>1635.0600000000013</v>
      </c>
      <c r="I156" s="158"/>
      <c r="J156" s="391">
        <v>96.180000000000078</v>
      </c>
    </row>
    <row r="157" spans="1:10" ht="27.75" customHeight="1">
      <c r="A157" s="1340" t="s">
        <v>358</v>
      </c>
      <c r="B157" s="1341"/>
      <c r="C157" s="1342"/>
      <c r="D157" s="393" t="s">
        <v>130</v>
      </c>
      <c r="E157" s="389">
        <v>37558.54</v>
      </c>
      <c r="F157" s="618">
        <v>37558.54</v>
      </c>
      <c r="G157" s="567">
        <v>0</v>
      </c>
      <c r="H157" s="238">
        <v>1434.5400000000009</v>
      </c>
      <c r="I157" s="158"/>
      <c r="J157" s="391">
        <v>84.384705882352989</v>
      </c>
    </row>
    <row r="158" spans="1:10" ht="27.75" customHeight="1">
      <c r="A158" s="1340" t="s">
        <v>359</v>
      </c>
      <c r="B158" s="1341"/>
      <c r="C158" s="1342"/>
      <c r="D158" s="393" t="s">
        <v>130</v>
      </c>
      <c r="E158" s="389">
        <v>872</v>
      </c>
      <c r="F158" s="618">
        <v>897.7</v>
      </c>
      <c r="G158" s="567">
        <v>25.700000000000045</v>
      </c>
      <c r="H158" s="238">
        <v>393.07000000000005</v>
      </c>
      <c r="I158" s="158"/>
      <c r="J158" s="391">
        <v>23.121764705882356</v>
      </c>
    </row>
    <row r="159" spans="1:10" ht="27.75" customHeight="1">
      <c r="A159" s="1349"/>
      <c r="B159" s="1350"/>
      <c r="C159" s="1351"/>
      <c r="D159" s="393"/>
      <c r="E159" s="389"/>
      <c r="F159" s="158"/>
      <c r="G159" s="567">
        <v>680.7</v>
      </c>
      <c r="H159" s="238"/>
      <c r="I159" s="158"/>
      <c r="J159" s="391"/>
    </row>
    <row r="160" spans="1:10" ht="27.75" customHeight="1">
      <c r="A160" s="1346" t="s">
        <v>326</v>
      </c>
      <c r="B160" s="1346"/>
      <c r="C160" s="1346"/>
      <c r="D160" s="1346"/>
      <c r="E160" s="1346"/>
      <c r="F160" s="1346"/>
      <c r="G160" s="1346"/>
      <c r="H160" s="1346"/>
      <c r="I160" s="1346"/>
      <c r="J160" s="1346"/>
    </row>
    <row r="161" spans="1:10" ht="27.75" customHeight="1">
      <c r="A161" s="242" t="s">
        <v>92</v>
      </c>
      <c r="B161" s="243"/>
      <c r="C161" s="243"/>
      <c r="D161" s="244" t="s">
        <v>180</v>
      </c>
      <c r="E161" s="389">
        <v>492953.2</v>
      </c>
      <c r="F161" s="628">
        <v>493277.04</v>
      </c>
      <c r="G161" s="476">
        <v>323.8399999999674</v>
      </c>
      <c r="H161" s="238">
        <v>0</v>
      </c>
      <c r="I161" s="236"/>
      <c r="J161" s="239">
        <v>0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v>97872.8</v>
      </c>
      <c r="F162" s="628">
        <v>97916.4</v>
      </c>
      <c r="G162" s="476">
        <v>43.599999999991269</v>
      </c>
      <c r="H162" s="99">
        <v>628.39999999999418</v>
      </c>
      <c r="I162" s="236"/>
      <c r="J162" s="239">
        <v>36.964705882352597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v>16014.1</v>
      </c>
      <c r="F163" s="628">
        <v>16149.3</v>
      </c>
      <c r="G163" s="476">
        <v>135.19999999999891</v>
      </c>
      <c r="H163" s="99">
        <v>1985.2999999999993</v>
      </c>
      <c r="I163" s="236"/>
      <c r="J163" s="239">
        <v>116.78235294117643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v>6720.5</v>
      </c>
      <c r="F164" s="628">
        <v>6728.6</v>
      </c>
      <c r="G164" s="476">
        <v>8.1000000000003638</v>
      </c>
      <c r="H164" s="99">
        <v>116.60000000000036</v>
      </c>
      <c r="I164" s="236"/>
      <c r="J164" s="239">
        <v>6.8588235294117865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v>32248.73</v>
      </c>
      <c r="F165" s="628">
        <v>32254.97</v>
      </c>
      <c r="G165" s="476">
        <v>6.2400000000016007</v>
      </c>
      <c r="H165" s="99">
        <v>113.97000000000116</v>
      </c>
      <c r="I165" s="236"/>
      <c r="J165" s="239">
        <v>6.7041176470588919</v>
      </c>
    </row>
    <row r="166" spans="1:10" ht="27.75" customHeight="1">
      <c r="A166" s="1274"/>
      <c r="B166" s="1274"/>
      <c r="C166" s="246"/>
      <c r="D166" s="244"/>
      <c r="E166" s="95"/>
      <c r="F166" s="165"/>
      <c r="G166" s="473"/>
      <c r="H166" s="99"/>
      <c r="I166" s="165"/>
      <c r="J166" s="239"/>
    </row>
    <row r="167" spans="1:10" ht="27.75" customHeight="1">
      <c r="A167" s="1274"/>
      <c r="B167" s="1274"/>
      <c r="C167" s="246"/>
      <c r="D167" s="244"/>
      <c r="E167" s="95"/>
      <c r="F167" s="165"/>
      <c r="G167" s="473"/>
      <c r="H167" s="99"/>
      <c r="I167" s="165"/>
      <c r="J167" s="239"/>
    </row>
    <row r="168" spans="1:10" ht="27.75" customHeight="1">
      <c r="A168" s="1274"/>
      <c r="B168" s="1274"/>
      <c r="C168" s="246"/>
      <c r="D168" s="244"/>
      <c r="E168" s="95"/>
      <c r="F168" s="165"/>
      <c r="G168" s="473"/>
      <c r="H168" s="99"/>
      <c r="I168" s="165"/>
      <c r="J168" s="239"/>
    </row>
    <row r="171" spans="1:10" ht="27.75" customHeight="1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7.75" customHeight="1">
      <c r="A172" s="1330"/>
      <c r="B172" s="1331"/>
      <c r="C172" s="332"/>
      <c r="D172" s="228"/>
      <c r="E172" s="155"/>
      <c r="F172" s="155"/>
      <c r="G172" s="477"/>
      <c r="H172" s="156"/>
      <c r="I172" s="155"/>
      <c r="J172" s="178"/>
    </row>
    <row r="173" spans="1:10" ht="27.75" customHeight="1">
      <c r="A173" s="1254" t="s">
        <v>209</v>
      </c>
      <c r="B173" s="1255"/>
      <c r="C173" s="333"/>
      <c r="D173" s="228" t="s">
        <v>142</v>
      </c>
      <c r="E173" s="95">
        <v>8606</v>
      </c>
      <c r="F173" s="619">
        <v>8608</v>
      </c>
      <c r="G173" s="477">
        <v>2</v>
      </c>
      <c r="H173" s="99">
        <v>27</v>
      </c>
      <c r="I173" s="155"/>
      <c r="J173" s="178">
        <v>1.588235294117647</v>
      </c>
    </row>
    <row r="174" spans="1:10" ht="27.75" customHeight="1">
      <c r="A174" s="1254" t="s">
        <v>75</v>
      </c>
      <c r="B174" s="1255"/>
      <c r="C174" s="333"/>
      <c r="D174" s="228" t="s">
        <v>142</v>
      </c>
      <c r="E174" s="95">
        <v>42177</v>
      </c>
      <c r="F174" s="619">
        <v>42189</v>
      </c>
      <c r="G174" s="477">
        <v>12</v>
      </c>
      <c r="H174" s="99">
        <v>227</v>
      </c>
      <c r="I174" s="155"/>
      <c r="J174" s="178">
        <v>13.352941176470589</v>
      </c>
    </row>
    <row r="175" spans="1:10" ht="27.75" customHeight="1">
      <c r="A175" s="1254" t="s">
        <v>76</v>
      </c>
      <c r="B175" s="1324"/>
      <c r="C175" s="1255"/>
      <c r="D175" s="228" t="s">
        <v>142</v>
      </c>
      <c r="E175" s="95">
        <v>24870</v>
      </c>
      <c r="F175" s="619">
        <v>24884</v>
      </c>
      <c r="G175" s="477">
        <v>14</v>
      </c>
      <c r="H175" s="99">
        <v>187</v>
      </c>
      <c r="I175" s="155"/>
      <c r="J175" s="178">
        <v>11</v>
      </c>
    </row>
    <row r="176" spans="1:10" ht="27.75" customHeight="1">
      <c r="A176" s="1261" t="s">
        <v>196</v>
      </c>
      <c r="B176" s="1262"/>
      <c r="C176" s="333"/>
      <c r="D176" s="228" t="s">
        <v>142</v>
      </c>
      <c r="E176" s="95"/>
      <c r="F176" s="155"/>
      <c r="G176" s="477">
        <v>28</v>
      </c>
      <c r="H176" s="99">
        <v>441</v>
      </c>
      <c r="I176" s="155"/>
      <c r="J176" s="178">
        <v>25.941176470588236</v>
      </c>
    </row>
    <row r="177" spans="1:11" ht="27.75" customHeight="1">
      <c r="A177" s="1254" t="s">
        <v>77</v>
      </c>
      <c r="B177" s="1255"/>
      <c r="C177" s="333"/>
      <c r="D177" s="228" t="s">
        <v>142</v>
      </c>
      <c r="E177" s="95"/>
      <c r="F177" s="157"/>
      <c r="G177" s="477"/>
      <c r="H177" s="99">
        <v>0</v>
      </c>
      <c r="I177" s="155"/>
      <c r="J177" s="178">
        <v>0</v>
      </c>
    </row>
    <row r="178" spans="1:11" ht="27.75" customHeight="1">
      <c r="A178" s="1254" t="s">
        <v>210</v>
      </c>
      <c r="B178" s="1255"/>
      <c r="C178" s="333"/>
      <c r="D178" s="228" t="s">
        <v>142</v>
      </c>
      <c r="E178" s="95">
        <v>102114</v>
      </c>
      <c r="F178" s="619">
        <v>102114</v>
      </c>
      <c r="G178" s="477">
        <v>0</v>
      </c>
      <c r="H178" s="99">
        <v>3</v>
      </c>
      <c r="I178" s="155"/>
      <c r="J178" s="178">
        <v>0.17647058823529413</v>
      </c>
    </row>
    <row r="179" spans="1:11" ht="27.75" customHeight="1">
      <c r="A179" s="1254" t="s">
        <v>211</v>
      </c>
      <c r="B179" s="1255"/>
      <c r="C179" s="333"/>
      <c r="D179" s="228" t="s">
        <v>142</v>
      </c>
      <c r="E179" s="95">
        <v>37501</v>
      </c>
      <c r="F179" s="619">
        <v>37501</v>
      </c>
      <c r="G179" s="477">
        <v>0</v>
      </c>
      <c r="H179" s="99">
        <v>0</v>
      </c>
      <c r="I179" s="155"/>
      <c r="J179" s="178">
        <v>0</v>
      </c>
    </row>
    <row r="180" spans="1:11" ht="27.75" customHeight="1">
      <c r="A180" s="1254" t="s">
        <v>212</v>
      </c>
      <c r="B180" s="1255"/>
      <c r="C180" s="333"/>
      <c r="D180" s="228" t="s">
        <v>142</v>
      </c>
      <c r="E180" s="95">
        <v>37036</v>
      </c>
      <c r="F180" s="621">
        <v>37036</v>
      </c>
      <c r="G180" s="477">
        <v>0</v>
      </c>
      <c r="H180" s="99">
        <v>0</v>
      </c>
      <c r="I180" s="155"/>
      <c r="J180" s="178">
        <v>0</v>
      </c>
    </row>
    <row r="181" spans="1:11" ht="27.75" customHeight="1">
      <c r="A181" s="1325" t="s">
        <v>108</v>
      </c>
      <c r="B181" s="1326"/>
      <c r="C181" s="333"/>
      <c r="D181" s="228" t="s">
        <v>142</v>
      </c>
      <c r="E181" s="95"/>
      <c r="F181" s="155"/>
      <c r="G181" s="477">
        <v>0</v>
      </c>
      <c r="H181" s="99">
        <v>3</v>
      </c>
      <c r="I181" s="155"/>
      <c r="J181" s="178">
        <v>0.17647058823529413</v>
      </c>
    </row>
    <row r="182" spans="1:11" ht="27.75" customHeight="1">
      <c r="A182" s="1254" t="s">
        <v>213</v>
      </c>
      <c r="B182" s="1255"/>
      <c r="C182" s="333"/>
      <c r="D182" s="228" t="s">
        <v>142</v>
      </c>
      <c r="E182" s="95"/>
      <c r="F182" s="155"/>
      <c r="G182" s="477"/>
      <c r="H182" s="99">
        <v>0</v>
      </c>
      <c r="I182" s="155"/>
      <c r="J182" s="178">
        <v>0</v>
      </c>
    </row>
    <row r="183" spans="1:11" ht="27.75" customHeight="1">
      <c r="A183" s="1254" t="s">
        <v>214</v>
      </c>
      <c r="B183" s="1255"/>
      <c r="C183" s="334"/>
      <c r="D183" s="228" t="s">
        <v>142</v>
      </c>
      <c r="E183" s="95">
        <v>17926</v>
      </c>
      <c r="F183" s="619">
        <v>17934</v>
      </c>
      <c r="G183" s="478">
        <v>8</v>
      </c>
      <c r="H183" s="99">
        <v>86</v>
      </c>
      <c r="I183" s="155"/>
      <c r="J183" s="178">
        <v>5.0588235294117645</v>
      </c>
    </row>
    <row r="184" spans="1:11" ht="27.75" customHeight="1">
      <c r="A184" s="1254" t="s">
        <v>215</v>
      </c>
      <c r="B184" s="1255"/>
      <c r="C184" s="334"/>
      <c r="D184" s="228" t="s">
        <v>142</v>
      </c>
      <c r="E184" s="95">
        <v>12472</v>
      </c>
      <c r="F184" s="619">
        <v>12483</v>
      </c>
      <c r="G184" s="478">
        <v>11</v>
      </c>
      <c r="H184" s="99">
        <v>134</v>
      </c>
      <c r="I184" s="155"/>
      <c r="J184" s="178">
        <v>7.882352941176471</v>
      </c>
    </row>
    <row r="185" spans="1:11" ht="27.75" customHeight="1">
      <c r="A185" s="1254" t="s">
        <v>216</v>
      </c>
      <c r="B185" s="1255"/>
      <c r="C185" s="334"/>
      <c r="D185" s="228" t="s">
        <v>142</v>
      </c>
      <c r="E185" s="95">
        <v>0</v>
      </c>
      <c r="F185" s="157"/>
      <c r="G185" s="478">
        <v>0</v>
      </c>
      <c r="H185" s="99">
        <v>0</v>
      </c>
      <c r="I185" s="155"/>
      <c r="J185" s="178">
        <v>0</v>
      </c>
    </row>
    <row r="186" spans="1:11" ht="27.75" customHeight="1">
      <c r="A186" s="1261" t="s">
        <v>196</v>
      </c>
      <c r="B186" s="1262"/>
      <c r="C186" s="334"/>
      <c r="D186" s="228" t="s">
        <v>142</v>
      </c>
      <c r="E186" s="95"/>
      <c r="F186" s="157"/>
      <c r="G186" s="478">
        <v>19</v>
      </c>
      <c r="H186" s="99">
        <v>220</v>
      </c>
      <c r="I186" s="157"/>
      <c r="J186" s="178">
        <v>12.941176470588236</v>
      </c>
    </row>
    <row r="187" spans="1:11" ht="27.75" customHeight="1">
      <c r="A187" s="1250" t="s">
        <v>217</v>
      </c>
      <c r="B187" s="1251"/>
      <c r="C187" s="333"/>
      <c r="D187" s="228" t="s">
        <v>142</v>
      </c>
      <c r="E187" s="95"/>
      <c r="F187" s="159"/>
      <c r="G187" s="478">
        <v>169</v>
      </c>
      <c r="H187" s="99">
        <v>2552</v>
      </c>
      <c r="I187" s="158"/>
      <c r="J187" s="179">
        <v>150.11764705882354</v>
      </c>
    </row>
    <row r="188" spans="1:11" ht="27.75" customHeight="1">
      <c r="A188" s="1250" t="s">
        <v>218</v>
      </c>
      <c r="B188" s="1251"/>
      <c r="C188" s="333"/>
      <c r="D188" s="230" t="s">
        <v>142</v>
      </c>
      <c r="E188" s="95"/>
      <c r="F188" s="159"/>
      <c r="G188" s="478">
        <v>156</v>
      </c>
      <c r="H188" s="99">
        <v>531</v>
      </c>
      <c r="I188" s="158"/>
      <c r="J188" s="179">
        <v>31.235294117647058</v>
      </c>
    </row>
    <row r="189" spans="1:11" ht="27.75" customHeight="1">
      <c r="A189" s="1250" t="s">
        <v>219</v>
      </c>
      <c r="B189" s="1251"/>
      <c r="C189" s="333"/>
      <c r="D189" s="230" t="s">
        <v>142</v>
      </c>
      <c r="E189" s="95"/>
      <c r="F189" s="157"/>
      <c r="G189" s="478">
        <v>0</v>
      </c>
      <c r="H189" s="99">
        <v>3</v>
      </c>
      <c r="I189" s="158"/>
      <c r="J189" s="179">
        <v>0.17647058823529413</v>
      </c>
    </row>
    <row r="190" spans="1:11" ht="27.75" customHeight="1">
      <c r="A190" s="1252"/>
      <c r="B190" s="1253"/>
      <c r="C190" s="382"/>
      <c r="D190" s="379"/>
      <c r="E190" s="379"/>
      <c r="F190" s="379"/>
      <c r="G190" s="569"/>
      <c r="H190" s="380"/>
      <c r="I190" s="379"/>
      <c r="J190" s="381"/>
    </row>
    <row r="191" spans="1:11" ht="23.25" customHeight="1">
      <c r="A191" s="245"/>
      <c r="B191" s="246"/>
      <c r="C191" s="246"/>
      <c r="D191" s="165"/>
      <c r="E191" s="165"/>
      <c r="F191" s="155"/>
      <c r="G191" s="473"/>
      <c r="H191" s="238"/>
      <c r="I191" s="99"/>
      <c r="J191" s="236"/>
      <c r="K191" s="239" t="e">
        <v>#DIV/0!</v>
      </c>
    </row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51" zoomScale="55" zoomScaleNormal="68" zoomScaleSheetLayoutView="55" workbookViewId="0">
      <selection activeCell="F64" sqref="F64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32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7.75" customHeight="1">
      <c r="A2" s="191" t="s">
        <v>349</v>
      </c>
      <c r="B2" s="262">
        <v>44852</v>
      </c>
      <c r="C2" s="348" t="s">
        <v>67</v>
      </c>
      <c r="D2" s="218">
        <v>0.98</v>
      </c>
      <c r="E2" s="100"/>
      <c r="F2" s="100"/>
      <c r="G2" s="409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1322" t="s">
        <v>119</v>
      </c>
      <c r="F3" s="1323"/>
      <c r="G3" s="410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0.78</v>
      </c>
      <c r="E4" s="103"/>
      <c r="F4" s="103"/>
      <c r="G4" s="410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11" t="s">
        <v>124</v>
      </c>
      <c r="H5" s="108" t="s">
        <v>125</v>
      </c>
      <c r="I5" s="109" t="s">
        <v>126</v>
      </c>
      <c r="J5" s="900" t="s">
        <v>127</v>
      </c>
      <c r="K5" s="77"/>
      <c r="L5" s="66"/>
    </row>
    <row r="6" spans="1:15" ht="27.75" customHeight="1">
      <c r="A6" s="1319" t="s">
        <v>128</v>
      </c>
      <c r="B6" s="1320"/>
      <c r="C6" s="1321"/>
      <c r="D6" s="110"/>
      <c r="E6" s="110"/>
      <c r="F6" s="110"/>
      <c r="G6" s="412"/>
      <c r="H6" s="111"/>
      <c r="I6" s="111"/>
      <c r="J6" s="642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v>305118</v>
      </c>
      <c r="F7" s="95">
        <v>329375</v>
      </c>
      <c r="G7" s="413">
        <f>F7-E7</f>
        <v>24257</v>
      </c>
      <c r="H7" s="99">
        <f>G7+'17'!H7</f>
        <v>447539</v>
      </c>
      <c r="I7" s="113">
        <f>'1'!I7</f>
        <v>12000</v>
      </c>
      <c r="J7" s="175">
        <f>H7/DAY(B2)</f>
        <v>24863.277777777777</v>
      </c>
      <c r="K7" s="172">
        <v>1375467</v>
      </c>
      <c r="L7" s="66"/>
      <c r="N7" s="71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v>478188</v>
      </c>
      <c r="F8" s="95">
        <v>502650.5</v>
      </c>
      <c r="G8" s="413">
        <f t="shared" ref="G8:G10" si="0">F8-E8</f>
        <v>24462.5</v>
      </c>
      <c r="H8" s="99">
        <f>G8+'17'!H8</f>
        <v>453270.5</v>
      </c>
      <c r="I8" s="116"/>
      <c r="J8" s="175">
        <f>H8/DAY(B2)</f>
        <v>25181.694444444445</v>
      </c>
      <c r="K8" s="172">
        <v>1715917</v>
      </c>
      <c r="L8" s="76">
        <v>1728480</v>
      </c>
      <c r="M8" s="87">
        <f>L8-K8</f>
        <v>12563</v>
      </c>
      <c r="N8" s="71"/>
      <c r="O8" s="71">
        <f>G7-N8</f>
        <v>24257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v>3807801.1</v>
      </c>
      <c r="F9" s="447">
        <v>3814938.7</v>
      </c>
      <c r="G9" s="494">
        <f t="shared" si="0"/>
        <v>7137.6000000000931</v>
      </c>
      <c r="H9" s="99">
        <f>G9+'17'!H9</f>
        <v>108231.70000000019</v>
      </c>
      <c r="I9" s="124">
        <f>I7-J7</f>
        <v>-12863.277777777777</v>
      </c>
      <c r="J9" s="175">
        <f>H9/DAY(B2)</f>
        <v>6012.8722222222323</v>
      </c>
      <c r="K9" s="79">
        <f>K8-100</f>
        <v>1715817</v>
      </c>
      <c r="L9" s="66"/>
      <c r="N9" s="71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v>3053750.7</v>
      </c>
      <c r="F10" s="353">
        <v>3070231.19</v>
      </c>
      <c r="G10" s="494">
        <f t="shared" si="0"/>
        <v>16480.489999999758</v>
      </c>
      <c r="H10" s="99">
        <f>G10+'17'!H10</f>
        <v>327537.18999999994</v>
      </c>
      <c r="I10" s="282"/>
      <c r="J10" s="175">
        <f>H10/DAY(B2)</f>
        <v>18196.510555555553</v>
      </c>
      <c r="K10" s="79"/>
      <c r="L10" s="66"/>
      <c r="N10" s="71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v>37560</v>
      </c>
      <c r="F11" s="95">
        <v>37560</v>
      </c>
      <c r="G11" s="1024">
        <f t="shared" ref="G11:G12" si="1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71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v>40380</v>
      </c>
      <c r="F12" s="117">
        <v>40380</v>
      </c>
      <c r="G12" s="413">
        <f t="shared" si="1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71">
        <f>G13-G7</f>
        <v>-638.91000000014901</v>
      </c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15">
        <f>G9+G10+G11+G12</f>
        <v>23618.089999999851</v>
      </c>
      <c r="H13" s="99">
        <f>G13+'17'!H13</f>
        <v>437228.89000000013</v>
      </c>
      <c r="I13" s="120">
        <f>G7-G13</f>
        <v>638.91000000014901</v>
      </c>
      <c r="J13" s="175">
        <f>H13/DAY(B2)</f>
        <v>24290.493888888897</v>
      </c>
      <c r="K13" s="79"/>
      <c r="L13" s="66"/>
      <c r="N13" s="71"/>
      <c r="O13" s="71"/>
    </row>
    <row r="14" spans="1:15" ht="27.75" customHeight="1">
      <c r="A14" s="1308" t="s">
        <v>137</v>
      </c>
      <c r="B14" s="1309"/>
      <c r="C14" s="1310"/>
      <c r="D14" s="111"/>
      <c r="E14" s="111"/>
      <c r="F14" s="111"/>
      <c r="G14" s="416"/>
      <c r="H14" s="111"/>
      <c r="I14" s="111"/>
      <c r="J14" s="642"/>
      <c r="K14" s="80"/>
      <c r="L14" s="66"/>
      <c r="N14" s="71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47">
        <v>2178973</v>
      </c>
      <c r="F15" s="447">
        <v>2180004.5</v>
      </c>
      <c r="G15" s="413">
        <f>(F15-E15)</f>
        <v>1031.5</v>
      </c>
      <c r="H15" s="99">
        <f>G15+'17'!H15</f>
        <v>18489.5</v>
      </c>
      <c r="I15" s="113">
        <f>'1'!I15</f>
        <v>800</v>
      </c>
      <c r="J15" s="175">
        <f>H15/DAY(B2)</f>
        <v>1027.1944444444443</v>
      </c>
      <c r="K15" s="79"/>
      <c r="L15" s="66"/>
      <c r="N15" s="71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13"/>
      <c r="H16" s="124"/>
      <c r="I16" s="120">
        <f>I15-J15</f>
        <v>-227.19444444444434</v>
      </c>
      <c r="J16" s="176"/>
      <c r="K16" s="79"/>
      <c r="L16" s="66"/>
      <c r="N16" s="71"/>
      <c r="O16" s="71"/>
    </row>
    <row r="17" spans="1:15" ht="27.75" customHeight="1">
      <c r="A17" s="1308" t="s">
        <v>140</v>
      </c>
      <c r="B17" s="1309"/>
      <c r="C17" s="1310"/>
      <c r="D17" s="111"/>
      <c r="E17" s="111"/>
      <c r="F17" s="111"/>
      <c r="G17" s="416"/>
      <c r="H17" s="111"/>
      <c r="I17" s="111"/>
      <c r="J17" s="642"/>
      <c r="K17" s="79"/>
      <c r="L17" s="66"/>
      <c r="N17" s="71"/>
      <c r="O17" s="71"/>
    </row>
    <row r="18" spans="1:15" ht="27.75" customHeight="1">
      <c r="A18" s="1281" t="s">
        <v>141</v>
      </c>
      <c r="B18" s="1282"/>
      <c r="C18" s="1283"/>
      <c r="D18" s="151" t="s">
        <v>142</v>
      </c>
      <c r="E18" s="95">
        <v>25</v>
      </c>
      <c r="F18" s="122">
        <v>23</v>
      </c>
      <c r="G18" s="415">
        <f>F18*10</f>
        <v>230</v>
      </c>
      <c r="H18" s="99">
        <f>G18+'17'!H18</f>
        <v>4440</v>
      </c>
      <c r="I18" s="113">
        <f>'1'!I18</f>
        <v>65</v>
      </c>
      <c r="J18" s="175">
        <f>H18/DAY(B2)</f>
        <v>246.66666666666666</v>
      </c>
      <c r="K18" s="79"/>
      <c r="L18" s="66"/>
      <c r="N18" s="71"/>
      <c r="O18" s="71"/>
    </row>
    <row r="19" spans="1:15" ht="27.75" customHeight="1">
      <c r="A19" s="1281" t="s">
        <v>69</v>
      </c>
      <c r="B19" s="1282"/>
      <c r="C19" s="1283"/>
      <c r="D19" s="151" t="s">
        <v>142</v>
      </c>
      <c r="E19" s="95">
        <v>166317</v>
      </c>
      <c r="F19" s="122">
        <v>166360</v>
      </c>
      <c r="G19" s="413">
        <f t="shared" ref="G19" si="2">F19-E19</f>
        <v>43</v>
      </c>
      <c r="H19" s="99">
        <f>G19+'17'!H19</f>
        <v>917</v>
      </c>
      <c r="I19" s="335"/>
      <c r="J19" s="175">
        <f>H19/DAY(B2)</f>
        <v>50.944444444444443</v>
      </c>
      <c r="K19" s="79"/>
      <c r="L19" s="66"/>
      <c r="N19" s="71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17">
        <f>G18+G19</f>
        <v>273</v>
      </c>
      <c r="H20" s="99">
        <f>G20+'17'!H20</f>
        <v>5357</v>
      </c>
      <c r="I20" s="336">
        <f>I18-J20</f>
        <v>-232.61111111111109</v>
      </c>
      <c r="J20" s="175">
        <f>H20/DAY(B2)</f>
        <v>297.61111111111109</v>
      </c>
      <c r="K20" s="79"/>
      <c r="L20" s="66"/>
      <c r="N20" s="71"/>
      <c r="O20" s="71"/>
    </row>
    <row r="21" spans="1:15" ht="27.75" customHeight="1">
      <c r="A21" s="1308" t="s">
        <v>144</v>
      </c>
      <c r="B21" s="1309"/>
      <c r="C21" s="1310"/>
      <c r="D21" s="111"/>
      <c r="E21" s="111"/>
      <c r="F21" s="111"/>
      <c r="G21" s="416"/>
      <c r="H21" s="111"/>
      <c r="I21" s="111"/>
      <c r="J21" s="642"/>
      <c r="K21" s="79"/>
      <c r="L21" s="66"/>
      <c r="N21" s="71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v>2970</v>
      </c>
      <c r="F22" s="122">
        <v>2970</v>
      </c>
      <c r="G22" s="415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71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389">
        <v>1500</v>
      </c>
      <c r="F23" s="164">
        <v>1500</v>
      </c>
      <c r="G23" s="494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71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415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71"/>
      <c r="O24" s="71"/>
    </row>
    <row r="25" spans="1:15" s="88" customFormat="1" ht="27.75" customHeight="1">
      <c r="A25" s="1311" t="s">
        <v>149</v>
      </c>
      <c r="B25" s="1312"/>
      <c r="C25" s="1313"/>
      <c r="D25" s="110"/>
      <c r="E25" s="110"/>
      <c r="F25" s="110"/>
      <c r="G25" s="418"/>
      <c r="H25" s="130"/>
      <c r="I25" s="131"/>
      <c r="J25" s="177"/>
      <c r="K25" s="63"/>
      <c r="L25" s="89"/>
      <c r="N25" s="71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19"/>
      <c r="H26" s="99"/>
      <c r="I26" s="134"/>
      <c r="J26" s="175"/>
      <c r="K26" s="64"/>
      <c r="L26" s="89"/>
      <c r="N26" s="71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v>24462.5</v>
      </c>
      <c r="F27" s="136">
        <v>10</v>
      </c>
      <c r="G27" s="420">
        <f>E27*F27</f>
        <v>244625</v>
      </c>
      <c r="H27" s="99">
        <f>G27+'17'!H27</f>
        <v>4532705</v>
      </c>
      <c r="I27" s="138"/>
      <c r="J27" s="175">
        <f>H27/DAY(B2)</f>
        <v>251816.94444444444</v>
      </c>
      <c r="K27" s="63"/>
      <c r="L27" s="89"/>
      <c r="N27" s="71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v>1031.5</v>
      </c>
      <c r="F28" s="136">
        <v>75</v>
      </c>
      <c r="G28" s="420">
        <f>E28*F28</f>
        <v>77362.5</v>
      </c>
      <c r="H28" s="99">
        <f>G28+'17'!H28</f>
        <v>1386712.5</v>
      </c>
      <c r="I28" s="140"/>
      <c r="J28" s="175">
        <f>H28/DAY(B2)</f>
        <v>77039.583333333328</v>
      </c>
      <c r="K28" s="63"/>
      <c r="L28" s="89"/>
      <c r="N28" s="71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v>0</v>
      </c>
      <c r="F29" s="136">
        <v>69</v>
      </c>
      <c r="G29" s="420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71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v>43</v>
      </c>
      <c r="F30" s="136">
        <v>151</v>
      </c>
      <c r="G30" s="420">
        <f>E30*F30</f>
        <v>6493</v>
      </c>
      <c r="H30" s="99">
        <f>G30+'17'!H30</f>
        <v>138467</v>
      </c>
      <c r="I30" s="140"/>
      <c r="J30" s="175">
        <f>H30/DAY(B2)</f>
        <v>7692.6111111111113</v>
      </c>
      <c r="K30" s="63"/>
      <c r="L30" s="89"/>
      <c r="N30" s="71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v>230</v>
      </c>
      <c r="F31" s="136">
        <v>85</v>
      </c>
      <c r="G31" s="420">
        <f>E31*F31</f>
        <v>19550</v>
      </c>
      <c r="H31" s="99">
        <f>G31+'17'!H31</f>
        <v>374250</v>
      </c>
      <c r="I31" s="140"/>
      <c r="J31" s="175">
        <f>H31/DAY(B2)</f>
        <v>20791.666666666668</v>
      </c>
      <c r="K31" s="63"/>
      <c r="L31" s="89"/>
      <c r="N31" s="71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21">
        <f>G27+G28+G29+G30+G31</f>
        <v>348030.5</v>
      </c>
      <c r="H32" s="99">
        <f>G32+'17'!H32</f>
        <v>6432134.5</v>
      </c>
      <c r="I32" s="144"/>
      <c r="J32" s="175">
        <f>H32/DAY(B2)</f>
        <v>357340.80555555556</v>
      </c>
      <c r="K32" s="63"/>
      <c r="L32" s="89"/>
      <c r="N32" s="71"/>
      <c r="O32" s="71"/>
    </row>
    <row r="33" spans="1:15" ht="27.75" customHeight="1">
      <c r="A33" s="1314" t="s">
        <v>331</v>
      </c>
      <c r="B33" s="1315"/>
      <c r="C33" s="1315"/>
      <c r="D33" s="337"/>
      <c r="E33" s="337"/>
      <c r="F33" s="337"/>
      <c r="G33" s="422"/>
      <c r="H33" s="337"/>
      <c r="I33" s="337"/>
      <c r="J33" s="905"/>
      <c r="K33" s="79"/>
      <c r="L33" s="66"/>
      <c r="N33" s="71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23"/>
      <c r="H34" s="111"/>
      <c r="I34" s="111"/>
      <c r="J34" s="642"/>
      <c r="K34" s="79"/>
      <c r="L34" s="66"/>
      <c r="N34" s="71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748">
        <v>255483.61</v>
      </c>
      <c r="F35" s="807">
        <v>257516.7</v>
      </c>
      <c r="G35" s="413">
        <f t="shared" ref="G35:G46" si="3">F35-E35</f>
        <v>2033.0900000000256</v>
      </c>
      <c r="H35" s="748">
        <f>G35+'17'!H35</f>
        <v>18803.650000000023</v>
      </c>
      <c r="I35" s="748"/>
      <c r="J35" s="175">
        <f>H35/DAY(B2)</f>
        <v>1044.6472222222235</v>
      </c>
      <c r="K35" s="79"/>
      <c r="L35" s="66"/>
      <c r="N35" s="71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748">
        <v>284090.78999999998</v>
      </c>
      <c r="F36" s="807">
        <v>284804.23</v>
      </c>
      <c r="G36" s="413">
        <f t="shared" si="3"/>
        <v>713.44000000000233</v>
      </c>
      <c r="H36" s="748">
        <f>G36+'17'!H36</f>
        <v>15321.229999999981</v>
      </c>
      <c r="I36" s="748"/>
      <c r="J36" s="175">
        <f>H36/DAY(B2)</f>
        <v>851.17944444444345</v>
      </c>
      <c r="K36" s="79"/>
      <c r="L36" s="66"/>
      <c r="N36" s="71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748">
        <v>322998.69</v>
      </c>
      <c r="F37" s="807">
        <v>322998.69</v>
      </c>
      <c r="G37" s="413">
        <f t="shared" si="3"/>
        <v>0</v>
      </c>
      <c r="H37" s="748">
        <f>G37+'17'!H37</f>
        <v>0</v>
      </c>
      <c r="I37" s="748"/>
      <c r="J37" s="175">
        <f>H37/DAY(B2)</f>
        <v>0</v>
      </c>
      <c r="K37" s="79"/>
      <c r="L37" s="66"/>
      <c r="N37" s="71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748">
        <v>632233.31000000006</v>
      </c>
      <c r="F38" s="739">
        <v>634514.87</v>
      </c>
      <c r="G38" s="413">
        <f t="shared" si="3"/>
        <v>2281.5599999999395</v>
      </c>
      <c r="H38" s="748">
        <f>G38+'17'!H38</f>
        <v>40797.869999999995</v>
      </c>
      <c r="I38" s="748"/>
      <c r="J38" s="175">
        <f>H38/DAY(B2)</f>
        <v>2266.5483333333332</v>
      </c>
      <c r="K38" s="79"/>
      <c r="L38" s="66"/>
      <c r="N38" s="71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748">
        <v>591584</v>
      </c>
      <c r="F39" s="807">
        <v>591584.18999999994</v>
      </c>
      <c r="G39" s="413">
        <f t="shared" si="3"/>
        <v>0.18999999994412065</v>
      </c>
      <c r="H39" s="748">
        <f>G39+'17'!H39</f>
        <v>0</v>
      </c>
      <c r="I39" s="748"/>
      <c r="J39" s="175">
        <f>H39/DAY(B2)</f>
        <v>0</v>
      </c>
      <c r="K39" s="79"/>
      <c r="L39" s="66"/>
      <c r="N39" s="71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748">
        <v>170880</v>
      </c>
      <c r="F40" s="1023">
        <v>171733.37</v>
      </c>
      <c r="G40" s="413">
        <f t="shared" si="3"/>
        <v>853.36999999999534</v>
      </c>
      <c r="H40" s="99">
        <f>G40+'17'!H40</f>
        <v>13753.369999999995</v>
      </c>
      <c r="I40" s="748"/>
      <c r="J40" s="175">
        <f>H40/DAY(B2)</f>
        <v>764.07611111111089</v>
      </c>
      <c r="K40" s="80"/>
      <c r="L40" s="66"/>
      <c r="N40" s="71"/>
      <c r="O40" s="71" t="s">
        <v>362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748">
        <v>381351.85</v>
      </c>
      <c r="F41" s="807">
        <v>381351.55</v>
      </c>
      <c r="G41" s="413">
        <f t="shared" si="3"/>
        <v>-0.29999999998835847</v>
      </c>
      <c r="H41" s="748">
        <f>G41+'17'!H41</f>
        <v>1000</v>
      </c>
      <c r="I41" s="748"/>
      <c r="J41" s="175">
        <f>H41/DAY(B2)</f>
        <v>55.555555555555557</v>
      </c>
      <c r="K41" s="79"/>
      <c r="L41" s="66"/>
      <c r="N41" s="71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748">
        <v>857592.15</v>
      </c>
      <c r="F42" s="807">
        <v>859679.11</v>
      </c>
      <c r="G42" s="413">
        <f t="shared" si="3"/>
        <v>2086.9599999999627</v>
      </c>
      <c r="H42" s="748">
        <f>G42+'17'!H42</f>
        <v>34592.109999999986</v>
      </c>
      <c r="I42" s="748"/>
      <c r="J42" s="175">
        <f>H42/DAY(B2)</f>
        <v>1921.7838888888882</v>
      </c>
      <c r="K42" s="79"/>
      <c r="L42" s="66"/>
      <c r="N42" s="71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748">
        <v>407028</v>
      </c>
      <c r="F43" s="807">
        <v>407028</v>
      </c>
      <c r="G43" s="413">
        <f t="shared" si="3"/>
        <v>0</v>
      </c>
      <c r="H43" s="748">
        <f>G43+'17'!H43</f>
        <v>0</v>
      </c>
      <c r="I43" s="748"/>
      <c r="J43" s="175">
        <f>H43/DAY(B2)</f>
        <v>0</v>
      </c>
      <c r="K43" s="79"/>
      <c r="L43" s="66"/>
      <c r="N43" s="71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748">
        <v>0</v>
      </c>
      <c r="F44" s="807">
        <v>0</v>
      </c>
      <c r="G44" s="413">
        <f t="shared" si="3"/>
        <v>0</v>
      </c>
      <c r="H44" s="748">
        <f>G44+'17'!H44</f>
        <v>0</v>
      </c>
      <c r="I44" s="748"/>
      <c r="J44" s="175">
        <f>H44/DAY(B2)</f>
        <v>0</v>
      </c>
      <c r="K44" s="79"/>
      <c r="L44" s="66"/>
      <c r="N44" s="71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748">
        <v>0</v>
      </c>
      <c r="F45" s="807">
        <v>0</v>
      </c>
      <c r="G45" s="413">
        <f t="shared" si="3"/>
        <v>0</v>
      </c>
      <c r="H45" s="748">
        <f>G45+'17'!H45</f>
        <v>0</v>
      </c>
      <c r="I45" s="748"/>
      <c r="J45" s="175">
        <f>H45/DAY(B2)</f>
        <v>0</v>
      </c>
      <c r="K45" s="79"/>
      <c r="L45" s="66"/>
      <c r="N45" s="71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748">
        <v>0</v>
      </c>
      <c r="F46" s="807">
        <v>0</v>
      </c>
      <c r="G46" s="413">
        <f t="shared" si="3"/>
        <v>0</v>
      </c>
      <c r="H46" s="748">
        <f>G46+'17'!H46</f>
        <v>0</v>
      </c>
      <c r="I46" s="748"/>
      <c r="J46" s="175">
        <f>H46/DAY(B2)</f>
        <v>0</v>
      </c>
      <c r="K46" s="79"/>
      <c r="L46" s="66"/>
      <c r="N46" s="71"/>
      <c r="O46" s="71"/>
    </row>
    <row r="47" spans="1:15" ht="27.75" customHeight="1">
      <c r="A47" s="201" t="s">
        <v>173</v>
      </c>
      <c r="B47" s="202"/>
      <c r="C47" s="202"/>
      <c r="D47" s="109"/>
      <c r="E47" s="739"/>
      <c r="F47" s="739"/>
      <c r="G47" s="415">
        <f>SUM(G35:G46)</f>
        <v>7968.3099999998813</v>
      </c>
      <c r="H47" s="99">
        <f>G47+'17'!H47</f>
        <v>128377.16999999987</v>
      </c>
      <c r="I47" s="748"/>
      <c r="J47" s="175">
        <f>H47/DAY(B2)</f>
        <v>7132.0649999999923</v>
      </c>
      <c r="K47" s="79"/>
      <c r="L47" s="66"/>
      <c r="N47" s="71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23"/>
      <c r="H48" s="111"/>
      <c r="I48" s="111"/>
      <c r="J48" s="642"/>
      <c r="K48" s="79"/>
      <c r="L48" s="66"/>
      <c r="N48" s="71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v>765793.43</v>
      </c>
      <c r="F49" s="145">
        <v>767509.6</v>
      </c>
      <c r="G49" s="413">
        <f t="shared" ref="G49:G58" si="4">F49-E49</f>
        <v>1716.1699999999255</v>
      </c>
      <c r="H49" s="99">
        <f>G49+'17'!H49</f>
        <v>47222.599999999977</v>
      </c>
      <c r="I49" s="95"/>
      <c r="J49" s="175">
        <f>H49/DAY(B2)</f>
        <v>2623.4777777777763</v>
      </c>
      <c r="K49" s="79"/>
      <c r="L49" s="66"/>
      <c r="N49" s="71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v>393124.59</v>
      </c>
      <c r="F50" s="145">
        <v>394534.6</v>
      </c>
      <c r="G50" s="413">
        <f t="shared" si="4"/>
        <v>1410.0099999999511</v>
      </c>
      <c r="H50" s="99">
        <f>G50+'17'!H50</f>
        <v>28763.599999999977</v>
      </c>
      <c r="I50" s="95"/>
      <c r="J50" s="175">
        <f>H50/DAY(B2)</f>
        <v>1597.9777777777765</v>
      </c>
      <c r="K50" s="79"/>
      <c r="L50" s="66"/>
      <c r="N50" s="71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v>89121.2</v>
      </c>
      <c r="F51" s="145">
        <v>90162.2</v>
      </c>
      <c r="G51" s="413">
        <f t="shared" si="4"/>
        <v>1041</v>
      </c>
      <c r="H51" s="99">
        <f>G51+'17'!H51</f>
        <v>18435.199999999997</v>
      </c>
      <c r="I51" s="95"/>
      <c r="J51" s="175">
        <f>H51/DAY(B2)</f>
        <v>1024.1777777777777</v>
      </c>
      <c r="K51" s="79"/>
      <c r="L51" s="66"/>
      <c r="N51" s="71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v>10</v>
      </c>
      <c r="F52" s="145">
        <v>10</v>
      </c>
      <c r="G52" s="413">
        <f t="shared" si="4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71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v>365489.51</v>
      </c>
      <c r="F53" s="145">
        <v>369858.5</v>
      </c>
      <c r="G53" s="413">
        <f t="shared" si="4"/>
        <v>4368.9899999999907</v>
      </c>
      <c r="H53" s="99">
        <f>G53+'17'!H53</f>
        <v>75757.5</v>
      </c>
      <c r="I53" s="95"/>
      <c r="J53" s="175">
        <f>H53/DAY(B2)</f>
        <v>4208.75</v>
      </c>
      <c r="K53" s="79"/>
      <c r="L53" s="66"/>
      <c r="N53" s="71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v>103257.71</v>
      </c>
      <c r="F54" s="145">
        <v>103257.87</v>
      </c>
      <c r="G54" s="413">
        <f t="shared" si="4"/>
        <v>0.15999999998894054</v>
      </c>
      <c r="H54" s="99">
        <f>G54+'17'!H54</f>
        <v>1870.8699999999953</v>
      </c>
      <c r="I54" s="95"/>
      <c r="J54" s="175">
        <f>H54/DAY(B2)</f>
        <v>103.93722222222196</v>
      </c>
      <c r="K54" s="79"/>
      <c r="L54" s="66"/>
      <c r="N54" s="71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v>538458.39</v>
      </c>
      <c r="F55" s="145">
        <v>538458.30000000005</v>
      </c>
      <c r="G55" s="413">
        <f t="shared" si="4"/>
        <v>-8.999999996740371E-2</v>
      </c>
      <c r="H55" s="99">
        <f>G55+'17'!H55</f>
        <v>43975.300000000047</v>
      </c>
      <c r="I55" s="95"/>
      <c r="J55" s="175">
        <f>H55/DAY(B2)</f>
        <v>2443.0722222222248</v>
      </c>
      <c r="K55" s="79"/>
      <c r="L55" s="66"/>
      <c r="N55" s="71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v>170431.79</v>
      </c>
      <c r="F56" s="145">
        <v>173619</v>
      </c>
      <c r="G56" s="413">
        <f t="shared" si="4"/>
        <v>3187.2099999999919</v>
      </c>
      <c r="H56" s="99">
        <f>G56+'17'!H56</f>
        <v>23900</v>
      </c>
      <c r="I56" s="95"/>
      <c r="J56" s="175">
        <f>H56/DAY(B2)</f>
        <v>1327.7777777777778</v>
      </c>
      <c r="K56" s="78"/>
      <c r="L56" s="66"/>
      <c r="N56" s="71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v>459140.71</v>
      </c>
      <c r="F57" s="145">
        <v>461847.19</v>
      </c>
      <c r="G57" s="413">
        <f t="shared" si="4"/>
        <v>2706.4799999999814</v>
      </c>
      <c r="H57" s="99">
        <f>G57+'17'!H57</f>
        <v>52769.19</v>
      </c>
      <c r="I57" s="95"/>
      <c r="J57" s="175">
        <f>H57/DAY(B2)</f>
        <v>2931.6216666666669</v>
      </c>
      <c r="K57" s="79"/>
      <c r="L57" s="66"/>
      <c r="N57" s="71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v>68284.600000000006</v>
      </c>
      <c r="F58" s="405">
        <v>68534.92</v>
      </c>
      <c r="G58" s="413">
        <f t="shared" si="4"/>
        <v>250.31999999999243</v>
      </c>
      <c r="H58" s="99">
        <f>G58+'17'!H58</f>
        <v>4383.9199999999983</v>
      </c>
      <c r="I58" s="95"/>
      <c r="J58" s="175">
        <f>H58/DAY(B2)</f>
        <v>243.55111111111103</v>
      </c>
      <c r="K58" s="79"/>
      <c r="L58" s="66"/>
      <c r="N58" s="71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15">
        <f>G49+G50+G51+G52+G53+G54+G55+G56+G57+G58</f>
        <v>14680.249999999854</v>
      </c>
      <c r="H59" s="99">
        <f>G59+'17'!H59</f>
        <v>296449</v>
      </c>
      <c r="I59" s="95">
        <f>G7-G60</f>
        <v>1608.4400000002643</v>
      </c>
      <c r="J59" s="175">
        <f>H59/DAY(B2)</f>
        <v>16469.388888888891</v>
      </c>
      <c r="K59" s="79"/>
      <c r="L59" s="66"/>
      <c r="N59" s="71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15">
        <f>G47+G59</f>
        <v>22648.559999999736</v>
      </c>
      <c r="H60" s="99">
        <f>G60+'17'!H60</f>
        <v>424826.16999999981</v>
      </c>
      <c r="I60" s="95">
        <f>G13-G60</f>
        <v>969.53000000011525</v>
      </c>
      <c r="J60" s="175">
        <f>H60/DAY(B2)</f>
        <v>23601.453888888878</v>
      </c>
      <c r="K60" s="79"/>
      <c r="L60" s="66"/>
      <c r="N60" s="71"/>
      <c r="O60" s="71"/>
    </row>
    <row r="61" spans="1:15" s="68" customFormat="1" ht="27.75" customHeight="1">
      <c r="A61" s="1278" t="s">
        <v>332</v>
      </c>
      <c r="B61" s="1279"/>
      <c r="C61" s="1280"/>
      <c r="D61" s="339"/>
      <c r="E61" s="339"/>
      <c r="F61" s="339"/>
      <c r="G61" s="424"/>
      <c r="H61" s="339"/>
      <c r="I61" s="339"/>
      <c r="J61" s="662"/>
      <c r="K61" s="69"/>
      <c r="L61" s="67"/>
      <c r="N61" s="71"/>
      <c r="O61" s="71"/>
    </row>
    <row r="62" spans="1:15" ht="27.75" customHeight="1">
      <c r="A62" s="1281" t="s">
        <v>198</v>
      </c>
      <c r="B62" s="1282"/>
      <c r="C62" s="1283"/>
      <c r="D62" s="151" t="s">
        <v>142</v>
      </c>
      <c r="E62" s="95">
        <v>303743</v>
      </c>
      <c r="F62" s="122">
        <v>303847</v>
      </c>
      <c r="G62" s="413">
        <f t="shared" ref="G62:G63" si="5">F62-E62</f>
        <v>104</v>
      </c>
      <c r="H62" s="99">
        <f>G62+'17'!H62</f>
        <v>1782</v>
      </c>
      <c r="I62" s="118"/>
      <c r="J62" s="175">
        <f>H62/DAY(B2)</f>
        <v>99</v>
      </c>
      <c r="K62" s="80"/>
      <c r="L62" s="66"/>
      <c r="N62" s="71"/>
      <c r="O62" s="71"/>
    </row>
    <row r="63" spans="1:15" ht="27.75" customHeight="1">
      <c r="A63" s="1281" t="s">
        <v>199</v>
      </c>
      <c r="B63" s="1282"/>
      <c r="C63" s="1283"/>
      <c r="D63" s="151" t="s">
        <v>142</v>
      </c>
      <c r="E63" s="95">
        <v>245139</v>
      </c>
      <c r="F63" s="122">
        <v>245139</v>
      </c>
      <c r="G63" s="413">
        <f t="shared" si="5"/>
        <v>0</v>
      </c>
      <c r="H63" s="99">
        <f>G63+'17'!H63</f>
        <v>127</v>
      </c>
      <c r="I63" s="118"/>
      <c r="J63" s="175">
        <f>H63/DAY(B2)</f>
        <v>7.0555555555555554</v>
      </c>
      <c r="K63" s="69"/>
      <c r="L63" s="66"/>
      <c r="N63" s="71"/>
      <c r="O63" s="71"/>
    </row>
    <row r="64" spans="1:15" ht="27.75" customHeight="1">
      <c r="A64" s="1284" t="s">
        <v>200</v>
      </c>
      <c r="B64" s="1285"/>
      <c r="C64" s="1286"/>
      <c r="D64" s="151"/>
      <c r="E64" s="95">
        <v>0</v>
      </c>
      <c r="F64" s="122"/>
      <c r="G64" s="413">
        <f>G62+G63</f>
        <v>104</v>
      </c>
      <c r="H64" s="99">
        <f>G64+'17'!H64</f>
        <v>1888</v>
      </c>
      <c r="I64" s="118"/>
      <c r="J64" s="175">
        <f>H64/DAY(B2)</f>
        <v>104.88888888888889</v>
      </c>
      <c r="K64" s="69"/>
      <c r="L64" s="66"/>
      <c r="N64" s="71"/>
      <c r="O64" s="71"/>
    </row>
    <row r="65" spans="1:15" ht="27.75" customHeight="1">
      <c r="A65" s="1281" t="s">
        <v>201</v>
      </c>
      <c r="B65" s="1282"/>
      <c r="C65" s="1283"/>
      <c r="D65" s="151" t="s">
        <v>142</v>
      </c>
      <c r="E65" s="95">
        <v>462644</v>
      </c>
      <c r="F65" s="122">
        <v>462745</v>
      </c>
      <c r="G65" s="413">
        <f t="shared" ref="G65:G70" si="6">F65-E65</f>
        <v>101</v>
      </c>
      <c r="H65" s="99">
        <f>G65+'17'!H65</f>
        <v>1921</v>
      </c>
      <c r="I65" s="118"/>
      <c r="J65" s="175">
        <f>H65/DAY(B2)</f>
        <v>106.72222222222223</v>
      </c>
      <c r="K65" s="69"/>
      <c r="L65" s="66"/>
      <c r="N65" s="71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v>112796</v>
      </c>
      <c r="F66" s="122">
        <v>112805</v>
      </c>
      <c r="G66" s="413">
        <f t="shared" si="6"/>
        <v>9</v>
      </c>
      <c r="H66" s="99">
        <f>G66+'17'!H66</f>
        <v>200</v>
      </c>
      <c r="I66" s="118"/>
      <c r="J66" s="175">
        <f>H66/DAY(B2)</f>
        <v>11.111111111111111</v>
      </c>
      <c r="K66" s="78"/>
      <c r="L66" s="66"/>
      <c r="N66" s="71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v>115077</v>
      </c>
      <c r="F67" s="122">
        <v>115097</v>
      </c>
      <c r="G67" s="413">
        <f t="shared" si="6"/>
        <v>20</v>
      </c>
      <c r="H67" s="99">
        <f>G67+'17'!H67</f>
        <v>389</v>
      </c>
      <c r="I67" s="118"/>
      <c r="J67" s="175">
        <f>H67/DAY(B2)</f>
        <v>21.611111111111111</v>
      </c>
      <c r="K67" s="81"/>
      <c r="L67" s="66"/>
      <c r="N67" s="71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v>167123</v>
      </c>
      <c r="F68" s="122">
        <v>167165</v>
      </c>
      <c r="G68" s="413">
        <f t="shared" si="6"/>
        <v>42</v>
      </c>
      <c r="H68" s="99">
        <f>G68+'17'!H68</f>
        <v>584</v>
      </c>
      <c r="I68" s="118"/>
      <c r="J68" s="175">
        <f>H68/DAY(B2)</f>
        <v>32.444444444444443</v>
      </c>
      <c r="K68" s="69"/>
      <c r="L68" s="66"/>
      <c r="N68" s="71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v>12630</v>
      </c>
      <c r="F69" s="122">
        <v>12638</v>
      </c>
      <c r="G69" s="413">
        <f t="shared" si="6"/>
        <v>8</v>
      </c>
      <c r="H69" s="99">
        <f>G69+'17'!H69</f>
        <v>74</v>
      </c>
      <c r="I69" s="118"/>
      <c r="J69" s="175">
        <f>H69/DAY(B2)</f>
        <v>4.1111111111111107</v>
      </c>
      <c r="K69" s="69"/>
      <c r="L69" s="66"/>
      <c r="N69" s="71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v>10505</v>
      </c>
      <c r="F70" s="122">
        <v>10512</v>
      </c>
      <c r="G70" s="413">
        <f t="shared" si="6"/>
        <v>7</v>
      </c>
      <c r="H70" s="99">
        <f>G70+'17'!H70</f>
        <v>179</v>
      </c>
      <c r="I70" s="118"/>
      <c r="J70" s="175">
        <f>H70/DAY(B2)</f>
        <v>9.9444444444444446</v>
      </c>
      <c r="K70" s="69"/>
      <c r="L70" s="66"/>
      <c r="N70" s="71"/>
      <c r="O70" s="71"/>
    </row>
    <row r="71" spans="1:15" ht="27.75" customHeight="1">
      <c r="A71" s="1284" t="s">
        <v>208</v>
      </c>
      <c r="B71" s="1285"/>
      <c r="C71" s="1286"/>
      <c r="D71" s="152"/>
      <c r="E71" s="152"/>
      <c r="F71" s="152"/>
      <c r="G71" s="425">
        <f>SUM(G65:G70)</f>
        <v>187</v>
      </c>
      <c r="H71" s="99">
        <f>G71+'17'!H71</f>
        <v>3347</v>
      </c>
      <c r="I71" s="154"/>
      <c r="J71" s="175">
        <f>H71/DAY(B2)</f>
        <v>185.94444444444446</v>
      </c>
      <c r="K71" s="69"/>
      <c r="L71" s="66"/>
      <c r="N71" s="71"/>
      <c r="O71" s="71"/>
    </row>
    <row r="72" spans="1:15" s="88" customFormat="1" ht="27.75" customHeight="1">
      <c r="A72" s="1287"/>
      <c r="B72" s="1268"/>
      <c r="C72" s="347"/>
      <c r="D72" s="180"/>
      <c r="E72" s="180" t="s">
        <v>207</v>
      </c>
      <c r="F72" s="180"/>
      <c r="G72" s="426"/>
      <c r="H72" s="181"/>
      <c r="I72" s="180"/>
      <c r="J72" s="182"/>
      <c r="N72" s="71"/>
      <c r="O72" s="71"/>
    </row>
    <row r="73" spans="1:15" ht="27.75" customHeight="1">
      <c r="A73" s="1295" t="s">
        <v>333</v>
      </c>
      <c r="B73" s="1296"/>
      <c r="C73" s="1297"/>
      <c r="D73" s="339"/>
      <c r="E73" s="339"/>
      <c r="F73" s="339"/>
      <c r="G73" s="424"/>
      <c r="H73" s="342"/>
      <c r="I73" s="342"/>
      <c r="J73" s="907"/>
      <c r="K73" s="69"/>
      <c r="L73" s="66"/>
      <c r="N73" s="71"/>
      <c r="O73" s="71"/>
    </row>
    <row r="74" spans="1:15" ht="27.75" customHeight="1">
      <c r="A74" s="1281" t="s">
        <v>220</v>
      </c>
      <c r="B74" s="1282"/>
      <c r="C74" s="1283"/>
      <c r="D74" s="151" t="s">
        <v>139</v>
      </c>
      <c r="E74" s="95">
        <v>980827.6</v>
      </c>
      <c r="F74" s="123">
        <v>981117.7</v>
      </c>
      <c r="G74" s="413">
        <f>F74-E74</f>
        <v>290.09999999997672</v>
      </c>
      <c r="H74" s="99">
        <f>G74+'17'!H74</f>
        <v>5306.6999999999534</v>
      </c>
      <c r="I74" s="154"/>
      <c r="J74" s="175">
        <f>H74/DAY(B2)</f>
        <v>294.8166666666641</v>
      </c>
      <c r="K74" s="69"/>
      <c r="L74" s="66"/>
      <c r="N74" s="71"/>
      <c r="O74" s="71"/>
    </row>
    <row r="75" spans="1:15" ht="27.75" customHeight="1">
      <c r="A75" s="1281" t="s">
        <v>221</v>
      </c>
      <c r="B75" s="1282"/>
      <c r="C75" s="1283"/>
      <c r="D75" s="151" t="s">
        <v>139</v>
      </c>
      <c r="E75" s="95">
        <v>73586</v>
      </c>
      <c r="F75" s="393">
        <v>73586</v>
      </c>
      <c r="G75" s="413">
        <f t="shared" ref="G75:G78" si="7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71"/>
      <c r="O75" s="71"/>
    </row>
    <row r="76" spans="1:15" ht="27.75" customHeight="1">
      <c r="A76" s="1288" t="s">
        <v>222</v>
      </c>
      <c r="B76" s="1289"/>
      <c r="C76" s="1290"/>
      <c r="D76" s="151" t="s">
        <v>139</v>
      </c>
      <c r="E76" s="95">
        <v>198662.2</v>
      </c>
      <c r="F76" s="123">
        <v>198784</v>
      </c>
      <c r="G76" s="413">
        <f>F76-E76</f>
        <v>121.79999999998836</v>
      </c>
      <c r="H76" s="99">
        <f>G76+'17'!H76</f>
        <v>2048</v>
      </c>
      <c r="I76" s="154"/>
      <c r="J76" s="175">
        <f>H76/DAY(B2)</f>
        <v>113.77777777777777</v>
      </c>
      <c r="K76" s="69"/>
      <c r="L76" s="66"/>
      <c r="N76" s="71"/>
      <c r="O76" s="71"/>
    </row>
    <row r="77" spans="1:15" ht="27.75" customHeight="1">
      <c r="A77" s="1288" t="s">
        <v>223</v>
      </c>
      <c r="B77" s="1289"/>
      <c r="C77" s="1290"/>
      <c r="D77" s="151" t="s">
        <v>139</v>
      </c>
      <c r="E77" s="95">
        <v>54220</v>
      </c>
      <c r="F77" s="123">
        <v>54260</v>
      </c>
      <c r="G77" s="413">
        <f t="shared" si="7"/>
        <v>40</v>
      </c>
      <c r="H77" s="99">
        <f>G77+'17'!H77</f>
        <v>908</v>
      </c>
      <c r="I77" s="154"/>
      <c r="J77" s="175">
        <f>H77/DAY(B2)</f>
        <v>50.444444444444443</v>
      </c>
      <c r="K77" s="69"/>
      <c r="L77" s="66"/>
      <c r="N77" s="71"/>
      <c r="O77" s="71"/>
    </row>
    <row r="78" spans="1:15" ht="27.75" customHeight="1">
      <c r="A78" s="1288" t="s">
        <v>224</v>
      </c>
      <c r="B78" s="1289"/>
      <c r="C78" s="1290"/>
      <c r="D78" s="151" t="s">
        <v>139</v>
      </c>
      <c r="E78" s="95">
        <v>9563</v>
      </c>
      <c r="F78" s="123">
        <v>9563</v>
      </c>
      <c r="G78" s="413">
        <f t="shared" si="7"/>
        <v>0</v>
      </c>
      <c r="H78" s="99">
        <f>G78+'17'!H78</f>
        <v>-1.3999999999996362</v>
      </c>
      <c r="I78" s="118"/>
      <c r="J78" s="175">
        <f>H78/DAY(B2)</f>
        <v>-7.7777777777757573E-2</v>
      </c>
      <c r="K78" s="69"/>
      <c r="L78" s="66"/>
      <c r="N78" s="71"/>
      <c r="O78" s="71"/>
    </row>
    <row r="79" spans="1:15" s="57" customFormat="1" ht="27.75" customHeight="1">
      <c r="A79" s="1288" t="s">
        <v>225</v>
      </c>
      <c r="B79" s="1289"/>
      <c r="C79" s="1290"/>
      <c r="D79" s="151"/>
      <c r="E79" s="95">
        <v>0</v>
      </c>
      <c r="F79" s="123">
        <v>0</v>
      </c>
      <c r="G79" s="413">
        <f>G15-SUM(G74:G78)</f>
        <v>579.60000000003492</v>
      </c>
      <c r="H79" s="99">
        <f>G79+'17'!H79</f>
        <v>10224.980000000001</v>
      </c>
      <c r="I79" s="118"/>
      <c r="J79" s="175"/>
      <c r="K79" s="59"/>
      <c r="L79" s="58"/>
      <c r="N79" s="71"/>
      <c r="O79" s="71"/>
    </row>
    <row r="80" spans="1:15" s="57" customFormat="1" ht="27.75" customHeight="1">
      <c r="A80" s="1284" t="s">
        <v>329</v>
      </c>
      <c r="B80" s="1285"/>
      <c r="C80" s="1286"/>
      <c r="D80" s="151"/>
      <c r="E80" s="117"/>
      <c r="F80" s="117"/>
      <c r="G80" s="413">
        <f>SUM(G74:G79)</f>
        <v>1031.5</v>
      </c>
      <c r="H80" s="99">
        <f>G80+'17'!H80</f>
        <v>1031.5</v>
      </c>
      <c r="I80" s="118"/>
      <c r="J80" s="175"/>
      <c r="K80" s="59"/>
      <c r="L80" s="58"/>
      <c r="N80" s="71"/>
      <c r="O80" s="71"/>
    </row>
    <row r="81" spans="1:15" ht="27.75" customHeight="1">
      <c r="A81" s="1302" t="s">
        <v>226</v>
      </c>
      <c r="B81" s="1303"/>
      <c r="C81" s="1304"/>
      <c r="D81" s="110"/>
      <c r="E81" s="110"/>
      <c r="F81" s="110"/>
      <c r="G81" s="427"/>
      <c r="H81" s="163"/>
      <c r="I81" s="163"/>
      <c r="J81" s="184"/>
      <c r="N81" s="71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v>0</v>
      </c>
      <c r="F82" s="122">
        <v>0</v>
      </c>
      <c r="G82" s="413">
        <f t="shared" ref="G82:G92" si="8">F82-E82</f>
        <v>0</v>
      </c>
      <c r="H82" s="99">
        <f>G82+'17'!H82</f>
        <v>0</v>
      </c>
      <c r="I82" s="538"/>
      <c r="J82" s="175">
        <f>H82/DAY(B2)</f>
        <v>0</v>
      </c>
      <c r="N82" s="71"/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v>0</v>
      </c>
      <c r="F83" s="122">
        <v>0</v>
      </c>
      <c r="G83" s="413">
        <f t="shared" si="8"/>
        <v>0</v>
      </c>
      <c r="H83" s="99">
        <f>G83+'17'!H83</f>
        <v>0</v>
      </c>
      <c r="I83" s="538"/>
      <c r="J83" s="175">
        <f>H83/DAY(B2)</f>
        <v>0</v>
      </c>
      <c r="N83" s="71"/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v>43366.18</v>
      </c>
      <c r="F84" s="164">
        <v>43366.18</v>
      </c>
      <c r="G84" s="413">
        <f>F84-E84</f>
        <v>0</v>
      </c>
      <c r="H84" s="99">
        <f>G84+'17'!H84</f>
        <v>-0.62000000000261934</v>
      </c>
      <c r="I84" s="538"/>
      <c r="J84" s="175">
        <f>H84/DAY(B2)</f>
        <v>-3.4444444444589967E-2</v>
      </c>
      <c r="N84" s="71"/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v>5622</v>
      </c>
      <c r="F85" s="164">
        <v>5631.5</v>
      </c>
      <c r="G85" s="413">
        <f t="shared" si="8"/>
        <v>9.5</v>
      </c>
      <c r="H85" s="99">
        <f>G85+'17'!H85</f>
        <v>155.5</v>
      </c>
      <c r="I85" s="538"/>
      <c r="J85" s="175">
        <f>H85/DAY(B2)</f>
        <v>8.6388888888888893</v>
      </c>
      <c r="N85" s="71"/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v>46579</v>
      </c>
      <c r="F86" s="164">
        <v>46579</v>
      </c>
      <c r="G86" s="413">
        <f t="shared" si="8"/>
        <v>0</v>
      </c>
      <c r="H86" s="99">
        <f>G86+'17'!H86</f>
        <v>307.58000000000175</v>
      </c>
      <c r="I86" s="538"/>
      <c r="J86" s="175">
        <f>H86/DAY(B2)</f>
        <v>17.087777777777873</v>
      </c>
      <c r="N86" s="71"/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v>35807.4</v>
      </c>
      <c r="F87" s="164">
        <v>35830.199999999997</v>
      </c>
      <c r="G87" s="413">
        <f t="shared" si="8"/>
        <v>22.799999999995634</v>
      </c>
      <c r="H87" s="99">
        <f>G87+'17'!H87</f>
        <v>174.19999999999709</v>
      </c>
      <c r="I87" s="538">
        <f>G84+G85+G86+G87</f>
        <v>32.299999999995634</v>
      </c>
      <c r="J87" s="175">
        <f>H87/DAY(B2)</f>
        <v>9.6777777777776155</v>
      </c>
      <c r="N87" s="71"/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v>24447.7</v>
      </c>
      <c r="F88" s="164">
        <v>24447.7</v>
      </c>
      <c r="G88" s="413">
        <f t="shared" si="8"/>
        <v>0</v>
      </c>
      <c r="H88" s="99">
        <f>G88+'17'!H88</f>
        <v>23.740000000001601</v>
      </c>
      <c r="I88" s="538"/>
      <c r="J88" s="175">
        <f>H88/DAY(B2)</f>
        <v>1.3188888888889778</v>
      </c>
      <c r="N88" s="71"/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v>28125.06</v>
      </c>
      <c r="F89" s="164">
        <v>28134.7</v>
      </c>
      <c r="G89" s="413">
        <f t="shared" si="8"/>
        <v>9.6399999999994179</v>
      </c>
      <c r="H89" s="99">
        <f>G89+'17'!H89</f>
        <v>146.70000000000073</v>
      </c>
      <c r="I89" s="538">
        <f>G88+G89</f>
        <v>9.6399999999994179</v>
      </c>
      <c r="J89" s="175">
        <f>H89/DAY(B2)</f>
        <v>8.1500000000000412</v>
      </c>
      <c r="N89" s="71"/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v>73421.2</v>
      </c>
      <c r="F90" s="164">
        <v>73431.7</v>
      </c>
      <c r="G90" s="413">
        <f t="shared" si="8"/>
        <v>10.5</v>
      </c>
      <c r="H90" s="99">
        <f>G90+'17'!H90</f>
        <v>187.95999999999185</v>
      </c>
      <c r="I90" s="538">
        <f>G90</f>
        <v>10.5</v>
      </c>
      <c r="J90" s="175">
        <f>H90/DAY(B2)</f>
        <v>10.442222222221769</v>
      </c>
      <c r="N90" s="71"/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v>4871.46</v>
      </c>
      <c r="F91" s="164">
        <v>4882.57</v>
      </c>
      <c r="G91" s="413">
        <f t="shared" si="8"/>
        <v>11.109999999999673</v>
      </c>
      <c r="H91" s="99">
        <f>G91+'17'!H91</f>
        <v>204.13999999999942</v>
      </c>
      <c r="I91" s="557"/>
      <c r="J91" s="175">
        <f>H91/DAY(B2)</f>
        <v>11.341111111111079</v>
      </c>
      <c r="N91" s="71"/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v>7000.23</v>
      </c>
      <c r="F92" s="164">
        <v>7000.23</v>
      </c>
      <c r="G92" s="413">
        <f t="shared" si="8"/>
        <v>0</v>
      </c>
      <c r="H92" s="99">
        <f>G92+'17'!H92</f>
        <v>0.22999999999956344</v>
      </c>
      <c r="I92" s="561">
        <f>G91+G92</f>
        <v>11.109999999999673</v>
      </c>
      <c r="J92" s="175">
        <f>H92/DAY(B2)</f>
        <v>1.2777777777753525E-2</v>
      </c>
      <c r="N92" s="71"/>
      <c r="O92" s="71"/>
    </row>
    <row r="93" spans="1:15" ht="27.75" customHeight="1">
      <c r="A93" s="1305" t="s">
        <v>239</v>
      </c>
      <c r="B93" s="1306"/>
      <c r="C93" s="1307"/>
      <c r="D93" s="111"/>
      <c r="E93" s="111"/>
      <c r="F93" s="111"/>
      <c r="G93" s="416"/>
      <c r="H93" s="121"/>
      <c r="I93" s="121"/>
      <c r="J93" s="908"/>
      <c r="K93" s="69"/>
      <c r="L93" s="66"/>
      <c r="N93" s="71"/>
      <c r="O93" s="71"/>
    </row>
    <row r="94" spans="1:15" ht="27.75" customHeight="1">
      <c r="A94" s="1281" t="s">
        <v>240</v>
      </c>
      <c r="B94" s="1282"/>
      <c r="C94" s="1283"/>
      <c r="D94" s="151" t="s">
        <v>130</v>
      </c>
      <c r="E94" s="151"/>
      <c r="F94" s="151"/>
      <c r="G94" s="428">
        <f>G35+G43+G49+G57</f>
        <v>6455.7399999999325</v>
      </c>
      <c r="H94" s="99">
        <f>G94+'17'!H94</f>
        <v>118900.64000000001</v>
      </c>
      <c r="I94" s="118"/>
      <c r="J94" s="175">
        <f>H94/DAY(B2)</f>
        <v>6605.5911111111118</v>
      </c>
      <c r="K94" s="69"/>
      <c r="L94" s="66"/>
      <c r="N94" s="71"/>
      <c r="O94" s="71"/>
    </row>
    <row r="95" spans="1:15" ht="27.75" customHeight="1">
      <c r="A95" s="1281" t="s">
        <v>241</v>
      </c>
      <c r="B95" s="1282"/>
      <c r="C95" s="1283"/>
      <c r="D95" s="151" t="s">
        <v>23</v>
      </c>
      <c r="E95" s="146"/>
      <c r="F95" s="146"/>
      <c r="G95" s="429">
        <f>G94/G7</f>
        <v>0.26613925877066136</v>
      </c>
      <c r="H95" s="99">
        <f>G95+'17'!H95</f>
        <v>4.7695193705782932</v>
      </c>
      <c r="I95" s="167"/>
      <c r="J95" s="175">
        <f>H95/DAY(B2)</f>
        <v>0.26497329836546074</v>
      </c>
      <c r="K95" s="69"/>
      <c r="L95" s="66"/>
      <c r="N95" s="71"/>
      <c r="O95" s="71"/>
    </row>
    <row r="96" spans="1:15" ht="27.75" customHeight="1">
      <c r="A96" s="1281" t="s">
        <v>242</v>
      </c>
      <c r="B96" s="1282"/>
      <c r="C96" s="1283"/>
      <c r="D96" s="151" t="s">
        <v>130</v>
      </c>
      <c r="E96" s="95"/>
      <c r="F96" s="95"/>
      <c r="G96" s="428">
        <f>G41+G42+G55+G56</f>
        <v>5273.7799999999988</v>
      </c>
      <c r="H96" s="99">
        <f>G96+'17'!H96</f>
        <v>103467.41000000003</v>
      </c>
      <c r="I96" s="118"/>
      <c r="J96" s="175">
        <f>H96/DAY(B2)</f>
        <v>5748.1894444444461</v>
      </c>
      <c r="K96" s="69"/>
      <c r="L96" s="66"/>
      <c r="N96" s="71"/>
      <c r="O96" s="71"/>
    </row>
    <row r="97" spans="1:15" ht="27.75" customHeight="1">
      <c r="A97" s="1281" t="s">
        <v>243</v>
      </c>
      <c r="B97" s="1282"/>
      <c r="C97" s="1283"/>
      <c r="D97" s="151" t="s">
        <v>23</v>
      </c>
      <c r="E97" s="95"/>
      <c r="F97" s="95"/>
      <c r="G97" s="429">
        <f>G96/G7</f>
        <v>0.21741270561075149</v>
      </c>
      <c r="H97" s="99">
        <f>G97+'17'!H97</f>
        <v>4.1606847861365814</v>
      </c>
      <c r="I97" s="167"/>
      <c r="J97" s="175">
        <f>H97/DAY(B2)</f>
        <v>0.23114915478536563</v>
      </c>
      <c r="K97" s="69"/>
      <c r="L97" s="66"/>
      <c r="N97" s="71"/>
      <c r="O97" s="71"/>
    </row>
    <row r="98" spans="1:15" ht="27.75" customHeight="1">
      <c r="A98" s="1281" t="s">
        <v>244</v>
      </c>
      <c r="B98" s="1282"/>
      <c r="C98" s="1283"/>
      <c r="D98" s="151" t="s">
        <v>130</v>
      </c>
      <c r="E98" s="95"/>
      <c r="F98" s="95"/>
      <c r="G98" s="428">
        <f>G39+G53</f>
        <v>4369.1799999999348</v>
      </c>
      <c r="H98" s="99">
        <f>G98+'17'!H98</f>
        <v>75656.459999999963</v>
      </c>
      <c r="I98" s="168"/>
      <c r="J98" s="175">
        <f>H98/DAY(B2)</f>
        <v>4203.1366666666645</v>
      </c>
      <c r="K98" s="69"/>
      <c r="L98" s="66"/>
      <c r="N98" s="71"/>
      <c r="O98" s="71"/>
    </row>
    <row r="99" spans="1:15" ht="27.75" customHeight="1">
      <c r="A99" s="1281" t="s">
        <v>245</v>
      </c>
      <c r="B99" s="1282"/>
      <c r="C99" s="1283"/>
      <c r="D99" s="151" t="s">
        <v>23</v>
      </c>
      <c r="E99" s="95"/>
      <c r="F99" s="95"/>
      <c r="G99" s="429">
        <f>G98/G7</f>
        <v>0.18012037762295152</v>
      </c>
      <c r="H99" s="99">
        <f>G99+'17'!H99</f>
        <v>3.0359600461407599</v>
      </c>
      <c r="I99" s="168"/>
      <c r="J99" s="175">
        <f>H99/DAY(B2)</f>
        <v>0.16866444700781999</v>
      </c>
      <c r="N99" s="71"/>
      <c r="O99" s="71"/>
    </row>
    <row r="100" spans="1:15" ht="27.75" customHeight="1">
      <c r="A100" s="1281" t="s">
        <v>246</v>
      </c>
      <c r="B100" s="1282"/>
      <c r="C100" s="1283"/>
      <c r="D100" s="151" t="s">
        <v>180</v>
      </c>
      <c r="E100" s="95"/>
      <c r="F100" s="95"/>
      <c r="G100" s="428">
        <f>G38+G52</f>
        <v>2281.5599999999395</v>
      </c>
      <c r="H100" s="99">
        <f>G100+'17'!H100</f>
        <v>40885.259999999893</v>
      </c>
      <c r="I100" s="118"/>
      <c r="J100" s="175">
        <f>H100/DAY(B2)</f>
        <v>2271.4033333333273</v>
      </c>
      <c r="K100" s="70"/>
      <c r="N100" s="71"/>
      <c r="O100" s="71"/>
    </row>
    <row r="101" spans="1:15" ht="27.75" customHeight="1">
      <c r="A101" s="1281" t="s">
        <v>247</v>
      </c>
      <c r="B101" s="1282"/>
      <c r="C101" s="1283"/>
      <c r="D101" s="151" t="s">
        <v>23</v>
      </c>
      <c r="E101" s="95"/>
      <c r="F101" s="95"/>
      <c r="G101" s="429">
        <f>G100/G7</f>
        <v>9.4057797749100849E-2</v>
      </c>
      <c r="H101" s="99">
        <f>G101+'17'!H101</f>
        <v>1.6403814582720844</v>
      </c>
      <c r="I101" s="168"/>
      <c r="J101" s="175">
        <f>H101/DAY(B2)</f>
        <v>9.1132303237338022E-2</v>
      </c>
      <c r="N101" s="71"/>
      <c r="O101" s="71"/>
    </row>
    <row r="102" spans="1:15" ht="27.75" customHeight="1">
      <c r="A102" s="1281" t="s">
        <v>248</v>
      </c>
      <c r="B102" s="1282"/>
      <c r="C102" s="1283"/>
      <c r="D102" s="151" t="s">
        <v>180</v>
      </c>
      <c r="E102" s="95"/>
      <c r="F102" s="95"/>
      <c r="G102" s="428">
        <f>G36+G50</f>
        <v>2123.4499999999534</v>
      </c>
      <c r="H102" s="99">
        <f>G102+'17'!H102</f>
        <v>44084.829999999958</v>
      </c>
      <c r="I102" s="168"/>
      <c r="J102" s="175">
        <f>H102/DAY(B2)</f>
        <v>2449.1572222222198</v>
      </c>
      <c r="N102" s="71"/>
      <c r="O102" s="71"/>
    </row>
    <row r="103" spans="1:15" ht="27.75" customHeight="1">
      <c r="A103" s="1281" t="s">
        <v>249</v>
      </c>
      <c r="B103" s="1282"/>
      <c r="C103" s="1283"/>
      <c r="D103" s="151" t="s">
        <v>23</v>
      </c>
      <c r="E103" s="95"/>
      <c r="F103" s="95"/>
      <c r="G103" s="429">
        <f>G102/G7</f>
        <v>8.7539679267838288E-2</v>
      </c>
      <c r="H103" s="99">
        <f>G103+'17'!H103</f>
        <v>1.7723524518451077</v>
      </c>
      <c r="I103" s="118"/>
      <c r="J103" s="175">
        <f>H103/DAY(B2)</f>
        <v>9.8464025102505986E-2</v>
      </c>
      <c r="N103" s="71"/>
      <c r="O103" s="71"/>
    </row>
    <row r="104" spans="1:15" ht="27.75" customHeight="1">
      <c r="A104" s="1281" t="s">
        <v>250</v>
      </c>
      <c r="B104" s="1282"/>
      <c r="C104" s="1283"/>
      <c r="D104" s="151" t="s">
        <v>180</v>
      </c>
      <c r="E104" s="95"/>
      <c r="F104" s="95"/>
      <c r="G104" s="428">
        <f>G37+G51</f>
        <v>1041</v>
      </c>
      <c r="H104" s="99">
        <f>G104+'17'!H104</f>
        <v>18435.199999999997</v>
      </c>
      <c r="I104" s="118"/>
      <c r="J104" s="175">
        <f>H104/DAY(B2)</f>
        <v>1024.1777777777777</v>
      </c>
      <c r="N104" s="71"/>
      <c r="O104" s="71"/>
    </row>
    <row r="105" spans="1:15" ht="27.75" customHeight="1" thickBot="1">
      <c r="A105" s="1298" t="s">
        <v>251</v>
      </c>
      <c r="B105" s="1299"/>
      <c r="C105" s="1300"/>
      <c r="D105" s="231" t="s">
        <v>23</v>
      </c>
      <c r="E105" s="185"/>
      <c r="F105" s="185"/>
      <c r="G105" s="430">
        <f>G104/G7</f>
        <v>4.2915447087438677E-2</v>
      </c>
      <c r="H105" s="99">
        <f>G105+'17'!H105</f>
        <v>0.74179441226385923</v>
      </c>
      <c r="I105" s="187"/>
      <c r="J105" s="188">
        <f>H105/DAY(B2)</f>
        <v>4.1210800681325516E-2</v>
      </c>
      <c r="N105" s="71"/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31"/>
      <c r="H106" s="170"/>
      <c r="I106" s="169"/>
      <c r="J106" s="171"/>
      <c r="N106" s="71"/>
      <c r="O106" s="71"/>
    </row>
    <row r="107" spans="1:15" ht="27.75" customHeight="1">
      <c r="N107" s="71"/>
    </row>
    <row r="108" spans="1:15" ht="27.75" customHeight="1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  <c r="N108" s="71"/>
    </row>
    <row r="109" spans="1:15" ht="27.75" customHeight="1">
      <c r="A109" s="1291"/>
      <c r="B109" s="1291"/>
      <c r="N109" s="71"/>
    </row>
    <row r="110" spans="1:15" ht="27.75" customHeight="1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  <c r="N110" s="71"/>
    </row>
    <row r="111" spans="1:15" ht="27.75" customHeight="1">
      <c r="A111" s="1270"/>
      <c r="B111" s="1271"/>
      <c r="C111" s="1272"/>
      <c r="D111" s="165"/>
      <c r="E111" s="165"/>
      <c r="F111" s="165"/>
      <c r="G111" s="433"/>
      <c r="H111" s="156"/>
      <c r="I111" s="165"/>
      <c r="J111" s="327"/>
      <c r="N111" s="71"/>
    </row>
    <row r="112" spans="1:15" ht="27.75" customHeight="1">
      <c r="A112" s="1266" t="s">
        <v>252</v>
      </c>
      <c r="B112" s="1267"/>
      <c r="C112" s="1268"/>
      <c r="D112" s="146" t="s">
        <v>183</v>
      </c>
      <c r="E112" s="95">
        <v>12857</v>
      </c>
      <c r="F112" s="237">
        <v>12922.6</v>
      </c>
      <c r="G112" s="413">
        <f t="shared" ref="G112:G123" si="9">F112-E112</f>
        <v>65.600000000000364</v>
      </c>
      <c r="H112" s="99">
        <f>G112+'17'!H112</f>
        <v>1259.6000000000004</v>
      </c>
      <c r="I112" s="165"/>
      <c r="J112" s="328">
        <f>H112/DAY(B2)</f>
        <v>69.977777777777803</v>
      </c>
      <c r="N112" s="71"/>
    </row>
    <row r="113" spans="1:18" ht="27.75" customHeight="1">
      <c r="A113" s="1266" t="s">
        <v>253</v>
      </c>
      <c r="B113" s="1267"/>
      <c r="C113" s="1268"/>
      <c r="D113" s="146" t="s">
        <v>183</v>
      </c>
      <c r="E113" s="95">
        <v>25890.7</v>
      </c>
      <c r="F113" s="237">
        <v>26032.5</v>
      </c>
      <c r="G113" s="413">
        <f t="shared" si="9"/>
        <v>141.79999999999927</v>
      </c>
      <c r="H113" s="99">
        <f>G113+'17'!H113</f>
        <v>2511.5</v>
      </c>
      <c r="I113" s="165"/>
      <c r="J113" s="328">
        <f>H113/DAY(B2)</f>
        <v>139.52777777777777</v>
      </c>
      <c r="N113" s="71"/>
    </row>
    <row r="114" spans="1:18" ht="27.75" customHeight="1">
      <c r="A114" s="1266" t="s">
        <v>254</v>
      </c>
      <c r="B114" s="1267"/>
      <c r="C114" s="1268"/>
      <c r="D114" s="146" t="s">
        <v>183</v>
      </c>
      <c r="E114" s="95">
        <v>38588.199999999997</v>
      </c>
      <c r="F114" s="237">
        <v>38814.699999999997</v>
      </c>
      <c r="G114" s="413">
        <f t="shared" si="9"/>
        <v>226.5</v>
      </c>
      <c r="H114" s="99">
        <f>G114+'17'!H114</f>
        <v>4039.6999999999971</v>
      </c>
      <c r="I114" s="165"/>
      <c r="J114" s="328">
        <f>H114/DAY(B2)</f>
        <v>224.42777777777761</v>
      </c>
      <c r="N114" s="71"/>
    </row>
    <row r="115" spans="1:18" ht="27.75" customHeight="1">
      <c r="A115" s="1266" t="s">
        <v>255</v>
      </c>
      <c r="B115" s="1267"/>
      <c r="C115" s="1268"/>
      <c r="D115" s="146" t="s">
        <v>183</v>
      </c>
      <c r="E115" s="95">
        <v>24358.9</v>
      </c>
      <c r="F115" s="237">
        <v>24481</v>
      </c>
      <c r="G115" s="413">
        <f t="shared" si="9"/>
        <v>122.09999999999854</v>
      </c>
      <c r="H115" s="99">
        <f>G115+'17'!H115</f>
        <v>2428</v>
      </c>
      <c r="I115" s="165"/>
      <c r="J115" s="328">
        <f>H115/DAY(B2)</f>
        <v>134.88888888888889</v>
      </c>
      <c r="N115" s="71"/>
    </row>
    <row r="116" spans="1:18" ht="27.75" customHeight="1">
      <c r="A116" s="1275" t="s">
        <v>96</v>
      </c>
      <c r="B116" s="1276"/>
      <c r="C116" s="1277"/>
      <c r="D116" s="146" t="s">
        <v>183</v>
      </c>
      <c r="E116" s="95">
        <v>103923.3</v>
      </c>
      <c r="F116" s="237">
        <v>104423.9</v>
      </c>
      <c r="G116" s="413">
        <f t="shared" si="9"/>
        <v>500.59999999999127</v>
      </c>
      <c r="H116" s="99">
        <f>G116+'17'!H116</f>
        <v>7288.8999999999942</v>
      </c>
      <c r="I116" s="165"/>
      <c r="J116" s="328">
        <f>H116/DAY(B2)</f>
        <v>404.93888888888858</v>
      </c>
      <c r="N116" s="71"/>
      <c r="Q116" s="1266" t="s">
        <v>311</v>
      </c>
      <c r="R116" s="1268"/>
    </row>
    <row r="117" spans="1:18" ht="27.75" customHeight="1">
      <c r="A117" s="1275" t="s">
        <v>184</v>
      </c>
      <c r="B117" s="1276"/>
      <c r="C117" s="1277"/>
      <c r="D117" s="146" t="s">
        <v>183</v>
      </c>
      <c r="E117" s="95">
        <v>62035.9</v>
      </c>
      <c r="F117" s="237">
        <v>62359</v>
      </c>
      <c r="G117" s="413">
        <f t="shared" si="9"/>
        <v>323.09999999999854</v>
      </c>
      <c r="H117" s="99">
        <f>G117+'17'!H117</f>
        <v>5854</v>
      </c>
      <c r="I117" s="165"/>
      <c r="J117" s="328">
        <f>H117/DAY(B2)</f>
        <v>325.22222222222223</v>
      </c>
      <c r="N117" s="71"/>
      <c r="Q117" s="1266" t="s">
        <v>312</v>
      </c>
      <c r="R117" s="1268"/>
    </row>
    <row r="118" spans="1:18" ht="27.75" customHeight="1">
      <c r="A118" s="1269" t="s">
        <v>97</v>
      </c>
      <c r="B118" s="1269"/>
      <c r="C118" s="1269"/>
      <c r="D118" s="151" t="s">
        <v>183</v>
      </c>
      <c r="E118" s="95">
        <v>111885.4</v>
      </c>
      <c r="F118" s="237">
        <v>112514.15</v>
      </c>
      <c r="G118" s="413">
        <f t="shared" si="9"/>
        <v>628.75</v>
      </c>
      <c r="H118" s="99">
        <f>G118+'17'!H118</f>
        <v>10760.149999999994</v>
      </c>
      <c r="I118" s="165"/>
      <c r="J118" s="328">
        <f>H118/DAY(B2)</f>
        <v>597.78611111111081</v>
      </c>
      <c r="N118" s="71"/>
      <c r="Q118" s="1266" t="s">
        <v>311</v>
      </c>
      <c r="R118" s="1268"/>
    </row>
    <row r="119" spans="1:18" ht="27.75" customHeight="1">
      <c r="A119" s="1269" t="s">
        <v>98</v>
      </c>
      <c r="B119" s="1269"/>
      <c r="C119" s="1269"/>
      <c r="D119" s="151" t="s">
        <v>183</v>
      </c>
      <c r="E119" s="95">
        <v>42789</v>
      </c>
      <c r="F119" s="237">
        <v>42801.8</v>
      </c>
      <c r="G119" s="413">
        <f t="shared" si="9"/>
        <v>12.80000000000291</v>
      </c>
      <c r="H119" s="99">
        <f>G119+'17'!H119</f>
        <v>220.80000000000291</v>
      </c>
      <c r="I119" s="165"/>
      <c r="J119" s="328">
        <f>H119/DAY(B2)</f>
        <v>12.266666666666829</v>
      </c>
      <c r="N119" s="71"/>
    </row>
    <row r="120" spans="1:18" ht="27.75" customHeight="1">
      <c r="A120" s="1269" t="s">
        <v>99</v>
      </c>
      <c r="B120" s="1269"/>
      <c r="C120" s="1269"/>
      <c r="D120" s="151" t="s">
        <v>183</v>
      </c>
      <c r="E120" s="95">
        <v>78179.600000000006</v>
      </c>
      <c r="F120" s="237">
        <v>78597.7</v>
      </c>
      <c r="G120" s="413">
        <f t="shared" si="9"/>
        <v>418.09999999999127</v>
      </c>
      <c r="H120" s="99">
        <f>G120+'17'!H120</f>
        <v>7265.6999999999971</v>
      </c>
      <c r="I120" s="165"/>
      <c r="J120" s="328">
        <f>H120/DAY(B2)</f>
        <v>403.64999999999986</v>
      </c>
      <c r="N120" s="71"/>
    </row>
    <row r="121" spans="1:18" ht="27.75" customHeight="1">
      <c r="A121" s="1269" t="s">
        <v>100</v>
      </c>
      <c r="B121" s="1269"/>
      <c r="C121" s="1269"/>
      <c r="D121" s="151" t="s">
        <v>183</v>
      </c>
      <c r="E121" s="95">
        <v>88939.8</v>
      </c>
      <c r="F121" s="237">
        <v>89382.399999999994</v>
      </c>
      <c r="G121" s="413">
        <f t="shared" si="9"/>
        <v>442.59999999999127</v>
      </c>
      <c r="H121" s="99">
        <f>G121+'17'!H121</f>
        <v>8026.3999999999942</v>
      </c>
      <c r="I121" s="165"/>
      <c r="J121" s="328">
        <f>H121/DAY(B2)</f>
        <v>445.91111111111081</v>
      </c>
      <c r="N121" s="71"/>
    </row>
    <row r="122" spans="1:18" ht="27.75" customHeight="1">
      <c r="A122" s="1269" t="s">
        <v>101</v>
      </c>
      <c r="B122" s="1269"/>
      <c r="C122" s="1269"/>
      <c r="D122" s="151" t="s">
        <v>183</v>
      </c>
      <c r="E122" s="95">
        <v>55595.3</v>
      </c>
      <c r="F122" s="237">
        <v>56001.1</v>
      </c>
      <c r="G122" s="413">
        <f t="shared" si="9"/>
        <v>405.79999999999563</v>
      </c>
      <c r="H122" s="99">
        <f>G122+'17'!H122</f>
        <v>6870.0999999999985</v>
      </c>
      <c r="I122" s="165"/>
      <c r="J122" s="328">
        <f>H122/DAY(B2)</f>
        <v>381.67222222222216</v>
      </c>
      <c r="N122" s="71"/>
    </row>
    <row r="123" spans="1:18" ht="27.75" customHeight="1">
      <c r="A123" s="1269" t="s">
        <v>102</v>
      </c>
      <c r="B123" s="1269"/>
      <c r="C123" s="1269"/>
      <c r="D123" s="151" t="s">
        <v>183</v>
      </c>
      <c r="E123" s="95">
        <v>54941.8</v>
      </c>
      <c r="F123" s="237">
        <v>55246.5</v>
      </c>
      <c r="G123" s="413">
        <f t="shared" si="9"/>
        <v>304.69999999999709</v>
      </c>
      <c r="H123" s="99">
        <f>G123+'17'!H123</f>
        <v>5497.5</v>
      </c>
      <c r="I123" s="165"/>
      <c r="J123" s="328">
        <f>H123/DAY(B2)</f>
        <v>305.41666666666669</v>
      </c>
      <c r="N123" s="71"/>
    </row>
    <row r="124" spans="1:18" ht="27.75" customHeight="1">
      <c r="A124" s="1270"/>
      <c r="B124" s="1271"/>
      <c r="C124" s="1272"/>
      <c r="D124" s="165"/>
      <c r="E124" s="95">
        <v>0</v>
      </c>
      <c r="F124" s="165"/>
      <c r="G124" s="433"/>
      <c r="H124" s="99">
        <f>G124+'17'!H124</f>
        <v>0</v>
      </c>
      <c r="I124" s="165"/>
      <c r="J124" s="327"/>
      <c r="N124" s="71"/>
    </row>
    <row r="125" spans="1:18" ht="27.75" customHeight="1">
      <c r="A125" s="1261" t="s">
        <v>196</v>
      </c>
      <c r="B125" s="1262"/>
      <c r="C125" s="245"/>
      <c r="D125" s="307"/>
      <c r="E125" s="308"/>
      <c r="F125" s="308"/>
      <c r="G125" s="434">
        <f>SUM(G112:G124)</f>
        <v>3592.4499999999662</v>
      </c>
      <c r="H125" s="156"/>
      <c r="I125" s="327">
        <f>G125-(G39+G53)</f>
        <v>-776.72999999996864</v>
      </c>
      <c r="J125" s="327"/>
      <c r="N125" s="71"/>
    </row>
    <row r="126" spans="1:18" ht="27.75" customHeight="1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  <c r="N126" s="71"/>
    </row>
    <row r="127" spans="1:18" ht="27.75" customHeight="1">
      <c r="A127" s="1274"/>
      <c r="B127" s="1274"/>
      <c r="C127" s="245"/>
      <c r="D127" s="307"/>
      <c r="E127" s="308"/>
      <c r="F127" s="308"/>
      <c r="G127" s="434"/>
      <c r="H127" s="99">
        <f>G127+'17'!H127</f>
        <v>0</v>
      </c>
      <c r="I127" s="165"/>
      <c r="J127" s="328">
        <f>H127/DAY(B2)</f>
        <v>0</v>
      </c>
      <c r="N127" s="71"/>
    </row>
    <row r="128" spans="1:18" ht="27.75" customHeight="1">
      <c r="A128" s="1266" t="s">
        <v>318</v>
      </c>
      <c r="B128" s="1267"/>
      <c r="C128" s="1268"/>
      <c r="D128" s="151" t="s">
        <v>183</v>
      </c>
      <c r="E128" s="95">
        <v>161832.04</v>
      </c>
      <c r="F128" s="165">
        <v>162260.5</v>
      </c>
      <c r="G128" s="413">
        <f t="shared" ref="G128:G134" si="10">F128-E128</f>
        <v>428.45999999999185</v>
      </c>
      <c r="H128" s="99">
        <f>G128+'17'!H128</f>
        <v>7445.5</v>
      </c>
      <c r="I128" s="165"/>
      <c r="J128" s="328">
        <f>H128/DAY(B2)</f>
        <v>413.63888888888891</v>
      </c>
      <c r="N128" s="71"/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v>86950.32</v>
      </c>
      <c r="F129" s="165">
        <v>87240.6</v>
      </c>
      <c r="G129" s="413">
        <f t="shared" si="10"/>
        <v>290.27999999999884</v>
      </c>
      <c r="H129" s="99">
        <f>G129+'17'!H129</f>
        <v>3304.6000000000058</v>
      </c>
      <c r="I129" s="165"/>
      <c r="J129" s="328">
        <f>H129/DAY(B2)</f>
        <v>183.58888888888922</v>
      </c>
      <c r="N129" s="71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v>217492.19</v>
      </c>
      <c r="F130" s="165">
        <v>218256.4</v>
      </c>
      <c r="G130" s="413">
        <f t="shared" si="10"/>
        <v>764.20999999999185</v>
      </c>
      <c r="H130" s="99">
        <f>G130+'17'!H130</f>
        <v>11497.399999999994</v>
      </c>
      <c r="I130" s="165"/>
      <c r="J130" s="328">
        <f>H130/DAY(B2)</f>
        <v>638.74444444444407</v>
      </c>
      <c r="N130" s="71"/>
      <c r="O130" s="241"/>
    </row>
    <row r="131" spans="1:15" ht="27.75" customHeight="1">
      <c r="A131" s="1266" t="s">
        <v>321</v>
      </c>
      <c r="B131" s="1267"/>
      <c r="C131" s="1268"/>
      <c r="D131" s="151" t="s">
        <v>183</v>
      </c>
      <c r="E131" s="95">
        <v>63575.4</v>
      </c>
      <c r="F131" s="158">
        <v>63764.2</v>
      </c>
      <c r="G131" s="413">
        <f t="shared" si="10"/>
        <v>188.79999999999563</v>
      </c>
      <c r="H131" s="99">
        <f>G131+'17'!H131</f>
        <v>3456.1999999999971</v>
      </c>
      <c r="I131" s="165"/>
      <c r="J131" s="328">
        <f>H131/DAY(B2)</f>
        <v>192.01111111111095</v>
      </c>
      <c r="N131" s="71"/>
      <c r="O131" s="241"/>
    </row>
    <row r="132" spans="1:15" ht="27.75" customHeight="1">
      <c r="A132" s="1266" t="s">
        <v>322</v>
      </c>
      <c r="B132" s="1267"/>
      <c r="C132" s="1268"/>
      <c r="D132" s="151" t="s">
        <v>183</v>
      </c>
      <c r="E132" s="95">
        <v>146985</v>
      </c>
      <c r="F132" s="158">
        <v>146985</v>
      </c>
      <c r="G132" s="413">
        <f t="shared" si="10"/>
        <v>0</v>
      </c>
      <c r="H132" s="99">
        <f>G132+'17'!H132</f>
        <v>0</v>
      </c>
      <c r="I132" s="165"/>
      <c r="J132" s="328">
        <f>H132/DAY(B2)</f>
        <v>0</v>
      </c>
      <c r="N132" s="71"/>
    </row>
    <row r="133" spans="1:15" ht="27.75" customHeight="1">
      <c r="A133" s="1266" t="s">
        <v>357</v>
      </c>
      <c r="B133" s="1267"/>
      <c r="C133" s="1268"/>
      <c r="D133" s="151" t="s">
        <v>183</v>
      </c>
      <c r="E133" s="95">
        <v>280877.8</v>
      </c>
      <c r="F133" s="165">
        <v>281733.7</v>
      </c>
      <c r="G133" s="413">
        <f t="shared" si="10"/>
        <v>855.90000000002328</v>
      </c>
      <c r="H133" s="99">
        <f>G133+'17'!H133</f>
        <v>15788.700000000012</v>
      </c>
      <c r="I133" s="165"/>
      <c r="J133" s="328">
        <f>H133/DAY(B2)</f>
        <v>877.15000000000066</v>
      </c>
      <c r="N133" s="71"/>
    </row>
    <row r="134" spans="1:15" ht="27.75" customHeight="1">
      <c r="A134" s="1266" t="s">
        <v>340</v>
      </c>
      <c r="B134" s="1267"/>
      <c r="C134" s="1268"/>
      <c r="D134" s="151" t="s">
        <v>183</v>
      </c>
      <c r="E134" s="95">
        <v>67969.47</v>
      </c>
      <c r="F134" s="158">
        <v>68225.7</v>
      </c>
      <c r="G134" s="413">
        <f t="shared" si="10"/>
        <v>256.22999999999593</v>
      </c>
      <c r="H134" s="99">
        <f>G134+'17'!H134</f>
        <v>4563.6999999999971</v>
      </c>
      <c r="I134" s="165"/>
      <c r="J134" s="328">
        <f>H134/DAY(B2)</f>
        <v>253.53888888888872</v>
      </c>
      <c r="N134" s="71"/>
    </row>
    <row r="135" spans="1:15" ht="27.75" customHeight="1">
      <c r="A135" s="1261" t="s">
        <v>196</v>
      </c>
      <c r="B135" s="1262"/>
      <c r="C135" s="331"/>
      <c r="D135" s="151"/>
      <c r="E135" s="95"/>
      <c r="F135" s="165"/>
      <c r="G135" s="413">
        <f>SUM(G128:G134)</f>
        <v>2783.8799999999974</v>
      </c>
      <c r="H135" s="99">
        <f>G135+'10'!H135</f>
        <v>28281.270000000019</v>
      </c>
      <c r="I135" s="327">
        <f>G135-(G35+G49)</f>
        <v>-965.37999999995372</v>
      </c>
      <c r="J135" s="328"/>
      <c r="N135" s="71"/>
    </row>
    <row r="136" spans="1:15" ht="27.75" customHeight="1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  <c r="N136" s="71"/>
    </row>
    <row r="137" spans="1:15" ht="27.75" customHeight="1">
      <c r="A137" s="245"/>
      <c r="B137" s="246"/>
      <c r="C137" s="246"/>
      <c r="D137" s="165"/>
      <c r="E137" s="165"/>
      <c r="F137" s="165"/>
      <c r="G137" s="433"/>
      <c r="H137" s="156"/>
      <c r="I137" s="165"/>
      <c r="J137" s="327"/>
      <c r="N137" s="71"/>
    </row>
    <row r="138" spans="1:15" ht="27.75" customHeight="1">
      <c r="A138" s="1269" t="s">
        <v>185</v>
      </c>
      <c r="B138" s="1269"/>
      <c r="C138" s="1269"/>
      <c r="D138" s="151" t="s">
        <v>183</v>
      </c>
      <c r="E138" s="95">
        <v>900724</v>
      </c>
      <c r="F138" s="147">
        <v>900901</v>
      </c>
      <c r="G138" s="413">
        <f t="shared" ref="G138:G152" si="11">F138-E138</f>
        <v>177</v>
      </c>
      <c r="H138" s="99">
        <f>G138+'17'!H138</f>
        <v>2696</v>
      </c>
      <c r="I138" s="118"/>
      <c r="J138" s="328">
        <f>H138/DAY(B2)</f>
        <v>149.77777777777777</v>
      </c>
      <c r="N138" s="71"/>
    </row>
    <row r="139" spans="1:15" ht="27.75" customHeight="1">
      <c r="A139" s="1269" t="s">
        <v>186</v>
      </c>
      <c r="B139" s="1269"/>
      <c r="C139" s="1269"/>
      <c r="D139" s="151" t="s">
        <v>183</v>
      </c>
      <c r="E139" s="95">
        <v>920789</v>
      </c>
      <c r="F139" s="148">
        <v>920928</v>
      </c>
      <c r="G139" s="413">
        <f t="shared" si="11"/>
        <v>139</v>
      </c>
      <c r="H139" s="99">
        <f>G139+'17'!H139</f>
        <v>2724</v>
      </c>
      <c r="I139" s="118"/>
      <c r="J139" s="328">
        <f>H139/DAY(B2)</f>
        <v>151.33333333333334</v>
      </c>
      <c r="N139" s="71"/>
    </row>
    <row r="140" spans="1:15" ht="27.75" customHeight="1">
      <c r="A140" s="1269" t="s">
        <v>187</v>
      </c>
      <c r="B140" s="1269"/>
      <c r="C140" s="1269"/>
      <c r="D140" s="151" t="s">
        <v>183</v>
      </c>
      <c r="E140" s="95">
        <v>2540.6</v>
      </c>
      <c r="F140" s="149">
        <v>2552.65</v>
      </c>
      <c r="G140" s="413">
        <f t="shared" si="11"/>
        <v>12.050000000000182</v>
      </c>
      <c r="H140" s="99">
        <f>G140+'17'!H140</f>
        <v>209.65000000000009</v>
      </c>
      <c r="I140" s="118"/>
      <c r="J140" s="328">
        <f>H140/DAY(B2)</f>
        <v>11.647222222222227</v>
      </c>
      <c r="N140" s="71"/>
    </row>
    <row r="141" spans="1:15" ht="27.75" customHeight="1">
      <c r="A141" s="1256" t="s">
        <v>188</v>
      </c>
      <c r="B141" s="1256"/>
      <c r="C141" s="1256"/>
      <c r="D141" s="151" t="s">
        <v>183</v>
      </c>
      <c r="E141" s="95">
        <v>107576.06</v>
      </c>
      <c r="F141" s="149">
        <v>107787.6</v>
      </c>
      <c r="G141" s="413">
        <f t="shared" si="11"/>
        <v>211.54000000000815</v>
      </c>
      <c r="H141" s="99">
        <f>G141+'17'!H141</f>
        <v>4013.6000000000058</v>
      </c>
      <c r="I141" s="118"/>
      <c r="J141" s="328">
        <f>H141/DAY(B2)</f>
        <v>222.9777777777781</v>
      </c>
      <c r="N141" s="71"/>
    </row>
    <row r="142" spans="1:15" ht="27.75" customHeight="1">
      <c r="A142" s="1256" t="s">
        <v>189</v>
      </c>
      <c r="B142" s="1256"/>
      <c r="C142" s="1256"/>
      <c r="D142" s="151" t="s">
        <v>183</v>
      </c>
      <c r="E142" s="95">
        <v>43385.5</v>
      </c>
      <c r="F142" s="148">
        <v>43488.74</v>
      </c>
      <c r="G142" s="413">
        <f t="shared" si="11"/>
        <v>103.23999999999796</v>
      </c>
      <c r="H142" s="99">
        <f>G142+'17'!H142</f>
        <v>1673.739999999998</v>
      </c>
      <c r="I142" s="140"/>
      <c r="J142" s="328">
        <f>H142/DAY(B2)</f>
        <v>92.985555555555436</v>
      </c>
      <c r="N142" s="71"/>
    </row>
    <row r="143" spans="1:15" ht="27.75" customHeight="1">
      <c r="A143" s="1269" t="s">
        <v>91</v>
      </c>
      <c r="B143" s="1269"/>
      <c r="C143" s="1269"/>
      <c r="D143" s="151" t="s">
        <v>183</v>
      </c>
      <c r="E143" s="95">
        <v>11143</v>
      </c>
      <c r="F143" s="149">
        <v>11172.2</v>
      </c>
      <c r="G143" s="413">
        <f t="shared" si="11"/>
        <v>29.200000000000728</v>
      </c>
      <c r="H143" s="99">
        <f>G143+'17'!H143</f>
        <v>495.20000000000073</v>
      </c>
      <c r="I143" s="140"/>
      <c r="J143" s="328">
        <f>H143/DAY(B2)</f>
        <v>27.511111111111152</v>
      </c>
      <c r="N143" s="71"/>
    </row>
    <row r="144" spans="1:15" ht="27.75" customHeight="1">
      <c r="A144" s="1256" t="s">
        <v>90</v>
      </c>
      <c r="B144" s="1256"/>
      <c r="C144" s="1256"/>
      <c r="D144" s="151" t="s">
        <v>183</v>
      </c>
      <c r="E144" s="95">
        <v>937605</v>
      </c>
      <c r="F144" s="148">
        <v>937855</v>
      </c>
      <c r="G144" s="413">
        <f t="shared" si="11"/>
        <v>250</v>
      </c>
      <c r="H144" s="99">
        <f>G144+'17'!H144</f>
        <v>4334</v>
      </c>
      <c r="I144" s="140"/>
      <c r="J144" s="328">
        <f>H144/DAY(B2)</f>
        <v>240.77777777777777</v>
      </c>
      <c r="N144" s="71"/>
    </row>
    <row r="145" spans="1:14" ht="27.75" customHeight="1">
      <c r="A145" s="1269" t="s">
        <v>190</v>
      </c>
      <c r="B145" s="1269"/>
      <c r="C145" s="1269"/>
      <c r="D145" s="152" t="s">
        <v>183</v>
      </c>
      <c r="E145" s="95">
        <v>16784.599999999999</v>
      </c>
      <c r="F145" s="149">
        <v>16971.28</v>
      </c>
      <c r="G145" s="413">
        <f t="shared" si="11"/>
        <v>186.68000000000029</v>
      </c>
      <c r="H145" s="99">
        <f>G145+'17'!H145</f>
        <v>3831.2799999999988</v>
      </c>
      <c r="I145" s="140"/>
      <c r="J145" s="328">
        <f>H145/DAY(B2)</f>
        <v>212.84888888888884</v>
      </c>
      <c r="N145" s="71"/>
    </row>
    <row r="146" spans="1:14" ht="27.75" customHeight="1">
      <c r="A146" s="1332" t="s">
        <v>191</v>
      </c>
      <c r="B146" s="1289"/>
      <c r="C146" s="1290"/>
      <c r="D146" s="152" t="s">
        <v>183</v>
      </c>
      <c r="E146" s="95">
        <v>785118</v>
      </c>
      <c r="F146" s="148">
        <v>785162</v>
      </c>
      <c r="G146" s="413">
        <f t="shared" si="11"/>
        <v>44</v>
      </c>
      <c r="H146" s="99">
        <f>G146+'17'!H146</f>
        <v>823</v>
      </c>
      <c r="I146" s="140"/>
      <c r="J146" s="328">
        <f>H146/DAY(B2)</f>
        <v>45.722222222222221</v>
      </c>
      <c r="N146" s="71"/>
    </row>
    <row r="147" spans="1:14" ht="27.75" customHeight="1">
      <c r="A147" s="1256" t="s">
        <v>192</v>
      </c>
      <c r="B147" s="1256"/>
      <c r="C147" s="1256"/>
      <c r="D147" s="152" t="s">
        <v>183</v>
      </c>
      <c r="E147" s="95">
        <v>730345.28</v>
      </c>
      <c r="F147" s="148">
        <v>730746.48</v>
      </c>
      <c r="G147" s="413">
        <f t="shared" si="11"/>
        <v>401.19999999995343</v>
      </c>
      <c r="H147" s="99">
        <f>G147+'17'!H147</f>
        <v>7224.4799999999814</v>
      </c>
      <c r="I147" s="140"/>
      <c r="J147" s="328">
        <f>H147/DAY(B2)</f>
        <v>401.35999999999899</v>
      </c>
      <c r="N147" s="71"/>
    </row>
    <row r="148" spans="1:14" ht="27.75" customHeight="1">
      <c r="A148" s="1257" t="s">
        <v>193</v>
      </c>
      <c r="B148" s="1258"/>
      <c r="C148" s="1259"/>
      <c r="D148" s="123" t="s">
        <v>130</v>
      </c>
      <c r="E148" s="95">
        <v>771719.76</v>
      </c>
      <c r="F148" s="150">
        <v>771991.6</v>
      </c>
      <c r="G148" s="413">
        <f t="shared" si="11"/>
        <v>271.8399999999674</v>
      </c>
      <c r="H148" s="99">
        <f>G148+'17'!H148</f>
        <v>5381.5999999999767</v>
      </c>
      <c r="I148" s="124"/>
      <c r="J148" s="328">
        <f>H148/DAY(B2)</f>
        <v>298.97777777777651</v>
      </c>
      <c r="N148" s="71"/>
    </row>
    <row r="149" spans="1:14" ht="27.75" customHeight="1">
      <c r="A149" s="1257" t="s">
        <v>336</v>
      </c>
      <c r="B149" s="1258"/>
      <c r="C149" s="1259"/>
      <c r="D149" s="227" t="s">
        <v>130</v>
      </c>
      <c r="E149" s="95">
        <v>165459.79999999999</v>
      </c>
      <c r="F149" s="399">
        <v>165909.4</v>
      </c>
      <c r="G149" s="413">
        <f t="shared" si="11"/>
        <v>449.60000000000582</v>
      </c>
      <c r="H149" s="99">
        <f>G149+'17'!H149</f>
        <v>7942.3999999999942</v>
      </c>
      <c r="I149" s="119"/>
      <c r="J149" s="328">
        <f>H149/DAY(B2)</f>
        <v>441.24444444444413</v>
      </c>
      <c r="N149" s="71"/>
    </row>
    <row r="150" spans="1:14" ht="27.75" customHeight="1">
      <c r="A150" s="1257" t="s">
        <v>337</v>
      </c>
      <c r="B150" s="1258"/>
      <c r="C150" s="1259"/>
      <c r="D150" s="117" t="s">
        <v>130</v>
      </c>
      <c r="E150" s="95">
        <v>67754.75</v>
      </c>
      <c r="F150" s="233">
        <v>67956.3</v>
      </c>
      <c r="G150" s="413">
        <f t="shared" si="11"/>
        <v>201.55000000000291</v>
      </c>
      <c r="H150" s="99">
        <f>G150+'17'!H150</f>
        <v>3978.3000000000029</v>
      </c>
      <c r="I150" s="119"/>
      <c r="J150" s="328">
        <f>H150/DAY(B2)</f>
        <v>221.01666666666682</v>
      </c>
      <c r="N150" s="71"/>
    </row>
    <row r="151" spans="1:14" ht="27.75" customHeight="1">
      <c r="A151" s="1257" t="s">
        <v>338</v>
      </c>
      <c r="B151" s="1258"/>
      <c r="C151" s="1259"/>
      <c r="D151" s="117" t="s">
        <v>130</v>
      </c>
      <c r="E151" s="95">
        <v>150718</v>
      </c>
      <c r="F151" s="233">
        <v>150753</v>
      </c>
      <c r="G151" s="413">
        <f t="shared" si="11"/>
        <v>35</v>
      </c>
      <c r="H151" s="99">
        <f>G151+'17'!H151</f>
        <v>965</v>
      </c>
      <c r="I151" s="119"/>
      <c r="J151" s="328">
        <f>H151/DAY(B2)</f>
        <v>53.611111111111114</v>
      </c>
      <c r="N151" s="71"/>
    </row>
    <row r="152" spans="1:14" ht="27.75" customHeight="1">
      <c r="A152" s="1257" t="s">
        <v>339</v>
      </c>
      <c r="B152" s="1258"/>
      <c r="C152" s="1259"/>
      <c r="D152" s="117" t="s">
        <v>130</v>
      </c>
      <c r="E152" s="95">
        <v>32807.300000000003</v>
      </c>
      <c r="F152" s="233">
        <v>32933</v>
      </c>
      <c r="G152" s="413">
        <f t="shared" si="11"/>
        <v>125.69999999999709</v>
      </c>
      <c r="H152" s="99">
        <f>G152+'17'!H152</f>
        <v>2319</v>
      </c>
      <c r="I152" s="119"/>
      <c r="J152" s="328">
        <f>H152/DAY(B2)</f>
        <v>128.83333333333334</v>
      </c>
      <c r="N152" s="71"/>
    </row>
    <row r="153" spans="1:14" ht="27.75" customHeight="1">
      <c r="A153" s="1261" t="s">
        <v>196</v>
      </c>
      <c r="B153" s="1262"/>
      <c r="C153" s="362"/>
      <c r="D153" s="355"/>
      <c r="E153" s="357"/>
      <c r="F153" s="358"/>
      <c r="G153" s="435">
        <f>SUM(G138:G152)</f>
        <v>2637.599999999934</v>
      </c>
      <c r="H153" s="360"/>
      <c r="I153" s="119">
        <f>G153-(G38+G52)</f>
        <v>356.03999999999451</v>
      </c>
      <c r="J153" s="363"/>
      <c r="N153" s="71"/>
    </row>
    <row r="154" spans="1:14" ht="27.75" customHeight="1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  <c r="N154" s="71"/>
    </row>
    <row r="155" spans="1:14" ht="27.75" customHeight="1">
      <c r="A155" s="1256" t="s">
        <v>345</v>
      </c>
      <c r="B155" s="1256"/>
      <c r="C155" s="1256"/>
      <c r="D155" s="117" t="s">
        <v>130</v>
      </c>
      <c r="E155" s="95">
        <v>195049.51</v>
      </c>
      <c r="F155" s="375">
        <v>195565.5</v>
      </c>
      <c r="G155" s="413">
        <f t="shared" ref="G155:G157" si="12">F155-E155</f>
        <v>515.98999999999069</v>
      </c>
      <c r="H155" s="99">
        <f>G155+'17'!H155</f>
        <v>9824.5</v>
      </c>
      <c r="I155" s="361"/>
      <c r="J155" s="328">
        <f>H155/DAY(B2)</f>
        <v>545.80555555555554</v>
      </c>
      <c r="N155" s="71"/>
    </row>
    <row r="156" spans="1:14" ht="27.75" customHeight="1">
      <c r="A156" s="1256" t="s">
        <v>347</v>
      </c>
      <c r="B156" s="1256"/>
      <c r="C156" s="1256"/>
      <c r="D156" s="117" t="s">
        <v>130</v>
      </c>
      <c r="E156" s="95">
        <v>22374.06</v>
      </c>
      <c r="F156" s="155">
        <v>22461.9</v>
      </c>
      <c r="G156" s="413">
        <f t="shared" si="12"/>
        <v>87.840000000000146</v>
      </c>
      <c r="H156" s="99">
        <f>G156+'17'!H156</f>
        <v>1722.9000000000015</v>
      </c>
      <c r="I156" s="165"/>
      <c r="J156" s="328">
        <f>H156/DAY(B2)</f>
        <v>95.716666666666754</v>
      </c>
      <c r="N156" s="71"/>
    </row>
    <row r="157" spans="1:14" ht="27.75" customHeight="1">
      <c r="A157" s="1257" t="s">
        <v>358</v>
      </c>
      <c r="B157" s="1258"/>
      <c r="C157" s="1259"/>
      <c r="D157" s="117" t="s">
        <v>130</v>
      </c>
      <c r="E157" s="95">
        <v>37558.54</v>
      </c>
      <c r="F157" s="155">
        <v>37558.54</v>
      </c>
      <c r="G157" s="413">
        <f t="shared" si="12"/>
        <v>0</v>
      </c>
      <c r="H157" s="99">
        <f>G157+'17'!H157</f>
        <v>1434.5400000000009</v>
      </c>
      <c r="I157" s="165"/>
      <c r="J157" s="328">
        <f>H157/DAY(B2)</f>
        <v>79.696666666666715</v>
      </c>
      <c r="N157" s="71"/>
    </row>
    <row r="158" spans="1:14" ht="27.75" customHeight="1">
      <c r="A158" s="1257" t="s">
        <v>359</v>
      </c>
      <c r="B158" s="1258"/>
      <c r="C158" s="1259"/>
      <c r="D158" s="117" t="s">
        <v>130</v>
      </c>
      <c r="E158" s="95">
        <v>897.7</v>
      </c>
      <c r="F158" s="155">
        <v>918</v>
      </c>
      <c r="G158" s="413">
        <f t="shared" ref="G158" si="13">F158-E158</f>
        <v>20.299999999999955</v>
      </c>
      <c r="H158" s="99">
        <f>G158+'17'!H158</f>
        <v>413.37</v>
      </c>
      <c r="I158" s="165"/>
      <c r="J158" s="328">
        <f>H158/DAY(B2)</f>
        <v>22.965</v>
      </c>
      <c r="N158" s="71"/>
    </row>
    <row r="159" spans="1:14" ht="27.75" customHeight="1">
      <c r="A159" s="1263"/>
      <c r="B159" s="1264"/>
      <c r="C159" s="1265"/>
      <c r="D159" s="117"/>
      <c r="E159" s="95"/>
      <c r="F159" s="165"/>
      <c r="G159" s="413"/>
      <c r="H159" s="99"/>
      <c r="I159" s="165"/>
      <c r="J159" s="328"/>
      <c r="N159" s="71"/>
    </row>
    <row r="160" spans="1:14" ht="27.75" customHeight="1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  <c r="N160" s="71"/>
    </row>
    <row r="161" spans="1:16" ht="27.75" customHeight="1">
      <c r="A161" s="242" t="s">
        <v>92</v>
      </c>
      <c r="B161" s="243"/>
      <c r="C161" s="243"/>
      <c r="D161" s="244" t="s">
        <v>180</v>
      </c>
      <c r="E161" s="95">
        <v>493277.04</v>
      </c>
      <c r="F161" s="235">
        <v>493655.32</v>
      </c>
      <c r="G161" s="436">
        <f t="shared" ref="G161:G166" si="14">F161-E161</f>
        <v>378.28000000002794</v>
      </c>
      <c r="H161" s="99">
        <f>G161+'17'!H161</f>
        <v>378.28000000002794</v>
      </c>
      <c r="I161" s="236"/>
      <c r="J161" s="239">
        <f>H161/DAY(B2)</f>
        <v>21.015555555557107</v>
      </c>
      <c r="N161" s="71"/>
    </row>
    <row r="162" spans="1:16" ht="27.75" customHeight="1">
      <c r="A162" s="242" t="s">
        <v>93</v>
      </c>
      <c r="B162" s="243"/>
      <c r="C162" s="243"/>
      <c r="D162" s="244" t="s">
        <v>180</v>
      </c>
      <c r="E162" s="95">
        <v>97916.4</v>
      </c>
      <c r="F162" s="235">
        <v>97962.8</v>
      </c>
      <c r="G162" s="436">
        <f t="shared" si="14"/>
        <v>46.400000000008731</v>
      </c>
      <c r="H162" s="99">
        <f>G162+'17'!H162</f>
        <v>674.80000000000291</v>
      </c>
      <c r="I162" s="236"/>
      <c r="J162" s="239">
        <f>H162/DAY(B2)</f>
        <v>37.488888888889051</v>
      </c>
      <c r="N162" s="71"/>
    </row>
    <row r="163" spans="1:16" ht="27.75" customHeight="1">
      <c r="A163" s="242" t="s">
        <v>197</v>
      </c>
      <c r="B163" s="243"/>
      <c r="C163" s="243"/>
      <c r="D163" s="244" t="s">
        <v>180</v>
      </c>
      <c r="E163" s="95">
        <v>16149.3</v>
      </c>
      <c r="F163" s="235">
        <v>16292.5</v>
      </c>
      <c r="G163" s="436">
        <f t="shared" si="14"/>
        <v>143.20000000000073</v>
      </c>
      <c r="H163" s="99">
        <f>G163+'17'!H163</f>
        <v>2128.5</v>
      </c>
      <c r="I163" s="236"/>
      <c r="J163" s="239">
        <f>H163/DAY(B2)</f>
        <v>118.25</v>
      </c>
      <c r="N163" s="71"/>
    </row>
    <row r="164" spans="1:16" ht="27.75" customHeight="1">
      <c r="A164" s="242" t="s">
        <v>197</v>
      </c>
      <c r="B164" s="243"/>
      <c r="C164" s="243"/>
      <c r="D164" s="244" t="s">
        <v>180</v>
      </c>
      <c r="E164" s="95">
        <v>6728.6</v>
      </c>
      <c r="F164" s="235">
        <v>6734.5</v>
      </c>
      <c r="G164" s="436">
        <f t="shared" si="14"/>
        <v>5.8999999999996362</v>
      </c>
      <c r="H164" s="99">
        <f>G164+'17'!H164</f>
        <v>122.5</v>
      </c>
      <c r="I164" s="236"/>
      <c r="J164" s="239">
        <f>H164/DAY(B2)</f>
        <v>6.8055555555555554</v>
      </c>
      <c r="N164" s="71"/>
    </row>
    <row r="165" spans="1:16" ht="27.75" customHeight="1">
      <c r="A165" s="242" t="s">
        <v>309</v>
      </c>
      <c r="B165" s="243"/>
      <c r="C165" s="243"/>
      <c r="D165" s="244" t="s">
        <v>180</v>
      </c>
      <c r="E165" s="95">
        <v>32254.97</v>
      </c>
      <c r="F165" s="235">
        <v>32263.599999999999</v>
      </c>
      <c r="G165" s="436">
        <f t="shared" si="14"/>
        <v>8.6299999999973807</v>
      </c>
      <c r="H165" s="99">
        <f>G165+'17'!H165</f>
        <v>122.59999999999854</v>
      </c>
      <c r="I165" s="236"/>
      <c r="J165" s="239">
        <f>H165/DAY(B2)</f>
        <v>6.8111111111110301</v>
      </c>
      <c r="N165" s="71"/>
    </row>
    <row r="166" spans="1:16" ht="27.75" customHeight="1">
      <c r="A166" s="1274"/>
      <c r="B166" s="1274"/>
      <c r="C166" s="246"/>
      <c r="D166" s="244" t="s">
        <v>180</v>
      </c>
      <c r="E166" s="95">
        <v>0</v>
      </c>
      <c r="F166" s="165"/>
      <c r="G166" s="433">
        <f t="shared" si="14"/>
        <v>0</v>
      </c>
      <c r="H166" s="99">
        <f>G166+'17'!H166</f>
        <v>0</v>
      </c>
      <c r="I166" s="165"/>
      <c r="J166" s="239">
        <f>H166/DAY(B2)</f>
        <v>0</v>
      </c>
      <c r="N166" s="71"/>
    </row>
    <row r="167" spans="1:16" ht="27.75" customHeight="1">
      <c r="A167" s="1274"/>
      <c r="B167" s="1274"/>
      <c r="C167" s="246"/>
      <c r="D167" s="244" t="s">
        <v>180</v>
      </c>
      <c r="E167" s="95">
        <v>0</v>
      </c>
      <c r="F167" s="165"/>
      <c r="G167" s="433"/>
      <c r="H167" s="99">
        <f>G167+'17'!H167</f>
        <v>0</v>
      </c>
      <c r="I167" s="165"/>
      <c r="J167" s="239">
        <f>H167/DAY(B2)</f>
        <v>0</v>
      </c>
      <c r="N167" s="71"/>
    </row>
    <row r="168" spans="1:16" ht="27.75" customHeight="1">
      <c r="A168" s="1274"/>
      <c r="B168" s="1274"/>
      <c r="C168" s="246"/>
      <c r="D168" s="244" t="s">
        <v>180</v>
      </c>
      <c r="E168" s="95">
        <v>0</v>
      </c>
      <c r="F168" s="165"/>
      <c r="G168" s="433"/>
      <c r="H168" s="99">
        <f>G168+'17'!H168</f>
        <v>0</v>
      </c>
      <c r="I168" s="165"/>
      <c r="J168" s="239">
        <f>H168/DAY(B2)</f>
        <v>0</v>
      </c>
      <c r="N168" s="71"/>
    </row>
    <row r="169" spans="1:16" ht="27.75" customHeight="1">
      <c r="N169" s="71"/>
    </row>
    <row r="170" spans="1:16" ht="27.75" customHeight="1">
      <c r="N170" s="71"/>
    </row>
    <row r="171" spans="1:16" ht="27.75" customHeight="1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  <c r="N171" s="71"/>
    </row>
    <row r="172" spans="1:16" ht="27.75" customHeight="1">
      <c r="A172" s="1330"/>
      <c r="B172" s="1331"/>
      <c r="C172" s="332"/>
      <c r="D172" s="228"/>
      <c r="E172" s="155"/>
      <c r="F172" s="155"/>
      <c r="G172" s="437"/>
      <c r="H172" s="156"/>
      <c r="I172" s="155"/>
      <c r="J172" s="178"/>
      <c r="N172" s="71"/>
    </row>
    <row r="173" spans="1:16" ht="27.75" customHeight="1">
      <c r="A173" s="1254" t="s">
        <v>209</v>
      </c>
      <c r="B173" s="1255"/>
      <c r="C173" s="333"/>
      <c r="D173" s="228" t="s">
        <v>142</v>
      </c>
      <c r="E173" s="95">
        <v>8608</v>
      </c>
      <c r="F173" s="155">
        <v>8609</v>
      </c>
      <c r="G173" s="437">
        <f>F173-E173</f>
        <v>1</v>
      </c>
      <c r="H173" s="99">
        <f>G173+'17'!H173</f>
        <v>28</v>
      </c>
      <c r="I173" s="155"/>
      <c r="J173" s="178">
        <f>H173/DAY(B2)</f>
        <v>1.5555555555555556</v>
      </c>
      <c r="N173" s="71"/>
    </row>
    <row r="174" spans="1:16" ht="27.75" customHeight="1">
      <c r="A174" s="1254" t="s">
        <v>75</v>
      </c>
      <c r="B174" s="1255"/>
      <c r="C174" s="333"/>
      <c r="D174" s="228" t="s">
        <v>142</v>
      </c>
      <c r="E174" s="95">
        <v>42189</v>
      </c>
      <c r="F174" s="157">
        <v>42203</v>
      </c>
      <c r="G174" s="438">
        <f t="shared" ref="G174:G175" si="15">F174-E174</f>
        <v>14</v>
      </c>
      <c r="H174" s="99">
        <f>G174+'17'!H174</f>
        <v>241</v>
      </c>
      <c r="I174" s="155"/>
      <c r="J174" s="178">
        <f>H174/DAY(B2)</f>
        <v>13.388888888888889</v>
      </c>
      <c r="N174" s="71"/>
      <c r="P174" s="65">
        <v>800561</v>
      </c>
    </row>
    <row r="175" spans="1:16" ht="27.75" customHeight="1">
      <c r="A175" s="1254" t="s">
        <v>76</v>
      </c>
      <c r="B175" s="1324"/>
      <c r="C175" s="1255"/>
      <c r="D175" s="228" t="s">
        <v>142</v>
      </c>
      <c r="E175" s="95">
        <v>24884</v>
      </c>
      <c r="F175" s="155">
        <v>24896</v>
      </c>
      <c r="G175" s="437">
        <f t="shared" si="15"/>
        <v>12</v>
      </c>
      <c r="H175" s="99">
        <f>G175+'17'!H175</f>
        <v>199</v>
      </c>
      <c r="I175" s="155"/>
      <c r="J175" s="178">
        <f>H175/DAY(B2)</f>
        <v>11.055555555555555</v>
      </c>
      <c r="N175" s="71"/>
    </row>
    <row r="176" spans="1:16" ht="27.75" customHeight="1">
      <c r="A176" s="1261" t="s">
        <v>196</v>
      </c>
      <c r="B176" s="1262"/>
      <c r="C176" s="384"/>
      <c r="D176" s="228" t="s">
        <v>142</v>
      </c>
      <c r="E176" s="95"/>
      <c r="F176" s="155"/>
      <c r="G176" s="437">
        <f>SUM(G173:G175)</f>
        <v>27</v>
      </c>
      <c r="H176" s="99">
        <f>G176+'17'!H176</f>
        <v>468</v>
      </c>
      <c r="I176" s="155"/>
      <c r="J176" s="178">
        <f>H176/DAY(B2)</f>
        <v>26</v>
      </c>
      <c r="N176" s="71"/>
    </row>
    <row r="177" spans="1:14" ht="27.75" customHeight="1">
      <c r="A177" s="1254" t="s">
        <v>77</v>
      </c>
      <c r="B177" s="1255"/>
      <c r="C177" s="333"/>
      <c r="D177" s="228" t="s">
        <v>142</v>
      </c>
      <c r="E177" s="95"/>
      <c r="F177" s="155"/>
      <c r="G177" s="437"/>
      <c r="H177" s="99">
        <f>G177+'17'!H177</f>
        <v>0</v>
      </c>
      <c r="I177" s="155"/>
      <c r="J177" s="178">
        <f>H177/DAY(B2)</f>
        <v>0</v>
      </c>
      <c r="N177" s="71"/>
    </row>
    <row r="178" spans="1:14" ht="27.75" customHeight="1">
      <c r="A178" s="1254" t="s">
        <v>210</v>
      </c>
      <c r="B178" s="1255"/>
      <c r="C178" s="333"/>
      <c r="D178" s="228" t="s">
        <v>142</v>
      </c>
      <c r="E178" s="95">
        <v>102114</v>
      </c>
      <c r="F178" s="155">
        <v>102114</v>
      </c>
      <c r="G178" s="437">
        <f>F178-E178</f>
        <v>0</v>
      </c>
      <c r="H178" s="99">
        <f>G178+'17'!H178</f>
        <v>3</v>
      </c>
      <c r="I178" s="155"/>
      <c r="J178" s="178">
        <f>H178/DAY(B2)</f>
        <v>0.16666666666666666</v>
      </c>
      <c r="N178" s="71"/>
    </row>
    <row r="179" spans="1:14" ht="27.75" customHeight="1">
      <c r="A179" s="1254" t="s">
        <v>211</v>
      </c>
      <c r="B179" s="1255"/>
      <c r="C179" s="333"/>
      <c r="D179" s="228" t="s">
        <v>142</v>
      </c>
      <c r="E179" s="95">
        <v>37501</v>
      </c>
      <c r="F179" s="155">
        <v>37501</v>
      </c>
      <c r="G179" s="437">
        <f t="shared" ref="G179:G180" si="16">F179-E179</f>
        <v>0</v>
      </c>
      <c r="H179" s="99">
        <f>G179+'17'!H179</f>
        <v>0</v>
      </c>
      <c r="I179" s="155"/>
      <c r="J179" s="178">
        <f>H179/DAY(B2)</f>
        <v>0</v>
      </c>
      <c r="N179" s="71"/>
    </row>
    <row r="180" spans="1:14" ht="27.75" customHeight="1">
      <c r="A180" s="1254" t="s">
        <v>212</v>
      </c>
      <c r="B180" s="1255"/>
      <c r="C180" s="333"/>
      <c r="D180" s="228" t="s">
        <v>142</v>
      </c>
      <c r="E180" s="95">
        <v>37036</v>
      </c>
      <c r="F180" s="155">
        <v>37036</v>
      </c>
      <c r="G180" s="437">
        <f t="shared" si="16"/>
        <v>0</v>
      </c>
      <c r="H180" s="99">
        <f>G180+'17'!H180</f>
        <v>0</v>
      </c>
      <c r="I180" s="155"/>
      <c r="J180" s="178">
        <f>H180/DAY(B2)</f>
        <v>0</v>
      </c>
      <c r="N180" s="71"/>
    </row>
    <row r="181" spans="1:14" ht="27.75" customHeight="1">
      <c r="A181" s="1325" t="s">
        <v>108</v>
      </c>
      <c r="B181" s="1326"/>
      <c r="C181" s="384"/>
      <c r="D181" s="228" t="s">
        <v>142</v>
      </c>
      <c r="E181" s="95"/>
      <c r="F181" s="155"/>
      <c r="G181" s="437">
        <f>SUM(G178:G180)</f>
        <v>0</v>
      </c>
      <c r="H181" s="99">
        <f>G181+'17'!H181</f>
        <v>3</v>
      </c>
      <c r="I181" s="155"/>
      <c r="J181" s="178">
        <f>H181/DAY(B2)</f>
        <v>0.16666666666666666</v>
      </c>
      <c r="N181" s="71"/>
    </row>
    <row r="182" spans="1:14" ht="27.75" customHeight="1">
      <c r="A182" s="1254" t="s">
        <v>213</v>
      </c>
      <c r="B182" s="1255"/>
      <c r="C182" s="333"/>
      <c r="D182" s="228" t="s">
        <v>142</v>
      </c>
      <c r="E182" s="95"/>
      <c r="F182" s="155"/>
      <c r="G182" s="437"/>
      <c r="H182" s="99">
        <f>G182+'17'!H182</f>
        <v>0</v>
      </c>
      <c r="I182" s="155"/>
      <c r="J182" s="178">
        <f>H182/DAY(B2)</f>
        <v>0</v>
      </c>
      <c r="N182" s="71"/>
    </row>
    <row r="183" spans="1:14" ht="27.75" customHeight="1">
      <c r="A183" s="1254" t="s">
        <v>214</v>
      </c>
      <c r="B183" s="1255"/>
      <c r="C183" s="334"/>
      <c r="D183" s="228" t="s">
        <v>142</v>
      </c>
      <c r="E183" s="95">
        <v>17934</v>
      </c>
      <c r="F183" s="157">
        <v>17944</v>
      </c>
      <c r="G183" s="438">
        <f>F183-E183</f>
        <v>10</v>
      </c>
      <c r="H183" s="99">
        <f>G183+'17'!H183</f>
        <v>96</v>
      </c>
      <c r="I183" s="155"/>
      <c r="J183" s="178">
        <f>H183/DAY(B2)</f>
        <v>5.333333333333333</v>
      </c>
      <c r="N183" s="71"/>
    </row>
    <row r="184" spans="1:14" ht="27.75" customHeight="1">
      <c r="A184" s="1254" t="s">
        <v>215</v>
      </c>
      <c r="B184" s="1255"/>
      <c r="C184" s="334"/>
      <c r="D184" s="228" t="s">
        <v>142</v>
      </c>
      <c r="E184" s="95">
        <v>12483</v>
      </c>
      <c r="F184" s="157">
        <v>12487</v>
      </c>
      <c r="G184" s="438">
        <f t="shared" ref="G184:G185" si="17">F184-E184</f>
        <v>4</v>
      </c>
      <c r="H184" s="99">
        <f>G184+'17'!H184</f>
        <v>138</v>
      </c>
      <c r="I184" s="155"/>
      <c r="J184" s="178">
        <f>H184/DAY(B2)</f>
        <v>7.666666666666667</v>
      </c>
      <c r="N184" s="71"/>
    </row>
    <row r="185" spans="1:14" ht="27.75" customHeight="1">
      <c r="A185" s="1254" t="s">
        <v>216</v>
      </c>
      <c r="B185" s="1255"/>
      <c r="C185" s="334"/>
      <c r="D185" s="228" t="s">
        <v>142</v>
      </c>
      <c r="E185" s="95">
        <v>0</v>
      </c>
      <c r="F185" s="157"/>
      <c r="G185" s="438">
        <f t="shared" si="17"/>
        <v>0</v>
      </c>
      <c r="H185" s="99">
        <f>G185+'17'!H185</f>
        <v>0</v>
      </c>
      <c r="I185" s="155"/>
      <c r="J185" s="178">
        <f>H185/DAY(B2)</f>
        <v>0</v>
      </c>
      <c r="N185" s="71"/>
    </row>
    <row r="186" spans="1:14" ht="27.75" customHeight="1">
      <c r="A186" s="1261" t="s">
        <v>196</v>
      </c>
      <c r="B186" s="1262"/>
      <c r="C186" s="383"/>
      <c r="D186" s="228" t="s">
        <v>142</v>
      </c>
      <c r="E186" s="95"/>
      <c r="F186" s="157"/>
      <c r="G186" s="438">
        <f>SUM(G183:G185)</f>
        <v>14</v>
      </c>
      <c r="H186" s="99">
        <f>G186+'17'!H186</f>
        <v>234</v>
      </c>
      <c r="I186" s="157"/>
      <c r="J186" s="178">
        <f>H186/DAY(B2)</f>
        <v>13</v>
      </c>
      <c r="N186" s="71"/>
    </row>
    <row r="187" spans="1:14" ht="27.75" customHeight="1">
      <c r="A187" s="1250" t="s">
        <v>217</v>
      </c>
      <c r="B187" s="1251"/>
      <c r="C187" s="333"/>
      <c r="D187" s="230" t="s">
        <v>142</v>
      </c>
      <c r="E187" s="95"/>
      <c r="F187" s="159"/>
      <c r="G187" s="439">
        <f>G62+G19</f>
        <v>147</v>
      </c>
      <c r="H187" s="99">
        <f>G187+'17'!H187</f>
        <v>2699</v>
      </c>
      <c r="I187" s="158"/>
      <c r="J187" s="179">
        <f>H187/DAY(B2)</f>
        <v>149.94444444444446</v>
      </c>
      <c r="N187" s="71"/>
    </row>
    <row r="188" spans="1:14" ht="27.75" customHeight="1">
      <c r="A188" s="1250" t="s">
        <v>218</v>
      </c>
      <c r="B188" s="1251"/>
      <c r="C188" s="333"/>
      <c r="D188" s="230" t="s">
        <v>142</v>
      </c>
      <c r="E188" s="95"/>
      <c r="F188" s="159"/>
      <c r="G188" s="439">
        <f>G65+G66+G67+G69+G70</f>
        <v>145</v>
      </c>
      <c r="H188" s="99">
        <f>G188+'17'!H188</f>
        <v>676</v>
      </c>
      <c r="I188" s="158"/>
      <c r="J188" s="179">
        <f>H188/DAY(B2)</f>
        <v>37.555555555555557</v>
      </c>
      <c r="N188" s="71"/>
    </row>
    <row r="189" spans="1:14" ht="27.75" customHeight="1">
      <c r="A189" s="1250" t="s">
        <v>219</v>
      </c>
      <c r="B189" s="1251"/>
      <c r="C189" s="333"/>
      <c r="D189" s="230" t="s">
        <v>142</v>
      </c>
      <c r="E189" s="95"/>
      <c r="F189" s="157"/>
      <c r="G189" s="439">
        <f>G181</f>
        <v>0</v>
      </c>
      <c r="H189" s="99">
        <f>G189+'17'!H189</f>
        <v>3</v>
      </c>
      <c r="I189" s="158"/>
      <c r="J189" s="179">
        <f>H189/DAY(B2)</f>
        <v>0.16666666666666666</v>
      </c>
      <c r="N189" s="71"/>
    </row>
    <row r="190" spans="1:14" ht="23.25" customHeight="1">
      <c r="A190" s="245"/>
      <c r="B190" s="246"/>
      <c r="C190" s="246"/>
      <c r="D190" s="165"/>
      <c r="E190" s="165"/>
      <c r="F190" s="155"/>
      <c r="G190" s="433"/>
      <c r="H190" s="238"/>
      <c r="I190" s="99"/>
      <c r="J190" s="236"/>
      <c r="K190" s="239" t="e">
        <f>I190/DAY(C27)</f>
        <v>#DIV/0!</v>
      </c>
    </row>
  </sheetData>
  <mergeCells count="114"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121" zoomScale="55" zoomScaleNormal="40" zoomScaleSheetLayoutView="55" zoomScalePageLayoutView="60" workbookViewId="0">
      <selection activeCell="O60" sqref="O60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72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3.25">
      <c r="A2" s="191" t="s">
        <v>375</v>
      </c>
      <c r="B2" s="262">
        <v>44823</v>
      </c>
      <c r="C2" s="348" t="s">
        <v>67</v>
      </c>
      <c r="D2" s="218">
        <v>0.52</v>
      </c>
      <c r="E2" s="100"/>
      <c r="F2" s="100"/>
      <c r="G2" s="449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1322" t="s">
        <v>119</v>
      </c>
      <c r="F3" s="1323"/>
      <c r="G3" s="450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450"/>
      <c r="H4" s="103"/>
      <c r="I4" s="104"/>
      <c r="J4" s="222"/>
      <c r="K4" s="62"/>
      <c r="L4" s="58"/>
      <c r="O4" s="57">
        <v>20</v>
      </c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51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O5" s="65">
        <v>10</v>
      </c>
    </row>
    <row r="6" spans="1:15" ht="26.25">
      <c r="A6" s="1319" t="s">
        <v>128</v>
      </c>
      <c r="B6" s="1320"/>
      <c r="C6" s="1321"/>
      <c r="D6" s="110"/>
      <c r="E6" s="110"/>
      <c r="F6" s="110"/>
      <c r="G6" s="452"/>
      <c r="H6" s="111"/>
      <c r="I6" s="111"/>
      <c r="J6" s="174"/>
      <c r="K6" s="78"/>
      <c r="L6" s="66"/>
      <c r="O6" s="65">
        <v>10</v>
      </c>
    </row>
    <row r="7" spans="1:15" ht="27" thickBot="1">
      <c r="A7" s="194" t="s">
        <v>129</v>
      </c>
      <c r="B7" s="195"/>
      <c r="C7" s="195"/>
      <c r="D7" s="151" t="s">
        <v>130</v>
      </c>
      <c r="E7" s="95">
        <f>'18 '!F7</f>
        <v>329375</v>
      </c>
      <c r="F7" s="95">
        <v>355386</v>
      </c>
      <c r="G7" s="453">
        <f>F7-E7</f>
        <v>26011</v>
      </c>
      <c r="H7" s="99">
        <f>G7+'18 '!H7</f>
        <v>473550</v>
      </c>
      <c r="I7" s="113">
        <f>'1'!I7</f>
        <v>12000</v>
      </c>
      <c r="J7" s="175">
        <f>H7/DAY(B2)</f>
        <v>24923.684210526317</v>
      </c>
      <c r="K7" s="172">
        <v>1375467</v>
      </c>
      <c r="L7" s="66"/>
      <c r="N7" s="87">
        <f>G7-G8</f>
        <v>-321.5</v>
      </c>
      <c r="O7" s="71">
        <v>10</v>
      </c>
    </row>
    <row r="8" spans="1:15" ht="27" thickBot="1">
      <c r="A8" s="196" t="s">
        <v>131</v>
      </c>
      <c r="B8" s="197"/>
      <c r="C8" s="198"/>
      <c r="D8" s="224" t="s">
        <v>24</v>
      </c>
      <c r="E8" s="95">
        <f>'18 '!F8</f>
        <v>502650.5</v>
      </c>
      <c r="F8" s="95">
        <v>528983</v>
      </c>
      <c r="G8" s="454">
        <f>F8-E8</f>
        <v>26332.5</v>
      </c>
      <c r="H8" s="99">
        <f>G8+'18 '!H8</f>
        <v>479603</v>
      </c>
      <c r="I8" s="116"/>
      <c r="J8" s="175">
        <f>H8/DAY(B2)</f>
        <v>25242.263157894737</v>
      </c>
      <c r="K8" s="172">
        <v>1715917</v>
      </c>
      <c r="L8" s="76">
        <v>1728480</v>
      </c>
      <c r="M8" s="87">
        <f>L8-K8</f>
        <v>12563</v>
      </c>
      <c r="N8" s="87"/>
      <c r="O8" s="71">
        <v>20</v>
      </c>
    </row>
    <row r="9" spans="1:15" ht="26.25">
      <c r="A9" s="199" t="s">
        <v>132</v>
      </c>
      <c r="B9" s="200"/>
      <c r="C9" s="200"/>
      <c r="D9" s="151" t="s">
        <v>130</v>
      </c>
      <c r="E9" s="95">
        <f>'18 '!F9</f>
        <v>3814938.7</v>
      </c>
      <c r="F9" s="447">
        <v>3825793</v>
      </c>
      <c r="G9" s="453">
        <f>F9-E9</f>
        <v>10854.299999999814</v>
      </c>
      <c r="H9" s="99">
        <f>G9+'18 '!H9</f>
        <v>119086</v>
      </c>
      <c r="I9" s="124">
        <f>I7-J7</f>
        <v>-12923.684210526317</v>
      </c>
      <c r="J9" s="175">
        <f>H9/DAY(B2)</f>
        <v>6267.6842105263158</v>
      </c>
      <c r="K9" s="79">
        <f>K8-100</f>
        <v>1715817</v>
      </c>
      <c r="L9" s="66"/>
      <c r="N9" s="87"/>
      <c r="O9" s="71">
        <v>20</v>
      </c>
    </row>
    <row r="10" spans="1:15" ht="26.25">
      <c r="A10" s="194" t="s">
        <v>133</v>
      </c>
      <c r="B10" s="195"/>
      <c r="C10" s="195"/>
      <c r="D10" s="151" t="s">
        <v>130</v>
      </c>
      <c r="E10" s="95">
        <f>'18 '!F10</f>
        <v>3070231.19</v>
      </c>
      <c r="F10" s="353">
        <v>3084639</v>
      </c>
      <c r="G10" s="453">
        <f t="shared" ref="G10:G12" si="0">F10-E10</f>
        <v>14407.810000000056</v>
      </c>
      <c r="H10" s="99">
        <f>G10+'18 '!H10</f>
        <v>341945</v>
      </c>
      <c r="I10" s="282"/>
      <c r="J10" s="175">
        <f>H10/DAY(B2)</f>
        <v>17997.105263157893</v>
      </c>
      <c r="K10" s="79"/>
      <c r="L10" s="66"/>
      <c r="N10" s="87"/>
      <c r="O10" s="71">
        <v>20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'18 '!F11</f>
        <v>37560</v>
      </c>
      <c r="F11" s="95">
        <v>37560</v>
      </c>
      <c r="G11" s="453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>
        <v>20</v>
      </c>
    </row>
    <row r="12" spans="1:15" ht="26.25">
      <c r="A12" s="194" t="s">
        <v>135</v>
      </c>
      <c r="B12" s="195"/>
      <c r="C12" s="195"/>
      <c r="D12" s="151" t="s">
        <v>130</v>
      </c>
      <c r="E12" s="95">
        <f>'18 '!F12</f>
        <v>40380</v>
      </c>
      <c r="F12" s="117">
        <v>40380</v>
      </c>
      <c r="G12" s="453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>
        <v>20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455">
        <f>G9+G10+G11+G12</f>
        <v>25262.10999999987</v>
      </c>
      <c r="H13" s="99">
        <f>G13+'18 '!H13</f>
        <v>462491</v>
      </c>
      <c r="I13" s="120">
        <f>G7-G13</f>
        <v>748.89000000013039</v>
      </c>
      <c r="J13" s="175">
        <f>H13/DAY(B2)</f>
        <v>24341.63157894737</v>
      </c>
      <c r="K13" s="79"/>
      <c r="L13" s="66"/>
      <c r="N13" s="87"/>
      <c r="O13" s="71">
        <f>SUM(O4:O12)</f>
        <v>150</v>
      </c>
    </row>
    <row r="14" spans="1:15" ht="26.25">
      <c r="A14" s="1308" t="s">
        <v>137</v>
      </c>
      <c r="B14" s="1309"/>
      <c r="C14" s="1310"/>
      <c r="D14" s="111"/>
      <c r="E14" s="111"/>
      <c r="F14" s="111"/>
      <c r="G14" s="456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47">
        <f>'18 '!F15</f>
        <v>2180004.5</v>
      </c>
      <c r="F15" s="447">
        <v>2181142</v>
      </c>
      <c r="G15" s="453">
        <f>(F15-E15)</f>
        <v>1137.5</v>
      </c>
      <c r="H15" s="99">
        <f>G15+'18 '!H15</f>
        <v>19627</v>
      </c>
      <c r="I15" s="113">
        <f>'1'!I15</f>
        <v>800</v>
      </c>
      <c r="J15" s="175">
        <f>H15/DAY(B2)</f>
        <v>1033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53" t="s">
        <v>207</v>
      </c>
      <c r="H16" s="124"/>
      <c r="I16" s="120">
        <f>I15-J15</f>
        <v>-233</v>
      </c>
      <c r="J16" s="176"/>
      <c r="K16" s="79"/>
      <c r="L16" s="66"/>
      <c r="N16" s="87"/>
      <c r="O16" s="71"/>
    </row>
    <row r="17" spans="1:15" ht="26.25">
      <c r="A17" s="1308" t="s">
        <v>140</v>
      </c>
      <c r="B17" s="1309"/>
      <c r="C17" s="1310"/>
      <c r="D17" s="111"/>
      <c r="E17" s="111"/>
      <c r="F17" s="111"/>
      <c r="G17" s="456"/>
      <c r="H17" s="111"/>
      <c r="I17" s="111"/>
      <c r="J17" s="174"/>
      <c r="K17" s="79"/>
      <c r="L17" s="66"/>
      <c r="N17" s="87"/>
      <c r="O17" s="71"/>
    </row>
    <row r="18" spans="1:15" ht="25.5">
      <c r="A18" s="1281" t="s">
        <v>141</v>
      </c>
      <c r="B18" s="1282"/>
      <c r="C18" s="1283"/>
      <c r="D18" s="151" t="s">
        <v>142</v>
      </c>
      <c r="E18" s="95">
        <f>'18 '!F18</f>
        <v>23</v>
      </c>
      <c r="F18" s="122">
        <v>26</v>
      </c>
      <c r="G18" s="455">
        <f>F18*10</f>
        <v>260</v>
      </c>
      <c r="H18" s="99">
        <f>G18+'18 '!H18</f>
        <v>4700</v>
      </c>
      <c r="I18" s="113">
        <f>'1'!I18</f>
        <v>65</v>
      </c>
      <c r="J18" s="175">
        <f>H18/DAY(B2)</f>
        <v>247.36842105263159</v>
      </c>
      <c r="K18" s="79"/>
      <c r="L18" s="66"/>
      <c r="N18" s="87"/>
      <c r="O18" s="71"/>
    </row>
    <row r="19" spans="1:15" ht="25.5">
      <c r="A19" s="1281" t="s">
        <v>69</v>
      </c>
      <c r="B19" s="1282"/>
      <c r="C19" s="1283"/>
      <c r="D19" s="151" t="s">
        <v>142</v>
      </c>
      <c r="E19" s="95">
        <f>'18 '!F19</f>
        <v>166360</v>
      </c>
      <c r="F19" s="622">
        <v>166403</v>
      </c>
      <c r="G19" s="453">
        <f t="shared" ref="G19" si="1">F19-E19</f>
        <v>43</v>
      </c>
      <c r="H19" s="99">
        <f>G19+'18 '!H19</f>
        <v>960</v>
      </c>
      <c r="I19" s="335"/>
      <c r="J19" s="175">
        <f>H19/DAY(B2)</f>
        <v>50.526315789473685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57">
        <f>G18+G19</f>
        <v>303</v>
      </c>
      <c r="H20" s="99">
        <f>G20+'18 '!H20</f>
        <v>5660</v>
      </c>
      <c r="I20" s="336">
        <f>I18-J20</f>
        <v>-232.89473684210526</v>
      </c>
      <c r="J20" s="175">
        <f>H20/DAY(B2)</f>
        <v>297.89473684210526</v>
      </c>
      <c r="K20" s="79"/>
      <c r="L20" s="66"/>
      <c r="N20" s="87"/>
      <c r="O20" s="71"/>
    </row>
    <row r="21" spans="1:15" ht="26.25">
      <c r="A21" s="1308" t="s">
        <v>144</v>
      </c>
      <c r="B21" s="1309"/>
      <c r="C21" s="1310"/>
      <c r="D21" s="111"/>
      <c r="E21" s="111"/>
      <c r="F21" s="111"/>
      <c r="G21" s="456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55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455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'18 '!F24</f>
        <v>4470</v>
      </c>
      <c r="F24" s="128">
        <v>4470</v>
      </c>
      <c r="G24" s="455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311" t="s">
        <v>149</v>
      </c>
      <c r="B25" s="1312"/>
      <c r="C25" s="1313"/>
      <c r="D25" s="110"/>
      <c r="E25" s="110"/>
      <c r="F25" s="110"/>
      <c r="G25" s="458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59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26332.5</v>
      </c>
      <c r="F27" s="136">
        <v>10</v>
      </c>
      <c r="G27" s="460">
        <f>E27*F27</f>
        <v>263325</v>
      </c>
      <c r="H27" s="99">
        <f>G27+'18 '!H27</f>
        <v>4796030</v>
      </c>
      <c r="I27" s="138"/>
      <c r="J27" s="175">
        <f>H27/DAY(B2)</f>
        <v>252422.63157894736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1137.5</v>
      </c>
      <c r="F28" s="136">
        <v>75</v>
      </c>
      <c r="G28" s="460">
        <f>E28*F28</f>
        <v>85312.5</v>
      </c>
      <c r="H28" s="99">
        <f>G28+'18 '!H28</f>
        <v>1472025</v>
      </c>
      <c r="I28" s="140"/>
      <c r="J28" s="175">
        <f>H28/DAY(B2)</f>
        <v>77475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60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43</v>
      </c>
      <c r="F30" s="136">
        <v>151</v>
      </c>
      <c r="G30" s="460">
        <f>E30*F30</f>
        <v>6493</v>
      </c>
      <c r="H30" s="99">
        <f>G30+'18 '!H30</f>
        <v>144960</v>
      </c>
      <c r="I30" s="140"/>
      <c r="J30" s="175">
        <f>H30/DAY(B2)</f>
        <v>7629.4736842105267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85</v>
      </c>
      <c r="G31" s="460">
        <f>E31*F31</f>
        <v>22100</v>
      </c>
      <c r="H31" s="99">
        <f>G31+'18 '!H31</f>
        <v>396350</v>
      </c>
      <c r="I31" s="140"/>
      <c r="J31" s="175">
        <f>H31/DAY(B2)</f>
        <v>20860.526315789473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61">
        <f>G27+G28+G29+G30+G31</f>
        <v>377230.5</v>
      </c>
      <c r="H32" s="99">
        <f>G32+'18 '!H32</f>
        <v>6809365</v>
      </c>
      <c r="I32" s="144"/>
      <c r="J32" s="175">
        <f>H32/DAY(B2)</f>
        <v>358387.63157894736</v>
      </c>
      <c r="K32" s="63"/>
      <c r="L32" s="89"/>
      <c r="N32" s="87"/>
      <c r="O32" s="71"/>
    </row>
    <row r="33" spans="1:15" ht="25.5" customHeight="1">
      <c r="A33" s="1314" t="s">
        <v>331</v>
      </c>
      <c r="B33" s="1315"/>
      <c r="C33" s="1315"/>
      <c r="D33" s="337"/>
      <c r="E33" s="337"/>
      <c r="F33" s="337"/>
      <c r="G33" s="462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63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'18 '!F35</f>
        <v>257516.7</v>
      </c>
      <c r="F35" s="145">
        <v>259644</v>
      </c>
      <c r="G35" s="453">
        <f t="shared" ref="G35:G46" si="3">F35-E35</f>
        <v>2127.2999999999884</v>
      </c>
      <c r="H35" s="99">
        <f>G35+'18 '!H35</f>
        <v>20930.950000000012</v>
      </c>
      <c r="I35" s="95"/>
      <c r="J35" s="175">
        <f>H35/DAY(B2)</f>
        <v>1101.6289473684217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'18 '!F36</f>
        <v>284804.23</v>
      </c>
      <c r="F36" s="145">
        <v>285708</v>
      </c>
      <c r="G36" s="453">
        <f t="shared" si="3"/>
        <v>903.77000000001863</v>
      </c>
      <c r="H36" s="99">
        <f>G36+'18 '!H36</f>
        <v>16225</v>
      </c>
      <c r="I36" s="95"/>
      <c r="J36" s="175">
        <f>H36/DAY(B2)</f>
        <v>853.9473684210526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'18 '!F37</f>
        <v>322998.69</v>
      </c>
      <c r="F37" s="145">
        <v>322998.69</v>
      </c>
      <c r="G37" s="453">
        <f t="shared" si="3"/>
        <v>0</v>
      </c>
      <c r="H37" s="99">
        <f>G37+'18 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'18 '!F38</f>
        <v>634514.87</v>
      </c>
      <c r="F38" s="108">
        <v>636920</v>
      </c>
      <c r="G38" s="453">
        <f t="shared" si="3"/>
        <v>2405.1300000000047</v>
      </c>
      <c r="H38" s="99">
        <f>G38+'18 '!H38</f>
        <v>43203</v>
      </c>
      <c r="I38" s="95"/>
      <c r="J38" s="175">
        <f>H38/DAY(B2)</f>
        <v>2273.8421052631579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'18 '!F39</f>
        <v>591584.18999999994</v>
      </c>
      <c r="F39" s="145">
        <v>591584.18999999994</v>
      </c>
      <c r="G39" s="453">
        <f t="shared" si="3"/>
        <v>0</v>
      </c>
      <c r="H39" s="99">
        <f>G39+'18 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'18 '!F40</f>
        <v>171733.37</v>
      </c>
      <c r="F40" s="401">
        <v>172575</v>
      </c>
      <c r="G40" s="453">
        <f t="shared" si="3"/>
        <v>841.63000000000466</v>
      </c>
      <c r="H40" s="99">
        <f>G40+'18 '!H40</f>
        <v>14595</v>
      </c>
      <c r="I40" s="95"/>
      <c r="J40" s="175">
        <f>H40/DAY(B2)</f>
        <v>768.15789473684208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'18 '!F41</f>
        <v>381351.55</v>
      </c>
      <c r="F41" s="145">
        <v>381352</v>
      </c>
      <c r="G41" s="453">
        <f t="shared" si="3"/>
        <v>0.45000000001164153</v>
      </c>
      <c r="H41" s="99">
        <f>G41+'18 '!H41</f>
        <v>1000.4500000000116</v>
      </c>
      <c r="I41" s="95"/>
      <c r="J41" s="175">
        <f>H41/DAY(B2)</f>
        <v>52.655263157895348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'18 '!F42</f>
        <v>859679.11</v>
      </c>
      <c r="F42" s="145">
        <v>865330</v>
      </c>
      <c r="G42" s="453">
        <f t="shared" si="3"/>
        <v>5650.890000000014</v>
      </c>
      <c r="H42" s="99">
        <f>G42+'18 '!H42</f>
        <v>40243</v>
      </c>
      <c r="I42" s="95"/>
      <c r="J42" s="175">
        <f>H42/DAY(B2)</f>
        <v>2118.0526315789475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'18 '!F43</f>
        <v>407028</v>
      </c>
      <c r="F43" s="145">
        <v>407028</v>
      </c>
      <c r="G43" s="453">
        <f t="shared" si="3"/>
        <v>0</v>
      </c>
      <c r="H43" s="99">
        <f>G43+'18 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53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53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53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55">
        <f>G35+G36+G37+G38+G39+G40+G41+G42+G43+G44+G45+G46</f>
        <v>11929.170000000042</v>
      </c>
      <c r="H47" s="99">
        <f>G47+'18 '!H47</f>
        <v>140306.33999999991</v>
      </c>
      <c r="I47" s="95"/>
      <c r="J47" s="175">
        <f>H47/DAY(B2)</f>
        <v>7384.544210526311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63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'18 '!F49</f>
        <v>767509.6</v>
      </c>
      <c r="F49" s="145">
        <v>769396</v>
      </c>
      <c r="G49" s="453">
        <f t="shared" ref="G49:G58" si="4">F49-E49</f>
        <v>1886.4000000000233</v>
      </c>
      <c r="H49" s="99">
        <f>G49+'18 '!H49</f>
        <v>49109</v>
      </c>
      <c r="I49" s="95"/>
      <c r="J49" s="175">
        <f>H49/DAY(B2)</f>
        <v>2584.6842105263158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'18 '!F50</f>
        <v>394534.6</v>
      </c>
      <c r="F50" s="145">
        <v>395842</v>
      </c>
      <c r="G50" s="453">
        <f t="shared" si="4"/>
        <v>1307.4000000000233</v>
      </c>
      <c r="H50" s="99">
        <f>G50+'18 '!H50</f>
        <v>30071</v>
      </c>
      <c r="I50" s="95"/>
      <c r="J50" s="175">
        <f>H50/DAY(B2)</f>
        <v>1582.6842105263158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'18 '!F51</f>
        <v>90162.2</v>
      </c>
      <c r="F51" s="145">
        <v>91206</v>
      </c>
      <c r="G51" s="453">
        <f t="shared" si="4"/>
        <v>1043.8000000000029</v>
      </c>
      <c r="H51" s="99">
        <f>G51+'18 '!H51</f>
        <v>19479</v>
      </c>
      <c r="I51" s="95"/>
      <c r="J51" s="175">
        <f>H51/DAY(B2)</f>
        <v>1025.2105263157894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'18 '!F52</f>
        <v>10</v>
      </c>
      <c r="F52" s="145">
        <v>10</v>
      </c>
      <c r="G52" s="453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'18 '!F53</f>
        <v>369858.5</v>
      </c>
      <c r="F53" s="145">
        <v>374105</v>
      </c>
      <c r="G53" s="453">
        <f t="shared" si="4"/>
        <v>4246.5</v>
      </c>
      <c r="H53" s="99">
        <f>G53+'18 '!H53</f>
        <v>80004</v>
      </c>
      <c r="I53" s="95"/>
      <c r="J53" s="175">
        <f>H53/DAY(B2)</f>
        <v>4210.7368421052633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'18 '!F54</f>
        <v>103257.87</v>
      </c>
      <c r="F54" s="145">
        <v>103263</v>
      </c>
      <c r="G54" s="453">
        <f t="shared" si="4"/>
        <v>5.1300000000046566</v>
      </c>
      <c r="H54" s="99">
        <f>G54+'18 '!H54</f>
        <v>1876</v>
      </c>
      <c r="I54" s="95"/>
      <c r="J54" s="175">
        <f>H54/DAY(B2)</f>
        <v>98.736842105263165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'18 '!F55</f>
        <v>538458.30000000005</v>
      </c>
      <c r="F55" s="145">
        <v>538458.30000000005</v>
      </c>
      <c r="G55" s="453">
        <f t="shared" si="4"/>
        <v>0</v>
      </c>
      <c r="H55" s="99">
        <f>G55+'18 '!H55</f>
        <v>43975.300000000047</v>
      </c>
      <c r="I55" s="95"/>
      <c r="J55" s="175">
        <f>H55/DAY(B2)</f>
        <v>2314.489473684213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'18 '!F56</f>
        <v>173619</v>
      </c>
      <c r="F56" s="145">
        <v>175396</v>
      </c>
      <c r="G56" s="453">
        <f t="shared" si="4"/>
        <v>1777</v>
      </c>
      <c r="H56" s="99">
        <f>G56+'18 '!H56</f>
        <v>25677</v>
      </c>
      <c r="I56" s="95"/>
      <c r="J56" s="175">
        <f>H56/DAY(B2)</f>
        <v>1351.421052631579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'18 '!F57</f>
        <v>461847.19</v>
      </c>
      <c r="F57" s="145">
        <v>464734</v>
      </c>
      <c r="G57" s="453">
        <f t="shared" si="4"/>
        <v>2886.8099999999977</v>
      </c>
      <c r="H57" s="99">
        <f>G57+'18 '!H57</f>
        <v>55656</v>
      </c>
      <c r="I57" s="95"/>
      <c r="J57" s="175">
        <f>H57/DAY(B2)</f>
        <v>2929.2631578947367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'18 '!F58</f>
        <v>68534.92</v>
      </c>
      <c r="F58" s="145">
        <v>68798</v>
      </c>
      <c r="G58" s="453">
        <f t="shared" si="4"/>
        <v>263.08000000000175</v>
      </c>
      <c r="H58" s="99">
        <f>G58+'18 '!H58</f>
        <v>4647</v>
      </c>
      <c r="I58" s="95"/>
      <c r="J58" s="175">
        <f>H58/DAY(B2)</f>
        <v>244.57894736842104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55">
        <f>G49+G50+G51+G52+G53+G54+G55+G56+G57+G58</f>
        <v>13416.120000000054</v>
      </c>
      <c r="H59" s="99">
        <f>G59+'18 '!H59</f>
        <v>309865.12000000005</v>
      </c>
      <c r="I59" s="95">
        <f>G7-G60</f>
        <v>665.70999999990454</v>
      </c>
      <c r="J59" s="175">
        <f>H59/DAY(B2)</f>
        <v>16308.690526315791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55">
        <f>G47+G59</f>
        <v>25345.290000000095</v>
      </c>
      <c r="H60" s="99">
        <f>G60+'18 '!H60</f>
        <v>450171.4599999999</v>
      </c>
      <c r="I60" s="95">
        <f>G13-G60</f>
        <v>-83.180000000225846</v>
      </c>
      <c r="J60" s="175">
        <f>H60/DAY(B2)</f>
        <v>23693.2347368421</v>
      </c>
      <c r="K60" s="79"/>
      <c r="L60" s="66"/>
      <c r="N60" s="87"/>
      <c r="O60" s="71"/>
    </row>
    <row r="61" spans="1:15" s="68" customFormat="1" ht="26.25">
      <c r="A61" s="1278" t="s">
        <v>332</v>
      </c>
      <c r="B61" s="1279"/>
      <c r="C61" s="1280"/>
      <c r="D61" s="339"/>
      <c r="E61" s="339"/>
      <c r="F61" s="339"/>
      <c r="G61" s="464"/>
      <c r="H61" s="339"/>
      <c r="I61" s="339"/>
      <c r="J61" s="341"/>
      <c r="K61" s="69"/>
      <c r="L61" s="67"/>
      <c r="N61" s="87"/>
      <c r="O61" s="71"/>
    </row>
    <row r="62" spans="1:15" ht="25.5">
      <c r="A62" s="1281" t="s">
        <v>198</v>
      </c>
      <c r="B62" s="1282"/>
      <c r="C62" s="1283"/>
      <c r="D62" s="151" t="s">
        <v>142</v>
      </c>
      <c r="E62" s="95">
        <f>'18 '!F62</f>
        <v>303847</v>
      </c>
      <c r="F62" s="122">
        <v>303952</v>
      </c>
      <c r="G62" s="453">
        <f t="shared" ref="G62:G63" si="5">F62-E62</f>
        <v>105</v>
      </c>
      <c r="H62" s="99">
        <f>G62+'18 '!H62</f>
        <v>1887</v>
      </c>
      <c r="I62" s="118"/>
      <c r="J62" s="175">
        <f>H62/DAY(B2)</f>
        <v>99.315789473684205</v>
      </c>
      <c r="K62" s="80"/>
      <c r="L62" s="66"/>
      <c r="N62" s="87"/>
      <c r="O62" s="71"/>
    </row>
    <row r="63" spans="1:15" ht="25.5">
      <c r="A63" s="1281" t="s">
        <v>199</v>
      </c>
      <c r="B63" s="1282"/>
      <c r="C63" s="1283"/>
      <c r="D63" s="151" t="s">
        <v>142</v>
      </c>
      <c r="E63" s="95">
        <f>'18 '!F63</f>
        <v>245139</v>
      </c>
      <c r="F63" s="122">
        <v>245139</v>
      </c>
      <c r="G63" s="453">
        <f t="shared" si="5"/>
        <v>0</v>
      </c>
      <c r="H63" s="99">
        <f>G63+'18 '!H63</f>
        <v>127</v>
      </c>
      <c r="I63" s="118"/>
      <c r="J63" s="175">
        <f>H63/DAY(B2)</f>
        <v>6.6842105263157894</v>
      </c>
      <c r="K63" s="69"/>
      <c r="L63" s="66"/>
      <c r="N63" s="87"/>
      <c r="O63" s="71"/>
    </row>
    <row r="64" spans="1:15" ht="26.25">
      <c r="A64" s="1284" t="s">
        <v>200</v>
      </c>
      <c r="B64" s="1285"/>
      <c r="C64" s="1286"/>
      <c r="D64" s="151"/>
      <c r="E64" s="95">
        <f>'18 '!F64</f>
        <v>0</v>
      </c>
      <c r="F64" s="122"/>
      <c r="G64" s="453">
        <f>G62+G63</f>
        <v>105</v>
      </c>
      <c r="H64" s="99">
        <f>G64+'18 '!H64</f>
        <v>1993</v>
      </c>
      <c r="I64" s="118"/>
      <c r="J64" s="175">
        <f>H64/DAY(B2)</f>
        <v>104.89473684210526</v>
      </c>
      <c r="K64" s="69"/>
      <c r="L64" s="66"/>
      <c r="N64" s="87"/>
      <c r="O64" s="71"/>
    </row>
    <row r="65" spans="1:15" ht="25.5">
      <c r="A65" s="1281" t="s">
        <v>201</v>
      </c>
      <c r="B65" s="1282"/>
      <c r="C65" s="1283"/>
      <c r="D65" s="151" t="s">
        <v>142</v>
      </c>
      <c r="E65" s="95">
        <f>'18 '!F65</f>
        <v>462745</v>
      </c>
      <c r="F65" s="122">
        <v>462857</v>
      </c>
      <c r="G65" s="453">
        <f t="shared" ref="G65:G70" si="6">F65-E65</f>
        <v>112</v>
      </c>
      <c r="H65" s="99">
        <f>G65+'18 '!H65</f>
        <v>2033</v>
      </c>
      <c r="I65" s="118"/>
      <c r="J65" s="175">
        <f>H65/DAY(B2)</f>
        <v>107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'18 '!F66</f>
        <v>112805</v>
      </c>
      <c r="F66" s="122">
        <v>112812</v>
      </c>
      <c r="G66" s="453">
        <f t="shared" si="6"/>
        <v>7</v>
      </c>
      <c r="H66" s="99">
        <f>G66+'18 '!H66</f>
        <v>207</v>
      </c>
      <c r="I66" s="118"/>
      <c r="J66" s="175">
        <f>H66/DAY(B2)</f>
        <v>10.894736842105264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'18 '!F67</f>
        <v>115097</v>
      </c>
      <c r="F67" s="122">
        <v>115111</v>
      </c>
      <c r="G67" s="453">
        <f t="shared" si="6"/>
        <v>14</v>
      </c>
      <c r="H67" s="99">
        <f>G67+'18 '!H67</f>
        <v>403</v>
      </c>
      <c r="I67" s="118"/>
      <c r="J67" s="175">
        <f>H67/DAY(B2)</f>
        <v>21.210526315789473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'18 '!F68</f>
        <v>167165</v>
      </c>
      <c r="F68" s="122">
        <v>167202</v>
      </c>
      <c r="G68" s="453">
        <f t="shared" si="6"/>
        <v>37</v>
      </c>
      <c r="H68" s="99">
        <f>G68+'18 '!H68</f>
        <v>621</v>
      </c>
      <c r="I68" s="118"/>
      <c r="J68" s="175">
        <f>H68/DAY(B2)</f>
        <v>32.684210526315788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'18 '!F69</f>
        <v>12638</v>
      </c>
      <c r="F69" s="122">
        <v>12648</v>
      </c>
      <c r="G69" s="453">
        <f t="shared" si="6"/>
        <v>10</v>
      </c>
      <c r="H69" s="99">
        <f>G69+'18 '!H69</f>
        <v>84</v>
      </c>
      <c r="I69" s="118"/>
      <c r="J69" s="175">
        <f>H69/DAY(B2)</f>
        <v>4.4210526315789478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'18 '!F70</f>
        <v>10512</v>
      </c>
      <c r="F70" s="122">
        <v>10519</v>
      </c>
      <c r="G70" s="453">
        <f t="shared" si="6"/>
        <v>7</v>
      </c>
      <c r="H70" s="99">
        <f>G70+'18 '!H70</f>
        <v>186</v>
      </c>
      <c r="I70" s="118"/>
      <c r="J70" s="175">
        <f>H70/DAY(B2)</f>
        <v>9.7894736842105257</v>
      </c>
      <c r="K70" s="69"/>
      <c r="L70" s="66"/>
      <c r="N70" s="87"/>
      <c r="O70" s="71"/>
    </row>
    <row r="71" spans="1:15" ht="26.25">
      <c r="A71" s="1284" t="s">
        <v>208</v>
      </c>
      <c r="B71" s="1285"/>
      <c r="C71" s="1286"/>
      <c r="D71" s="152"/>
      <c r="E71" s="95">
        <f>'18 '!F71</f>
        <v>0</v>
      </c>
      <c r="F71" s="152"/>
      <c r="G71" s="465">
        <f>SUM(G65:G70)</f>
        <v>187</v>
      </c>
      <c r="H71" s="99">
        <f>G71+'18 '!H71</f>
        <v>3534</v>
      </c>
      <c r="I71" s="154"/>
      <c r="J71" s="175">
        <f>H71/DAY(B2)</f>
        <v>186</v>
      </c>
      <c r="K71" s="69"/>
      <c r="L71" s="66"/>
      <c r="N71" s="87"/>
      <c r="O71" s="71"/>
    </row>
    <row r="72" spans="1:15" s="88" customFormat="1" ht="25.5">
      <c r="A72" s="1287"/>
      <c r="B72" s="1268"/>
      <c r="C72" s="347"/>
      <c r="D72" s="180"/>
      <c r="E72" s="180" t="s">
        <v>207</v>
      </c>
      <c r="F72" s="180"/>
      <c r="G72" s="466"/>
      <c r="H72" s="181"/>
      <c r="I72" s="180"/>
      <c r="J72" s="182"/>
      <c r="N72" s="87"/>
      <c r="O72" s="71"/>
    </row>
    <row r="73" spans="1:15" ht="26.25">
      <c r="A73" s="1295" t="s">
        <v>333</v>
      </c>
      <c r="B73" s="1296"/>
      <c r="C73" s="1297"/>
      <c r="D73" s="339"/>
      <c r="E73" s="339"/>
      <c r="F73" s="339"/>
      <c r="G73" s="464"/>
      <c r="H73" s="342"/>
      <c r="I73" s="342"/>
      <c r="J73" s="343"/>
      <c r="K73" s="69"/>
      <c r="L73" s="66"/>
      <c r="N73" s="87"/>
      <c r="O73" s="71"/>
    </row>
    <row r="74" spans="1:15" ht="25.5">
      <c r="A74" s="1281" t="s">
        <v>220</v>
      </c>
      <c r="B74" s="1282"/>
      <c r="C74" s="1283"/>
      <c r="D74" s="151" t="s">
        <v>139</v>
      </c>
      <c r="E74" s="95">
        <f>'18 '!F74</f>
        <v>981117.7</v>
      </c>
      <c r="F74" s="117">
        <v>981407</v>
      </c>
      <c r="G74" s="453">
        <f t="shared" ref="G74:G78" si="7">F74-E74</f>
        <v>289.30000000004657</v>
      </c>
      <c r="H74" s="99">
        <f>G74+'18 '!H74</f>
        <v>5596</v>
      </c>
      <c r="I74" s="154"/>
      <c r="J74" s="175">
        <f>H74/DAY(B2)</f>
        <v>294.5263157894737</v>
      </c>
      <c r="K74" s="69"/>
      <c r="L74" s="66"/>
      <c r="N74" s="87"/>
      <c r="O74" s="71"/>
    </row>
    <row r="75" spans="1:15" ht="25.5">
      <c r="A75" s="1281" t="s">
        <v>221</v>
      </c>
      <c r="B75" s="1282"/>
      <c r="C75" s="1283"/>
      <c r="D75" s="151" t="s">
        <v>139</v>
      </c>
      <c r="E75" s="95">
        <f>'18 '!F75</f>
        <v>73586</v>
      </c>
      <c r="F75" s="123">
        <v>73586</v>
      </c>
      <c r="G75" s="453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288" t="s">
        <v>222</v>
      </c>
      <c r="B76" s="1289"/>
      <c r="C76" s="1290"/>
      <c r="D76" s="151" t="s">
        <v>139</v>
      </c>
      <c r="E76" s="95">
        <f>'18 '!F76</f>
        <v>198784</v>
      </c>
      <c r="F76" s="393">
        <v>198900</v>
      </c>
      <c r="G76" s="453">
        <f t="shared" si="7"/>
        <v>116</v>
      </c>
      <c r="H76" s="99">
        <f>G76+'18 '!H76</f>
        <v>2164</v>
      </c>
      <c r="I76" s="154"/>
      <c r="J76" s="175">
        <f>H76/DAY(B2)</f>
        <v>113.89473684210526</v>
      </c>
      <c r="K76" s="69"/>
      <c r="L76" s="66"/>
      <c r="N76" s="87"/>
      <c r="O76" s="71"/>
    </row>
    <row r="77" spans="1:15" ht="25.5">
      <c r="A77" s="1288" t="s">
        <v>223</v>
      </c>
      <c r="B77" s="1289"/>
      <c r="C77" s="1290"/>
      <c r="D77" s="151" t="s">
        <v>139</v>
      </c>
      <c r="E77" s="95">
        <f>'18 '!F77</f>
        <v>54260</v>
      </c>
      <c r="F77" s="123">
        <v>54305</v>
      </c>
      <c r="G77" s="453">
        <f t="shared" si="7"/>
        <v>45</v>
      </c>
      <c r="H77" s="99">
        <f>G77+'18 '!H77</f>
        <v>953</v>
      </c>
      <c r="I77" s="154"/>
      <c r="J77" s="175">
        <f>H77/DAY(B2)</f>
        <v>50.157894736842103</v>
      </c>
      <c r="K77" s="69"/>
      <c r="L77" s="66"/>
      <c r="N77" s="87"/>
      <c r="O77" s="71"/>
    </row>
    <row r="78" spans="1:15" ht="25.5">
      <c r="A78" s="1288" t="s">
        <v>224</v>
      </c>
      <c r="B78" s="1289"/>
      <c r="C78" s="1290"/>
      <c r="D78" s="151" t="s">
        <v>139</v>
      </c>
      <c r="E78" s="95">
        <f>'18 '!F78</f>
        <v>9563</v>
      </c>
      <c r="F78" s="123">
        <v>9563</v>
      </c>
      <c r="G78" s="453">
        <f t="shared" si="7"/>
        <v>0</v>
      </c>
      <c r="H78" s="99">
        <f>G78+'18 '!H78</f>
        <v>-1.3999999999996362</v>
      </c>
      <c r="I78" s="118"/>
      <c r="J78" s="175">
        <f>H78/DAY(B2)</f>
        <v>-7.3684210526296645E-2</v>
      </c>
      <c r="K78" s="69"/>
      <c r="L78" s="66"/>
      <c r="N78" s="87"/>
      <c r="O78" s="71"/>
    </row>
    <row r="79" spans="1:15" s="57" customFormat="1" ht="25.5">
      <c r="A79" s="1288" t="s">
        <v>225</v>
      </c>
      <c r="B79" s="1289"/>
      <c r="C79" s="1290"/>
      <c r="D79" s="151"/>
      <c r="E79" s="95">
        <f>'18 '!F79</f>
        <v>0</v>
      </c>
      <c r="F79" s="123"/>
      <c r="G79" s="453">
        <f>G15-SUM(G74:G78)</f>
        <v>687.19999999995343</v>
      </c>
      <c r="H79" s="99">
        <f>G79+'18 '!H79</f>
        <v>10912.179999999955</v>
      </c>
      <c r="I79" s="118"/>
      <c r="J79" s="175"/>
      <c r="K79" s="59"/>
      <c r="L79" s="58"/>
      <c r="N79" s="87"/>
      <c r="O79" s="71"/>
    </row>
    <row r="80" spans="1:15" s="57" customFormat="1" ht="26.25">
      <c r="A80" s="1284" t="s">
        <v>329</v>
      </c>
      <c r="B80" s="1285"/>
      <c r="C80" s="1286"/>
      <c r="D80" s="151"/>
      <c r="E80" s="117"/>
      <c r="F80" s="117"/>
      <c r="G80" s="453">
        <f>SUM(G74:G79)</f>
        <v>1137.5</v>
      </c>
      <c r="H80" s="99"/>
      <c r="I80" s="118"/>
      <c r="J80" s="175"/>
      <c r="K80" s="59"/>
      <c r="L80" s="58"/>
      <c r="N80" s="87"/>
      <c r="O80" s="71"/>
    </row>
    <row r="81" spans="1:15" ht="25.5">
      <c r="A81" s="1302" t="s">
        <v>226</v>
      </c>
      <c r="B81" s="1303"/>
      <c r="C81" s="1304"/>
      <c r="D81" s="110"/>
      <c r="E81" s="110"/>
      <c r="F81" s="110"/>
      <c r="G81" s="467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53">
        <f t="shared" ref="G82:G92" si="8">F82-E82</f>
        <v>0</v>
      </c>
      <c r="H82" s="99">
        <f>G82+'18 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53">
        <f t="shared" si="8"/>
        <v>0</v>
      </c>
      <c r="H83" s="99">
        <f>G83+'18 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'18 '!F84</f>
        <v>43366.18</v>
      </c>
      <c r="F84" s="164">
        <v>43366.18</v>
      </c>
      <c r="G84" s="453">
        <f t="shared" si="8"/>
        <v>0</v>
      </c>
      <c r="H84" s="99">
        <f>G84+'18 '!H84</f>
        <v>-0.62000000000261934</v>
      </c>
      <c r="I84" s="538"/>
      <c r="J84" s="175">
        <f>H84/DAY(B2)</f>
        <v>-3.2631578947506283E-2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'18 '!F85</f>
        <v>5631.5</v>
      </c>
      <c r="F85" s="164">
        <v>5655</v>
      </c>
      <c r="G85" s="453">
        <f t="shared" si="8"/>
        <v>23.5</v>
      </c>
      <c r="H85" s="99">
        <f>G85+'18 '!H85</f>
        <v>179</v>
      </c>
      <c r="I85" s="538"/>
      <c r="J85" s="175">
        <f>H85/DAY(B2)</f>
        <v>9.4210526315789469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'18 '!F86</f>
        <v>46579</v>
      </c>
      <c r="F86" s="164">
        <v>46579</v>
      </c>
      <c r="G86" s="453">
        <f t="shared" si="8"/>
        <v>0</v>
      </c>
      <c r="H86" s="99">
        <f>G86+'18 '!H86</f>
        <v>307.58000000000175</v>
      </c>
      <c r="I86" s="538"/>
      <c r="J86" s="175">
        <f>H86/DAY(B2)</f>
        <v>16.188421052631671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'18 '!F87</f>
        <v>35830.199999999997</v>
      </c>
      <c r="F87" s="164">
        <v>35843</v>
      </c>
      <c r="G87" s="453">
        <f t="shared" si="8"/>
        <v>12.80000000000291</v>
      </c>
      <c r="H87" s="99">
        <f>G87+'18 '!H87</f>
        <v>187</v>
      </c>
      <c r="I87" s="538">
        <f>G84+G85+G86+G87</f>
        <v>36.30000000000291</v>
      </c>
      <c r="J87" s="175">
        <f>H87/DAY(B2)</f>
        <v>9.8421052631578956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'18 '!F88</f>
        <v>24447.7</v>
      </c>
      <c r="F88" s="164">
        <v>24455.87</v>
      </c>
      <c r="G88" s="453">
        <f t="shared" si="8"/>
        <v>8.1699999999982538</v>
      </c>
      <c r="H88" s="99">
        <f>G88+'18 '!H88</f>
        <v>31.909999999999854</v>
      </c>
      <c r="I88" s="538"/>
      <c r="J88" s="175">
        <f>H88/DAY(B2)</f>
        <v>1.6794736842105187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'18 '!F89</f>
        <v>28134.7</v>
      </c>
      <c r="F89" s="164">
        <v>28145</v>
      </c>
      <c r="G89" s="453">
        <f t="shared" si="8"/>
        <v>10.299999999999272</v>
      </c>
      <c r="H89" s="99">
        <f>G89+'18 '!H89</f>
        <v>157</v>
      </c>
      <c r="I89" s="538">
        <f>G88+G89</f>
        <v>18.469999999997526</v>
      </c>
      <c r="J89" s="175">
        <f>H89/DAY(B2)</f>
        <v>8.2631578947368425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'18 '!F90</f>
        <v>73431.7</v>
      </c>
      <c r="F90" s="164">
        <v>73431.77</v>
      </c>
      <c r="G90" s="453">
        <f t="shared" si="8"/>
        <v>7.0000000006984919E-2</v>
      </c>
      <c r="H90" s="99">
        <f>G90+'18 '!H90</f>
        <v>188.02999999999884</v>
      </c>
      <c r="I90" s="538">
        <f>G90</f>
        <v>7.0000000006984919E-2</v>
      </c>
      <c r="J90" s="175">
        <f>H90/DAY(B2)</f>
        <v>9.8963157894736238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'18 '!F91</f>
        <v>4882.57</v>
      </c>
      <c r="F91" s="122">
        <v>4893.63</v>
      </c>
      <c r="G91" s="453">
        <f t="shared" si="8"/>
        <v>11.0600000000004</v>
      </c>
      <c r="H91" s="99">
        <f>G91+'18 '!H91</f>
        <v>215.19999999999982</v>
      </c>
      <c r="I91" s="557"/>
      <c r="J91" s="175">
        <f>H91/DAY(B2)</f>
        <v>11.326315789473675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'18 '!F92</f>
        <v>7000.23</v>
      </c>
      <c r="F92" s="122">
        <v>7000.23</v>
      </c>
      <c r="G92" s="453">
        <f t="shared" si="8"/>
        <v>0</v>
      </c>
      <c r="H92" s="99">
        <f>G92+'18 '!H92</f>
        <v>0.22999999999956344</v>
      </c>
      <c r="I92" s="561">
        <f>G91+G92</f>
        <v>11.0600000000004</v>
      </c>
      <c r="J92" s="175">
        <f>H92/DAY(B2)</f>
        <v>1.2105263157871761E-2</v>
      </c>
      <c r="O92" s="71"/>
    </row>
    <row r="93" spans="1:15" ht="26.25">
      <c r="A93" s="1305" t="s">
        <v>239</v>
      </c>
      <c r="B93" s="1306"/>
      <c r="C93" s="1307"/>
      <c r="D93" s="111"/>
      <c r="E93" s="111"/>
      <c r="F93" s="111"/>
      <c r="G93" s="456"/>
      <c r="H93" s="121"/>
      <c r="I93" s="121"/>
      <c r="J93" s="183"/>
      <c r="K93" s="69"/>
      <c r="L93" s="66"/>
      <c r="O93" s="71"/>
    </row>
    <row r="94" spans="1:15" ht="25.5">
      <c r="A94" s="1281" t="s">
        <v>240</v>
      </c>
      <c r="B94" s="1282"/>
      <c r="C94" s="1283"/>
      <c r="D94" s="151" t="s">
        <v>130</v>
      </c>
      <c r="E94" s="151"/>
      <c r="F94" s="151"/>
      <c r="G94" s="468">
        <f>G35+G43+G49+G57</f>
        <v>6900.5100000000093</v>
      </c>
      <c r="H94" s="99">
        <f>G94+'18 '!H94</f>
        <v>125801.15000000002</v>
      </c>
      <c r="I94" s="118"/>
      <c r="J94" s="175">
        <f>H94/DAY(B2)</f>
        <v>6621.1131578947379</v>
      </c>
      <c r="K94" s="69"/>
      <c r="L94" s="66"/>
      <c r="O94" s="71"/>
    </row>
    <row r="95" spans="1:15" ht="25.5">
      <c r="A95" s="1281" t="s">
        <v>241</v>
      </c>
      <c r="B95" s="1282"/>
      <c r="C95" s="1283"/>
      <c r="D95" s="151" t="s">
        <v>23</v>
      </c>
      <c r="E95" s="146"/>
      <c r="F95" s="146"/>
      <c r="G95" s="469">
        <f>G94/G7</f>
        <v>0.26529199184960245</v>
      </c>
      <c r="H95" s="99">
        <f>G95+'18 '!H95</f>
        <v>5.0348113624278961</v>
      </c>
      <c r="I95" s="167"/>
      <c r="J95" s="175">
        <f>H95/DAY(B2)</f>
        <v>0.26499007170673139</v>
      </c>
      <c r="K95" s="69"/>
      <c r="L95" s="66"/>
      <c r="O95" s="71"/>
    </row>
    <row r="96" spans="1:15" ht="25.5">
      <c r="A96" s="1281" t="s">
        <v>242</v>
      </c>
      <c r="B96" s="1282"/>
      <c r="C96" s="1283"/>
      <c r="D96" s="151" t="s">
        <v>130</v>
      </c>
      <c r="E96" s="95"/>
      <c r="F96" s="95"/>
      <c r="G96" s="468">
        <f>G41+G42+G55+G56</f>
        <v>7428.3400000000256</v>
      </c>
      <c r="H96" s="99">
        <f>G96+'18 '!H96</f>
        <v>110895.75000000006</v>
      </c>
      <c r="I96" s="118"/>
      <c r="J96" s="175">
        <f>H96/DAY(B2)</f>
        <v>5836.6184210526344</v>
      </c>
      <c r="K96" s="69"/>
      <c r="L96" s="66"/>
      <c r="O96" s="71"/>
    </row>
    <row r="97" spans="1:15" ht="25.5">
      <c r="A97" s="1281" t="s">
        <v>243</v>
      </c>
      <c r="B97" s="1282"/>
      <c r="C97" s="1283"/>
      <c r="D97" s="151" t="s">
        <v>23</v>
      </c>
      <c r="E97" s="95"/>
      <c r="F97" s="95"/>
      <c r="G97" s="469">
        <f>G96/G7</f>
        <v>0.28558456037830249</v>
      </c>
      <c r="H97" s="99">
        <f>G97+'18 '!H97</f>
        <v>4.4462693465148835</v>
      </c>
      <c r="I97" s="167"/>
      <c r="J97" s="175">
        <f>H97/DAY(B2)</f>
        <v>0.23401417613236228</v>
      </c>
      <c r="K97" s="69"/>
      <c r="L97" s="66"/>
      <c r="O97" s="71"/>
    </row>
    <row r="98" spans="1:15" ht="25.5">
      <c r="A98" s="1281" t="s">
        <v>244</v>
      </c>
      <c r="B98" s="1282"/>
      <c r="C98" s="1283"/>
      <c r="D98" s="151" t="s">
        <v>130</v>
      </c>
      <c r="E98" s="95"/>
      <c r="F98" s="95"/>
      <c r="G98" s="468">
        <f>G39+G53</f>
        <v>4246.5</v>
      </c>
      <c r="H98" s="99">
        <f>G98+'18 '!H98</f>
        <v>79902.959999999963</v>
      </c>
      <c r="I98" s="168"/>
      <c r="J98" s="175">
        <f>H98/DAY(B2)</f>
        <v>4205.4189473684191</v>
      </c>
      <c r="K98" s="69"/>
      <c r="L98" s="66"/>
      <c r="O98" s="71"/>
    </row>
    <row r="99" spans="1:15" ht="25.5">
      <c r="A99" s="1281" t="s">
        <v>245</v>
      </c>
      <c r="B99" s="1282"/>
      <c r="C99" s="1283"/>
      <c r="D99" s="151" t="s">
        <v>23</v>
      </c>
      <c r="E99" s="95"/>
      <c r="F99" s="95"/>
      <c r="G99" s="469">
        <f>G98/G7</f>
        <v>0.16325785244704163</v>
      </c>
      <c r="H99" s="99">
        <f>G99+'18 '!H99</f>
        <v>3.1992178985878015</v>
      </c>
      <c r="I99" s="168"/>
      <c r="J99" s="175">
        <f>H99/DAY(B2)</f>
        <v>0.16837988939935797</v>
      </c>
      <c r="O99" s="71"/>
    </row>
    <row r="100" spans="1:15" ht="26.25">
      <c r="A100" s="1281" t="s">
        <v>246</v>
      </c>
      <c r="B100" s="1282"/>
      <c r="C100" s="1283"/>
      <c r="D100" s="151" t="s">
        <v>180</v>
      </c>
      <c r="E100" s="95"/>
      <c r="F100" s="95"/>
      <c r="G100" s="468">
        <f>G38+G52</f>
        <v>2405.1300000000047</v>
      </c>
      <c r="H100" s="99">
        <f>G100+'18 '!H100</f>
        <v>43290.389999999898</v>
      </c>
      <c r="I100" s="118"/>
      <c r="J100" s="175">
        <f>H100/DAY(B2)</f>
        <v>2278.4415789473628</v>
      </c>
      <c r="K100" s="70"/>
      <c r="O100" s="71"/>
    </row>
    <row r="101" spans="1:15" ht="25.5">
      <c r="A101" s="1281" t="s">
        <v>247</v>
      </c>
      <c r="B101" s="1282"/>
      <c r="C101" s="1283"/>
      <c r="D101" s="151" t="s">
        <v>23</v>
      </c>
      <c r="E101" s="95"/>
      <c r="F101" s="95"/>
      <c r="G101" s="469">
        <f>G100/G7</f>
        <v>9.2465879820076299E-2</v>
      </c>
      <c r="H101" s="99">
        <f>G101+'18 '!H101</f>
        <v>1.7328473380921607</v>
      </c>
      <c r="I101" s="168"/>
      <c r="J101" s="175">
        <f>H101/DAY(B2)</f>
        <v>9.1202491478534778E-2</v>
      </c>
      <c r="O101" s="71"/>
    </row>
    <row r="102" spans="1:15" ht="25.5">
      <c r="A102" s="1281" t="s">
        <v>248</v>
      </c>
      <c r="B102" s="1282"/>
      <c r="C102" s="1283"/>
      <c r="D102" s="151" t="s">
        <v>180</v>
      </c>
      <c r="E102" s="95"/>
      <c r="F102" s="95"/>
      <c r="G102" s="468">
        <f>G36+G50</f>
        <v>2211.1700000000419</v>
      </c>
      <c r="H102" s="99">
        <f>G102+'18 '!H102</f>
        <v>46296</v>
      </c>
      <c r="I102" s="168"/>
      <c r="J102" s="175">
        <f>H102/DAY(B2)</f>
        <v>2436.6315789473683</v>
      </c>
      <c r="O102" s="71"/>
    </row>
    <row r="103" spans="1:15" ht="25.5">
      <c r="A103" s="1281" t="s">
        <v>249</v>
      </c>
      <c r="B103" s="1282"/>
      <c r="C103" s="1283"/>
      <c r="D103" s="151" t="s">
        <v>23</v>
      </c>
      <c r="E103" s="95"/>
      <c r="F103" s="95"/>
      <c r="G103" s="469">
        <f>G102/G7</f>
        <v>8.5009034639192724E-2</v>
      </c>
      <c r="H103" s="99">
        <f>G103+'18 '!H103</f>
        <v>1.8573614864843004</v>
      </c>
      <c r="I103" s="118"/>
      <c r="J103" s="175">
        <f>H103/DAY(B2)</f>
        <v>9.7755867709700017E-2</v>
      </c>
      <c r="O103" s="71"/>
    </row>
    <row r="104" spans="1:15" ht="25.5">
      <c r="A104" s="1281" t="s">
        <v>250</v>
      </c>
      <c r="B104" s="1282"/>
      <c r="C104" s="1283"/>
      <c r="D104" s="151" t="s">
        <v>180</v>
      </c>
      <c r="E104" s="95"/>
      <c r="F104" s="95"/>
      <c r="G104" s="468">
        <f>G37+G51</f>
        <v>1043.8000000000029</v>
      </c>
      <c r="H104" s="99">
        <f>G104+'18 '!H104</f>
        <v>19479</v>
      </c>
      <c r="I104" s="118"/>
      <c r="J104" s="175">
        <f>H104/DAY(B2)</f>
        <v>1025.2105263157894</v>
      </c>
      <c r="O104" s="71"/>
    </row>
    <row r="105" spans="1:15" ht="26.25" thickBot="1">
      <c r="A105" s="1298" t="s">
        <v>251</v>
      </c>
      <c r="B105" s="1299"/>
      <c r="C105" s="1300"/>
      <c r="D105" s="231" t="s">
        <v>23</v>
      </c>
      <c r="E105" s="185"/>
      <c r="F105" s="185"/>
      <c r="G105" s="470">
        <f>G104/G7</f>
        <v>4.0129176117796428E-2</v>
      </c>
      <c r="H105" s="99">
        <f>G105+'18 '!H105</f>
        <v>0.78192358838165565</v>
      </c>
      <c r="I105" s="187"/>
      <c r="J105" s="188">
        <f>H105/DAY(B2)</f>
        <v>4.115387307271872E-2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71"/>
      <c r="H106" s="170"/>
      <c r="I106" s="169"/>
      <c r="J106" s="171"/>
      <c r="O106" s="71"/>
    </row>
    <row r="107" spans="1:15" ht="26.25"/>
    <row r="108" spans="1:15" ht="27.75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6.25">
      <c r="A109" s="1291"/>
      <c r="B109" s="1291"/>
    </row>
    <row r="110" spans="1:15" ht="26.25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5.5">
      <c r="A111" s="1270"/>
      <c r="B111" s="1271"/>
      <c r="C111" s="1272"/>
      <c r="D111" s="165"/>
      <c r="E111" s="165"/>
      <c r="F111" s="165"/>
      <c r="G111" s="473"/>
      <c r="H111" s="156"/>
      <c r="I111" s="165"/>
      <c r="J111" s="327"/>
    </row>
    <row r="112" spans="1:15" ht="25.5">
      <c r="A112" s="1266" t="s">
        <v>252</v>
      </c>
      <c r="B112" s="1267"/>
      <c r="C112" s="1268"/>
      <c r="D112" s="146" t="s">
        <v>183</v>
      </c>
      <c r="E112" s="95">
        <f>'18 '!F112</f>
        <v>12922.6</v>
      </c>
      <c r="F112" s="237">
        <v>12987.78</v>
      </c>
      <c r="G112" s="453">
        <f t="shared" ref="G112:G123" si="9">F112-E112</f>
        <v>65.180000000000291</v>
      </c>
      <c r="H112" s="99">
        <f>G112+'18 '!H112</f>
        <v>1324.7800000000007</v>
      </c>
      <c r="I112" s="165"/>
      <c r="J112" s="328">
        <f>H112/DAY(B2)</f>
        <v>69.725263157894773</v>
      </c>
    </row>
    <row r="113" spans="1:18" ht="29.25" customHeight="1">
      <c r="A113" s="1266" t="s">
        <v>253</v>
      </c>
      <c r="B113" s="1267"/>
      <c r="C113" s="1268"/>
      <c r="D113" s="146" t="s">
        <v>183</v>
      </c>
      <c r="E113" s="95">
        <f>'18 '!F113</f>
        <v>26032.5</v>
      </c>
      <c r="F113" s="237">
        <v>26175</v>
      </c>
      <c r="G113" s="453">
        <f t="shared" si="9"/>
        <v>142.5</v>
      </c>
      <c r="H113" s="99">
        <f>G113+'18 '!H113</f>
        <v>2654</v>
      </c>
      <c r="I113" s="165"/>
      <c r="J113" s="328">
        <f>H113/DAY(B2)</f>
        <v>139.68421052631578</v>
      </c>
    </row>
    <row r="114" spans="1:18" ht="29.25" customHeight="1">
      <c r="A114" s="1266" t="s">
        <v>254</v>
      </c>
      <c r="B114" s="1267"/>
      <c r="C114" s="1268"/>
      <c r="D114" s="146" t="s">
        <v>183</v>
      </c>
      <c r="E114" s="95">
        <f>'18 '!F114</f>
        <v>38814.699999999997</v>
      </c>
      <c r="F114" s="237">
        <v>39033</v>
      </c>
      <c r="G114" s="453">
        <f t="shared" si="9"/>
        <v>218.30000000000291</v>
      </c>
      <c r="H114" s="99">
        <f>G114+'18 '!H114</f>
        <v>4258</v>
      </c>
      <c r="I114" s="165"/>
      <c r="J114" s="328">
        <f>H114/DAY(B2)</f>
        <v>224.10526315789474</v>
      </c>
    </row>
    <row r="115" spans="1:18" ht="29.25" customHeight="1">
      <c r="A115" s="1266" t="s">
        <v>255</v>
      </c>
      <c r="B115" s="1267"/>
      <c r="C115" s="1268"/>
      <c r="D115" s="146" t="s">
        <v>183</v>
      </c>
      <c r="E115" s="95">
        <f>'18 '!F115</f>
        <v>24481</v>
      </c>
      <c r="F115" s="237">
        <v>24627</v>
      </c>
      <c r="G115" s="453">
        <f t="shared" si="9"/>
        <v>146</v>
      </c>
      <c r="H115" s="99">
        <f>G115+'18 '!H115</f>
        <v>2574</v>
      </c>
      <c r="I115" s="165"/>
      <c r="J115" s="328">
        <f>H115/DAY(B2)</f>
        <v>135.47368421052633</v>
      </c>
    </row>
    <row r="116" spans="1:18" ht="29.25" customHeight="1">
      <c r="A116" s="1275" t="s">
        <v>96</v>
      </c>
      <c r="B116" s="1276"/>
      <c r="C116" s="1277"/>
      <c r="D116" s="146" t="s">
        <v>183</v>
      </c>
      <c r="E116" s="95">
        <f>'18 '!F116</f>
        <v>104423.9</v>
      </c>
      <c r="F116" s="400">
        <v>104925</v>
      </c>
      <c r="G116" s="453">
        <f t="shared" si="9"/>
        <v>501.10000000000582</v>
      </c>
      <c r="H116" s="99">
        <f>G116+'18 '!H116</f>
        <v>7790</v>
      </c>
      <c r="I116" s="165"/>
      <c r="J116" s="328">
        <f>H116/DAY(B2)</f>
        <v>410</v>
      </c>
      <c r="Q116" s="1266"/>
      <c r="R116" s="1268"/>
    </row>
    <row r="117" spans="1:18" ht="29.25" customHeight="1">
      <c r="A117" s="1275" t="s">
        <v>184</v>
      </c>
      <c r="B117" s="1276"/>
      <c r="C117" s="1277"/>
      <c r="D117" s="146" t="s">
        <v>183</v>
      </c>
      <c r="E117" s="95">
        <f>'18 '!F117</f>
        <v>62359</v>
      </c>
      <c r="F117" s="237">
        <v>62619</v>
      </c>
      <c r="G117" s="453">
        <f t="shared" si="9"/>
        <v>260</v>
      </c>
      <c r="H117" s="99">
        <f>G117+'18 '!H117</f>
        <v>6114</v>
      </c>
      <c r="I117" s="165"/>
      <c r="J117" s="328">
        <f>H117/DAY(B2)</f>
        <v>321.78947368421052</v>
      </c>
      <c r="Q117" s="1266"/>
      <c r="R117" s="1268"/>
    </row>
    <row r="118" spans="1:18" ht="25.5">
      <c r="A118" s="1269" t="s">
        <v>97</v>
      </c>
      <c r="B118" s="1269"/>
      <c r="C118" s="1269"/>
      <c r="D118" s="151" t="s">
        <v>183</v>
      </c>
      <c r="E118" s="95">
        <f>'18 '!F118</f>
        <v>112514.15</v>
      </c>
      <c r="F118" s="400">
        <v>113154</v>
      </c>
      <c r="G118" s="453">
        <f t="shared" si="9"/>
        <v>639.85000000000582</v>
      </c>
      <c r="H118" s="99">
        <f>G118+'18 '!H118</f>
        <v>11400</v>
      </c>
      <c r="I118" s="165"/>
      <c r="J118" s="328">
        <f>H118/DAY(B2)</f>
        <v>600</v>
      </c>
      <c r="Q118" s="1266"/>
      <c r="R118" s="1268"/>
    </row>
    <row r="119" spans="1:18" ht="25.5">
      <c r="A119" s="1269" t="s">
        <v>98</v>
      </c>
      <c r="B119" s="1269"/>
      <c r="C119" s="1269"/>
      <c r="D119" s="151" t="s">
        <v>183</v>
      </c>
      <c r="E119" s="95">
        <f>'18 '!F119</f>
        <v>42801.8</v>
      </c>
      <c r="F119" s="237">
        <v>42814</v>
      </c>
      <c r="G119" s="453">
        <f t="shared" si="9"/>
        <v>12.19999999999709</v>
      </c>
      <c r="H119" s="99">
        <f>G119+'18 '!H119</f>
        <v>233</v>
      </c>
      <c r="I119" s="165"/>
      <c r="J119" s="328">
        <f>H119/DAY(B2)</f>
        <v>12.263157894736842</v>
      </c>
    </row>
    <row r="120" spans="1:18" ht="25.5">
      <c r="A120" s="1269" t="s">
        <v>99</v>
      </c>
      <c r="B120" s="1269"/>
      <c r="C120" s="1269"/>
      <c r="D120" s="151" t="s">
        <v>183</v>
      </c>
      <c r="E120" s="95">
        <f>'18 '!F120</f>
        <v>78597.7</v>
      </c>
      <c r="F120" s="237">
        <v>78988</v>
      </c>
      <c r="G120" s="453">
        <f t="shared" si="9"/>
        <v>390.30000000000291</v>
      </c>
      <c r="H120" s="99">
        <f>G120+'18 '!H120</f>
        <v>7656</v>
      </c>
      <c r="I120" s="165"/>
      <c r="J120" s="328">
        <f>H120/DAY(B2)</f>
        <v>402.94736842105266</v>
      </c>
    </row>
    <row r="121" spans="1:18" ht="25.5">
      <c r="A121" s="1269" t="s">
        <v>100</v>
      </c>
      <c r="B121" s="1269"/>
      <c r="C121" s="1269"/>
      <c r="D121" s="151" t="s">
        <v>183</v>
      </c>
      <c r="E121" s="95">
        <f>'18 '!F121</f>
        <v>89382.399999999994</v>
      </c>
      <c r="F121" s="237">
        <v>89820</v>
      </c>
      <c r="G121" s="453">
        <f t="shared" si="9"/>
        <v>437.60000000000582</v>
      </c>
      <c r="H121" s="99">
        <f>G121+'18 '!H121</f>
        <v>8464</v>
      </c>
      <c r="I121" s="165"/>
      <c r="J121" s="328">
        <f>H121/DAY(B2)</f>
        <v>445.4736842105263</v>
      </c>
    </row>
    <row r="122" spans="1:18" ht="25.5">
      <c r="A122" s="1269" t="s">
        <v>101</v>
      </c>
      <c r="B122" s="1269"/>
      <c r="C122" s="1269"/>
      <c r="D122" s="151" t="s">
        <v>183</v>
      </c>
      <c r="E122" s="95">
        <f>'18 '!F122</f>
        <v>56001.1</v>
      </c>
      <c r="F122" s="237">
        <v>56390</v>
      </c>
      <c r="G122" s="453">
        <f t="shared" si="9"/>
        <v>388.90000000000146</v>
      </c>
      <c r="H122" s="99">
        <f>G122+'18 '!H122</f>
        <v>7259</v>
      </c>
      <c r="I122" s="165"/>
      <c r="J122" s="328">
        <f>H122/DAY(B2)</f>
        <v>382.05263157894734</v>
      </c>
    </row>
    <row r="123" spans="1:18" ht="25.5">
      <c r="A123" s="1269" t="s">
        <v>102</v>
      </c>
      <c r="B123" s="1269"/>
      <c r="C123" s="1269"/>
      <c r="D123" s="151" t="s">
        <v>183</v>
      </c>
      <c r="E123" s="95">
        <f>'18 '!F123</f>
        <v>55246.5</v>
      </c>
      <c r="F123" s="237">
        <v>55545</v>
      </c>
      <c r="G123" s="453">
        <f t="shared" si="9"/>
        <v>298.5</v>
      </c>
      <c r="H123" s="99">
        <f>G123+'18 '!H123</f>
        <v>5796</v>
      </c>
      <c r="I123" s="165"/>
      <c r="J123" s="328">
        <f>H123/DAY(B2)</f>
        <v>305.05263157894734</v>
      </c>
    </row>
    <row r="124" spans="1:18" ht="29.25" customHeight="1">
      <c r="A124" s="1270"/>
      <c r="B124" s="1271"/>
      <c r="C124" s="1272"/>
      <c r="D124" s="165"/>
      <c r="E124" s="95">
        <f>'18 '!F124</f>
        <v>0</v>
      </c>
      <c r="F124" s="165"/>
      <c r="G124" s="473"/>
      <c r="H124" s="156"/>
      <c r="I124" s="165"/>
      <c r="J124" s="327"/>
    </row>
    <row r="125" spans="1:18" ht="25.5">
      <c r="A125" s="1261" t="s">
        <v>196</v>
      </c>
      <c r="B125" s="1262"/>
      <c r="C125" s="245"/>
      <c r="D125" s="307"/>
      <c r="E125" s="308"/>
      <c r="F125" s="308"/>
      <c r="G125" s="474">
        <f>SUM(G112:G124)</f>
        <v>3500.4300000000221</v>
      </c>
      <c r="H125" s="156"/>
      <c r="I125" s="327">
        <f>G125-(G39+G53)</f>
        <v>-746.06999999997788</v>
      </c>
      <c r="J125" s="327"/>
    </row>
    <row r="126" spans="1:18" ht="25.5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5.5">
      <c r="A127" s="1274"/>
      <c r="B127" s="1274"/>
      <c r="C127" s="245"/>
      <c r="D127" s="307"/>
      <c r="E127" s="308"/>
      <c r="F127" s="308"/>
      <c r="G127" s="474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1266" t="s">
        <v>318</v>
      </c>
      <c r="B128" s="1267"/>
      <c r="C128" s="1268"/>
      <c r="D128" s="151" t="s">
        <v>183</v>
      </c>
      <c r="E128" s="95">
        <f>'18 '!F128</f>
        <v>162260.5</v>
      </c>
      <c r="F128" s="165">
        <v>162693</v>
      </c>
      <c r="G128" s="453">
        <f t="shared" ref="G128:G134" si="10">F128-E128</f>
        <v>432.5</v>
      </c>
      <c r="H128" s="99">
        <f>G128+'18 '!H128</f>
        <v>7878</v>
      </c>
      <c r="I128" s="165"/>
      <c r="J128" s="328">
        <f>H128/DAY(B2)</f>
        <v>414.63157894736844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'18 '!F129</f>
        <v>87240.6</v>
      </c>
      <c r="F129" s="165">
        <v>87483</v>
      </c>
      <c r="G129" s="453">
        <f t="shared" si="10"/>
        <v>242.39999999999418</v>
      </c>
      <c r="H129" s="99">
        <f>G129+'18 '!H129</f>
        <v>3547</v>
      </c>
      <c r="I129" s="165"/>
      <c r="J129" s="328">
        <f>H129/DAY(B2)</f>
        <v>186.68421052631578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'18 '!F130</f>
        <v>218256.4</v>
      </c>
      <c r="F130" s="158">
        <v>218927</v>
      </c>
      <c r="G130" s="453">
        <f t="shared" si="10"/>
        <v>670.60000000000582</v>
      </c>
      <c r="H130" s="99">
        <f>G130+'18 '!H130</f>
        <v>12168</v>
      </c>
      <c r="I130" s="165"/>
      <c r="J130" s="328">
        <f>H130/DAY(B2)</f>
        <v>640.42105263157896</v>
      </c>
      <c r="N130" s="240"/>
      <c r="O130" s="241"/>
    </row>
    <row r="131" spans="1:15" ht="25.5">
      <c r="A131" s="1266" t="s">
        <v>321</v>
      </c>
      <c r="B131" s="1267"/>
      <c r="C131" s="1268"/>
      <c r="D131" s="151" t="s">
        <v>183</v>
      </c>
      <c r="E131" s="95">
        <f>'18 '!F131</f>
        <v>63764.2</v>
      </c>
      <c r="F131" s="165">
        <v>64005</v>
      </c>
      <c r="G131" s="453">
        <f t="shared" si="10"/>
        <v>240.80000000000291</v>
      </c>
      <c r="H131" s="99">
        <f>G131+'18 '!H131</f>
        <v>3697</v>
      </c>
      <c r="I131" s="165"/>
      <c r="J131" s="328">
        <f>H131/DAY(B2)</f>
        <v>194.57894736842104</v>
      </c>
      <c r="N131" s="240"/>
      <c r="O131" s="241"/>
    </row>
    <row r="132" spans="1:15" ht="25.5">
      <c r="A132" s="1266" t="s">
        <v>322</v>
      </c>
      <c r="B132" s="1267"/>
      <c r="C132" s="1268"/>
      <c r="D132" s="151" t="s">
        <v>183</v>
      </c>
      <c r="E132" s="95">
        <f>'18 '!F132</f>
        <v>146985</v>
      </c>
      <c r="F132" s="165">
        <v>146985</v>
      </c>
      <c r="G132" s="453">
        <f t="shared" si="10"/>
        <v>0</v>
      </c>
      <c r="H132" s="99">
        <f>G132+'18 '!H132</f>
        <v>0</v>
      </c>
      <c r="I132" s="165"/>
      <c r="J132" s="328">
        <f>H132/DAY(B2)</f>
        <v>0</v>
      </c>
    </row>
    <row r="133" spans="1:15" ht="25.5">
      <c r="A133" s="1266" t="s">
        <v>357</v>
      </c>
      <c r="B133" s="1267"/>
      <c r="C133" s="1268"/>
      <c r="D133" s="151" t="s">
        <v>183</v>
      </c>
      <c r="E133" s="95">
        <f>'18 '!F133</f>
        <v>281733.7</v>
      </c>
      <c r="F133" s="165">
        <v>282594</v>
      </c>
      <c r="G133" s="453">
        <f t="shared" si="10"/>
        <v>860.29999999998836</v>
      </c>
      <c r="H133" s="99">
        <f>G133+'18 '!H133</f>
        <v>16649</v>
      </c>
      <c r="I133" s="165"/>
      <c r="J133" s="328">
        <f>H133/DAY(B2)</f>
        <v>876.26315789473688</v>
      </c>
    </row>
    <row r="134" spans="1:15" ht="25.5">
      <c r="A134" s="1266" t="s">
        <v>340</v>
      </c>
      <c r="B134" s="1267"/>
      <c r="C134" s="1268"/>
      <c r="D134" s="151" t="s">
        <v>183</v>
      </c>
      <c r="E134" s="95">
        <f>'18 '!F134</f>
        <v>68225.7</v>
      </c>
      <c r="F134" s="165">
        <v>68474</v>
      </c>
      <c r="G134" s="453">
        <f t="shared" si="10"/>
        <v>248.30000000000291</v>
      </c>
      <c r="H134" s="99">
        <f>G134+'18 '!H134</f>
        <v>4812</v>
      </c>
      <c r="I134" s="165"/>
      <c r="J134" s="328">
        <f>H134/DAY(B2)</f>
        <v>253.26315789473685</v>
      </c>
    </row>
    <row r="135" spans="1:15" ht="25.5">
      <c r="A135" s="1261" t="s">
        <v>196</v>
      </c>
      <c r="B135" s="1262"/>
      <c r="C135" s="331"/>
      <c r="D135" s="151"/>
      <c r="E135" s="95"/>
      <c r="F135" s="165"/>
      <c r="G135" s="453">
        <f>SUM(G128:G134)</f>
        <v>2694.8999999999942</v>
      </c>
      <c r="H135" s="99">
        <f>G135+'10'!H135</f>
        <v>28192.290000000015</v>
      </c>
      <c r="I135" s="327">
        <f>G135-(G35+G49)</f>
        <v>-1318.8000000000175</v>
      </c>
      <c r="J135" s="328"/>
    </row>
    <row r="136" spans="1:15" ht="27.75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6.25">
      <c r="A137" s="245"/>
      <c r="B137" s="246"/>
      <c r="C137" s="246"/>
      <c r="D137" s="165"/>
      <c r="E137" s="165"/>
      <c r="F137" s="165"/>
      <c r="G137" s="473"/>
      <c r="H137" s="156"/>
      <c r="I137" s="165"/>
      <c r="J137" s="327"/>
    </row>
    <row r="138" spans="1:15" ht="25.5">
      <c r="A138" s="1269" t="s">
        <v>185</v>
      </c>
      <c r="B138" s="1269"/>
      <c r="C138" s="1269"/>
      <c r="D138" s="151" t="s">
        <v>183</v>
      </c>
      <c r="E138" s="95">
        <f>'18 '!F138</f>
        <v>900901</v>
      </c>
      <c r="F138" s="147">
        <v>901074</v>
      </c>
      <c r="G138" s="453">
        <f t="shared" ref="G138:G152" si="11">F138-E138</f>
        <v>173</v>
      </c>
      <c r="H138" s="99">
        <f>G138+'18 '!H138</f>
        <v>2869</v>
      </c>
      <c r="I138" s="118"/>
      <c r="J138" s="328">
        <f>H138/DAY(B2)</f>
        <v>151</v>
      </c>
    </row>
    <row r="139" spans="1:15" ht="25.5">
      <c r="A139" s="1269" t="s">
        <v>186</v>
      </c>
      <c r="B139" s="1269"/>
      <c r="C139" s="1269"/>
      <c r="D139" s="151" t="s">
        <v>183</v>
      </c>
      <c r="E139" s="95">
        <f>'18 '!F139</f>
        <v>920928</v>
      </c>
      <c r="F139" s="148">
        <v>921102</v>
      </c>
      <c r="G139" s="453">
        <f t="shared" si="11"/>
        <v>174</v>
      </c>
      <c r="H139" s="99">
        <f>G139+'18 '!H139</f>
        <v>2898</v>
      </c>
      <c r="I139" s="118"/>
      <c r="J139" s="328">
        <f>H139/DAY(B2)</f>
        <v>152.52631578947367</v>
      </c>
    </row>
    <row r="140" spans="1:15" ht="25.5">
      <c r="A140" s="1269" t="s">
        <v>187</v>
      </c>
      <c r="B140" s="1269"/>
      <c r="C140" s="1269"/>
      <c r="D140" s="151" t="s">
        <v>183</v>
      </c>
      <c r="E140" s="95">
        <f>'18 '!F140</f>
        <v>2552.65</v>
      </c>
      <c r="F140" s="148">
        <v>2563</v>
      </c>
      <c r="G140" s="453">
        <f t="shared" si="11"/>
        <v>10.349999999999909</v>
      </c>
      <c r="H140" s="99">
        <f>G140+'18 '!H140</f>
        <v>220</v>
      </c>
      <c r="I140" s="118"/>
      <c r="J140" s="328">
        <f>H140/DAY(B2)</f>
        <v>11.578947368421053</v>
      </c>
    </row>
    <row r="141" spans="1:15" ht="25.5">
      <c r="A141" s="1256" t="s">
        <v>188</v>
      </c>
      <c r="B141" s="1256"/>
      <c r="C141" s="1256"/>
      <c r="D141" s="151" t="s">
        <v>183</v>
      </c>
      <c r="E141" s="95">
        <f>'18 '!F141</f>
        <v>107787.6</v>
      </c>
      <c r="F141" s="148">
        <v>108029</v>
      </c>
      <c r="G141" s="453">
        <f t="shared" si="11"/>
        <v>241.39999999999418</v>
      </c>
      <c r="H141" s="99">
        <f>G141+'18 '!H141</f>
        <v>4255</v>
      </c>
      <c r="I141" s="118"/>
      <c r="J141" s="328">
        <f>H141/DAY(B2)</f>
        <v>223.94736842105263</v>
      </c>
    </row>
    <row r="142" spans="1:15" ht="25.5">
      <c r="A142" s="1256" t="s">
        <v>189</v>
      </c>
      <c r="B142" s="1256"/>
      <c r="C142" s="1256"/>
      <c r="D142" s="151" t="s">
        <v>183</v>
      </c>
      <c r="E142" s="95">
        <f>'18 '!F142</f>
        <v>43488.74</v>
      </c>
      <c r="F142" s="148">
        <v>43599</v>
      </c>
      <c r="G142" s="453">
        <f t="shared" si="11"/>
        <v>110.26000000000204</v>
      </c>
      <c r="H142" s="99">
        <f>G142+'18 '!H142</f>
        <v>1784</v>
      </c>
      <c r="I142" s="140"/>
      <c r="J142" s="328">
        <f>H142/DAY(B2)</f>
        <v>93.89473684210526</v>
      </c>
    </row>
    <row r="143" spans="1:15" ht="25.5">
      <c r="A143" s="1269" t="s">
        <v>91</v>
      </c>
      <c r="B143" s="1269"/>
      <c r="C143" s="1269"/>
      <c r="D143" s="151" t="s">
        <v>183</v>
      </c>
      <c r="E143" s="95">
        <f>'18 '!F143</f>
        <v>11172.2</v>
      </c>
      <c r="F143" s="148">
        <v>11204</v>
      </c>
      <c r="G143" s="453">
        <f t="shared" si="11"/>
        <v>31.799999999999272</v>
      </c>
      <c r="H143" s="99">
        <f>G143+'18 '!H143</f>
        <v>527</v>
      </c>
      <c r="I143" s="140"/>
      <c r="J143" s="328">
        <f>H143/DAY(B2)</f>
        <v>27.736842105263158</v>
      </c>
    </row>
    <row r="144" spans="1:15" ht="25.5">
      <c r="A144" s="1256" t="s">
        <v>90</v>
      </c>
      <c r="B144" s="1256"/>
      <c r="C144" s="1256"/>
      <c r="D144" s="151" t="s">
        <v>183</v>
      </c>
      <c r="E144" s="95">
        <f>'18 '!F144</f>
        <v>937855</v>
      </c>
      <c r="F144" s="148">
        <v>938111</v>
      </c>
      <c r="G144" s="453">
        <f t="shared" si="11"/>
        <v>256</v>
      </c>
      <c r="H144" s="99">
        <f>G144+'18 '!H144</f>
        <v>4590</v>
      </c>
      <c r="I144" s="140"/>
      <c r="J144" s="328">
        <f>H144/DAY(B2)</f>
        <v>241.57894736842104</v>
      </c>
    </row>
    <row r="145" spans="1:10" ht="25.5">
      <c r="A145" s="1269" t="s">
        <v>190</v>
      </c>
      <c r="B145" s="1269"/>
      <c r="C145" s="1269"/>
      <c r="D145" s="152" t="s">
        <v>183</v>
      </c>
      <c r="E145" s="95">
        <f>'18 '!F145</f>
        <v>16971.28</v>
      </c>
      <c r="F145" s="148">
        <v>17154</v>
      </c>
      <c r="G145" s="453">
        <f t="shared" si="11"/>
        <v>182.72000000000116</v>
      </c>
      <c r="H145" s="99">
        <f>G145+'18 '!H145</f>
        <v>4014</v>
      </c>
      <c r="I145" s="140"/>
      <c r="J145" s="328">
        <f>H145/DAY(B2)</f>
        <v>211.26315789473685</v>
      </c>
    </row>
    <row r="146" spans="1:10" ht="25.5">
      <c r="A146" s="1332" t="s">
        <v>191</v>
      </c>
      <c r="B146" s="1289"/>
      <c r="C146" s="1290"/>
      <c r="D146" s="152" t="s">
        <v>183</v>
      </c>
      <c r="E146" s="95">
        <f>'18 '!F146</f>
        <v>785162</v>
      </c>
      <c r="F146" s="148">
        <v>785209</v>
      </c>
      <c r="G146" s="453">
        <f t="shared" si="11"/>
        <v>47</v>
      </c>
      <c r="H146" s="99">
        <f>G146+'18 '!H146</f>
        <v>870</v>
      </c>
      <c r="I146" s="140"/>
      <c r="J146" s="328">
        <f>H146/DAY(B2)</f>
        <v>45.789473684210527</v>
      </c>
    </row>
    <row r="147" spans="1:10" ht="25.5">
      <c r="A147" s="1256" t="s">
        <v>192</v>
      </c>
      <c r="B147" s="1256"/>
      <c r="C147" s="1256"/>
      <c r="D147" s="152" t="s">
        <v>183</v>
      </c>
      <c r="E147" s="95">
        <f>'18 '!F147</f>
        <v>730746.48</v>
      </c>
      <c r="F147" s="148">
        <v>731107</v>
      </c>
      <c r="G147" s="453">
        <f t="shared" si="11"/>
        <v>360.52000000001863</v>
      </c>
      <c r="H147" s="99">
        <f>G147+'18 '!H147</f>
        <v>7585</v>
      </c>
      <c r="I147" s="140"/>
      <c r="J147" s="328">
        <f>H147/DAY(B2)</f>
        <v>399.21052631578948</v>
      </c>
    </row>
    <row r="148" spans="1:10" ht="25.5">
      <c r="A148" s="1257" t="s">
        <v>193</v>
      </c>
      <c r="B148" s="1258"/>
      <c r="C148" s="1259"/>
      <c r="D148" s="123" t="s">
        <v>130</v>
      </c>
      <c r="E148" s="95">
        <f>'18 '!F148</f>
        <v>771991.6</v>
      </c>
      <c r="F148" s="164">
        <v>772256</v>
      </c>
      <c r="G148" s="453">
        <f t="shared" si="11"/>
        <v>264.40000000002328</v>
      </c>
      <c r="H148" s="99">
        <f>G148+'18 '!H148</f>
        <v>5646</v>
      </c>
      <c r="I148" s="124"/>
      <c r="J148" s="328">
        <f>H148/DAY(B2)</f>
        <v>297.15789473684208</v>
      </c>
    </row>
    <row r="149" spans="1:10" ht="25.5">
      <c r="A149" s="1257" t="s">
        <v>336</v>
      </c>
      <c r="B149" s="1258"/>
      <c r="C149" s="1259"/>
      <c r="D149" s="227" t="s">
        <v>130</v>
      </c>
      <c r="E149" s="95">
        <f>'18 '!F149</f>
        <v>165909.4</v>
      </c>
      <c r="F149" s="399">
        <v>166368</v>
      </c>
      <c r="G149" s="453">
        <f t="shared" si="11"/>
        <v>458.60000000000582</v>
      </c>
      <c r="H149" s="99">
        <f>G149+'18 '!H149</f>
        <v>8401</v>
      </c>
      <c r="I149" s="119"/>
      <c r="J149" s="328">
        <f>H149/DAY(B2)</f>
        <v>442.15789473684208</v>
      </c>
    </row>
    <row r="150" spans="1:10" ht="25.5">
      <c r="A150" s="1257" t="s">
        <v>337</v>
      </c>
      <c r="B150" s="1258"/>
      <c r="C150" s="1259"/>
      <c r="D150" s="117" t="s">
        <v>130</v>
      </c>
      <c r="E150" s="95">
        <f>'18 '!F150</f>
        <v>67956.3</v>
      </c>
      <c r="F150" s="233">
        <v>68180</v>
      </c>
      <c r="G150" s="453">
        <f t="shared" si="11"/>
        <v>223.69999999999709</v>
      </c>
      <c r="H150" s="99">
        <f>G150+'18 '!H150</f>
        <v>4202</v>
      </c>
      <c r="I150" s="119"/>
      <c r="J150" s="328">
        <f>H150/DAY(B2)</f>
        <v>221.15789473684211</v>
      </c>
    </row>
    <row r="151" spans="1:10" ht="25.5">
      <c r="A151" s="1257" t="s">
        <v>338</v>
      </c>
      <c r="B151" s="1258"/>
      <c r="C151" s="1259"/>
      <c r="D151" s="117" t="s">
        <v>130</v>
      </c>
      <c r="E151" s="95">
        <f>'18 '!F151</f>
        <v>150753</v>
      </c>
      <c r="F151" s="233">
        <v>150753</v>
      </c>
      <c r="G151" s="453">
        <f t="shared" si="11"/>
        <v>0</v>
      </c>
      <c r="H151" s="99">
        <f>G151+'18 '!H151</f>
        <v>965</v>
      </c>
      <c r="I151" s="119"/>
      <c r="J151" s="328">
        <f>H151/DAY(B2)</f>
        <v>50.789473684210527</v>
      </c>
    </row>
    <row r="152" spans="1:10" ht="25.5">
      <c r="A152" s="1257" t="s">
        <v>339</v>
      </c>
      <c r="B152" s="1258"/>
      <c r="C152" s="1259"/>
      <c r="D152" s="117" t="s">
        <v>130</v>
      </c>
      <c r="E152" s="95">
        <f>'18 '!F152</f>
        <v>32933</v>
      </c>
      <c r="F152" s="233">
        <v>33055</v>
      </c>
      <c r="G152" s="453">
        <f t="shared" si="11"/>
        <v>122</v>
      </c>
      <c r="H152" s="99">
        <f>G152+'18 '!H152</f>
        <v>2441</v>
      </c>
      <c r="I152" s="119"/>
      <c r="J152" s="328">
        <f>H152/DAY(B2)</f>
        <v>128.47368421052633</v>
      </c>
    </row>
    <row r="153" spans="1:10" ht="25.5">
      <c r="A153" s="1261" t="s">
        <v>196</v>
      </c>
      <c r="B153" s="1262"/>
      <c r="C153" s="362"/>
      <c r="D153" s="355"/>
      <c r="E153" s="357"/>
      <c r="F153" s="358"/>
      <c r="G153" s="475">
        <f>SUM(G138:G152)</f>
        <v>2655.7500000000414</v>
      </c>
      <c r="H153" s="360"/>
      <c r="I153" s="119">
        <f>G153-(G38+G52)</f>
        <v>250.62000000003673</v>
      </c>
      <c r="J153" s="363"/>
    </row>
    <row r="154" spans="1:10" ht="27.75">
      <c r="A154" s="1260" t="s">
        <v>207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0" ht="27.75">
      <c r="A155" s="1256" t="s">
        <v>345</v>
      </c>
      <c r="B155" s="1256"/>
      <c r="C155" s="1256"/>
      <c r="D155" s="117" t="s">
        <v>130</v>
      </c>
      <c r="E155" s="95">
        <f>'18 '!F155</f>
        <v>195565.5</v>
      </c>
      <c r="F155" s="157">
        <v>196085</v>
      </c>
      <c r="G155" s="453">
        <f t="shared" ref="G155:G158" si="12">F155-E155</f>
        <v>519.5</v>
      </c>
      <c r="H155" s="99">
        <f>G155+'18 '!H155</f>
        <v>10344</v>
      </c>
      <c r="I155" s="361"/>
      <c r="J155" s="328">
        <f>H155/DAY(B2)</f>
        <v>544.42105263157896</v>
      </c>
    </row>
    <row r="156" spans="1:10" ht="25.5">
      <c r="A156" s="1256" t="s">
        <v>347</v>
      </c>
      <c r="B156" s="1256"/>
      <c r="C156" s="1256"/>
      <c r="D156" s="117" t="s">
        <v>130</v>
      </c>
      <c r="E156" s="95">
        <f>'18 '!F156</f>
        <v>22461.9</v>
      </c>
      <c r="F156" s="157">
        <v>22556</v>
      </c>
      <c r="G156" s="453">
        <f t="shared" si="12"/>
        <v>94.099999999998545</v>
      </c>
      <c r="H156" s="99">
        <f>G156+'18 '!H156</f>
        <v>1817</v>
      </c>
      <c r="I156" s="165"/>
      <c r="J156" s="328">
        <f>H156/DAY(B2)</f>
        <v>95.631578947368425</v>
      </c>
    </row>
    <row r="157" spans="1:10" ht="25.5">
      <c r="A157" s="1257" t="s">
        <v>358</v>
      </c>
      <c r="B157" s="1258"/>
      <c r="C157" s="1259"/>
      <c r="D157" s="117" t="s">
        <v>130</v>
      </c>
      <c r="E157" s="95">
        <f>'18 '!F157</f>
        <v>37558.54</v>
      </c>
      <c r="F157" s="365">
        <v>37558.54</v>
      </c>
      <c r="G157" s="453">
        <f t="shared" si="12"/>
        <v>0</v>
      </c>
      <c r="H157" s="99"/>
      <c r="I157" s="165"/>
      <c r="J157" s="328"/>
    </row>
    <row r="158" spans="1:10" ht="25.5">
      <c r="A158" s="1257" t="s">
        <v>359</v>
      </c>
      <c r="B158" s="1258"/>
      <c r="C158" s="1259"/>
      <c r="D158" s="117" t="s">
        <v>130</v>
      </c>
      <c r="E158" s="95">
        <f>'18 '!F158</f>
        <v>918</v>
      </c>
      <c r="F158" s="365">
        <v>939</v>
      </c>
      <c r="G158" s="453">
        <f t="shared" si="12"/>
        <v>21</v>
      </c>
      <c r="H158" s="99"/>
      <c r="I158" s="165"/>
      <c r="J158" s="328"/>
    </row>
    <row r="159" spans="1:10" ht="25.5">
      <c r="A159" s="1263"/>
      <c r="B159" s="1264"/>
      <c r="C159" s="1265"/>
      <c r="D159" s="117"/>
      <c r="E159" s="95"/>
      <c r="F159" s="165"/>
      <c r="G159" s="453"/>
      <c r="H159" s="99"/>
      <c r="I159" s="165"/>
      <c r="J159" s="328"/>
    </row>
    <row r="160" spans="1:10" ht="27.75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26.25">
      <c r="A161" s="242" t="s">
        <v>92</v>
      </c>
      <c r="B161" s="243"/>
      <c r="C161" s="243"/>
      <c r="D161" s="244" t="s">
        <v>180</v>
      </c>
      <c r="E161" s="95">
        <f>'18 '!F161</f>
        <v>493655.32</v>
      </c>
      <c r="F161" s="235">
        <v>493920</v>
      </c>
      <c r="G161" s="476">
        <f t="shared" ref="G161:G165" si="13">F161-E161</f>
        <v>264.67999999999302</v>
      </c>
      <c r="H161" s="99">
        <f>G161+'18 '!H161</f>
        <v>642.96000000002095</v>
      </c>
      <c r="I161" s="236"/>
      <c r="J161" s="239">
        <f>H161/DAY(B2)</f>
        <v>33.840000000001105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'18 '!F162</f>
        <v>97962.8</v>
      </c>
      <c r="F162" s="235">
        <v>98009</v>
      </c>
      <c r="G162" s="476">
        <f t="shared" si="13"/>
        <v>46.19999999999709</v>
      </c>
      <c r="H162" s="99">
        <f>G162+'18 '!H162</f>
        <v>721</v>
      </c>
      <c r="I162" s="236"/>
      <c r="J162" s="239">
        <f>H162/DAY(B2)</f>
        <v>37.94736842105263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'18 '!F163</f>
        <v>16292.5</v>
      </c>
      <c r="F163" s="235">
        <v>16435</v>
      </c>
      <c r="G163" s="476">
        <f t="shared" si="13"/>
        <v>142.5</v>
      </c>
      <c r="H163" s="99">
        <f>G163+'18 '!H163</f>
        <v>2271</v>
      </c>
      <c r="I163" s="236"/>
      <c r="J163" s="239">
        <f>H163/DAY(B2)</f>
        <v>119.52631578947368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'18 '!F164</f>
        <v>6734.5</v>
      </c>
      <c r="F164" s="235">
        <v>6755</v>
      </c>
      <c r="G164" s="476">
        <f t="shared" si="13"/>
        <v>20.5</v>
      </c>
      <c r="H164" s="99">
        <f>G164+'18 '!H164</f>
        <v>143</v>
      </c>
      <c r="I164" s="236"/>
      <c r="J164" s="239">
        <f>H164/DAY(B2)</f>
        <v>7.5263157894736841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'18 '!F165</f>
        <v>32263.599999999999</v>
      </c>
      <c r="F165" s="235">
        <v>32273</v>
      </c>
      <c r="G165" s="476">
        <f t="shared" si="13"/>
        <v>9.4000000000014552</v>
      </c>
      <c r="H165" s="99">
        <f>G165+'18 '!H165</f>
        <v>132</v>
      </c>
      <c r="I165" s="236"/>
      <c r="J165" s="239">
        <f>H165/DAY(B2)</f>
        <v>6.9473684210526319</v>
      </c>
    </row>
    <row r="166" spans="1:10" ht="26.25">
      <c r="A166" s="1274"/>
      <c r="B166" s="1274"/>
      <c r="C166" s="246"/>
      <c r="D166" s="244"/>
      <c r="E166" s="95"/>
      <c r="F166" s="165"/>
      <c r="G166" s="473"/>
      <c r="H166" s="99"/>
      <c r="I166" s="165"/>
      <c r="J166" s="239"/>
    </row>
    <row r="167" spans="1:10" ht="26.25">
      <c r="A167" s="1274"/>
      <c r="B167" s="1274"/>
      <c r="C167" s="246"/>
      <c r="D167" s="244"/>
      <c r="E167" s="95"/>
      <c r="F167" s="165"/>
      <c r="G167" s="473"/>
      <c r="H167" s="99"/>
      <c r="I167" s="165"/>
      <c r="J167" s="239"/>
    </row>
    <row r="168" spans="1:10" ht="26.25">
      <c r="A168" s="1274"/>
      <c r="B168" s="1274"/>
      <c r="C168" s="246"/>
      <c r="D168" s="244"/>
      <c r="E168" s="95"/>
      <c r="F168" s="165"/>
      <c r="G168" s="473"/>
      <c r="H168" s="99"/>
      <c r="I168" s="165"/>
      <c r="J168" s="239"/>
    </row>
    <row r="169" spans="1:10" ht="26.25"/>
    <row r="170" spans="1:10" ht="26.25"/>
    <row r="171" spans="1:10" ht="27.75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5.5">
      <c r="A172" s="1330"/>
      <c r="B172" s="1331"/>
      <c r="C172" s="332"/>
      <c r="D172" s="228"/>
      <c r="E172" s="155"/>
      <c r="F172" s="155"/>
      <c r="G172" s="477"/>
      <c r="H172" s="156"/>
      <c r="I172" s="155"/>
      <c r="J172" s="178"/>
    </row>
    <row r="173" spans="1:10" ht="25.5">
      <c r="A173" s="1254" t="s">
        <v>209</v>
      </c>
      <c r="B173" s="1255"/>
      <c r="C173" s="333"/>
      <c r="D173" s="228" t="s">
        <v>142</v>
      </c>
      <c r="E173" s="95">
        <f>'18 '!F173</f>
        <v>8609</v>
      </c>
      <c r="F173" s="157">
        <v>8609</v>
      </c>
      <c r="G173" s="477">
        <f>F173-E173</f>
        <v>0</v>
      </c>
      <c r="H173" s="99">
        <f>G173+'18 '!H173</f>
        <v>28</v>
      </c>
      <c r="I173" s="155"/>
      <c r="J173" s="178">
        <f>H173/DAY(B2)</f>
        <v>1.4736842105263157</v>
      </c>
    </row>
    <row r="174" spans="1:10" ht="25.5">
      <c r="A174" s="1254" t="s">
        <v>75</v>
      </c>
      <c r="B174" s="1255"/>
      <c r="C174" s="333"/>
      <c r="D174" s="228" t="s">
        <v>142</v>
      </c>
      <c r="E174" s="95">
        <f>'18 '!F174</f>
        <v>42203</v>
      </c>
      <c r="F174" s="157">
        <v>42215</v>
      </c>
      <c r="G174" s="477">
        <f t="shared" ref="G174:G175" si="14">F174-E174</f>
        <v>12</v>
      </c>
      <c r="H174" s="99">
        <f>G174+'18 '!H174</f>
        <v>253</v>
      </c>
      <c r="I174" s="155"/>
      <c r="J174" s="178">
        <f>H174/DAY(B2)</f>
        <v>13.315789473684211</v>
      </c>
    </row>
    <row r="175" spans="1:10" ht="25.5">
      <c r="A175" s="1254" t="s">
        <v>76</v>
      </c>
      <c r="B175" s="1324"/>
      <c r="C175" s="1255"/>
      <c r="D175" s="228" t="s">
        <v>142</v>
      </c>
      <c r="E175" s="95">
        <f>'18 '!F175</f>
        <v>24896</v>
      </c>
      <c r="F175" s="155">
        <v>24911</v>
      </c>
      <c r="G175" s="477">
        <f t="shared" si="14"/>
        <v>15</v>
      </c>
      <c r="H175" s="99">
        <f>G175+'18 '!H175</f>
        <v>214</v>
      </c>
      <c r="I175" s="155"/>
      <c r="J175" s="178">
        <f>H175/DAY(B2)</f>
        <v>11.263157894736842</v>
      </c>
    </row>
    <row r="176" spans="1:10" ht="25.5">
      <c r="A176" s="1261" t="s">
        <v>196</v>
      </c>
      <c r="B176" s="1262"/>
      <c r="C176" s="384"/>
      <c r="D176" s="228" t="s">
        <v>142</v>
      </c>
      <c r="E176" s="95"/>
      <c r="F176" s="155"/>
      <c r="G176" s="477">
        <f>SUM(G173:G175)</f>
        <v>27</v>
      </c>
      <c r="H176" s="99">
        <f>G176+'18 '!H176</f>
        <v>495</v>
      </c>
      <c r="I176" s="155"/>
      <c r="J176" s="178">
        <f>H176/DAY(B2)</f>
        <v>26.05263157894737</v>
      </c>
    </row>
    <row r="177" spans="1:11" ht="25.5">
      <c r="A177" s="1254" t="s">
        <v>77</v>
      </c>
      <c r="B177" s="1255"/>
      <c r="C177" s="333"/>
      <c r="D177" s="228" t="s">
        <v>142</v>
      </c>
      <c r="E177" s="95"/>
      <c r="F177" s="155"/>
      <c r="G177" s="477"/>
      <c r="H177" s="99">
        <f>G177+'18 '!H177</f>
        <v>0</v>
      </c>
      <c r="I177" s="155"/>
      <c r="J177" s="178">
        <f>H177/DAY(B2)</f>
        <v>0</v>
      </c>
    </row>
    <row r="178" spans="1:11" ht="25.5">
      <c r="A178" s="1254" t="s">
        <v>210</v>
      </c>
      <c r="B178" s="1255"/>
      <c r="C178" s="333"/>
      <c r="D178" s="228" t="s">
        <v>142</v>
      </c>
      <c r="E178" s="95">
        <f>'18 '!F178</f>
        <v>102114</v>
      </c>
      <c r="F178" s="155">
        <v>102114</v>
      </c>
      <c r="G178" s="477">
        <f>F178-E178</f>
        <v>0</v>
      </c>
      <c r="H178" s="99">
        <f>G178+'18 '!H178</f>
        <v>3</v>
      </c>
      <c r="I178" s="155"/>
      <c r="J178" s="178">
        <f>H178/DAY(B2)</f>
        <v>0.15789473684210525</v>
      </c>
    </row>
    <row r="179" spans="1:11" ht="25.5">
      <c r="A179" s="1254" t="s">
        <v>211</v>
      </c>
      <c r="B179" s="1255"/>
      <c r="C179" s="333"/>
      <c r="D179" s="228" t="s">
        <v>142</v>
      </c>
      <c r="E179" s="95">
        <f>'18 '!F179</f>
        <v>37501</v>
      </c>
      <c r="F179" s="155">
        <v>37501</v>
      </c>
      <c r="G179" s="477">
        <f t="shared" ref="G179:G180" si="15">F179-E179</f>
        <v>0</v>
      </c>
      <c r="H179" s="99">
        <f>G179+'18 '!H179</f>
        <v>0</v>
      </c>
      <c r="I179" s="155"/>
      <c r="J179" s="178">
        <f>H179/DAY(B2)</f>
        <v>0</v>
      </c>
    </row>
    <row r="180" spans="1:11" ht="25.5">
      <c r="A180" s="1254" t="s">
        <v>212</v>
      </c>
      <c r="B180" s="1255"/>
      <c r="C180" s="333"/>
      <c r="D180" s="228" t="s">
        <v>142</v>
      </c>
      <c r="E180" s="95">
        <f>'18 '!F180</f>
        <v>37036</v>
      </c>
      <c r="F180" s="155">
        <v>37036</v>
      </c>
      <c r="G180" s="477">
        <f t="shared" si="15"/>
        <v>0</v>
      </c>
      <c r="H180" s="99">
        <f>G180+'18 '!H180</f>
        <v>0</v>
      </c>
      <c r="I180" s="155"/>
      <c r="J180" s="178">
        <f>H180/DAY(B2)</f>
        <v>0</v>
      </c>
    </row>
    <row r="181" spans="1:11" ht="25.5">
      <c r="A181" s="1325" t="s">
        <v>108</v>
      </c>
      <c r="B181" s="1326"/>
      <c r="C181" s="384"/>
      <c r="D181" s="228" t="s">
        <v>142</v>
      </c>
      <c r="E181" s="95"/>
      <c r="F181" s="155"/>
      <c r="G181" s="477">
        <f>SUM(G178:G180)</f>
        <v>0</v>
      </c>
      <c r="H181" s="99">
        <f>G181+'18 '!H181</f>
        <v>3</v>
      </c>
      <c r="I181" s="155"/>
      <c r="J181" s="178">
        <f>H181/DAY(B2)</f>
        <v>0.15789473684210525</v>
      </c>
    </row>
    <row r="182" spans="1:11" ht="25.5">
      <c r="A182" s="1254" t="s">
        <v>213</v>
      </c>
      <c r="B182" s="1255"/>
      <c r="C182" s="333"/>
      <c r="D182" s="228" t="s">
        <v>142</v>
      </c>
      <c r="E182" s="95"/>
      <c r="F182" s="155"/>
      <c r="G182" s="477"/>
      <c r="H182" s="99">
        <f>G182+'18 '!H182</f>
        <v>0</v>
      </c>
      <c r="I182" s="155"/>
      <c r="J182" s="178">
        <f>H182/DAY(B2)</f>
        <v>0</v>
      </c>
    </row>
    <row r="183" spans="1:11" ht="25.5">
      <c r="A183" s="1254" t="s">
        <v>214</v>
      </c>
      <c r="B183" s="1255"/>
      <c r="C183" s="334"/>
      <c r="D183" s="228" t="s">
        <v>142</v>
      </c>
      <c r="E183" s="95">
        <f>'18 '!F183</f>
        <v>17944</v>
      </c>
      <c r="F183" s="157">
        <v>17957</v>
      </c>
      <c r="G183" s="478">
        <f>F183-E183</f>
        <v>13</v>
      </c>
      <c r="H183" s="99">
        <f>G183+'18 '!H183</f>
        <v>109</v>
      </c>
      <c r="I183" s="155"/>
      <c r="J183" s="178">
        <f>H183/DAY(B2)</f>
        <v>5.7368421052631575</v>
      </c>
    </row>
    <row r="184" spans="1:11" ht="25.5">
      <c r="A184" s="1254" t="s">
        <v>215</v>
      </c>
      <c r="B184" s="1255"/>
      <c r="C184" s="334"/>
      <c r="D184" s="228" t="s">
        <v>142</v>
      </c>
      <c r="E184" s="95">
        <f>'18 '!F184</f>
        <v>12487</v>
      </c>
      <c r="F184" s="157">
        <v>12494</v>
      </c>
      <c r="G184" s="478">
        <f t="shared" ref="G184:G185" si="16">F184-E184</f>
        <v>7</v>
      </c>
      <c r="H184" s="99">
        <f>G184+'18 '!H184</f>
        <v>145</v>
      </c>
      <c r="I184" s="155"/>
      <c r="J184" s="178">
        <f>H184/DAY(B2)</f>
        <v>7.6315789473684212</v>
      </c>
    </row>
    <row r="185" spans="1:11" ht="30.75" customHeight="1">
      <c r="A185" s="1254" t="s">
        <v>216</v>
      </c>
      <c r="B185" s="1255"/>
      <c r="C185" s="334"/>
      <c r="D185" s="228" t="s">
        <v>142</v>
      </c>
      <c r="E185" s="95">
        <f>'18 '!F185</f>
        <v>0</v>
      </c>
      <c r="F185" s="157"/>
      <c r="G185" s="478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5.5">
      <c r="A186" s="1261" t="s">
        <v>196</v>
      </c>
      <c r="B186" s="1262"/>
      <c r="C186" s="383"/>
      <c r="D186" s="228" t="s">
        <v>142</v>
      </c>
      <c r="E186" s="95"/>
      <c r="F186" s="157"/>
      <c r="G186" s="478">
        <f>SUM(G183:G185)</f>
        <v>20</v>
      </c>
      <c r="H186" s="99">
        <f>G186+'18 '!H186</f>
        <v>254</v>
      </c>
      <c r="I186" s="157"/>
      <c r="J186" s="178">
        <f>H186/DAY(B2)</f>
        <v>13.368421052631579</v>
      </c>
    </row>
    <row r="187" spans="1:11" ht="25.5">
      <c r="A187" s="1250" t="s">
        <v>217</v>
      </c>
      <c r="B187" s="1251"/>
      <c r="C187" s="333"/>
      <c r="D187" s="230" t="s">
        <v>142</v>
      </c>
      <c r="E187" s="95"/>
      <c r="F187" s="159"/>
      <c r="G187" s="479">
        <f>G62+G19</f>
        <v>148</v>
      </c>
      <c r="H187" s="99">
        <f>G187+'18 '!H187</f>
        <v>2847</v>
      </c>
      <c r="I187" s="158"/>
      <c r="J187" s="179">
        <f>H187/DAY(B2)</f>
        <v>149.84210526315789</v>
      </c>
    </row>
    <row r="188" spans="1:11" ht="25.5">
      <c r="A188" s="1250" t="s">
        <v>218</v>
      </c>
      <c r="B188" s="1251"/>
      <c r="C188" s="333"/>
      <c r="D188" s="230" t="s">
        <v>142</v>
      </c>
      <c r="E188" s="95"/>
      <c r="F188" s="159"/>
      <c r="G188" s="479">
        <f>G65+G66+G67+G69+G70</f>
        <v>150</v>
      </c>
      <c r="H188" s="99">
        <f>G188+'18 '!H188</f>
        <v>826</v>
      </c>
      <c r="I188" s="158"/>
      <c r="J188" s="179">
        <f>H188/DAY(B2)</f>
        <v>43.473684210526315</v>
      </c>
    </row>
    <row r="189" spans="1:11" ht="25.5">
      <c r="A189" s="1250" t="s">
        <v>219</v>
      </c>
      <c r="B189" s="1251"/>
      <c r="C189" s="333"/>
      <c r="D189" s="230" t="s">
        <v>142</v>
      </c>
      <c r="E189" s="95"/>
      <c r="F189" s="157"/>
      <c r="G189" s="479">
        <f>G181</f>
        <v>0</v>
      </c>
      <c r="H189" s="99">
        <f>G189+'30'!H238</f>
        <v>0</v>
      </c>
      <c r="I189" s="158"/>
      <c r="J189" s="179">
        <f>H189/DAY(B2)</f>
        <v>0</v>
      </c>
    </row>
    <row r="190" spans="1:11" ht="23.25" customHeight="1">
      <c r="A190" s="245"/>
      <c r="B190" s="246"/>
      <c r="C190" s="246"/>
      <c r="D190" s="165"/>
      <c r="E190" s="165"/>
      <c r="F190" s="437"/>
      <c r="G190" s="473"/>
      <c r="H190" s="238"/>
      <c r="I190" s="99"/>
      <c r="J190" s="236"/>
      <c r="K190" s="239" t="e">
        <f>I190/DAY(C27)</f>
        <v>#DIV/0!</v>
      </c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157" zoomScale="55" zoomScaleSheetLayoutView="55" zoomScalePageLayoutView="78" workbookViewId="0">
      <selection activeCell="G186" sqref="G18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3.25">
      <c r="A2" s="191" t="s">
        <v>354</v>
      </c>
      <c r="B2" s="262">
        <v>44854</v>
      </c>
      <c r="C2" s="348" t="s">
        <v>67</v>
      </c>
      <c r="D2" s="218">
        <v>0.52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'19'!F7</f>
        <v>355386</v>
      </c>
      <c r="F7" s="95">
        <v>381174</v>
      </c>
      <c r="G7" s="112">
        <f>F7-E7</f>
        <v>25788</v>
      </c>
      <c r="H7" s="99">
        <f>G7+'19'!H7</f>
        <v>499338</v>
      </c>
      <c r="I7" s="113">
        <v>24000</v>
      </c>
      <c r="J7" s="175">
        <f>H7/DAY(B2)</f>
        <v>24966.9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'19'!F8</f>
        <v>528983</v>
      </c>
      <c r="F8" s="95">
        <v>554905</v>
      </c>
      <c r="G8" s="115">
        <f>F8-E8</f>
        <v>25922</v>
      </c>
      <c r="H8" s="99">
        <f>G8+'19'!H8</f>
        <v>505525</v>
      </c>
      <c r="I8" s="116"/>
      <c r="J8" s="175">
        <f>H8/DAY(B2)</f>
        <v>25276.25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'19'!F9</f>
        <v>3825793</v>
      </c>
      <c r="F9" s="447">
        <v>3839154</v>
      </c>
      <c r="G9" s="112">
        <f>F9-E9</f>
        <v>13361</v>
      </c>
      <c r="H9" s="99">
        <f>G9+'19'!H9</f>
        <v>132447</v>
      </c>
      <c r="I9" s="124">
        <f>I7-J7</f>
        <v>-966.90000000000146</v>
      </c>
      <c r="J9" s="175">
        <f>H9/DAY(B2)</f>
        <v>6622.35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'19'!F10</f>
        <v>3084639</v>
      </c>
      <c r="F10" s="353">
        <v>3096371</v>
      </c>
      <c r="G10" s="112">
        <f t="shared" ref="G10:G12" si="0">F10-E10</f>
        <v>11732</v>
      </c>
      <c r="H10" s="99">
        <f>G10+'19'!H10</f>
        <v>353677</v>
      </c>
      <c r="I10" s="282"/>
      <c r="J10" s="175">
        <f>H10/DAY(B2)</f>
        <v>17683.849999999999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'19'!F11</f>
        <v>37560</v>
      </c>
      <c r="F11" s="95">
        <v>37560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'19'!F12</f>
        <v>40380</v>
      </c>
      <c r="F12" s="117">
        <v>40380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25093</v>
      </c>
      <c r="H13" s="99">
        <f>G13+'19'!H13</f>
        <v>487584</v>
      </c>
      <c r="I13" s="120">
        <f>G7-G13</f>
        <v>695</v>
      </c>
      <c r="J13" s="175">
        <f>H13/DAY(B2)</f>
        <v>24379.200000000001</v>
      </c>
      <c r="K13" s="79"/>
      <c r="L13" s="66"/>
      <c r="N13" s="87"/>
      <c r="O13" s="71"/>
    </row>
    <row r="14" spans="1:15" ht="26.25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47">
        <f>'19'!F15</f>
        <v>2181142</v>
      </c>
      <c r="F15" s="447">
        <v>2182253</v>
      </c>
      <c r="G15" s="112">
        <f>(F15-E15)</f>
        <v>1111</v>
      </c>
      <c r="H15" s="99">
        <f>G15+'19'!H15</f>
        <v>20738</v>
      </c>
      <c r="I15" s="113">
        <f>'1'!I15</f>
        <v>800</v>
      </c>
      <c r="J15" s="175">
        <f>H15/DAY(B2)</f>
        <v>1036.9000000000001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-236.90000000000009</v>
      </c>
      <c r="J16" s="176"/>
      <c r="K16" s="79"/>
      <c r="L16" s="66"/>
      <c r="N16" s="87"/>
      <c r="O16" s="71"/>
    </row>
    <row r="17" spans="1:15" ht="26.25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81" t="s">
        <v>141</v>
      </c>
      <c r="B18" s="1282"/>
      <c r="C18" s="1283"/>
      <c r="D18" s="151" t="s">
        <v>142</v>
      </c>
      <c r="E18" s="95">
        <f>'19'!F18</f>
        <v>26</v>
      </c>
      <c r="F18" s="122">
        <v>29</v>
      </c>
      <c r="G18" s="119">
        <f>F18*10</f>
        <v>290</v>
      </c>
      <c r="H18" s="99">
        <f>G18+'19'!H18</f>
        <v>4990</v>
      </c>
      <c r="I18" s="113">
        <f>'1'!I18</f>
        <v>65</v>
      </c>
      <c r="J18" s="175">
        <f>H18/DAY(B2)</f>
        <v>249.5</v>
      </c>
      <c r="K18" s="79"/>
      <c r="L18" s="66"/>
      <c r="N18" s="87"/>
      <c r="O18" s="71"/>
    </row>
    <row r="19" spans="1:15" ht="25.5">
      <c r="A19" s="1281" t="s">
        <v>69</v>
      </c>
      <c r="B19" s="1282"/>
      <c r="C19" s="1283"/>
      <c r="D19" s="151" t="s">
        <v>142</v>
      </c>
      <c r="E19" s="95">
        <f>'19'!F19</f>
        <v>166403</v>
      </c>
      <c r="F19" s="514">
        <v>166454</v>
      </c>
      <c r="G19" s="112">
        <f t="shared" ref="G19" si="1">F19-E19</f>
        <v>51</v>
      </c>
      <c r="H19" s="99">
        <f>G19+'19'!H19</f>
        <v>1011</v>
      </c>
      <c r="I19" s="335"/>
      <c r="J19" s="175">
        <f>H19/DAY(B2)</f>
        <v>50.55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341</v>
      </c>
      <c r="H20" s="99">
        <f>G20+'19'!H20</f>
        <v>6001</v>
      </c>
      <c r="I20" s="336">
        <f>I18-J20</f>
        <v>-235.05</v>
      </c>
      <c r="J20" s="175">
        <f>H20/DAY(B2)</f>
        <v>300.05</v>
      </c>
      <c r="K20" s="79"/>
      <c r="L20" s="66"/>
      <c r="N20" s="87"/>
      <c r="O20" s="71"/>
    </row>
    <row r="21" spans="1:15" ht="26.25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'19'!F23</f>
        <v>1500</v>
      </c>
      <c r="F23" s="122">
        <v>1500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'19'!F24</f>
        <v>4470</v>
      </c>
      <c r="F24" s="128">
        <v>4470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25922</v>
      </c>
      <c r="F27" s="136">
        <v>10</v>
      </c>
      <c r="G27" s="137">
        <f>E27*F27</f>
        <v>259220</v>
      </c>
      <c r="H27" s="99">
        <f>G27+'19'!H27</f>
        <v>5055250</v>
      </c>
      <c r="I27" s="138"/>
      <c r="J27" s="175">
        <f>H27/DAY(B2)</f>
        <v>252762.5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1111</v>
      </c>
      <c r="F28" s="136">
        <v>75</v>
      </c>
      <c r="G28" s="137">
        <f>E28*F28</f>
        <v>83325</v>
      </c>
      <c r="H28" s="99">
        <f>G28+'19'!H28</f>
        <v>1555350</v>
      </c>
      <c r="I28" s="140"/>
      <c r="J28" s="175">
        <f>H28/DAY(B2)</f>
        <v>77767.5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G30+'19'!H30</f>
        <v>152661</v>
      </c>
      <c r="I30" s="140"/>
      <c r="J30" s="175">
        <f>H30/DAY(B2)</f>
        <v>7633.05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290</v>
      </c>
      <c r="F31" s="136">
        <v>85</v>
      </c>
      <c r="G31" s="137">
        <f>E31*F31</f>
        <v>24650</v>
      </c>
      <c r="H31" s="99">
        <f>G31+'19'!H31</f>
        <v>421000</v>
      </c>
      <c r="I31" s="140"/>
      <c r="J31" s="175">
        <f>H31/DAY(B2)</f>
        <v>21050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374896</v>
      </c>
      <c r="H32" s="99">
        <f>G32+'19'!H32</f>
        <v>7184261</v>
      </c>
      <c r="I32" s="144"/>
      <c r="J32" s="175">
        <f>H32/DAY(B2)</f>
        <v>359213.05</v>
      </c>
      <c r="K32" s="63"/>
      <c r="L32" s="89"/>
      <c r="N32" s="87"/>
      <c r="O32" s="71"/>
    </row>
    <row r="33" spans="1:15" ht="25.5" customHeight="1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'19'!F35</f>
        <v>259644</v>
      </c>
      <c r="F35" s="145">
        <v>261674</v>
      </c>
      <c r="G35" s="112">
        <f t="shared" ref="G35:G46" si="3">F35-E35</f>
        <v>2030</v>
      </c>
      <c r="H35" s="99">
        <f>G35+'19'!H35</f>
        <v>22960.950000000012</v>
      </c>
      <c r="I35" s="95"/>
      <c r="J35" s="175">
        <f>H35/DAY(B2)</f>
        <v>1148.0475000000006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'19'!F36</f>
        <v>285708</v>
      </c>
      <c r="F36" s="145">
        <v>286763</v>
      </c>
      <c r="G36" s="112">
        <f t="shared" si="3"/>
        <v>1055</v>
      </c>
      <c r="H36" s="99">
        <f>G36+'19'!H36</f>
        <v>17280</v>
      </c>
      <c r="I36" s="95"/>
      <c r="J36" s="175">
        <f>H36/DAY(B2)</f>
        <v>864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'19'!F37</f>
        <v>322998.69</v>
      </c>
      <c r="F37" s="401">
        <v>322998.69</v>
      </c>
      <c r="G37" s="112">
        <f t="shared" si="3"/>
        <v>0</v>
      </c>
      <c r="H37" s="99">
        <f>G37+'19'!H37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'19'!F38</f>
        <v>636920</v>
      </c>
      <c r="F38" s="106">
        <v>639160</v>
      </c>
      <c r="G38" s="112">
        <f t="shared" si="3"/>
        <v>2240</v>
      </c>
      <c r="H38" s="99">
        <f>G38+'19'!H38</f>
        <v>45443</v>
      </c>
      <c r="I38" s="95"/>
      <c r="J38" s="175">
        <f>H38/DAY(B2)</f>
        <v>2272.15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'19'!F39</f>
        <v>591584.18999999994</v>
      </c>
      <c r="F39" s="401">
        <v>591584.18999999994</v>
      </c>
      <c r="G39" s="112">
        <f t="shared" si="3"/>
        <v>0</v>
      </c>
      <c r="H39" s="99">
        <f>G39+'19'!H39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'19'!F40</f>
        <v>172575</v>
      </c>
      <c r="F40" s="145">
        <v>173514</v>
      </c>
      <c r="G40" s="112">
        <f t="shared" si="3"/>
        <v>939</v>
      </c>
      <c r="H40" s="99">
        <f>G40+'19'!H40</f>
        <v>15534</v>
      </c>
      <c r="I40" s="95"/>
      <c r="J40" s="175">
        <f>H40/DAY(B2)</f>
        <v>776.7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'19'!F41</f>
        <v>381352</v>
      </c>
      <c r="F41" s="145">
        <v>383925</v>
      </c>
      <c r="G41" s="112">
        <f t="shared" si="3"/>
        <v>2573</v>
      </c>
      <c r="H41" s="99">
        <f>G41+'19'!H41</f>
        <v>3573.4500000000116</v>
      </c>
      <c r="I41" s="95"/>
      <c r="J41" s="175">
        <f>H41/DAY(B2)</f>
        <v>178.67250000000058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'19'!F42</f>
        <v>865330</v>
      </c>
      <c r="F42" s="145">
        <v>871141</v>
      </c>
      <c r="G42" s="112">
        <f t="shared" si="3"/>
        <v>5811</v>
      </c>
      <c r="H42" s="99">
        <f>G42+'19'!H42</f>
        <v>46054</v>
      </c>
      <c r="I42" s="95"/>
      <c r="J42" s="175">
        <f>H42/DAY(B2)</f>
        <v>2302.6999999999998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'19'!F43</f>
        <v>407028</v>
      </c>
      <c r="F43" s="145">
        <v>407028</v>
      </c>
      <c r="G43" s="112">
        <f t="shared" si="3"/>
        <v>0</v>
      </c>
      <c r="H43" s="99">
        <f>G43+'19'!H43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14648</v>
      </c>
      <c r="H47" s="99">
        <f>G47+'19'!H47</f>
        <v>154954.33999999991</v>
      </c>
      <c r="I47" s="95"/>
      <c r="J47" s="175">
        <f>H47/DAY(B2)</f>
        <v>7747.7169999999951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'19'!F49</f>
        <v>769396</v>
      </c>
      <c r="F49" s="405">
        <v>770836</v>
      </c>
      <c r="G49" s="236">
        <f t="shared" ref="G49:G58" si="4">F49-E49</f>
        <v>1440</v>
      </c>
      <c r="H49" s="99">
        <f>G49+'19'!H49</f>
        <v>50549</v>
      </c>
      <c r="I49" s="95"/>
      <c r="J49" s="175">
        <f>H49/DAY(B2)</f>
        <v>2527.4499999999998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'19'!F50</f>
        <v>395842</v>
      </c>
      <c r="F50" s="405">
        <v>397147</v>
      </c>
      <c r="G50" s="112">
        <f t="shared" si="4"/>
        <v>1305</v>
      </c>
      <c r="H50" s="145">
        <v>232086</v>
      </c>
      <c r="I50" s="95"/>
      <c r="J50" s="175">
        <f>H50/DAY(B2)</f>
        <v>11604.3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'19'!F51</f>
        <v>91206</v>
      </c>
      <c r="F51" s="405">
        <v>92277</v>
      </c>
      <c r="G51" s="112">
        <f t="shared" si="4"/>
        <v>1071</v>
      </c>
      <c r="H51" s="99">
        <f>G51+'19'!H51</f>
        <v>20550</v>
      </c>
      <c r="I51" s="95"/>
      <c r="J51" s="175">
        <f>H51/DAY(B2)</f>
        <v>1027.5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'19'!F52</f>
        <v>10</v>
      </c>
      <c r="F52" s="405">
        <v>10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'19'!F53</f>
        <v>374105</v>
      </c>
      <c r="F53" s="145">
        <v>378317</v>
      </c>
      <c r="G53" s="112">
        <f t="shared" si="4"/>
        <v>4212</v>
      </c>
      <c r="H53" s="99">
        <f>G53+'19'!H53</f>
        <v>84216</v>
      </c>
      <c r="I53" s="95"/>
      <c r="J53" s="175">
        <f>H53/DAY(B2)</f>
        <v>4210.8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'19'!F54</f>
        <v>103263</v>
      </c>
      <c r="F54" s="145">
        <v>103273</v>
      </c>
      <c r="G54" s="112">
        <f t="shared" si="4"/>
        <v>10</v>
      </c>
      <c r="H54" s="99">
        <f>G54+'19'!H54</f>
        <v>1886</v>
      </c>
      <c r="I54" s="95"/>
      <c r="J54" s="175">
        <f>H54/DAY(B2)</f>
        <v>94.3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'19'!F55</f>
        <v>538458.30000000005</v>
      </c>
      <c r="F55" s="145">
        <v>538458</v>
      </c>
      <c r="G55" s="112">
        <f t="shared" si="4"/>
        <v>-0.30000000004656613</v>
      </c>
      <c r="H55" s="99">
        <f>G55+'19'!H55</f>
        <v>43975</v>
      </c>
      <c r="I55" s="95"/>
      <c r="J55" s="175">
        <f>H55/DAY(B2)</f>
        <v>2198.75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'19'!F56</f>
        <v>175396</v>
      </c>
      <c r="F56" s="145">
        <v>175396</v>
      </c>
      <c r="G56" s="112">
        <f t="shared" si="4"/>
        <v>0</v>
      </c>
      <c r="H56" s="99">
        <f>G56+'19'!H56</f>
        <v>25677</v>
      </c>
      <c r="I56" s="95"/>
      <c r="J56" s="175">
        <f>H56/DAY(B2)</f>
        <v>1283.8499999999999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'19'!F57</f>
        <v>464734</v>
      </c>
      <c r="F57" s="405">
        <v>467764</v>
      </c>
      <c r="G57" s="112">
        <f t="shared" si="4"/>
        <v>3030</v>
      </c>
      <c r="H57" s="99">
        <f>G57+'19'!H57</f>
        <v>58686</v>
      </c>
      <c r="I57" s="95"/>
      <c r="J57" s="175">
        <f>H57/DAY(B2)</f>
        <v>2934.3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'19'!F58</f>
        <v>68798</v>
      </c>
      <c r="F58" s="145">
        <v>69050</v>
      </c>
      <c r="G58" s="112">
        <f t="shared" si="4"/>
        <v>252</v>
      </c>
      <c r="H58" s="99">
        <f>G58+'19'!H58</f>
        <v>4899</v>
      </c>
      <c r="I58" s="95"/>
      <c r="J58" s="175">
        <f>H58/DAY(B2)</f>
        <v>244.95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11319.699999999953</v>
      </c>
      <c r="H59" s="99">
        <f>G59+'19'!H59</f>
        <v>321184.82</v>
      </c>
      <c r="I59" s="95">
        <f>G7-G60</f>
        <v>-179.69999999995343</v>
      </c>
      <c r="J59" s="175">
        <f>H59/DAY(B2)</f>
        <v>16059.241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25967.699999999953</v>
      </c>
      <c r="H60" s="99">
        <f>G60+'19'!H60</f>
        <v>476139.15999999986</v>
      </c>
      <c r="I60" s="95">
        <f>G13-G60</f>
        <v>-874.69999999995343</v>
      </c>
      <c r="J60" s="175">
        <f>H60/DAY(B2)</f>
        <v>23806.957999999991</v>
      </c>
      <c r="K60" s="79"/>
      <c r="L60" s="66"/>
      <c r="N60" s="87"/>
      <c r="O60" s="71"/>
    </row>
    <row r="61" spans="1:15" s="68" customFormat="1" ht="26.25">
      <c r="A61" s="1278" t="s">
        <v>332</v>
      </c>
      <c r="B61" s="1279"/>
      <c r="C61" s="12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81" t="s">
        <v>198</v>
      </c>
      <c r="B62" s="1282"/>
      <c r="C62" s="1283"/>
      <c r="D62" s="151" t="s">
        <v>142</v>
      </c>
      <c r="E62" s="95">
        <f>'19'!F62</f>
        <v>303952</v>
      </c>
      <c r="F62" s="122">
        <v>304052</v>
      </c>
      <c r="G62" s="112">
        <f t="shared" ref="G62:G63" si="5">F62-E62</f>
        <v>100</v>
      </c>
      <c r="H62" s="99">
        <f>G62+'19'!H62</f>
        <v>1987</v>
      </c>
      <c r="I62" s="118"/>
      <c r="J62" s="175">
        <f>H62/DAY(B2)</f>
        <v>99.35</v>
      </c>
      <c r="K62" s="80"/>
      <c r="L62" s="66"/>
      <c r="N62" s="87"/>
      <c r="O62" s="71"/>
    </row>
    <row r="63" spans="1:15" ht="25.5">
      <c r="A63" s="1281" t="s">
        <v>199</v>
      </c>
      <c r="B63" s="1282"/>
      <c r="C63" s="1283"/>
      <c r="D63" s="151" t="s">
        <v>142</v>
      </c>
      <c r="E63" s="95">
        <f>'19'!F63</f>
        <v>245139</v>
      </c>
      <c r="F63" s="122">
        <v>245139</v>
      </c>
      <c r="G63" s="112">
        <f t="shared" si="5"/>
        <v>0</v>
      </c>
      <c r="H63" s="99">
        <f>G63+'19'!H63</f>
        <v>127</v>
      </c>
      <c r="I63" s="118"/>
      <c r="J63" s="175">
        <f>H63/DAY(B2)</f>
        <v>6.35</v>
      </c>
      <c r="K63" s="69"/>
      <c r="L63" s="66"/>
      <c r="N63" s="87"/>
      <c r="O63" s="71"/>
    </row>
    <row r="64" spans="1:15" ht="26.25">
      <c r="A64" s="1284" t="s">
        <v>200</v>
      </c>
      <c r="B64" s="1285"/>
      <c r="C64" s="1286"/>
      <c r="D64" s="151"/>
      <c r="E64" s="95">
        <f>'19'!F64</f>
        <v>0</v>
      </c>
      <c r="F64" s="122"/>
      <c r="G64" s="112">
        <f>G62+G63</f>
        <v>100</v>
      </c>
      <c r="H64" s="99">
        <f>G64+'19'!H64</f>
        <v>2093</v>
      </c>
      <c r="I64" s="118"/>
      <c r="J64" s="175">
        <f>H64/DAY(B2)</f>
        <v>104.65</v>
      </c>
      <c r="K64" s="69"/>
      <c r="L64" s="66"/>
      <c r="N64" s="87"/>
      <c r="O64" s="71"/>
    </row>
    <row r="65" spans="1:15" ht="25.5">
      <c r="A65" s="1281" t="s">
        <v>201</v>
      </c>
      <c r="B65" s="1282"/>
      <c r="C65" s="1283"/>
      <c r="D65" s="151" t="s">
        <v>142</v>
      </c>
      <c r="E65" s="95">
        <f>'19'!F65</f>
        <v>462857</v>
      </c>
      <c r="F65" s="122">
        <v>462972</v>
      </c>
      <c r="G65" s="112">
        <f t="shared" ref="G65:G70" si="6">F65-E65</f>
        <v>115</v>
      </c>
      <c r="H65" s="99">
        <f>G65+'19'!H65</f>
        <v>2148</v>
      </c>
      <c r="I65" s="118"/>
      <c r="J65" s="175">
        <f>H65/DAY(B2)</f>
        <v>107.4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'19'!F66</f>
        <v>112812</v>
      </c>
      <c r="F66" s="122">
        <v>112820</v>
      </c>
      <c r="G66" s="112">
        <f t="shared" si="6"/>
        <v>8</v>
      </c>
      <c r="H66" s="99">
        <f>G66+'19'!H66</f>
        <v>215</v>
      </c>
      <c r="I66" s="118"/>
      <c r="J66" s="175">
        <f>H66/DAY(B2)</f>
        <v>10.75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'19'!F67</f>
        <v>115111</v>
      </c>
      <c r="F67" s="122">
        <v>115129</v>
      </c>
      <c r="G67" s="112">
        <f t="shared" si="6"/>
        <v>18</v>
      </c>
      <c r="H67" s="99">
        <f>G67+'19'!H67</f>
        <v>421</v>
      </c>
      <c r="I67" s="118"/>
      <c r="J67" s="175">
        <f>H67/DAY(B2)</f>
        <v>21.05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'19'!F68</f>
        <v>167202</v>
      </c>
      <c r="F68" s="164">
        <v>167227</v>
      </c>
      <c r="G68" s="112">
        <f t="shared" si="6"/>
        <v>25</v>
      </c>
      <c r="H68" s="99">
        <f>G68+'19'!H68</f>
        <v>646</v>
      </c>
      <c r="I68" s="118"/>
      <c r="J68" s="175">
        <f>H68/DAY(B2)</f>
        <v>32.299999999999997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'19'!F69</f>
        <v>12648</v>
      </c>
      <c r="F69" s="164">
        <v>12655</v>
      </c>
      <c r="G69" s="112">
        <f t="shared" si="6"/>
        <v>7</v>
      </c>
      <c r="H69" s="99">
        <f>G69+'19'!H69</f>
        <v>91</v>
      </c>
      <c r="I69" s="118"/>
      <c r="J69" s="175">
        <f>H69/DAY(B2)</f>
        <v>4.55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'19'!F70</f>
        <v>10519</v>
      </c>
      <c r="F70" s="164">
        <v>10532</v>
      </c>
      <c r="G70" s="112">
        <f t="shared" si="6"/>
        <v>13</v>
      </c>
      <c r="H70" s="99">
        <f>G70+'19'!H70</f>
        <v>199</v>
      </c>
      <c r="I70" s="118"/>
      <c r="J70" s="175">
        <f>H70/DAY(B2)</f>
        <v>9.9499999999999993</v>
      </c>
      <c r="K70" s="69"/>
      <c r="L70" s="66"/>
      <c r="N70" s="87"/>
      <c r="O70" s="71"/>
    </row>
    <row r="71" spans="1:15" ht="26.25">
      <c r="A71" s="1284" t="s">
        <v>208</v>
      </c>
      <c r="B71" s="1285"/>
      <c r="C71" s="1286"/>
      <c r="D71" s="152"/>
      <c r="E71" s="152"/>
      <c r="F71" s="233"/>
      <c r="G71" s="153">
        <f>SUM(G65:G70)</f>
        <v>186</v>
      </c>
      <c r="H71" s="99">
        <f>G71+'19'!H71</f>
        <v>3720</v>
      </c>
      <c r="I71" s="154"/>
      <c r="J71" s="175">
        <f>H71/DAY(B2)</f>
        <v>186</v>
      </c>
      <c r="K71" s="69"/>
      <c r="L71" s="66"/>
      <c r="N71" s="87"/>
      <c r="O71" s="71"/>
    </row>
    <row r="72" spans="1:15" s="88" customFormat="1" ht="25.5">
      <c r="A72" s="1287"/>
      <c r="B72" s="1268"/>
      <c r="C72" s="347"/>
      <c r="D72" s="180"/>
      <c r="E72" s="180" t="s">
        <v>207</v>
      </c>
      <c r="F72" s="630"/>
      <c r="G72" s="180"/>
      <c r="H72" s="181"/>
      <c r="I72" s="180"/>
      <c r="J72" s="182"/>
      <c r="N72" s="87"/>
      <c r="O72" s="71"/>
    </row>
    <row r="73" spans="1:15" ht="26.25">
      <c r="A73" s="1295" t="s">
        <v>333</v>
      </c>
      <c r="B73" s="1296"/>
      <c r="C73" s="1297"/>
      <c r="D73" s="339"/>
      <c r="E73" s="339"/>
      <c r="F73" s="233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81" t="s">
        <v>220</v>
      </c>
      <c r="B74" s="1282"/>
      <c r="C74" s="1283"/>
      <c r="D74" s="151" t="s">
        <v>139</v>
      </c>
      <c r="E74" s="95">
        <f>'19'!F74</f>
        <v>981407</v>
      </c>
      <c r="F74" s="393">
        <v>981694</v>
      </c>
      <c r="G74" s="112">
        <f t="shared" ref="G74:G78" si="7">F74-E74</f>
        <v>287</v>
      </c>
      <c r="H74" s="99">
        <f>G74+'19'!H74</f>
        <v>5883</v>
      </c>
      <c r="I74" s="154"/>
      <c r="J74" s="175">
        <f>H74/DAY(B2)</f>
        <v>294.14999999999998</v>
      </c>
      <c r="K74" s="69"/>
      <c r="L74" s="66"/>
      <c r="N74" s="87"/>
      <c r="O74" s="71"/>
    </row>
    <row r="75" spans="1:15" ht="25.5">
      <c r="A75" s="1281" t="s">
        <v>221</v>
      </c>
      <c r="B75" s="1282"/>
      <c r="C75" s="1283"/>
      <c r="D75" s="151" t="s">
        <v>139</v>
      </c>
      <c r="E75" s="95">
        <f>'19'!F75</f>
        <v>73586</v>
      </c>
      <c r="F75" s="393">
        <v>73586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288" t="s">
        <v>222</v>
      </c>
      <c r="B76" s="1289"/>
      <c r="C76" s="1290"/>
      <c r="D76" s="151" t="s">
        <v>139</v>
      </c>
      <c r="E76" s="95">
        <f>'19'!F76</f>
        <v>198900</v>
      </c>
      <c r="F76" s="393">
        <v>199021</v>
      </c>
      <c r="G76" s="112">
        <f t="shared" si="7"/>
        <v>121</v>
      </c>
      <c r="H76" s="99">
        <f>G76+'19'!H76</f>
        <v>2285</v>
      </c>
      <c r="I76" s="154"/>
      <c r="J76" s="175">
        <f>H76/DAY(B2)</f>
        <v>114.25</v>
      </c>
      <c r="K76" s="69"/>
      <c r="L76" s="66"/>
      <c r="N76" s="87"/>
      <c r="O76" s="71"/>
    </row>
    <row r="77" spans="1:15" ht="25.5">
      <c r="A77" s="1288" t="s">
        <v>223</v>
      </c>
      <c r="B77" s="1289"/>
      <c r="C77" s="1290"/>
      <c r="D77" s="151" t="s">
        <v>139</v>
      </c>
      <c r="E77" s="95">
        <f>'19'!F77</f>
        <v>54305</v>
      </c>
      <c r="F77" s="123">
        <v>54356</v>
      </c>
      <c r="G77" s="112">
        <f t="shared" si="7"/>
        <v>51</v>
      </c>
      <c r="H77" s="99">
        <f>G77+'19'!H77</f>
        <v>1004</v>
      </c>
      <c r="I77" s="154"/>
      <c r="J77" s="175">
        <f>H77/DAY(B2)</f>
        <v>50.2</v>
      </c>
      <c r="K77" s="69"/>
      <c r="L77" s="66"/>
      <c r="N77" s="87"/>
      <c r="O77" s="71"/>
    </row>
    <row r="78" spans="1:15" ht="25.5">
      <c r="A78" s="1288" t="s">
        <v>224</v>
      </c>
      <c r="B78" s="1289"/>
      <c r="C78" s="1290"/>
      <c r="D78" s="151" t="s">
        <v>139</v>
      </c>
      <c r="E78" s="95">
        <f>'19'!F78</f>
        <v>9563</v>
      </c>
      <c r="F78" s="123">
        <v>9563</v>
      </c>
      <c r="G78" s="112">
        <f t="shared" si="7"/>
        <v>0</v>
      </c>
      <c r="H78" s="99">
        <f>G78+'19'!H78</f>
        <v>-1.3999999999996362</v>
      </c>
      <c r="I78" s="118"/>
      <c r="J78" s="175">
        <f>H78/DAY(B2)</f>
        <v>-6.9999999999981813E-2</v>
      </c>
      <c r="K78" s="69"/>
      <c r="L78" s="66"/>
      <c r="N78" s="87"/>
      <c r="O78" s="71"/>
    </row>
    <row r="79" spans="1:15" s="57" customFormat="1" ht="25.5">
      <c r="A79" s="1288" t="s">
        <v>225</v>
      </c>
      <c r="B79" s="1289"/>
      <c r="C79" s="1290"/>
      <c r="D79" s="151"/>
      <c r="E79" s="95">
        <f>'19'!F79</f>
        <v>0</v>
      </c>
      <c r="F79" s="117"/>
      <c r="G79" s="112">
        <f>G15-SUM(G74:G78)</f>
        <v>652</v>
      </c>
      <c r="H79" s="99">
        <f>G79+'19'!H79</f>
        <v>11564.179999999955</v>
      </c>
      <c r="I79" s="118"/>
      <c r="J79" s="175"/>
      <c r="K79" s="59"/>
      <c r="L79" s="58"/>
      <c r="N79" s="87"/>
      <c r="O79" s="71"/>
    </row>
    <row r="80" spans="1:15" s="57" customFormat="1" ht="26.25">
      <c r="A80" s="1355" t="s">
        <v>329</v>
      </c>
      <c r="B80" s="1356"/>
      <c r="C80" s="1357"/>
      <c r="D80" s="151"/>
      <c r="E80" s="117"/>
      <c r="F80" s="117"/>
      <c r="G80" s="112">
        <f>SUM(G74:G79)</f>
        <v>1111</v>
      </c>
      <c r="H80" s="99"/>
      <c r="I80" s="118"/>
      <c r="J80" s="175"/>
      <c r="K80" s="59"/>
      <c r="L80" s="58"/>
      <c r="N80" s="87"/>
      <c r="O80" s="71"/>
    </row>
    <row r="81" spans="1:15" ht="25.5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'19'!F84</f>
        <v>43366.18</v>
      </c>
      <c r="F84" s="164">
        <v>43378</v>
      </c>
      <c r="G84" s="112">
        <f t="shared" si="8"/>
        <v>11.819999999999709</v>
      </c>
      <c r="H84" s="99">
        <f>G84+'19'!H84</f>
        <v>11.19999999999709</v>
      </c>
      <c r="I84" s="538"/>
      <c r="J84" s="175">
        <f>H84/DAY(B2)</f>
        <v>0.5599999999998545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'19'!F85</f>
        <v>5655</v>
      </c>
      <c r="F85" s="164">
        <v>5679.45</v>
      </c>
      <c r="G85" s="112">
        <f t="shared" si="8"/>
        <v>24.449999999999818</v>
      </c>
      <c r="H85" s="99">
        <f>G85+'19'!H85</f>
        <v>203.44999999999982</v>
      </c>
      <c r="I85" s="538"/>
      <c r="J85" s="175">
        <f>H85/DAY(B2)</f>
        <v>10.172499999999991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'19'!F86</f>
        <v>46579</v>
      </c>
      <c r="F86" s="164">
        <v>46579</v>
      </c>
      <c r="G86" s="112">
        <f t="shared" si="8"/>
        <v>0</v>
      </c>
      <c r="H86" s="99">
        <f>G86+'19'!H86</f>
        <v>307.58000000000175</v>
      </c>
      <c r="I86" s="538"/>
      <c r="J86" s="175">
        <f>H86/DAY(B2)</f>
        <v>15.379000000000087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'19'!F87</f>
        <v>35843</v>
      </c>
      <c r="F87" s="164">
        <v>35843</v>
      </c>
      <c r="G87" s="112">
        <f t="shared" si="8"/>
        <v>0</v>
      </c>
      <c r="H87" s="99">
        <f>G87+'19'!H87</f>
        <v>187</v>
      </c>
      <c r="I87" s="538">
        <f>G84+G85+G86+G87</f>
        <v>36.269999999999527</v>
      </c>
      <c r="J87" s="175">
        <f>H87/DAY(B2)</f>
        <v>9.35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'19'!F88</f>
        <v>24455.87</v>
      </c>
      <c r="F88" s="164">
        <v>24463.82</v>
      </c>
      <c r="G88" s="112">
        <f t="shared" si="8"/>
        <v>7.9500000000007276</v>
      </c>
      <c r="H88" s="99">
        <f>G88+'19'!H88</f>
        <v>39.860000000000582</v>
      </c>
      <c r="I88" s="538"/>
      <c r="J88" s="175">
        <f>H88/DAY(B2)</f>
        <v>1.9930000000000292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'19'!F89</f>
        <v>28145</v>
      </c>
      <c r="F89" s="164">
        <v>28154.880000000001</v>
      </c>
      <c r="G89" s="112">
        <f t="shared" si="8"/>
        <v>9.8800000000010186</v>
      </c>
      <c r="H89" s="99">
        <f>G89+'19'!H89</f>
        <v>166.88000000000102</v>
      </c>
      <c r="I89" s="538">
        <f>G88+G89</f>
        <v>17.830000000001746</v>
      </c>
      <c r="J89" s="175">
        <f>H89/DAY(B2)</f>
        <v>8.3440000000000509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'19'!F90</f>
        <v>73431.77</v>
      </c>
      <c r="F90" s="164">
        <v>73431.77</v>
      </c>
      <c r="G90" s="112">
        <f t="shared" si="8"/>
        <v>0</v>
      </c>
      <c r="H90" s="99">
        <f>G90+'19'!H90</f>
        <v>188.02999999999884</v>
      </c>
      <c r="I90" s="538">
        <f>G90</f>
        <v>0</v>
      </c>
      <c r="J90" s="175">
        <f>H90/DAY(B2)</f>
        <v>9.4014999999999418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'19'!F91</f>
        <v>4893.63</v>
      </c>
      <c r="F91" s="164">
        <v>4904.6499999999996</v>
      </c>
      <c r="G91" s="112">
        <f t="shared" si="8"/>
        <v>11.019999999999527</v>
      </c>
      <c r="H91" s="99">
        <f>G91+'19'!H91</f>
        <v>226.21999999999935</v>
      </c>
      <c r="I91" s="557"/>
      <c r="J91" s="175">
        <f>H91/DAY(B2)</f>
        <v>11.310999999999968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'19'!F92</f>
        <v>7000.23</v>
      </c>
      <c r="F92" s="122">
        <v>7000.23</v>
      </c>
      <c r="G92" s="112">
        <f t="shared" si="8"/>
        <v>0</v>
      </c>
      <c r="H92" s="99">
        <f>G92+'19'!H92</f>
        <v>0.22999999999956344</v>
      </c>
      <c r="I92" s="561">
        <f>G91+G92</f>
        <v>11.019999999999527</v>
      </c>
      <c r="J92" s="175">
        <f>H92/DAY(B2)</f>
        <v>1.1499999999978172E-2</v>
      </c>
      <c r="O92" s="71"/>
    </row>
    <row r="93" spans="1:15" ht="26.25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6500</v>
      </c>
      <c r="H94" s="99">
        <f>G94+'19'!H94</f>
        <v>132301.15000000002</v>
      </c>
      <c r="I94" s="118"/>
      <c r="J94" s="175">
        <f>H94/DAY(B2)</f>
        <v>6615.0575000000008</v>
      </c>
      <c r="K94" s="69"/>
      <c r="L94" s="66"/>
      <c r="O94" s="71"/>
    </row>
    <row r="95" spans="1:15" ht="25.5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0.2520552194819296</v>
      </c>
      <c r="H95" s="99">
        <f>G95+'19'!H95</f>
        <v>5.2868665819098259</v>
      </c>
      <c r="I95" s="167"/>
      <c r="J95" s="175">
        <f>H95/DAY(B2)</f>
        <v>0.2643433290954913</v>
      </c>
      <c r="K95" s="69"/>
      <c r="L95" s="66"/>
      <c r="O95" s="71"/>
    </row>
    <row r="96" spans="1:15" ht="25.5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8383.6999999999534</v>
      </c>
      <c r="H96" s="99">
        <f>G96+'19'!H96</f>
        <v>119279.45000000001</v>
      </c>
      <c r="I96" s="118"/>
      <c r="J96" s="175">
        <f>H96/DAY(B2)</f>
        <v>5963.9725000000008</v>
      </c>
      <c r="K96" s="69"/>
      <c r="L96" s="66"/>
      <c r="O96" s="71"/>
    </row>
    <row r="97" spans="1:15" ht="25.5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0.32510082208779095</v>
      </c>
      <c r="H97" s="99">
        <f>G97+'19'!H97</f>
        <v>4.7713701686026742</v>
      </c>
      <c r="I97" s="167"/>
      <c r="J97" s="175">
        <f>H97/DAY(B2)</f>
        <v>0.23856850843013372</v>
      </c>
      <c r="K97" s="69"/>
      <c r="L97" s="66"/>
      <c r="O97" s="71"/>
    </row>
    <row r="98" spans="1:15" ht="25.5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4212</v>
      </c>
      <c r="H98" s="99">
        <f>G98+'19'!H98</f>
        <v>84114.959999999963</v>
      </c>
      <c r="I98" s="168"/>
      <c r="J98" s="175">
        <f>H98/DAY(B2)</f>
        <v>4205.7479999999978</v>
      </c>
      <c r="K98" s="69"/>
      <c r="L98" s="66"/>
      <c r="O98" s="71"/>
    </row>
    <row r="99" spans="1:15" ht="25.5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0.16333178222429037</v>
      </c>
      <c r="H99" s="99">
        <f>G99+'19'!H99</f>
        <v>3.362549680812092</v>
      </c>
      <c r="I99" s="168"/>
      <c r="J99" s="175">
        <f>H99/DAY(B2)</f>
        <v>0.1681274840406046</v>
      </c>
      <c r="O99" s="71"/>
    </row>
    <row r="100" spans="1:15" ht="26.25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2240</v>
      </c>
      <c r="H100" s="99">
        <f>G100+'19'!H100</f>
        <v>45530.389999999898</v>
      </c>
      <c r="I100" s="118"/>
      <c r="J100" s="175">
        <f>H100/DAY(B2)</f>
        <v>2276.5194999999949</v>
      </c>
      <c r="K100" s="70"/>
      <c r="O100" s="71"/>
    </row>
    <row r="101" spans="1:15" ht="25.5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8.6862106406080344E-2</v>
      </c>
      <c r="H101" s="99">
        <f>G101+'19'!H101</f>
        <v>1.8197094444982411</v>
      </c>
      <c r="I101" s="168"/>
      <c r="J101" s="175">
        <f>H101/DAY(B2)</f>
        <v>9.0985472224912059E-2</v>
      </c>
      <c r="O101" s="71"/>
    </row>
    <row r="102" spans="1:15" ht="25.5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2360</v>
      </c>
      <c r="H102" s="99">
        <f>G102+'19'!H102</f>
        <v>48656</v>
      </c>
      <c r="I102" s="168"/>
      <c r="J102" s="175">
        <f>H102/DAY(B2)</f>
        <v>2432.8000000000002</v>
      </c>
      <c r="O102" s="71"/>
    </row>
    <row r="103" spans="1:15" ht="25.5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9.1515433534977514E-2</v>
      </c>
      <c r="H103" s="99">
        <f>G103+'19'!H103</f>
        <v>1.9488769200192779</v>
      </c>
      <c r="I103" s="118"/>
      <c r="J103" s="175">
        <f>H103/DAY(B2)</f>
        <v>9.7443846000963896E-2</v>
      </c>
      <c r="O103" s="71"/>
    </row>
    <row r="104" spans="1:15" ht="25.5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1071</v>
      </c>
      <c r="H104" s="99">
        <f>G104+'19'!H104</f>
        <v>20550</v>
      </c>
      <c r="I104" s="118"/>
      <c r="J104" s="175">
        <f>H104/DAY(B2)</f>
        <v>1027.5</v>
      </c>
      <c r="O104" s="71"/>
    </row>
    <row r="105" spans="1:15" ht="26.25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4.1530944625407164E-2</v>
      </c>
      <c r="H105" s="99">
        <f>G105+'19'!H105</f>
        <v>0.82345453300706284</v>
      </c>
      <c r="I105" s="187"/>
      <c r="J105" s="188">
        <f>H105/DAY(B2)</f>
        <v>4.1172726650353139E-2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6.25">
      <c r="A109" s="1291"/>
      <c r="B109" s="1291"/>
    </row>
    <row r="110" spans="1:15" ht="26.25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5.5">
      <c r="A111" s="1270"/>
      <c r="B111" s="1271"/>
      <c r="C111" s="1272"/>
      <c r="D111" s="165"/>
      <c r="E111" s="165"/>
      <c r="F111" s="158"/>
      <c r="G111" s="165"/>
      <c r="H111" s="156"/>
      <c r="I111" s="165"/>
      <c r="J111" s="327"/>
    </row>
    <row r="112" spans="1:15" ht="25.5">
      <c r="A112" s="1266" t="s">
        <v>252</v>
      </c>
      <c r="B112" s="1267"/>
      <c r="C112" s="1268"/>
      <c r="D112" s="146" t="s">
        <v>183</v>
      </c>
      <c r="E112" s="95">
        <f>'19'!F112</f>
        <v>12987.78</v>
      </c>
      <c r="F112" s="400">
        <v>13051</v>
      </c>
      <c r="G112" s="112">
        <f t="shared" ref="G112:G123" si="9">F112-E112</f>
        <v>63.219999999999345</v>
      </c>
      <c r="H112" s="99">
        <f>G112+'19'!H112</f>
        <v>1388</v>
      </c>
      <c r="I112" s="165"/>
      <c r="J112" s="328">
        <f>H112/DAY(B2)</f>
        <v>69.400000000000006</v>
      </c>
    </row>
    <row r="113" spans="1:18" ht="29.25" customHeight="1">
      <c r="A113" s="1266" t="s">
        <v>253</v>
      </c>
      <c r="B113" s="1267"/>
      <c r="C113" s="1268"/>
      <c r="D113" s="146" t="s">
        <v>183</v>
      </c>
      <c r="E113" s="95">
        <f>'19'!F113</f>
        <v>26175</v>
      </c>
      <c r="F113" s="400">
        <v>26317</v>
      </c>
      <c r="G113" s="112">
        <f t="shared" si="9"/>
        <v>142</v>
      </c>
      <c r="H113" s="99">
        <f>G113+'19'!H113</f>
        <v>2796</v>
      </c>
      <c r="I113" s="165"/>
      <c r="J113" s="328">
        <f>H113/DAY(B2)</f>
        <v>139.80000000000001</v>
      </c>
    </row>
    <row r="114" spans="1:18" ht="29.25" customHeight="1">
      <c r="A114" s="1266" t="s">
        <v>254</v>
      </c>
      <c r="B114" s="1267"/>
      <c r="C114" s="1268"/>
      <c r="D114" s="146" t="s">
        <v>183</v>
      </c>
      <c r="E114" s="95">
        <f>'19'!F114</f>
        <v>39033</v>
      </c>
      <c r="F114" s="237">
        <v>39248</v>
      </c>
      <c r="G114" s="112">
        <f t="shared" si="9"/>
        <v>215</v>
      </c>
      <c r="H114" s="99">
        <f>G114+'19'!H114</f>
        <v>4473</v>
      </c>
      <c r="I114" s="165"/>
      <c r="J114" s="328">
        <f>H114/DAY(B2)</f>
        <v>223.65</v>
      </c>
    </row>
    <row r="115" spans="1:18" ht="29.25" customHeight="1">
      <c r="A115" s="1266" t="s">
        <v>255</v>
      </c>
      <c r="B115" s="1267"/>
      <c r="C115" s="1268"/>
      <c r="D115" s="146" t="s">
        <v>183</v>
      </c>
      <c r="E115" s="95">
        <f>'19'!F115</f>
        <v>24627</v>
      </c>
      <c r="F115" s="237">
        <v>24762</v>
      </c>
      <c r="G115" s="112">
        <f t="shared" si="9"/>
        <v>135</v>
      </c>
      <c r="H115" s="99">
        <f>G115+'19'!H115</f>
        <v>2709</v>
      </c>
      <c r="I115" s="165"/>
      <c r="J115" s="328">
        <f>H115/DAY(B2)</f>
        <v>135.44999999999999</v>
      </c>
    </row>
    <row r="116" spans="1:18" ht="29.25" customHeight="1">
      <c r="A116" s="1275" t="s">
        <v>96</v>
      </c>
      <c r="B116" s="1276"/>
      <c r="C116" s="1277"/>
      <c r="D116" s="146" t="s">
        <v>183</v>
      </c>
      <c r="E116" s="95">
        <f>'19'!F116</f>
        <v>104925</v>
      </c>
      <c r="F116" s="237">
        <v>105432</v>
      </c>
      <c r="G116" s="631">
        <f t="shared" si="9"/>
        <v>507</v>
      </c>
      <c r="H116" s="99">
        <f>G116+'19'!H116</f>
        <v>8297</v>
      </c>
      <c r="I116" s="165"/>
      <c r="J116" s="328">
        <f>H116/DAY(B2)</f>
        <v>414.85</v>
      </c>
      <c r="Q116" s="1266"/>
      <c r="R116" s="1268"/>
    </row>
    <row r="117" spans="1:18" ht="29.25" customHeight="1">
      <c r="A117" s="1275" t="s">
        <v>184</v>
      </c>
      <c r="B117" s="1276"/>
      <c r="C117" s="1277"/>
      <c r="D117" s="146" t="s">
        <v>183</v>
      </c>
      <c r="E117" s="95">
        <f>'19'!F117</f>
        <v>62619</v>
      </c>
      <c r="F117" s="237">
        <v>62872</v>
      </c>
      <c r="G117" s="112">
        <f t="shared" si="9"/>
        <v>253</v>
      </c>
      <c r="H117" s="99">
        <f>G117+'19'!H117</f>
        <v>6367</v>
      </c>
      <c r="I117" s="165"/>
      <c r="J117" s="328">
        <f>H117/DAY(B2)</f>
        <v>318.35000000000002</v>
      </c>
      <c r="Q117" s="1266"/>
      <c r="R117" s="1268"/>
    </row>
    <row r="118" spans="1:18" ht="25.5">
      <c r="A118" s="1269" t="s">
        <v>97</v>
      </c>
      <c r="B118" s="1269"/>
      <c r="C118" s="1269"/>
      <c r="D118" s="151" t="s">
        <v>183</v>
      </c>
      <c r="E118" s="95">
        <f>'19'!F118</f>
        <v>113154</v>
      </c>
      <c r="F118" s="237">
        <v>113764</v>
      </c>
      <c r="G118" s="112">
        <f t="shared" si="9"/>
        <v>610</v>
      </c>
      <c r="H118" s="99">
        <f>G118+'19'!H118</f>
        <v>12010</v>
      </c>
      <c r="I118" s="165"/>
      <c r="J118" s="328">
        <f>H118/DAY(B2)</f>
        <v>600.5</v>
      </c>
      <c r="Q118" s="1266"/>
      <c r="R118" s="1268"/>
    </row>
    <row r="119" spans="1:18" ht="25.5">
      <c r="A119" s="1269" t="s">
        <v>98</v>
      </c>
      <c r="B119" s="1269"/>
      <c r="C119" s="1269"/>
      <c r="D119" s="151" t="s">
        <v>183</v>
      </c>
      <c r="E119" s="95">
        <f>'19'!F119</f>
        <v>42814</v>
      </c>
      <c r="F119" s="237">
        <v>42827</v>
      </c>
      <c r="G119" s="112">
        <f t="shared" si="9"/>
        <v>13</v>
      </c>
      <c r="H119" s="99">
        <f>G119+'19'!H119</f>
        <v>246</v>
      </c>
      <c r="I119" s="165"/>
      <c r="J119" s="328">
        <f>H119/DAY(B2)</f>
        <v>12.3</v>
      </c>
    </row>
    <row r="120" spans="1:18" ht="25.5">
      <c r="A120" s="1269" t="s">
        <v>99</v>
      </c>
      <c r="B120" s="1269"/>
      <c r="C120" s="1269"/>
      <c r="D120" s="151" t="s">
        <v>183</v>
      </c>
      <c r="E120" s="95">
        <f>'19'!F120</f>
        <v>78988</v>
      </c>
      <c r="F120" s="237">
        <v>79371</v>
      </c>
      <c r="G120" s="112">
        <f t="shared" si="9"/>
        <v>383</v>
      </c>
      <c r="H120" s="99">
        <f>G120+'19'!H120</f>
        <v>8039</v>
      </c>
      <c r="I120" s="165"/>
      <c r="J120" s="328">
        <f>H120/DAY(B2)</f>
        <v>401.95</v>
      </c>
    </row>
    <row r="121" spans="1:18" ht="25.5">
      <c r="A121" s="1269" t="s">
        <v>100</v>
      </c>
      <c r="B121" s="1269"/>
      <c r="C121" s="1269"/>
      <c r="D121" s="151" t="s">
        <v>183</v>
      </c>
      <c r="E121" s="95">
        <f>'19'!F121</f>
        <v>89820</v>
      </c>
      <c r="F121" s="237">
        <v>90256</v>
      </c>
      <c r="G121" s="112">
        <f t="shared" si="9"/>
        <v>436</v>
      </c>
      <c r="H121" s="99">
        <f>G121+'19'!H121</f>
        <v>8900</v>
      </c>
      <c r="I121" s="165"/>
      <c r="J121" s="328">
        <f>H121/DAY(B2)</f>
        <v>445</v>
      </c>
    </row>
    <row r="122" spans="1:18" ht="25.5">
      <c r="A122" s="1269" t="s">
        <v>101</v>
      </c>
      <c r="B122" s="1269"/>
      <c r="C122" s="1269"/>
      <c r="D122" s="151" t="s">
        <v>183</v>
      </c>
      <c r="E122" s="95">
        <f>'19'!F122</f>
        <v>56390</v>
      </c>
      <c r="F122" s="237">
        <v>56761</v>
      </c>
      <c r="G122" s="112">
        <f t="shared" si="9"/>
        <v>371</v>
      </c>
      <c r="H122" s="99">
        <f>G122+'19'!H122</f>
        <v>7630</v>
      </c>
      <c r="I122" s="165"/>
      <c r="J122" s="328">
        <f>H122/DAY(B2)</f>
        <v>381.5</v>
      </c>
    </row>
    <row r="123" spans="1:18" ht="25.5">
      <c r="A123" s="1269" t="s">
        <v>102</v>
      </c>
      <c r="B123" s="1269"/>
      <c r="C123" s="1269"/>
      <c r="D123" s="151" t="s">
        <v>183</v>
      </c>
      <c r="E123" s="95">
        <f>'19'!F123</f>
        <v>55545</v>
      </c>
      <c r="F123" s="237">
        <v>55844</v>
      </c>
      <c r="G123" s="112">
        <f t="shared" si="9"/>
        <v>299</v>
      </c>
      <c r="H123" s="99">
        <f>G123+'19'!H123</f>
        <v>6095</v>
      </c>
      <c r="I123" s="165"/>
      <c r="J123" s="328">
        <f>H123/DAY(B2)</f>
        <v>304.75</v>
      </c>
    </row>
    <row r="124" spans="1:18" ht="29.25" customHeight="1">
      <c r="A124" s="1270"/>
      <c r="B124" s="1271"/>
      <c r="C124" s="1272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5.5">
      <c r="A125" s="1354" t="s">
        <v>108</v>
      </c>
      <c r="B125" s="1354"/>
      <c r="C125" s="245"/>
      <c r="D125" s="307"/>
      <c r="E125" s="308"/>
      <c r="F125" s="308"/>
      <c r="G125" s="309">
        <f>SUM(G112:G124)</f>
        <v>3427.2199999999993</v>
      </c>
      <c r="H125" s="156"/>
      <c r="I125" s="327">
        <f>G125-(G39+G53)</f>
        <v>-784.78000000000065</v>
      </c>
      <c r="J125" s="327"/>
    </row>
    <row r="126" spans="1:18" ht="25.5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5.5">
      <c r="A127" s="1274"/>
      <c r="B127" s="1274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1266" t="s">
        <v>318</v>
      </c>
      <c r="B128" s="1267"/>
      <c r="C128" s="1268"/>
      <c r="D128" s="151" t="s">
        <v>183</v>
      </c>
      <c r="E128" s="95">
        <f>'19'!F128</f>
        <v>162693</v>
      </c>
      <c r="F128" s="165">
        <v>163121</v>
      </c>
      <c r="G128" s="112">
        <f t="shared" ref="G128:G134" si="10">F128-E128</f>
        <v>428</v>
      </c>
      <c r="H128" s="99">
        <f>G128+'19'!H128</f>
        <v>8306</v>
      </c>
      <c r="I128" s="165"/>
      <c r="J128" s="328">
        <f>H128/DAY(B2)</f>
        <v>415.3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'19'!F129</f>
        <v>87483</v>
      </c>
      <c r="F129" s="165">
        <v>87716</v>
      </c>
      <c r="G129" s="112">
        <f t="shared" si="10"/>
        <v>233</v>
      </c>
      <c r="H129" s="99">
        <f>G129+'19'!H129</f>
        <v>3780</v>
      </c>
      <c r="I129" s="165"/>
      <c r="J129" s="328">
        <f>H129/DAY(B2)</f>
        <v>189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'19'!F130</f>
        <v>218927</v>
      </c>
      <c r="F130" s="165">
        <v>219547</v>
      </c>
      <c r="G130" s="112">
        <f t="shared" si="10"/>
        <v>620</v>
      </c>
      <c r="H130" s="99">
        <f>G130+'19'!H130</f>
        <v>12788</v>
      </c>
      <c r="I130" s="165"/>
      <c r="J130" s="328">
        <f>H130/DAY(B2)</f>
        <v>639.4</v>
      </c>
      <c r="N130" s="240"/>
      <c r="O130" s="241"/>
    </row>
    <row r="131" spans="1:15" ht="25.5">
      <c r="A131" s="1266" t="s">
        <v>321</v>
      </c>
      <c r="B131" s="1267"/>
      <c r="C131" s="1268"/>
      <c r="D131" s="151" t="s">
        <v>183</v>
      </c>
      <c r="E131" s="95">
        <f>'19'!F131</f>
        <v>64005</v>
      </c>
      <c r="F131" s="165">
        <v>64212</v>
      </c>
      <c r="G131" s="112">
        <f t="shared" si="10"/>
        <v>207</v>
      </c>
      <c r="H131" s="99">
        <f>G131+'19'!H131</f>
        <v>3904</v>
      </c>
      <c r="I131" s="165"/>
      <c r="J131" s="328">
        <f>H131/DAY(B2)</f>
        <v>195.2</v>
      </c>
      <c r="N131" s="240"/>
      <c r="O131" s="241"/>
    </row>
    <row r="132" spans="1:15" ht="25.5">
      <c r="A132" s="1266" t="s">
        <v>322</v>
      </c>
      <c r="B132" s="1267"/>
      <c r="C132" s="1268"/>
      <c r="D132" s="151" t="s">
        <v>183</v>
      </c>
      <c r="E132" s="95">
        <f>'19'!F132</f>
        <v>146985</v>
      </c>
      <c r="F132" s="165">
        <v>146985</v>
      </c>
      <c r="G132" s="112">
        <f t="shared" si="10"/>
        <v>0</v>
      </c>
      <c r="H132" s="99">
        <f>G132+'19'!H132</f>
        <v>0</v>
      </c>
      <c r="I132" s="165"/>
      <c r="J132" s="328">
        <f>H132/DAY(B2)</f>
        <v>0</v>
      </c>
    </row>
    <row r="133" spans="1:15" ht="25.5">
      <c r="A133" s="1266" t="s">
        <v>357</v>
      </c>
      <c r="B133" s="1267"/>
      <c r="C133" s="1268"/>
      <c r="D133" s="151" t="s">
        <v>183</v>
      </c>
      <c r="E133" s="95">
        <f>'19'!F133</f>
        <v>282594</v>
      </c>
      <c r="F133" s="158">
        <v>283429</v>
      </c>
      <c r="G133" s="112">
        <f t="shared" si="10"/>
        <v>835</v>
      </c>
      <c r="H133" s="99">
        <f>G133+'19'!H133</f>
        <v>17484</v>
      </c>
      <c r="I133" s="165"/>
      <c r="J133" s="328">
        <f>H133/DAY(B2)</f>
        <v>874.2</v>
      </c>
    </row>
    <row r="134" spans="1:15" ht="25.5">
      <c r="A134" s="1266" t="s">
        <v>340</v>
      </c>
      <c r="B134" s="1267"/>
      <c r="C134" s="1268"/>
      <c r="D134" s="151" t="s">
        <v>183</v>
      </c>
      <c r="E134" s="95">
        <f>'19'!F134</f>
        <v>68474</v>
      </c>
      <c r="F134" s="443">
        <v>68722</v>
      </c>
      <c r="G134" s="112">
        <f t="shared" si="10"/>
        <v>248</v>
      </c>
      <c r="H134" s="99">
        <f>G134+'19'!H134</f>
        <v>5060</v>
      </c>
      <c r="I134" s="165"/>
      <c r="J134" s="328">
        <f>H134/DAY(B2)</f>
        <v>253</v>
      </c>
    </row>
    <row r="135" spans="1:15" ht="25.5">
      <c r="A135" s="1352" t="s">
        <v>108</v>
      </c>
      <c r="B135" s="1353"/>
      <c r="C135" s="1326"/>
      <c r="D135" s="151"/>
      <c r="E135" s="95"/>
      <c r="F135" s="165"/>
      <c r="G135" s="112">
        <f>SUM(G128:G134)</f>
        <v>2571</v>
      </c>
      <c r="H135" s="99"/>
      <c r="I135" s="327">
        <f>G135-(G35+G49)</f>
        <v>-899</v>
      </c>
      <c r="J135" s="328"/>
    </row>
    <row r="136" spans="1:15" ht="27.75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9" t="s">
        <v>185</v>
      </c>
      <c r="B138" s="1269"/>
      <c r="C138" s="1269"/>
      <c r="D138" s="151" t="s">
        <v>183</v>
      </c>
      <c r="E138" s="95">
        <f>'19'!F138</f>
        <v>901074</v>
      </c>
      <c r="F138" s="147">
        <v>901241</v>
      </c>
      <c r="G138" s="112">
        <f t="shared" ref="G138:G152" si="11">F138-E138</f>
        <v>167</v>
      </c>
      <c r="H138" s="99">
        <f>G138+'19'!H138</f>
        <v>3036</v>
      </c>
      <c r="I138" s="118"/>
      <c r="J138" s="328">
        <f>H138/DAY(B2)</f>
        <v>151.80000000000001</v>
      </c>
    </row>
    <row r="139" spans="1:15" ht="25.5">
      <c r="A139" s="1269" t="s">
        <v>186</v>
      </c>
      <c r="B139" s="1269"/>
      <c r="C139" s="1269"/>
      <c r="D139" s="151" t="s">
        <v>183</v>
      </c>
      <c r="E139" s="95">
        <f>'19'!F139</f>
        <v>921102</v>
      </c>
      <c r="F139" s="148">
        <v>921230</v>
      </c>
      <c r="G139" s="112">
        <f t="shared" si="11"/>
        <v>128</v>
      </c>
      <c r="H139" s="99">
        <f>G139+'19'!H139</f>
        <v>3026</v>
      </c>
      <c r="I139" s="118"/>
      <c r="J139" s="328">
        <f>H139/DAY(B2)</f>
        <v>151.30000000000001</v>
      </c>
    </row>
    <row r="140" spans="1:15" ht="25.5">
      <c r="A140" s="1269" t="s">
        <v>187</v>
      </c>
      <c r="B140" s="1269"/>
      <c r="C140" s="1269"/>
      <c r="D140" s="151" t="s">
        <v>183</v>
      </c>
      <c r="E140" s="95">
        <f>'19'!F140</f>
        <v>2563</v>
      </c>
      <c r="F140" s="149">
        <v>2575</v>
      </c>
      <c r="G140" s="112">
        <f>F140-E140</f>
        <v>12</v>
      </c>
      <c r="H140" s="99">
        <f>G140+'19'!H140</f>
        <v>232</v>
      </c>
      <c r="I140" s="118"/>
      <c r="J140" s="328">
        <f>H140/DAY(B2)</f>
        <v>11.6</v>
      </c>
    </row>
    <row r="141" spans="1:15" ht="25.5">
      <c r="A141" s="1256" t="s">
        <v>188</v>
      </c>
      <c r="B141" s="1256"/>
      <c r="C141" s="1256"/>
      <c r="D141" s="151" t="s">
        <v>183</v>
      </c>
      <c r="E141" s="95">
        <f>'19'!F141</f>
        <v>108029</v>
      </c>
      <c r="F141" s="149">
        <v>108265</v>
      </c>
      <c r="G141" s="112">
        <f t="shared" si="11"/>
        <v>236</v>
      </c>
      <c r="H141" s="99">
        <f>G141+'19'!H141</f>
        <v>4491</v>
      </c>
      <c r="I141" s="118"/>
      <c r="J141" s="328">
        <f>H141/DAY(B2)</f>
        <v>224.55</v>
      </c>
    </row>
    <row r="142" spans="1:15" ht="25.5">
      <c r="A142" s="1256" t="s">
        <v>189</v>
      </c>
      <c r="B142" s="1256"/>
      <c r="C142" s="1256"/>
      <c r="D142" s="151" t="s">
        <v>183</v>
      </c>
      <c r="E142" s="95">
        <f>'19'!F142</f>
        <v>43599</v>
      </c>
      <c r="F142" s="148">
        <v>43700</v>
      </c>
      <c r="G142" s="112">
        <f t="shared" si="11"/>
        <v>101</v>
      </c>
      <c r="H142" s="99">
        <f>G142+'19'!H142</f>
        <v>1885</v>
      </c>
      <c r="I142" s="140"/>
      <c r="J142" s="328">
        <f>H142/DAY(B2)</f>
        <v>94.25</v>
      </c>
    </row>
    <row r="143" spans="1:15" ht="25.5">
      <c r="A143" s="1269" t="s">
        <v>91</v>
      </c>
      <c r="B143" s="1269"/>
      <c r="C143" s="1269"/>
      <c r="D143" s="151" t="s">
        <v>183</v>
      </c>
      <c r="E143" s="95">
        <f>'19'!F143</f>
        <v>11204</v>
      </c>
      <c r="F143" s="149">
        <v>11239</v>
      </c>
      <c r="G143" s="112">
        <f t="shared" si="11"/>
        <v>35</v>
      </c>
      <c r="H143" s="99">
        <f>G143+'19'!H143</f>
        <v>562</v>
      </c>
      <c r="I143" s="140"/>
      <c r="J143" s="328">
        <f>H143/DAY(B2)</f>
        <v>28.1</v>
      </c>
    </row>
    <row r="144" spans="1:15" ht="25.5">
      <c r="A144" s="1256" t="s">
        <v>90</v>
      </c>
      <c r="B144" s="1256"/>
      <c r="C144" s="1256"/>
      <c r="D144" s="151" t="s">
        <v>183</v>
      </c>
      <c r="E144" s="95">
        <f>'19'!F144</f>
        <v>938111</v>
      </c>
      <c r="F144" s="148">
        <v>938348</v>
      </c>
      <c r="G144" s="112">
        <f t="shared" si="11"/>
        <v>237</v>
      </c>
      <c r="H144" s="99">
        <f>G144+'19'!H144</f>
        <v>4827</v>
      </c>
      <c r="I144" s="140"/>
      <c r="J144" s="328">
        <f>H144/DAY(B2)</f>
        <v>241.35</v>
      </c>
    </row>
    <row r="145" spans="1:10" ht="25.5">
      <c r="A145" s="1269" t="s">
        <v>190</v>
      </c>
      <c r="B145" s="1269"/>
      <c r="C145" s="1269"/>
      <c r="D145" s="152" t="s">
        <v>183</v>
      </c>
      <c r="E145" s="95">
        <f>'19'!F145</f>
        <v>17154</v>
      </c>
      <c r="F145" s="149">
        <v>17323</v>
      </c>
      <c r="G145" s="112">
        <f t="shared" si="11"/>
        <v>169</v>
      </c>
      <c r="H145" s="99">
        <f>G145+'19'!H145</f>
        <v>4183</v>
      </c>
      <c r="I145" s="140"/>
      <c r="J145" s="328">
        <f>H145/DAY(B2)</f>
        <v>209.15</v>
      </c>
    </row>
    <row r="146" spans="1:10" ht="25.5">
      <c r="A146" s="1332" t="s">
        <v>191</v>
      </c>
      <c r="B146" s="1289"/>
      <c r="C146" s="1290"/>
      <c r="D146" s="152" t="s">
        <v>183</v>
      </c>
      <c r="E146" s="95">
        <f>'19'!F146</f>
        <v>785209</v>
      </c>
      <c r="F146" s="148">
        <v>785253</v>
      </c>
      <c r="G146" s="112">
        <f t="shared" si="11"/>
        <v>44</v>
      </c>
      <c r="H146" s="99">
        <f>G146+'19'!H146</f>
        <v>914</v>
      </c>
      <c r="I146" s="140"/>
      <c r="J146" s="328">
        <f>H146/DAY(B2)</f>
        <v>45.7</v>
      </c>
    </row>
    <row r="147" spans="1:10" ht="25.5">
      <c r="A147" s="1256" t="s">
        <v>192</v>
      </c>
      <c r="B147" s="1256"/>
      <c r="C147" s="1256"/>
      <c r="D147" s="152" t="s">
        <v>183</v>
      </c>
      <c r="E147" s="95">
        <f>'19'!F147</f>
        <v>731107</v>
      </c>
      <c r="F147" s="148">
        <v>731487</v>
      </c>
      <c r="G147" s="112">
        <f t="shared" si="11"/>
        <v>380</v>
      </c>
      <c r="H147" s="99">
        <f>G147+'19'!H147</f>
        <v>7965</v>
      </c>
      <c r="I147" s="140"/>
      <c r="J147" s="328">
        <f>H147/DAY(B2)</f>
        <v>398.25</v>
      </c>
    </row>
    <row r="148" spans="1:10" ht="25.5">
      <c r="A148" s="1257" t="s">
        <v>193</v>
      </c>
      <c r="B148" s="1258"/>
      <c r="C148" s="1259"/>
      <c r="D148" s="123" t="s">
        <v>130</v>
      </c>
      <c r="E148" s="95">
        <f>'19'!F148</f>
        <v>772256</v>
      </c>
      <c r="F148" s="150">
        <v>772601</v>
      </c>
      <c r="G148" s="112">
        <f t="shared" si="11"/>
        <v>345</v>
      </c>
      <c r="H148" s="99">
        <f>G148+'19'!H148</f>
        <v>5991</v>
      </c>
      <c r="I148" s="124"/>
      <c r="J148" s="328">
        <f>H148/DAY(B2)</f>
        <v>299.55</v>
      </c>
    </row>
    <row r="149" spans="1:10" ht="25.5">
      <c r="A149" s="1257" t="s">
        <v>336</v>
      </c>
      <c r="B149" s="1258"/>
      <c r="C149" s="1259"/>
      <c r="D149" s="227" t="s">
        <v>130</v>
      </c>
      <c r="E149" s="95">
        <f>'19'!F149</f>
        <v>166368</v>
      </c>
      <c r="F149" s="146">
        <v>166762</v>
      </c>
      <c r="G149" s="112">
        <f t="shared" si="11"/>
        <v>394</v>
      </c>
      <c r="H149" s="99">
        <f>G149+'19'!H149</f>
        <v>8795</v>
      </c>
      <c r="I149" s="119"/>
      <c r="J149" s="328">
        <f>H149/DAY(B2)</f>
        <v>439.75</v>
      </c>
    </row>
    <row r="150" spans="1:10" ht="25.5">
      <c r="A150" s="1257" t="s">
        <v>337</v>
      </c>
      <c r="B150" s="1258"/>
      <c r="C150" s="1259"/>
      <c r="D150" s="117" t="s">
        <v>130</v>
      </c>
      <c r="E150" s="95">
        <f>'19'!F150</f>
        <v>68180</v>
      </c>
      <c r="F150" s="233">
        <v>68403</v>
      </c>
      <c r="G150" s="112">
        <f t="shared" si="11"/>
        <v>223</v>
      </c>
      <c r="H150" s="99">
        <f>G150+'19'!H150</f>
        <v>4425</v>
      </c>
      <c r="I150" s="119"/>
      <c r="J150" s="328">
        <f>H150/DAY(B2)</f>
        <v>221.25</v>
      </c>
    </row>
    <row r="151" spans="1:10" ht="25.5">
      <c r="A151" s="1257" t="s">
        <v>338</v>
      </c>
      <c r="B151" s="1258"/>
      <c r="C151" s="1259"/>
      <c r="D151" s="117" t="s">
        <v>130</v>
      </c>
      <c r="E151" s="95">
        <f>'19'!F151</f>
        <v>150753</v>
      </c>
      <c r="F151" s="233">
        <v>150820</v>
      </c>
      <c r="G151" s="112">
        <f t="shared" si="11"/>
        <v>67</v>
      </c>
      <c r="H151" s="99">
        <f>G151+'19'!H151</f>
        <v>1032</v>
      </c>
      <c r="I151" s="119"/>
      <c r="J151" s="328">
        <f>H151/DAY(B2)</f>
        <v>51.6</v>
      </c>
    </row>
    <row r="152" spans="1:10" ht="25.5">
      <c r="A152" s="1257" t="s">
        <v>339</v>
      </c>
      <c r="B152" s="1258"/>
      <c r="C152" s="1259"/>
      <c r="D152" s="117" t="s">
        <v>130</v>
      </c>
      <c r="E152" s="95">
        <f>'19'!F152</f>
        <v>33055</v>
      </c>
      <c r="F152" s="233">
        <v>33182</v>
      </c>
      <c r="G152" s="112">
        <f t="shared" si="11"/>
        <v>127</v>
      </c>
      <c r="H152" s="99">
        <f>G152+'19'!H152</f>
        <v>2568</v>
      </c>
      <c r="I152" s="119"/>
      <c r="J152" s="328">
        <f>H152/DAY(B2)</f>
        <v>128.4</v>
      </c>
    </row>
    <row r="153" spans="1:10" ht="25.5">
      <c r="A153" s="440" t="s">
        <v>108</v>
      </c>
      <c r="B153" s="362"/>
      <c r="C153" s="362"/>
      <c r="D153" s="117"/>
      <c r="E153" s="95"/>
      <c r="F153" s="233"/>
      <c r="G153" s="112">
        <f>SUM(G138:G152)</f>
        <v>2665</v>
      </c>
      <c r="H153" s="99"/>
      <c r="I153" s="119">
        <f>G153-(G38+G52)</f>
        <v>425</v>
      </c>
      <c r="J153" s="328"/>
    </row>
    <row r="154" spans="1:10" ht="27.75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0" ht="27.75">
      <c r="A155" s="1256" t="s">
        <v>345</v>
      </c>
      <c r="B155" s="1256"/>
      <c r="C155" s="1256"/>
      <c r="D155" s="117" t="s">
        <v>130</v>
      </c>
      <c r="E155" s="95">
        <f>'19'!F155</f>
        <v>196085</v>
      </c>
      <c r="F155" s="365">
        <v>196614</v>
      </c>
      <c r="G155" s="112">
        <f t="shared" ref="G155:G158" si="12">F155-E155</f>
        <v>529</v>
      </c>
      <c r="H155" s="99">
        <f>G155+'19'!H155</f>
        <v>10873</v>
      </c>
      <c r="I155" s="361"/>
      <c r="J155" s="328">
        <f>H155/DAY(B2)</f>
        <v>543.65</v>
      </c>
    </row>
    <row r="156" spans="1:10" ht="25.5">
      <c r="A156" s="1256" t="s">
        <v>347</v>
      </c>
      <c r="B156" s="1256"/>
      <c r="C156" s="1256"/>
      <c r="D156" s="117" t="s">
        <v>130</v>
      </c>
      <c r="E156" s="95">
        <f>'19'!F156</f>
        <v>22556</v>
      </c>
      <c r="F156" s="155">
        <v>22652</v>
      </c>
      <c r="G156" s="112">
        <f t="shared" si="12"/>
        <v>96</v>
      </c>
      <c r="H156" s="99">
        <f>G156+'19'!H156</f>
        <v>1913</v>
      </c>
      <c r="I156" s="165"/>
      <c r="J156" s="328">
        <f>H156/DAY(B2)</f>
        <v>95.65</v>
      </c>
    </row>
    <row r="157" spans="1:10" ht="25.5">
      <c r="A157" s="1257" t="s">
        <v>358</v>
      </c>
      <c r="B157" s="1258"/>
      <c r="C157" s="1259"/>
      <c r="D157" s="117" t="s">
        <v>130</v>
      </c>
      <c r="E157" s="95">
        <f>'19'!F157</f>
        <v>37558.54</v>
      </c>
      <c r="F157" s="155">
        <v>37558.54</v>
      </c>
      <c r="G157" s="112">
        <f t="shared" si="12"/>
        <v>0</v>
      </c>
      <c r="H157" s="99">
        <f>G157+'19'!H157</f>
        <v>0</v>
      </c>
      <c r="I157" s="165"/>
      <c r="J157" s="328">
        <f>H157/DAY(B2)</f>
        <v>0</v>
      </c>
    </row>
    <row r="158" spans="1:10" ht="25.5">
      <c r="A158" s="1257" t="s">
        <v>359</v>
      </c>
      <c r="B158" s="1258"/>
      <c r="C158" s="1259"/>
      <c r="D158" s="117" t="s">
        <v>130</v>
      </c>
      <c r="E158" s="95">
        <f>'19'!F158</f>
        <v>939</v>
      </c>
      <c r="F158" s="155">
        <v>965</v>
      </c>
      <c r="G158" s="112">
        <f t="shared" si="12"/>
        <v>26</v>
      </c>
      <c r="H158" s="99">
        <f>G158+'19'!H158</f>
        <v>26</v>
      </c>
      <c r="I158" s="165"/>
      <c r="J158" s="328">
        <f>H158/DAY(B2)</f>
        <v>1.3</v>
      </c>
    </row>
    <row r="159" spans="1:10" ht="25.5">
      <c r="A159" s="1263"/>
      <c r="B159" s="1264"/>
      <c r="C159" s="1265"/>
      <c r="D159" s="117"/>
      <c r="E159" s="95"/>
      <c r="F159" s="155"/>
      <c r="G159" s="112"/>
      <c r="H159" s="99"/>
      <c r="I159" s="165"/>
      <c r="J159" s="328"/>
    </row>
    <row r="160" spans="1:10" ht="27.75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26.25">
      <c r="A161" s="242" t="s">
        <v>92</v>
      </c>
      <c r="B161" s="243"/>
      <c r="C161" s="243"/>
      <c r="D161" s="244" t="s">
        <v>180</v>
      </c>
      <c r="E161" s="95">
        <f>'19'!F161</f>
        <v>493920</v>
      </c>
      <c r="F161" s="235">
        <v>494266</v>
      </c>
      <c r="G161" s="238">
        <f t="shared" ref="G161:G166" si="13">F161-E161</f>
        <v>346</v>
      </c>
      <c r="H161" s="99">
        <f>G161+'19'!H161</f>
        <v>988.96000000002095</v>
      </c>
      <c r="I161" s="236"/>
      <c r="J161" s="239">
        <f>H161/DAY(B2)</f>
        <v>49.448000000001045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'19'!F162</f>
        <v>98009</v>
      </c>
      <c r="F162" s="235">
        <v>98056</v>
      </c>
      <c r="G162" s="238">
        <f t="shared" si="13"/>
        <v>47</v>
      </c>
      <c r="H162" s="99">
        <f>G162+'19'!H162</f>
        <v>768</v>
      </c>
      <c r="I162" s="236"/>
      <c r="J162" s="239">
        <f>H162/DAY(B2)</f>
        <v>38.4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'19'!F163</f>
        <v>16435</v>
      </c>
      <c r="F163" s="235">
        <v>16551</v>
      </c>
      <c r="G163" s="238">
        <f t="shared" si="13"/>
        <v>116</v>
      </c>
      <c r="H163" s="99">
        <f>G163+'19'!H163</f>
        <v>2387</v>
      </c>
      <c r="I163" s="236"/>
      <c r="J163" s="239">
        <f>H163/DAY(B2)</f>
        <v>119.35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'19'!F164</f>
        <v>6755</v>
      </c>
      <c r="F164" s="235">
        <v>6761</v>
      </c>
      <c r="G164" s="238">
        <f t="shared" si="13"/>
        <v>6</v>
      </c>
      <c r="H164" s="99">
        <f>G164+'19'!H164</f>
        <v>149</v>
      </c>
      <c r="I164" s="236"/>
      <c r="J164" s="239">
        <f>H164/DAY(B2)</f>
        <v>7.45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'19'!F165</f>
        <v>32273</v>
      </c>
      <c r="F165" s="235">
        <v>32281</v>
      </c>
      <c r="G165" s="238">
        <f t="shared" si="13"/>
        <v>8</v>
      </c>
      <c r="H165" s="99">
        <f>G165+'19'!H165</f>
        <v>140</v>
      </c>
      <c r="I165" s="236"/>
      <c r="J165" s="239">
        <f>H165/DAY(B2)</f>
        <v>7</v>
      </c>
    </row>
    <row r="166" spans="1:10" ht="26.25">
      <c r="A166" s="1274"/>
      <c r="B166" s="1274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6.25">
      <c r="A167" s="1274"/>
      <c r="B167" s="1274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6.25">
      <c r="A168" s="1274"/>
      <c r="B168" s="1274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5.5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54" t="s">
        <v>209</v>
      </c>
      <c r="B173" s="1255"/>
      <c r="C173" s="333"/>
      <c r="D173" s="228" t="s">
        <v>142</v>
      </c>
      <c r="E173" s="95">
        <f>'19'!F173</f>
        <v>8609</v>
      </c>
      <c r="F173" s="155">
        <v>8610</v>
      </c>
      <c r="G173" s="155">
        <f>F173-E173</f>
        <v>1</v>
      </c>
      <c r="H173" s="99">
        <f>G173+'19'!H173</f>
        <v>29</v>
      </c>
      <c r="I173" s="155"/>
      <c r="J173" s="178">
        <f>H173/DAY(B2)</f>
        <v>1.45</v>
      </c>
    </row>
    <row r="174" spans="1:10" ht="25.5">
      <c r="A174" s="1254" t="s">
        <v>75</v>
      </c>
      <c r="B174" s="1255"/>
      <c r="C174" s="333"/>
      <c r="D174" s="228" t="s">
        <v>142</v>
      </c>
      <c r="E174" s="95">
        <f>'19'!F174</f>
        <v>42215</v>
      </c>
      <c r="F174" s="157">
        <v>42228</v>
      </c>
      <c r="G174" s="155">
        <f t="shared" ref="G174:G175" si="14">F174-E174</f>
        <v>13</v>
      </c>
      <c r="H174" s="99">
        <f>G174+'19'!H174</f>
        <v>266</v>
      </c>
      <c r="I174" s="155"/>
      <c r="J174" s="178">
        <f>H174/DAY(B2)</f>
        <v>13.3</v>
      </c>
    </row>
    <row r="175" spans="1:10" ht="25.5">
      <c r="A175" s="1254" t="s">
        <v>76</v>
      </c>
      <c r="B175" s="1324"/>
      <c r="C175" s="1255"/>
      <c r="D175" s="228" t="s">
        <v>142</v>
      </c>
      <c r="E175" s="95">
        <f>'19'!F175</f>
        <v>24911</v>
      </c>
      <c r="F175" s="155">
        <v>24927</v>
      </c>
      <c r="G175" s="155">
        <f t="shared" si="14"/>
        <v>16</v>
      </c>
      <c r="H175" s="99">
        <f>G175+'19'!H175</f>
        <v>230</v>
      </c>
      <c r="I175" s="155"/>
      <c r="J175" s="178">
        <f>H175/DAY(B2)</f>
        <v>11.5</v>
      </c>
    </row>
    <row r="176" spans="1:10" ht="25.5">
      <c r="A176" s="1261" t="s">
        <v>196</v>
      </c>
      <c r="B176" s="1262"/>
      <c r="C176" s="384"/>
      <c r="D176" s="228" t="s">
        <v>142</v>
      </c>
      <c r="E176" s="95"/>
      <c r="F176" s="155"/>
      <c r="G176" s="155">
        <f>SUM(G173:G175)</f>
        <v>30</v>
      </c>
      <c r="H176" s="99">
        <f>G176+'19'!H176</f>
        <v>525</v>
      </c>
      <c r="I176" s="155"/>
      <c r="J176" s="178">
        <f>H176/DAY(B2)</f>
        <v>26.25</v>
      </c>
    </row>
    <row r="177" spans="1:10" ht="25.5">
      <c r="A177" s="1254" t="s">
        <v>77</v>
      </c>
      <c r="B177" s="1255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5.5">
      <c r="A178" s="1254" t="s">
        <v>210</v>
      </c>
      <c r="B178" s="1255"/>
      <c r="C178" s="333"/>
      <c r="D178" s="228" t="s">
        <v>142</v>
      </c>
      <c r="E178" s="95">
        <f>'19'!F178</f>
        <v>102114</v>
      </c>
      <c r="F178" s="155">
        <v>102114</v>
      </c>
      <c r="G178" s="155">
        <f>F178-E178</f>
        <v>0</v>
      </c>
      <c r="H178" s="99">
        <f>G178+'19'!H178</f>
        <v>3</v>
      </c>
      <c r="I178" s="155"/>
      <c r="J178" s="178">
        <f>H178/DAY(B2)</f>
        <v>0.15</v>
      </c>
    </row>
    <row r="179" spans="1:10" ht="25.5">
      <c r="A179" s="1254" t="s">
        <v>211</v>
      </c>
      <c r="B179" s="1255"/>
      <c r="C179" s="333"/>
      <c r="D179" s="228" t="s">
        <v>142</v>
      </c>
      <c r="E179" s="95">
        <f>'19'!F179</f>
        <v>37501</v>
      </c>
      <c r="F179" s="155">
        <v>37501</v>
      </c>
      <c r="G179" s="155">
        <f t="shared" ref="G179:G180" si="15">F179-E179</f>
        <v>0</v>
      </c>
      <c r="H179" s="99">
        <f>G179+'19'!H179</f>
        <v>0</v>
      </c>
      <c r="I179" s="155"/>
      <c r="J179" s="178">
        <f>H179/DAY(B2)</f>
        <v>0</v>
      </c>
    </row>
    <row r="180" spans="1:10" ht="25.5">
      <c r="A180" s="1254" t="s">
        <v>212</v>
      </c>
      <c r="B180" s="1255"/>
      <c r="C180" s="333"/>
      <c r="D180" s="228" t="s">
        <v>142</v>
      </c>
      <c r="E180" s="95">
        <f>'19'!F180</f>
        <v>37036</v>
      </c>
      <c r="F180" s="155">
        <v>37036</v>
      </c>
      <c r="G180" s="155">
        <f t="shared" si="15"/>
        <v>0</v>
      </c>
      <c r="H180" s="99">
        <f>G180+'19'!H180</f>
        <v>0</v>
      </c>
      <c r="I180" s="155"/>
      <c r="J180" s="178">
        <f>H180/DAY(B2)</f>
        <v>0</v>
      </c>
    </row>
    <row r="181" spans="1:10" ht="24.75" customHeight="1">
      <c r="A181" s="1325" t="s">
        <v>108</v>
      </c>
      <c r="B181" s="1326"/>
      <c r="C181" s="384"/>
      <c r="D181" s="228" t="s">
        <v>142</v>
      </c>
      <c r="E181" s="95"/>
      <c r="F181" s="155"/>
      <c r="G181" s="155">
        <f>SUM(G178:G180)</f>
        <v>0</v>
      </c>
      <c r="H181" s="99">
        <f>G181+'19'!H181</f>
        <v>3</v>
      </c>
      <c r="I181" s="155"/>
      <c r="J181" s="178">
        <f>H181/DAY(B2)</f>
        <v>0.15</v>
      </c>
    </row>
    <row r="182" spans="1:10" ht="24.75" customHeight="1">
      <c r="A182" s="1254" t="s">
        <v>213</v>
      </c>
      <c r="B182" s="1255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1254" t="s">
        <v>214</v>
      </c>
      <c r="B183" s="1255"/>
      <c r="C183" s="334"/>
      <c r="D183" s="228" t="s">
        <v>142</v>
      </c>
      <c r="E183" s="95">
        <f>'19'!F183</f>
        <v>17957</v>
      </c>
      <c r="F183" s="157">
        <v>17968</v>
      </c>
      <c r="G183" s="157">
        <f>F183-E183</f>
        <v>11</v>
      </c>
      <c r="H183" s="99">
        <f>G183+'19'!H183</f>
        <v>120</v>
      </c>
      <c r="I183" s="155"/>
      <c r="J183" s="178">
        <f>H183/DAY(B2)</f>
        <v>6</v>
      </c>
    </row>
    <row r="184" spans="1:10" ht="24.75" customHeight="1">
      <c r="A184" s="1254" t="s">
        <v>215</v>
      </c>
      <c r="B184" s="1255"/>
      <c r="C184" s="334"/>
      <c r="D184" s="228" t="s">
        <v>142</v>
      </c>
      <c r="E184" s="95">
        <f>'19'!F184</f>
        <v>12494</v>
      </c>
      <c r="F184" s="157">
        <v>12504</v>
      </c>
      <c r="G184" s="157">
        <f t="shared" ref="G184:G185" si="16">F184-E184</f>
        <v>10</v>
      </c>
      <c r="H184" s="99">
        <f>G184+'19'!H184</f>
        <v>155</v>
      </c>
      <c r="I184" s="155"/>
      <c r="J184" s="178">
        <f>H184/DAY(B2)</f>
        <v>7.75</v>
      </c>
    </row>
    <row r="185" spans="1:10" ht="24.75" customHeight="1">
      <c r="A185" s="1254" t="s">
        <v>216</v>
      </c>
      <c r="B185" s="1255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5.5">
      <c r="A186" s="1261" t="s">
        <v>196</v>
      </c>
      <c r="B186" s="1262"/>
      <c r="C186" s="383"/>
      <c r="D186" s="228" t="s">
        <v>142</v>
      </c>
      <c r="E186" s="95"/>
      <c r="F186" s="157"/>
      <c r="G186" s="157">
        <f>SUM(G183:G185)</f>
        <v>21</v>
      </c>
      <c r="H186" s="99">
        <f>G186+'19'!H186</f>
        <v>275</v>
      </c>
      <c r="I186" s="157"/>
      <c r="J186" s="178">
        <f>H186/DAY(B2)</f>
        <v>13.75</v>
      </c>
    </row>
    <row r="187" spans="1:10" ht="25.5">
      <c r="A187" s="1250" t="s">
        <v>217</v>
      </c>
      <c r="B187" s="1251"/>
      <c r="C187" s="333"/>
      <c r="D187" s="230" t="s">
        <v>142</v>
      </c>
      <c r="E187" s="95"/>
      <c r="F187" s="159"/>
      <c r="G187" s="367">
        <f>G62+G19</f>
        <v>151</v>
      </c>
      <c r="H187" s="99">
        <f>G187+'19'!H187</f>
        <v>2998</v>
      </c>
      <c r="I187" s="158"/>
      <c r="J187" s="179">
        <f>H187/DAY(B2)</f>
        <v>149.9</v>
      </c>
    </row>
    <row r="188" spans="1:10" ht="25.5">
      <c r="A188" s="1250" t="s">
        <v>218</v>
      </c>
      <c r="B188" s="1251"/>
      <c r="C188" s="333"/>
      <c r="D188" s="230" t="s">
        <v>142</v>
      </c>
      <c r="E188" s="95"/>
      <c r="F188" s="159"/>
      <c r="G188" s="367">
        <f>G65+G66+G67+G69+G70</f>
        <v>161</v>
      </c>
      <c r="H188" s="99">
        <f>G188+'19'!H188</f>
        <v>987</v>
      </c>
      <c r="I188" s="158"/>
      <c r="J188" s="179">
        <f>H188/DAY(B2)</f>
        <v>49.35</v>
      </c>
    </row>
    <row r="189" spans="1:10" ht="25.5">
      <c r="A189" s="1250" t="s">
        <v>219</v>
      </c>
      <c r="B189" s="1251"/>
      <c r="C189" s="333"/>
      <c r="D189" s="230" t="s">
        <v>142</v>
      </c>
      <c r="E189" s="95"/>
      <c r="F189" s="157"/>
      <c r="G189" s="366">
        <f>G181</f>
        <v>0</v>
      </c>
      <c r="H189" s="99">
        <f>G189+'19'!H189</f>
        <v>0</v>
      </c>
      <c r="I189" s="158"/>
      <c r="J189" s="179">
        <f>H189/DAY(B2)</f>
        <v>0</v>
      </c>
    </row>
    <row r="190" spans="1:10" ht="25.5">
      <c r="A190" s="1252"/>
      <c r="B190" s="1253"/>
      <c r="C190" s="382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spans="7:7" ht="26.25">
      <c r="G193" s="160">
        <v>6</v>
      </c>
    </row>
    <row r="194" spans="7:7" ht="26.25">
      <c r="G194" s="160">
        <v>6</v>
      </c>
    </row>
    <row r="195" spans="7:7" ht="26.25">
      <c r="G195" s="160">
        <v>3</v>
      </c>
    </row>
    <row r="196" spans="7:7" ht="26.25">
      <c r="G196" s="160">
        <v>7</v>
      </c>
    </row>
    <row r="197" spans="7:7" ht="26.25">
      <c r="G197" s="160">
        <v>5</v>
      </c>
    </row>
    <row r="198" spans="7:7" ht="26.25"/>
    <row r="199" spans="7:7" ht="26.25"/>
    <row r="200" spans="7:7" ht="26.25"/>
    <row r="201" spans="7:7" ht="26.25"/>
    <row r="202" spans="7:7" ht="26.25"/>
    <row r="203" spans="7:7" ht="26.25"/>
    <row r="204" spans="7:7" ht="26.25"/>
    <row r="205" spans="7:7" ht="26.25"/>
    <row r="206" spans="7:7" ht="26.25"/>
    <row r="207" spans="7:7" ht="26.25"/>
    <row r="208" spans="7:7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4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163" zoomScale="60" zoomScaleNormal="60" zoomScalePageLayoutView="20" workbookViewId="0">
      <selection activeCell="O20" sqref="O20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5546875" style="161" customWidth="1"/>
    <col min="9" max="9" width="19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3.25">
      <c r="A2" s="191" t="s">
        <v>354</v>
      </c>
      <c r="B2" s="262">
        <v>44855</v>
      </c>
      <c r="C2" s="348" t="s">
        <v>67</v>
      </c>
      <c r="D2" s="218">
        <v>0.52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370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'20'!F7</f>
        <v>381174</v>
      </c>
      <c r="F7" s="95">
        <v>406667</v>
      </c>
      <c r="G7" s="112">
        <f>F7-E7</f>
        <v>25493</v>
      </c>
      <c r="H7" s="99">
        <f>G7+'20'!H7</f>
        <v>524831</v>
      </c>
      <c r="I7" s="113">
        <f>'1'!I7</f>
        <v>12000</v>
      </c>
      <c r="J7" s="175">
        <f>H7/DAY(B2)</f>
        <v>24991.952380952382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'20'!F8</f>
        <v>554905</v>
      </c>
      <c r="F8" s="95">
        <v>580681</v>
      </c>
      <c r="G8" s="115">
        <f>F8-E8</f>
        <v>25776</v>
      </c>
      <c r="H8" s="99">
        <f>G8+'20'!H8</f>
        <v>531301</v>
      </c>
      <c r="I8" s="116"/>
      <c r="J8" s="175">
        <f>H8/DAY(B2)</f>
        <v>25300.047619047618</v>
      </c>
      <c r="K8" s="172">
        <v>1715917</v>
      </c>
      <c r="L8" s="76">
        <v>1728480</v>
      </c>
      <c r="M8" s="87">
        <f>L8-K8</f>
        <v>12563</v>
      </c>
      <c r="N8" s="87"/>
      <c r="O8" s="71">
        <v>10</v>
      </c>
    </row>
    <row r="9" spans="1:15" ht="26.25">
      <c r="A9" s="199" t="s">
        <v>132</v>
      </c>
      <c r="B9" s="200"/>
      <c r="C9" s="200"/>
      <c r="D9" s="151" t="s">
        <v>130</v>
      </c>
      <c r="E9" s="95">
        <f>'20'!F9</f>
        <v>3839154</v>
      </c>
      <c r="F9" s="447">
        <v>3849861</v>
      </c>
      <c r="G9" s="112">
        <f>F9-E9</f>
        <v>10707</v>
      </c>
      <c r="H9" s="99">
        <f>G9+'20'!H9</f>
        <v>143154</v>
      </c>
      <c r="I9" s="124">
        <f>I7-J7</f>
        <v>-12991.952380952382</v>
      </c>
      <c r="J9" s="175">
        <f>H9/DAY(B2)</f>
        <v>6816.8571428571431</v>
      </c>
      <c r="K9" s="79">
        <f>K8-100</f>
        <v>1715817</v>
      </c>
      <c r="L9" s="66"/>
      <c r="N9" s="87"/>
      <c r="O9" s="71">
        <v>10</v>
      </c>
    </row>
    <row r="10" spans="1:15" ht="26.25">
      <c r="A10" s="194" t="s">
        <v>133</v>
      </c>
      <c r="B10" s="195"/>
      <c r="C10" s="195"/>
      <c r="D10" s="151" t="s">
        <v>130</v>
      </c>
      <c r="E10" s="95">
        <f>'20'!F10</f>
        <v>3096371</v>
      </c>
      <c r="F10" s="353">
        <v>3110489</v>
      </c>
      <c r="G10" s="112">
        <f t="shared" ref="G10:G12" si="0">F10-E10</f>
        <v>14118</v>
      </c>
      <c r="H10" s="99">
        <f>G10+'20'!H10</f>
        <v>367795</v>
      </c>
      <c r="I10" s="282"/>
      <c r="J10" s="175">
        <f>H10/DAY(B2)</f>
        <v>17514.047619047618</v>
      </c>
      <c r="K10" s="79"/>
      <c r="L10" s="66"/>
      <c r="N10" s="87"/>
      <c r="O10" s="71">
        <v>20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'20'!F11</f>
        <v>37560</v>
      </c>
      <c r="F11" s="95">
        <v>37560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>
        <v>20</v>
      </c>
    </row>
    <row r="12" spans="1:15" ht="26.25">
      <c r="A12" s="194" t="s">
        <v>135</v>
      </c>
      <c r="B12" s="195"/>
      <c r="C12" s="195"/>
      <c r="D12" s="151" t="s">
        <v>130</v>
      </c>
      <c r="E12" s="95">
        <f>'20'!F12</f>
        <v>40380</v>
      </c>
      <c r="F12" s="117">
        <v>40380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>
        <v>20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24825</v>
      </c>
      <c r="H13" s="99">
        <f>G13+'20'!H13</f>
        <v>512409</v>
      </c>
      <c r="I13" s="120">
        <f>G7-G13</f>
        <v>668</v>
      </c>
      <c r="J13" s="175">
        <f>H13/DAY(B2)</f>
        <v>24400.428571428572</v>
      </c>
      <c r="K13" s="79"/>
      <c r="L13" s="66"/>
      <c r="N13" s="87"/>
      <c r="O13" s="71">
        <v>20</v>
      </c>
    </row>
    <row r="14" spans="1:15" ht="26.25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>
        <v>20</v>
      </c>
    </row>
    <row r="15" spans="1:15" ht="26.25">
      <c r="A15" s="345" t="s">
        <v>138</v>
      </c>
      <c r="B15" s="205"/>
      <c r="C15" s="205"/>
      <c r="D15" s="151" t="s">
        <v>139</v>
      </c>
      <c r="E15" s="95">
        <f>'20'!F15</f>
        <v>2182253</v>
      </c>
      <c r="F15" s="447">
        <v>2183240</v>
      </c>
      <c r="G15" s="112">
        <f>(F15-E15)</f>
        <v>987</v>
      </c>
      <c r="H15" s="99">
        <f>G15+'20'!H15</f>
        <v>21725</v>
      </c>
      <c r="I15" s="113">
        <f>'1'!I15</f>
        <v>800</v>
      </c>
      <c r="J15" s="175">
        <f>H15/DAY(B2)</f>
        <v>1034.5238095238096</v>
      </c>
      <c r="K15" s="79"/>
      <c r="L15" s="66"/>
      <c r="N15" s="87"/>
      <c r="O15" s="71">
        <v>20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-234.52380952380963</v>
      </c>
      <c r="J16" s="176"/>
      <c r="K16" s="79"/>
      <c r="L16" s="66"/>
      <c r="N16" s="87"/>
      <c r="O16" s="71">
        <f>SUM(O8:O15)</f>
        <v>140</v>
      </c>
    </row>
    <row r="17" spans="1:15" ht="26.25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81" t="s">
        <v>141</v>
      </c>
      <c r="B18" s="1282"/>
      <c r="C18" s="1283"/>
      <c r="D18" s="151" t="s">
        <v>142</v>
      </c>
      <c r="E18" s="95">
        <f>'20'!F18</f>
        <v>29</v>
      </c>
      <c r="F18" s="164">
        <v>26</v>
      </c>
      <c r="G18" s="119">
        <f>F18*10</f>
        <v>260</v>
      </c>
      <c r="H18" s="99">
        <f>G18+'20'!H18</f>
        <v>5250</v>
      </c>
      <c r="I18" s="113">
        <f>'1'!I18</f>
        <v>65</v>
      </c>
      <c r="J18" s="175">
        <f>H18/DAY(B2)</f>
        <v>250</v>
      </c>
      <c r="K18" s="79"/>
      <c r="L18" s="66"/>
      <c r="N18" s="87"/>
      <c r="O18" s="71"/>
    </row>
    <row r="19" spans="1:15" ht="25.5">
      <c r="A19" s="1281" t="s">
        <v>69</v>
      </c>
      <c r="B19" s="1282"/>
      <c r="C19" s="1283"/>
      <c r="D19" s="151" t="s">
        <v>142</v>
      </c>
      <c r="E19" s="95">
        <f>'20'!F19</f>
        <v>166454</v>
      </c>
      <c r="F19" s="122">
        <v>166505</v>
      </c>
      <c r="G19" s="112">
        <f t="shared" ref="G19" si="1">F19-E19</f>
        <v>51</v>
      </c>
      <c r="H19" s="99">
        <f>G19+'20'!H19</f>
        <v>1062</v>
      </c>
      <c r="I19" s="335"/>
      <c r="J19" s="175">
        <f>H19/DAY(B2)</f>
        <v>50.571428571428569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311</v>
      </c>
      <c r="H20" s="99">
        <f>G20+'20'!H20</f>
        <v>6312</v>
      </c>
      <c r="I20" s="336">
        <f>I18-J20</f>
        <v>-235.57142857142856</v>
      </c>
      <c r="J20" s="175">
        <f>H20/DAY(B2)</f>
        <v>300.57142857142856</v>
      </c>
      <c r="K20" s="79"/>
      <c r="L20" s="66"/>
      <c r="N20" s="87"/>
      <c r="O20" s="71"/>
    </row>
    <row r="21" spans="1:15" ht="26.25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'20'!F23</f>
        <v>1500</v>
      </c>
      <c r="F23" s="122">
        <v>1500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'20'!F24</f>
        <v>4470</v>
      </c>
      <c r="F24" s="128">
        <v>4470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25776</v>
      </c>
      <c r="F27" s="136">
        <v>10</v>
      </c>
      <c r="G27" s="137">
        <f>E27*F27</f>
        <v>257760</v>
      </c>
      <c r="H27" s="99">
        <f>G27+'20'!H27</f>
        <v>5313010</v>
      </c>
      <c r="I27" s="138"/>
      <c r="J27" s="175">
        <f>H27/DAY(B2)</f>
        <v>253000.47619047618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987</v>
      </c>
      <c r="F28" s="136">
        <v>75</v>
      </c>
      <c r="G28" s="137">
        <f>E28*F28</f>
        <v>74025</v>
      </c>
      <c r="H28" s="99">
        <f>G28+'20'!H28</f>
        <v>1629375</v>
      </c>
      <c r="I28" s="140"/>
      <c r="J28" s="175">
        <f>H28/DAY(B2)</f>
        <v>77589.28571428571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G30+'20'!H30</f>
        <v>160362</v>
      </c>
      <c r="I30" s="140"/>
      <c r="J30" s="175">
        <f>H30/DAY(B2)</f>
        <v>7636.2857142857147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85</v>
      </c>
      <c r="G31" s="137">
        <f>E31*F31</f>
        <v>22100</v>
      </c>
      <c r="H31" s="99">
        <f>G31+'20'!H31</f>
        <v>443100</v>
      </c>
      <c r="I31" s="140"/>
      <c r="J31" s="175">
        <f>H31/DAY(B2)</f>
        <v>21100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361586</v>
      </c>
      <c r="H32" s="99">
        <f>G32+'20'!H32</f>
        <v>7545847</v>
      </c>
      <c r="I32" s="144"/>
      <c r="J32" s="175">
        <f>H32/DAY(B2)</f>
        <v>359326.04761904763</v>
      </c>
      <c r="K32" s="63"/>
      <c r="L32" s="89"/>
      <c r="N32" s="87"/>
      <c r="O32" s="71"/>
    </row>
    <row r="33" spans="1:15" ht="25.5" customHeight="1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'20'!F35</f>
        <v>261674</v>
      </c>
      <c r="F35" s="145">
        <v>263721</v>
      </c>
      <c r="G35" s="112">
        <f t="shared" ref="G35:G46" si="3">F35-E35</f>
        <v>2047</v>
      </c>
      <c r="H35" s="99">
        <f>G35+'20'!H35</f>
        <v>25007.950000000012</v>
      </c>
      <c r="I35" s="95"/>
      <c r="J35" s="175">
        <f>H35/DAY(B2)</f>
        <v>1190.8547619047624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'20'!F36</f>
        <v>286763</v>
      </c>
      <c r="F36" s="145">
        <v>287636</v>
      </c>
      <c r="G36" s="112">
        <f t="shared" si="3"/>
        <v>873</v>
      </c>
      <c r="H36" s="99">
        <f>G36+'20'!H36</f>
        <v>18153</v>
      </c>
      <c r="I36" s="95"/>
      <c r="J36" s="175">
        <f>H36/DAY(B2)</f>
        <v>864.42857142857144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'20'!F37</f>
        <v>322998.69</v>
      </c>
      <c r="F37" s="401">
        <v>322998.69</v>
      </c>
      <c r="G37" s="112">
        <f t="shared" si="3"/>
        <v>0</v>
      </c>
      <c r="H37" s="99">
        <f>G37+'20'!H37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'20'!F38</f>
        <v>639160</v>
      </c>
      <c r="F38" s="108">
        <v>641416</v>
      </c>
      <c r="G38" s="112">
        <f t="shared" si="3"/>
        <v>2256</v>
      </c>
      <c r="H38" s="99">
        <f>G38+'20'!H38</f>
        <v>47699</v>
      </c>
      <c r="I38" s="95"/>
      <c r="J38" s="175">
        <f>H38/DAY(B2)</f>
        <v>2271.3809523809523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'20'!F39</f>
        <v>591584.18999999994</v>
      </c>
      <c r="F39" s="401">
        <v>591584</v>
      </c>
      <c r="G39" s="112">
        <f t="shared" si="3"/>
        <v>-0.18999999994412065</v>
      </c>
      <c r="H39" s="99">
        <f>G39+'20'!H39</f>
        <v>-0.18999999994412065</v>
      </c>
      <c r="I39" s="95"/>
      <c r="J39" s="175">
        <f>H39/DAY(B2)</f>
        <v>-9.0476190449581256E-3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'20'!F40</f>
        <v>173514</v>
      </c>
      <c r="F40" s="145">
        <v>174357</v>
      </c>
      <c r="G40" s="112">
        <f t="shared" si="3"/>
        <v>843</v>
      </c>
      <c r="H40" s="99">
        <f>G40+'20'!H40</f>
        <v>16377</v>
      </c>
      <c r="I40" s="95"/>
      <c r="J40" s="175">
        <f>H40/DAY(B2)</f>
        <v>779.85714285714289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'20'!F41</f>
        <v>383925</v>
      </c>
      <c r="F41" s="145">
        <v>389634</v>
      </c>
      <c r="G41" s="112">
        <f t="shared" si="3"/>
        <v>5709</v>
      </c>
      <c r="H41" s="99">
        <f>G41+'20'!H41</f>
        <v>9282.4500000000116</v>
      </c>
      <c r="I41" s="95"/>
      <c r="J41" s="175">
        <f>H41/DAY(B2)</f>
        <v>442.02142857142911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'20'!F42</f>
        <v>871141</v>
      </c>
      <c r="F42" s="145">
        <v>871198</v>
      </c>
      <c r="G42" s="112">
        <f t="shared" si="3"/>
        <v>57</v>
      </c>
      <c r="H42" s="99">
        <f>G42+'20'!H42</f>
        <v>46111</v>
      </c>
      <c r="I42" s="95"/>
      <c r="J42" s="175">
        <f>H42/DAY(B2)</f>
        <v>2195.7619047619046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'20'!F43</f>
        <v>407028</v>
      </c>
      <c r="F43" s="145">
        <v>407028</v>
      </c>
      <c r="G43" s="112">
        <f t="shared" si="3"/>
        <v>0</v>
      </c>
      <c r="H43" s="99">
        <f>G43+'20'!H43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11784.810000000056</v>
      </c>
      <c r="H47" s="99">
        <f>G47+'20'!H47</f>
        <v>166739.14999999997</v>
      </c>
      <c r="I47" s="95"/>
      <c r="J47" s="175">
        <f>H47/DAY(B2)</f>
        <v>7939.9595238095226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'20'!F49</f>
        <v>770836</v>
      </c>
      <c r="F49" s="145">
        <v>772444.55</v>
      </c>
      <c r="G49" s="112">
        <f t="shared" ref="G49:G58" si="4">F49-E49</f>
        <v>1608.5500000000466</v>
      </c>
      <c r="H49" s="99">
        <f>G49+'20'!H49</f>
        <v>52157.550000000047</v>
      </c>
      <c r="I49" s="95"/>
      <c r="J49" s="175">
        <f>H49/DAY(B2)</f>
        <v>2483.6928571428593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'20'!F50</f>
        <v>397147</v>
      </c>
      <c r="F50" s="145">
        <v>398568</v>
      </c>
      <c r="G50" s="112">
        <f t="shared" si="4"/>
        <v>1421</v>
      </c>
      <c r="H50" s="99">
        <f>G50+'20'!H50</f>
        <v>233507</v>
      </c>
      <c r="I50" s="95"/>
      <c r="J50" s="175">
        <f>H50/DAY(B2)</f>
        <v>11119.380952380952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'20'!F51</f>
        <v>92277</v>
      </c>
      <c r="F51" s="145">
        <v>93379</v>
      </c>
      <c r="G51" s="112">
        <f t="shared" si="4"/>
        <v>1102</v>
      </c>
      <c r="H51" s="99">
        <f>G51+'20'!H51</f>
        <v>21652</v>
      </c>
      <c r="I51" s="95"/>
      <c r="J51" s="175">
        <f>H51/DAY(B2)</f>
        <v>1031.047619047619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'20'!F52</f>
        <v>10</v>
      </c>
      <c r="F52" s="145">
        <v>10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'20'!F53</f>
        <v>378317</v>
      </c>
      <c r="F53" s="145">
        <v>382605</v>
      </c>
      <c r="G53" s="112">
        <f t="shared" si="4"/>
        <v>4288</v>
      </c>
      <c r="H53" s="99">
        <f>G53+'20'!H53</f>
        <v>88504</v>
      </c>
      <c r="I53" s="95"/>
      <c r="J53" s="175">
        <f>H53/DAY(B2)</f>
        <v>4214.4761904761908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'20'!F54</f>
        <v>103273</v>
      </c>
      <c r="F54" s="145">
        <v>103347</v>
      </c>
      <c r="G54" s="112">
        <f t="shared" si="4"/>
        <v>74</v>
      </c>
      <c r="H54" s="99">
        <f>G54+'20'!H54</f>
        <v>1960</v>
      </c>
      <c r="I54" s="95"/>
      <c r="J54" s="175">
        <f>H54/DAY(B2)</f>
        <v>93.333333333333329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'20'!F55</f>
        <v>538458</v>
      </c>
      <c r="F55" s="145">
        <v>538458</v>
      </c>
      <c r="G55" s="112">
        <f t="shared" si="4"/>
        <v>0</v>
      </c>
      <c r="H55" s="99">
        <f>G55+'20'!H55</f>
        <v>43975</v>
      </c>
      <c r="I55" s="95"/>
      <c r="J55" s="175">
        <f>H55/DAY(B2)</f>
        <v>2094.0476190476193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'20'!F56</f>
        <v>175396</v>
      </c>
      <c r="F56" s="401">
        <v>176964</v>
      </c>
      <c r="G56" s="112">
        <f t="shared" si="4"/>
        <v>1568</v>
      </c>
      <c r="H56" s="99">
        <f>G56+'20'!H56</f>
        <v>27245</v>
      </c>
      <c r="I56" s="95"/>
      <c r="J56" s="175">
        <f>H56/DAY(B2)</f>
        <v>1297.3809523809523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'20'!F57</f>
        <v>467764</v>
      </c>
      <c r="F57" s="145">
        <v>470612</v>
      </c>
      <c r="G57" s="112">
        <f t="shared" si="4"/>
        <v>2848</v>
      </c>
      <c r="H57" s="99">
        <f>G57+'20'!H57</f>
        <v>61534</v>
      </c>
      <c r="I57" s="95"/>
      <c r="J57" s="175">
        <f>H57/DAY(B2)</f>
        <v>2930.1904761904761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'20'!F58</f>
        <v>69050</v>
      </c>
      <c r="F58" s="145">
        <v>69303</v>
      </c>
      <c r="G58" s="112">
        <f t="shared" si="4"/>
        <v>253</v>
      </c>
      <c r="H58" s="99">
        <f>G58+'20'!H58</f>
        <v>5152</v>
      </c>
      <c r="I58" s="95"/>
      <c r="J58" s="175">
        <f>H58/DAY(B2)</f>
        <v>245.33333333333334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13162.550000000047</v>
      </c>
      <c r="H59" s="99">
        <f>G59+'20'!H59</f>
        <v>334347.37000000005</v>
      </c>
      <c r="I59" s="95">
        <f>G7-G60</f>
        <v>545.63999999989755</v>
      </c>
      <c r="J59" s="175">
        <f>H59/DAY(B2)</f>
        <v>15921.303333333335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24947.360000000102</v>
      </c>
      <c r="H60" s="99">
        <f>G60+'20'!H60</f>
        <v>501086.51999999996</v>
      </c>
      <c r="I60" s="95">
        <f>G13-G60</f>
        <v>-122.36000000010245</v>
      </c>
      <c r="J60" s="175">
        <f>H60/DAY(B2)</f>
        <v>23861.262857142854</v>
      </c>
      <c r="K60" s="79"/>
      <c r="L60" s="66"/>
      <c r="N60" s="87"/>
      <c r="O60" s="71"/>
    </row>
    <row r="61" spans="1:15" s="68" customFormat="1" ht="26.25">
      <c r="A61" s="1278" t="s">
        <v>332</v>
      </c>
      <c r="B61" s="1279"/>
      <c r="C61" s="12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81" t="s">
        <v>198</v>
      </c>
      <c r="B62" s="1282"/>
      <c r="C62" s="1283"/>
      <c r="D62" s="151" t="s">
        <v>142</v>
      </c>
      <c r="E62" s="95">
        <f>'20'!F62</f>
        <v>304052</v>
      </c>
      <c r="F62" s="122">
        <v>304162</v>
      </c>
      <c r="G62" s="112">
        <f t="shared" ref="G62:G63" si="5">F62-E62</f>
        <v>110</v>
      </c>
      <c r="H62" s="99">
        <f>G62+'20'!H62</f>
        <v>2097</v>
      </c>
      <c r="I62" s="118"/>
      <c r="J62" s="175">
        <f>H62/DAY(B2)</f>
        <v>99.857142857142861</v>
      </c>
      <c r="K62" s="80"/>
      <c r="L62" s="66"/>
      <c r="N62" s="87"/>
      <c r="O62" s="71"/>
    </row>
    <row r="63" spans="1:15" ht="25.5">
      <c r="A63" s="1281" t="s">
        <v>199</v>
      </c>
      <c r="B63" s="1282"/>
      <c r="C63" s="1283"/>
      <c r="D63" s="151" t="s">
        <v>142</v>
      </c>
      <c r="E63" s="95">
        <f>'20'!F63</f>
        <v>245139</v>
      </c>
      <c r="F63" s="164">
        <v>245139</v>
      </c>
      <c r="G63" s="112">
        <f t="shared" si="5"/>
        <v>0</v>
      </c>
      <c r="H63" s="99">
        <f>G63+'20'!H63</f>
        <v>127</v>
      </c>
      <c r="I63" s="118"/>
      <c r="J63" s="175">
        <f>H63/DAY(B2)</f>
        <v>6.0476190476190474</v>
      </c>
      <c r="K63" s="69"/>
      <c r="L63" s="66"/>
      <c r="N63" s="87"/>
      <c r="O63" s="71"/>
    </row>
    <row r="64" spans="1:15" ht="26.25">
      <c r="A64" s="1284" t="s">
        <v>200</v>
      </c>
      <c r="B64" s="1285"/>
      <c r="C64" s="1286"/>
      <c r="D64" s="151"/>
      <c r="E64" s="95">
        <f>'20'!F64</f>
        <v>0</v>
      </c>
      <c r="F64" s="122"/>
      <c r="G64" s="112">
        <f>G62+G63</f>
        <v>110</v>
      </c>
      <c r="H64" s="99">
        <f>G64+'20'!H64</f>
        <v>2203</v>
      </c>
      <c r="I64" s="118"/>
      <c r="J64" s="175">
        <f>H64/DAY(B2)</f>
        <v>104.9047619047619</v>
      </c>
      <c r="K64" s="69"/>
      <c r="L64" s="66"/>
      <c r="N64" s="87"/>
      <c r="O64" s="71"/>
    </row>
    <row r="65" spans="1:15" ht="25.5">
      <c r="A65" s="1281" t="s">
        <v>201</v>
      </c>
      <c r="B65" s="1282"/>
      <c r="C65" s="1283"/>
      <c r="D65" s="151" t="s">
        <v>142</v>
      </c>
      <c r="E65" s="95">
        <f>'20'!F65</f>
        <v>462972</v>
      </c>
      <c r="F65" s="122">
        <v>463097</v>
      </c>
      <c r="G65" s="112">
        <f t="shared" ref="G65:G70" si="6">F65-E65</f>
        <v>125</v>
      </c>
      <c r="H65" s="99">
        <f>G65+'20'!H65</f>
        <v>2273</v>
      </c>
      <c r="I65" s="118"/>
      <c r="J65" s="175">
        <f>H65/DAY(B2)</f>
        <v>108.23809523809524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'20'!F66</f>
        <v>112820</v>
      </c>
      <c r="F66" s="122">
        <v>112827</v>
      </c>
      <c r="G66" s="112">
        <f t="shared" si="6"/>
        <v>7</v>
      </c>
      <c r="H66" s="99">
        <f>G66+'20'!H66</f>
        <v>222</v>
      </c>
      <c r="I66" s="118"/>
      <c r="J66" s="175">
        <f>H66/DAY(B2)</f>
        <v>10.571428571428571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'20'!F67</f>
        <v>115129</v>
      </c>
      <c r="F67" s="122">
        <v>115149</v>
      </c>
      <c r="G67" s="112">
        <f t="shared" si="6"/>
        <v>20</v>
      </c>
      <c r="H67" s="99">
        <f>G67+'20'!H67</f>
        <v>441</v>
      </c>
      <c r="I67" s="118"/>
      <c r="J67" s="175">
        <f>H67/DAY(B2)</f>
        <v>21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'20'!F68</f>
        <v>167227</v>
      </c>
      <c r="F68" s="122">
        <v>167255</v>
      </c>
      <c r="G68" s="112">
        <f t="shared" si="6"/>
        <v>28</v>
      </c>
      <c r="H68" s="99">
        <f>G68+'20'!H68</f>
        <v>674</v>
      </c>
      <c r="I68" s="118"/>
      <c r="J68" s="175">
        <f>H68/DAY(B2)</f>
        <v>32.095238095238095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'20'!F69</f>
        <v>12655</v>
      </c>
      <c r="F69" s="122">
        <v>12657</v>
      </c>
      <c r="G69" s="112">
        <f t="shared" si="6"/>
        <v>2</v>
      </c>
      <c r="H69" s="99">
        <f>G69+'20'!H69</f>
        <v>93</v>
      </c>
      <c r="I69" s="118"/>
      <c r="J69" s="175">
        <f>H69/DAY(B2)</f>
        <v>4.4285714285714288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'20'!F70</f>
        <v>10532</v>
      </c>
      <c r="F70" s="122">
        <v>10542</v>
      </c>
      <c r="G70" s="112">
        <f t="shared" si="6"/>
        <v>10</v>
      </c>
      <c r="H70" s="99">
        <f>G70+'20'!H70</f>
        <v>209</v>
      </c>
      <c r="I70" s="118"/>
      <c r="J70" s="175">
        <f>H70/DAY(B2)</f>
        <v>9.9523809523809526</v>
      </c>
      <c r="K70" s="69"/>
      <c r="L70" s="66"/>
      <c r="N70" s="87"/>
      <c r="O70" s="71"/>
    </row>
    <row r="71" spans="1:15" ht="26.25">
      <c r="A71" s="1284" t="s">
        <v>208</v>
      </c>
      <c r="B71" s="1285"/>
      <c r="C71" s="1286"/>
      <c r="D71" s="152"/>
      <c r="E71" s="152"/>
      <c r="F71" s="152"/>
      <c r="G71" s="153">
        <f>SUM(G65:G70)</f>
        <v>192</v>
      </c>
      <c r="H71" s="99">
        <f>G71+'20'!H71</f>
        <v>3912</v>
      </c>
      <c r="I71" s="154"/>
      <c r="J71" s="175">
        <f>H71/DAY(B2)</f>
        <v>186.28571428571428</v>
      </c>
      <c r="K71" s="69"/>
      <c r="L71" s="66"/>
      <c r="N71" s="87"/>
      <c r="O71" s="71"/>
    </row>
    <row r="72" spans="1:15" s="88" customFormat="1" ht="25.5">
      <c r="A72" s="1287"/>
      <c r="B72" s="126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5" t="s">
        <v>333</v>
      </c>
      <c r="B73" s="1296"/>
      <c r="C73" s="129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81" t="s">
        <v>220</v>
      </c>
      <c r="B74" s="1282"/>
      <c r="C74" s="1283"/>
      <c r="D74" s="151" t="s">
        <v>139</v>
      </c>
      <c r="E74" s="95">
        <f>'20'!F74</f>
        <v>981694</v>
      </c>
      <c r="F74" s="123">
        <v>981984</v>
      </c>
      <c r="G74" s="112">
        <f t="shared" ref="G74:G78" si="7">F74-E74</f>
        <v>290</v>
      </c>
      <c r="H74" s="99">
        <f>G74+'20'!H74</f>
        <v>6173</v>
      </c>
      <c r="I74" s="154"/>
      <c r="J74" s="175">
        <f>H74/DAY(B2)</f>
        <v>293.95238095238096</v>
      </c>
      <c r="K74" s="69"/>
      <c r="L74" s="66"/>
      <c r="N74" s="87"/>
      <c r="O74" s="71"/>
    </row>
    <row r="75" spans="1:15" ht="25.5">
      <c r="A75" s="1281" t="s">
        <v>221</v>
      </c>
      <c r="B75" s="1282"/>
      <c r="C75" s="1283"/>
      <c r="D75" s="151" t="s">
        <v>139</v>
      </c>
      <c r="E75" s="95">
        <f>'20'!F75</f>
        <v>73586</v>
      </c>
      <c r="F75" s="123">
        <v>73586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288" t="s">
        <v>222</v>
      </c>
      <c r="B76" s="1289"/>
      <c r="C76" s="1290"/>
      <c r="D76" s="151" t="s">
        <v>139</v>
      </c>
      <c r="E76" s="95">
        <f>'20'!F76</f>
        <v>199021</v>
      </c>
      <c r="F76" s="123">
        <v>199114</v>
      </c>
      <c r="G76" s="112">
        <f t="shared" si="7"/>
        <v>93</v>
      </c>
      <c r="H76" s="99">
        <f>G76+'20'!H76</f>
        <v>2378</v>
      </c>
      <c r="I76" s="154"/>
      <c r="J76" s="175">
        <f>H76/DAY(B2)</f>
        <v>113.23809523809524</v>
      </c>
      <c r="K76" s="69"/>
      <c r="L76" s="66"/>
      <c r="N76" s="87"/>
      <c r="O76" s="71"/>
    </row>
    <row r="77" spans="1:15" ht="25.5">
      <c r="A77" s="1288" t="s">
        <v>223</v>
      </c>
      <c r="B77" s="1289"/>
      <c r="C77" s="1290"/>
      <c r="D77" s="151" t="s">
        <v>139</v>
      </c>
      <c r="E77" s="95">
        <f>'20'!F77</f>
        <v>54356</v>
      </c>
      <c r="F77" s="123">
        <v>54399</v>
      </c>
      <c r="G77" s="112">
        <f t="shared" si="7"/>
        <v>43</v>
      </c>
      <c r="H77" s="99">
        <f>G77+'20'!H77</f>
        <v>1047</v>
      </c>
      <c r="I77" s="154"/>
      <c r="J77" s="175">
        <f>H77/DAY(B2)</f>
        <v>49.857142857142854</v>
      </c>
      <c r="K77" s="69"/>
      <c r="L77" s="66"/>
      <c r="N77" s="87"/>
      <c r="O77" s="71"/>
    </row>
    <row r="78" spans="1:15" ht="25.5">
      <c r="A78" s="1288" t="s">
        <v>224</v>
      </c>
      <c r="B78" s="1289"/>
      <c r="C78" s="1290"/>
      <c r="D78" s="151" t="s">
        <v>139</v>
      </c>
      <c r="E78" s="95">
        <f>'20'!F78</f>
        <v>9563</v>
      </c>
      <c r="F78" s="123">
        <v>9563</v>
      </c>
      <c r="G78" s="112">
        <f t="shared" si="7"/>
        <v>0</v>
      </c>
      <c r="H78" s="99">
        <f>G78+'20'!H78</f>
        <v>-1.3999999999996362</v>
      </c>
      <c r="I78" s="118"/>
      <c r="J78" s="175">
        <f>H78/DAY(B2)</f>
        <v>-6.6666666666649346E-2</v>
      </c>
      <c r="K78" s="69"/>
      <c r="L78" s="66"/>
      <c r="N78" s="87"/>
      <c r="O78" s="71"/>
    </row>
    <row r="79" spans="1:15" s="57" customFormat="1" ht="25.5">
      <c r="A79" s="1288" t="s">
        <v>225</v>
      </c>
      <c r="B79" s="1289"/>
      <c r="C79" s="1290"/>
      <c r="D79" s="151"/>
      <c r="E79" s="95">
        <f>'20'!F79</f>
        <v>0</v>
      </c>
      <c r="F79" s="123"/>
      <c r="G79" s="112">
        <f>G15-SUM(G74:G78)</f>
        <v>561</v>
      </c>
      <c r="H79" s="99">
        <f>G79+'20'!H79</f>
        <v>12125.179999999955</v>
      </c>
      <c r="I79" s="118"/>
      <c r="J79" s="175"/>
      <c r="K79" s="59"/>
      <c r="L79" s="58"/>
      <c r="N79" s="87"/>
      <c r="O79" s="71"/>
    </row>
    <row r="80" spans="1:15" s="57" customFormat="1" ht="26.25">
      <c r="A80" s="1284" t="s">
        <v>329</v>
      </c>
      <c r="B80" s="1285"/>
      <c r="C80" s="1286"/>
      <c r="D80" s="151"/>
      <c r="E80" s="117"/>
      <c r="F80" s="117"/>
      <c r="G80" s="112">
        <f>SUM(G74:G79)</f>
        <v>987</v>
      </c>
      <c r="H80" s="99"/>
      <c r="I80" s="118"/>
      <c r="J80" s="175"/>
      <c r="K80" s="59"/>
      <c r="L80" s="58"/>
      <c r="N80" s="87"/>
      <c r="O80" s="71"/>
    </row>
    <row r="81" spans="1:15" ht="25.5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'20'!F84</f>
        <v>43378</v>
      </c>
      <c r="F84" s="164">
        <v>43402</v>
      </c>
      <c r="G84" s="112">
        <f t="shared" si="8"/>
        <v>24</v>
      </c>
      <c r="H84" s="99">
        <f>G84+'20'!H84</f>
        <v>35.19999999999709</v>
      </c>
      <c r="I84" s="538"/>
      <c r="J84" s="175">
        <f>H84/DAY(B2)</f>
        <v>1.6761904761903377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'20'!F85</f>
        <v>5679.45</v>
      </c>
      <c r="F85" s="164">
        <v>5680.11</v>
      </c>
      <c r="G85" s="112">
        <f t="shared" si="8"/>
        <v>0.65999999999985448</v>
      </c>
      <c r="H85" s="99">
        <f>G85+'20'!H85</f>
        <v>204.10999999999967</v>
      </c>
      <c r="I85" s="538"/>
      <c r="J85" s="175">
        <f>H85/DAY(B2)</f>
        <v>9.7195238095237944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'20'!F86</f>
        <v>46579</v>
      </c>
      <c r="F86" s="164">
        <v>46579</v>
      </c>
      <c r="G86" s="112">
        <f t="shared" si="8"/>
        <v>0</v>
      </c>
      <c r="H86" s="99">
        <f>G86+'20'!H86</f>
        <v>307.58000000000175</v>
      </c>
      <c r="I86" s="538"/>
      <c r="J86" s="175">
        <f>H86/DAY(B2)</f>
        <v>14.64666666666675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'20'!F87</f>
        <v>35843</v>
      </c>
      <c r="F87" s="164">
        <v>35853.440000000002</v>
      </c>
      <c r="G87" s="112">
        <f t="shared" si="8"/>
        <v>10.440000000002328</v>
      </c>
      <c r="H87" s="99">
        <f>G87+'20'!H87</f>
        <v>197.44000000000233</v>
      </c>
      <c r="I87" s="538">
        <f>G84+G85+G86+G87</f>
        <v>35.100000000002183</v>
      </c>
      <c r="J87" s="175">
        <f>H87/DAY(B2)</f>
        <v>9.4019047619048735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'20'!F88</f>
        <v>24463.82</v>
      </c>
      <c r="F88" s="164">
        <v>24464</v>
      </c>
      <c r="G88" s="112">
        <f t="shared" si="8"/>
        <v>0.18000000000029104</v>
      </c>
      <c r="H88" s="99">
        <f>G88+'20'!H88</f>
        <v>40.040000000000873</v>
      </c>
      <c r="I88" s="538"/>
      <c r="J88" s="175">
        <f>H88/DAY(B2)</f>
        <v>1.9066666666667083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'20'!F89</f>
        <v>28154.880000000001</v>
      </c>
      <c r="F89" s="164">
        <v>28164.67</v>
      </c>
      <c r="G89" s="112">
        <f t="shared" si="8"/>
        <v>9.7899999999972351</v>
      </c>
      <c r="H89" s="99">
        <f>G89+'20'!H89</f>
        <v>176.66999999999825</v>
      </c>
      <c r="I89" s="538">
        <f>G88+G89</f>
        <v>9.9699999999975262</v>
      </c>
      <c r="J89" s="175">
        <f>H89/DAY(B2)</f>
        <v>8.4128571428570602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'20'!F90</f>
        <v>73431.77</v>
      </c>
      <c r="F90" s="164">
        <v>73442</v>
      </c>
      <c r="G90" s="112">
        <f t="shared" si="8"/>
        <v>10.229999999995925</v>
      </c>
      <c r="H90" s="99">
        <f>G90+'20'!H90</f>
        <v>198.25999999999476</v>
      </c>
      <c r="I90" s="538">
        <f>G90</f>
        <v>10.229999999995925</v>
      </c>
      <c r="J90" s="175">
        <f>H90/DAY(B2)</f>
        <v>9.4409523809521314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'20'!F91</f>
        <v>4904.6499999999996</v>
      </c>
      <c r="F91" s="122">
        <v>4915.76</v>
      </c>
      <c r="G91" s="112">
        <f t="shared" si="8"/>
        <v>11.110000000000582</v>
      </c>
      <c r="H91" s="99">
        <f>G91+'20'!H91</f>
        <v>237.32999999999993</v>
      </c>
      <c r="I91" s="557"/>
      <c r="J91" s="175">
        <f>H91/DAY(B2)</f>
        <v>11.301428571428568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'20'!F92</f>
        <v>7000.23</v>
      </c>
      <c r="F92" s="122">
        <v>7000.23</v>
      </c>
      <c r="G92" s="112">
        <f t="shared" si="8"/>
        <v>0</v>
      </c>
      <c r="H92" s="99">
        <f>G92+'20'!H92</f>
        <v>0.22999999999956344</v>
      </c>
      <c r="I92" s="561">
        <f>G91+G92</f>
        <v>11.110000000000582</v>
      </c>
      <c r="J92" s="175">
        <f>H92/DAY(B2)</f>
        <v>1.0952380952360164E-2</v>
      </c>
      <c r="O92" s="71"/>
    </row>
    <row r="93" spans="1:15" ht="26.25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6503.5500000000466</v>
      </c>
      <c r="H94" s="99">
        <f>G94+'20'!H94</f>
        <v>138804.70000000007</v>
      </c>
      <c r="I94" s="118"/>
      <c r="J94" s="175">
        <f>H94/DAY(B2)</f>
        <v>6609.7476190476227</v>
      </c>
      <c r="K94" s="69"/>
      <c r="L94" s="66"/>
      <c r="O94" s="71"/>
    </row>
    <row r="95" spans="1:15" ht="25.5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0.25511120699800127</v>
      </c>
      <c r="H95" s="99">
        <f>G95+'20'!H95</f>
        <v>5.5419777889078272</v>
      </c>
      <c r="I95" s="167"/>
      <c r="J95" s="175">
        <f>H95/DAY(B2)</f>
        <v>0.26390370423370607</v>
      </c>
      <c r="K95" s="69"/>
      <c r="L95" s="66"/>
      <c r="O95" s="71"/>
    </row>
    <row r="96" spans="1:15" ht="25.5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7334</v>
      </c>
      <c r="H96" s="99">
        <f>G96+'20'!H96</f>
        <v>126613.45000000001</v>
      </c>
      <c r="I96" s="118"/>
      <c r="J96" s="175">
        <f>H96/DAY(B2)</f>
        <v>6029.2119047619053</v>
      </c>
      <c r="K96" s="69"/>
      <c r="L96" s="66"/>
      <c r="O96" s="71"/>
    </row>
    <row r="97" spans="1:15" ht="25.5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0.28768681598870277</v>
      </c>
      <c r="H97" s="99">
        <f>G97+'20'!H97</f>
        <v>5.0590569845913773</v>
      </c>
      <c r="I97" s="167"/>
      <c r="J97" s="175">
        <f>H97/DAY(B2)</f>
        <v>0.24090747545673225</v>
      </c>
      <c r="K97" s="69"/>
      <c r="L97" s="66"/>
      <c r="O97" s="71"/>
    </row>
    <row r="98" spans="1:15" ht="25.5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4287.8100000000559</v>
      </c>
      <c r="H98" s="99">
        <f>G98+'20'!H98</f>
        <v>88402.770000000019</v>
      </c>
      <c r="I98" s="168"/>
      <c r="J98" s="175">
        <f>H98/DAY(B2)</f>
        <v>4209.6557142857155</v>
      </c>
      <c r="K98" s="69"/>
      <c r="L98" s="66"/>
      <c r="O98" s="71"/>
    </row>
    <row r="99" spans="1:15" ht="25.5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0.16819558310124566</v>
      </c>
      <c r="H99" s="99">
        <f>G99+'20'!H99</f>
        <v>3.5307452639133379</v>
      </c>
      <c r="I99" s="168"/>
      <c r="J99" s="175">
        <f>H99/DAY(B2)</f>
        <v>0.16813072685301608</v>
      </c>
      <c r="O99" s="71"/>
    </row>
    <row r="100" spans="1:15" ht="26.25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2256</v>
      </c>
      <c r="H100" s="99">
        <f>G100+'20'!H100</f>
        <v>47786.389999999898</v>
      </c>
      <c r="I100" s="118"/>
      <c r="J100" s="175">
        <f>H100/DAY(B2)</f>
        <v>2275.5423809523759</v>
      </c>
      <c r="K100" s="70"/>
      <c r="O100" s="71"/>
    </row>
    <row r="101" spans="1:15" ht="25.5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8.849488094771113E-2</v>
      </c>
      <c r="H101" s="99">
        <f>G101+'20'!H101</f>
        <v>1.9082043254459522</v>
      </c>
      <c r="I101" s="168"/>
      <c r="J101" s="175">
        <f>H101/DAY(B2)</f>
        <v>9.0866872640283439E-2</v>
      </c>
      <c r="O101" s="71"/>
    </row>
    <row r="102" spans="1:15" ht="25.5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2294</v>
      </c>
      <c r="H102" s="99">
        <f>G102+'20'!H102</f>
        <v>50950</v>
      </c>
      <c r="I102" s="168"/>
      <c r="J102" s="175">
        <f>H102/DAY(B2)</f>
        <v>2426.1904761904761</v>
      </c>
      <c r="O102" s="71"/>
    </row>
    <row r="103" spans="1:15" ht="25.5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8.9985486211901305E-2</v>
      </c>
      <c r="H103" s="99">
        <f>G103+'20'!H103</f>
        <v>2.0388624062311793</v>
      </c>
      <c r="I103" s="118"/>
      <c r="J103" s="175">
        <f>H103/DAY(B2)</f>
        <v>9.7088686011008535E-2</v>
      </c>
      <c r="O103" s="71"/>
    </row>
    <row r="104" spans="1:15" ht="25.5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1102</v>
      </c>
      <c r="H104" s="99">
        <f>G104+'20'!H104</f>
        <v>21652</v>
      </c>
      <c r="I104" s="118"/>
      <c r="J104" s="175">
        <f>H104/DAY(B2)</f>
        <v>1031.047619047619</v>
      </c>
      <c r="O104" s="71"/>
    </row>
    <row r="105" spans="1:15" ht="26.25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4.3227552661514929E-2</v>
      </c>
      <c r="H105" s="99">
        <f>G105+'20'!H105</f>
        <v>0.86668208566857774</v>
      </c>
      <c r="I105" s="187"/>
      <c r="J105" s="188">
        <f>H105/DAY(B2)</f>
        <v>4.1270575508027513E-2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6.25">
      <c r="A109" s="1291"/>
      <c r="B109" s="1291"/>
    </row>
    <row r="110" spans="1:15" ht="26.25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5.5">
      <c r="A111" s="1270"/>
      <c r="B111" s="1271"/>
      <c r="C111" s="1272"/>
      <c r="D111" s="165"/>
      <c r="E111" s="165"/>
      <c r="F111" s="165"/>
      <c r="G111" s="165"/>
      <c r="H111" s="156"/>
      <c r="I111" s="165"/>
      <c r="J111" s="327"/>
    </row>
    <row r="112" spans="1:15" ht="25.5">
      <c r="A112" s="1266" t="s">
        <v>252</v>
      </c>
      <c r="B112" s="1267"/>
      <c r="C112" s="1268"/>
      <c r="D112" s="146" t="s">
        <v>183</v>
      </c>
      <c r="E112" s="95">
        <f>'20'!F112</f>
        <v>13051</v>
      </c>
      <c r="F112" s="237">
        <v>13117</v>
      </c>
      <c r="G112" s="112">
        <f t="shared" ref="G112:G123" si="9">F112-E112</f>
        <v>66</v>
      </c>
      <c r="H112" s="99">
        <f>G112+'20'!H112</f>
        <v>1454</v>
      </c>
      <c r="I112" s="165"/>
      <c r="J112" s="328">
        <f>H112/DAY(B2)</f>
        <v>69.238095238095241</v>
      </c>
    </row>
    <row r="113" spans="1:18" ht="29.25" customHeight="1">
      <c r="A113" s="1266" t="s">
        <v>253</v>
      </c>
      <c r="B113" s="1267"/>
      <c r="C113" s="1268"/>
      <c r="D113" s="146" t="s">
        <v>183</v>
      </c>
      <c r="E113" s="95">
        <f>'20'!F113</f>
        <v>26317</v>
      </c>
      <c r="F113" s="446">
        <v>26468</v>
      </c>
      <c r="G113" s="112">
        <f t="shared" si="9"/>
        <v>151</v>
      </c>
      <c r="H113" s="99">
        <f>G113+'20'!H113</f>
        <v>2947</v>
      </c>
      <c r="I113" s="165"/>
      <c r="J113" s="328">
        <f>H113/DAY(B2)</f>
        <v>140.33333333333334</v>
      </c>
    </row>
    <row r="114" spans="1:18" ht="29.25" customHeight="1">
      <c r="A114" s="1266" t="s">
        <v>254</v>
      </c>
      <c r="B114" s="1267"/>
      <c r="C114" s="1268"/>
      <c r="D114" s="146" t="s">
        <v>183</v>
      </c>
      <c r="E114" s="95">
        <f>'20'!F114</f>
        <v>39248</v>
      </c>
      <c r="F114" s="237">
        <v>39461</v>
      </c>
      <c r="G114" s="112">
        <f t="shared" si="9"/>
        <v>213</v>
      </c>
      <c r="H114" s="99">
        <f>G114+'20'!H114</f>
        <v>4686</v>
      </c>
      <c r="I114" s="165"/>
      <c r="J114" s="328">
        <f>H114/DAY(B2)</f>
        <v>223.14285714285714</v>
      </c>
    </row>
    <row r="115" spans="1:18" ht="29.25" customHeight="1">
      <c r="A115" s="1266" t="s">
        <v>255</v>
      </c>
      <c r="B115" s="1267"/>
      <c r="C115" s="1268"/>
      <c r="D115" s="146" t="s">
        <v>183</v>
      </c>
      <c r="E115" s="95">
        <f>'20'!F115</f>
        <v>24762</v>
      </c>
      <c r="F115" s="237">
        <v>24894</v>
      </c>
      <c r="G115" s="112">
        <f t="shared" si="9"/>
        <v>132</v>
      </c>
      <c r="H115" s="99">
        <f>G115+'20'!H115</f>
        <v>2841</v>
      </c>
      <c r="I115" s="165"/>
      <c r="J115" s="328">
        <f>H115/DAY(B2)</f>
        <v>135.28571428571428</v>
      </c>
    </row>
    <row r="116" spans="1:18" ht="29.25" customHeight="1">
      <c r="A116" s="1275" t="s">
        <v>96</v>
      </c>
      <c r="B116" s="1276"/>
      <c r="C116" s="1277"/>
      <c r="D116" s="146" t="s">
        <v>183</v>
      </c>
      <c r="E116" s="95">
        <f>'20'!F116</f>
        <v>105432</v>
      </c>
      <c r="F116" s="237">
        <v>105949</v>
      </c>
      <c r="G116" s="112">
        <f t="shared" si="9"/>
        <v>517</v>
      </c>
      <c r="H116" s="99">
        <f>G116+'20'!H116</f>
        <v>8814</v>
      </c>
      <c r="I116" s="165"/>
      <c r="J116" s="328">
        <f>H116/DAY(B2)</f>
        <v>419.71428571428572</v>
      </c>
      <c r="Q116" s="1266" t="s">
        <v>311</v>
      </c>
      <c r="R116" s="1268"/>
    </row>
    <row r="117" spans="1:18" ht="29.25" customHeight="1">
      <c r="A117" s="1275" t="s">
        <v>184</v>
      </c>
      <c r="B117" s="1276"/>
      <c r="C117" s="1277"/>
      <c r="D117" s="146" t="s">
        <v>183</v>
      </c>
      <c r="E117" s="95">
        <f>'20'!F117</f>
        <v>62872</v>
      </c>
      <c r="F117" s="237">
        <v>63171</v>
      </c>
      <c r="G117" s="112">
        <f t="shared" si="9"/>
        <v>299</v>
      </c>
      <c r="H117" s="99">
        <f>G117+'20'!H117</f>
        <v>6666</v>
      </c>
      <c r="I117" s="165"/>
      <c r="J117" s="328">
        <f>H117/DAY(B2)</f>
        <v>317.42857142857144</v>
      </c>
      <c r="Q117" s="1266" t="s">
        <v>312</v>
      </c>
      <c r="R117" s="1268"/>
    </row>
    <row r="118" spans="1:18" ht="25.5">
      <c r="A118" s="1269" t="s">
        <v>97</v>
      </c>
      <c r="B118" s="1269"/>
      <c r="C118" s="1269"/>
      <c r="D118" s="151" t="s">
        <v>183</v>
      </c>
      <c r="E118" s="95">
        <f>'20'!F118</f>
        <v>113764</v>
      </c>
      <c r="F118" s="237">
        <v>114392</v>
      </c>
      <c r="G118" s="112">
        <f t="shared" si="9"/>
        <v>628</v>
      </c>
      <c r="H118" s="99">
        <f>G118+'20'!H118</f>
        <v>12638</v>
      </c>
      <c r="I118" s="165"/>
      <c r="J118" s="328">
        <f>H118/DAY(B2)</f>
        <v>601.80952380952385</v>
      </c>
      <c r="Q118" s="1266" t="s">
        <v>311</v>
      </c>
      <c r="R118" s="1268"/>
    </row>
    <row r="119" spans="1:18" ht="25.5">
      <c r="A119" s="1269" t="s">
        <v>98</v>
      </c>
      <c r="B119" s="1269"/>
      <c r="C119" s="1269"/>
      <c r="D119" s="151" t="s">
        <v>183</v>
      </c>
      <c r="E119" s="95">
        <f>'20'!F119</f>
        <v>42827</v>
      </c>
      <c r="F119" s="237">
        <v>42839</v>
      </c>
      <c r="G119" s="112">
        <f t="shared" si="9"/>
        <v>12</v>
      </c>
      <c r="H119" s="99">
        <f>G119+'20'!H119</f>
        <v>258</v>
      </c>
      <c r="I119" s="165"/>
      <c r="J119" s="328">
        <f>H119/DAY(B2)</f>
        <v>12.285714285714286</v>
      </c>
    </row>
    <row r="120" spans="1:18" ht="25.5">
      <c r="A120" s="1269" t="s">
        <v>99</v>
      </c>
      <c r="B120" s="1269"/>
      <c r="C120" s="1269"/>
      <c r="D120" s="151" t="s">
        <v>183</v>
      </c>
      <c r="E120" s="95">
        <f>'20'!F120</f>
        <v>79371</v>
      </c>
      <c r="F120" s="400">
        <v>79788</v>
      </c>
      <c r="G120" s="112">
        <f t="shared" si="9"/>
        <v>417</v>
      </c>
      <c r="H120" s="99">
        <f>G120+'20'!H120</f>
        <v>8456</v>
      </c>
      <c r="I120" s="165"/>
      <c r="J120" s="328">
        <f>H120/DAY(B2)</f>
        <v>402.66666666666669</v>
      </c>
    </row>
    <row r="121" spans="1:18" ht="25.5">
      <c r="A121" s="1269" t="s">
        <v>100</v>
      </c>
      <c r="B121" s="1269"/>
      <c r="C121" s="1269"/>
      <c r="D121" s="151" t="s">
        <v>183</v>
      </c>
      <c r="E121" s="95">
        <f>'20'!F121</f>
        <v>90256</v>
      </c>
      <c r="F121" s="237">
        <v>90697</v>
      </c>
      <c r="G121" s="112">
        <f t="shared" si="9"/>
        <v>441</v>
      </c>
      <c r="H121" s="99">
        <f>G121+'20'!H121</f>
        <v>9341</v>
      </c>
      <c r="I121" s="165"/>
      <c r="J121" s="328">
        <f>H121/DAY(B2)</f>
        <v>444.8095238095238</v>
      </c>
    </row>
    <row r="122" spans="1:18" ht="25.5">
      <c r="A122" s="1269" t="s">
        <v>101</v>
      </c>
      <c r="B122" s="1269"/>
      <c r="C122" s="1269"/>
      <c r="D122" s="151" t="s">
        <v>183</v>
      </c>
      <c r="E122" s="95">
        <f>'20'!F122</f>
        <v>56761</v>
      </c>
      <c r="F122" s="237">
        <v>57145</v>
      </c>
      <c r="G122" s="112">
        <f t="shared" si="9"/>
        <v>384</v>
      </c>
      <c r="H122" s="99">
        <f>G122+'20'!H122</f>
        <v>8014</v>
      </c>
      <c r="I122" s="165"/>
      <c r="J122" s="328">
        <f>H122/DAY(B2)</f>
        <v>381.61904761904759</v>
      </c>
    </row>
    <row r="123" spans="1:18" ht="25.5">
      <c r="A123" s="1269" t="s">
        <v>102</v>
      </c>
      <c r="B123" s="1269"/>
      <c r="C123" s="1269"/>
      <c r="D123" s="151" t="s">
        <v>183</v>
      </c>
      <c r="E123" s="95">
        <f>'20'!F123</f>
        <v>55844</v>
      </c>
      <c r="F123" s="237">
        <v>56144</v>
      </c>
      <c r="G123" s="112">
        <f t="shared" si="9"/>
        <v>300</v>
      </c>
      <c r="H123" s="99">
        <f>G123+'20'!H123</f>
        <v>6395</v>
      </c>
      <c r="I123" s="165"/>
      <c r="J123" s="328">
        <f>H123/DAY(B2)</f>
        <v>304.52380952380952</v>
      </c>
    </row>
    <row r="124" spans="1:18" ht="29.25" customHeight="1">
      <c r="A124" s="1270"/>
      <c r="B124" s="1271"/>
      <c r="C124" s="1272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5.5">
      <c r="A125" s="1261" t="s">
        <v>196</v>
      </c>
      <c r="B125" s="1262"/>
      <c r="C125" s="245"/>
      <c r="D125" s="307"/>
      <c r="E125" s="308"/>
      <c r="F125" s="308"/>
      <c r="G125" s="309">
        <f>SUM(G112:G124)</f>
        <v>3560</v>
      </c>
      <c r="H125" s="156"/>
      <c r="I125" s="327">
        <f>G125-(G39+G53)</f>
        <v>-727.81000000005588</v>
      </c>
      <c r="J125" s="327"/>
    </row>
    <row r="126" spans="1:18" ht="25.5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5.5">
      <c r="A127" s="1274"/>
      <c r="B127" s="1274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1266" t="s">
        <v>318</v>
      </c>
      <c r="B128" s="1267"/>
      <c r="C128" s="1268"/>
      <c r="D128" s="151" t="s">
        <v>183</v>
      </c>
      <c r="E128" s="95">
        <f>'20'!F128</f>
        <v>163121</v>
      </c>
      <c r="F128" s="165">
        <v>163526</v>
      </c>
      <c r="G128" s="112">
        <f t="shared" ref="G128:G134" si="10">F128-E128</f>
        <v>405</v>
      </c>
      <c r="H128" s="99">
        <f>G128+'20'!H128</f>
        <v>8711</v>
      </c>
      <c r="I128" s="165"/>
      <c r="J128" s="328">
        <f>H128/DAY(B2)</f>
        <v>414.8095238095238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'20'!F129</f>
        <v>87716</v>
      </c>
      <c r="F129" s="165">
        <v>87934</v>
      </c>
      <c r="G129" s="112">
        <f t="shared" si="10"/>
        <v>218</v>
      </c>
      <c r="H129" s="99">
        <f>G129+'20'!H129</f>
        <v>3998</v>
      </c>
      <c r="I129" s="165"/>
      <c r="J129" s="328">
        <f>H129/DAY(B2)</f>
        <v>190.38095238095238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'20'!F130</f>
        <v>219547</v>
      </c>
      <c r="F130" s="443">
        <v>220238</v>
      </c>
      <c r="G130" s="112">
        <f t="shared" si="10"/>
        <v>691</v>
      </c>
      <c r="H130" s="99">
        <f>G130+'20'!H130</f>
        <v>13479</v>
      </c>
      <c r="I130" s="165"/>
      <c r="J130" s="328">
        <f>H130/DAY(B2)</f>
        <v>641.85714285714289</v>
      </c>
      <c r="N130" s="240"/>
      <c r="O130" s="241"/>
    </row>
    <row r="131" spans="1:15" ht="25.5">
      <c r="A131" s="1266" t="s">
        <v>321</v>
      </c>
      <c r="B131" s="1267"/>
      <c r="C131" s="1268"/>
      <c r="D131" s="151" t="s">
        <v>183</v>
      </c>
      <c r="E131" s="95">
        <f>'20'!F131</f>
        <v>64212</v>
      </c>
      <c r="F131" s="165">
        <v>64421</v>
      </c>
      <c r="G131" s="112">
        <f t="shared" si="10"/>
        <v>209</v>
      </c>
      <c r="H131" s="99">
        <f>G131+'20'!H131</f>
        <v>4113</v>
      </c>
      <c r="I131" s="165"/>
      <c r="J131" s="328">
        <f>H131/DAY(B2)</f>
        <v>195.85714285714286</v>
      </c>
      <c r="N131" s="240"/>
      <c r="O131" s="241"/>
    </row>
    <row r="132" spans="1:15" ht="25.5">
      <c r="A132" s="1266" t="s">
        <v>322</v>
      </c>
      <c r="B132" s="1267"/>
      <c r="C132" s="1268"/>
      <c r="D132" s="151" t="s">
        <v>183</v>
      </c>
      <c r="E132" s="95">
        <f>'20'!F132</f>
        <v>146985</v>
      </c>
      <c r="F132" s="165">
        <v>146985</v>
      </c>
      <c r="G132" s="112">
        <f t="shared" si="10"/>
        <v>0</v>
      </c>
      <c r="H132" s="99">
        <f>G132+'20'!H132</f>
        <v>0</v>
      </c>
      <c r="I132" s="165"/>
      <c r="J132" s="328">
        <f>H132/DAY(B2)</f>
        <v>0</v>
      </c>
    </row>
    <row r="133" spans="1:15" ht="25.5">
      <c r="A133" s="1266" t="s">
        <v>357</v>
      </c>
      <c r="B133" s="1267"/>
      <c r="C133" s="1268"/>
      <c r="D133" s="151" t="s">
        <v>183</v>
      </c>
      <c r="E133" s="95">
        <f>'20'!F133</f>
        <v>283429</v>
      </c>
      <c r="F133" s="165">
        <v>284268</v>
      </c>
      <c r="G133" s="112">
        <f t="shared" si="10"/>
        <v>839</v>
      </c>
      <c r="H133" s="99">
        <f>G133+'20'!H133</f>
        <v>18323</v>
      </c>
      <c r="I133" s="165"/>
      <c r="J133" s="328">
        <f>H133/DAY(B2)</f>
        <v>872.52380952380952</v>
      </c>
    </row>
    <row r="134" spans="1:15" ht="25.5">
      <c r="A134" s="1266" t="s">
        <v>340</v>
      </c>
      <c r="B134" s="1267"/>
      <c r="C134" s="1268"/>
      <c r="D134" s="151" t="s">
        <v>183</v>
      </c>
      <c r="E134" s="95">
        <f>'20'!F134</f>
        <v>68722</v>
      </c>
      <c r="F134" s="165">
        <v>68972</v>
      </c>
      <c r="G134" s="112">
        <f t="shared" si="10"/>
        <v>250</v>
      </c>
      <c r="H134" s="99">
        <f>G134+'20'!H134</f>
        <v>5310</v>
      </c>
      <c r="I134" s="165"/>
      <c r="J134" s="328">
        <f>H134/DAY(B2)</f>
        <v>252.85714285714286</v>
      </c>
    </row>
    <row r="135" spans="1:15" ht="25.5">
      <c r="A135" s="1261" t="s">
        <v>196</v>
      </c>
      <c r="B135" s="1262"/>
      <c r="C135" s="331"/>
      <c r="D135" s="151"/>
      <c r="E135" s="95"/>
      <c r="F135" s="165"/>
      <c r="G135" s="112">
        <f>SUM(G128:G134)</f>
        <v>2612</v>
      </c>
      <c r="H135" s="99">
        <f>G135+'10'!H135</f>
        <v>28109.390000000021</v>
      </c>
      <c r="I135" s="327">
        <f>G135-(G35+G49)</f>
        <v>-1043.5500000000466</v>
      </c>
      <c r="J135" s="328"/>
    </row>
    <row r="136" spans="1:15" ht="27.75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9" t="s">
        <v>185</v>
      </c>
      <c r="B138" s="1269"/>
      <c r="C138" s="1269"/>
      <c r="D138" s="151" t="s">
        <v>183</v>
      </c>
      <c r="E138" s="95">
        <f>'20'!F138</f>
        <v>901241</v>
      </c>
      <c r="F138" s="147">
        <v>901421</v>
      </c>
      <c r="G138" s="112">
        <f t="shared" ref="G138:G152" si="11">F138-E138</f>
        <v>180</v>
      </c>
      <c r="H138" s="99">
        <f>G138+'20'!H138</f>
        <v>3216</v>
      </c>
      <c r="I138" s="118"/>
      <c r="J138" s="328">
        <f>H138/DAY(B2)</f>
        <v>153.14285714285714</v>
      </c>
    </row>
    <row r="139" spans="1:15" ht="25.5">
      <c r="A139" s="1269" t="s">
        <v>186</v>
      </c>
      <c r="B139" s="1269"/>
      <c r="C139" s="1269"/>
      <c r="D139" s="151" t="s">
        <v>183</v>
      </c>
      <c r="E139" s="95">
        <f>'20'!F139</f>
        <v>921230</v>
      </c>
      <c r="F139" s="148">
        <v>921362</v>
      </c>
      <c r="G139" s="112">
        <f t="shared" si="11"/>
        <v>132</v>
      </c>
      <c r="H139" s="99">
        <f>G139+'20'!H139</f>
        <v>3158</v>
      </c>
      <c r="I139" s="118"/>
      <c r="J139" s="328">
        <f>H139/DAY(B2)</f>
        <v>150.38095238095238</v>
      </c>
    </row>
    <row r="140" spans="1:15" ht="25.5">
      <c r="A140" s="1269" t="s">
        <v>187</v>
      </c>
      <c r="B140" s="1269"/>
      <c r="C140" s="1269"/>
      <c r="D140" s="151" t="s">
        <v>183</v>
      </c>
      <c r="E140" s="95">
        <f>'20'!F140</f>
        <v>2575</v>
      </c>
      <c r="F140" s="149">
        <v>2585</v>
      </c>
      <c r="G140" s="112">
        <f t="shared" si="11"/>
        <v>10</v>
      </c>
      <c r="H140" s="99">
        <f>G140+'20'!H140</f>
        <v>242</v>
      </c>
      <c r="I140" s="118"/>
      <c r="J140" s="328">
        <f>H140/DAY(B2)</f>
        <v>11.523809523809524</v>
      </c>
    </row>
    <row r="141" spans="1:15" ht="25.5">
      <c r="A141" s="1256" t="s">
        <v>188</v>
      </c>
      <c r="B141" s="1256"/>
      <c r="C141" s="1256"/>
      <c r="D141" s="151" t="s">
        <v>183</v>
      </c>
      <c r="E141" s="95">
        <f>'20'!F141</f>
        <v>108265</v>
      </c>
      <c r="F141" s="149">
        <v>108495</v>
      </c>
      <c r="G141" s="112">
        <f t="shared" si="11"/>
        <v>230</v>
      </c>
      <c r="H141" s="99">
        <f>G141+'20'!H141</f>
        <v>4721</v>
      </c>
      <c r="I141" s="118"/>
      <c r="J141" s="328">
        <f>H141/DAY(B2)</f>
        <v>224.8095238095238</v>
      </c>
    </row>
    <row r="142" spans="1:15" ht="25.5">
      <c r="A142" s="1256" t="s">
        <v>189</v>
      </c>
      <c r="B142" s="1256"/>
      <c r="C142" s="1256"/>
      <c r="D142" s="151" t="s">
        <v>183</v>
      </c>
      <c r="E142" s="95">
        <f>'20'!F142</f>
        <v>43700</v>
      </c>
      <c r="F142" s="148">
        <v>43803</v>
      </c>
      <c r="G142" s="112">
        <f t="shared" si="11"/>
        <v>103</v>
      </c>
      <c r="H142" s="99">
        <f>G142+'20'!H142</f>
        <v>1988</v>
      </c>
      <c r="I142" s="140"/>
      <c r="J142" s="328">
        <f>H142/DAY(B2)</f>
        <v>94.666666666666671</v>
      </c>
    </row>
    <row r="143" spans="1:15" ht="25.5">
      <c r="A143" s="1269" t="s">
        <v>91</v>
      </c>
      <c r="B143" s="1269"/>
      <c r="C143" s="1269"/>
      <c r="D143" s="151" t="s">
        <v>183</v>
      </c>
      <c r="E143" s="95">
        <f>'20'!F143</f>
        <v>11239</v>
      </c>
      <c r="F143" s="149">
        <v>11268</v>
      </c>
      <c r="G143" s="112">
        <f t="shared" si="11"/>
        <v>29</v>
      </c>
      <c r="H143" s="99">
        <f>G143+'20'!H143</f>
        <v>591</v>
      </c>
      <c r="I143" s="140"/>
      <c r="J143" s="328">
        <f>H143/DAY(B2)</f>
        <v>28.142857142857142</v>
      </c>
    </row>
    <row r="144" spans="1:15" ht="25.5">
      <c r="A144" s="1256" t="s">
        <v>90</v>
      </c>
      <c r="B144" s="1256"/>
      <c r="C144" s="1256"/>
      <c r="D144" s="151" t="s">
        <v>183</v>
      </c>
      <c r="E144" s="95">
        <f>'20'!F144</f>
        <v>938348</v>
      </c>
      <c r="F144" s="147">
        <v>938552</v>
      </c>
      <c r="G144" s="112">
        <f t="shared" si="11"/>
        <v>204</v>
      </c>
      <c r="H144" s="99">
        <f>G144+'20'!H144</f>
        <v>5031</v>
      </c>
      <c r="I144" s="140"/>
      <c r="J144" s="328">
        <f>H144/DAY(B2)</f>
        <v>239.57142857142858</v>
      </c>
    </row>
    <row r="145" spans="1:10" ht="25.5">
      <c r="A145" s="1269" t="s">
        <v>190</v>
      </c>
      <c r="B145" s="1269"/>
      <c r="C145" s="1269"/>
      <c r="D145" s="152" t="s">
        <v>183</v>
      </c>
      <c r="E145" s="95">
        <f>'20'!F145</f>
        <v>17323</v>
      </c>
      <c r="F145" s="147">
        <v>17483</v>
      </c>
      <c r="G145" s="112">
        <f t="shared" si="11"/>
        <v>160</v>
      </c>
      <c r="H145" s="99">
        <f>G145+'20'!H145</f>
        <v>4343</v>
      </c>
      <c r="I145" s="140"/>
      <c r="J145" s="328">
        <f>H145/DAY(B2)</f>
        <v>206.8095238095238</v>
      </c>
    </row>
    <row r="146" spans="1:10" ht="25.5">
      <c r="A146" s="1332" t="s">
        <v>191</v>
      </c>
      <c r="B146" s="1289"/>
      <c r="C146" s="1290"/>
      <c r="D146" s="152" t="s">
        <v>183</v>
      </c>
      <c r="E146" s="95">
        <f>'20'!F146</f>
        <v>785253</v>
      </c>
      <c r="F146" s="148">
        <v>785301</v>
      </c>
      <c r="G146" s="112">
        <f t="shared" si="11"/>
        <v>48</v>
      </c>
      <c r="H146" s="99">
        <f>G146+'20'!H146</f>
        <v>962</v>
      </c>
      <c r="I146" s="140"/>
      <c r="J146" s="328">
        <f>H146/DAY(B2)</f>
        <v>45.80952380952381</v>
      </c>
    </row>
    <row r="147" spans="1:10" ht="25.5">
      <c r="A147" s="1256" t="s">
        <v>192</v>
      </c>
      <c r="B147" s="1256"/>
      <c r="C147" s="1256"/>
      <c r="D147" s="152" t="s">
        <v>183</v>
      </c>
      <c r="E147" s="95">
        <f>'20'!F147</f>
        <v>731487</v>
      </c>
      <c r="F147" s="148">
        <v>731896</v>
      </c>
      <c r="G147" s="112">
        <f t="shared" si="11"/>
        <v>409</v>
      </c>
      <c r="H147" s="99">
        <f>G147+'20'!H147</f>
        <v>8374</v>
      </c>
      <c r="I147" s="140"/>
      <c r="J147" s="328">
        <f>H147/DAY(B2)</f>
        <v>398.76190476190476</v>
      </c>
    </row>
    <row r="148" spans="1:10" ht="25.5">
      <c r="A148" s="1257" t="s">
        <v>193</v>
      </c>
      <c r="B148" s="1258"/>
      <c r="C148" s="1259"/>
      <c r="D148" s="123" t="s">
        <v>130</v>
      </c>
      <c r="E148" s="95">
        <f>'20'!F148</f>
        <v>772601</v>
      </c>
      <c r="F148" s="150">
        <v>772921</v>
      </c>
      <c r="G148" s="112">
        <f t="shared" si="11"/>
        <v>320</v>
      </c>
      <c r="H148" s="99">
        <f>G148+'20'!H148</f>
        <v>6311</v>
      </c>
      <c r="I148" s="124"/>
      <c r="J148" s="328">
        <f>H148/DAY(B2)</f>
        <v>300.52380952380952</v>
      </c>
    </row>
    <row r="149" spans="1:10" ht="25.5">
      <c r="A149" s="1257" t="s">
        <v>336</v>
      </c>
      <c r="B149" s="1258"/>
      <c r="C149" s="1259"/>
      <c r="D149" s="227" t="s">
        <v>130</v>
      </c>
      <c r="E149" s="95">
        <f>'20'!F149</f>
        <v>166762</v>
      </c>
      <c r="F149" s="146">
        <v>167208</v>
      </c>
      <c r="G149" s="112">
        <f t="shared" si="11"/>
        <v>446</v>
      </c>
      <c r="H149" s="99">
        <f>G149+'20'!H149</f>
        <v>9241</v>
      </c>
      <c r="I149" s="119"/>
      <c r="J149" s="328">
        <f>H149/DAY(B2)</f>
        <v>440.04761904761904</v>
      </c>
    </row>
    <row r="150" spans="1:10" ht="25.5">
      <c r="A150" s="1257" t="s">
        <v>337</v>
      </c>
      <c r="B150" s="1258"/>
      <c r="C150" s="1259"/>
      <c r="D150" s="117" t="s">
        <v>130</v>
      </c>
      <c r="E150" s="95">
        <f>'20'!F150</f>
        <v>68403</v>
      </c>
      <c r="F150" s="233">
        <v>68627</v>
      </c>
      <c r="G150" s="112">
        <f t="shared" si="11"/>
        <v>224</v>
      </c>
      <c r="H150" s="99">
        <f>G150+'20'!H150</f>
        <v>4649</v>
      </c>
      <c r="I150" s="119"/>
      <c r="J150" s="328">
        <f>H150/DAY(B2)</f>
        <v>221.38095238095238</v>
      </c>
    </row>
    <row r="151" spans="1:10" ht="25.5">
      <c r="A151" s="1257" t="s">
        <v>338</v>
      </c>
      <c r="B151" s="1258"/>
      <c r="C151" s="1259"/>
      <c r="D151" s="117" t="s">
        <v>130</v>
      </c>
      <c r="E151" s="95">
        <f>'20'!F151</f>
        <v>150820</v>
      </c>
      <c r="F151" s="152">
        <v>150852</v>
      </c>
      <c r="G151" s="112">
        <f t="shared" si="11"/>
        <v>32</v>
      </c>
      <c r="H151" s="99">
        <f>G151+'20'!H151</f>
        <v>1064</v>
      </c>
      <c r="I151" s="119"/>
      <c r="J151" s="328">
        <f>H151/DAY(B2)</f>
        <v>50.666666666666664</v>
      </c>
    </row>
    <row r="152" spans="1:10" ht="25.5">
      <c r="A152" s="1257" t="s">
        <v>339</v>
      </c>
      <c r="B152" s="1258"/>
      <c r="C152" s="1259"/>
      <c r="D152" s="117" t="s">
        <v>130</v>
      </c>
      <c r="E152" s="95">
        <f>'20'!F152</f>
        <v>33182</v>
      </c>
      <c r="F152" s="233">
        <v>33310</v>
      </c>
      <c r="G152" s="112">
        <f t="shared" si="11"/>
        <v>128</v>
      </c>
      <c r="H152" s="99">
        <f>G152+'20'!H152</f>
        <v>2696</v>
      </c>
      <c r="I152" s="119"/>
      <c r="J152" s="328">
        <f>H152/DAY(B2)</f>
        <v>128.38095238095238</v>
      </c>
    </row>
    <row r="153" spans="1:10" ht="25.5">
      <c r="A153" s="1261" t="s">
        <v>196</v>
      </c>
      <c r="B153" s="1262"/>
      <c r="C153" s="362"/>
      <c r="D153" s="355"/>
      <c r="E153" s="357"/>
      <c r="F153" s="358"/>
      <c r="G153" s="359">
        <f>SUM(G138:G152)</f>
        <v>2655</v>
      </c>
      <c r="H153" s="360"/>
      <c r="I153" s="119">
        <f>G153-(G38+G52)</f>
        <v>399</v>
      </c>
      <c r="J153" s="363"/>
    </row>
    <row r="154" spans="1:10" ht="27.75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0" ht="27.75">
      <c r="A155" s="1256" t="s">
        <v>345</v>
      </c>
      <c r="B155" s="1256"/>
      <c r="C155" s="1256"/>
      <c r="D155" s="117" t="s">
        <v>130</v>
      </c>
      <c r="E155" s="95">
        <f>'20'!F155</f>
        <v>196614</v>
      </c>
      <c r="F155" s="365">
        <v>197140</v>
      </c>
      <c r="G155" s="112">
        <f t="shared" ref="G155:G158" si="12">F155-E155</f>
        <v>526</v>
      </c>
      <c r="H155" s="99">
        <f>G155+'20'!H155</f>
        <v>11399</v>
      </c>
      <c r="I155" s="361"/>
      <c r="J155" s="328">
        <f>H155/DAY(B2)</f>
        <v>542.80952380952385</v>
      </c>
    </row>
    <row r="156" spans="1:10" ht="25.5">
      <c r="A156" s="1256" t="s">
        <v>347</v>
      </c>
      <c r="B156" s="1256"/>
      <c r="C156" s="1256"/>
      <c r="D156" s="117" t="s">
        <v>130</v>
      </c>
      <c r="E156" s="95">
        <f>'20'!F156</f>
        <v>22652</v>
      </c>
      <c r="F156" s="155">
        <v>22748</v>
      </c>
      <c r="G156" s="112">
        <f t="shared" si="12"/>
        <v>96</v>
      </c>
      <c r="H156" s="99">
        <f>G156+'20'!H156</f>
        <v>2009</v>
      </c>
      <c r="I156" s="165"/>
      <c r="J156" s="328">
        <f>H156/DAY(B2)</f>
        <v>95.666666666666671</v>
      </c>
    </row>
    <row r="157" spans="1:10" ht="25.5">
      <c r="A157" s="1257" t="s">
        <v>358</v>
      </c>
      <c r="B157" s="1258"/>
      <c r="C157" s="1259"/>
      <c r="D157" s="117" t="s">
        <v>130</v>
      </c>
      <c r="E157" s="95">
        <f>'20'!F157</f>
        <v>37558.54</v>
      </c>
      <c r="F157" s="155">
        <v>37558.54</v>
      </c>
      <c r="G157" s="112">
        <f t="shared" si="12"/>
        <v>0</v>
      </c>
      <c r="H157" s="99">
        <f>G157+'20'!H157</f>
        <v>0</v>
      </c>
      <c r="I157" s="165"/>
      <c r="J157" s="328">
        <f>H157/DAY(B2)</f>
        <v>0</v>
      </c>
    </row>
    <row r="158" spans="1:10" ht="25.5">
      <c r="A158" s="1257" t="s">
        <v>359</v>
      </c>
      <c r="B158" s="1258"/>
      <c r="C158" s="1259"/>
      <c r="D158" s="117" t="s">
        <v>130</v>
      </c>
      <c r="E158" s="95">
        <f>'20'!F158</f>
        <v>965</v>
      </c>
      <c r="F158" s="155">
        <v>985</v>
      </c>
      <c r="G158" s="112">
        <f t="shared" si="12"/>
        <v>20</v>
      </c>
      <c r="H158" s="99">
        <f>G158+'20'!H158</f>
        <v>46</v>
      </c>
      <c r="I158" s="165"/>
      <c r="J158" s="328">
        <f>H158/DAY(B2)</f>
        <v>2.1904761904761907</v>
      </c>
    </row>
    <row r="159" spans="1:10" ht="25.5">
      <c r="A159" s="1263"/>
      <c r="B159" s="1264"/>
      <c r="C159" s="1265"/>
      <c r="D159" s="117"/>
      <c r="E159" s="95"/>
      <c r="F159" s="165"/>
      <c r="G159" s="112"/>
      <c r="H159" s="99"/>
      <c r="I159" s="165"/>
      <c r="J159" s="328"/>
    </row>
    <row r="160" spans="1:10" ht="27.75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26.25">
      <c r="A161" s="242" t="s">
        <v>92</v>
      </c>
      <c r="B161" s="243"/>
      <c r="C161" s="243"/>
      <c r="D161" s="244" t="s">
        <v>180</v>
      </c>
      <c r="E161" s="95">
        <f>'20'!F161</f>
        <v>494266</v>
      </c>
      <c r="F161" s="235">
        <v>494499</v>
      </c>
      <c r="G161" s="238">
        <f t="shared" ref="G161:G165" si="13">F161-E161</f>
        <v>233</v>
      </c>
      <c r="H161" s="99">
        <f>G161+'20'!H161</f>
        <v>1221.960000000021</v>
      </c>
      <c r="I161" s="236"/>
      <c r="J161" s="239">
        <f>H161/DAY(B2)</f>
        <v>58.188571428572423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'20'!F162</f>
        <v>98056</v>
      </c>
      <c r="F162" s="235">
        <v>98099</v>
      </c>
      <c r="G162" s="238">
        <f t="shared" si="13"/>
        <v>43</v>
      </c>
      <c r="H162" s="99">
        <f>G162+'20'!H162</f>
        <v>811</v>
      </c>
      <c r="I162" s="236"/>
      <c r="J162" s="239">
        <f>H162/DAY(B2)</f>
        <v>38.61904761904762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'20'!F163</f>
        <v>16551</v>
      </c>
      <c r="F163" s="480">
        <v>16682</v>
      </c>
      <c r="G163" s="238">
        <f t="shared" si="13"/>
        <v>131</v>
      </c>
      <c r="H163" s="99">
        <f>G163+'20'!H163</f>
        <v>2518</v>
      </c>
      <c r="I163" s="236"/>
      <c r="J163" s="239">
        <f>H163/DAY(B2)</f>
        <v>119.9047619047619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'20'!F164</f>
        <v>6761</v>
      </c>
      <c r="F164" s="480">
        <v>6769</v>
      </c>
      <c r="G164" s="238">
        <f t="shared" si="13"/>
        <v>8</v>
      </c>
      <c r="H164" s="99">
        <f>G164+'20'!H164</f>
        <v>157</v>
      </c>
      <c r="I164" s="236"/>
      <c r="J164" s="239">
        <f>H164/DAY(B2)</f>
        <v>7.4761904761904763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'20'!F165</f>
        <v>32281</v>
      </c>
      <c r="F165" s="235">
        <v>32289</v>
      </c>
      <c r="G165" s="238">
        <f t="shared" si="13"/>
        <v>8</v>
      </c>
      <c r="H165" s="99">
        <f>G165+'20'!H165</f>
        <v>148</v>
      </c>
      <c r="I165" s="236"/>
      <c r="J165" s="239">
        <f>H165/DAY(B2)</f>
        <v>7.0476190476190474</v>
      </c>
    </row>
    <row r="166" spans="1:10" ht="26.25">
      <c r="A166" s="1274"/>
      <c r="B166" s="1274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6.25">
      <c r="A167" s="1274"/>
      <c r="B167" s="1274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6.25">
      <c r="A168" s="1274"/>
      <c r="B168" s="1274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5.5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54" t="s">
        <v>209</v>
      </c>
      <c r="B173" s="1255"/>
      <c r="C173" s="333"/>
      <c r="D173" s="228" t="s">
        <v>142</v>
      </c>
      <c r="E173" s="95">
        <f>'20'!F173</f>
        <v>8610</v>
      </c>
      <c r="F173" s="155">
        <v>8610</v>
      </c>
      <c r="G173" s="155">
        <f>F173-E173</f>
        <v>0</v>
      </c>
      <c r="H173" s="99">
        <f>G173+'20'!H173</f>
        <v>29</v>
      </c>
      <c r="I173" s="155"/>
      <c r="J173" s="178">
        <f>H173/DAY(B2)</f>
        <v>1.3809523809523809</v>
      </c>
    </row>
    <row r="174" spans="1:10" ht="25.5">
      <c r="A174" s="1254" t="s">
        <v>75</v>
      </c>
      <c r="B174" s="1255"/>
      <c r="C174" s="333"/>
      <c r="D174" s="228" t="s">
        <v>142</v>
      </c>
      <c r="E174" s="95">
        <f>'20'!F174</f>
        <v>42228</v>
      </c>
      <c r="F174" s="157">
        <v>42242</v>
      </c>
      <c r="G174" s="155">
        <f t="shared" ref="G174:G175" si="14">F174-E174</f>
        <v>14</v>
      </c>
      <c r="H174" s="99">
        <f>G174+'20'!H174</f>
        <v>280</v>
      </c>
      <c r="I174" s="155"/>
      <c r="J174" s="178">
        <f>H174/DAY(B2)</f>
        <v>13.333333333333334</v>
      </c>
    </row>
    <row r="175" spans="1:10" ht="25.5">
      <c r="A175" s="1254" t="s">
        <v>76</v>
      </c>
      <c r="B175" s="1324"/>
      <c r="C175" s="1255"/>
      <c r="D175" s="228" t="s">
        <v>142</v>
      </c>
      <c r="E175" s="95">
        <f>'20'!F175</f>
        <v>24927</v>
      </c>
      <c r="F175" s="155">
        <v>24939</v>
      </c>
      <c r="G175" s="155">
        <f t="shared" si="14"/>
        <v>12</v>
      </c>
      <c r="H175" s="99">
        <f>G175+'20'!H175</f>
        <v>242</v>
      </c>
      <c r="I175" s="155"/>
      <c r="J175" s="178">
        <f>H175/DAY(B2)</f>
        <v>11.523809523809524</v>
      </c>
    </row>
    <row r="176" spans="1:10" ht="25.5">
      <c r="A176" s="1261" t="s">
        <v>196</v>
      </c>
      <c r="B176" s="1262"/>
      <c r="C176" s="384"/>
      <c r="D176" s="228" t="s">
        <v>142</v>
      </c>
      <c r="E176" s="95"/>
      <c r="F176" s="155"/>
      <c r="G176" s="155">
        <f>SUM(G173:G175)</f>
        <v>26</v>
      </c>
      <c r="H176" s="99">
        <f>G176+'20'!H176</f>
        <v>551</v>
      </c>
      <c r="I176" s="155"/>
      <c r="J176" s="178">
        <f>H176/DAY(B2)</f>
        <v>26.238095238095237</v>
      </c>
    </row>
    <row r="177" spans="1:10" ht="25.5">
      <c r="A177" s="1254" t="s">
        <v>77</v>
      </c>
      <c r="B177" s="1255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5.5">
      <c r="A178" s="1254" t="s">
        <v>210</v>
      </c>
      <c r="B178" s="1255"/>
      <c r="C178" s="333"/>
      <c r="D178" s="228" t="s">
        <v>142</v>
      </c>
      <c r="E178" s="95">
        <f>'20'!F178</f>
        <v>102114</v>
      </c>
      <c r="F178" s="155">
        <v>102114</v>
      </c>
      <c r="G178" s="155">
        <f>F178-E178</f>
        <v>0</v>
      </c>
      <c r="H178" s="99">
        <f>G178+'20'!H178</f>
        <v>3</v>
      </c>
      <c r="I178" s="155"/>
      <c r="J178" s="178">
        <f>H178/DAY(B2)</f>
        <v>0.14285714285714285</v>
      </c>
    </row>
    <row r="179" spans="1:10" ht="25.5">
      <c r="A179" s="1254" t="s">
        <v>211</v>
      </c>
      <c r="B179" s="1255"/>
      <c r="C179" s="333"/>
      <c r="D179" s="228" t="s">
        <v>142</v>
      </c>
      <c r="E179" s="95">
        <f>'20'!F179</f>
        <v>37501</v>
      </c>
      <c r="F179" s="155">
        <v>37501</v>
      </c>
      <c r="G179" s="155">
        <f t="shared" ref="G179:G180" si="15">F179-E179</f>
        <v>0</v>
      </c>
      <c r="H179" s="99">
        <f>G179+'20'!H179</f>
        <v>0</v>
      </c>
      <c r="I179" s="155"/>
      <c r="J179" s="178">
        <f>H179/DAY(B2)</f>
        <v>0</v>
      </c>
    </row>
    <row r="180" spans="1:10" ht="25.5">
      <c r="A180" s="1254" t="s">
        <v>212</v>
      </c>
      <c r="B180" s="1255"/>
      <c r="C180" s="333"/>
      <c r="D180" s="228" t="s">
        <v>142</v>
      </c>
      <c r="E180" s="95">
        <f>'20'!F180</f>
        <v>37036</v>
      </c>
      <c r="F180" s="155">
        <v>37036</v>
      </c>
      <c r="G180" s="155">
        <f t="shared" si="15"/>
        <v>0</v>
      </c>
      <c r="H180" s="99">
        <f>G180+'20'!H180</f>
        <v>0</v>
      </c>
      <c r="I180" s="155"/>
      <c r="J180" s="178">
        <f>H180/DAY(B2)</f>
        <v>0</v>
      </c>
    </row>
    <row r="181" spans="1:10" ht="25.5">
      <c r="A181" s="1325" t="s">
        <v>108</v>
      </c>
      <c r="B181" s="1326"/>
      <c r="C181" s="384"/>
      <c r="D181" s="228" t="s">
        <v>142</v>
      </c>
      <c r="E181" s="95"/>
      <c r="F181" s="155"/>
      <c r="G181" s="155">
        <f>SUM(G178:G180)</f>
        <v>0</v>
      </c>
      <c r="H181" s="99">
        <f>G181+'20'!H181</f>
        <v>3</v>
      </c>
      <c r="I181" s="155"/>
      <c r="J181" s="178">
        <f>H181/DAY(B2)</f>
        <v>0.14285714285714285</v>
      </c>
    </row>
    <row r="182" spans="1:10" ht="25.5">
      <c r="A182" s="1254" t="s">
        <v>213</v>
      </c>
      <c r="B182" s="1255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5.5">
      <c r="A183" s="1254" t="s">
        <v>214</v>
      </c>
      <c r="B183" s="1255"/>
      <c r="C183" s="334"/>
      <c r="D183" s="228" t="s">
        <v>142</v>
      </c>
      <c r="E183" s="95">
        <f>'20'!F183</f>
        <v>17968</v>
      </c>
      <c r="F183" s="157">
        <v>17968</v>
      </c>
      <c r="G183" s="157">
        <f>F183-E183</f>
        <v>0</v>
      </c>
      <c r="H183" s="99">
        <f>G183+'20'!H183</f>
        <v>120</v>
      </c>
      <c r="I183" s="155"/>
      <c r="J183" s="178">
        <f>H183/DAY(B2)</f>
        <v>5.7142857142857144</v>
      </c>
    </row>
    <row r="184" spans="1:10" ht="25.5">
      <c r="A184" s="1254" t="s">
        <v>215</v>
      </c>
      <c r="B184" s="1255"/>
      <c r="C184" s="334"/>
      <c r="D184" s="228" t="s">
        <v>142</v>
      </c>
      <c r="E184" s="95">
        <f>'20'!F184</f>
        <v>12504</v>
      </c>
      <c r="F184" s="157">
        <v>12514</v>
      </c>
      <c r="G184" s="157">
        <f t="shared" ref="G184" si="16">F184-E184</f>
        <v>10</v>
      </c>
      <c r="H184" s="99">
        <f>G184+'20'!H184</f>
        <v>165</v>
      </c>
      <c r="I184" s="155"/>
      <c r="J184" s="178">
        <f>H184/DAY(B2)</f>
        <v>7.8571428571428568</v>
      </c>
    </row>
    <row r="185" spans="1:10" ht="32.25" customHeight="1">
      <c r="A185" s="1254" t="s">
        <v>216</v>
      </c>
      <c r="B185" s="1255"/>
      <c r="C185" s="334"/>
      <c r="D185" s="228" t="s">
        <v>142</v>
      </c>
      <c r="E185" s="95">
        <f>'20'!F185</f>
        <v>0</v>
      </c>
      <c r="F185" s="157" t="s">
        <v>376</v>
      </c>
      <c r="G185" s="157">
        <v>0</v>
      </c>
      <c r="H185" s="99">
        <f>G185+'20'!H185</f>
        <v>0</v>
      </c>
      <c r="I185" s="155"/>
      <c r="J185" s="178">
        <f>H185/DAY(B2)</f>
        <v>0</v>
      </c>
    </row>
    <row r="186" spans="1:10" ht="25.5">
      <c r="A186" s="1261" t="s">
        <v>196</v>
      </c>
      <c r="B186" s="1262"/>
      <c r="C186" s="383"/>
      <c r="D186" s="228" t="s">
        <v>142</v>
      </c>
      <c r="E186" s="95"/>
      <c r="F186" s="157"/>
      <c r="G186" s="157">
        <f>SUM(G183:G185)</f>
        <v>10</v>
      </c>
      <c r="H186" s="99">
        <f>G186+'20'!H186</f>
        <v>285</v>
      </c>
      <c r="I186" s="157"/>
      <c r="J186" s="178">
        <f>H186/DAY(B2)</f>
        <v>13.571428571428571</v>
      </c>
    </row>
    <row r="187" spans="1:10" ht="25.5">
      <c r="A187" s="1250" t="s">
        <v>217</v>
      </c>
      <c r="B187" s="1251"/>
      <c r="C187" s="333"/>
      <c r="D187" s="230" t="s">
        <v>142</v>
      </c>
      <c r="E187" s="95"/>
      <c r="F187" s="159"/>
      <c r="G187" s="367">
        <f>G62+G19</f>
        <v>161</v>
      </c>
      <c r="H187" s="99">
        <f>G187+'20'!H187</f>
        <v>3159</v>
      </c>
      <c r="I187" s="158"/>
      <c r="J187" s="179">
        <f>H187/DAY(B2)</f>
        <v>150.42857142857142</v>
      </c>
    </row>
    <row r="188" spans="1:10" ht="25.5">
      <c r="A188" s="1250" t="s">
        <v>218</v>
      </c>
      <c r="B188" s="1251"/>
      <c r="C188" s="333"/>
      <c r="D188" s="230" t="s">
        <v>142</v>
      </c>
      <c r="E188" s="95"/>
      <c r="F188" s="159"/>
      <c r="G188" s="367">
        <f>G65+G66+G67+G69+G70</f>
        <v>164</v>
      </c>
      <c r="H188" s="99">
        <f>G188+'20'!H188</f>
        <v>1151</v>
      </c>
      <c r="I188" s="158"/>
      <c r="J188" s="179">
        <f>H188/DAY(B2)</f>
        <v>54.80952380952381</v>
      </c>
    </row>
    <row r="189" spans="1:10" ht="21" customHeight="1">
      <c r="A189" s="1250" t="s">
        <v>219</v>
      </c>
      <c r="B189" s="1251"/>
      <c r="C189" s="333"/>
      <c r="D189" s="230" t="s">
        <v>142</v>
      </c>
      <c r="E189" s="95"/>
      <c r="F189" s="157"/>
      <c r="G189" s="366">
        <f>G181</f>
        <v>0</v>
      </c>
      <c r="H189" s="99">
        <f>G189+'20'!H189</f>
        <v>0</v>
      </c>
      <c r="I189" s="158"/>
      <c r="J189" s="179">
        <f>H189/DAY(B2)</f>
        <v>0</v>
      </c>
    </row>
    <row r="190" spans="1:10" ht="25.5">
      <c r="A190" s="1252"/>
      <c r="B190" s="1253"/>
      <c r="C190" s="382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205"/>
  <sheetViews>
    <sheetView view="pageBreakPreview" topLeftCell="A169" zoomScale="60" zoomScaleNormal="71" workbookViewId="0">
      <selection activeCell="F183" sqref="F18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3.25">
      <c r="A2" s="191" t="s">
        <v>349</v>
      </c>
      <c r="B2" s="262">
        <v>44856</v>
      </c>
      <c r="C2" s="348" t="s">
        <v>67</v>
      </c>
      <c r="D2" s="218">
        <v>0.54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'21'!F7</f>
        <v>406667</v>
      </c>
      <c r="F7" s="95">
        <v>430426</v>
      </c>
      <c r="G7" s="112">
        <f>F7-E7</f>
        <v>23759</v>
      </c>
      <c r="H7" s="99">
        <f>G7+'21'!H7</f>
        <v>548590</v>
      </c>
      <c r="I7" s="113">
        <f>'1'!I7</f>
        <v>12000</v>
      </c>
      <c r="J7" s="175">
        <f>H7/DAY(B2)</f>
        <v>24935.909090909092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'21'!F8</f>
        <v>580681</v>
      </c>
      <c r="F8" s="95">
        <v>604627</v>
      </c>
      <c r="G8" s="115">
        <f>F8-E8</f>
        <v>23946</v>
      </c>
      <c r="H8" s="99">
        <f>G8+'21'!H8</f>
        <v>555247</v>
      </c>
      <c r="I8" s="116"/>
      <c r="J8" s="175">
        <f>H8/DAY(B2)</f>
        <v>25238.5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'21'!F9</f>
        <v>3849861</v>
      </c>
      <c r="F9" s="447">
        <v>3860286</v>
      </c>
      <c r="G9" s="112">
        <f>F9-E9</f>
        <v>10425</v>
      </c>
      <c r="H9" s="99">
        <f>G9+'21'!H9</f>
        <v>153579</v>
      </c>
      <c r="I9" s="124">
        <f>I7-J7</f>
        <v>-12935.909090909092</v>
      </c>
      <c r="J9" s="175">
        <f>H9/DAY(B2)</f>
        <v>6980.863636363636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'21'!F10</f>
        <v>3110489</v>
      </c>
      <c r="F10" s="353">
        <v>3123204</v>
      </c>
      <c r="G10" s="112">
        <f t="shared" ref="G10:G12" si="0">F10-E10</f>
        <v>12715</v>
      </c>
      <c r="H10" s="99">
        <f>G10+'21'!H10</f>
        <v>380510</v>
      </c>
      <c r="I10" s="282"/>
      <c r="J10" s="175">
        <f>H10/DAY(B2)</f>
        <v>17295.909090909092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'21'!F11</f>
        <v>37560</v>
      </c>
      <c r="F11" s="95">
        <v>37560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'21'!F12</f>
        <v>40380</v>
      </c>
      <c r="F12" s="117">
        <v>40380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23140</v>
      </c>
      <c r="H13" s="99">
        <f>G13+'21'!H13</f>
        <v>535549</v>
      </c>
      <c r="I13" s="120">
        <f>G7-G13</f>
        <v>619</v>
      </c>
      <c r="J13" s="175">
        <f>H13/DAY(B2)</f>
        <v>24343.136363636364</v>
      </c>
      <c r="K13" s="79"/>
      <c r="L13" s="66"/>
      <c r="N13" s="87"/>
      <c r="O13" s="71"/>
    </row>
    <row r="14" spans="1:15" ht="26.25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'21'!F15</f>
        <v>2183240</v>
      </c>
      <c r="F15" s="447">
        <v>2184244</v>
      </c>
      <c r="G15" s="112">
        <f>(F15-E15)</f>
        <v>1004</v>
      </c>
      <c r="H15" s="99">
        <f>G15+'21'!H15</f>
        <v>22729</v>
      </c>
      <c r="I15" s="113">
        <f>'1'!I15</f>
        <v>800</v>
      </c>
      <c r="J15" s="175">
        <f>H15/DAY(B2)</f>
        <v>1033.1363636363637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-233.13636363636374</v>
      </c>
      <c r="J16" s="176"/>
      <c r="K16" s="79"/>
      <c r="L16" s="66"/>
      <c r="N16" s="87"/>
      <c r="O16" s="71"/>
    </row>
    <row r="17" spans="1:15" ht="26.25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81" t="s">
        <v>141</v>
      </c>
      <c r="B18" s="1282"/>
      <c r="C18" s="1283"/>
      <c r="D18" s="151" t="s">
        <v>142</v>
      </c>
      <c r="E18" s="95">
        <f>'21'!F18</f>
        <v>26</v>
      </c>
      <c r="F18" s="122">
        <v>34</v>
      </c>
      <c r="G18" s="119">
        <f>F18*10</f>
        <v>340</v>
      </c>
      <c r="H18" s="99">
        <f>G18+'21'!H18</f>
        <v>5590</v>
      </c>
      <c r="I18" s="113">
        <f>'1'!I18</f>
        <v>65</v>
      </c>
      <c r="J18" s="175">
        <f>H18/DAY(B2)</f>
        <v>254.09090909090909</v>
      </c>
      <c r="K18" s="79"/>
      <c r="L18" s="66"/>
      <c r="N18" s="87"/>
      <c r="O18" s="71"/>
    </row>
    <row r="19" spans="1:15" ht="25.5">
      <c r="A19" s="1281" t="s">
        <v>69</v>
      </c>
      <c r="B19" s="1282"/>
      <c r="C19" s="1283"/>
      <c r="D19" s="151" t="s">
        <v>142</v>
      </c>
      <c r="E19" s="95">
        <f>'21'!F19</f>
        <v>166505</v>
      </c>
      <c r="F19" s="122">
        <v>166554</v>
      </c>
      <c r="G19" s="112">
        <f t="shared" ref="G19" si="1">F19-E19</f>
        <v>49</v>
      </c>
      <c r="H19" s="99">
        <f>G19+'21'!H19</f>
        <v>1111</v>
      </c>
      <c r="I19" s="335"/>
      <c r="J19" s="175">
        <f>H19/DAY(B2)</f>
        <v>50.5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389</v>
      </c>
      <c r="H20" s="99">
        <f>G20+'21'!H20</f>
        <v>6701</v>
      </c>
      <c r="I20" s="336">
        <f>I18-J20</f>
        <v>-239.59090909090907</v>
      </c>
      <c r="J20" s="175">
        <f>H20/DAY(B2)</f>
        <v>304.59090909090907</v>
      </c>
      <c r="K20" s="79"/>
      <c r="L20" s="66"/>
      <c r="N20" s="87"/>
      <c r="O20" s="71"/>
    </row>
    <row r="21" spans="1:15" ht="26.25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'21'!F23</f>
        <v>1500</v>
      </c>
      <c r="F23" s="122">
        <v>1500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23946</v>
      </c>
      <c r="F27" s="136">
        <v>10</v>
      </c>
      <c r="G27" s="137">
        <f>E27*F27</f>
        <v>239460</v>
      </c>
      <c r="H27" s="99">
        <f>G27+'21'!H27</f>
        <v>5552470</v>
      </c>
      <c r="I27" s="138"/>
      <c r="J27" s="175">
        <f>H27/DAY(B2)</f>
        <v>252385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1004</v>
      </c>
      <c r="F28" s="136">
        <v>75</v>
      </c>
      <c r="G28" s="137">
        <f>E28*F28</f>
        <v>75300</v>
      </c>
      <c r="H28" s="99">
        <f>G28+'21'!H28</f>
        <v>1704675</v>
      </c>
      <c r="I28" s="140"/>
      <c r="J28" s="175">
        <f>H28/DAY(B2)</f>
        <v>77485.227272727279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G30+'21'!H30</f>
        <v>167761</v>
      </c>
      <c r="I30" s="140"/>
      <c r="J30" s="175">
        <f>H30/DAY(B2)</f>
        <v>7625.5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340</v>
      </c>
      <c r="F31" s="136">
        <v>85</v>
      </c>
      <c r="G31" s="137">
        <f>E31*F31</f>
        <v>28900</v>
      </c>
      <c r="H31" s="99">
        <f>G31+'21'!H31</f>
        <v>472000</v>
      </c>
      <c r="I31" s="140"/>
      <c r="J31" s="175">
        <f>H31/DAY(B2)</f>
        <v>21454.545454545456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351059</v>
      </c>
      <c r="H32" s="99">
        <f>G32+'21'!H32</f>
        <v>7896906</v>
      </c>
      <c r="I32" s="144"/>
      <c r="J32" s="175">
        <f>H32/DAY(B2)</f>
        <v>358950.27272727271</v>
      </c>
      <c r="K32" s="63"/>
      <c r="L32" s="89"/>
      <c r="N32" s="87"/>
      <c r="O32" s="71"/>
    </row>
    <row r="33" spans="1:15" ht="25.5" customHeight="1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'21'!F35</f>
        <v>263721</v>
      </c>
      <c r="F35" s="401">
        <v>265633</v>
      </c>
      <c r="G35" s="112">
        <f t="shared" ref="G35:G46" si="3">F35-E35</f>
        <v>1912</v>
      </c>
      <c r="H35" s="99">
        <f>G35+'21'!H35</f>
        <v>26919.950000000012</v>
      </c>
      <c r="I35" s="95"/>
      <c r="J35" s="175">
        <f>H35/DAY(B2)</f>
        <v>1223.6340909090914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'21'!F36</f>
        <v>287636</v>
      </c>
      <c r="F36" s="145">
        <v>288615</v>
      </c>
      <c r="G36" s="112">
        <f t="shared" si="3"/>
        <v>979</v>
      </c>
      <c r="H36" s="99">
        <f>G36+'21'!H36</f>
        <v>19132</v>
      </c>
      <c r="I36" s="95"/>
      <c r="J36" s="175">
        <f>H36/DAY(B2)</f>
        <v>869.63636363636363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'21'!F37</f>
        <v>322998.69</v>
      </c>
      <c r="F37" s="401">
        <v>322998.69</v>
      </c>
      <c r="G37" s="112">
        <f t="shared" si="3"/>
        <v>0</v>
      </c>
      <c r="H37" s="99">
        <f>G37+'21'!H37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'21'!F38</f>
        <v>641416</v>
      </c>
      <c r="F38" s="108">
        <v>643657</v>
      </c>
      <c r="G38" s="112">
        <f t="shared" si="3"/>
        <v>2241</v>
      </c>
      <c r="H38" s="99">
        <f>G38+'21'!H38</f>
        <v>49940</v>
      </c>
      <c r="I38" s="95"/>
      <c r="J38" s="175">
        <f>H38/DAY(B2)</f>
        <v>2270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'21'!F39</f>
        <v>591584</v>
      </c>
      <c r="F39" s="401">
        <v>591584</v>
      </c>
      <c r="G39" s="112">
        <f t="shared" si="3"/>
        <v>0</v>
      </c>
      <c r="H39" s="99">
        <f>G39+'21'!H39</f>
        <v>-0.18999999994412065</v>
      </c>
      <c r="I39" s="95"/>
      <c r="J39" s="175">
        <f>H39/DAY(B2)</f>
        <v>-8.6363636338236665E-3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'21'!F40</f>
        <v>174357</v>
      </c>
      <c r="F40" s="145">
        <v>175171</v>
      </c>
      <c r="G40" s="112">
        <f t="shared" si="3"/>
        <v>814</v>
      </c>
      <c r="H40" s="99">
        <f>G40+'21'!H40</f>
        <v>17191</v>
      </c>
      <c r="I40" s="95"/>
      <c r="J40" s="175">
        <f>H40/DAY(B2)</f>
        <v>781.40909090909088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'21'!F41</f>
        <v>389634</v>
      </c>
      <c r="F41" s="145">
        <v>395152</v>
      </c>
      <c r="G41" s="112">
        <f t="shared" si="3"/>
        <v>5518</v>
      </c>
      <c r="H41" s="99">
        <f>G41+'21'!H41</f>
        <v>14800.450000000012</v>
      </c>
      <c r="I41" s="95"/>
      <c r="J41" s="175">
        <f>H41/DAY(B2)</f>
        <v>672.74772727272784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'21'!F42</f>
        <v>871198</v>
      </c>
      <c r="F42" s="145">
        <v>871198</v>
      </c>
      <c r="G42" s="112">
        <f t="shared" si="3"/>
        <v>0</v>
      </c>
      <c r="H42" s="99">
        <f>G42+'21'!H42</f>
        <v>46111</v>
      </c>
      <c r="I42" s="95"/>
      <c r="J42" s="175">
        <f>H42/DAY(B2)</f>
        <v>2095.9545454545455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'21'!F43</f>
        <v>407028</v>
      </c>
      <c r="F43" s="145">
        <v>407028</v>
      </c>
      <c r="G43" s="112">
        <f t="shared" si="3"/>
        <v>0</v>
      </c>
      <c r="H43" s="99">
        <f>G43+'21'!H43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11464</v>
      </c>
      <c r="H47" s="99">
        <f>G47+'21'!H47</f>
        <v>178203.14999999997</v>
      </c>
      <c r="I47" s="95"/>
      <c r="J47" s="175">
        <f>H47/DAY(B2)</f>
        <v>8100.14318181818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'21'!F49</f>
        <v>772444.55</v>
      </c>
      <c r="F49" s="145">
        <v>774091</v>
      </c>
      <c r="G49" s="112">
        <f t="shared" ref="G49:G58" si="4">F49-E49</f>
        <v>1646.4499999999534</v>
      </c>
      <c r="H49" s="99">
        <f>G49+'21'!H49</f>
        <v>53804</v>
      </c>
      <c r="I49" s="95"/>
      <c r="J49" s="175">
        <f>H49/DAY(B2)</f>
        <v>2445.6363636363635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'21'!F50</f>
        <v>398568</v>
      </c>
      <c r="F50" s="145">
        <v>399923</v>
      </c>
      <c r="G50" s="112">
        <f t="shared" si="4"/>
        <v>1355</v>
      </c>
      <c r="H50" s="99">
        <f>G50+'21'!H50</f>
        <v>234862</v>
      </c>
      <c r="I50" s="95"/>
      <c r="J50" s="175">
        <f>H50/DAY(B2)</f>
        <v>10675.545454545454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'21'!F51</f>
        <v>93379</v>
      </c>
      <c r="F51" s="145">
        <v>94469</v>
      </c>
      <c r="G51" s="112">
        <f t="shared" si="4"/>
        <v>1090</v>
      </c>
      <c r="H51" s="99">
        <f>G51+'21'!H51</f>
        <v>22742</v>
      </c>
      <c r="I51" s="95"/>
      <c r="J51" s="175">
        <f>H51/DAY(B2)</f>
        <v>1033.7272727272727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'21'!F52</f>
        <v>10</v>
      </c>
      <c r="F52" s="145">
        <v>10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'21'!F53</f>
        <v>382605</v>
      </c>
      <c r="F53" s="145">
        <v>386801</v>
      </c>
      <c r="G53" s="112">
        <f t="shared" si="4"/>
        <v>4196</v>
      </c>
      <c r="H53" s="99">
        <f>G53+'21'!H53</f>
        <v>92700</v>
      </c>
      <c r="I53" s="95"/>
      <c r="J53" s="175">
        <f>H53/DAY(B2)</f>
        <v>4213.636363636364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'21'!F54</f>
        <v>103347</v>
      </c>
      <c r="F54" s="145">
        <v>103439</v>
      </c>
      <c r="G54" s="112">
        <f t="shared" si="4"/>
        <v>92</v>
      </c>
      <c r="H54" s="99">
        <f>G54+'21'!H54</f>
        <v>2052</v>
      </c>
      <c r="I54" s="95"/>
      <c r="J54" s="175">
        <f>H54/DAY(B2)</f>
        <v>93.272727272727266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'21'!F55</f>
        <v>538458</v>
      </c>
      <c r="F55" s="401">
        <v>538458</v>
      </c>
      <c r="G55" s="112">
        <f t="shared" si="4"/>
        <v>0</v>
      </c>
      <c r="H55" s="99">
        <f>G55+'21'!H55</f>
        <v>43975</v>
      </c>
      <c r="I55" s="95"/>
      <c r="J55" s="175">
        <f>H55/DAY(B2)</f>
        <v>1998.8636363636363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'21'!F56</f>
        <v>176964</v>
      </c>
      <c r="F56" s="401">
        <v>177810</v>
      </c>
      <c r="G56" s="112">
        <f>F56-E56</f>
        <v>846</v>
      </c>
      <c r="H56" s="99">
        <f>G56+'21'!H56</f>
        <v>28091</v>
      </c>
      <c r="I56" s="95"/>
      <c r="J56" s="175">
        <f>H56/DAY(B2)</f>
        <v>1276.8636363636363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'21'!F57</f>
        <v>470612</v>
      </c>
      <c r="F57" s="145">
        <v>473331</v>
      </c>
      <c r="G57" s="112">
        <f t="shared" si="4"/>
        <v>2719</v>
      </c>
      <c r="H57" s="99">
        <f>G57+'21'!H57</f>
        <v>64253</v>
      </c>
      <c r="I57" s="95"/>
      <c r="J57" s="175">
        <f>H57/DAY(B2)</f>
        <v>2920.590909090909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'21'!F58</f>
        <v>69303</v>
      </c>
      <c r="F58" s="145">
        <v>69527</v>
      </c>
      <c r="G58" s="112">
        <f t="shared" si="4"/>
        <v>224</v>
      </c>
      <c r="H58" s="99">
        <f>G58+'21'!H58</f>
        <v>5376</v>
      </c>
      <c r="I58" s="95"/>
      <c r="J58" s="175">
        <f>H58/DAY(B2)</f>
        <v>244.36363636363637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12168.449999999953</v>
      </c>
      <c r="H59" s="99">
        <f>G59+'21'!H59</f>
        <v>346515.82</v>
      </c>
      <c r="I59" s="95">
        <f>G7-G60</f>
        <v>126.55000000004657</v>
      </c>
      <c r="J59" s="175">
        <f>H59/DAY(B2)</f>
        <v>15750.719090909091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23632.449999999953</v>
      </c>
      <c r="H60" s="99">
        <f>G60+'21'!H60</f>
        <v>524718.97</v>
      </c>
      <c r="I60" s="95">
        <f>G13-G60</f>
        <v>-492.44999999995343</v>
      </c>
      <c r="J60" s="175">
        <f>H60/DAY(B2)</f>
        <v>23850.86227272727</v>
      </c>
      <c r="K60" s="79"/>
      <c r="L60" s="66"/>
      <c r="N60" s="87"/>
      <c r="O60" s="71"/>
    </row>
    <row r="61" spans="1:15" s="68" customFormat="1" ht="26.25">
      <c r="A61" s="1278" t="s">
        <v>332</v>
      </c>
      <c r="B61" s="1279"/>
      <c r="C61" s="12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81" t="s">
        <v>198</v>
      </c>
      <c r="B62" s="1282"/>
      <c r="C62" s="1283"/>
      <c r="D62" s="151" t="s">
        <v>142</v>
      </c>
      <c r="E62" s="95">
        <f>'21'!F62</f>
        <v>304162</v>
      </c>
      <c r="F62" s="122">
        <v>304280</v>
      </c>
      <c r="G62" s="112">
        <f t="shared" ref="G62:G63" si="5">F62-E62</f>
        <v>118</v>
      </c>
      <c r="H62" s="99">
        <f>G62+'21'!H62</f>
        <v>2215</v>
      </c>
      <c r="I62" s="118"/>
      <c r="J62" s="175">
        <f>H62/DAY(B2)</f>
        <v>100.68181818181819</v>
      </c>
      <c r="K62" s="80"/>
      <c r="L62" s="66"/>
      <c r="N62" s="87"/>
      <c r="O62" s="71"/>
    </row>
    <row r="63" spans="1:15" ht="25.5">
      <c r="A63" s="1281" t="s">
        <v>199</v>
      </c>
      <c r="B63" s="1282"/>
      <c r="C63" s="1283"/>
      <c r="D63" s="151" t="s">
        <v>142</v>
      </c>
      <c r="E63" s="95">
        <f>'21'!F63</f>
        <v>245139</v>
      </c>
      <c r="F63" s="122">
        <v>245139</v>
      </c>
      <c r="G63" s="112">
        <f t="shared" si="5"/>
        <v>0</v>
      </c>
      <c r="H63" s="99">
        <f>G63+'21'!H63</f>
        <v>127</v>
      </c>
      <c r="I63" s="118"/>
      <c r="J63" s="175">
        <f>H63/DAY(B2)</f>
        <v>5.7727272727272725</v>
      </c>
      <c r="K63" s="69"/>
      <c r="L63" s="66"/>
      <c r="N63" s="87"/>
      <c r="O63" s="71"/>
    </row>
    <row r="64" spans="1:15" ht="26.25">
      <c r="A64" s="1284" t="s">
        <v>200</v>
      </c>
      <c r="B64" s="1285"/>
      <c r="C64" s="1286"/>
      <c r="D64" s="151"/>
      <c r="E64" s="95">
        <f>'21'!F64</f>
        <v>0</v>
      </c>
      <c r="F64" s="122"/>
      <c r="G64" s="112">
        <f>G62+G63</f>
        <v>118</v>
      </c>
      <c r="H64" s="99">
        <f>G64+'21'!H64</f>
        <v>2321</v>
      </c>
      <c r="I64" s="118"/>
      <c r="J64" s="175">
        <f>H64/DAY(B2)</f>
        <v>105.5</v>
      </c>
      <c r="K64" s="69"/>
      <c r="L64" s="66"/>
      <c r="N64" s="87"/>
      <c r="O64" s="71"/>
    </row>
    <row r="65" spans="1:15" ht="25.5">
      <c r="A65" s="1281" t="s">
        <v>201</v>
      </c>
      <c r="B65" s="1282"/>
      <c r="C65" s="1283"/>
      <c r="D65" s="151" t="s">
        <v>142</v>
      </c>
      <c r="E65" s="95">
        <f>'21'!F65</f>
        <v>463097</v>
      </c>
      <c r="F65" s="122">
        <v>463236</v>
      </c>
      <c r="G65" s="112">
        <f t="shared" ref="G65:G70" si="6">F65-E65</f>
        <v>139</v>
      </c>
      <c r="H65" s="99">
        <f>G65+'21'!H65</f>
        <v>2412</v>
      </c>
      <c r="I65" s="118"/>
      <c r="J65" s="175">
        <f>H65/DAY(B2)</f>
        <v>109.63636363636364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'21'!F66</f>
        <v>112827</v>
      </c>
      <c r="F66" s="122">
        <v>112834</v>
      </c>
      <c r="G66" s="112">
        <f t="shared" si="6"/>
        <v>7</v>
      </c>
      <c r="H66" s="99">
        <f>G66+'21'!H66</f>
        <v>229</v>
      </c>
      <c r="I66" s="118"/>
      <c r="J66" s="175">
        <f>H66/DAY(B2)</f>
        <v>10.409090909090908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'21'!F67</f>
        <v>115149</v>
      </c>
      <c r="F67" s="122">
        <v>115174</v>
      </c>
      <c r="G67" s="112">
        <f t="shared" si="6"/>
        <v>25</v>
      </c>
      <c r="H67" s="99">
        <f>G67+'21'!H67</f>
        <v>466</v>
      </c>
      <c r="I67" s="118"/>
      <c r="J67" s="175">
        <f>H67/DAY(B2)</f>
        <v>21.181818181818183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'21'!F68</f>
        <v>167255</v>
      </c>
      <c r="F68" s="122">
        <v>167289</v>
      </c>
      <c r="G68" s="112">
        <f t="shared" si="6"/>
        <v>34</v>
      </c>
      <c r="H68" s="99">
        <f>G68+'21'!H68</f>
        <v>708</v>
      </c>
      <c r="I68" s="118"/>
      <c r="J68" s="175">
        <f>H68/DAY(B2)</f>
        <v>32.18181818181818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'21'!F69</f>
        <v>12657</v>
      </c>
      <c r="F69" s="122">
        <v>12659</v>
      </c>
      <c r="G69" s="112">
        <f t="shared" si="6"/>
        <v>2</v>
      </c>
      <c r="H69" s="99">
        <f>G69+'21'!H69</f>
        <v>95</v>
      </c>
      <c r="I69" s="118"/>
      <c r="J69" s="175">
        <f>H69/DAY(B2)</f>
        <v>4.3181818181818183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'21'!F70</f>
        <v>10542</v>
      </c>
      <c r="F70" s="122">
        <v>10547</v>
      </c>
      <c r="G70" s="112">
        <f t="shared" si="6"/>
        <v>5</v>
      </c>
      <c r="H70" s="99">
        <f>G70+'21'!H70</f>
        <v>214</v>
      </c>
      <c r="I70" s="118"/>
      <c r="J70" s="175">
        <f>H70/DAY(B2)</f>
        <v>9.7272727272727266</v>
      </c>
      <c r="K70" s="69"/>
      <c r="L70" s="66"/>
      <c r="N70" s="87"/>
      <c r="O70" s="71"/>
    </row>
    <row r="71" spans="1:15" ht="26.25">
      <c r="A71" s="1284" t="s">
        <v>208</v>
      </c>
      <c r="B71" s="1285"/>
      <c r="C71" s="1286"/>
      <c r="D71" s="152"/>
      <c r="E71" s="152"/>
      <c r="F71" s="152"/>
      <c r="G71" s="153">
        <f>SUM(G65:G70)</f>
        <v>212</v>
      </c>
      <c r="H71" s="99">
        <f>G71+'21'!H71</f>
        <v>4124</v>
      </c>
      <c r="I71" s="154"/>
      <c r="J71" s="175">
        <f>H71/DAY(B2)</f>
        <v>187.45454545454547</v>
      </c>
      <c r="K71" s="69"/>
      <c r="L71" s="66"/>
      <c r="N71" s="87"/>
      <c r="O71" s="71"/>
    </row>
    <row r="72" spans="1:15" s="88" customFormat="1" ht="25.5">
      <c r="A72" s="1287"/>
      <c r="B72" s="126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5" t="s">
        <v>333</v>
      </c>
      <c r="B73" s="1296"/>
      <c r="C73" s="129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81" t="s">
        <v>220</v>
      </c>
      <c r="B74" s="1282"/>
      <c r="C74" s="1283"/>
      <c r="D74" s="151" t="s">
        <v>139</v>
      </c>
      <c r="E74" s="95">
        <f>'21'!F74</f>
        <v>981984</v>
      </c>
      <c r="F74" s="123">
        <v>982265</v>
      </c>
      <c r="G74" s="112">
        <f t="shared" ref="G74:G78" si="7">F74-E74</f>
        <v>281</v>
      </c>
      <c r="H74" s="99">
        <f>G74+'21'!H74</f>
        <v>6454</v>
      </c>
      <c r="I74" s="154"/>
      <c r="J74" s="175">
        <f>H74/DAY(B2)</f>
        <v>293.36363636363637</v>
      </c>
      <c r="K74" s="69"/>
      <c r="L74" s="66"/>
      <c r="N74" s="87"/>
      <c r="O74" s="71"/>
    </row>
    <row r="75" spans="1:15" ht="25.5">
      <c r="A75" s="1281" t="s">
        <v>221</v>
      </c>
      <c r="B75" s="1282"/>
      <c r="C75" s="1283"/>
      <c r="D75" s="151" t="s">
        <v>139</v>
      </c>
      <c r="E75" s="95">
        <f>'21'!F75</f>
        <v>73586</v>
      </c>
      <c r="F75" s="123">
        <v>73586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288" t="s">
        <v>222</v>
      </c>
      <c r="B76" s="1289"/>
      <c r="C76" s="1290"/>
      <c r="D76" s="151" t="s">
        <v>139</v>
      </c>
      <c r="E76" s="95">
        <f>'21'!F76</f>
        <v>199114</v>
      </c>
      <c r="F76" s="123">
        <v>199235</v>
      </c>
      <c r="G76" s="112">
        <f t="shared" si="7"/>
        <v>121</v>
      </c>
      <c r="H76" s="99">
        <f>G76+'21'!H76</f>
        <v>2499</v>
      </c>
      <c r="I76" s="154"/>
      <c r="J76" s="175">
        <f>H76/DAY(B2)</f>
        <v>113.59090909090909</v>
      </c>
      <c r="K76" s="69"/>
      <c r="L76" s="66"/>
      <c r="N76" s="87"/>
      <c r="O76" s="71"/>
    </row>
    <row r="77" spans="1:15" ht="25.5">
      <c r="A77" s="1288" t="s">
        <v>223</v>
      </c>
      <c r="B77" s="1289"/>
      <c r="C77" s="1290"/>
      <c r="D77" s="151" t="s">
        <v>139</v>
      </c>
      <c r="E77" s="95">
        <f>'21'!F77</f>
        <v>54399</v>
      </c>
      <c r="F77" s="123">
        <v>54442</v>
      </c>
      <c r="G77" s="112">
        <f t="shared" si="7"/>
        <v>43</v>
      </c>
      <c r="H77" s="99">
        <f>G77+'21'!H77</f>
        <v>1090</v>
      </c>
      <c r="I77" s="154"/>
      <c r="J77" s="175">
        <f>H77/DAY(B2)</f>
        <v>49.545454545454547</v>
      </c>
      <c r="K77" s="69"/>
      <c r="L77" s="66"/>
      <c r="N77" s="87"/>
      <c r="O77" s="71"/>
    </row>
    <row r="78" spans="1:15" ht="25.5">
      <c r="A78" s="1288" t="s">
        <v>224</v>
      </c>
      <c r="B78" s="1289"/>
      <c r="C78" s="1290"/>
      <c r="D78" s="151" t="s">
        <v>139</v>
      </c>
      <c r="E78" s="95">
        <f>'21'!F78</f>
        <v>9563</v>
      </c>
      <c r="F78" s="123">
        <v>9563</v>
      </c>
      <c r="G78" s="112">
        <f t="shared" si="7"/>
        <v>0</v>
      </c>
      <c r="H78" s="99">
        <f>G78+'21'!H78</f>
        <v>-1.3999999999996362</v>
      </c>
      <c r="I78" s="118"/>
      <c r="J78" s="175">
        <f>H78/DAY(B2)</f>
        <v>-6.3636363636347101E-2</v>
      </c>
      <c r="K78" s="69"/>
      <c r="L78" s="66"/>
      <c r="N78" s="87"/>
      <c r="O78" s="71"/>
    </row>
    <row r="79" spans="1:15" s="57" customFormat="1" ht="25.5">
      <c r="A79" s="1288" t="s">
        <v>225</v>
      </c>
      <c r="B79" s="1289"/>
      <c r="C79" s="1290"/>
      <c r="D79" s="151"/>
      <c r="E79" s="95">
        <f>'21'!F79</f>
        <v>0</v>
      </c>
      <c r="F79" s="123"/>
      <c r="G79" s="112">
        <f>G15-SUM(G74:G78)</f>
        <v>559</v>
      </c>
      <c r="H79" s="99">
        <f>G79+'21'!H79</f>
        <v>12684.179999999955</v>
      </c>
      <c r="I79" s="118"/>
      <c r="J79" s="175"/>
      <c r="K79" s="59"/>
      <c r="L79" s="58"/>
      <c r="N79" s="87"/>
      <c r="O79" s="71"/>
    </row>
    <row r="80" spans="1:15" s="57" customFormat="1" ht="26.25">
      <c r="A80" s="1284" t="s">
        <v>329</v>
      </c>
      <c r="B80" s="1285"/>
      <c r="C80" s="1286"/>
      <c r="D80" s="151"/>
      <c r="E80" s="117"/>
      <c r="F80" s="117"/>
      <c r="G80" s="112">
        <f>SUM(G74:G79)</f>
        <v>1004</v>
      </c>
      <c r="H80" s="99"/>
      <c r="I80" s="118"/>
      <c r="J80" s="175"/>
      <c r="K80" s="59"/>
      <c r="L80" s="58"/>
      <c r="N80" s="87"/>
      <c r="O80" s="71"/>
    </row>
    <row r="81" spans="1:15" ht="25.5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'21'!F84</f>
        <v>43402</v>
      </c>
      <c r="F84" s="164">
        <v>43425.37</v>
      </c>
      <c r="G84" s="112">
        <f t="shared" si="8"/>
        <v>23.370000000002619</v>
      </c>
      <c r="H84" s="99">
        <f>G84+'21'!H84</f>
        <v>58.569999999999709</v>
      </c>
      <c r="I84" s="538"/>
      <c r="J84" s="175">
        <f>H84/DAY(B2)</f>
        <v>2.6622727272727142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'21'!F85</f>
        <v>5680.11</v>
      </c>
      <c r="F85" s="164">
        <v>5680</v>
      </c>
      <c r="G85" s="112">
        <f t="shared" si="8"/>
        <v>-0.10999999999967258</v>
      </c>
      <c r="H85" s="99">
        <f>G85+'21'!H85</f>
        <v>204</v>
      </c>
      <c r="I85" s="538"/>
      <c r="J85" s="175">
        <f>H85/DAY(B2)</f>
        <v>9.2727272727272734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'21'!F86</f>
        <v>46579</v>
      </c>
      <c r="F86" s="164">
        <v>46579</v>
      </c>
      <c r="G86" s="112">
        <f t="shared" si="8"/>
        <v>0</v>
      </c>
      <c r="H86" s="99">
        <f>G86+'21'!H86</f>
        <v>307.58000000000175</v>
      </c>
      <c r="I86" s="538"/>
      <c r="J86" s="175">
        <f>H86/DAY(B2)</f>
        <v>13.98090909090917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'21'!F87</f>
        <v>35853.440000000002</v>
      </c>
      <c r="F87" s="164">
        <v>35861</v>
      </c>
      <c r="G87" s="112">
        <f t="shared" si="8"/>
        <v>7.5599999999976717</v>
      </c>
      <c r="H87" s="99">
        <f>G87+'21'!H87</f>
        <v>205</v>
      </c>
      <c r="I87" s="538">
        <f>G84+G85+G86+G87</f>
        <v>30.820000000000618</v>
      </c>
      <c r="J87" s="175">
        <f>H87/DAY(B2)</f>
        <v>9.3181818181818183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'21'!F88</f>
        <v>24464</v>
      </c>
      <c r="F88" s="164">
        <v>24463.91</v>
      </c>
      <c r="G88" s="112">
        <f t="shared" si="8"/>
        <v>-9.0000000000145519E-2</v>
      </c>
      <c r="H88" s="99">
        <f>G88+'21'!H88</f>
        <v>39.950000000000728</v>
      </c>
      <c r="I88" s="538"/>
      <c r="J88" s="175">
        <f>H88/DAY(B2)</f>
        <v>1.815909090909124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'21'!F89</f>
        <v>28164.67</v>
      </c>
      <c r="F89" s="164">
        <v>28173</v>
      </c>
      <c r="G89" s="112">
        <f t="shared" si="8"/>
        <v>8.3300000000017462</v>
      </c>
      <c r="H89" s="99">
        <f>G89+'21'!H89</f>
        <v>185</v>
      </c>
      <c r="I89" s="538">
        <f>G88+G89</f>
        <v>8.2400000000016007</v>
      </c>
      <c r="J89" s="175">
        <f>H89/DAY(B2)</f>
        <v>8.4090909090909083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'21'!F90</f>
        <v>73442</v>
      </c>
      <c r="F90" s="164">
        <v>73452</v>
      </c>
      <c r="G90" s="112">
        <f t="shared" si="8"/>
        <v>10</v>
      </c>
      <c r="H90" s="99">
        <f>G90+'21'!H90</f>
        <v>208.25999999999476</v>
      </c>
      <c r="I90" s="538">
        <f>G90</f>
        <v>10</v>
      </c>
      <c r="J90" s="175">
        <f>H90/DAY(B2)</f>
        <v>9.4663636363633987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'21'!F91</f>
        <v>4915.76</v>
      </c>
      <c r="F91" s="122">
        <v>4926.58</v>
      </c>
      <c r="G91" s="112">
        <f t="shared" si="8"/>
        <v>10.819999999999709</v>
      </c>
      <c r="H91" s="99">
        <f>G91+'21'!H91</f>
        <v>248.14999999999964</v>
      </c>
      <c r="I91" s="557"/>
      <c r="J91" s="175">
        <f>H91/DAY(B2)</f>
        <v>11.279545454545438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'21'!F92</f>
        <v>7000.23</v>
      </c>
      <c r="F92" s="122">
        <v>7000</v>
      </c>
      <c r="G92" s="112">
        <f t="shared" si="8"/>
        <v>-0.22999999999956344</v>
      </c>
      <c r="H92" s="99">
        <f>G92+'21'!H92</f>
        <v>0</v>
      </c>
      <c r="I92" s="561">
        <f>G91+G92</f>
        <v>10.590000000000146</v>
      </c>
      <c r="J92" s="175">
        <f>H92/DAY(B2)</f>
        <v>0</v>
      </c>
      <c r="O92" s="71"/>
    </row>
    <row r="93" spans="1:15" ht="26.25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6277.4499999999534</v>
      </c>
      <c r="H94" s="99">
        <f>G94+'21'!H94</f>
        <v>145082.15000000002</v>
      </c>
      <c r="I94" s="118"/>
      <c r="J94" s="175">
        <f>H94/DAY(B2)</f>
        <v>6594.6431818181827</v>
      </c>
      <c r="K94" s="69"/>
      <c r="L94" s="66"/>
      <c r="O94" s="71"/>
    </row>
    <row r="95" spans="1:15" ht="25.5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0.26421356117681527</v>
      </c>
      <c r="H95" s="99">
        <f>G95+'21'!H95</f>
        <v>5.8061913500846423</v>
      </c>
      <c r="I95" s="167"/>
      <c r="J95" s="175">
        <f>H95/DAY(B2)</f>
        <v>0.26391778864021104</v>
      </c>
      <c r="K95" s="69"/>
      <c r="L95" s="66"/>
      <c r="O95" s="71"/>
    </row>
    <row r="96" spans="1:15" ht="25.5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6364</v>
      </c>
      <c r="H96" s="99">
        <f>G96+'21'!H96</f>
        <v>132977.45000000001</v>
      </c>
      <c r="I96" s="118"/>
      <c r="J96" s="175">
        <f>H96/DAY(B2)</f>
        <v>6044.4295454545463</v>
      </c>
      <c r="K96" s="69"/>
      <c r="L96" s="66"/>
      <c r="O96" s="71"/>
    </row>
    <row r="97" spans="1:15" ht="25.5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0.26785639126225852</v>
      </c>
      <c r="H97" s="99">
        <f>G97+'21'!H97</f>
        <v>5.3269133758536356</v>
      </c>
      <c r="I97" s="167"/>
      <c r="J97" s="175">
        <f>H97/DAY(B2)</f>
        <v>0.24213242617516526</v>
      </c>
      <c r="K97" s="69"/>
      <c r="L97" s="66"/>
      <c r="O97" s="71"/>
    </row>
    <row r="98" spans="1:15" ht="25.5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4196</v>
      </c>
      <c r="H98" s="99">
        <f>G98+'21'!H98</f>
        <v>92598.770000000019</v>
      </c>
      <c r="I98" s="168"/>
      <c r="J98" s="175">
        <f>H98/DAY(B2)</f>
        <v>4209.0350000000008</v>
      </c>
      <c r="K98" s="69"/>
      <c r="L98" s="66"/>
      <c r="O98" s="71"/>
    </row>
    <row r="99" spans="1:15" ht="25.5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0.17660675954375185</v>
      </c>
      <c r="H99" s="99">
        <f>G99+'21'!H99</f>
        <v>3.7073520234570898</v>
      </c>
      <c r="I99" s="168"/>
      <c r="J99" s="175">
        <f>H99/DAY(B2)</f>
        <v>0.16851600106623135</v>
      </c>
      <c r="O99" s="71"/>
    </row>
    <row r="100" spans="1:15" ht="26.25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2241</v>
      </c>
      <c r="H100" s="99">
        <f>G100+'21'!H100</f>
        <v>50027.389999999898</v>
      </c>
      <c r="I100" s="118"/>
      <c r="J100" s="175">
        <f>H100/DAY(B2)</f>
        <v>2273.9722727272679</v>
      </c>
      <c r="K100" s="70"/>
      <c r="O100" s="71"/>
    </row>
    <row r="101" spans="1:15" ht="25.5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9.4322151605707311E-2</v>
      </c>
      <c r="H101" s="99">
        <f>G101+'21'!H101</f>
        <v>2.0025264770516595</v>
      </c>
      <c r="I101" s="168"/>
      <c r="J101" s="175">
        <f>H101/DAY(B2)</f>
        <v>9.1023930775075437E-2</v>
      </c>
      <c r="O101" s="71"/>
    </row>
    <row r="102" spans="1:15" ht="25.5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2334</v>
      </c>
      <c r="H102" s="99">
        <f>G102+'21'!H102</f>
        <v>53284</v>
      </c>
      <c r="I102" s="168"/>
      <c r="J102" s="175">
        <f>H102/DAY(B2)</f>
        <v>2422</v>
      </c>
      <c r="O102" s="71"/>
    </row>
    <row r="103" spans="1:15" ht="25.5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9.8236457763373877E-2</v>
      </c>
      <c r="H103" s="99">
        <f>G103+'21'!H103</f>
        <v>2.1370988639945532</v>
      </c>
      <c r="I103" s="118"/>
      <c r="J103" s="175">
        <f>H103/DAY(B2)</f>
        <v>9.7140857454297874E-2</v>
      </c>
      <c r="O103" s="71"/>
    </row>
    <row r="104" spans="1:15" ht="25.5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1090</v>
      </c>
      <c r="H104" s="99">
        <f>G104+'21'!H104</f>
        <v>22742</v>
      </c>
      <c r="I104" s="118"/>
      <c r="J104" s="175">
        <f>H104/DAY(B2)</f>
        <v>1033.7272727272727</v>
      </c>
      <c r="O104" s="71"/>
    </row>
    <row r="105" spans="1:15" ht="26.25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4.5877351740393112E-2</v>
      </c>
      <c r="H105" s="99">
        <f>G105+'21'!H105</f>
        <v>0.91255943740897083</v>
      </c>
      <c r="I105" s="187"/>
      <c r="J105" s="188">
        <f>H105/DAY(B2)</f>
        <v>4.1479974427680491E-2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6.25">
      <c r="A109" s="1291"/>
      <c r="B109" s="1291"/>
    </row>
    <row r="110" spans="1:15" ht="26.25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5.5">
      <c r="A111" s="1270"/>
      <c r="B111" s="1271"/>
      <c r="C111" s="1272"/>
      <c r="D111" s="165"/>
      <c r="E111" s="165"/>
      <c r="F111" s="165"/>
      <c r="G111" s="165"/>
      <c r="H111" s="156"/>
      <c r="I111" s="165"/>
      <c r="J111" s="327"/>
    </row>
    <row r="112" spans="1:15" ht="25.5">
      <c r="A112" s="1266" t="s">
        <v>252</v>
      </c>
      <c r="B112" s="1267"/>
      <c r="C112" s="1268"/>
      <c r="D112" s="146" t="s">
        <v>183</v>
      </c>
      <c r="E112" s="95">
        <f>'21'!F112</f>
        <v>13117</v>
      </c>
      <c r="F112" s="237">
        <v>13180</v>
      </c>
      <c r="G112" s="112">
        <f t="shared" ref="G112:G123" si="9">F112-E112</f>
        <v>63</v>
      </c>
      <c r="H112" s="99">
        <f>G112+'21'!H112</f>
        <v>1517</v>
      </c>
      <c r="I112" s="165"/>
      <c r="J112" s="328">
        <f>H112/DAY(B2)</f>
        <v>68.954545454545453</v>
      </c>
    </row>
    <row r="113" spans="1:18" ht="29.25" customHeight="1">
      <c r="A113" s="1266" t="s">
        <v>253</v>
      </c>
      <c r="B113" s="1267"/>
      <c r="C113" s="1268"/>
      <c r="D113" s="146" t="s">
        <v>183</v>
      </c>
      <c r="E113" s="95">
        <f>'21'!F113</f>
        <v>26468</v>
      </c>
      <c r="F113" s="237">
        <v>26619</v>
      </c>
      <c r="G113" s="112">
        <f t="shared" si="9"/>
        <v>151</v>
      </c>
      <c r="H113" s="99">
        <f>G113+'21'!H113</f>
        <v>3098</v>
      </c>
      <c r="I113" s="165"/>
      <c r="J113" s="328">
        <f>H113/DAY(B2)</f>
        <v>140.81818181818181</v>
      </c>
    </row>
    <row r="114" spans="1:18" ht="29.25" customHeight="1">
      <c r="A114" s="1266" t="s">
        <v>254</v>
      </c>
      <c r="B114" s="1267"/>
      <c r="C114" s="1268"/>
      <c r="D114" s="146" t="s">
        <v>183</v>
      </c>
      <c r="E114" s="95">
        <f>'21'!F114</f>
        <v>39461</v>
      </c>
      <c r="F114" s="237">
        <v>39672</v>
      </c>
      <c r="G114" s="112">
        <f t="shared" si="9"/>
        <v>211</v>
      </c>
      <c r="H114" s="99">
        <f>G114+'21'!H114</f>
        <v>4897</v>
      </c>
      <c r="I114" s="165"/>
      <c r="J114" s="328">
        <f>H114/DAY(B2)</f>
        <v>222.59090909090909</v>
      </c>
    </row>
    <row r="115" spans="1:18" ht="29.25" customHeight="1">
      <c r="A115" s="1266" t="s">
        <v>255</v>
      </c>
      <c r="B115" s="1267"/>
      <c r="C115" s="1268"/>
      <c r="D115" s="146" t="s">
        <v>183</v>
      </c>
      <c r="E115" s="95">
        <f>'21'!F115</f>
        <v>24894</v>
      </c>
      <c r="F115" s="237">
        <v>25036</v>
      </c>
      <c r="G115" s="112">
        <f t="shared" si="9"/>
        <v>142</v>
      </c>
      <c r="H115" s="99">
        <f>G115+'21'!H115</f>
        <v>2983</v>
      </c>
      <c r="I115" s="165"/>
      <c r="J115" s="328">
        <f>H115/DAY(B2)</f>
        <v>135.59090909090909</v>
      </c>
    </row>
    <row r="116" spans="1:18" ht="29.25" customHeight="1">
      <c r="A116" s="1275" t="s">
        <v>96</v>
      </c>
      <c r="B116" s="1276"/>
      <c r="C116" s="1277"/>
      <c r="D116" s="146" t="s">
        <v>183</v>
      </c>
      <c r="E116" s="95">
        <f>'21'!F116</f>
        <v>105949</v>
      </c>
      <c r="F116" s="237">
        <v>106455</v>
      </c>
      <c r="G116" s="112">
        <f t="shared" si="9"/>
        <v>506</v>
      </c>
      <c r="H116" s="99">
        <f>G116+'21'!H116</f>
        <v>9320</v>
      </c>
      <c r="I116" s="165"/>
      <c r="J116" s="328">
        <f>H116/DAY(B2)</f>
        <v>423.63636363636363</v>
      </c>
      <c r="Q116" s="1266"/>
      <c r="R116" s="1268"/>
    </row>
    <row r="117" spans="1:18" ht="29.25" customHeight="1">
      <c r="A117" s="1275" t="s">
        <v>184</v>
      </c>
      <c r="B117" s="1276"/>
      <c r="C117" s="1277"/>
      <c r="D117" s="146" t="s">
        <v>183</v>
      </c>
      <c r="E117" s="95">
        <f>'21'!F117</f>
        <v>63171</v>
      </c>
      <c r="F117" s="237">
        <v>63483</v>
      </c>
      <c r="G117" s="112">
        <f t="shared" si="9"/>
        <v>312</v>
      </c>
      <c r="H117" s="99">
        <f>G117+'21'!H117</f>
        <v>6978</v>
      </c>
      <c r="I117" s="165"/>
      <c r="J117" s="328">
        <f>H117/DAY(B2)</f>
        <v>317.18181818181819</v>
      </c>
      <c r="Q117" s="1266"/>
      <c r="R117" s="1268"/>
    </row>
    <row r="118" spans="1:18" ht="25.5">
      <c r="A118" s="1269" t="s">
        <v>97</v>
      </c>
      <c r="B118" s="1269"/>
      <c r="C118" s="1269"/>
      <c r="D118" s="151" t="s">
        <v>183</v>
      </c>
      <c r="E118" s="95">
        <f>'21'!F118</f>
        <v>114392</v>
      </c>
      <c r="F118" s="237">
        <v>114997</v>
      </c>
      <c r="G118" s="112">
        <f t="shared" si="9"/>
        <v>605</v>
      </c>
      <c r="H118" s="99">
        <f>G118+'21'!H118</f>
        <v>13243</v>
      </c>
      <c r="I118" s="165"/>
      <c r="J118" s="328">
        <f>H118/DAY(B2)</f>
        <v>601.9545454545455</v>
      </c>
      <c r="Q118" s="1266"/>
      <c r="R118" s="1268"/>
    </row>
    <row r="119" spans="1:18" ht="25.5">
      <c r="A119" s="1269" t="s">
        <v>98</v>
      </c>
      <c r="B119" s="1269"/>
      <c r="C119" s="1269"/>
      <c r="D119" s="151" t="s">
        <v>183</v>
      </c>
      <c r="E119" s="95">
        <f>'21'!F119</f>
        <v>42839</v>
      </c>
      <c r="F119" s="237">
        <v>42853</v>
      </c>
      <c r="G119" s="112">
        <f t="shared" si="9"/>
        <v>14</v>
      </c>
      <c r="H119" s="99">
        <f>G119+'21'!H119</f>
        <v>272</v>
      </c>
      <c r="I119" s="165"/>
      <c r="J119" s="328">
        <f>H119/DAY(B2)</f>
        <v>12.363636363636363</v>
      </c>
    </row>
    <row r="120" spans="1:18" ht="25.5">
      <c r="A120" s="1269" t="s">
        <v>99</v>
      </c>
      <c r="B120" s="1269"/>
      <c r="C120" s="1269"/>
      <c r="D120" s="151" t="s">
        <v>183</v>
      </c>
      <c r="E120" s="95">
        <f>'21'!F120</f>
        <v>79788</v>
      </c>
      <c r="F120" s="237">
        <v>80195</v>
      </c>
      <c r="G120" s="112">
        <f t="shared" si="9"/>
        <v>407</v>
      </c>
      <c r="H120" s="99">
        <f>G120+'21'!H120</f>
        <v>8863</v>
      </c>
      <c r="I120" s="165"/>
      <c r="J120" s="328">
        <f>H120/DAY(B2)</f>
        <v>402.86363636363637</v>
      </c>
    </row>
    <row r="121" spans="1:18" ht="25.5">
      <c r="A121" s="1269" t="s">
        <v>100</v>
      </c>
      <c r="B121" s="1269"/>
      <c r="C121" s="1269"/>
      <c r="D121" s="151" t="s">
        <v>183</v>
      </c>
      <c r="E121" s="95">
        <f>'21'!F121</f>
        <v>90697</v>
      </c>
      <c r="F121" s="237">
        <v>91111</v>
      </c>
      <c r="G121" s="112">
        <f t="shared" si="9"/>
        <v>414</v>
      </c>
      <c r="H121" s="99">
        <f>G121+'21'!H121</f>
        <v>9755</v>
      </c>
      <c r="I121" s="165"/>
      <c r="J121" s="328">
        <f>H121/DAY(B2)</f>
        <v>443.40909090909093</v>
      </c>
    </row>
    <row r="122" spans="1:18" ht="25.5">
      <c r="A122" s="1269" t="s">
        <v>101</v>
      </c>
      <c r="B122" s="1269"/>
      <c r="C122" s="1269"/>
      <c r="D122" s="151" t="s">
        <v>183</v>
      </c>
      <c r="E122" s="95">
        <f>'21'!F122</f>
        <v>57145</v>
      </c>
      <c r="F122" s="237">
        <v>57487</v>
      </c>
      <c r="G122" s="112">
        <f t="shared" si="9"/>
        <v>342</v>
      </c>
      <c r="H122" s="99">
        <f>G122+'21'!H122</f>
        <v>8356</v>
      </c>
      <c r="I122" s="165"/>
      <c r="J122" s="328">
        <f>H122/DAY(B2)</f>
        <v>379.81818181818181</v>
      </c>
    </row>
    <row r="123" spans="1:18" ht="25.5">
      <c r="A123" s="1269" t="s">
        <v>102</v>
      </c>
      <c r="B123" s="1269"/>
      <c r="C123" s="1269"/>
      <c r="D123" s="151" t="s">
        <v>183</v>
      </c>
      <c r="E123" s="95">
        <f>'21'!F123</f>
        <v>56144</v>
      </c>
      <c r="F123" s="237">
        <v>56440</v>
      </c>
      <c r="G123" s="112">
        <f t="shared" si="9"/>
        <v>296</v>
      </c>
      <c r="H123" s="99">
        <f>G123+'21'!H123</f>
        <v>6691</v>
      </c>
      <c r="I123" s="165"/>
      <c r="J123" s="328">
        <f>H123/DAY(B2)</f>
        <v>304.13636363636363</v>
      </c>
    </row>
    <row r="124" spans="1:18" ht="29.25" customHeight="1">
      <c r="A124" s="1270"/>
      <c r="B124" s="1271"/>
      <c r="C124" s="1272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5.5">
      <c r="A125" s="1261" t="s">
        <v>196</v>
      </c>
      <c r="B125" s="1262"/>
      <c r="C125" s="245"/>
      <c r="D125" s="307"/>
      <c r="E125" s="308"/>
      <c r="F125" s="308"/>
      <c r="G125" s="309">
        <f>SUM(G112:G124)</f>
        <v>3463</v>
      </c>
      <c r="H125" s="156"/>
      <c r="I125" s="327">
        <f>G125-(G39+G53)</f>
        <v>-733</v>
      </c>
      <c r="J125" s="327"/>
    </row>
    <row r="126" spans="1:18" ht="25.5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5.5">
      <c r="A127" s="1274"/>
      <c r="B127" s="1274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1266" t="s">
        <v>318</v>
      </c>
      <c r="B128" s="1267"/>
      <c r="C128" s="1268"/>
      <c r="D128" s="151" t="s">
        <v>183</v>
      </c>
      <c r="E128" s="95">
        <f>'21'!F128</f>
        <v>163526</v>
      </c>
      <c r="F128" s="165">
        <v>163899</v>
      </c>
      <c r="G128" s="112">
        <f t="shared" ref="G128:G134" si="10">F128-E128</f>
        <v>373</v>
      </c>
      <c r="H128" s="99">
        <f>G128+'21'!H128</f>
        <v>9084</v>
      </c>
      <c r="I128" s="165"/>
      <c r="J128" s="328">
        <f>H128/DAY(B2)</f>
        <v>412.90909090909093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'21'!F129</f>
        <v>87934</v>
      </c>
      <c r="F129" s="165">
        <v>88148</v>
      </c>
      <c r="G129" s="112">
        <f t="shared" si="10"/>
        <v>214</v>
      </c>
      <c r="H129" s="99">
        <f>G129+'21'!H129</f>
        <v>4212</v>
      </c>
      <c r="I129" s="165"/>
      <c r="J129" s="328">
        <f>H129/DAY(B2)</f>
        <v>191.45454545454547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'21'!F130</f>
        <v>220238</v>
      </c>
      <c r="F130" s="165">
        <v>220848</v>
      </c>
      <c r="G130" s="112">
        <f t="shared" si="10"/>
        <v>610</v>
      </c>
      <c r="H130" s="99">
        <f>G130+'21'!H130</f>
        <v>14089</v>
      </c>
      <c r="I130" s="165"/>
      <c r="J130" s="328">
        <f>H130/DAY(B2)</f>
        <v>640.40909090909088</v>
      </c>
      <c r="N130" s="240"/>
      <c r="O130" s="241"/>
    </row>
    <row r="131" spans="1:15" ht="25.5">
      <c r="A131" s="1266" t="s">
        <v>321</v>
      </c>
      <c r="B131" s="1267"/>
      <c r="C131" s="1268"/>
      <c r="D131" s="151" t="s">
        <v>183</v>
      </c>
      <c r="E131" s="95">
        <f>'21'!F131</f>
        <v>64421</v>
      </c>
      <c r="F131" s="165">
        <v>64614</v>
      </c>
      <c r="G131" s="112">
        <f t="shared" si="10"/>
        <v>193</v>
      </c>
      <c r="H131" s="99">
        <f>G131+'21'!H131</f>
        <v>4306</v>
      </c>
      <c r="I131" s="165"/>
      <c r="J131" s="328">
        <f>H131/DAY(B2)</f>
        <v>195.72727272727272</v>
      </c>
      <c r="N131" s="240"/>
      <c r="O131" s="241"/>
    </row>
    <row r="132" spans="1:15" ht="25.5">
      <c r="A132" s="1266" t="s">
        <v>322</v>
      </c>
      <c r="B132" s="1267"/>
      <c r="C132" s="1268"/>
      <c r="D132" s="151" t="s">
        <v>183</v>
      </c>
      <c r="E132" s="95">
        <f>'21'!F132</f>
        <v>146985</v>
      </c>
      <c r="F132" s="165">
        <v>146985</v>
      </c>
      <c r="G132" s="112">
        <f t="shared" si="10"/>
        <v>0</v>
      </c>
      <c r="H132" s="99">
        <f>G132+'21'!H132</f>
        <v>0</v>
      </c>
      <c r="I132" s="165"/>
      <c r="J132" s="328">
        <f>H132/DAY(B2)</f>
        <v>0</v>
      </c>
    </row>
    <row r="133" spans="1:15" ht="25.5">
      <c r="A133" s="1266" t="s">
        <v>357</v>
      </c>
      <c r="B133" s="1267"/>
      <c r="C133" s="1268"/>
      <c r="D133" s="151" t="s">
        <v>183</v>
      </c>
      <c r="E133" s="95">
        <f>'21'!F133</f>
        <v>284268</v>
      </c>
      <c r="F133" s="165">
        <v>285131</v>
      </c>
      <c r="G133" s="112">
        <f t="shared" si="10"/>
        <v>863</v>
      </c>
      <c r="H133" s="99">
        <f>G133+'21'!H133</f>
        <v>19186</v>
      </c>
      <c r="I133" s="165"/>
      <c r="J133" s="328">
        <f>H133/DAY(B2)</f>
        <v>872.09090909090912</v>
      </c>
    </row>
    <row r="134" spans="1:15" ht="25.5">
      <c r="A134" s="1266" t="s">
        <v>340</v>
      </c>
      <c r="B134" s="1267"/>
      <c r="C134" s="1268"/>
      <c r="D134" s="151" t="s">
        <v>183</v>
      </c>
      <c r="E134" s="95">
        <f>'21'!F134</f>
        <v>68972</v>
      </c>
      <c r="F134" s="165">
        <v>69221</v>
      </c>
      <c r="G134" s="112">
        <f t="shared" si="10"/>
        <v>249</v>
      </c>
      <c r="H134" s="99">
        <f>G134+'21'!H134</f>
        <v>5559</v>
      </c>
      <c r="I134" s="165"/>
      <c r="J134" s="328">
        <f>H134/DAY(B2)</f>
        <v>252.68181818181819</v>
      </c>
    </row>
    <row r="135" spans="1:15" ht="25.5">
      <c r="A135" s="1261" t="s">
        <v>196</v>
      </c>
      <c r="B135" s="1262"/>
      <c r="C135" s="331"/>
      <c r="D135" s="151"/>
      <c r="E135" s="95"/>
      <c r="F135" s="165"/>
      <c r="G135" s="112">
        <f>SUM(G128:G134)</f>
        <v>2502</v>
      </c>
      <c r="H135" s="99">
        <f>G135+'10'!H135</f>
        <v>27999.390000000021</v>
      </c>
      <c r="I135" s="327">
        <f>G135-(G35+G49)</f>
        <v>-1056.4499999999534</v>
      </c>
      <c r="J135" s="328"/>
    </row>
    <row r="136" spans="1:15" ht="27.75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9" t="s">
        <v>185</v>
      </c>
      <c r="B138" s="1269"/>
      <c r="C138" s="1269"/>
      <c r="D138" s="151" t="s">
        <v>183</v>
      </c>
      <c r="E138" s="95">
        <f>'21'!F138</f>
        <v>901421</v>
      </c>
      <c r="F138" s="147">
        <v>901585</v>
      </c>
      <c r="G138" s="112">
        <f t="shared" ref="G138:G152" si="11">F138-E138</f>
        <v>164</v>
      </c>
      <c r="H138" s="99">
        <f>G138+'21'!H138</f>
        <v>3380</v>
      </c>
      <c r="I138" s="118"/>
      <c r="J138" s="328">
        <f>H138/DAY(B2)</f>
        <v>153.63636363636363</v>
      </c>
    </row>
    <row r="139" spans="1:15" ht="25.5">
      <c r="A139" s="1269" t="s">
        <v>186</v>
      </c>
      <c r="B139" s="1269"/>
      <c r="C139" s="1269"/>
      <c r="D139" s="151" t="s">
        <v>183</v>
      </c>
      <c r="E139" s="95">
        <f>'21'!F139</f>
        <v>921362</v>
      </c>
      <c r="F139" s="148">
        <v>921489</v>
      </c>
      <c r="G139" s="112">
        <f t="shared" si="11"/>
        <v>127</v>
      </c>
      <c r="H139" s="99">
        <f>G139+'21'!H139</f>
        <v>3285</v>
      </c>
      <c r="I139" s="118"/>
      <c r="J139" s="328">
        <f>H139/DAY(B2)</f>
        <v>149.31818181818181</v>
      </c>
    </row>
    <row r="140" spans="1:15" ht="25.5">
      <c r="A140" s="1269" t="s">
        <v>187</v>
      </c>
      <c r="B140" s="1269"/>
      <c r="C140" s="1269"/>
      <c r="D140" s="151" t="s">
        <v>183</v>
      </c>
      <c r="E140" s="95">
        <f>'21'!F140</f>
        <v>2585</v>
      </c>
      <c r="F140" s="149">
        <v>2597</v>
      </c>
      <c r="G140" s="112">
        <f t="shared" si="11"/>
        <v>12</v>
      </c>
      <c r="H140" s="99">
        <f>G140+'21'!H140</f>
        <v>254</v>
      </c>
      <c r="I140" s="118"/>
      <c r="J140" s="328">
        <f>H140/DAY(B2)</f>
        <v>11.545454545454545</v>
      </c>
    </row>
    <row r="141" spans="1:15" ht="25.5">
      <c r="A141" s="1256" t="s">
        <v>188</v>
      </c>
      <c r="B141" s="1256"/>
      <c r="C141" s="1256"/>
      <c r="D141" s="151" t="s">
        <v>183</v>
      </c>
      <c r="E141" s="95">
        <f>'21'!F141</f>
        <v>108495</v>
      </c>
      <c r="F141" s="149">
        <v>108724</v>
      </c>
      <c r="G141" s="112">
        <f t="shared" si="11"/>
        <v>229</v>
      </c>
      <c r="H141" s="99">
        <f>G141+'21'!H141</f>
        <v>4950</v>
      </c>
      <c r="I141" s="118"/>
      <c r="J141" s="328">
        <f>H141/DAY(B2)</f>
        <v>225</v>
      </c>
    </row>
    <row r="142" spans="1:15" ht="25.5">
      <c r="A142" s="1256" t="s">
        <v>189</v>
      </c>
      <c r="B142" s="1256"/>
      <c r="C142" s="1256"/>
      <c r="D142" s="151" t="s">
        <v>183</v>
      </c>
      <c r="E142" s="95">
        <f>'21'!F142</f>
        <v>43803</v>
      </c>
      <c r="F142" s="148">
        <v>43885</v>
      </c>
      <c r="G142" s="112">
        <f t="shared" si="11"/>
        <v>82</v>
      </c>
      <c r="H142" s="99">
        <f>G142+'21'!H142</f>
        <v>2070</v>
      </c>
      <c r="I142" s="140"/>
      <c r="J142" s="328">
        <f>H142/DAY(B2)</f>
        <v>94.090909090909093</v>
      </c>
    </row>
    <row r="143" spans="1:15" ht="25.5">
      <c r="A143" s="1269" t="s">
        <v>91</v>
      </c>
      <c r="B143" s="1269"/>
      <c r="C143" s="1269"/>
      <c r="D143" s="151" t="s">
        <v>183</v>
      </c>
      <c r="E143" s="95">
        <f>'21'!F143</f>
        <v>11268</v>
      </c>
      <c r="F143" s="149">
        <v>11296</v>
      </c>
      <c r="G143" s="112">
        <f t="shared" si="11"/>
        <v>28</v>
      </c>
      <c r="H143" s="99">
        <f>G143+'21'!H143</f>
        <v>619</v>
      </c>
      <c r="I143" s="140"/>
      <c r="J143" s="328">
        <f>H143/DAY(B2)</f>
        <v>28.136363636363637</v>
      </c>
    </row>
    <row r="144" spans="1:15" ht="25.5">
      <c r="A144" s="1256" t="s">
        <v>90</v>
      </c>
      <c r="B144" s="1256"/>
      <c r="C144" s="1256"/>
      <c r="D144" s="151" t="s">
        <v>183</v>
      </c>
      <c r="E144" s="95">
        <f>'21'!F144</f>
        <v>938552</v>
      </c>
      <c r="F144" s="149">
        <v>938801</v>
      </c>
      <c r="G144" s="112">
        <f t="shared" si="11"/>
        <v>249</v>
      </c>
      <c r="H144" s="99">
        <f>G144+'21'!H144</f>
        <v>5280</v>
      </c>
      <c r="I144" s="140"/>
      <c r="J144" s="328">
        <f>H144/DAY(B2)</f>
        <v>240</v>
      </c>
    </row>
    <row r="145" spans="1:10" ht="25.5">
      <c r="A145" s="1269" t="s">
        <v>190</v>
      </c>
      <c r="B145" s="1269"/>
      <c r="C145" s="1269"/>
      <c r="D145" s="152" t="s">
        <v>183</v>
      </c>
      <c r="E145" s="95">
        <f>'21'!F145</f>
        <v>17483</v>
      </c>
      <c r="F145" s="149">
        <v>17645</v>
      </c>
      <c r="G145" s="112">
        <f t="shared" si="11"/>
        <v>162</v>
      </c>
      <c r="H145" s="99">
        <f>G145+'21'!H145</f>
        <v>4505</v>
      </c>
      <c r="I145" s="140"/>
      <c r="J145" s="328">
        <f>H145/DAY(B2)</f>
        <v>204.77272727272728</v>
      </c>
    </row>
    <row r="146" spans="1:10" ht="25.5">
      <c r="A146" s="1332" t="s">
        <v>191</v>
      </c>
      <c r="B146" s="1289"/>
      <c r="C146" s="1290"/>
      <c r="D146" s="152" t="s">
        <v>183</v>
      </c>
      <c r="E146" s="95">
        <f>'21'!F146</f>
        <v>785301</v>
      </c>
      <c r="F146" s="148">
        <v>785357</v>
      </c>
      <c r="G146" s="112">
        <f t="shared" si="11"/>
        <v>56</v>
      </c>
      <c r="H146" s="99">
        <f>G146+'21'!H146</f>
        <v>1018</v>
      </c>
      <c r="I146" s="140"/>
      <c r="J146" s="328">
        <f>H146/DAY(B2)</f>
        <v>46.272727272727273</v>
      </c>
    </row>
    <row r="147" spans="1:10" ht="25.5">
      <c r="A147" s="1256" t="s">
        <v>192</v>
      </c>
      <c r="B147" s="1256"/>
      <c r="C147" s="1256"/>
      <c r="D147" s="152" t="s">
        <v>183</v>
      </c>
      <c r="E147" s="95">
        <f>'21'!F147</f>
        <v>731896</v>
      </c>
      <c r="F147" s="148">
        <v>732298</v>
      </c>
      <c r="G147" s="112">
        <f t="shared" si="11"/>
        <v>402</v>
      </c>
      <c r="H147" s="99">
        <f>G147+'21'!H147</f>
        <v>8776</v>
      </c>
      <c r="I147" s="140"/>
      <c r="J147" s="328">
        <f>H147/DAY(B2)</f>
        <v>398.90909090909093</v>
      </c>
    </row>
    <row r="148" spans="1:10" ht="25.5">
      <c r="A148" s="1257" t="s">
        <v>193</v>
      </c>
      <c r="B148" s="1258"/>
      <c r="C148" s="1259"/>
      <c r="D148" s="123" t="s">
        <v>130</v>
      </c>
      <c r="E148" s="95">
        <f>'21'!F148</f>
        <v>772921</v>
      </c>
      <c r="F148" s="150">
        <v>773260</v>
      </c>
      <c r="G148" s="112">
        <f t="shared" si="11"/>
        <v>339</v>
      </c>
      <c r="H148" s="99">
        <f>G148+'21'!H148</f>
        <v>6650</v>
      </c>
      <c r="I148" s="124"/>
      <c r="J148" s="328">
        <f>H148/DAY(B2)</f>
        <v>302.27272727272725</v>
      </c>
    </row>
    <row r="149" spans="1:10" ht="25.5">
      <c r="A149" s="1257" t="s">
        <v>336</v>
      </c>
      <c r="B149" s="1258"/>
      <c r="C149" s="1259"/>
      <c r="D149" s="227" t="s">
        <v>130</v>
      </c>
      <c r="E149" s="95">
        <f>'21'!F149</f>
        <v>167208</v>
      </c>
      <c r="F149" s="146">
        <v>167687</v>
      </c>
      <c r="G149" s="112">
        <f t="shared" si="11"/>
        <v>479</v>
      </c>
      <c r="H149" s="99">
        <f>G149+'21'!H149</f>
        <v>9720</v>
      </c>
      <c r="I149" s="119"/>
      <c r="J149" s="328">
        <f>H149/DAY(B2)</f>
        <v>441.81818181818181</v>
      </c>
    </row>
    <row r="150" spans="1:10" ht="25.5">
      <c r="A150" s="1257" t="s">
        <v>337</v>
      </c>
      <c r="B150" s="1258"/>
      <c r="C150" s="1259"/>
      <c r="D150" s="117" t="s">
        <v>130</v>
      </c>
      <c r="E150" s="95">
        <f>'21'!F150</f>
        <v>68627</v>
      </c>
      <c r="F150" s="233">
        <v>68842</v>
      </c>
      <c r="G150" s="112">
        <f t="shared" si="11"/>
        <v>215</v>
      </c>
      <c r="H150" s="99">
        <f>G150+'21'!H150</f>
        <v>4864</v>
      </c>
      <c r="I150" s="119"/>
      <c r="J150" s="328">
        <f>H150/DAY(B2)</f>
        <v>221.09090909090909</v>
      </c>
    </row>
    <row r="151" spans="1:10" ht="25.5">
      <c r="A151" s="1257" t="s">
        <v>338</v>
      </c>
      <c r="B151" s="1258"/>
      <c r="C151" s="1259"/>
      <c r="D151" s="117" t="s">
        <v>130</v>
      </c>
      <c r="E151" s="95">
        <f>'21'!F151</f>
        <v>150852</v>
      </c>
      <c r="F151" s="233">
        <v>150892</v>
      </c>
      <c r="G151" s="112">
        <f t="shared" si="11"/>
        <v>40</v>
      </c>
      <c r="H151" s="99">
        <f>G151+'21'!H151</f>
        <v>1104</v>
      </c>
      <c r="I151" s="119"/>
      <c r="J151" s="328">
        <f>H151/DAY(B2)</f>
        <v>50.18181818181818</v>
      </c>
    </row>
    <row r="152" spans="1:10" ht="25.5">
      <c r="A152" s="1257" t="s">
        <v>339</v>
      </c>
      <c r="B152" s="1258"/>
      <c r="C152" s="1259"/>
      <c r="D152" s="117" t="s">
        <v>130</v>
      </c>
      <c r="E152" s="95">
        <f>'21'!F152</f>
        <v>33310</v>
      </c>
      <c r="F152" s="233">
        <v>33432</v>
      </c>
      <c r="G152" s="112">
        <f t="shared" si="11"/>
        <v>122</v>
      </c>
      <c r="H152" s="99">
        <f>G152+'21'!H152</f>
        <v>2818</v>
      </c>
      <c r="I152" s="119"/>
      <c r="J152" s="328">
        <f>H152/DAY(B2)</f>
        <v>128.09090909090909</v>
      </c>
    </row>
    <row r="153" spans="1:10" ht="25.5">
      <c r="A153" s="1261" t="s">
        <v>196</v>
      </c>
      <c r="B153" s="1262"/>
      <c r="C153" s="362"/>
      <c r="D153" s="355"/>
      <c r="E153" s="357"/>
      <c r="F153" s="358"/>
      <c r="G153" s="359">
        <f>SUM(G138:G152)</f>
        <v>2706</v>
      </c>
      <c r="H153" s="360"/>
      <c r="I153" s="119">
        <f>G153-(G38+G52)</f>
        <v>465</v>
      </c>
      <c r="J153" s="363"/>
    </row>
    <row r="154" spans="1:10" ht="27.75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0" ht="27.75">
      <c r="A155" s="1256" t="s">
        <v>345</v>
      </c>
      <c r="B155" s="1256"/>
      <c r="C155" s="1256"/>
      <c r="D155" s="117" t="s">
        <v>130</v>
      </c>
      <c r="E155" s="95">
        <f>'21'!F155</f>
        <v>197140</v>
      </c>
      <c r="F155" s="365">
        <v>197625</v>
      </c>
      <c r="G155" s="112">
        <f t="shared" ref="G155:G158" si="12">F155-E155</f>
        <v>485</v>
      </c>
      <c r="H155" s="99">
        <f>G155+'21'!H155</f>
        <v>11884</v>
      </c>
      <c r="I155" s="361"/>
      <c r="J155" s="328">
        <f>H155/DAY(B2)</f>
        <v>540.18181818181813</v>
      </c>
    </row>
    <row r="156" spans="1:10" ht="25.5">
      <c r="A156" s="1256" t="s">
        <v>347</v>
      </c>
      <c r="B156" s="1256"/>
      <c r="C156" s="1256"/>
      <c r="D156" s="117" t="s">
        <v>130</v>
      </c>
      <c r="E156" s="95">
        <f>'21'!F156</f>
        <v>22748</v>
      </c>
      <c r="F156" s="365">
        <v>22842</v>
      </c>
      <c r="G156" s="112">
        <f t="shared" si="12"/>
        <v>94</v>
      </c>
      <c r="H156" s="99">
        <f>G156+'21'!H156</f>
        <v>2103</v>
      </c>
      <c r="I156" s="165"/>
      <c r="J156" s="328">
        <f>H156/DAY(B2)</f>
        <v>95.590909090909093</v>
      </c>
    </row>
    <row r="157" spans="1:10" ht="25.5">
      <c r="A157" s="1257" t="s">
        <v>358</v>
      </c>
      <c r="B157" s="1258"/>
      <c r="C157" s="1259"/>
      <c r="D157" s="117" t="s">
        <v>130</v>
      </c>
      <c r="E157" s="95">
        <f>'21'!F157</f>
        <v>37558.54</v>
      </c>
      <c r="F157" s="155">
        <v>37559</v>
      </c>
      <c r="G157" s="112">
        <f t="shared" si="12"/>
        <v>0.45999999999912689</v>
      </c>
      <c r="H157" s="99">
        <f>G157+'21'!H157</f>
        <v>0.45999999999912689</v>
      </c>
      <c r="I157" s="165"/>
      <c r="J157" s="328">
        <f>H157/DAY(B2)</f>
        <v>2.0909090909051221E-2</v>
      </c>
    </row>
    <row r="158" spans="1:10" ht="25.5">
      <c r="A158" s="1257" t="s">
        <v>359</v>
      </c>
      <c r="B158" s="1258"/>
      <c r="C158" s="1259"/>
      <c r="D158" s="117" t="s">
        <v>130</v>
      </c>
      <c r="E158" s="95">
        <f>'21'!F158</f>
        <v>985</v>
      </c>
      <c r="F158" s="155">
        <v>1002</v>
      </c>
      <c r="G158" s="112">
        <f t="shared" si="12"/>
        <v>17</v>
      </c>
      <c r="H158" s="99">
        <f>G158+'21'!H158</f>
        <v>63</v>
      </c>
      <c r="I158" s="165"/>
      <c r="J158" s="328">
        <f>H158/DAY(B2)</f>
        <v>2.8636363636363638</v>
      </c>
    </row>
    <row r="159" spans="1:10" ht="25.5">
      <c r="A159" s="1263"/>
      <c r="B159" s="1264"/>
      <c r="C159" s="1265"/>
      <c r="D159" s="117"/>
      <c r="E159" s="95"/>
      <c r="F159" s="165"/>
      <c r="G159" s="112"/>
      <c r="H159" s="99"/>
      <c r="I159" s="165"/>
      <c r="J159" s="328"/>
    </row>
    <row r="160" spans="1:10" ht="27.75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26.25">
      <c r="A161" s="242" t="s">
        <v>92</v>
      </c>
      <c r="B161" s="243"/>
      <c r="C161" s="243"/>
      <c r="D161" s="244" t="s">
        <v>180</v>
      </c>
      <c r="E161" s="95">
        <f>'21'!F161</f>
        <v>494499</v>
      </c>
      <c r="F161" s="235">
        <v>494833</v>
      </c>
      <c r="G161" s="238">
        <f t="shared" ref="G161:G165" si="13">F161-E161</f>
        <v>334</v>
      </c>
      <c r="H161" s="99">
        <f>G161+'21'!H161</f>
        <v>1555.960000000021</v>
      </c>
      <c r="I161" s="236"/>
      <c r="J161" s="239">
        <f>H161/DAY(B2)</f>
        <v>70.725454545455491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'21'!F162</f>
        <v>98099</v>
      </c>
      <c r="F162" s="235">
        <v>98122</v>
      </c>
      <c r="G162" s="238">
        <f t="shared" si="13"/>
        <v>23</v>
      </c>
      <c r="H162" s="99">
        <f>G162+'21'!H162</f>
        <v>834</v>
      </c>
      <c r="I162" s="236"/>
      <c r="J162" s="239">
        <f>H162/DAY(B2)</f>
        <v>37.909090909090907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'21'!F163</f>
        <v>16682</v>
      </c>
      <c r="F163" s="235">
        <v>16802</v>
      </c>
      <c r="G163" s="238">
        <f t="shared" si="13"/>
        <v>120</v>
      </c>
      <c r="H163" s="99">
        <f>G163+'21'!H163</f>
        <v>2638</v>
      </c>
      <c r="I163" s="236"/>
      <c r="J163" s="239">
        <f>H163/DAY(B2)</f>
        <v>119.90909090909091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6769</v>
      </c>
      <c r="F164" s="235">
        <v>6776</v>
      </c>
      <c r="G164" s="238">
        <f t="shared" si="13"/>
        <v>7</v>
      </c>
      <c r="H164" s="99">
        <f>G164+'21'!H164</f>
        <v>164</v>
      </c>
      <c r="I164" s="236"/>
      <c r="J164" s="239">
        <f>H164/DAY(B2)</f>
        <v>7.4545454545454541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32289</v>
      </c>
      <c r="F165" s="235">
        <v>32293</v>
      </c>
      <c r="G165" s="238">
        <f t="shared" si="13"/>
        <v>4</v>
      </c>
      <c r="H165" s="99">
        <f>G165+'21'!H165</f>
        <v>152</v>
      </c>
      <c r="I165" s="236"/>
      <c r="J165" s="239">
        <f>H165/DAY(B2)</f>
        <v>6.9090909090909092</v>
      </c>
    </row>
    <row r="166" spans="1:10" ht="21.95" customHeight="1">
      <c r="A166" s="1274"/>
      <c r="B166" s="1274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1274"/>
      <c r="B167" s="1274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1274"/>
      <c r="B168" s="1274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5.5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54" t="s">
        <v>209</v>
      </c>
      <c r="B173" s="1255"/>
      <c r="C173" s="333"/>
      <c r="D173" s="228" t="s">
        <v>142</v>
      </c>
      <c r="E173" s="95">
        <f>'21'!F173</f>
        <v>8610</v>
      </c>
      <c r="F173" s="155">
        <v>8620</v>
      </c>
      <c r="G173" s="155">
        <f>F173-E173</f>
        <v>10</v>
      </c>
      <c r="H173" s="99">
        <f>G173+'21'!H173</f>
        <v>39</v>
      </c>
      <c r="I173" s="155"/>
      <c r="J173" s="178">
        <f>H173/DAY(B2)</f>
        <v>1.7727272727272727</v>
      </c>
    </row>
    <row r="174" spans="1:10" ht="25.5">
      <c r="A174" s="1254" t="s">
        <v>75</v>
      </c>
      <c r="B174" s="1255"/>
      <c r="C174" s="333"/>
      <c r="D174" s="228" t="s">
        <v>142</v>
      </c>
      <c r="E174" s="95">
        <f>'21'!F174</f>
        <v>42242</v>
      </c>
      <c r="F174" s="157">
        <v>42250</v>
      </c>
      <c r="G174" s="155">
        <f t="shared" ref="G174:G175" si="14">F174-E174</f>
        <v>8</v>
      </c>
      <c r="H174" s="99">
        <f>G174+'21'!H174</f>
        <v>288</v>
      </c>
      <c r="I174" s="155"/>
      <c r="J174" s="178">
        <f>H174/DAY(B2)</f>
        <v>13.090909090909092</v>
      </c>
    </row>
    <row r="175" spans="1:10" ht="25.5">
      <c r="A175" s="1254" t="s">
        <v>76</v>
      </c>
      <c r="B175" s="1324"/>
      <c r="C175" s="1255"/>
      <c r="D175" s="228" t="s">
        <v>142</v>
      </c>
      <c r="E175" s="95">
        <f>'21'!F175</f>
        <v>24939</v>
      </c>
      <c r="F175" s="155">
        <v>24948</v>
      </c>
      <c r="G175" s="155">
        <f t="shared" si="14"/>
        <v>9</v>
      </c>
      <c r="H175" s="99">
        <f>G175+'21'!H175</f>
        <v>251</v>
      </c>
      <c r="I175" s="155"/>
      <c r="J175" s="178">
        <f>H175/DAY(B2)</f>
        <v>11.409090909090908</v>
      </c>
    </row>
    <row r="176" spans="1:10" ht="25.5">
      <c r="A176" s="1261" t="s">
        <v>196</v>
      </c>
      <c r="B176" s="1262"/>
      <c r="C176" s="384"/>
      <c r="D176" s="228" t="s">
        <v>142</v>
      </c>
      <c r="E176" s="95"/>
      <c r="F176" s="155"/>
      <c r="G176" s="155">
        <f>SUM(G173:G175)</f>
        <v>27</v>
      </c>
      <c r="H176" s="99">
        <f>G176+'21'!H176</f>
        <v>578</v>
      </c>
      <c r="I176" s="155"/>
      <c r="J176" s="178">
        <f>H176/DAY(B2)</f>
        <v>26.272727272727273</v>
      </c>
    </row>
    <row r="177" spans="1:10" ht="25.5">
      <c r="A177" s="1254" t="s">
        <v>77</v>
      </c>
      <c r="B177" s="1255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5.5">
      <c r="A178" s="1254" t="s">
        <v>210</v>
      </c>
      <c r="B178" s="1255"/>
      <c r="C178" s="333"/>
      <c r="D178" s="228" t="s">
        <v>142</v>
      </c>
      <c r="E178" s="95">
        <f>'21'!F178</f>
        <v>102114</v>
      </c>
      <c r="F178" s="407">
        <v>102114</v>
      </c>
      <c r="G178" s="155">
        <f>F178-E178</f>
        <v>0</v>
      </c>
      <c r="H178" s="99">
        <f>G178+'21'!H178</f>
        <v>3</v>
      </c>
      <c r="I178" s="155"/>
      <c r="J178" s="178">
        <f>H178/DAY(B2)</f>
        <v>0.13636363636363635</v>
      </c>
    </row>
    <row r="179" spans="1:10" ht="25.5">
      <c r="A179" s="1254" t="s">
        <v>211</v>
      </c>
      <c r="B179" s="1255"/>
      <c r="C179" s="333"/>
      <c r="D179" s="228" t="s">
        <v>142</v>
      </c>
      <c r="E179" s="95">
        <f>'21'!F179</f>
        <v>37501</v>
      </c>
      <c r="F179" s="155">
        <v>37501</v>
      </c>
      <c r="G179" s="155">
        <f t="shared" ref="G179:G180" si="15">F179-E179</f>
        <v>0</v>
      </c>
      <c r="H179" s="99">
        <f>G179+'21'!H179</f>
        <v>0</v>
      </c>
      <c r="I179" s="155"/>
      <c r="J179" s="178">
        <f>H179/DAY(B2)</f>
        <v>0</v>
      </c>
    </row>
    <row r="180" spans="1:10" ht="25.5">
      <c r="A180" s="1254" t="s">
        <v>212</v>
      </c>
      <c r="B180" s="1255"/>
      <c r="C180" s="333"/>
      <c r="D180" s="228" t="s">
        <v>142</v>
      </c>
      <c r="E180" s="95">
        <f>'21'!F180</f>
        <v>37036</v>
      </c>
      <c r="F180" s="155">
        <v>37036</v>
      </c>
      <c r="G180" s="365">
        <f t="shared" si="15"/>
        <v>0</v>
      </c>
      <c r="H180" s="99">
        <f>G180+'21'!H180</f>
        <v>0</v>
      </c>
      <c r="I180" s="155"/>
      <c r="J180" s="178">
        <f>H180/DAY(B2)</f>
        <v>0</v>
      </c>
    </row>
    <row r="181" spans="1:10" ht="27.75" customHeight="1">
      <c r="A181" s="1325" t="s">
        <v>108</v>
      </c>
      <c r="B181" s="1326"/>
      <c r="C181" s="384"/>
      <c r="D181" s="228" t="s">
        <v>142</v>
      </c>
      <c r="E181" s="95"/>
      <c r="F181" s="155"/>
      <c r="G181" s="155">
        <f>SUM(G178:G180)</f>
        <v>0</v>
      </c>
      <c r="H181" s="99">
        <f>G181+'21'!H181</f>
        <v>3</v>
      </c>
      <c r="I181" s="155"/>
      <c r="J181" s="178">
        <f>H181/DAY(B2)</f>
        <v>0.13636363636363635</v>
      </c>
    </row>
    <row r="182" spans="1:10" ht="25.5">
      <c r="A182" s="1254" t="s">
        <v>213</v>
      </c>
      <c r="B182" s="1255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5.5">
      <c r="A183" s="1254" t="s">
        <v>214</v>
      </c>
      <c r="B183" s="1255"/>
      <c r="C183" s="334"/>
      <c r="D183" s="228" t="s">
        <v>142</v>
      </c>
      <c r="E183" s="95">
        <f>'21'!F183</f>
        <v>17968</v>
      </c>
      <c r="F183" s="157">
        <v>17971</v>
      </c>
      <c r="G183" s="157">
        <f>F183-E183</f>
        <v>3</v>
      </c>
      <c r="H183" s="99">
        <f>G183+'21'!H183</f>
        <v>123</v>
      </c>
      <c r="I183" s="155"/>
      <c r="J183" s="178">
        <f>H183/DAY(B2)</f>
        <v>5.5909090909090908</v>
      </c>
    </row>
    <row r="184" spans="1:10" ht="25.5">
      <c r="A184" s="1254" t="s">
        <v>215</v>
      </c>
      <c r="B184" s="1255"/>
      <c r="C184" s="334"/>
      <c r="D184" s="228" t="s">
        <v>142</v>
      </c>
      <c r="E184" s="95">
        <f>'21'!F184</f>
        <v>12514</v>
      </c>
      <c r="F184" s="157">
        <v>12516</v>
      </c>
      <c r="G184" s="157">
        <f t="shared" ref="G184" si="16">F184-E184</f>
        <v>2</v>
      </c>
      <c r="H184" s="99">
        <f>G184+'21'!H184</f>
        <v>167</v>
      </c>
      <c r="I184" s="155"/>
      <c r="J184" s="178">
        <f>H184/DAY(B2)</f>
        <v>7.5909090909090908</v>
      </c>
    </row>
    <row r="185" spans="1:10" ht="25.5">
      <c r="A185" s="1254" t="s">
        <v>216</v>
      </c>
      <c r="B185" s="1255"/>
      <c r="C185" s="334"/>
      <c r="D185" s="228" t="s">
        <v>142</v>
      </c>
      <c r="E185" s="95">
        <v>0</v>
      </c>
      <c r="F185" s="157"/>
      <c r="G185" s="157">
        <v>0</v>
      </c>
      <c r="H185" s="99">
        <f>G185+'21'!H185</f>
        <v>0</v>
      </c>
      <c r="I185" s="155"/>
      <c r="J185" s="178">
        <f>H185/DAY(B2)</f>
        <v>0</v>
      </c>
    </row>
    <row r="186" spans="1:10" ht="25.5">
      <c r="A186" s="1261" t="s">
        <v>196</v>
      </c>
      <c r="B186" s="1262"/>
      <c r="C186" s="383"/>
      <c r="D186" s="228" t="s">
        <v>142</v>
      </c>
      <c r="E186" s="95"/>
      <c r="F186" s="157"/>
      <c r="G186" s="157">
        <f>SUM(G183:G185)</f>
        <v>5</v>
      </c>
      <c r="H186" s="99">
        <f>G186+'21'!H186</f>
        <v>290</v>
      </c>
      <c r="I186" s="157"/>
      <c r="J186" s="178">
        <f>H186/DAY(B2)</f>
        <v>13.181818181818182</v>
      </c>
    </row>
    <row r="187" spans="1:10" ht="25.5">
      <c r="A187" s="1250" t="s">
        <v>217</v>
      </c>
      <c r="B187" s="1251"/>
      <c r="C187" s="333"/>
      <c r="D187" s="230" t="s">
        <v>142</v>
      </c>
      <c r="E187" s="95"/>
      <c r="F187" s="159"/>
      <c r="G187" s="367">
        <f>G62+G19</f>
        <v>167</v>
      </c>
      <c r="H187" s="99">
        <f>G187+'21'!H187</f>
        <v>3326</v>
      </c>
      <c r="I187" s="158"/>
      <c r="J187" s="179">
        <f>H187/DAY(B2)</f>
        <v>151.18181818181819</v>
      </c>
    </row>
    <row r="188" spans="1:10" ht="25.5">
      <c r="A188" s="1250" t="s">
        <v>218</v>
      </c>
      <c r="B188" s="1251"/>
      <c r="C188" s="333"/>
      <c r="D188" s="230" t="s">
        <v>142</v>
      </c>
      <c r="E188" s="95"/>
      <c r="F188" s="159"/>
      <c r="G188" s="367">
        <f>G65+G66+G67+G69+G70</f>
        <v>178</v>
      </c>
      <c r="H188" s="99">
        <f>G188+'21'!H188</f>
        <v>1329</v>
      </c>
      <c r="I188" s="158"/>
      <c r="J188" s="179">
        <f>H188/DAY(B2)</f>
        <v>60.409090909090907</v>
      </c>
    </row>
    <row r="189" spans="1:10" ht="25.5">
      <c r="A189" s="1250" t="s">
        <v>219</v>
      </c>
      <c r="B189" s="1251"/>
      <c r="C189" s="333"/>
      <c r="D189" s="230" t="s">
        <v>142</v>
      </c>
      <c r="E189" s="95"/>
      <c r="F189" s="157"/>
      <c r="G189" s="366">
        <f>G181</f>
        <v>0</v>
      </c>
      <c r="H189" s="99">
        <f>G189+'21'!H189</f>
        <v>0</v>
      </c>
      <c r="I189" s="158"/>
      <c r="J189" s="179">
        <f>H189/DAY(B2)</f>
        <v>0</v>
      </c>
    </row>
    <row r="190" spans="1:10" ht="25.5">
      <c r="A190" s="1252"/>
      <c r="B190" s="1253"/>
      <c r="C190" s="382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205" spans="6:6" ht="21.95" customHeight="1">
      <c r="F205" s="160">
        <v>99390</v>
      </c>
    </row>
  </sheetData>
  <mergeCells count="115"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100" zoomScale="60" zoomScaleNormal="80" workbookViewId="0">
      <selection activeCell="E176" sqref="E176"/>
    </sheetView>
  </sheetViews>
  <sheetFormatPr defaultColWidth="22.33203125" defaultRowHeight="30.75" customHeight="1"/>
  <cols>
    <col min="1" max="1" width="42.664062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3.5546875" style="160" customWidth="1"/>
    <col min="6" max="6" width="21.88671875" style="160" customWidth="1"/>
    <col min="7" max="7" width="24.77734375" style="160" customWidth="1"/>
    <col min="8" max="8" width="21.77734375" style="161" customWidth="1"/>
    <col min="9" max="9" width="18" style="160" customWidth="1"/>
    <col min="10" max="10" width="19.33203125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30.75" customHeight="1">
      <c r="A2" s="191" t="s">
        <v>354</v>
      </c>
      <c r="B2" s="262">
        <v>44857</v>
      </c>
      <c r="C2" s="348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26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430426</v>
      </c>
      <c r="F7" s="95">
        <v>451911</v>
      </c>
      <c r="G7" s="112">
        <f>F7-E7</f>
        <v>21485</v>
      </c>
      <c r="H7" s="99">
        <f>G7+'22'!H7</f>
        <v>570075</v>
      </c>
      <c r="I7" s="113">
        <f>'1'!I7</f>
        <v>12000</v>
      </c>
      <c r="J7" s="175">
        <f>H7/DAY(B2)</f>
        <v>24785.869565217392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604627</v>
      </c>
      <c r="F8" s="95">
        <v>626200</v>
      </c>
      <c r="G8" s="115">
        <f>F8-E8</f>
        <v>21573</v>
      </c>
      <c r="H8" s="99">
        <f>G8+'22'!H8</f>
        <v>576820</v>
      </c>
      <c r="I8" s="116"/>
      <c r="J8" s="175">
        <f>H8/DAY(B2)</f>
        <v>25079.130434782608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3860286</v>
      </c>
      <c r="F9" s="447">
        <v>3870237</v>
      </c>
      <c r="G9" s="112">
        <f>F9-E9</f>
        <v>9951</v>
      </c>
      <c r="H9" s="99">
        <f>G9+'22'!H9</f>
        <v>163530</v>
      </c>
      <c r="I9" s="124">
        <f>I7-J7</f>
        <v>-12785.869565217392</v>
      </c>
      <c r="J9" s="175">
        <f>H9/DAY(B2)</f>
        <v>7110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3123204</v>
      </c>
      <c r="F10" s="353">
        <v>3134129</v>
      </c>
      <c r="G10" s="112">
        <f t="shared" ref="G10:G11" si="0">F10-E10</f>
        <v>10925</v>
      </c>
      <c r="H10" s="99">
        <f>G10+'22'!H10</f>
        <v>391435</v>
      </c>
      <c r="I10" s="282"/>
      <c r="J10" s="175">
        <f>H10/DAY(B2)</f>
        <v>17018.91304347826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37560</v>
      </c>
      <c r="F11" s="95">
        <v>37560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40380</v>
      </c>
      <c r="F12" s="117">
        <v>40380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20876</v>
      </c>
      <c r="H13" s="99">
        <f>G13+'22'!H13</f>
        <v>556425</v>
      </c>
      <c r="I13" s="120">
        <f>G7-G13</f>
        <v>609</v>
      </c>
      <c r="J13" s="175">
        <f>H13/DAY(B2)</f>
        <v>24192.391304347828</v>
      </c>
      <c r="K13" s="79"/>
      <c r="L13" s="66"/>
      <c r="N13" s="87"/>
      <c r="O13" s="71"/>
    </row>
    <row r="14" spans="1:15" ht="30.75" customHeight="1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'22'!F15</f>
        <v>2184244</v>
      </c>
      <c r="F15" s="447">
        <v>2185207</v>
      </c>
      <c r="G15" s="112">
        <f>(F15-E15)</f>
        <v>963</v>
      </c>
      <c r="H15" s="99">
        <f>G15+'22'!H15</f>
        <v>23692</v>
      </c>
      <c r="I15" s="113">
        <f>'1'!I15</f>
        <v>800</v>
      </c>
      <c r="J15" s="175">
        <f>H15/DAY(B2)</f>
        <v>1030.0869565217392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-230.08695652173924</v>
      </c>
      <c r="J16" s="176"/>
      <c r="K16" s="79"/>
      <c r="L16" s="66"/>
      <c r="N16" s="87"/>
      <c r="O16" s="71"/>
    </row>
    <row r="17" spans="1:15" ht="30.75" customHeight="1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1281" t="s">
        <v>141</v>
      </c>
      <c r="B18" s="1282"/>
      <c r="C18" s="1283"/>
      <c r="D18" s="151" t="s">
        <v>142</v>
      </c>
      <c r="E18" s="95">
        <f>'22'!F18</f>
        <v>34</v>
      </c>
      <c r="F18" s="122">
        <v>34</v>
      </c>
      <c r="G18" s="119">
        <f>F18*10</f>
        <v>340</v>
      </c>
      <c r="H18" s="99">
        <f>G18+'22'!H18</f>
        <v>5930</v>
      </c>
      <c r="I18" s="113">
        <f>'1'!I18</f>
        <v>65</v>
      </c>
      <c r="J18" s="175">
        <f>H18/DAY(B2)</f>
        <v>257.82608695652175</v>
      </c>
      <c r="K18" s="79"/>
      <c r="L18" s="66"/>
      <c r="N18" s="87"/>
      <c r="O18" s="71"/>
    </row>
    <row r="19" spans="1:15" ht="30.75" customHeight="1">
      <c r="A19" s="1281" t="s">
        <v>69</v>
      </c>
      <c r="B19" s="1282"/>
      <c r="C19" s="1283"/>
      <c r="D19" s="151" t="s">
        <v>142</v>
      </c>
      <c r="E19" s="95">
        <f>'22'!F19</f>
        <v>166554</v>
      </c>
      <c r="F19" s="122">
        <v>166603</v>
      </c>
      <c r="G19" s="112">
        <f t="shared" ref="G19" si="1">F19-E19</f>
        <v>49</v>
      </c>
      <c r="H19" s="99">
        <f>G19+'22'!H19</f>
        <v>1160</v>
      </c>
      <c r="I19" s="335"/>
      <c r="J19" s="175">
        <f>H19/DAY(B2)</f>
        <v>50.434782608695649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389</v>
      </c>
      <c r="H20" s="99">
        <f>G20+'22'!H20</f>
        <v>7090</v>
      </c>
      <c r="I20" s="336">
        <f>I18-J20</f>
        <v>-243.26086956521738</v>
      </c>
      <c r="J20" s="175">
        <f>H20/DAY(B2)</f>
        <v>308.26086956521738</v>
      </c>
      <c r="K20" s="79"/>
      <c r="L20" s="66"/>
      <c r="N20" s="87"/>
      <c r="O20" s="71"/>
    </row>
    <row r="21" spans="1:15" ht="30.75" customHeight="1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1500</v>
      </c>
      <c r="F23" s="122">
        <v>1500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4470</v>
      </c>
      <c r="F24" s="128">
        <v>4470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21573</v>
      </c>
      <c r="F27" s="136">
        <v>10</v>
      </c>
      <c r="G27" s="137">
        <f>E27*F27</f>
        <v>215730</v>
      </c>
      <c r="H27" s="99">
        <f>G27+'22'!H27</f>
        <v>5768200</v>
      </c>
      <c r="I27" s="138"/>
      <c r="J27" s="175">
        <f>H27/DAY(B2)</f>
        <v>250791.30434782608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963</v>
      </c>
      <c r="F28" s="136">
        <v>75</v>
      </c>
      <c r="G28" s="137">
        <f>E28*F28</f>
        <v>72225</v>
      </c>
      <c r="H28" s="99">
        <f>G28+'22'!H28</f>
        <v>1776900</v>
      </c>
      <c r="I28" s="140"/>
      <c r="J28" s="175">
        <f>H28/DAY(B2)</f>
        <v>77256.521739130432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G30+'22'!H30</f>
        <v>175160</v>
      </c>
      <c r="I30" s="140"/>
      <c r="J30" s="175">
        <f>H30/DAY(B2)</f>
        <v>7615.652173913043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340</v>
      </c>
      <c r="F31" s="136">
        <v>85</v>
      </c>
      <c r="G31" s="137">
        <f>E31*F31</f>
        <v>28900</v>
      </c>
      <c r="H31" s="99">
        <f>G31+'22'!H31</f>
        <v>500900</v>
      </c>
      <c r="I31" s="140"/>
      <c r="J31" s="175">
        <f>H31/DAY(B2)</f>
        <v>21778.260869565216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324254</v>
      </c>
      <c r="H32" s="99">
        <f>G32+'22'!H32</f>
        <v>8221160</v>
      </c>
      <c r="I32" s="144"/>
      <c r="J32" s="175">
        <f>H32/DAY(B2)</f>
        <v>357441.73913043475</v>
      </c>
      <c r="K32" s="63"/>
      <c r="L32" s="89"/>
      <c r="N32" s="87"/>
      <c r="O32" s="71"/>
    </row>
    <row r="33" spans="1:15" ht="30.75" customHeight="1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265633</v>
      </c>
      <c r="F35" s="145">
        <v>267690</v>
      </c>
      <c r="G35" s="112">
        <f t="shared" ref="G35:G46" si="3">F35-E35</f>
        <v>2057</v>
      </c>
      <c r="H35" s="99">
        <f>G35+'22'!H35</f>
        <v>28976.950000000012</v>
      </c>
      <c r="I35" s="95"/>
      <c r="J35" s="175">
        <f>H35/DAY(B2)</f>
        <v>1259.8673913043483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288615</v>
      </c>
      <c r="F36" s="145">
        <v>289329</v>
      </c>
      <c r="G36" s="112">
        <f t="shared" si="3"/>
        <v>714</v>
      </c>
      <c r="H36" s="99">
        <f>G36+'22'!H36</f>
        <v>19846</v>
      </c>
      <c r="I36" s="95"/>
      <c r="J36" s="175">
        <f>H36/DAY(B2)</f>
        <v>862.86956521739125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322998.69</v>
      </c>
      <c r="F37" s="145">
        <v>322999</v>
      </c>
      <c r="G37" s="112">
        <f t="shared" si="3"/>
        <v>0.30999999999767169</v>
      </c>
      <c r="H37" s="99">
        <f>G37+'22'!H37</f>
        <v>0.30999999999767169</v>
      </c>
      <c r="I37" s="95"/>
      <c r="J37" s="175">
        <f>H37/DAY(B2)</f>
        <v>1.3478260869463988E-2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643657</v>
      </c>
      <c r="F38" s="108">
        <v>645874</v>
      </c>
      <c r="G38" s="112">
        <f t="shared" si="3"/>
        <v>2217</v>
      </c>
      <c r="H38" s="99">
        <f>G38+'22'!H38</f>
        <v>52157</v>
      </c>
      <c r="I38" s="95"/>
      <c r="J38" s="175">
        <f>H38/DAY(B2)</f>
        <v>2267.695652173913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591584</v>
      </c>
      <c r="F39" s="145">
        <v>591584</v>
      </c>
      <c r="G39" s="112">
        <f t="shared" si="3"/>
        <v>0</v>
      </c>
      <c r="H39" s="99">
        <f>G39+'22'!H39</f>
        <v>-0.18999999994412065</v>
      </c>
      <c r="I39" s="95"/>
      <c r="J39" s="175">
        <f>H39/DAY(B2)</f>
        <v>-8.2608695627878533E-3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175171</v>
      </c>
      <c r="F40" s="145">
        <v>175963</v>
      </c>
      <c r="G40" s="112">
        <f t="shared" si="3"/>
        <v>792</v>
      </c>
      <c r="H40" s="99">
        <f>G40+'22'!H40</f>
        <v>17983</v>
      </c>
      <c r="I40" s="95"/>
      <c r="J40" s="175">
        <f>H40/DAY(B2)</f>
        <v>781.86956521739125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395152</v>
      </c>
      <c r="F41" s="145">
        <v>400329</v>
      </c>
      <c r="G41" s="112">
        <f t="shared" si="3"/>
        <v>5177</v>
      </c>
      <c r="H41" s="99">
        <f>G41+'22'!H41</f>
        <v>19977.450000000012</v>
      </c>
      <c r="I41" s="95"/>
      <c r="J41" s="175">
        <f>H41/DAY(B2)</f>
        <v>868.58478260869617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871198</v>
      </c>
      <c r="F42" s="145">
        <v>871198</v>
      </c>
      <c r="G42" s="112">
        <f t="shared" si="3"/>
        <v>0</v>
      </c>
      <c r="H42" s="99">
        <f>G42+'22'!H42</f>
        <v>46111</v>
      </c>
      <c r="I42" s="95"/>
      <c r="J42" s="175">
        <f>H42/DAY(B2)</f>
        <v>2004.8260869565217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407028</v>
      </c>
      <c r="F43" s="145">
        <v>407028.03</v>
      </c>
      <c r="G43" s="112">
        <f t="shared" si="3"/>
        <v>3.0000000027939677E-2</v>
      </c>
      <c r="H43" s="99">
        <f>G43+'22'!H43</f>
        <v>3.0000000027939677E-2</v>
      </c>
      <c r="I43" s="95"/>
      <c r="J43" s="175">
        <f>H43/DAY(B2)</f>
        <v>1.3043478273017251E-3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10957.340000000026</v>
      </c>
      <c r="H47" s="99">
        <f>G47+'22'!H47</f>
        <v>189160.49</v>
      </c>
      <c r="I47" s="95"/>
      <c r="J47" s="175">
        <f>H47/DAY(B2)</f>
        <v>8224.3691304347831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774091</v>
      </c>
      <c r="F49" s="715">
        <v>775585</v>
      </c>
      <c r="G49" s="112">
        <f t="shared" ref="G49:G58" si="4">F49-E49</f>
        <v>1494</v>
      </c>
      <c r="H49" s="99">
        <f>G49+'22'!H49</f>
        <v>55298</v>
      </c>
      <c r="I49" s="95"/>
      <c r="J49" s="175">
        <f>H49/DAY(B2)</f>
        <v>2404.2608695652175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399923</v>
      </c>
      <c r="F50" s="145">
        <v>401088</v>
      </c>
      <c r="G50" s="112">
        <f t="shared" si="4"/>
        <v>1165</v>
      </c>
      <c r="H50" s="99">
        <f>G50+'22'!H50</f>
        <v>236027</v>
      </c>
      <c r="I50" s="95"/>
      <c r="J50" s="175">
        <f>H50/DAY(B2)</f>
        <v>10262.04347826087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94469</v>
      </c>
      <c r="F51" s="145">
        <v>95484</v>
      </c>
      <c r="G51" s="112">
        <f t="shared" si="4"/>
        <v>1015</v>
      </c>
      <c r="H51" s="99">
        <f>G51+'22'!H51</f>
        <v>23757</v>
      </c>
      <c r="I51" s="95"/>
      <c r="J51" s="175">
        <f>H51/DAY(B2)</f>
        <v>1032.9130434782608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10</v>
      </c>
      <c r="F52" s="145">
        <v>10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386801</v>
      </c>
      <c r="F53" s="145">
        <v>391130</v>
      </c>
      <c r="G53" s="112">
        <f t="shared" si="4"/>
        <v>4329</v>
      </c>
      <c r="H53" s="99">
        <f>G53+'22'!H53</f>
        <v>97029</v>
      </c>
      <c r="I53" s="95"/>
      <c r="J53" s="175">
        <f>H53/DAY(B2)</f>
        <v>4218.652173913043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103439</v>
      </c>
      <c r="F54" s="145">
        <v>103581</v>
      </c>
      <c r="G54" s="112">
        <f t="shared" si="4"/>
        <v>142</v>
      </c>
      <c r="H54" s="99">
        <f>G54+'22'!H54</f>
        <v>2194</v>
      </c>
      <c r="I54" s="95"/>
      <c r="J54" s="175">
        <f>H54/DAY(B2)</f>
        <v>95.391304347826093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538458</v>
      </c>
      <c r="F55" s="145">
        <v>538458</v>
      </c>
      <c r="G55" s="112">
        <f t="shared" si="4"/>
        <v>0</v>
      </c>
      <c r="H55" s="99">
        <f>G55+'22'!H55</f>
        <v>43975</v>
      </c>
      <c r="I55" s="95"/>
      <c r="J55" s="175">
        <f>H55/DAY(B2)</f>
        <v>1911.9565217391305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177810</v>
      </c>
      <c r="F56" s="145">
        <v>177810</v>
      </c>
      <c r="G56" s="112">
        <f t="shared" si="4"/>
        <v>0</v>
      </c>
      <c r="H56" s="99">
        <f>G56+'22'!H56</f>
        <v>28091</v>
      </c>
      <c r="I56" s="95"/>
      <c r="J56" s="175">
        <f>H56/DAY(B2)</f>
        <v>1221.3478260869565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473331</v>
      </c>
      <c r="F57" s="145">
        <v>475819</v>
      </c>
      <c r="G57" s="112">
        <f t="shared" si="4"/>
        <v>2488</v>
      </c>
      <c r="H57" s="99">
        <f>G57+'22'!H57</f>
        <v>66741</v>
      </c>
      <c r="I57" s="95"/>
      <c r="J57" s="175">
        <f>H57/DAY(B2)</f>
        <v>2901.782608695652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69527</v>
      </c>
      <c r="F58" s="145">
        <v>69764</v>
      </c>
      <c r="G58" s="112">
        <f t="shared" si="4"/>
        <v>237</v>
      </c>
      <c r="H58" s="99">
        <f>G58+'22'!H58</f>
        <v>5613</v>
      </c>
      <c r="I58" s="95"/>
      <c r="J58" s="175">
        <f>H58/DAY(B2)</f>
        <v>244.04347826086956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10870</v>
      </c>
      <c r="H59" s="99">
        <f>G59+'22'!H59</f>
        <v>357385.82</v>
      </c>
      <c r="I59" s="95">
        <f>G7-G60</f>
        <v>-342.34000000002561</v>
      </c>
      <c r="J59" s="175">
        <f>H59/DAY(B2)</f>
        <v>15538.513913043478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21827.340000000026</v>
      </c>
      <c r="H60" s="99">
        <f>G60+'22'!H60</f>
        <v>546546.31000000006</v>
      </c>
      <c r="I60" s="95">
        <f>G13-G60</f>
        <v>-951.34000000002561</v>
      </c>
      <c r="J60" s="175">
        <f>H60/DAY(B2)</f>
        <v>23762.883043478265</v>
      </c>
      <c r="K60" s="79"/>
      <c r="L60" s="66"/>
      <c r="N60" s="87"/>
      <c r="O60" s="71"/>
    </row>
    <row r="61" spans="1:15" s="68" customFormat="1" ht="30.75" customHeight="1">
      <c r="A61" s="1278" t="s">
        <v>332</v>
      </c>
      <c r="B61" s="1279"/>
      <c r="C61" s="12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1281" t="s">
        <v>198</v>
      </c>
      <c r="B62" s="1282"/>
      <c r="C62" s="1283"/>
      <c r="D62" s="151" t="s">
        <v>142</v>
      </c>
      <c r="E62" s="95">
        <f>'22'!F62</f>
        <v>304280</v>
      </c>
      <c r="F62" s="122">
        <v>304389</v>
      </c>
      <c r="G62" s="112">
        <f t="shared" ref="G62:G63" si="5">F62-E62</f>
        <v>109</v>
      </c>
      <c r="H62" s="99">
        <f>G62+'22'!H62</f>
        <v>2324</v>
      </c>
      <c r="I62" s="118"/>
      <c r="J62" s="175">
        <f>H62/DAY(B2)</f>
        <v>101.04347826086956</v>
      </c>
      <c r="K62" s="80"/>
      <c r="L62" s="66"/>
      <c r="N62" s="87"/>
      <c r="O62" s="71"/>
    </row>
    <row r="63" spans="1:15" ht="30.75" customHeight="1">
      <c r="A63" s="1281" t="s">
        <v>199</v>
      </c>
      <c r="B63" s="1282"/>
      <c r="C63" s="1283"/>
      <c r="D63" s="151" t="s">
        <v>142</v>
      </c>
      <c r="E63" s="95">
        <f>'22'!F63</f>
        <v>245139</v>
      </c>
      <c r="F63" s="122">
        <v>245139</v>
      </c>
      <c r="G63" s="112">
        <f t="shared" si="5"/>
        <v>0</v>
      </c>
      <c r="H63" s="99">
        <f>G63+'22'!H63</f>
        <v>127</v>
      </c>
      <c r="I63" s="118"/>
      <c r="J63" s="175">
        <f>H63/DAY(B2)</f>
        <v>5.5217391304347823</v>
      </c>
      <c r="K63" s="69"/>
      <c r="L63" s="66"/>
      <c r="N63" s="87"/>
      <c r="O63" s="71"/>
    </row>
    <row r="64" spans="1:15" ht="30.75" customHeight="1">
      <c r="A64" s="1284" t="s">
        <v>200</v>
      </c>
      <c r="B64" s="1285"/>
      <c r="C64" s="1286"/>
      <c r="D64" s="151"/>
      <c r="E64" s="95">
        <f>'22'!F64</f>
        <v>0</v>
      </c>
      <c r="F64" s="122"/>
      <c r="G64" s="112">
        <f>G62+G63</f>
        <v>109</v>
      </c>
      <c r="H64" s="99">
        <f>G64+'22'!H64</f>
        <v>2430</v>
      </c>
      <c r="I64" s="118"/>
      <c r="J64" s="175">
        <f>H64/DAY(B2)</f>
        <v>105.65217391304348</v>
      </c>
      <c r="K64" s="69"/>
      <c r="L64" s="66"/>
      <c r="N64" s="87"/>
      <c r="O64" s="71"/>
    </row>
    <row r="65" spans="1:15" ht="30.75" customHeight="1">
      <c r="A65" s="1281" t="s">
        <v>201</v>
      </c>
      <c r="B65" s="1282"/>
      <c r="C65" s="1283"/>
      <c r="D65" s="151" t="s">
        <v>142</v>
      </c>
      <c r="E65" s="95">
        <f>'22'!F65</f>
        <v>463236</v>
      </c>
      <c r="F65" s="122">
        <v>463352</v>
      </c>
      <c r="G65" s="112">
        <f t="shared" ref="G65:G70" si="6">F65-E65</f>
        <v>116</v>
      </c>
      <c r="H65" s="99">
        <f>G65+'22'!H65</f>
        <v>2528</v>
      </c>
      <c r="I65" s="118"/>
      <c r="J65" s="175">
        <f>H65/DAY(B2)</f>
        <v>109.91304347826087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112834</v>
      </c>
      <c r="F66" s="122">
        <v>112839</v>
      </c>
      <c r="G66" s="112">
        <f t="shared" si="6"/>
        <v>5</v>
      </c>
      <c r="H66" s="99">
        <f>G66+'22'!H66</f>
        <v>234</v>
      </c>
      <c r="I66" s="118"/>
      <c r="J66" s="175">
        <f>H66/DAY(B2)</f>
        <v>10.173913043478262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115174</v>
      </c>
      <c r="F67" s="150">
        <v>115198</v>
      </c>
      <c r="G67" s="112">
        <f t="shared" si="6"/>
        <v>24</v>
      </c>
      <c r="H67" s="99">
        <f>G67+'22'!H67</f>
        <v>490</v>
      </c>
      <c r="I67" s="118"/>
      <c r="J67" s="175">
        <f>H67/DAY(B2)</f>
        <v>21.304347826086957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167289</v>
      </c>
      <c r="F68" s="122">
        <v>167331</v>
      </c>
      <c r="G68" s="112">
        <f t="shared" si="6"/>
        <v>42</v>
      </c>
      <c r="H68" s="99">
        <f>G68+'22'!H68</f>
        <v>750</v>
      </c>
      <c r="I68" s="118"/>
      <c r="J68" s="175">
        <f>H68/DAY(B2)</f>
        <v>32.608695652173914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12659</v>
      </c>
      <c r="F69" s="122">
        <v>12662</v>
      </c>
      <c r="G69" s="112">
        <f t="shared" si="6"/>
        <v>3</v>
      </c>
      <c r="H69" s="99">
        <f>G69+'22'!H69</f>
        <v>98</v>
      </c>
      <c r="I69" s="118"/>
      <c r="J69" s="175">
        <f>H69/DAY(B2)</f>
        <v>4.2608695652173916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10547</v>
      </c>
      <c r="F70" s="150">
        <v>10550</v>
      </c>
      <c r="G70" s="112">
        <f t="shared" si="6"/>
        <v>3</v>
      </c>
      <c r="H70" s="99">
        <f>G70+'22'!H70</f>
        <v>217</v>
      </c>
      <c r="I70" s="118"/>
      <c r="J70" s="175">
        <f>H70/DAY(B2)</f>
        <v>9.4347826086956523</v>
      </c>
      <c r="K70" s="69"/>
      <c r="L70" s="66"/>
      <c r="N70" s="87"/>
      <c r="O70" s="71"/>
    </row>
    <row r="71" spans="1:15" ht="30.75" customHeight="1">
      <c r="A71" s="1284" t="s">
        <v>208</v>
      </c>
      <c r="B71" s="1285"/>
      <c r="C71" s="1286"/>
      <c r="D71" s="152"/>
      <c r="E71" s="152"/>
      <c r="F71" s="152"/>
      <c r="G71" s="153">
        <f>SUM(G65:G70)</f>
        <v>193</v>
      </c>
      <c r="H71" s="99">
        <f>G71+'22'!H71</f>
        <v>4317</v>
      </c>
      <c r="I71" s="154"/>
      <c r="J71" s="175">
        <f>H71/DAY(B2)</f>
        <v>187.69565217391303</v>
      </c>
      <c r="K71" s="69"/>
      <c r="L71" s="66"/>
      <c r="N71" s="87"/>
      <c r="O71" s="71"/>
    </row>
    <row r="72" spans="1:15" s="88" customFormat="1" ht="30.75" customHeight="1">
      <c r="A72" s="1287"/>
      <c r="B72" s="126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1295" t="s">
        <v>333</v>
      </c>
      <c r="B73" s="1296"/>
      <c r="C73" s="129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1281" t="s">
        <v>220</v>
      </c>
      <c r="B74" s="1282"/>
      <c r="C74" s="1283"/>
      <c r="D74" s="151" t="s">
        <v>139</v>
      </c>
      <c r="E74" s="95">
        <f>'22'!F74</f>
        <v>982265</v>
      </c>
      <c r="F74" s="117">
        <v>982556</v>
      </c>
      <c r="G74" s="112">
        <f t="shared" ref="G74:G78" si="7">F74-E74</f>
        <v>291</v>
      </c>
      <c r="H74" s="99">
        <f>G74+'22'!H74</f>
        <v>6745</v>
      </c>
      <c r="I74" s="154"/>
      <c r="J74" s="175">
        <f>H74/DAY(B2)</f>
        <v>293.26086956521738</v>
      </c>
      <c r="K74" s="69"/>
      <c r="L74" s="66"/>
      <c r="N74" s="87"/>
      <c r="O74" s="71"/>
    </row>
    <row r="75" spans="1:15" ht="30.75" customHeight="1">
      <c r="A75" s="1281" t="s">
        <v>221</v>
      </c>
      <c r="B75" s="1282"/>
      <c r="C75" s="1283"/>
      <c r="D75" s="151" t="s">
        <v>139</v>
      </c>
      <c r="E75" s="95">
        <f>'22'!F75</f>
        <v>73586</v>
      </c>
      <c r="F75" s="123">
        <v>73586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1288" t="s">
        <v>222</v>
      </c>
      <c r="B76" s="1289"/>
      <c r="C76" s="1290"/>
      <c r="D76" s="151" t="s">
        <v>139</v>
      </c>
      <c r="E76" s="95">
        <f>'22'!F76</f>
        <v>199235</v>
      </c>
      <c r="F76" s="123">
        <v>199338</v>
      </c>
      <c r="G76" s="112">
        <f t="shared" si="7"/>
        <v>103</v>
      </c>
      <c r="H76" s="99">
        <f>G76+'22'!H76</f>
        <v>2602</v>
      </c>
      <c r="I76" s="154"/>
      <c r="J76" s="175">
        <f>H76/DAY(B2)</f>
        <v>113.1304347826087</v>
      </c>
      <c r="K76" s="69"/>
      <c r="L76" s="66"/>
      <c r="N76" s="87"/>
      <c r="O76" s="71"/>
    </row>
    <row r="77" spans="1:15" ht="30.75" customHeight="1">
      <c r="A77" s="1288" t="s">
        <v>223</v>
      </c>
      <c r="B77" s="1289"/>
      <c r="C77" s="1290"/>
      <c r="D77" s="151" t="s">
        <v>139</v>
      </c>
      <c r="E77" s="95">
        <f>'22'!F77</f>
        <v>54442</v>
      </c>
      <c r="F77" s="123">
        <v>54482</v>
      </c>
      <c r="G77" s="112">
        <f t="shared" si="7"/>
        <v>40</v>
      </c>
      <c r="H77" s="99">
        <f>G77+'22'!H77</f>
        <v>1130</v>
      </c>
      <c r="I77" s="154"/>
      <c r="J77" s="175">
        <f>H77/DAY(B2)</f>
        <v>49.130434782608695</v>
      </c>
      <c r="K77" s="69"/>
      <c r="L77" s="66"/>
      <c r="N77" s="87"/>
      <c r="O77" s="71"/>
    </row>
    <row r="78" spans="1:15" ht="30.75" customHeight="1">
      <c r="A78" s="1288" t="s">
        <v>224</v>
      </c>
      <c r="B78" s="1289"/>
      <c r="C78" s="1290"/>
      <c r="D78" s="151" t="s">
        <v>139</v>
      </c>
      <c r="E78" s="95">
        <f>'22'!F78</f>
        <v>9563</v>
      </c>
      <c r="F78" s="123">
        <v>9563</v>
      </c>
      <c r="G78" s="112">
        <f t="shared" si="7"/>
        <v>0</v>
      </c>
      <c r="H78" s="99">
        <f>G78+'22'!H78</f>
        <v>-1.3999999999996362</v>
      </c>
      <c r="I78" s="118"/>
      <c r="J78" s="175">
        <f>H78/DAY(B2)</f>
        <v>-6.0869565217375486E-2</v>
      </c>
      <c r="K78" s="69"/>
      <c r="L78" s="66"/>
      <c r="N78" s="87"/>
      <c r="O78" s="71"/>
    </row>
    <row r="79" spans="1:15" s="57" customFormat="1" ht="30.75" customHeight="1">
      <c r="A79" s="1288" t="s">
        <v>225</v>
      </c>
      <c r="B79" s="1289"/>
      <c r="C79" s="1290"/>
      <c r="D79" s="151"/>
      <c r="E79" s="95">
        <f>'22'!F79</f>
        <v>0</v>
      </c>
      <c r="F79" s="123"/>
      <c r="G79" s="112">
        <f>G15-SUM(G74:G78)</f>
        <v>529</v>
      </c>
      <c r="H79" s="99">
        <f>G79+'22'!H79</f>
        <v>13213.179999999955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1284" t="s">
        <v>329</v>
      </c>
      <c r="B80" s="1285"/>
      <c r="C80" s="1286"/>
      <c r="D80" s="151"/>
      <c r="E80" s="117"/>
      <c r="F80" s="117"/>
      <c r="G80" s="112">
        <f>SUM(G74:G79)</f>
        <v>963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538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538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43425.37</v>
      </c>
      <c r="F84" s="164">
        <v>43449.55</v>
      </c>
      <c r="G84" s="112">
        <f t="shared" si="8"/>
        <v>24.180000000000291</v>
      </c>
      <c r="H84" s="99">
        <f>G84+'22'!H84</f>
        <v>82.75</v>
      </c>
      <c r="I84" s="538"/>
      <c r="J84" s="175">
        <f>H84/DAY(B2)</f>
        <v>3.597826086956522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5680</v>
      </c>
      <c r="F85" s="164">
        <v>5680</v>
      </c>
      <c r="G85" s="112">
        <f t="shared" si="8"/>
        <v>0</v>
      </c>
      <c r="H85" s="99">
        <f>G85+'22'!H85</f>
        <v>204</v>
      </c>
      <c r="I85" s="538"/>
      <c r="J85" s="175">
        <f>H85/DAY(B2)</f>
        <v>8.8695652173913047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46579</v>
      </c>
      <c r="F86" s="164">
        <v>46579</v>
      </c>
      <c r="G86" s="112">
        <f t="shared" si="8"/>
        <v>0</v>
      </c>
      <c r="H86" s="99">
        <f>G86+'22'!H86</f>
        <v>307.58000000000175</v>
      </c>
      <c r="I86" s="538"/>
      <c r="J86" s="175">
        <f>H86/DAY(B2)</f>
        <v>13.373043478260945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35861</v>
      </c>
      <c r="F87" s="164">
        <v>35861</v>
      </c>
      <c r="G87" s="112">
        <f t="shared" si="8"/>
        <v>0</v>
      </c>
      <c r="H87" s="99">
        <f>G87+'22'!H87</f>
        <v>205</v>
      </c>
      <c r="I87" s="538">
        <f>G84+G85+G86+G87</f>
        <v>24.180000000000291</v>
      </c>
      <c r="J87" s="175">
        <f>H87/DAY(B2)</f>
        <v>8.9130434782608692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24463.91</v>
      </c>
      <c r="F88" s="164">
        <v>24469.98</v>
      </c>
      <c r="G88" s="112">
        <f t="shared" si="8"/>
        <v>6.069999999999709</v>
      </c>
      <c r="H88" s="99">
        <f>G88+'22'!H88</f>
        <v>46.020000000000437</v>
      </c>
      <c r="I88" s="538"/>
      <c r="J88" s="175">
        <f>H88/DAY(B2)</f>
        <v>2.0008695652174104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28173</v>
      </c>
      <c r="F89" s="164">
        <v>28176.95</v>
      </c>
      <c r="G89" s="112">
        <f t="shared" si="8"/>
        <v>3.9500000000007276</v>
      </c>
      <c r="H89" s="99">
        <f>G89+'22'!H89</f>
        <v>188.95000000000073</v>
      </c>
      <c r="I89" s="538">
        <f>G88+G89</f>
        <v>10.020000000000437</v>
      </c>
      <c r="J89" s="175">
        <f>H89/DAY(B2)</f>
        <v>8.21521739130438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73452</v>
      </c>
      <c r="F90" s="164">
        <v>73461.95</v>
      </c>
      <c r="G90" s="112">
        <f t="shared" si="8"/>
        <v>9.9499999999970896</v>
      </c>
      <c r="H90" s="99">
        <f>G90+'22'!H90</f>
        <v>218.20999999999185</v>
      </c>
      <c r="I90" s="538">
        <f>G90</f>
        <v>9.9499999999970896</v>
      </c>
      <c r="J90" s="175">
        <f>H90/DAY(B2)</f>
        <v>9.4873913043474722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4926.58</v>
      </c>
      <c r="F91" s="122">
        <v>4937.76</v>
      </c>
      <c r="G91" s="112">
        <f t="shared" si="8"/>
        <v>11.180000000000291</v>
      </c>
      <c r="H91" s="99">
        <f>G91+'22'!H91</f>
        <v>259.32999999999993</v>
      </c>
      <c r="I91" s="557"/>
      <c r="J91" s="175">
        <f>H91/DAY(B2)</f>
        <v>11.275217391304345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7000</v>
      </c>
      <c r="F92" s="122">
        <v>7000</v>
      </c>
      <c r="G92" s="112">
        <f t="shared" si="8"/>
        <v>0</v>
      </c>
      <c r="H92" s="99">
        <f>G92+'22'!H92</f>
        <v>0</v>
      </c>
      <c r="I92" s="561">
        <f>G91+G92</f>
        <v>11.180000000000291</v>
      </c>
      <c r="J92" s="175">
        <f>H92/DAY(B2)</f>
        <v>0</v>
      </c>
      <c r="O92" s="71"/>
    </row>
    <row r="93" spans="1:15" ht="30.75" customHeight="1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6039.0300000000279</v>
      </c>
      <c r="H94" s="99">
        <f>G94+'22'!H94</f>
        <v>151121.18000000005</v>
      </c>
      <c r="I94" s="118"/>
      <c r="J94" s="175">
        <f>H94/DAY(B2)</f>
        <v>6570.4860869565236</v>
      </c>
      <c r="K94" s="69"/>
      <c r="L94" s="66"/>
      <c r="O94" s="71"/>
    </row>
    <row r="95" spans="1:15" ht="30.75" customHeight="1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0.28108121945543535</v>
      </c>
      <c r="H95" s="99">
        <f>G95+'22'!H95</f>
        <v>6.0872725695400778</v>
      </c>
      <c r="I95" s="167"/>
      <c r="J95" s="175">
        <f>H95/DAY(B2)</f>
        <v>0.26466402476261208</v>
      </c>
      <c r="K95" s="69"/>
      <c r="L95" s="66"/>
      <c r="O95" s="71"/>
    </row>
    <row r="96" spans="1:15" ht="30.75" customHeight="1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5177</v>
      </c>
      <c r="H96" s="99">
        <f>G96+'22'!H96</f>
        <v>138154.45000000001</v>
      </c>
      <c r="I96" s="118"/>
      <c r="J96" s="175">
        <f>H96/DAY(B2)</f>
        <v>6006.7152173913046</v>
      </c>
      <c r="K96" s="69"/>
      <c r="L96" s="66"/>
      <c r="O96" s="71"/>
    </row>
    <row r="97" spans="1:15" ht="30.75" customHeight="1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0.2409588084710263</v>
      </c>
      <c r="H97" s="99">
        <f>G97+'22'!H97</f>
        <v>5.5678721843246617</v>
      </c>
      <c r="I97" s="167"/>
      <c r="J97" s="175">
        <f>H97/DAY(B2)</f>
        <v>0.24208139931846356</v>
      </c>
      <c r="K97" s="69"/>
      <c r="L97" s="66"/>
      <c r="O97" s="71"/>
    </row>
    <row r="98" spans="1:15" ht="30.75" customHeight="1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4329</v>
      </c>
      <c r="H98" s="99">
        <f>G98+'22'!H98</f>
        <v>96927.770000000019</v>
      </c>
      <c r="I98" s="168"/>
      <c r="J98" s="175">
        <f>H98/DAY(B2)</f>
        <v>4214.2508695652186</v>
      </c>
      <c r="K98" s="69"/>
      <c r="L98" s="66"/>
      <c r="O98" s="71"/>
    </row>
    <row r="99" spans="1:15" ht="30.75" customHeight="1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0.20148941121712824</v>
      </c>
      <c r="H99" s="99">
        <f>G99+'22'!H99</f>
        <v>3.9088414346742182</v>
      </c>
      <c r="I99" s="168"/>
      <c r="J99" s="175">
        <f>H99/DAY(B2)</f>
        <v>0.16994962759453122</v>
      </c>
      <c r="O99" s="71"/>
    </row>
    <row r="100" spans="1:15" ht="30.75" customHeight="1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2217</v>
      </c>
      <c r="H100" s="99">
        <f>G100+'22'!H100</f>
        <v>52244.389999999898</v>
      </c>
      <c r="I100" s="118"/>
      <c r="J100" s="175">
        <f>H100/DAY(B2)</f>
        <v>2271.4952173912998</v>
      </c>
      <c r="K100" s="70"/>
      <c r="O100" s="71"/>
    </row>
    <row r="101" spans="1:15" ht="30.75" customHeight="1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0.10318827088666511</v>
      </c>
      <c r="H101" s="99">
        <f>G101+'22'!H101</f>
        <v>2.1057147479383245</v>
      </c>
      <c r="I101" s="168"/>
      <c r="J101" s="175">
        <f>H101/DAY(B2)</f>
        <v>9.1552815127753234E-2</v>
      </c>
      <c r="O101" s="71"/>
    </row>
    <row r="102" spans="1:15" ht="30.75" customHeight="1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1879</v>
      </c>
      <c r="H102" s="99">
        <f>G102+'22'!H102</f>
        <v>55163</v>
      </c>
      <c r="I102" s="168"/>
      <c r="J102" s="175">
        <f>H102/DAY(B2)</f>
        <v>2398.391304347826</v>
      </c>
      <c r="O102" s="71"/>
    </row>
    <row r="103" spans="1:15" ht="30.75" customHeight="1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8.7456364905748193E-2</v>
      </c>
      <c r="H103" s="99">
        <f>G103+'22'!H103</f>
        <v>2.2245552289003014</v>
      </c>
      <c r="I103" s="118"/>
      <c r="J103" s="175">
        <f>H103/DAY(B2)</f>
        <v>9.6719792560882673E-2</v>
      </c>
      <c r="O103" s="71"/>
    </row>
    <row r="104" spans="1:15" ht="30.75" customHeight="1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1015.3099999999977</v>
      </c>
      <c r="H104" s="99">
        <f>G104+'22'!H104</f>
        <v>23757.309999999998</v>
      </c>
      <c r="I104" s="118"/>
      <c r="J104" s="175">
        <f>H104/DAY(B2)</f>
        <v>1032.9265217391303</v>
      </c>
      <c r="O104" s="71"/>
    </row>
    <row r="105" spans="1:15" ht="30.75" customHeight="1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4.7256690714451835E-2</v>
      </c>
      <c r="H105" s="99">
        <f>G105+'22'!H105</f>
        <v>0.95981612812342265</v>
      </c>
      <c r="I105" s="187"/>
      <c r="J105" s="188">
        <f>H105/DAY(B2)</f>
        <v>4.1731136005366203E-2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30.75" customHeight="1">
      <c r="A109" s="1291"/>
      <c r="B109" s="1291"/>
    </row>
    <row r="110" spans="1:15" ht="30.75" customHeight="1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30.75" customHeight="1">
      <c r="A111" s="1270"/>
      <c r="B111" s="1271"/>
      <c r="C111" s="1272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1266" t="s">
        <v>252</v>
      </c>
      <c r="B112" s="1267"/>
      <c r="C112" s="1268"/>
      <c r="D112" s="146" t="s">
        <v>183</v>
      </c>
      <c r="E112" s="95">
        <f>'22'!F112</f>
        <v>13180</v>
      </c>
      <c r="F112" s="237">
        <v>13245</v>
      </c>
      <c r="G112" s="112">
        <f t="shared" ref="G112:G123" si="9">F112-E112</f>
        <v>65</v>
      </c>
      <c r="H112" s="99">
        <f>G112+'22'!H112</f>
        <v>1582</v>
      </c>
      <c r="I112" s="165"/>
      <c r="J112" s="328">
        <f>H112/DAY(B2)</f>
        <v>68.782608695652172</v>
      </c>
    </row>
    <row r="113" spans="1:18" ht="30.75" customHeight="1">
      <c r="A113" s="1266" t="s">
        <v>253</v>
      </c>
      <c r="B113" s="1267"/>
      <c r="C113" s="1268"/>
      <c r="D113" s="146" t="s">
        <v>183</v>
      </c>
      <c r="E113" s="95">
        <f>'22'!F113</f>
        <v>26619</v>
      </c>
      <c r="F113" s="237">
        <v>26763</v>
      </c>
      <c r="G113" s="112">
        <f t="shared" si="9"/>
        <v>144</v>
      </c>
      <c r="H113" s="99">
        <f>G113+'22'!H113</f>
        <v>3242</v>
      </c>
      <c r="I113" s="165"/>
      <c r="J113" s="328">
        <f>H113/DAY(B2)</f>
        <v>140.95652173913044</v>
      </c>
    </row>
    <row r="114" spans="1:18" ht="30.75" customHeight="1">
      <c r="A114" s="1266" t="s">
        <v>254</v>
      </c>
      <c r="B114" s="1267"/>
      <c r="C114" s="1268"/>
      <c r="D114" s="146" t="s">
        <v>183</v>
      </c>
      <c r="E114" s="95">
        <f>'22'!F114</f>
        <v>39672</v>
      </c>
      <c r="F114" s="237">
        <v>39880</v>
      </c>
      <c r="G114" s="112">
        <f t="shared" si="9"/>
        <v>208</v>
      </c>
      <c r="H114" s="99">
        <f>G114+'22'!H114</f>
        <v>5105</v>
      </c>
      <c r="I114" s="165"/>
      <c r="J114" s="328">
        <f>H114/DAY(B2)</f>
        <v>221.95652173913044</v>
      </c>
    </row>
    <row r="115" spans="1:18" ht="30.75" customHeight="1">
      <c r="A115" s="1266" t="s">
        <v>255</v>
      </c>
      <c r="B115" s="1267"/>
      <c r="C115" s="1268"/>
      <c r="D115" s="146" t="s">
        <v>183</v>
      </c>
      <c r="E115" s="95">
        <f>'22'!F115</f>
        <v>25036</v>
      </c>
      <c r="F115" s="237">
        <v>25169</v>
      </c>
      <c r="G115" s="112">
        <f t="shared" si="9"/>
        <v>133</v>
      </c>
      <c r="H115" s="99">
        <f>G115+'22'!H115</f>
        <v>3116</v>
      </c>
      <c r="I115" s="165"/>
      <c r="J115" s="328">
        <f>H115/DAY(B2)</f>
        <v>135.47826086956522</v>
      </c>
    </row>
    <row r="116" spans="1:18" ht="30.75" customHeight="1">
      <c r="A116" s="1275" t="s">
        <v>96</v>
      </c>
      <c r="B116" s="1276"/>
      <c r="C116" s="1277"/>
      <c r="D116" s="146" t="s">
        <v>183</v>
      </c>
      <c r="E116" s="95">
        <f>'22'!F116</f>
        <v>106455</v>
      </c>
      <c r="F116" s="237">
        <v>107118</v>
      </c>
      <c r="G116" s="112">
        <f t="shared" si="9"/>
        <v>663</v>
      </c>
      <c r="H116" s="99">
        <f>G116+'22'!H116</f>
        <v>9983</v>
      </c>
      <c r="I116" s="165"/>
      <c r="J116" s="328">
        <f>H116/DAY(B2)</f>
        <v>434.04347826086956</v>
      </c>
      <c r="Q116" s="1266" t="s">
        <v>311</v>
      </c>
      <c r="R116" s="1268"/>
    </row>
    <row r="117" spans="1:18" ht="30.75" customHeight="1">
      <c r="A117" s="1275" t="s">
        <v>184</v>
      </c>
      <c r="B117" s="1276"/>
      <c r="C117" s="1277"/>
      <c r="D117" s="146" t="s">
        <v>183</v>
      </c>
      <c r="E117" s="95">
        <f>'22'!F117</f>
        <v>63483</v>
      </c>
      <c r="F117" s="237">
        <v>63790</v>
      </c>
      <c r="G117" s="112">
        <f t="shared" si="9"/>
        <v>307</v>
      </c>
      <c r="H117" s="99">
        <f>G117+'22'!H117</f>
        <v>7285</v>
      </c>
      <c r="I117" s="165"/>
      <c r="J117" s="328">
        <f>H117/DAY(B2)</f>
        <v>316.73913043478262</v>
      </c>
      <c r="Q117" s="1266" t="s">
        <v>312</v>
      </c>
      <c r="R117" s="1268"/>
    </row>
    <row r="118" spans="1:18" ht="30.75" customHeight="1">
      <c r="A118" s="1269" t="s">
        <v>97</v>
      </c>
      <c r="B118" s="1269"/>
      <c r="C118" s="1269"/>
      <c r="D118" s="151" t="s">
        <v>183</v>
      </c>
      <c r="E118" s="95">
        <f>'22'!F118</f>
        <v>114997</v>
      </c>
      <c r="F118" s="237">
        <v>115571</v>
      </c>
      <c r="G118" s="112">
        <f t="shared" si="9"/>
        <v>574</v>
      </c>
      <c r="H118" s="99">
        <f>G118+'22'!H118</f>
        <v>13817</v>
      </c>
      <c r="I118" s="165"/>
      <c r="J118" s="328">
        <f>H118/DAY(B2)</f>
        <v>600.73913043478262</v>
      </c>
      <c r="Q118" s="1266" t="s">
        <v>311</v>
      </c>
      <c r="R118" s="1268"/>
    </row>
    <row r="119" spans="1:18" ht="30.75" customHeight="1">
      <c r="A119" s="1269" t="s">
        <v>98</v>
      </c>
      <c r="B119" s="1269"/>
      <c r="C119" s="1269"/>
      <c r="D119" s="151" t="s">
        <v>183</v>
      </c>
      <c r="E119" s="95">
        <f>'22'!F119</f>
        <v>42853</v>
      </c>
      <c r="F119" s="237">
        <v>42863</v>
      </c>
      <c r="G119" s="112">
        <f t="shared" si="9"/>
        <v>10</v>
      </c>
      <c r="H119" s="99">
        <f>G119+'22'!H119</f>
        <v>282</v>
      </c>
      <c r="I119" s="165"/>
      <c r="J119" s="328">
        <f>H119/DAY(B2)</f>
        <v>12.260869565217391</v>
      </c>
    </row>
    <row r="120" spans="1:18" ht="30.75" customHeight="1">
      <c r="A120" s="1269" t="s">
        <v>99</v>
      </c>
      <c r="B120" s="1269"/>
      <c r="C120" s="1269"/>
      <c r="D120" s="151" t="s">
        <v>183</v>
      </c>
      <c r="E120" s="95">
        <f>'22'!F120</f>
        <v>80195</v>
      </c>
      <c r="F120" s="237">
        <v>80595</v>
      </c>
      <c r="G120" s="112">
        <f t="shared" si="9"/>
        <v>400</v>
      </c>
      <c r="H120" s="99">
        <f>G120+'22'!H120</f>
        <v>9263</v>
      </c>
      <c r="I120" s="165"/>
      <c r="J120" s="328">
        <f>H120/DAY(B2)</f>
        <v>402.73913043478262</v>
      </c>
    </row>
    <row r="121" spans="1:18" ht="30.75" customHeight="1">
      <c r="A121" s="1269" t="s">
        <v>100</v>
      </c>
      <c r="B121" s="1269"/>
      <c r="C121" s="1269"/>
      <c r="D121" s="151" t="s">
        <v>183</v>
      </c>
      <c r="E121" s="95">
        <f>'22'!F121</f>
        <v>91111</v>
      </c>
      <c r="F121" s="237">
        <v>91520</v>
      </c>
      <c r="G121" s="112">
        <f t="shared" si="9"/>
        <v>409</v>
      </c>
      <c r="H121" s="99">
        <f>G121+'22'!H121</f>
        <v>10164</v>
      </c>
      <c r="I121" s="165"/>
      <c r="J121" s="328">
        <f>H121/DAY(B2)</f>
        <v>441.91304347826087</v>
      </c>
    </row>
    <row r="122" spans="1:18" ht="30.75" customHeight="1">
      <c r="A122" s="1269" t="s">
        <v>101</v>
      </c>
      <c r="B122" s="1269"/>
      <c r="C122" s="1269"/>
      <c r="D122" s="151" t="s">
        <v>183</v>
      </c>
      <c r="E122" s="95">
        <f>'22'!F122</f>
        <v>57487</v>
      </c>
      <c r="F122" s="237">
        <v>57834</v>
      </c>
      <c r="G122" s="112">
        <f t="shared" si="9"/>
        <v>347</v>
      </c>
      <c r="H122" s="99">
        <f>G122+'22'!H122</f>
        <v>8703</v>
      </c>
      <c r="I122" s="165"/>
      <c r="J122" s="328">
        <f>H122/DAY(B2)</f>
        <v>378.39130434782606</v>
      </c>
    </row>
    <row r="123" spans="1:18" ht="30.75" customHeight="1">
      <c r="A123" s="1269" t="s">
        <v>102</v>
      </c>
      <c r="B123" s="1269"/>
      <c r="C123" s="1269"/>
      <c r="D123" s="151" t="s">
        <v>183</v>
      </c>
      <c r="E123" s="95">
        <f>'22'!F123</f>
        <v>56440</v>
      </c>
      <c r="F123" s="237">
        <v>56741</v>
      </c>
      <c r="G123" s="112">
        <f t="shared" si="9"/>
        <v>301</v>
      </c>
      <c r="H123" s="99">
        <f>G123+'22'!H123</f>
        <v>6992</v>
      </c>
      <c r="I123" s="165"/>
      <c r="J123" s="328">
        <f>H123/DAY(B2)</f>
        <v>304</v>
      </c>
    </row>
    <row r="124" spans="1:18" ht="30.75" customHeight="1">
      <c r="A124" s="1270"/>
      <c r="B124" s="1271"/>
      <c r="C124" s="1272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1261" t="s">
        <v>196</v>
      </c>
      <c r="B125" s="1262"/>
      <c r="C125" s="245"/>
      <c r="D125" s="307"/>
      <c r="E125" s="308"/>
      <c r="F125" s="308"/>
      <c r="G125" s="309">
        <f>SUM(G112:G124)</f>
        <v>3561</v>
      </c>
      <c r="H125" s="156"/>
      <c r="I125" s="327">
        <f>G125-(G39+G53)</f>
        <v>-768</v>
      </c>
      <c r="J125" s="327"/>
    </row>
    <row r="126" spans="1:18" ht="30.75" customHeight="1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30.75" customHeight="1">
      <c r="A127" s="1274"/>
      <c r="B127" s="1274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1266" t="s">
        <v>318</v>
      </c>
      <c r="B128" s="1267"/>
      <c r="C128" s="1268"/>
      <c r="D128" s="151" t="s">
        <v>183</v>
      </c>
      <c r="E128" s="95">
        <f>'22'!F128</f>
        <v>163899</v>
      </c>
      <c r="F128" s="155">
        <v>164275</v>
      </c>
      <c r="G128" s="112">
        <f t="shared" ref="G128:G134" si="10">F128-E128</f>
        <v>376</v>
      </c>
      <c r="H128" s="99">
        <f>G128+'22'!H128</f>
        <v>9460</v>
      </c>
      <c r="I128" s="165"/>
      <c r="J128" s="328">
        <f>H128/DAY(B2)</f>
        <v>411.30434782608694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88148</v>
      </c>
      <c r="F129" s="155">
        <v>88343</v>
      </c>
      <c r="G129" s="112">
        <f t="shared" si="10"/>
        <v>195</v>
      </c>
      <c r="H129" s="99">
        <f>G129+'22'!H129</f>
        <v>4407</v>
      </c>
      <c r="I129" s="165"/>
      <c r="J129" s="328">
        <f>H129/DAY(B2)</f>
        <v>191.60869565217391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220848</v>
      </c>
      <c r="F130" s="155">
        <v>221603</v>
      </c>
      <c r="G130" s="112">
        <f t="shared" si="10"/>
        <v>755</v>
      </c>
      <c r="H130" s="99">
        <f>G130+'22'!H130</f>
        <v>14844</v>
      </c>
      <c r="I130" s="165"/>
      <c r="J130" s="328">
        <f>H130/DAY(B2)</f>
        <v>645.39130434782612</v>
      </c>
      <c r="N130" s="240"/>
      <c r="O130" s="241"/>
    </row>
    <row r="131" spans="1:15" ht="30.75" customHeight="1">
      <c r="A131" s="1266" t="s">
        <v>321</v>
      </c>
      <c r="B131" s="1267"/>
      <c r="C131" s="1268"/>
      <c r="D131" s="151" t="s">
        <v>183</v>
      </c>
      <c r="E131" s="95">
        <f>'22'!F131</f>
        <v>64614</v>
      </c>
      <c r="F131" s="155">
        <v>64760</v>
      </c>
      <c r="G131" s="112">
        <f t="shared" si="10"/>
        <v>146</v>
      </c>
      <c r="H131" s="99">
        <f>G131+'22'!H131</f>
        <v>4452</v>
      </c>
      <c r="I131" s="165"/>
      <c r="J131" s="328">
        <f>H131/DAY(B2)</f>
        <v>193.56521739130434</v>
      </c>
      <c r="N131" s="240"/>
      <c r="O131" s="241"/>
    </row>
    <row r="132" spans="1:15" ht="30.75" customHeight="1">
      <c r="A132" s="1266" t="s">
        <v>322</v>
      </c>
      <c r="B132" s="1267"/>
      <c r="C132" s="1268"/>
      <c r="D132" s="151" t="s">
        <v>183</v>
      </c>
      <c r="E132" s="95">
        <f>'22'!F132</f>
        <v>146985</v>
      </c>
      <c r="F132" s="155">
        <v>146985</v>
      </c>
      <c r="G132" s="112">
        <f t="shared" si="10"/>
        <v>0</v>
      </c>
      <c r="H132" s="99">
        <f>G132+'22'!H132</f>
        <v>0</v>
      </c>
      <c r="I132" s="165"/>
      <c r="J132" s="328">
        <f>H132/DAY(B2)</f>
        <v>0</v>
      </c>
    </row>
    <row r="133" spans="1:15" ht="30.75" customHeight="1">
      <c r="A133" s="1266" t="s">
        <v>357</v>
      </c>
      <c r="B133" s="1267"/>
      <c r="C133" s="1268"/>
      <c r="D133" s="151" t="s">
        <v>183</v>
      </c>
      <c r="E133" s="95">
        <f>'22'!F133</f>
        <v>285131</v>
      </c>
      <c r="F133" s="155">
        <v>285871</v>
      </c>
      <c r="G133" s="112">
        <f t="shared" si="10"/>
        <v>740</v>
      </c>
      <c r="H133" s="99">
        <f>G133+'22'!H133</f>
        <v>19926</v>
      </c>
      <c r="I133" s="165"/>
      <c r="J133" s="328">
        <f>H133/DAY(B2)</f>
        <v>866.3478260869565</v>
      </c>
    </row>
    <row r="134" spans="1:15" ht="30.75" customHeight="1">
      <c r="A134" s="1266" t="s">
        <v>340</v>
      </c>
      <c r="B134" s="1267"/>
      <c r="C134" s="1268"/>
      <c r="D134" s="151" t="s">
        <v>183</v>
      </c>
      <c r="E134" s="95">
        <f>'22'!F134</f>
        <v>69221</v>
      </c>
      <c r="F134" s="365">
        <v>69476</v>
      </c>
      <c r="G134" s="112">
        <f t="shared" si="10"/>
        <v>255</v>
      </c>
      <c r="H134" s="99">
        <f>G134+'22'!H134</f>
        <v>5814</v>
      </c>
      <c r="I134" s="165"/>
      <c r="J134" s="328">
        <f>H134/DAY(B2)</f>
        <v>252.78260869565219</v>
      </c>
    </row>
    <row r="135" spans="1:15" ht="30.75" customHeight="1">
      <c r="A135" s="1261" t="s">
        <v>196</v>
      </c>
      <c r="B135" s="1262"/>
      <c r="C135" s="331"/>
      <c r="D135" s="151"/>
      <c r="E135" s="95"/>
      <c r="F135" s="443"/>
      <c r="G135" s="112">
        <f>SUM(G128:G134)</f>
        <v>2467</v>
      </c>
      <c r="H135" s="99">
        <f>G135+'10'!H135</f>
        <v>27964.390000000021</v>
      </c>
      <c r="I135" s="327">
        <f>G135-(G35+G49)</f>
        <v>-1084</v>
      </c>
      <c r="J135" s="328"/>
    </row>
    <row r="136" spans="1:15" ht="30.75" customHeight="1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1269" t="s">
        <v>185</v>
      </c>
      <c r="B138" s="1269"/>
      <c r="C138" s="1269"/>
      <c r="D138" s="151" t="s">
        <v>183</v>
      </c>
      <c r="E138" s="95">
        <f>'22'!F138</f>
        <v>901585</v>
      </c>
      <c r="F138" s="147">
        <v>901756</v>
      </c>
      <c r="G138" s="112">
        <f t="shared" ref="G138:G152" si="11">F138-E138</f>
        <v>171</v>
      </c>
      <c r="H138" s="99">
        <f>G138+'22'!H138</f>
        <v>3551</v>
      </c>
      <c r="I138" s="118"/>
      <c r="J138" s="328">
        <f>H138/DAY(B2)</f>
        <v>154.39130434782609</v>
      </c>
    </row>
    <row r="139" spans="1:15" ht="30.75" customHeight="1">
      <c r="A139" s="1269" t="s">
        <v>186</v>
      </c>
      <c r="B139" s="1269"/>
      <c r="C139" s="1269"/>
      <c r="D139" s="151" t="s">
        <v>183</v>
      </c>
      <c r="E139" s="95">
        <f>'22'!F139</f>
        <v>921489</v>
      </c>
      <c r="F139" s="148">
        <v>921626</v>
      </c>
      <c r="G139" s="112">
        <f t="shared" si="11"/>
        <v>137</v>
      </c>
      <c r="H139" s="99">
        <f>G139+'22'!H139</f>
        <v>3422</v>
      </c>
      <c r="I139" s="118"/>
      <c r="J139" s="328">
        <f>H139/DAY(B2)</f>
        <v>148.78260869565219</v>
      </c>
    </row>
    <row r="140" spans="1:15" ht="30.75" customHeight="1">
      <c r="A140" s="1269" t="s">
        <v>187</v>
      </c>
      <c r="B140" s="1269"/>
      <c r="C140" s="1269"/>
      <c r="D140" s="151" t="s">
        <v>183</v>
      </c>
      <c r="E140" s="95">
        <f>'22'!F140</f>
        <v>2597</v>
      </c>
      <c r="F140" s="149">
        <v>2608</v>
      </c>
      <c r="G140" s="112">
        <f t="shared" si="11"/>
        <v>11</v>
      </c>
      <c r="H140" s="99">
        <f>G140+'22'!H140</f>
        <v>265</v>
      </c>
      <c r="I140" s="118"/>
      <c r="J140" s="328">
        <f>H140/DAY(B2)</f>
        <v>11.521739130434783</v>
      </c>
    </row>
    <row r="141" spans="1:15" ht="30.75" customHeight="1">
      <c r="A141" s="1256" t="s">
        <v>188</v>
      </c>
      <c r="B141" s="1256"/>
      <c r="C141" s="1256"/>
      <c r="D141" s="151" t="s">
        <v>183</v>
      </c>
      <c r="E141" s="95">
        <f>'22'!F141</f>
        <v>108724</v>
      </c>
      <c r="F141" s="149">
        <v>108934</v>
      </c>
      <c r="G141" s="112">
        <f t="shared" si="11"/>
        <v>210</v>
      </c>
      <c r="H141" s="99">
        <f>G141+'22'!H141</f>
        <v>5160</v>
      </c>
      <c r="I141" s="118"/>
      <c r="J141" s="328">
        <f>H141/DAY(B2)</f>
        <v>224.34782608695653</v>
      </c>
    </row>
    <row r="142" spans="1:15" ht="30.75" customHeight="1">
      <c r="A142" s="1256" t="s">
        <v>189</v>
      </c>
      <c r="B142" s="1256"/>
      <c r="C142" s="1256"/>
      <c r="D142" s="151" t="s">
        <v>183</v>
      </c>
      <c r="E142" s="95">
        <f>'22'!F142</f>
        <v>43885</v>
      </c>
      <c r="F142" s="148">
        <v>43968</v>
      </c>
      <c r="G142" s="112">
        <f t="shared" si="11"/>
        <v>83</v>
      </c>
      <c r="H142" s="99">
        <f>G142+'22'!H142</f>
        <v>2153</v>
      </c>
      <c r="I142" s="140"/>
      <c r="J142" s="328">
        <f>H142/DAY(B2)</f>
        <v>93.608695652173907</v>
      </c>
    </row>
    <row r="143" spans="1:15" ht="30.75" customHeight="1">
      <c r="A143" s="1269" t="s">
        <v>91</v>
      </c>
      <c r="B143" s="1269"/>
      <c r="C143" s="1269"/>
      <c r="D143" s="151" t="s">
        <v>183</v>
      </c>
      <c r="E143" s="95">
        <f>'22'!F143</f>
        <v>11296</v>
      </c>
      <c r="F143" s="149">
        <v>11323</v>
      </c>
      <c r="G143" s="112">
        <f t="shared" si="11"/>
        <v>27</v>
      </c>
      <c r="H143" s="99">
        <f>G143+'22'!H143</f>
        <v>646</v>
      </c>
      <c r="I143" s="140"/>
      <c r="J143" s="328">
        <f>H143/DAY(B2)</f>
        <v>28.086956521739129</v>
      </c>
    </row>
    <row r="144" spans="1:15" ht="30.75" customHeight="1">
      <c r="A144" s="1256" t="s">
        <v>90</v>
      </c>
      <c r="B144" s="1256"/>
      <c r="C144" s="1256"/>
      <c r="D144" s="151" t="s">
        <v>183</v>
      </c>
      <c r="E144" s="95">
        <f>'22'!F144</f>
        <v>938801</v>
      </c>
      <c r="F144" s="149">
        <v>939043</v>
      </c>
      <c r="G144" s="112">
        <f t="shared" si="11"/>
        <v>242</v>
      </c>
      <c r="H144" s="99">
        <f>G144+'22'!H144</f>
        <v>5522</v>
      </c>
      <c r="I144" s="140"/>
      <c r="J144" s="328">
        <f>H144/DAY(B2)</f>
        <v>240.08695652173913</v>
      </c>
    </row>
    <row r="145" spans="1:10" ht="30.75" customHeight="1">
      <c r="A145" s="1269" t="s">
        <v>190</v>
      </c>
      <c r="B145" s="1269"/>
      <c r="C145" s="1269"/>
      <c r="D145" s="152" t="s">
        <v>183</v>
      </c>
      <c r="E145" s="95">
        <f>'22'!F145</f>
        <v>17645</v>
      </c>
      <c r="F145" s="149">
        <v>17767</v>
      </c>
      <c r="G145" s="112">
        <f t="shared" si="11"/>
        <v>122</v>
      </c>
      <c r="H145" s="99">
        <f>G145+'22'!H145</f>
        <v>4627</v>
      </c>
      <c r="I145" s="140"/>
      <c r="J145" s="328">
        <f>H145/DAY(B2)</f>
        <v>201.17391304347825</v>
      </c>
    </row>
    <row r="146" spans="1:10" ht="30.75" customHeight="1">
      <c r="A146" s="1332" t="s">
        <v>191</v>
      </c>
      <c r="B146" s="1289"/>
      <c r="C146" s="1290"/>
      <c r="D146" s="152" t="s">
        <v>183</v>
      </c>
      <c r="E146" s="95">
        <f>'22'!F146</f>
        <v>785357</v>
      </c>
      <c r="F146" s="148">
        <v>785375</v>
      </c>
      <c r="G146" s="112">
        <f t="shared" si="11"/>
        <v>18</v>
      </c>
      <c r="H146" s="99">
        <f>G146+'22'!H146</f>
        <v>1036</v>
      </c>
      <c r="I146" s="140"/>
      <c r="J146" s="328">
        <f>H146/DAY(B2)</f>
        <v>45.043478260869563</v>
      </c>
    </row>
    <row r="147" spans="1:10" ht="30.75" customHeight="1">
      <c r="A147" s="1256" t="s">
        <v>192</v>
      </c>
      <c r="B147" s="1256"/>
      <c r="C147" s="1256"/>
      <c r="D147" s="152" t="s">
        <v>183</v>
      </c>
      <c r="E147" s="95">
        <f>'22'!F147</f>
        <v>732298</v>
      </c>
      <c r="F147" s="148">
        <v>732658</v>
      </c>
      <c r="G147" s="112">
        <f t="shared" si="11"/>
        <v>360</v>
      </c>
      <c r="H147" s="99">
        <f>G147+'22'!H147</f>
        <v>9136</v>
      </c>
      <c r="I147" s="140"/>
      <c r="J147" s="328">
        <f>H147/DAY(B2)</f>
        <v>397.21739130434781</v>
      </c>
    </row>
    <row r="148" spans="1:10" ht="30.75" customHeight="1">
      <c r="A148" s="1257" t="s">
        <v>193</v>
      </c>
      <c r="B148" s="1258"/>
      <c r="C148" s="1259"/>
      <c r="D148" s="123" t="s">
        <v>130</v>
      </c>
      <c r="E148" s="95">
        <f>'22'!F148</f>
        <v>773260</v>
      </c>
      <c r="F148" s="150">
        <v>773514</v>
      </c>
      <c r="G148" s="112">
        <f t="shared" si="11"/>
        <v>254</v>
      </c>
      <c r="H148" s="99">
        <f>G148+'22'!H148</f>
        <v>6904</v>
      </c>
      <c r="I148" s="124"/>
      <c r="J148" s="328">
        <f>H148/DAY(B2)</f>
        <v>300.17391304347825</v>
      </c>
    </row>
    <row r="149" spans="1:10" ht="30.75" customHeight="1">
      <c r="A149" s="1257" t="s">
        <v>336</v>
      </c>
      <c r="B149" s="1258"/>
      <c r="C149" s="1259"/>
      <c r="D149" s="227" t="s">
        <v>130</v>
      </c>
      <c r="E149" s="95">
        <f>'22'!F149</f>
        <v>167687</v>
      </c>
      <c r="F149" s="227">
        <v>168149</v>
      </c>
      <c r="G149" s="112">
        <f t="shared" si="11"/>
        <v>462</v>
      </c>
      <c r="H149" s="99">
        <f>G149+'22'!H149</f>
        <v>10182</v>
      </c>
      <c r="I149" s="119"/>
      <c r="J149" s="328">
        <f>H149/DAY(B2)</f>
        <v>442.69565217391306</v>
      </c>
    </row>
    <row r="150" spans="1:10" ht="30.75" customHeight="1">
      <c r="A150" s="1257" t="s">
        <v>337</v>
      </c>
      <c r="B150" s="1258"/>
      <c r="C150" s="1259"/>
      <c r="D150" s="117" t="s">
        <v>130</v>
      </c>
      <c r="E150" s="95">
        <f>'22'!F150</f>
        <v>68842</v>
      </c>
      <c r="F150" s="233">
        <v>69063</v>
      </c>
      <c r="G150" s="112">
        <f t="shared" si="11"/>
        <v>221</v>
      </c>
      <c r="H150" s="99">
        <f>G150+'22'!H150</f>
        <v>5085</v>
      </c>
      <c r="I150" s="119"/>
      <c r="J150" s="328">
        <f>H150/DAY(B2)</f>
        <v>221.08695652173913</v>
      </c>
    </row>
    <row r="151" spans="1:10" ht="30.75" customHeight="1">
      <c r="A151" s="1257" t="s">
        <v>338</v>
      </c>
      <c r="B151" s="1258"/>
      <c r="C151" s="1259"/>
      <c r="D151" s="117" t="s">
        <v>130</v>
      </c>
      <c r="E151" s="95">
        <f>'22'!F151</f>
        <v>150892</v>
      </c>
      <c r="F151" s="233">
        <v>150911</v>
      </c>
      <c r="G151" s="112">
        <f t="shared" si="11"/>
        <v>19</v>
      </c>
      <c r="H151" s="99">
        <f>G151+'22'!H151</f>
        <v>1123</v>
      </c>
      <c r="I151" s="119"/>
      <c r="J151" s="328">
        <f>H151/DAY(B2)</f>
        <v>48.826086956521742</v>
      </c>
    </row>
    <row r="152" spans="1:10" ht="30.75" customHeight="1">
      <c r="A152" s="1257" t="s">
        <v>339</v>
      </c>
      <c r="B152" s="1258"/>
      <c r="C152" s="1259"/>
      <c r="D152" s="117" t="s">
        <v>130</v>
      </c>
      <c r="E152" s="95">
        <f>'22'!F152</f>
        <v>33432</v>
      </c>
      <c r="F152" s="233">
        <v>33559</v>
      </c>
      <c r="G152" s="112">
        <f t="shared" si="11"/>
        <v>127</v>
      </c>
      <c r="H152" s="99">
        <f>G152+'22'!H152</f>
        <v>2945</v>
      </c>
      <c r="I152" s="119"/>
      <c r="J152" s="328">
        <f>H152/DAY(B2)</f>
        <v>128.04347826086956</v>
      </c>
    </row>
    <row r="153" spans="1:10" ht="30.75" customHeight="1">
      <c r="A153" s="1261" t="s">
        <v>196</v>
      </c>
      <c r="B153" s="1262"/>
      <c r="C153" s="362"/>
      <c r="D153" s="355"/>
      <c r="E153" s="357"/>
      <c r="F153" s="358"/>
      <c r="G153" s="359">
        <f>SUM(G138:G152)</f>
        <v>2464</v>
      </c>
      <c r="H153" s="360"/>
      <c r="I153" s="119">
        <f>G153-(G38+G52)</f>
        <v>247</v>
      </c>
      <c r="J153" s="363"/>
    </row>
    <row r="154" spans="1:10" ht="30.75" customHeight="1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0" ht="30.75" customHeight="1">
      <c r="A155" s="1256" t="s">
        <v>345</v>
      </c>
      <c r="B155" s="1256"/>
      <c r="C155" s="1256"/>
      <c r="D155" s="117" t="s">
        <v>130</v>
      </c>
      <c r="E155" s="95">
        <f>'22'!F155</f>
        <v>197625</v>
      </c>
      <c r="F155" s="365">
        <v>198085</v>
      </c>
      <c r="G155" s="112">
        <f t="shared" ref="G155:G158" si="12">F155-E155</f>
        <v>460</v>
      </c>
      <c r="H155" s="99">
        <f>G155+'22'!H155</f>
        <v>12344</v>
      </c>
      <c r="I155" s="361"/>
      <c r="J155" s="161">
        <v>329</v>
      </c>
    </row>
    <row r="156" spans="1:10" ht="30.75" customHeight="1">
      <c r="A156" s="1256" t="s">
        <v>347</v>
      </c>
      <c r="B156" s="1256"/>
      <c r="C156" s="1256"/>
      <c r="D156" s="117" t="s">
        <v>130</v>
      </c>
      <c r="E156" s="95">
        <v>16901</v>
      </c>
      <c r="F156" s="365">
        <v>22939</v>
      </c>
      <c r="G156" s="112">
        <f t="shared" si="12"/>
        <v>6038</v>
      </c>
      <c r="H156" s="99">
        <f>G156+'22'!H156</f>
        <v>8141</v>
      </c>
      <c r="I156" s="165"/>
      <c r="J156" s="328">
        <f>H156/DAY(B2)</f>
        <v>353.95652173913044</v>
      </c>
    </row>
    <row r="157" spans="1:10" ht="30.75" customHeight="1">
      <c r="A157" s="1257" t="s">
        <v>358</v>
      </c>
      <c r="B157" s="1258"/>
      <c r="C157" s="1259"/>
      <c r="D157" s="117" t="s">
        <v>130</v>
      </c>
      <c r="E157" s="95">
        <f>'22'!F157</f>
        <v>37559</v>
      </c>
      <c r="F157" s="95">
        <v>37559</v>
      </c>
      <c r="G157" s="112">
        <f t="shared" si="12"/>
        <v>0</v>
      </c>
      <c r="H157" s="99">
        <f>G157+'22'!H157</f>
        <v>0.45999999999912689</v>
      </c>
      <c r="I157" s="165"/>
      <c r="J157" s="328">
        <f>H157/DAY(B2)</f>
        <v>1.9999999999962038E-2</v>
      </c>
    </row>
    <row r="158" spans="1:10" ht="30.75" customHeight="1">
      <c r="A158" s="1257" t="s">
        <v>359</v>
      </c>
      <c r="B158" s="1258"/>
      <c r="C158" s="1259"/>
      <c r="D158" s="117" t="s">
        <v>130</v>
      </c>
      <c r="E158" s="95">
        <f>'22'!F158</f>
        <v>1002</v>
      </c>
      <c r="F158" s="95">
        <v>1026</v>
      </c>
      <c r="G158" s="112">
        <f t="shared" si="12"/>
        <v>24</v>
      </c>
      <c r="H158" s="99">
        <f>G158+'22'!H158</f>
        <v>87</v>
      </c>
      <c r="I158" s="165"/>
      <c r="J158" s="328">
        <f>H158/DAY(B2)</f>
        <v>3.7826086956521738</v>
      </c>
    </row>
    <row r="159" spans="1:10" ht="30.75" customHeight="1">
      <c r="A159" s="1263"/>
      <c r="B159" s="1264"/>
      <c r="C159" s="1265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494833</v>
      </c>
      <c r="F161" s="235">
        <v>494901</v>
      </c>
      <c r="G161" s="238">
        <f t="shared" ref="G161:G165" si="13">F161-E161</f>
        <v>68</v>
      </c>
      <c r="H161" s="99">
        <f>G161+'22'!H161</f>
        <v>1623.960000000021</v>
      </c>
      <c r="I161" s="236"/>
      <c r="J161" s="239">
        <f>H161/DAY(B2)</f>
        <v>70.606956521740045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98122</v>
      </c>
      <c r="F162" s="235">
        <v>98145</v>
      </c>
      <c r="G162" s="238">
        <f t="shared" si="13"/>
        <v>23</v>
      </c>
      <c r="H162" s="99">
        <f>G162+'22'!H162</f>
        <v>857</v>
      </c>
      <c r="I162" s="236"/>
      <c r="J162" s="239">
        <f>H162/DAY(B2)</f>
        <v>37.260869565217391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16802</v>
      </c>
      <c r="F163" s="235">
        <v>16931</v>
      </c>
      <c r="G163" s="238">
        <f t="shared" si="13"/>
        <v>129</v>
      </c>
      <c r="H163" s="99">
        <f>G163+'22'!H163</f>
        <v>2767</v>
      </c>
      <c r="I163" s="236"/>
      <c r="J163" s="239">
        <f>H163/DAY(B2)</f>
        <v>120.30434782608695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6776</v>
      </c>
      <c r="F164" s="235">
        <v>6778</v>
      </c>
      <c r="G164" s="238">
        <f t="shared" si="13"/>
        <v>2</v>
      </c>
      <c r="H164" s="99">
        <f>G164+'22'!H164</f>
        <v>166</v>
      </c>
      <c r="I164" s="236"/>
      <c r="J164" s="239">
        <f>H164/DAY(B2)</f>
        <v>7.2173913043478262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32293</v>
      </c>
      <c r="F165" s="235">
        <v>32298</v>
      </c>
      <c r="G165" s="238">
        <f t="shared" si="13"/>
        <v>5</v>
      </c>
      <c r="H165" s="99">
        <f>G165+'22'!H165</f>
        <v>157</v>
      </c>
      <c r="I165" s="236"/>
      <c r="J165" s="239">
        <f>H165/DAY(B2)</f>
        <v>6.8260869565217392</v>
      </c>
    </row>
    <row r="166" spans="1:10" ht="30.75" customHeight="1">
      <c r="A166" s="1274"/>
      <c r="B166" s="1274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1274"/>
      <c r="B167" s="1274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1274"/>
      <c r="B168" s="1274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30.75" customHeight="1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1254" t="s">
        <v>209</v>
      </c>
      <c r="B173" s="1255"/>
      <c r="C173" s="333"/>
      <c r="D173" s="228" t="s">
        <v>142</v>
      </c>
      <c r="E173" s="95">
        <v>8229</v>
      </c>
      <c r="F173" s="155">
        <v>8229</v>
      </c>
      <c r="G173" s="155">
        <f>F173-E173</f>
        <v>0</v>
      </c>
      <c r="H173" s="99">
        <f>G173+'22'!H173</f>
        <v>39</v>
      </c>
      <c r="I173" s="155"/>
      <c r="J173" s="178">
        <f>H173/DAY(B2)</f>
        <v>1.6956521739130435</v>
      </c>
    </row>
    <row r="174" spans="1:10" ht="30.75" customHeight="1">
      <c r="A174" s="1254" t="s">
        <v>75</v>
      </c>
      <c r="B174" s="1255"/>
      <c r="C174" s="333"/>
      <c r="D174" s="228" t="s">
        <v>142</v>
      </c>
      <c r="E174" s="95">
        <f>'22'!F174</f>
        <v>42250</v>
      </c>
      <c r="F174" s="157">
        <v>42261</v>
      </c>
      <c r="G174" s="155">
        <f t="shared" ref="G174:G175" si="14">F174-E174</f>
        <v>11</v>
      </c>
      <c r="H174" s="99">
        <f>G174+'22'!H174</f>
        <v>299</v>
      </c>
      <c r="I174" s="155"/>
      <c r="J174" s="178">
        <f>H174/DAY(B2)</f>
        <v>13</v>
      </c>
    </row>
    <row r="175" spans="1:10" ht="30.75" customHeight="1">
      <c r="A175" s="1254" t="s">
        <v>76</v>
      </c>
      <c r="B175" s="1324"/>
      <c r="C175" s="1255"/>
      <c r="D175" s="228" t="s">
        <v>142</v>
      </c>
      <c r="E175" s="95">
        <f>'22'!F175</f>
        <v>24948</v>
      </c>
      <c r="F175" s="155">
        <v>24960</v>
      </c>
      <c r="G175" s="155">
        <f t="shared" si="14"/>
        <v>12</v>
      </c>
      <c r="H175" s="99">
        <f>G175+'22'!H175</f>
        <v>263</v>
      </c>
      <c r="I175" s="155"/>
      <c r="J175" s="178">
        <f>H175/DAY(B2)</f>
        <v>11.434782608695652</v>
      </c>
    </row>
    <row r="176" spans="1:10" ht="30.75" customHeight="1">
      <c r="A176" s="1261" t="s">
        <v>196</v>
      </c>
      <c r="B176" s="1262"/>
      <c r="C176" s="384"/>
      <c r="D176" s="228"/>
      <c r="E176" s="95"/>
      <c r="F176" s="155"/>
      <c r="G176" s="155">
        <f>SUM(G173:G175)</f>
        <v>23</v>
      </c>
      <c r="H176" s="99">
        <f>G176+'22'!H176</f>
        <v>601</v>
      </c>
      <c r="I176" s="155"/>
      <c r="J176" s="178">
        <f>H176/DAY(B2)</f>
        <v>26.130434782608695</v>
      </c>
    </row>
    <row r="177" spans="1:10" ht="30.75" customHeight="1">
      <c r="A177" s="1254" t="s">
        <v>77</v>
      </c>
      <c r="B177" s="1255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1254" t="s">
        <v>210</v>
      </c>
      <c r="B178" s="1255"/>
      <c r="C178" s="333"/>
      <c r="D178" s="228" t="s">
        <v>142</v>
      </c>
      <c r="E178" s="95">
        <f>'22'!F178</f>
        <v>102114</v>
      </c>
      <c r="F178" s="155">
        <v>102114</v>
      </c>
      <c r="G178" s="155">
        <f>F178-E178</f>
        <v>0</v>
      </c>
      <c r="H178" s="99">
        <f>G178+'22'!H178</f>
        <v>3</v>
      </c>
      <c r="I178" s="155"/>
      <c r="J178" s="178">
        <f>H178/DAY(B2)</f>
        <v>0.13043478260869565</v>
      </c>
    </row>
    <row r="179" spans="1:10" ht="30.75" customHeight="1">
      <c r="A179" s="1254" t="s">
        <v>211</v>
      </c>
      <c r="B179" s="1255"/>
      <c r="C179" s="333"/>
      <c r="D179" s="228" t="s">
        <v>142</v>
      </c>
      <c r="E179" s="95">
        <f>'22'!F179</f>
        <v>37501</v>
      </c>
      <c r="F179" s="155">
        <v>37501</v>
      </c>
      <c r="G179" s="155">
        <f t="shared" ref="G179:G180" si="15">F179-E179</f>
        <v>0</v>
      </c>
      <c r="H179" s="99">
        <f>G179+'22'!H179</f>
        <v>0</v>
      </c>
      <c r="I179" s="155"/>
      <c r="J179" s="178">
        <f>H179/DAY(B2)</f>
        <v>0</v>
      </c>
    </row>
    <row r="180" spans="1:10" ht="30.75" customHeight="1">
      <c r="A180" s="1254" t="s">
        <v>212</v>
      </c>
      <c r="B180" s="1255"/>
      <c r="C180" s="333"/>
      <c r="D180" s="228" t="s">
        <v>142</v>
      </c>
      <c r="E180" s="95">
        <f>'22'!F180</f>
        <v>37036</v>
      </c>
      <c r="F180" s="155">
        <v>37036</v>
      </c>
      <c r="G180" s="155">
        <f t="shared" si="15"/>
        <v>0</v>
      </c>
      <c r="H180" s="99">
        <f>G180+'22'!H180</f>
        <v>0</v>
      </c>
      <c r="I180" s="155"/>
      <c r="J180" s="178">
        <f>H180/DAY(B2)</f>
        <v>0</v>
      </c>
    </row>
    <row r="181" spans="1:10" ht="30.75" customHeight="1">
      <c r="A181" s="1325" t="s">
        <v>108</v>
      </c>
      <c r="B181" s="1326"/>
      <c r="C181" s="384"/>
      <c r="D181" s="228"/>
      <c r="E181" s="95"/>
      <c r="F181" s="155"/>
      <c r="G181" s="155">
        <f>SUM(G178:G180)</f>
        <v>0</v>
      </c>
      <c r="H181" s="99">
        <f>G181+'22'!H181</f>
        <v>3</v>
      </c>
      <c r="I181" s="155"/>
      <c r="J181" s="178">
        <f>H181/DAY(B2)</f>
        <v>0.13043478260869565</v>
      </c>
    </row>
    <row r="182" spans="1:10" ht="30.75" customHeight="1">
      <c r="A182" s="1254" t="s">
        <v>213</v>
      </c>
      <c r="B182" s="1255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1254" t="s">
        <v>214</v>
      </c>
      <c r="B183" s="1255"/>
      <c r="C183" s="334"/>
      <c r="D183" s="228" t="s">
        <v>142</v>
      </c>
      <c r="E183" s="95">
        <f>'22'!F183</f>
        <v>17971</v>
      </c>
      <c r="F183" s="157">
        <v>17975</v>
      </c>
      <c r="G183" s="157">
        <f>F183-E183</f>
        <v>4</v>
      </c>
      <c r="H183" s="99">
        <f>G183+'22'!H183</f>
        <v>127</v>
      </c>
      <c r="I183" s="155"/>
      <c r="J183" s="178">
        <f>H183/DAY(B2)</f>
        <v>5.5217391304347823</v>
      </c>
    </row>
    <row r="184" spans="1:10" ht="30.75" customHeight="1">
      <c r="A184" s="1254" t="s">
        <v>215</v>
      </c>
      <c r="B184" s="1255"/>
      <c r="C184" s="334"/>
      <c r="D184" s="228" t="s">
        <v>142</v>
      </c>
      <c r="E184" s="95">
        <f>'22'!F184</f>
        <v>12516</v>
      </c>
      <c r="F184" s="157">
        <v>12519</v>
      </c>
      <c r="G184" s="157">
        <f t="shared" ref="G184:G185" si="16">F184-E184</f>
        <v>3</v>
      </c>
      <c r="H184" s="99">
        <f>G184+'22'!H184</f>
        <v>170</v>
      </c>
      <c r="I184" s="155"/>
      <c r="J184" s="178">
        <f>H184/DAY(B2)</f>
        <v>7.3913043478260869</v>
      </c>
    </row>
    <row r="185" spans="1:10" ht="30.75" customHeight="1">
      <c r="A185" s="1254" t="s">
        <v>216</v>
      </c>
      <c r="B185" s="1255"/>
      <c r="C185" s="334"/>
      <c r="D185" s="228" t="s">
        <v>142</v>
      </c>
      <c r="E185" s="95">
        <f>'22'!F185</f>
        <v>0</v>
      </c>
      <c r="F185" s="157"/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>
      <c r="A186" s="1261" t="s">
        <v>196</v>
      </c>
      <c r="B186" s="1262"/>
      <c r="C186" s="383"/>
      <c r="D186" s="229"/>
      <c r="E186" s="95"/>
      <c r="F186" s="157"/>
      <c r="G186" s="157">
        <f>SUM(G183:G185)</f>
        <v>7</v>
      </c>
      <c r="H186" s="99">
        <f>G186+'22'!H186</f>
        <v>297</v>
      </c>
      <c r="I186" s="157"/>
      <c r="J186" s="178">
        <f>H186/DAY(B2)</f>
        <v>12.913043478260869</v>
      </c>
    </row>
    <row r="187" spans="1:10" ht="30.75" customHeight="1">
      <c r="A187" s="1250" t="s">
        <v>217</v>
      </c>
      <c r="B187" s="1251"/>
      <c r="C187" s="333"/>
      <c r="D187" s="230" t="s">
        <v>142</v>
      </c>
      <c r="E187" s="95"/>
      <c r="F187" s="159"/>
      <c r="G187" s="367">
        <f>G62+G19</f>
        <v>158</v>
      </c>
      <c r="H187" s="99">
        <f>G187+'22'!H187</f>
        <v>3484</v>
      </c>
      <c r="I187" s="158"/>
      <c r="J187" s="179">
        <f>H187/DAY(B2)</f>
        <v>151.47826086956522</v>
      </c>
    </row>
    <row r="188" spans="1:10" ht="30.75" customHeight="1">
      <c r="A188" s="1250" t="s">
        <v>218</v>
      </c>
      <c r="B188" s="1251"/>
      <c r="C188" s="333"/>
      <c r="D188" s="230" t="s">
        <v>142</v>
      </c>
      <c r="E188" s="95"/>
      <c r="F188" s="159"/>
      <c r="G188" s="367">
        <f>G65+G66+G67+G69+G70</f>
        <v>151</v>
      </c>
      <c r="H188" s="99">
        <f>G188+'22'!H188</f>
        <v>1480</v>
      </c>
      <c r="I188" s="158"/>
      <c r="J188" s="179">
        <f>H188/DAY(B2)</f>
        <v>64.347826086956516</v>
      </c>
    </row>
    <row r="189" spans="1:10" ht="30.75" customHeight="1">
      <c r="A189" s="1250" t="s">
        <v>219</v>
      </c>
      <c r="B189" s="1251"/>
      <c r="C189" s="333"/>
      <c r="D189" s="230" t="s">
        <v>142</v>
      </c>
      <c r="E189" s="95"/>
      <c r="F189" s="157"/>
      <c r="G189" s="366">
        <f>G181</f>
        <v>0</v>
      </c>
      <c r="H189" s="99">
        <f>G189+'22'!H189</f>
        <v>0</v>
      </c>
      <c r="I189" s="158"/>
      <c r="J189" s="179">
        <f>H189/DAY(B2)</f>
        <v>0</v>
      </c>
    </row>
    <row r="190" spans="1:10" ht="30.75" customHeight="1">
      <c r="A190" s="1252"/>
      <c r="B190" s="1253"/>
      <c r="C190" s="382"/>
      <c r="D190" s="379"/>
      <c r="E190" s="379" t="s">
        <v>207</v>
      </c>
      <c r="F190" s="379"/>
      <c r="G190" s="379"/>
      <c r="H190" s="380"/>
      <c r="I190" s="379"/>
      <c r="J190" s="381"/>
    </row>
  </sheetData>
  <mergeCells count="115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39" zoomScale="50" zoomScaleNormal="44" zoomScaleSheetLayoutView="50" workbookViewId="0">
      <selection activeCell="F184" sqref="F184"/>
    </sheetView>
  </sheetViews>
  <sheetFormatPr defaultColWidth="22.33203125" defaultRowHeight="21.95" customHeight="1"/>
  <cols>
    <col min="1" max="1" width="51.21875" style="94" customWidth="1"/>
    <col min="2" max="2" width="28.88671875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3.25">
      <c r="A2" s="191" t="s">
        <v>354</v>
      </c>
      <c r="B2" s="262">
        <v>44858</v>
      </c>
      <c r="C2" s="348" t="s">
        <v>67</v>
      </c>
      <c r="D2" s="218">
        <v>0.43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'23'!F7</f>
        <v>451911</v>
      </c>
      <c r="F7" s="95">
        <v>472147</v>
      </c>
      <c r="G7" s="112">
        <f>F7-E7</f>
        <v>20236</v>
      </c>
      <c r="H7" s="99">
        <f>G7+'23'!H7</f>
        <v>590311</v>
      </c>
      <c r="I7" s="113">
        <f>'1'!I7</f>
        <v>12000</v>
      </c>
      <c r="J7" s="175">
        <f>H7/DAY(B2)</f>
        <v>24596.291666666668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'23'!F8</f>
        <v>626200</v>
      </c>
      <c r="F8" s="95">
        <v>646523</v>
      </c>
      <c r="G8" s="115">
        <f>F8-E8</f>
        <v>20323</v>
      </c>
      <c r="H8" s="99">
        <f>G8+'23'!H8</f>
        <v>597143</v>
      </c>
      <c r="I8" s="116"/>
      <c r="J8" s="175">
        <f>H8/DAY(B2)</f>
        <v>24880.958333333332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'23'!F9</f>
        <v>3870237</v>
      </c>
      <c r="F9" s="447">
        <v>3879379</v>
      </c>
      <c r="G9" s="112">
        <f>F9-E9</f>
        <v>9142</v>
      </c>
      <c r="H9" s="99">
        <f>G9+'23'!H9</f>
        <v>172672</v>
      </c>
      <c r="I9" s="124">
        <f>I7-J7</f>
        <v>-12596.291666666668</v>
      </c>
      <c r="J9" s="175">
        <f>H9/DAY(B2)</f>
        <v>7194.666666666667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'23'!F10</f>
        <v>3134129</v>
      </c>
      <c r="F10" s="353">
        <v>3144667</v>
      </c>
      <c r="G10" s="112">
        <f t="shared" ref="G10:G12" si="0">F10-E10</f>
        <v>10538</v>
      </c>
      <c r="H10" s="99">
        <f>G10+'23'!H10</f>
        <v>401973</v>
      </c>
      <c r="I10" s="282"/>
      <c r="J10" s="175">
        <f>H10/DAY(B2)</f>
        <v>16748.875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'23'!F11</f>
        <v>37560</v>
      </c>
      <c r="F11" s="95">
        <v>37560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'23'!F12</f>
        <v>40380</v>
      </c>
      <c r="F12" s="117">
        <v>40380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19680</v>
      </c>
      <c r="H13" s="99">
        <f>G13+'23'!H13</f>
        <v>576105</v>
      </c>
      <c r="I13" s="120">
        <f>G7-G13</f>
        <v>556</v>
      </c>
      <c r="J13" s="175">
        <f>H13/DAY(B2)</f>
        <v>24004.375</v>
      </c>
      <c r="K13" s="79"/>
      <c r="L13" s="66"/>
      <c r="N13" s="87"/>
      <c r="O13" s="71"/>
    </row>
    <row r="14" spans="1:15" ht="26.25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'23'!F15</f>
        <v>2185207</v>
      </c>
      <c r="F15" s="447">
        <v>2186078</v>
      </c>
      <c r="G15" s="112">
        <f>(F15-E15)</f>
        <v>871</v>
      </c>
      <c r="H15" s="99">
        <f>G15+'23'!H15</f>
        <v>24563</v>
      </c>
      <c r="I15" s="113">
        <f>'1'!I15</f>
        <v>800</v>
      </c>
      <c r="J15" s="175">
        <f>H15/DAY(B2)</f>
        <v>1023.4583333333334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-223.45833333333337</v>
      </c>
      <c r="J16" s="176"/>
      <c r="K16" s="79"/>
      <c r="L16" s="66"/>
      <c r="N16" s="87"/>
      <c r="O16" s="71"/>
    </row>
    <row r="17" spans="1:15" ht="26.25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81" t="s">
        <v>141</v>
      </c>
      <c r="B18" s="1282"/>
      <c r="C18" s="1283"/>
      <c r="D18" s="151" t="s">
        <v>142</v>
      </c>
      <c r="E18" s="95">
        <f>'23'!F18</f>
        <v>34</v>
      </c>
      <c r="F18" s="122">
        <v>15</v>
      </c>
      <c r="G18" s="119">
        <f>F18*10</f>
        <v>150</v>
      </c>
      <c r="H18" s="99">
        <f>G18+'23'!H18</f>
        <v>6080</v>
      </c>
      <c r="I18" s="113">
        <f>'1'!I18</f>
        <v>65</v>
      </c>
      <c r="J18" s="175">
        <f>H18/DAY(B2)</f>
        <v>253.33333333333334</v>
      </c>
      <c r="K18" s="79"/>
      <c r="L18" s="66"/>
      <c r="N18" s="87"/>
      <c r="O18" s="71"/>
    </row>
    <row r="19" spans="1:15" ht="25.5">
      <c r="A19" s="1281" t="s">
        <v>69</v>
      </c>
      <c r="B19" s="1282"/>
      <c r="C19" s="1283"/>
      <c r="D19" s="151" t="s">
        <v>142</v>
      </c>
      <c r="E19" s="95">
        <f>'23'!F19</f>
        <v>166603</v>
      </c>
      <c r="F19" s="122">
        <v>166655</v>
      </c>
      <c r="G19" s="112">
        <f t="shared" ref="G19" si="1">F19-E19</f>
        <v>52</v>
      </c>
      <c r="H19" s="99">
        <f>G19+'23'!H19</f>
        <v>1212</v>
      </c>
      <c r="I19" s="335"/>
      <c r="J19" s="175">
        <f>H19/DAY(B2)</f>
        <v>50.5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202</v>
      </c>
      <c r="H20" s="99">
        <f>G20+'23'!H20</f>
        <v>7292</v>
      </c>
      <c r="I20" s="336">
        <f>I18-J20</f>
        <v>-238.83333333333331</v>
      </c>
      <c r="J20" s="175">
        <f>H20/DAY(B2)</f>
        <v>303.83333333333331</v>
      </c>
      <c r="K20" s="79"/>
      <c r="L20" s="66"/>
      <c r="N20" s="87"/>
      <c r="O20" s="71"/>
    </row>
    <row r="21" spans="1:15" ht="26.25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'23'!F23</f>
        <v>1500</v>
      </c>
      <c r="F23" s="122">
        <v>1500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'23'!F24</f>
        <v>4470</v>
      </c>
      <c r="F24" s="128">
        <v>4470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20323</v>
      </c>
      <c r="F27" s="136">
        <v>10</v>
      </c>
      <c r="G27" s="137">
        <f>E27*F27</f>
        <v>203230</v>
      </c>
      <c r="H27" s="99">
        <f>G27+'23'!H27</f>
        <v>5971430</v>
      </c>
      <c r="I27" s="138"/>
      <c r="J27" s="175">
        <f>H27/DAY(B2)</f>
        <v>248809.58333333334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871</v>
      </c>
      <c r="F28" s="136">
        <v>75</v>
      </c>
      <c r="G28" s="137">
        <f>E28*F28</f>
        <v>65325</v>
      </c>
      <c r="H28" s="99">
        <f>G28+'23'!H28</f>
        <v>1842225</v>
      </c>
      <c r="I28" s="140"/>
      <c r="J28" s="175">
        <f>H28/DAY(B2)</f>
        <v>76759.375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G30+'23'!H30</f>
        <v>183012</v>
      </c>
      <c r="I30" s="140"/>
      <c r="J30" s="175">
        <f>H30/DAY(B2)</f>
        <v>7625.5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85</v>
      </c>
      <c r="G31" s="137">
        <f>E31*F31</f>
        <v>12750</v>
      </c>
      <c r="H31" s="99">
        <f>G31+'23'!H31</f>
        <v>513650</v>
      </c>
      <c r="I31" s="140"/>
      <c r="J31" s="175">
        <f>H31/DAY(B2)</f>
        <v>21402.083333333332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289157</v>
      </c>
      <c r="H32" s="99">
        <f>G32+'23'!H32</f>
        <v>8510317</v>
      </c>
      <c r="I32" s="144"/>
      <c r="J32" s="175">
        <f>H32/DAY(B2)</f>
        <v>354596.54166666669</v>
      </c>
      <c r="K32" s="63"/>
      <c r="L32" s="89"/>
      <c r="N32" s="87"/>
      <c r="O32" s="71"/>
    </row>
    <row r="33" spans="1:15" ht="25.5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'23'!F35</f>
        <v>267690</v>
      </c>
      <c r="F35" s="145">
        <v>269635</v>
      </c>
      <c r="G35" s="112">
        <f t="shared" ref="G35:G46" si="3">F35-E35</f>
        <v>1945</v>
      </c>
      <c r="H35" s="99">
        <f>G35+'23'!H35</f>
        <v>30921.950000000012</v>
      </c>
      <c r="I35" s="95"/>
      <c r="J35" s="175">
        <f>H35/DAY(B2)</f>
        <v>1288.4145833333339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'23'!F36</f>
        <v>289329</v>
      </c>
      <c r="F36" s="145">
        <v>289934</v>
      </c>
      <c r="G36" s="112">
        <f t="shared" si="3"/>
        <v>605</v>
      </c>
      <c r="H36" s="99">
        <f>G36+'23'!H36</f>
        <v>20451</v>
      </c>
      <c r="I36" s="95"/>
      <c r="J36" s="175">
        <f>H36/DAY(B2)</f>
        <v>852.125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'23'!F37</f>
        <v>322999</v>
      </c>
      <c r="F37" s="145">
        <v>322998.69</v>
      </c>
      <c r="G37" s="112">
        <f t="shared" si="3"/>
        <v>-0.30999999999767169</v>
      </c>
      <c r="H37" s="99">
        <f>G37+'23'!H37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'23'!F38</f>
        <v>645874</v>
      </c>
      <c r="F38" s="108">
        <v>647911</v>
      </c>
      <c r="G38" s="112">
        <f t="shared" si="3"/>
        <v>2037</v>
      </c>
      <c r="H38" s="99">
        <f>G38+'23'!H38</f>
        <v>54194</v>
      </c>
      <c r="I38" s="95"/>
      <c r="J38" s="175">
        <f>H38/DAY(B2)</f>
        <v>2258.0833333333335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'23'!F39</f>
        <v>591584</v>
      </c>
      <c r="F39" s="145">
        <v>591584.18999999994</v>
      </c>
      <c r="G39" s="112">
        <f t="shared" si="3"/>
        <v>0.18999999994412065</v>
      </c>
      <c r="H39" s="99">
        <f>G39+'23'!H39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'23'!F40</f>
        <v>175963</v>
      </c>
      <c r="F40" s="145">
        <v>176690</v>
      </c>
      <c r="G40" s="112">
        <f t="shared" si="3"/>
        <v>727</v>
      </c>
      <c r="H40" s="99">
        <f>G40+'23'!H40</f>
        <v>18710</v>
      </c>
      <c r="I40" s="95"/>
      <c r="J40" s="175">
        <f>H40/DAY(B2)</f>
        <v>779.58333333333337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'23'!F41</f>
        <v>400329</v>
      </c>
      <c r="F41" s="145">
        <v>405083</v>
      </c>
      <c r="G41" s="112">
        <f t="shared" si="3"/>
        <v>4754</v>
      </c>
      <c r="H41" s="99">
        <f>G41+'23'!H41</f>
        <v>24731.450000000012</v>
      </c>
      <c r="I41" s="95"/>
      <c r="J41" s="175">
        <f>H41/DAY(B2)</f>
        <v>1030.4770833333339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'23'!F42</f>
        <v>871198</v>
      </c>
      <c r="F42" s="145">
        <v>871198</v>
      </c>
      <c r="G42" s="112">
        <f t="shared" si="3"/>
        <v>0</v>
      </c>
      <c r="H42" s="99">
        <f>G42+'23'!H42</f>
        <v>46111</v>
      </c>
      <c r="I42" s="95"/>
      <c r="J42" s="175">
        <f>H42/DAY(B2)</f>
        <v>1921.2916666666667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'23'!F43</f>
        <v>407028.03</v>
      </c>
      <c r="F43" s="145">
        <v>407028.03</v>
      </c>
      <c r="G43" s="112">
        <f t="shared" si="3"/>
        <v>0</v>
      </c>
      <c r="H43" s="99">
        <f>G43+'23'!H43</f>
        <v>3.0000000027939677E-2</v>
      </c>
      <c r="I43" s="95"/>
      <c r="J43" s="175">
        <f>H43/DAY(B2)</f>
        <v>1.2500000011641532E-3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10067.879999999946</v>
      </c>
      <c r="H47" s="99">
        <f>G47+'23'!H47</f>
        <v>199228.36999999994</v>
      </c>
      <c r="I47" s="95"/>
      <c r="J47" s="175">
        <f>H47/DAY(B2)</f>
        <v>8301.1820833333313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'23'!F49</f>
        <v>775585</v>
      </c>
      <c r="F49" s="145">
        <v>777074</v>
      </c>
      <c r="G49" s="112">
        <f t="shared" ref="G49:G58" si="4">F49-E49</f>
        <v>1489</v>
      </c>
      <c r="H49" s="99">
        <f>G49+'23'!H49</f>
        <v>56787</v>
      </c>
      <c r="I49" s="95"/>
      <c r="J49" s="175">
        <f>H49/DAY(B2)</f>
        <v>2366.125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'23'!F50</f>
        <v>401088</v>
      </c>
      <c r="F50" s="145">
        <v>402539</v>
      </c>
      <c r="G50" s="112">
        <f t="shared" si="4"/>
        <v>1451</v>
      </c>
      <c r="H50" s="99">
        <f>G50+'23'!H50</f>
        <v>237478</v>
      </c>
      <c r="I50" s="95"/>
      <c r="J50" s="175">
        <f>H50/DAY(B2)</f>
        <v>9894.9166666666661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'23'!F51</f>
        <v>95484</v>
      </c>
      <c r="F51" s="145">
        <v>96394</v>
      </c>
      <c r="G51" s="112">
        <f t="shared" si="4"/>
        <v>910</v>
      </c>
      <c r="H51" s="99">
        <f>G51+'23'!H51</f>
        <v>24667</v>
      </c>
      <c r="I51" s="95"/>
      <c r="J51" s="175">
        <f>H51/DAY(B2)</f>
        <v>1027.7916666666667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'23'!F52</f>
        <v>10</v>
      </c>
      <c r="F52" s="145">
        <v>10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'23'!F53</f>
        <v>391130</v>
      </c>
      <c r="F53" s="145">
        <v>395191</v>
      </c>
      <c r="G53" s="112">
        <f t="shared" si="4"/>
        <v>4061</v>
      </c>
      <c r="H53" s="99">
        <f>G53+'23'!H53</f>
        <v>101090</v>
      </c>
      <c r="I53" s="95"/>
      <c r="J53" s="175">
        <f>H53/DAY(B2)</f>
        <v>4212.083333333333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'23'!F54</f>
        <v>103581</v>
      </c>
      <c r="F54" s="145">
        <v>103721</v>
      </c>
      <c r="G54" s="112">
        <f t="shared" si="4"/>
        <v>140</v>
      </c>
      <c r="H54" s="99">
        <f>G54+'23'!H54</f>
        <v>2334</v>
      </c>
      <c r="I54" s="95"/>
      <c r="J54" s="175">
        <f>H54/DAY(B2)</f>
        <v>97.25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'23'!F55</f>
        <v>538458</v>
      </c>
      <c r="F55" s="145">
        <v>538458</v>
      </c>
      <c r="G55" s="112">
        <f t="shared" si="4"/>
        <v>0</v>
      </c>
      <c r="H55" s="99">
        <f>G55+'23'!H55</f>
        <v>43975</v>
      </c>
      <c r="I55" s="95"/>
      <c r="J55" s="175">
        <f>H55/DAY(B2)</f>
        <v>1832.2916666666667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'23'!F56</f>
        <v>177810</v>
      </c>
      <c r="F56" s="145">
        <v>177810</v>
      </c>
      <c r="G56" s="112">
        <f t="shared" si="4"/>
        <v>0</v>
      </c>
      <c r="H56" s="99">
        <f>G56+'23'!H56</f>
        <v>28091</v>
      </c>
      <c r="I56" s="95"/>
      <c r="J56" s="175">
        <f>H56/DAY(B2)</f>
        <v>1170.4583333333333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'23'!F57</f>
        <v>475819</v>
      </c>
      <c r="F57" s="145">
        <v>478123</v>
      </c>
      <c r="G57" s="112">
        <f t="shared" si="4"/>
        <v>2304</v>
      </c>
      <c r="H57" s="99">
        <f>G57+'23'!H57</f>
        <v>69045</v>
      </c>
      <c r="I57" s="95"/>
      <c r="J57" s="175">
        <f>H57/DAY(B2)</f>
        <v>2876.875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'23'!F58</f>
        <v>69764</v>
      </c>
      <c r="F58" s="145">
        <v>69948</v>
      </c>
      <c r="G58" s="112">
        <f t="shared" si="4"/>
        <v>184</v>
      </c>
      <c r="H58" s="99">
        <f>G58+'23'!H58</f>
        <v>5797</v>
      </c>
      <c r="I58" s="95"/>
      <c r="J58" s="175">
        <f>H58/DAY(B2)</f>
        <v>241.54166666666666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10539</v>
      </c>
      <c r="H59" s="99">
        <f>G59+'23'!H59</f>
        <v>367924.82</v>
      </c>
      <c r="I59" s="95">
        <f>G7-G60</f>
        <v>-370.87999999994645</v>
      </c>
      <c r="J59" s="175">
        <f>H59/DAY(B2)</f>
        <v>15330.200833333334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20606.879999999946</v>
      </c>
      <c r="H60" s="99">
        <f>G60+'23'!H60</f>
        <v>567153.18999999994</v>
      </c>
      <c r="I60" s="95">
        <f>G13-G60</f>
        <v>-926.87999999994645</v>
      </c>
      <c r="J60" s="175">
        <f>H60/DAY(B2)</f>
        <v>23631.382916666666</v>
      </c>
      <c r="K60" s="79"/>
      <c r="L60" s="66"/>
      <c r="N60" s="87"/>
      <c r="O60" s="71"/>
    </row>
    <row r="61" spans="1:15" s="68" customFormat="1" ht="26.25">
      <c r="A61" s="1278" t="s">
        <v>332</v>
      </c>
      <c r="B61" s="1279"/>
      <c r="C61" s="12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81" t="s">
        <v>198</v>
      </c>
      <c r="B62" s="1282"/>
      <c r="C62" s="1283"/>
      <c r="D62" s="151" t="s">
        <v>142</v>
      </c>
      <c r="E62" s="95">
        <f>'23'!F62</f>
        <v>304389</v>
      </c>
      <c r="F62" s="122">
        <v>304444</v>
      </c>
      <c r="G62" s="112">
        <f t="shared" ref="G62:G63" si="5">F62-E62</f>
        <v>55</v>
      </c>
      <c r="H62" s="99">
        <f>G62+'23'!H62</f>
        <v>2379</v>
      </c>
      <c r="I62" s="118"/>
      <c r="J62" s="175">
        <f>H62/DAY(B2)</f>
        <v>99.125</v>
      </c>
      <c r="K62" s="80"/>
      <c r="L62" s="66"/>
      <c r="N62" s="87"/>
      <c r="O62" s="71"/>
    </row>
    <row r="63" spans="1:15" ht="25.5">
      <c r="A63" s="1281" t="s">
        <v>199</v>
      </c>
      <c r="B63" s="1282"/>
      <c r="C63" s="1283"/>
      <c r="D63" s="151" t="s">
        <v>142</v>
      </c>
      <c r="E63" s="95">
        <f>'23'!F63</f>
        <v>245139</v>
      </c>
      <c r="F63" s="122">
        <v>245139</v>
      </c>
      <c r="G63" s="112">
        <f t="shared" si="5"/>
        <v>0</v>
      </c>
      <c r="H63" s="99">
        <f>G63+'23'!H63</f>
        <v>127</v>
      </c>
      <c r="I63" s="118"/>
      <c r="J63" s="175">
        <f>H63/DAY(B2)</f>
        <v>5.291666666666667</v>
      </c>
      <c r="K63" s="69"/>
      <c r="L63" s="66"/>
      <c r="N63" s="87"/>
      <c r="O63" s="71"/>
    </row>
    <row r="64" spans="1:15" ht="26.25">
      <c r="A64" s="1284" t="s">
        <v>200</v>
      </c>
      <c r="B64" s="1285"/>
      <c r="C64" s="1286"/>
      <c r="D64" s="151"/>
      <c r="E64" s="95">
        <f>'23'!F64</f>
        <v>0</v>
      </c>
      <c r="F64" s="122"/>
      <c r="G64" s="112">
        <f>G62+G63</f>
        <v>55</v>
      </c>
      <c r="H64" s="99">
        <f>G64+'23'!H64</f>
        <v>2485</v>
      </c>
      <c r="I64" s="118"/>
      <c r="J64" s="175">
        <f>H64/DAY(B2)</f>
        <v>103.54166666666667</v>
      </c>
      <c r="K64" s="69"/>
      <c r="L64" s="66"/>
      <c r="N64" s="87"/>
      <c r="O64" s="71"/>
    </row>
    <row r="65" spans="1:15" ht="25.5">
      <c r="A65" s="1281" t="s">
        <v>201</v>
      </c>
      <c r="B65" s="1282"/>
      <c r="C65" s="1283"/>
      <c r="D65" s="151" t="s">
        <v>142</v>
      </c>
      <c r="E65" s="95">
        <f>'23'!F65</f>
        <v>463352</v>
      </c>
      <c r="F65" s="122">
        <v>463440</v>
      </c>
      <c r="G65" s="112">
        <f t="shared" ref="G65:G70" si="6">F65-E65</f>
        <v>88</v>
      </c>
      <c r="H65" s="99">
        <f>G65+'23'!H65</f>
        <v>2616</v>
      </c>
      <c r="I65" s="118"/>
      <c r="J65" s="175">
        <f>H65/DAY(B2)</f>
        <v>109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'23'!F66</f>
        <v>112839</v>
      </c>
      <c r="F66" s="122">
        <v>112844</v>
      </c>
      <c r="G66" s="112">
        <f t="shared" si="6"/>
        <v>5</v>
      </c>
      <c r="H66" s="99">
        <f>G66+'23'!H66</f>
        <v>239</v>
      </c>
      <c r="I66" s="118"/>
      <c r="J66" s="175">
        <f>H66/DAY(B2)</f>
        <v>9.9583333333333339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'23'!F67</f>
        <v>115198</v>
      </c>
      <c r="F67" s="122">
        <v>115206</v>
      </c>
      <c r="G67" s="112">
        <f t="shared" si="6"/>
        <v>8</v>
      </c>
      <c r="H67" s="99">
        <f>G67+'23'!H67</f>
        <v>498</v>
      </c>
      <c r="I67" s="118"/>
      <c r="J67" s="175">
        <f>H67/DAY(B2)</f>
        <v>20.75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'23'!F68</f>
        <v>167331</v>
      </c>
      <c r="F68" s="122">
        <v>167347</v>
      </c>
      <c r="G68" s="112">
        <f t="shared" si="6"/>
        <v>16</v>
      </c>
      <c r="H68" s="99">
        <f>G68+'23'!H68</f>
        <v>766</v>
      </c>
      <c r="I68" s="118"/>
      <c r="J68" s="175">
        <f>H68/DAY(B2)</f>
        <v>31.916666666666668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'23'!F69</f>
        <v>12662</v>
      </c>
      <c r="F69" s="122">
        <v>12664</v>
      </c>
      <c r="G69" s="112">
        <f t="shared" si="6"/>
        <v>2</v>
      </c>
      <c r="H69" s="99">
        <f>G69+'23'!H69</f>
        <v>100</v>
      </c>
      <c r="I69" s="118"/>
      <c r="J69" s="175">
        <f>H69/DAY(B2)</f>
        <v>4.166666666666667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'23'!F70</f>
        <v>10550</v>
      </c>
      <c r="F70" s="122">
        <v>10552</v>
      </c>
      <c r="G70" s="112">
        <f t="shared" si="6"/>
        <v>2</v>
      </c>
      <c r="H70" s="99">
        <f>G70+'23'!H70</f>
        <v>219</v>
      </c>
      <c r="I70" s="118"/>
      <c r="J70" s="175">
        <f>H70/DAY(B2)</f>
        <v>9.125</v>
      </c>
      <c r="K70" s="69"/>
      <c r="L70" s="66"/>
      <c r="N70" s="87"/>
      <c r="O70" s="71"/>
    </row>
    <row r="71" spans="1:15" ht="26.25">
      <c r="A71" s="1284" t="s">
        <v>208</v>
      </c>
      <c r="B71" s="1285"/>
      <c r="C71" s="1286"/>
      <c r="D71" s="152"/>
      <c r="E71" s="152"/>
      <c r="F71" s="152"/>
      <c r="G71" s="153">
        <f>SUM(G65:G70)</f>
        <v>121</v>
      </c>
      <c r="H71" s="99">
        <f>G71+'23'!H71</f>
        <v>4438</v>
      </c>
      <c r="I71" s="154"/>
      <c r="J71" s="175">
        <f>H71/DAY(B2)</f>
        <v>184.91666666666666</v>
      </c>
      <c r="K71" s="69"/>
      <c r="L71" s="66"/>
      <c r="N71" s="87"/>
      <c r="O71" s="71"/>
    </row>
    <row r="72" spans="1:15" s="88" customFormat="1" ht="25.5">
      <c r="A72" s="1287"/>
      <c r="B72" s="126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5" t="s">
        <v>333</v>
      </c>
      <c r="B73" s="1296"/>
      <c r="C73" s="129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81" t="s">
        <v>220</v>
      </c>
      <c r="B74" s="1282"/>
      <c r="C74" s="1283"/>
      <c r="D74" s="151" t="s">
        <v>139</v>
      </c>
      <c r="E74" s="95">
        <f>'23'!F74</f>
        <v>982556</v>
      </c>
      <c r="F74" s="117">
        <v>982843</v>
      </c>
      <c r="G74" s="112">
        <f t="shared" ref="G74:G78" si="7">F74-E74</f>
        <v>287</v>
      </c>
      <c r="H74" s="99">
        <f>G74+'23'!H74</f>
        <v>7032</v>
      </c>
      <c r="I74" s="154"/>
      <c r="J74" s="175">
        <f>H74/DAY(B2)</f>
        <v>293</v>
      </c>
      <c r="K74" s="69"/>
      <c r="L74" s="66"/>
      <c r="N74" s="87"/>
      <c r="O74" s="71"/>
    </row>
    <row r="75" spans="1:15" ht="25.5">
      <c r="A75" s="1281" t="s">
        <v>221</v>
      </c>
      <c r="B75" s="1282"/>
      <c r="C75" s="1283"/>
      <c r="D75" s="151" t="s">
        <v>139</v>
      </c>
      <c r="E75" s="95">
        <f>'23'!F75</f>
        <v>73586</v>
      </c>
      <c r="F75" s="123">
        <v>73586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288" t="s">
        <v>222</v>
      </c>
      <c r="B76" s="1289"/>
      <c r="C76" s="1290"/>
      <c r="D76" s="151" t="s">
        <v>139</v>
      </c>
      <c r="E76" s="95">
        <f>'23'!F76</f>
        <v>199338</v>
      </c>
      <c r="F76" s="123">
        <v>199435</v>
      </c>
      <c r="G76" s="112">
        <f t="shared" si="7"/>
        <v>97</v>
      </c>
      <c r="H76" s="99">
        <f>G76+'23'!H76</f>
        <v>2699</v>
      </c>
      <c r="I76" s="154"/>
      <c r="J76" s="175">
        <f>H76/DAY(B2)</f>
        <v>112.45833333333333</v>
      </c>
      <c r="K76" s="69"/>
      <c r="L76" s="66"/>
      <c r="N76" s="87"/>
      <c r="O76" s="71"/>
    </row>
    <row r="77" spans="1:15" ht="25.5">
      <c r="A77" s="1288" t="s">
        <v>223</v>
      </c>
      <c r="B77" s="1289"/>
      <c r="C77" s="1290"/>
      <c r="D77" s="151" t="s">
        <v>139</v>
      </c>
      <c r="E77" s="95">
        <f>'23'!F77</f>
        <v>54482</v>
      </c>
      <c r="F77" s="123">
        <v>54527</v>
      </c>
      <c r="G77" s="112">
        <f t="shared" si="7"/>
        <v>45</v>
      </c>
      <c r="H77" s="99">
        <f>G77+'23'!H77</f>
        <v>1175</v>
      </c>
      <c r="I77" s="154"/>
      <c r="J77" s="175">
        <f>H77/DAY(B2)</f>
        <v>48.958333333333336</v>
      </c>
      <c r="K77" s="69"/>
      <c r="L77" s="66"/>
      <c r="N77" s="87"/>
      <c r="O77" s="71"/>
    </row>
    <row r="78" spans="1:15" ht="25.5">
      <c r="A78" s="1288" t="s">
        <v>224</v>
      </c>
      <c r="B78" s="1289"/>
      <c r="C78" s="1290"/>
      <c r="D78" s="151" t="s">
        <v>139</v>
      </c>
      <c r="E78" s="95">
        <f>'23'!F78</f>
        <v>9563</v>
      </c>
      <c r="F78" s="123">
        <v>9563</v>
      </c>
      <c r="G78" s="112">
        <f t="shared" si="7"/>
        <v>0</v>
      </c>
      <c r="H78" s="99">
        <f>G78+'23'!H78</f>
        <v>-1.3999999999996362</v>
      </c>
      <c r="I78" s="118"/>
      <c r="J78" s="175">
        <f>H78/DAY(B2)</f>
        <v>-5.8333333333318173E-2</v>
      </c>
      <c r="K78" s="69"/>
      <c r="L78" s="66"/>
      <c r="N78" s="87"/>
      <c r="O78" s="71"/>
    </row>
    <row r="79" spans="1:15" s="57" customFormat="1" ht="25.5">
      <c r="A79" s="1288" t="s">
        <v>225</v>
      </c>
      <c r="B79" s="1289"/>
      <c r="C79" s="1290"/>
      <c r="D79" s="151"/>
      <c r="E79" s="95">
        <f>'23'!F79</f>
        <v>0</v>
      </c>
      <c r="F79" s="117"/>
      <c r="G79" s="112">
        <f>G15-SUM(G74:G78)</f>
        <v>442</v>
      </c>
      <c r="H79" s="99">
        <f>G79+'23'!H79</f>
        <v>13655.179999999955</v>
      </c>
      <c r="I79" s="118"/>
      <c r="J79" s="175">
        <f>H79/DAY(B2)</f>
        <v>568.96583333333149</v>
      </c>
      <c r="K79" s="59"/>
      <c r="L79" s="58"/>
      <c r="N79" s="87"/>
      <c r="O79" s="71"/>
    </row>
    <row r="80" spans="1:15" s="57" customFormat="1" ht="26.25">
      <c r="A80" s="1284" t="s">
        <v>329</v>
      </c>
      <c r="B80" s="1285"/>
      <c r="C80" s="1286"/>
      <c r="D80" s="151"/>
      <c r="E80" s="117"/>
      <c r="F80" s="117"/>
      <c r="G80" s="112">
        <f>SUM(G74:G79)</f>
        <v>871</v>
      </c>
      <c r="H80" s="99"/>
      <c r="I80" s="118"/>
      <c r="J80" s="175"/>
      <c r="K80" s="59"/>
      <c r="L80" s="58"/>
      <c r="N80" s="87"/>
      <c r="O80" s="71"/>
    </row>
    <row r="81" spans="1:15" ht="25.5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'23'!F84</f>
        <v>43449.55</v>
      </c>
      <c r="F84" s="164">
        <v>43474</v>
      </c>
      <c r="G84" s="112">
        <f t="shared" si="8"/>
        <v>24.44999999999709</v>
      </c>
      <c r="H84" s="99">
        <f>G84+'23'!H84</f>
        <v>107.19999999999709</v>
      </c>
      <c r="I84" s="538"/>
      <c r="J84" s="175">
        <f>H84/DAY(B2)</f>
        <v>4.4666666666665451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'23'!F85</f>
        <v>5680</v>
      </c>
      <c r="F85" s="164">
        <v>5680</v>
      </c>
      <c r="G85" s="112">
        <f t="shared" si="8"/>
        <v>0</v>
      </c>
      <c r="H85" s="99">
        <f>G85+'23'!H85</f>
        <v>204</v>
      </c>
      <c r="I85" s="538"/>
      <c r="J85" s="175">
        <f>H85/DAY(B2)</f>
        <v>8.5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'23'!F86</f>
        <v>46579</v>
      </c>
      <c r="F86" s="164">
        <v>46579</v>
      </c>
      <c r="G86" s="112">
        <f t="shared" si="8"/>
        <v>0</v>
      </c>
      <c r="H86" s="99">
        <f>G86+'23'!H86</f>
        <v>307.58000000000175</v>
      </c>
      <c r="I86" s="538"/>
      <c r="J86" s="175">
        <f>H86/DAY(B2)</f>
        <v>12.815833333333407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'23'!F87</f>
        <v>35861</v>
      </c>
      <c r="F87" s="164">
        <v>35861</v>
      </c>
      <c r="G87" s="112">
        <f t="shared" si="8"/>
        <v>0</v>
      </c>
      <c r="H87" s="99">
        <f>G87+'23'!H87</f>
        <v>205</v>
      </c>
      <c r="I87" s="538">
        <f>G84+G85+G86+G87</f>
        <v>24.44999999999709</v>
      </c>
      <c r="J87" s="175">
        <f>H87/DAY(B2)</f>
        <v>8.5416666666666661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'23'!F88</f>
        <v>24469.98</v>
      </c>
      <c r="F88" s="164">
        <v>24472</v>
      </c>
      <c r="G88" s="112">
        <f t="shared" si="8"/>
        <v>2.0200000000004366</v>
      </c>
      <c r="H88" s="99">
        <f>G88+'23'!H88</f>
        <v>48.040000000000873</v>
      </c>
      <c r="I88" s="538"/>
      <c r="J88" s="175">
        <f>H88/DAY(B2)</f>
        <v>2.0016666666667029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'23'!F89</f>
        <v>28176.95</v>
      </c>
      <c r="F89" s="164">
        <v>28182</v>
      </c>
      <c r="G89" s="112">
        <f t="shared" si="8"/>
        <v>5.0499999999992724</v>
      </c>
      <c r="H89" s="99">
        <f>G89+'23'!H89</f>
        <v>194</v>
      </c>
      <c r="I89" s="538">
        <f>G88+G89</f>
        <v>7.069999999999709</v>
      </c>
      <c r="J89" s="175">
        <f>H89/DAY(B2)</f>
        <v>8.0833333333333339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'23'!F90</f>
        <v>73461.95</v>
      </c>
      <c r="F90" s="164">
        <v>73470.37</v>
      </c>
      <c r="G90" s="112">
        <f t="shared" si="8"/>
        <v>8.4199999999982538</v>
      </c>
      <c r="H90" s="99">
        <f>G90+'23'!H90</f>
        <v>226.6299999999901</v>
      </c>
      <c r="I90" s="538">
        <f>G90</f>
        <v>8.4199999999982538</v>
      </c>
      <c r="J90" s="175">
        <f>H90/DAY(B2)</f>
        <v>9.442916666666255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'23'!F91</f>
        <v>4937.76</v>
      </c>
      <c r="F91" s="122">
        <v>4948.84</v>
      </c>
      <c r="G91" s="112">
        <f t="shared" si="8"/>
        <v>11.079999999999927</v>
      </c>
      <c r="H91" s="99">
        <f>G91+'23'!H91</f>
        <v>270.40999999999985</v>
      </c>
      <c r="I91" s="557"/>
      <c r="J91" s="175">
        <f>H91/DAY(B2)</f>
        <v>11.267083333333327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'23'!F92</f>
        <v>7000</v>
      </c>
      <c r="F92" s="122">
        <v>7000.23</v>
      </c>
      <c r="G92" s="112">
        <f t="shared" si="8"/>
        <v>0.22999999999956344</v>
      </c>
      <c r="H92" s="99">
        <f>G92+'23'!H92</f>
        <v>0.22999999999956344</v>
      </c>
      <c r="I92" s="561">
        <f>G91+G92</f>
        <v>11.309999999999491</v>
      </c>
      <c r="J92" s="175">
        <f>H92/DAY(B2)</f>
        <v>9.583333333315144E-3</v>
      </c>
      <c r="O92" s="71"/>
    </row>
    <row r="93" spans="1:15" ht="26.25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5738</v>
      </c>
      <c r="H94" s="99">
        <f>G94+'23'!H94</f>
        <v>156859.18000000005</v>
      </c>
      <c r="I94" s="118"/>
      <c r="J94" s="175">
        <f>H94/DAY(B2)</f>
        <v>6535.7991666666685</v>
      </c>
      <c r="K94" s="69"/>
      <c r="L94" s="66"/>
      <c r="O94" s="71"/>
    </row>
    <row r="95" spans="1:15" ht="25.5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0.28355406206760231</v>
      </c>
      <c r="H95" s="99">
        <f>G95+'23'!H95</f>
        <v>6.37082663160768</v>
      </c>
      <c r="I95" s="167"/>
      <c r="J95" s="175">
        <f>H95/DAY(B2)</f>
        <v>0.26545110965031998</v>
      </c>
      <c r="K95" s="69"/>
      <c r="L95" s="66"/>
      <c r="O95" s="71"/>
    </row>
    <row r="96" spans="1:15" ht="25.5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4754</v>
      </c>
      <c r="H96" s="99">
        <f>G96+'23'!H96</f>
        <v>142908.45000000001</v>
      </c>
      <c r="I96" s="118"/>
      <c r="J96" s="175">
        <f>H96/DAY(B2)</f>
        <v>5954.5187500000002</v>
      </c>
      <c r="K96" s="69"/>
      <c r="L96" s="66"/>
      <c r="O96" s="71"/>
    </row>
    <row r="97" spans="1:15" ht="25.5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0.23492785135402253</v>
      </c>
      <c r="H97" s="99">
        <f>G97+'23'!H97</f>
        <v>5.8028000356786844</v>
      </c>
      <c r="I97" s="167"/>
      <c r="J97" s="175">
        <f>H97/DAY(B2)</f>
        <v>0.24178333481994518</v>
      </c>
      <c r="K97" s="69"/>
      <c r="L97" s="66"/>
      <c r="O97" s="71"/>
    </row>
    <row r="98" spans="1:15" ht="25.5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4061.1899999999441</v>
      </c>
      <c r="H98" s="99">
        <f>G98+'23'!H98</f>
        <v>100988.95999999996</v>
      </c>
      <c r="I98" s="168"/>
      <c r="J98" s="175">
        <f>H98/DAY(B2)</f>
        <v>4207.8733333333321</v>
      </c>
      <c r="K98" s="69"/>
      <c r="L98" s="66"/>
      <c r="O98" s="71"/>
    </row>
    <row r="99" spans="1:15" ht="25.5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0.20069134216247994</v>
      </c>
      <c r="H99" s="99">
        <f>G99+'23'!H99</f>
        <v>4.1095327768366978</v>
      </c>
      <c r="I99" s="168"/>
      <c r="J99" s="175">
        <f>H99/DAY(B2)</f>
        <v>0.17123053236819574</v>
      </c>
      <c r="O99" s="71"/>
    </row>
    <row r="100" spans="1:15" ht="26.25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2037</v>
      </c>
      <c r="H100" s="99">
        <f>G100+'23'!H100</f>
        <v>54281.389999999898</v>
      </c>
      <c r="I100" s="118"/>
      <c r="J100" s="175">
        <f>H100/DAY(B2)</f>
        <v>2261.7245833333291</v>
      </c>
      <c r="K100" s="70"/>
      <c r="O100" s="71"/>
    </row>
    <row r="101" spans="1:15" ht="25.5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0.10066218620280688</v>
      </c>
      <c r="H101" s="99">
        <f>G101+'23'!H101</f>
        <v>2.2063769341411312</v>
      </c>
      <c r="I101" s="168"/>
      <c r="J101" s="175">
        <f>H101/DAY(B2)</f>
        <v>9.1932372255880468E-2</v>
      </c>
      <c r="O101" s="71"/>
    </row>
    <row r="102" spans="1:15" ht="25.5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2056</v>
      </c>
      <c r="H102" s="99">
        <f>G102+'23'!H102</f>
        <v>57219</v>
      </c>
      <c r="I102" s="168"/>
      <c r="J102" s="175">
        <f>H102/DAY(B2)</f>
        <v>2384.125</v>
      </c>
      <c r="O102" s="71"/>
    </row>
    <row r="103" spans="1:15" ht="25.5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0.10160110693813007</v>
      </c>
      <c r="H103" s="99">
        <f>G103+'23'!H103</f>
        <v>2.3261563358384314</v>
      </c>
      <c r="I103" s="118"/>
      <c r="J103" s="175">
        <f>H103/DAY(B2)</f>
        <v>9.6923180659934646E-2</v>
      </c>
      <c r="O103" s="71"/>
    </row>
    <row r="104" spans="1:15" ht="25.5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909.69000000000233</v>
      </c>
      <c r="H104" s="99">
        <f>G104+'23'!H104</f>
        <v>24667</v>
      </c>
      <c r="I104" s="118"/>
      <c r="J104" s="175">
        <f>H104/DAY(B2)</f>
        <v>1027.7916666666667</v>
      </c>
      <c r="O104" s="71"/>
    </row>
    <row r="105" spans="1:15" ht="26.25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4.4954042300850088E-2</v>
      </c>
      <c r="H105" s="99">
        <f>G105+'23'!H105</f>
        <v>1.0047701704242726</v>
      </c>
      <c r="I105" s="187"/>
      <c r="J105" s="188">
        <f>H105/DAY(B2)</f>
        <v>4.1865423767678024E-2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6.25">
      <c r="A109" s="1291"/>
      <c r="B109" s="1291"/>
    </row>
    <row r="110" spans="1:15" ht="26.25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5.5">
      <c r="A111" s="1270"/>
      <c r="B111" s="1271"/>
      <c r="C111" s="1272"/>
      <c r="D111" s="165"/>
      <c r="E111" s="165"/>
      <c r="F111" s="165"/>
      <c r="G111" s="165"/>
      <c r="H111" s="156"/>
      <c r="I111" s="165"/>
      <c r="J111" s="327"/>
    </row>
    <row r="112" spans="1:15" ht="25.5">
      <c r="A112" s="1266" t="s">
        <v>252</v>
      </c>
      <c r="B112" s="1267"/>
      <c r="C112" s="1268"/>
      <c r="D112" s="146" t="s">
        <v>183</v>
      </c>
      <c r="E112" s="95">
        <f>'23'!F112</f>
        <v>13245</v>
      </c>
      <c r="F112" s="237">
        <v>13309</v>
      </c>
      <c r="G112" s="112">
        <f t="shared" ref="G112:G123" si="9">F112-E112</f>
        <v>64</v>
      </c>
      <c r="H112" s="99">
        <f>G112+'23'!H112</f>
        <v>1646</v>
      </c>
      <c r="I112" s="165"/>
      <c r="J112" s="328">
        <f>H112/DAY(B2)</f>
        <v>68.583333333333329</v>
      </c>
    </row>
    <row r="113" spans="1:18" ht="29.25" customHeight="1">
      <c r="A113" s="1266" t="s">
        <v>253</v>
      </c>
      <c r="B113" s="1267"/>
      <c r="C113" s="1268"/>
      <c r="D113" s="146" t="s">
        <v>183</v>
      </c>
      <c r="E113" s="95">
        <f>'23'!F113</f>
        <v>26763</v>
      </c>
      <c r="F113" s="237">
        <v>26901</v>
      </c>
      <c r="G113" s="112">
        <f t="shared" si="9"/>
        <v>138</v>
      </c>
      <c r="H113" s="99">
        <f>G113+'23'!H113</f>
        <v>3380</v>
      </c>
      <c r="I113" s="165"/>
      <c r="J113" s="328">
        <f>H113/DAY(B2)</f>
        <v>140.83333333333334</v>
      </c>
    </row>
    <row r="114" spans="1:18" ht="29.25" customHeight="1">
      <c r="A114" s="1266" t="s">
        <v>254</v>
      </c>
      <c r="B114" s="1267"/>
      <c r="C114" s="1268"/>
      <c r="D114" s="146" t="s">
        <v>183</v>
      </c>
      <c r="E114" s="95">
        <f>'23'!F114</f>
        <v>39880</v>
      </c>
      <c r="F114" s="237">
        <v>40086</v>
      </c>
      <c r="G114" s="112">
        <f t="shared" si="9"/>
        <v>206</v>
      </c>
      <c r="H114" s="99">
        <f>G114+'23'!H114</f>
        <v>5311</v>
      </c>
      <c r="I114" s="165"/>
      <c r="J114" s="328">
        <f>H114/DAY(B2)</f>
        <v>221.29166666666666</v>
      </c>
    </row>
    <row r="115" spans="1:18" ht="29.25" customHeight="1">
      <c r="A115" s="1266" t="s">
        <v>255</v>
      </c>
      <c r="B115" s="1267"/>
      <c r="C115" s="1268"/>
      <c r="D115" s="146" t="s">
        <v>183</v>
      </c>
      <c r="E115" s="95">
        <f>'23'!F115</f>
        <v>25169</v>
      </c>
      <c r="F115" s="237">
        <v>25295</v>
      </c>
      <c r="G115" s="112">
        <f t="shared" si="9"/>
        <v>126</v>
      </c>
      <c r="H115" s="99">
        <f>G115+'23'!H115</f>
        <v>3242</v>
      </c>
      <c r="I115" s="165"/>
      <c r="J115" s="328">
        <f>H115/DAY(B2)</f>
        <v>135.08333333333334</v>
      </c>
    </row>
    <row r="116" spans="1:18" ht="29.25" customHeight="1">
      <c r="A116" s="1275" t="s">
        <v>96</v>
      </c>
      <c r="B116" s="1276"/>
      <c r="C116" s="1277"/>
      <c r="D116" s="146" t="s">
        <v>183</v>
      </c>
      <c r="E116" s="95">
        <f>'23'!F116</f>
        <v>107118</v>
      </c>
      <c r="F116" s="400">
        <v>107691</v>
      </c>
      <c r="G116" s="112">
        <f t="shared" si="9"/>
        <v>573</v>
      </c>
      <c r="H116" s="99">
        <f>G116+'23'!H116</f>
        <v>10556</v>
      </c>
      <c r="I116" s="165"/>
      <c r="J116" s="328">
        <f>H116/DAY(B2)</f>
        <v>439.83333333333331</v>
      </c>
      <c r="Q116" s="1266"/>
      <c r="R116" s="1268"/>
    </row>
    <row r="117" spans="1:18" ht="29.25" customHeight="1">
      <c r="A117" s="1275" t="s">
        <v>184</v>
      </c>
      <c r="B117" s="1276"/>
      <c r="C117" s="1277"/>
      <c r="D117" s="146" t="s">
        <v>183</v>
      </c>
      <c r="E117" s="95">
        <f>'23'!F117</f>
        <v>63790</v>
      </c>
      <c r="F117" s="237">
        <v>64099</v>
      </c>
      <c r="G117" s="112">
        <f t="shared" si="9"/>
        <v>309</v>
      </c>
      <c r="H117" s="99">
        <f>G117+'23'!H117</f>
        <v>7594</v>
      </c>
      <c r="I117" s="165"/>
      <c r="J117" s="328">
        <f>H117/DAY(B2)</f>
        <v>316.41666666666669</v>
      </c>
      <c r="Q117" s="1266"/>
      <c r="R117" s="1268"/>
    </row>
    <row r="118" spans="1:18" ht="25.5">
      <c r="A118" s="1269" t="s">
        <v>97</v>
      </c>
      <c r="B118" s="1269"/>
      <c r="C118" s="1269"/>
      <c r="D118" s="151" t="s">
        <v>183</v>
      </c>
      <c r="E118" s="95">
        <f>'23'!F118</f>
        <v>115571</v>
      </c>
      <c r="F118" s="237">
        <v>116107</v>
      </c>
      <c r="G118" s="112">
        <f t="shared" si="9"/>
        <v>536</v>
      </c>
      <c r="H118" s="99">
        <f>G118+'23'!H118</f>
        <v>14353</v>
      </c>
      <c r="I118" s="165"/>
      <c r="J118" s="328">
        <f>H118/DAY(B2)</f>
        <v>598.04166666666663</v>
      </c>
      <c r="Q118" s="1266"/>
      <c r="R118" s="1268"/>
    </row>
    <row r="119" spans="1:18" ht="25.5">
      <c r="A119" s="1269" t="s">
        <v>98</v>
      </c>
      <c r="B119" s="1269"/>
      <c r="C119" s="1269"/>
      <c r="D119" s="151" t="s">
        <v>183</v>
      </c>
      <c r="E119" s="95">
        <v>42463</v>
      </c>
      <c r="F119" s="237">
        <v>42873</v>
      </c>
      <c r="G119" s="112">
        <f t="shared" si="9"/>
        <v>410</v>
      </c>
      <c r="H119" s="99">
        <f>G119+'23'!H119</f>
        <v>692</v>
      </c>
      <c r="I119" s="165"/>
      <c r="J119" s="328">
        <f>H119/DAY(B2)</f>
        <v>28.833333333333332</v>
      </c>
    </row>
    <row r="120" spans="1:18" ht="25.5">
      <c r="A120" s="1269" t="s">
        <v>99</v>
      </c>
      <c r="B120" s="1269"/>
      <c r="C120" s="1269"/>
      <c r="D120" s="151" t="s">
        <v>183</v>
      </c>
      <c r="E120" s="95">
        <f>'23'!F120</f>
        <v>80595</v>
      </c>
      <c r="F120" s="237">
        <v>80965</v>
      </c>
      <c r="G120" s="112">
        <f t="shared" si="9"/>
        <v>370</v>
      </c>
      <c r="H120" s="99">
        <f>G120+'23'!H120</f>
        <v>9633</v>
      </c>
      <c r="I120" s="165"/>
      <c r="J120" s="328">
        <f>H120/DAY(B2)</f>
        <v>401.375</v>
      </c>
    </row>
    <row r="121" spans="1:18" ht="25.5">
      <c r="A121" s="1269" t="s">
        <v>100</v>
      </c>
      <c r="B121" s="1269"/>
      <c r="C121" s="1269"/>
      <c r="D121" s="151" t="s">
        <v>183</v>
      </c>
      <c r="E121" s="95">
        <f>'23'!F121</f>
        <v>91520</v>
      </c>
      <c r="F121" s="237">
        <v>91908</v>
      </c>
      <c r="G121" s="112">
        <f t="shared" si="9"/>
        <v>388</v>
      </c>
      <c r="H121" s="99">
        <f>G121+'23'!H121</f>
        <v>10552</v>
      </c>
      <c r="I121" s="165"/>
      <c r="J121" s="328">
        <f>H121/DAY(B2)</f>
        <v>439.66666666666669</v>
      </c>
    </row>
    <row r="122" spans="1:18" ht="25.5">
      <c r="A122" s="1269" t="s">
        <v>101</v>
      </c>
      <c r="B122" s="1269"/>
      <c r="C122" s="1269"/>
      <c r="D122" s="151" t="s">
        <v>183</v>
      </c>
      <c r="E122" s="95">
        <f>'23'!F122</f>
        <v>57834</v>
      </c>
      <c r="F122" s="237">
        <v>58185</v>
      </c>
      <c r="G122" s="112">
        <f t="shared" si="9"/>
        <v>351</v>
      </c>
      <c r="H122" s="99">
        <f>G122+'23'!H122</f>
        <v>9054</v>
      </c>
      <c r="I122" s="165"/>
      <c r="J122" s="328">
        <f>H122/DAY(B2)</f>
        <v>377.25</v>
      </c>
    </row>
    <row r="123" spans="1:18" ht="25.5">
      <c r="A123" s="1269" t="s">
        <v>102</v>
      </c>
      <c r="B123" s="1269"/>
      <c r="C123" s="1269"/>
      <c r="D123" s="151" t="s">
        <v>183</v>
      </c>
      <c r="E123" s="95">
        <f>'23'!F123</f>
        <v>56741</v>
      </c>
      <c r="F123" s="237">
        <v>57036</v>
      </c>
      <c r="G123" s="112">
        <f t="shared" si="9"/>
        <v>295</v>
      </c>
      <c r="H123" s="99">
        <f>G123+'23'!H123</f>
        <v>7287</v>
      </c>
      <c r="I123" s="165"/>
      <c r="J123" s="328">
        <f>H123/DAY(B2)</f>
        <v>303.625</v>
      </c>
    </row>
    <row r="124" spans="1:18" ht="29.25" customHeight="1">
      <c r="A124" s="1270"/>
      <c r="B124" s="1271"/>
      <c r="C124" s="1272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5.5">
      <c r="A125" s="1261" t="s">
        <v>196</v>
      </c>
      <c r="B125" s="1262"/>
      <c r="C125" s="245"/>
      <c r="D125" s="307"/>
      <c r="E125" s="308"/>
      <c r="F125" s="308"/>
      <c r="G125" s="309">
        <f>SUM(G112:G124)</f>
        <v>3766</v>
      </c>
      <c r="H125" s="156"/>
      <c r="I125" s="327">
        <f>G125-(G39+G53)</f>
        <v>-295.18999999994412</v>
      </c>
      <c r="J125" s="327"/>
    </row>
    <row r="126" spans="1:18" ht="25.5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5.5">
      <c r="A127" s="1274"/>
      <c r="B127" s="1274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1266" t="s">
        <v>318</v>
      </c>
      <c r="B128" s="1267"/>
      <c r="C128" s="1268"/>
      <c r="D128" s="151" t="s">
        <v>183</v>
      </c>
      <c r="E128" s="95">
        <f>'23'!F128</f>
        <v>164275</v>
      </c>
      <c r="F128" s="165">
        <v>164619</v>
      </c>
      <c r="G128" s="112">
        <f t="shared" ref="G128:G134" si="10">F128-E128</f>
        <v>344</v>
      </c>
      <c r="H128" s="99">
        <f>G128+'23'!H128</f>
        <v>9804</v>
      </c>
      <c r="I128" s="165"/>
      <c r="J128" s="328">
        <f>H128/DAY(B2)</f>
        <v>408.5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'23'!F129</f>
        <v>88343</v>
      </c>
      <c r="F129" s="165">
        <v>88553</v>
      </c>
      <c r="G129" s="112">
        <f t="shared" si="10"/>
        <v>210</v>
      </c>
      <c r="H129" s="99">
        <f>G129+'23'!H129</f>
        <v>4617</v>
      </c>
      <c r="I129" s="165"/>
      <c r="J129" s="328">
        <f>H129/DAY(B2)</f>
        <v>192.375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'23'!F130</f>
        <v>221603</v>
      </c>
      <c r="F130" s="165">
        <v>222270</v>
      </c>
      <c r="G130" s="112">
        <f t="shared" si="10"/>
        <v>667</v>
      </c>
      <c r="H130" s="99">
        <f>G130+'23'!H130</f>
        <v>15511</v>
      </c>
      <c r="I130" s="165"/>
      <c r="J130" s="328">
        <f>H130/DAY(B2)</f>
        <v>646.29166666666663</v>
      </c>
      <c r="N130" s="240"/>
      <c r="O130" s="241"/>
    </row>
    <row r="131" spans="1:15" ht="25.5">
      <c r="A131" s="1266" t="s">
        <v>321</v>
      </c>
      <c r="B131" s="1267"/>
      <c r="C131" s="1268"/>
      <c r="D131" s="151" t="s">
        <v>183</v>
      </c>
      <c r="E131" s="95">
        <f>'23'!F131</f>
        <v>64760</v>
      </c>
      <c r="F131" s="165">
        <v>64932</v>
      </c>
      <c r="G131" s="112">
        <f t="shared" si="10"/>
        <v>172</v>
      </c>
      <c r="H131" s="99">
        <f>G131+'23'!H131</f>
        <v>4624</v>
      </c>
      <c r="I131" s="165"/>
      <c r="J131" s="328">
        <f>H131/DAY(B2)</f>
        <v>192.66666666666666</v>
      </c>
      <c r="N131" s="240"/>
      <c r="O131" s="241"/>
    </row>
    <row r="132" spans="1:15" ht="25.5">
      <c r="A132" s="1266" t="s">
        <v>322</v>
      </c>
      <c r="B132" s="1267"/>
      <c r="C132" s="1268"/>
      <c r="D132" s="151" t="s">
        <v>183</v>
      </c>
      <c r="E132" s="95">
        <f>'23'!F132</f>
        <v>146985</v>
      </c>
      <c r="F132" s="165">
        <v>146985</v>
      </c>
      <c r="G132" s="112">
        <f t="shared" si="10"/>
        <v>0</v>
      </c>
      <c r="H132" s="99">
        <f>G132+'23'!H132</f>
        <v>0</v>
      </c>
      <c r="I132" s="165"/>
      <c r="J132" s="328">
        <f>H132/DAY(B2)</f>
        <v>0</v>
      </c>
    </row>
    <row r="133" spans="1:15" ht="25.5">
      <c r="A133" s="1266" t="s">
        <v>357</v>
      </c>
      <c r="B133" s="1267"/>
      <c r="C133" s="1268"/>
      <c r="D133" s="151" t="s">
        <v>183</v>
      </c>
      <c r="E133" s="95">
        <f>'23'!F133</f>
        <v>285871</v>
      </c>
      <c r="F133" s="165">
        <v>286614</v>
      </c>
      <c r="G133" s="112">
        <f t="shared" si="10"/>
        <v>743</v>
      </c>
      <c r="H133" s="99">
        <f>G133+'23'!H133</f>
        <v>20669</v>
      </c>
      <c r="I133" s="165"/>
      <c r="J133" s="328">
        <f>H133/DAY(B2)</f>
        <v>861.20833333333337</v>
      </c>
    </row>
    <row r="134" spans="1:15" ht="25.5">
      <c r="A134" s="1266" t="s">
        <v>340</v>
      </c>
      <c r="B134" s="1267"/>
      <c r="C134" s="1268"/>
      <c r="D134" s="151" t="s">
        <v>183</v>
      </c>
      <c r="E134" s="95">
        <f>'23'!F134</f>
        <v>69476</v>
      </c>
      <c r="F134" s="158">
        <v>69731</v>
      </c>
      <c r="G134" s="112">
        <f t="shared" si="10"/>
        <v>255</v>
      </c>
      <c r="H134" s="99">
        <f>G134+'23'!H134</f>
        <v>6069</v>
      </c>
      <c r="I134" s="165"/>
      <c r="J134" s="328">
        <f>H134/DAY(B2)</f>
        <v>252.875</v>
      </c>
    </row>
    <row r="135" spans="1:15" ht="25.5">
      <c r="A135" s="1261" t="s">
        <v>196</v>
      </c>
      <c r="B135" s="1262"/>
      <c r="C135" s="331"/>
      <c r="D135" s="151"/>
      <c r="E135" s="95"/>
      <c r="F135" s="165"/>
      <c r="G135" s="112">
        <f>SUM(G128:G134)</f>
        <v>2391</v>
      </c>
      <c r="H135" s="99">
        <f>G135+'23'!H135</f>
        <v>30355.390000000021</v>
      </c>
      <c r="I135" s="327">
        <f>G135-(G35+G49)</f>
        <v>-1043</v>
      </c>
      <c r="J135" s="328"/>
    </row>
    <row r="136" spans="1:15" ht="27.75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9" t="s">
        <v>185</v>
      </c>
      <c r="B138" s="1269"/>
      <c r="C138" s="1269"/>
      <c r="D138" s="151" t="s">
        <v>183</v>
      </c>
      <c r="E138" s="95">
        <f>'23'!F138</f>
        <v>901756</v>
      </c>
      <c r="F138" s="147">
        <v>901929</v>
      </c>
      <c r="G138" s="112">
        <f t="shared" ref="G138:G152" si="11">F138-E138</f>
        <v>173</v>
      </c>
      <c r="H138" s="99">
        <f>G138+'23'!H138</f>
        <v>3724</v>
      </c>
      <c r="I138" s="118"/>
      <c r="J138" s="328">
        <f>H138/DAY(B2)</f>
        <v>155.16666666666666</v>
      </c>
    </row>
    <row r="139" spans="1:15" ht="25.5">
      <c r="A139" s="1269" t="s">
        <v>186</v>
      </c>
      <c r="B139" s="1269"/>
      <c r="C139" s="1269"/>
      <c r="D139" s="151" t="s">
        <v>183</v>
      </c>
      <c r="E139" s="95">
        <f>'23'!F139</f>
        <v>921626</v>
      </c>
      <c r="F139" s="148">
        <v>921750</v>
      </c>
      <c r="G139" s="112">
        <f t="shared" si="11"/>
        <v>124</v>
      </c>
      <c r="H139" s="99">
        <f>G139+'23'!H139</f>
        <v>3546</v>
      </c>
      <c r="I139" s="118"/>
      <c r="J139" s="328">
        <f>H139/DAY(B2)</f>
        <v>147.75</v>
      </c>
    </row>
    <row r="140" spans="1:15" ht="25.5">
      <c r="A140" s="1269" t="s">
        <v>187</v>
      </c>
      <c r="B140" s="1269"/>
      <c r="C140" s="1269"/>
      <c r="D140" s="151" t="s">
        <v>183</v>
      </c>
      <c r="E140" s="95">
        <f>'23'!F140</f>
        <v>2608</v>
      </c>
      <c r="F140" s="149">
        <v>2618</v>
      </c>
      <c r="G140" s="112">
        <f t="shared" si="11"/>
        <v>10</v>
      </c>
      <c r="H140" s="99">
        <f>G140+'23'!H140</f>
        <v>275</v>
      </c>
      <c r="I140" s="118"/>
      <c r="J140" s="328">
        <f>H140/DAY(B2)</f>
        <v>11.458333333333334</v>
      </c>
    </row>
    <row r="141" spans="1:15" ht="25.5">
      <c r="A141" s="1256" t="s">
        <v>188</v>
      </c>
      <c r="B141" s="1256"/>
      <c r="C141" s="1256"/>
      <c r="D141" s="151" t="s">
        <v>183</v>
      </c>
      <c r="E141" s="95">
        <f>'23'!F141</f>
        <v>108934</v>
      </c>
      <c r="F141" s="149">
        <v>109152</v>
      </c>
      <c r="G141" s="112">
        <f t="shared" si="11"/>
        <v>218</v>
      </c>
      <c r="H141" s="99">
        <f>G141+'23'!H141</f>
        <v>5378</v>
      </c>
      <c r="I141" s="118"/>
      <c r="J141" s="328">
        <f>H141/DAY(B2)</f>
        <v>224.08333333333334</v>
      </c>
    </row>
    <row r="142" spans="1:15" ht="25.5">
      <c r="A142" s="1256" t="s">
        <v>189</v>
      </c>
      <c r="B142" s="1256"/>
      <c r="C142" s="1256"/>
      <c r="D142" s="151" t="s">
        <v>183</v>
      </c>
      <c r="E142" s="95">
        <f>'23'!F142</f>
        <v>43968</v>
      </c>
      <c r="F142" s="148">
        <v>44056</v>
      </c>
      <c r="G142" s="112">
        <f t="shared" si="11"/>
        <v>88</v>
      </c>
      <c r="H142" s="99">
        <f>G142+'23'!H142</f>
        <v>2241</v>
      </c>
      <c r="I142" s="140"/>
      <c r="J142" s="328">
        <f>H142/DAY(B2)</f>
        <v>93.375</v>
      </c>
    </row>
    <row r="143" spans="1:15" ht="25.5">
      <c r="A143" s="1269" t="s">
        <v>91</v>
      </c>
      <c r="B143" s="1269"/>
      <c r="C143" s="1269"/>
      <c r="D143" s="151" t="s">
        <v>183</v>
      </c>
      <c r="E143" s="95">
        <f>'23'!F143</f>
        <v>11323</v>
      </c>
      <c r="F143" s="149">
        <v>11346</v>
      </c>
      <c r="G143" s="112">
        <f t="shared" si="11"/>
        <v>23</v>
      </c>
      <c r="H143" s="99">
        <f>G143+'23'!H143</f>
        <v>669</v>
      </c>
      <c r="I143" s="140"/>
      <c r="J143" s="328">
        <f>H143/DAY(B2)</f>
        <v>27.875</v>
      </c>
    </row>
    <row r="144" spans="1:15" ht="25.5">
      <c r="A144" s="1256" t="s">
        <v>90</v>
      </c>
      <c r="B144" s="1256"/>
      <c r="C144" s="1256"/>
      <c r="D144" s="151" t="s">
        <v>183</v>
      </c>
      <c r="E144" s="95">
        <f>'23'!F144</f>
        <v>939043</v>
      </c>
      <c r="F144" s="149">
        <v>939298</v>
      </c>
      <c r="G144" s="112">
        <f t="shared" si="11"/>
        <v>255</v>
      </c>
      <c r="H144" s="99">
        <f>G144+'23'!H144</f>
        <v>5777</v>
      </c>
      <c r="I144" s="140"/>
      <c r="J144" s="328">
        <f>H144/DAY(B2)</f>
        <v>240.70833333333334</v>
      </c>
    </row>
    <row r="145" spans="1:10" ht="25.5">
      <c r="A145" s="1269" t="s">
        <v>190</v>
      </c>
      <c r="B145" s="1269"/>
      <c r="C145" s="1269"/>
      <c r="D145" s="152" t="s">
        <v>183</v>
      </c>
      <c r="E145" s="95">
        <f>'23'!F145</f>
        <v>17767</v>
      </c>
      <c r="F145" s="149">
        <v>17896</v>
      </c>
      <c r="G145" s="112">
        <f t="shared" si="11"/>
        <v>129</v>
      </c>
      <c r="H145" s="99">
        <f>G145+'23'!H145</f>
        <v>4756</v>
      </c>
      <c r="I145" s="140"/>
      <c r="J145" s="328">
        <f>H145/DAY(B2)</f>
        <v>198.16666666666666</v>
      </c>
    </row>
    <row r="146" spans="1:10" ht="25.5">
      <c r="A146" s="1332" t="s">
        <v>191</v>
      </c>
      <c r="B146" s="1289"/>
      <c r="C146" s="1290"/>
      <c r="D146" s="152" t="s">
        <v>183</v>
      </c>
      <c r="E146" s="95">
        <f>'23'!F146</f>
        <v>785375</v>
      </c>
      <c r="F146" s="148">
        <v>785416</v>
      </c>
      <c r="G146" s="112">
        <f t="shared" si="11"/>
        <v>41</v>
      </c>
      <c r="H146" s="99">
        <f>G146+'23'!H146</f>
        <v>1077</v>
      </c>
      <c r="I146" s="140"/>
      <c r="J146" s="328">
        <f>H146/DAY(B2)</f>
        <v>44.875</v>
      </c>
    </row>
    <row r="147" spans="1:10" ht="25.5">
      <c r="A147" s="1256" t="s">
        <v>192</v>
      </c>
      <c r="B147" s="1256"/>
      <c r="C147" s="1256"/>
      <c r="D147" s="152" t="s">
        <v>183</v>
      </c>
      <c r="E147" s="95">
        <f>'23'!F147</f>
        <v>732658</v>
      </c>
      <c r="F147" s="148">
        <v>733055</v>
      </c>
      <c r="G147" s="112">
        <f t="shared" si="11"/>
        <v>397</v>
      </c>
      <c r="H147" s="99">
        <f>G147+'23'!H147</f>
        <v>9533</v>
      </c>
      <c r="I147" s="140"/>
      <c r="J147" s="328">
        <f>H147/DAY(B2)</f>
        <v>397.20833333333331</v>
      </c>
    </row>
    <row r="148" spans="1:10" ht="25.5">
      <c r="A148" s="1257" t="s">
        <v>193</v>
      </c>
      <c r="B148" s="1258"/>
      <c r="C148" s="1259"/>
      <c r="D148" s="123" t="s">
        <v>130</v>
      </c>
      <c r="E148" s="95">
        <f>'23'!F148</f>
        <v>773514</v>
      </c>
      <c r="F148" s="150">
        <v>773732</v>
      </c>
      <c r="G148" s="112">
        <f t="shared" si="11"/>
        <v>218</v>
      </c>
      <c r="H148" s="99">
        <f>G148+'23'!H148</f>
        <v>7122</v>
      </c>
      <c r="I148" s="124"/>
      <c r="J148" s="328">
        <f>H148/DAY(B2)</f>
        <v>296.75</v>
      </c>
    </row>
    <row r="149" spans="1:10" ht="25.5">
      <c r="A149" s="1257" t="s">
        <v>336</v>
      </c>
      <c r="B149" s="1258"/>
      <c r="C149" s="1259"/>
      <c r="D149" s="227" t="s">
        <v>130</v>
      </c>
      <c r="E149" s="95">
        <f>'23'!F149</f>
        <v>168149</v>
      </c>
      <c r="F149" s="146">
        <v>168468</v>
      </c>
      <c r="G149" s="112">
        <f t="shared" si="11"/>
        <v>319</v>
      </c>
      <c r="H149" s="99">
        <f>G149+'23'!H149</f>
        <v>10501</v>
      </c>
      <c r="I149" s="119"/>
      <c r="J149" s="328">
        <f>H149/DAY(B2)</f>
        <v>437.54166666666669</v>
      </c>
    </row>
    <row r="150" spans="1:10" ht="25.5">
      <c r="A150" s="1257" t="s">
        <v>337</v>
      </c>
      <c r="B150" s="1258"/>
      <c r="C150" s="1259"/>
      <c r="D150" s="117" t="s">
        <v>130</v>
      </c>
      <c r="E150" s="95">
        <f>'23'!F150</f>
        <v>69063</v>
      </c>
      <c r="F150" s="233">
        <v>69273</v>
      </c>
      <c r="G150" s="112">
        <f t="shared" si="11"/>
        <v>210</v>
      </c>
      <c r="H150" s="99">
        <f>G150+'23'!H150</f>
        <v>5295</v>
      </c>
      <c r="I150" s="119"/>
      <c r="J150" s="328">
        <f>H150/DAY(B2)</f>
        <v>220.625</v>
      </c>
    </row>
    <row r="151" spans="1:10" ht="25.5">
      <c r="A151" s="1257" t="s">
        <v>338</v>
      </c>
      <c r="B151" s="1258"/>
      <c r="C151" s="1259"/>
      <c r="D151" s="117" t="s">
        <v>130</v>
      </c>
      <c r="E151" s="95">
        <f>'23'!F151</f>
        <v>150911</v>
      </c>
      <c r="F151" s="233">
        <v>150937</v>
      </c>
      <c r="G151" s="112">
        <f t="shared" si="11"/>
        <v>26</v>
      </c>
      <c r="H151" s="99">
        <f>G151+'23'!H151</f>
        <v>1149</v>
      </c>
      <c r="I151" s="119"/>
      <c r="J151" s="328">
        <f>H151/DAY(B2)</f>
        <v>47.875</v>
      </c>
    </row>
    <row r="152" spans="1:10" ht="25.5">
      <c r="A152" s="1257" t="s">
        <v>339</v>
      </c>
      <c r="B152" s="1258"/>
      <c r="C152" s="1259"/>
      <c r="D152" s="117" t="s">
        <v>130</v>
      </c>
      <c r="E152" s="95">
        <f>'23'!F152</f>
        <v>33559</v>
      </c>
      <c r="F152" s="233">
        <v>33686</v>
      </c>
      <c r="G152" s="112">
        <f t="shared" si="11"/>
        <v>127</v>
      </c>
      <c r="H152" s="99">
        <f>G152+'23'!H152</f>
        <v>3072</v>
      </c>
      <c r="I152" s="119"/>
      <c r="J152" s="328">
        <f>H152/DAY(B2)</f>
        <v>128</v>
      </c>
    </row>
    <row r="153" spans="1:10" ht="25.5">
      <c r="A153" s="1261" t="s">
        <v>196</v>
      </c>
      <c r="B153" s="1262"/>
      <c r="C153" s="362"/>
      <c r="D153" s="355"/>
      <c r="E153" s="357"/>
      <c r="F153" s="358"/>
      <c r="G153" s="359">
        <f>SUM(G138:G152)</f>
        <v>2358</v>
      </c>
      <c r="H153" s="360"/>
      <c r="I153" s="119">
        <f>G153-(G38+G52)</f>
        <v>321</v>
      </c>
      <c r="J153" s="363"/>
    </row>
    <row r="154" spans="1:10" ht="27.75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0" ht="27.75">
      <c r="A155" s="1256" t="s">
        <v>345</v>
      </c>
      <c r="B155" s="1256"/>
      <c r="C155" s="1256"/>
      <c r="D155" s="117" t="s">
        <v>130</v>
      </c>
      <c r="E155" s="95">
        <f>'23'!F155</f>
        <v>198085</v>
      </c>
      <c r="F155" s="619">
        <v>198456</v>
      </c>
      <c r="G155" s="112">
        <f t="shared" ref="G155:G158" si="12">F155-E155</f>
        <v>371</v>
      </c>
      <c r="H155" s="99">
        <f>G155+'23'!H155</f>
        <v>12715</v>
      </c>
      <c r="I155" s="361"/>
      <c r="J155" s="328">
        <f>H155/DAY(B2)</f>
        <v>529.79166666666663</v>
      </c>
    </row>
    <row r="156" spans="1:10" ht="25.5">
      <c r="A156" s="1256" t="s">
        <v>347</v>
      </c>
      <c r="B156" s="1256"/>
      <c r="C156" s="1256"/>
      <c r="D156" s="117" t="s">
        <v>130</v>
      </c>
      <c r="E156" s="95">
        <f>'23'!F156</f>
        <v>22939</v>
      </c>
      <c r="F156" s="155">
        <v>23034</v>
      </c>
      <c r="G156" s="112">
        <f t="shared" si="12"/>
        <v>95</v>
      </c>
      <c r="H156" s="99">
        <f>G156+'23'!H156</f>
        <v>8236</v>
      </c>
      <c r="I156" s="165"/>
      <c r="J156" s="328">
        <f>H156/DAY(B2)</f>
        <v>343.16666666666669</v>
      </c>
    </row>
    <row r="157" spans="1:10" ht="25.5">
      <c r="A157" s="1257" t="s">
        <v>358</v>
      </c>
      <c r="B157" s="1258"/>
      <c r="C157" s="1259"/>
      <c r="D157" s="117" t="s">
        <v>130</v>
      </c>
      <c r="E157" s="95">
        <f>'23'!F157</f>
        <v>37559</v>
      </c>
      <c r="F157" s="155">
        <v>37559</v>
      </c>
      <c r="G157" s="112">
        <f t="shared" si="12"/>
        <v>0</v>
      </c>
      <c r="H157" s="99">
        <f>G157+'23'!H157</f>
        <v>0.45999999999912689</v>
      </c>
      <c r="I157" s="165"/>
      <c r="J157" s="328"/>
    </row>
    <row r="158" spans="1:10" ht="25.5">
      <c r="A158" s="1257" t="s">
        <v>359</v>
      </c>
      <c r="B158" s="1258"/>
      <c r="C158" s="1259"/>
      <c r="D158" s="117" t="s">
        <v>130</v>
      </c>
      <c r="E158" s="95">
        <f>'23'!F158</f>
        <v>1026</v>
      </c>
      <c r="F158" s="155">
        <v>1049</v>
      </c>
      <c r="G158" s="112">
        <f t="shared" si="12"/>
        <v>23</v>
      </c>
      <c r="H158" s="99">
        <f>G158+'23'!H158</f>
        <v>110</v>
      </c>
      <c r="I158" s="165"/>
      <c r="J158" s="328"/>
    </row>
    <row r="159" spans="1:10" ht="25.5">
      <c r="A159" s="1263"/>
      <c r="B159" s="1264"/>
      <c r="C159" s="1265"/>
      <c r="D159" s="117"/>
      <c r="E159" s="95"/>
      <c r="F159" s="165"/>
      <c r="G159" s="112"/>
      <c r="H159" s="99"/>
      <c r="I159" s="165"/>
      <c r="J159" s="328"/>
    </row>
    <row r="160" spans="1:10" ht="27.75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26.25">
      <c r="A161" s="242" t="s">
        <v>92</v>
      </c>
      <c r="B161" s="243"/>
      <c r="C161" s="243"/>
      <c r="D161" s="244" t="s">
        <v>180</v>
      </c>
      <c r="E161" s="95">
        <f>'23'!F161</f>
        <v>494901</v>
      </c>
      <c r="F161" s="235">
        <v>495188</v>
      </c>
      <c r="G161" s="238">
        <f t="shared" ref="G161:G165" si="13">F161-E161</f>
        <v>287</v>
      </c>
      <c r="H161" s="99">
        <f>G161+'23'!H161</f>
        <v>1910.960000000021</v>
      </c>
      <c r="I161" s="236"/>
      <c r="J161" s="239">
        <f>H161/DAY(B2)</f>
        <v>79.623333333334202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'23'!F162</f>
        <v>98145</v>
      </c>
      <c r="F162" s="235">
        <v>98169</v>
      </c>
      <c r="G162" s="238">
        <f t="shared" si="13"/>
        <v>24</v>
      </c>
      <c r="H162" s="99">
        <f>G162+'23'!H162</f>
        <v>881</v>
      </c>
      <c r="I162" s="236"/>
      <c r="J162" s="239">
        <f>H162/DAY(B2)</f>
        <v>36.708333333333336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'23'!F163</f>
        <v>16931</v>
      </c>
      <c r="F163" s="235">
        <v>17023</v>
      </c>
      <c r="G163" s="238">
        <f t="shared" si="13"/>
        <v>92</v>
      </c>
      <c r="H163" s="99">
        <f>G163+'23'!H163</f>
        <v>2859</v>
      </c>
      <c r="I163" s="236"/>
      <c r="J163" s="239">
        <f>H163/DAY(B2)</f>
        <v>119.125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'23'!F164</f>
        <v>6778</v>
      </c>
      <c r="F164" s="235">
        <v>6779</v>
      </c>
      <c r="G164" s="238">
        <f t="shared" si="13"/>
        <v>1</v>
      </c>
      <c r="H164" s="99">
        <f>G164+'23'!H164</f>
        <v>167</v>
      </c>
      <c r="I164" s="236"/>
      <c r="J164" s="239">
        <f>H164/DAY(B2)</f>
        <v>6.958333333333333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'23'!F165</f>
        <v>32298</v>
      </c>
      <c r="F165" s="235">
        <v>32301</v>
      </c>
      <c r="G165" s="238">
        <f t="shared" si="13"/>
        <v>3</v>
      </c>
      <c r="H165" s="99">
        <f>G165+'23'!H165</f>
        <v>160</v>
      </c>
      <c r="I165" s="236"/>
      <c r="J165" s="239">
        <f>H165/DAY(B2)</f>
        <v>6.666666666666667</v>
      </c>
    </row>
    <row r="166" spans="1:10" ht="26.25">
      <c r="A166" s="1274"/>
      <c r="B166" s="1274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6.25">
      <c r="A167" s="1274"/>
      <c r="B167" s="1274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6.25">
      <c r="A168" s="1274"/>
      <c r="B168" s="1274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1.75" customHeight="1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1254" t="s">
        <v>209</v>
      </c>
      <c r="B173" s="1255"/>
      <c r="C173" s="333"/>
      <c r="D173" s="228" t="s">
        <v>142</v>
      </c>
      <c r="E173" s="95">
        <f>'23'!F173</f>
        <v>8229</v>
      </c>
      <c r="F173" s="155">
        <v>8229</v>
      </c>
      <c r="G173" s="155">
        <f>F173-E173</f>
        <v>0</v>
      </c>
      <c r="H173" s="99">
        <f>G173+'23'!H173</f>
        <v>39</v>
      </c>
      <c r="I173" s="155"/>
      <c r="J173" s="178">
        <f>H173/DAY(B2)</f>
        <v>1.625</v>
      </c>
    </row>
    <row r="174" spans="1:10" ht="27" customHeight="1">
      <c r="A174" s="1254" t="s">
        <v>75</v>
      </c>
      <c r="B174" s="1255"/>
      <c r="C174" s="333"/>
      <c r="D174" s="228" t="s">
        <v>142</v>
      </c>
      <c r="E174" s="95">
        <f>'23'!F174</f>
        <v>42261</v>
      </c>
      <c r="F174" s="157">
        <v>42269</v>
      </c>
      <c r="G174" s="155">
        <f t="shared" ref="G174:G175" si="14">F174-E174</f>
        <v>8</v>
      </c>
      <c r="H174" s="99">
        <f>G174+'23'!H174</f>
        <v>307</v>
      </c>
      <c r="I174" s="155"/>
      <c r="J174" s="178">
        <f>H174/DAY(B2)</f>
        <v>12.791666666666666</v>
      </c>
    </row>
    <row r="175" spans="1:10" ht="27" customHeight="1">
      <c r="A175" s="1254" t="s">
        <v>76</v>
      </c>
      <c r="B175" s="1324"/>
      <c r="C175" s="1255"/>
      <c r="D175" s="228" t="s">
        <v>142</v>
      </c>
      <c r="E175" s="95">
        <f>'23'!F175</f>
        <v>24960</v>
      </c>
      <c r="F175" s="155">
        <v>24968</v>
      </c>
      <c r="G175" s="155">
        <f t="shared" si="14"/>
        <v>8</v>
      </c>
      <c r="H175" s="99">
        <f>G175+'23'!H175</f>
        <v>271</v>
      </c>
      <c r="I175" s="155"/>
      <c r="J175" s="178">
        <f>H175/DAY(B2)</f>
        <v>11.291666666666666</v>
      </c>
    </row>
    <row r="176" spans="1:10" ht="21.75" customHeight="1">
      <c r="A176" s="1261" t="s">
        <v>196</v>
      </c>
      <c r="B176" s="1262"/>
      <c r="C176" s="384"/>
      <c r="D176" s="228" t="s">
        <v>142</v>
      </c>
      <c r="E176" s="95"/>
      <c r="F176" s="155"/>
      <c r="G176" s="155">
        <f>SUM(G173:G175)</f>
        <v>16</v>
      </c>
      <c r="H176" s="99">
        <f>G176+'23'!H176</f>
        <v>617</v>
      </c>
      <c r="I176" s="155"/>
      <c r="J176" s="178">
        <f>H176/DAY(B2)</f>
        <v>25.708333333333332</v>
      </c>
    </row>
    <row r="177" spans="1:10" ht="21.75" customHeight="1">
      <c r="A177" s="1254" t="s">
        <v>77</v>
      </c>
      <c r="B177" s="1255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5.5">
      <c r="A178" s="1254" t="s">
        <v>210</v>
      </c>
      <c r="B178" s="1255"/>
      <c r="C178" s="333"/>
      <c r="D178" s="228" t="s">
        <v>142</v>
      </c>
      <c r="E178" s="95">
        <f>'23'!F178</f>
        <v>102114</v>
      </c>
      <c r="F178" s="155">
        <v>102114</v>
      </c>
      <c r="G178" s="155">
        <f>F178-E178</f>
        <v>0</v>
      </c>
      <c r="H178" s="99">
        <f>G178+'23'!H178</f>
        <v>3</v>
      </c>
      <c r="I178" s="155"/>
      <c r="J178" s="178">
        <f>H178/DAY(B2)</f>
        <v>0.125</v>
      </c>
    </row>
    <row r="179" spans="1:10" ht="24" customHeight="1">
      <c r="A179" s="1254" t="s">
        <v>211</v>
      </c>
      <c r="B179" s="1255"/>
      <c r="C179" s="333"/>
      <c r="D179" s="228" t="s">
        <v>142</v>
      </c>
      <c r="E179" s="95">
        <f>'23'!F179</f>
        <v>37501</v>
      </c>
      <c r="F179" s="155">
        <v>37501</v>
      </c>
      <c r="G179" s="155">
        <f t="shared" ref="G179:G180" si="15">F179-E179</f>
        <v>0</v>
      </c>
      <c r="H179" s="99">
        <f>G179+'23'!H179</f>
        <v>0</v>
      </c>
      <c r="I179" s="155"/>
      <c r="J179" s="178">
        <f>H179/DAY(B2)</f>
        <v>0</v>
      </c>
    </row>
    <row r="180" spans="1:10" ht="25.5">
      <c r="A180" s="1254" t="s">
        <v>212</v>
      </c>
      <c r="B180" s="1255"/>
      <c r="C180" s="333"/>
      <c r="D180" s="228" t="s">
        <v>142</v>
      </c>
      <c r="E180" s="95">
        <v>7226</v>
      </c>
      <c r="F180" s="155">
        <v>7226</v>
      </c>
      <c r="G180" s="155">
        <f t="shared" si="15"/>
        <v>0</v>
      </c>
      <c r="H180" s="99">
        <f>G180+'23'!H180</f>
        <v>0</v>
      </c>
      <c r="I180" s="155"/>
      <c r="J180" s="178">
        <f>H180/DAY(B2)</f>
        <v>0</v>
      </c>
    </row>
    <row r="181" spans="1:10" ht="25.5">
      <c r="A181" s="1325" t="s">
        <v>108</v>
      </c>
      <c r="B181" s="1326"/>
      <c r="C181" s="384"/>
      <c r="D181" s="228" t="s">
        <v>142</v>
      </c>
      <c r="E181" s="95"/>
      <c r="F181" s="155"/>
      <c r="G181" s="155">
        <f>SUM(G178:G180)</f>
        <v>0</v>
      </c>
      <c r="H181" s="99">
        <f>G181+'23'!H181</f>
        <v>3</v>
      </c>
      <c r="I181" s="155"/>
      <c r="J181" s="178">
        <f>H181/DAY(B2)</f>
        <v>0.125</v>
      </c>
    </row>
    <row r="182" spans="1:10" ht="25.5">
      <c r="A182" s="1254" t="s">
        <v>213</v>
      </c>
      <c r="B182" s="1255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5.5">
      <c r="A183" s="1254" t="s">
        <v>214</v>
      </c>
      <c r="B183" s="1255"/>
      <c r="C183" s="334"/>
      <c r="D183" s="228" t="s">
        <v>142</v>
      </c>
      <c r="E183" s="95">
        <f>'23'!F183</f>
        <v>17975</v>
      </c>
      <c r="F183" s="157">
        <v>17977</v>
      </c>
      <c r="G183" s="157">
        <f>F183-E183</f>
        <v>2</v>
      </c>
      <c r="H183" s="99">
        <f>G183+'23'!H183</f>
        <v>129</v>
      </c>
      <c r="I183" s="155"/>
      <c r="J183" s="178">
        <f>H183/DAY(B2)</f>
        <v>5.375</v>
      </c>
    </row>
    <row r="184" spans="1:10" ht="25.5">
      <c r="A184" s="1254" t="s">
        <v>215</v>
      </c>
      <c r="B184" s="1255"/>
      <c r="C184" s="334"/>
      <c r="D184" s="228" t="s">
        <v>142</v>
      </c>
      <c r="E184" s="95">
        <f>'23'!F184</f>
        <v>12519</v>
      </c>
      <c r="F184" s="157">
        <v>12523</v>
      </c>
      <c r="G184" s="157">
        <f t="shared" ref="G184:G185" si="16">F184-E184</f>
        <v>4</v>
      </c>
      <c r="H184" s="99">
        <f>G184+'23'!H184</f>
        <v>174</v>
      </c>
      <c r="I184" s="155"/>
      <c r="J184" s="178">
        <f>H184/DAY(B2)</f>
        <v>7.25</v>
      </c>
    </row>
    <row r="185" spans="1:10" ht="26.25" customHeight="1">
      <c r="A185" s="1254" t="s">
        <v>216</v>
      </c>
      <c r="B185" s="1255"/>
      <c r="C185" s="334"/>
      <c r="D185" s="228" t="s">
        <v>142</v>
      </c>
      <c r="E185" s="95">
        <v>0</v>
      </c>
      <c r="F185" s="157">
        <v>0</v>
      </c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5.5">
      <c r="A186" s="1261" t="s">
        <v>196</v>
      </c>
      <c r="B186" s="1262"/>
      <c r="C186" s="383"/>
      <c r="D186" s="228" t="s">
        <v>142</v>
      </c>
      <c r="E186" s="95"/>
      <c r="F186" s="157"/>
      <c r="G186" s="157">
        <f>SUM(G183:G185)</f>
        <v>6</v>
      </c>
      <c r="H186" s="99">
        <f>G186+'23'!H186</f>
        <v>303</v>
      </c>
      <c r="I186" s="157"/>
      <c r="J186" s="178">
        <f>H186/DAY(B2)</f>
        <v>12.625</v>
      </c>
    </row>
    <row r="187" spans="1:10" ht="25.5">
      <c r="A187" s="1250" t="s">
        <v>217</v>
      </c>
      <c r="B187" s="1251"/>
      <c r="C187" s="333"/>
      <c r="D187" s="230" t="s">
        <v>142</v>
      </c>
      <c r="E187" s="95">
        <f>'23'!F187</f>
        <v>0</v>
      </c>
      <c r="F187" s="159"/>
      <c r="G187" s="367">
        <f>G62+G19</f>
        <v>107</v>
      </c>
      <c r="H187" s="99">
        <f>G187+'23'!H187</f>
        <v>3591</v>
      </c>
      <c r="I187" s="158"/>
      <c r="J187" s="179">
        <f>H187/DAY(B2)</f>
        <v>149.625</v>
      </c>
    </row>
    <row r="188" spans="1:10" ht="25.5">
      <c r="A188" s="1250" t="s">
        <v>218</v>
      </c>
      <c r="B188" s="1251"/>
      <c r="C188" s="333"/>
      <c r="D188" s="230" t="s">
        <v>142</v>
      </c>
      <c r="E188" s="95">
        <f>'23'!F188</f>
        <v>0</v>
      </c>
      <c r="F188" s="159"/>
      <c r="G188" s="367">
        <f>G65+G66+G67+G69+G70</f>
        <v>105</v>
      </c>
      <c r="H188" s="99">
        <f>G188+'23'!H188</f>
        <v>1585</v>
      </c>
      <c r="I188" s="158"/>
      <c r="J188" s="179">
        <f>H188/DAY(B2)</f>
        <v>66.041666666666671</v>
      </c>
    </row>
    <row r="189" spans="1:10" ht="25.5">
      <c r="A189" s="1250" t="s">
        <v>219</v>
      </c>
      <c r="B189" s="1251"/>
      <c r="C189" s="333"/>
      <c r="D189" s="230" t="s">
        <v>142</v>
      </c>
      <c r="E189" s="95">
        <f>'23'!F189</f>
        <v>0</v>
      </c>
      <c r="F189" s="157"/>
      <c r="G189" s="366">
        <f>G181</f>
        <v>0</v>
      </c>
      <c r="H189" s="99">
        <f>G189+'23'!H189</f>
        <v>0</v>
      </c>
      <c r="I189" s="158"/>
      <c r="J189" s="179">
        <f>H189/DAY(B2)</f>
        <v>0</v>
      </c>
    </row>
    <row r="190" spans="1:10" ht="25.5">
      <c r="A190" s="1252"/>
      <c r="B190" s="1253"/>
      <c r="C190" s="382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zoomScale="55" zoomScaleNormal="49" zoomScaleSheetLayoutView="55" workbookViewId="0">
      <selection activeCell="F162" sqref="F162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3.25">
      <c r="A2" s="191" t="s">
        <v>354</v>
      </c>
      <c r="B2" s="262">
        <v>44859</v>
      </c>
      <c r="C2" s="348" t="s">
        <v>67</v>
      </c>
      <c r="D2" s="218">
        <v>0.4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'24'!F7</f>
        <v>472147</v>
      </c>
      <c r="F7" s="95">
        <v>493238</v>
      </c>
      <c r="G7" s="112">
        <f>F7-E7</f>
        <v>21091</v>
      </c>
      <c r="H7" s="99">
        <f>G7+'24'!H7</f>
        <v>611402</v>
      </c>
      <c r="I7" s="113">
        <f>'1'!I7</f>
        <v>12000</v>
      </c>
      <c r="J7" s="175">
        <f>H7/DAY(B2)</f>
        <v>24456.080000000002</v>
      </c>
      <c r="K7" s="172">
        <v>1375467</v>
      </c>
      <c r="L7" s="66"/>
      <c r="N7" s="87">
        <f>G7-G8</f>
        <v>-77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'24'!F8</f>
        <v>646523</v>
      </c>
      <c r="F8" s="95">
        <v>667691</v>
      </c>
      <c r="G8" s="115">
        <f>F8-E8</f>
        <v>21168</v>
      </c>
      <c r="H8" s="99">
        <f>G8+'24'!H8</f>
        <v>618311</v>
      </c>
      <c r="I8" s="116"/>
      <c r="J8" s="175">
        <f>H8/DAY(B2)</f>
        <v>24732.44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'24'!F9</f>
        <v>3879379</v>
      </c>
      <c r="F9" s="447">
        <v>3889166</v>
      </c>
      <c r="G9" s="112">
        <f>F9-E9</f>
        <v>9787</v>
      </c>
      <c r="H9" s="99">
        <f>G9+'24'!H9</f>
        <v>182459</v>
      </c>
      <c r="I9" s="124">
        <f>I7-J7</f>
        <v>-12456.080000000002</v>
      </c>
      <c r="J9" s="175">
        <f>H9/DAY(B2)</f>
        <v>7298.36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'24'!F10</f>
        <v>3144667</v>
      </c>
      <c r="F10" s="353">
        <v>3155395</v>
      </c>
      <c r="G10" s="112">
        <f t="shared" ref="G10:G12" si="0">F10-E10</f>
        <v>10728</v>
      </c>
      <c r="H10" s="99">
        <f>G10+'24'!H10</f>
        <v>412701</v>
      </c>
      <c r="I10" s="282"/>
      <c r="J10" s="175">
        <f>H10/DAY(B2)</f>
        <v>16508.04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'24'!F11</f>
        <v>37560</v>
      </c>
      <c r="F11" s="95">
        <v>37560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'24'!F12</f>
        <v>40380</v>
      </c>
      <c r="F12" s="117">
        <v>40380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20515</v>
      </c>
      <c r="H13" s="99">
        <f>G13+'24'!H13</f>
        <v>596620</v>
      </c>
      <c r="I13" s="120">
        <f>G7-G13</f>
        <v>576</v>
      </c>
      <c r="J13" s="175">
        <f>H13/DAY(B2)</f>
        <v>23864.799999999999</v>
      </c>
      <c r="K13" s="79"/>
      <c r="L13" s="66"/>
      <c r="N13" s="87"/>
      <c r="O13" s="71"/>
    </row>
    <row r="14" spans="1:15" ht="26.25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'24'!F15</f>
        <v>2186078</v>
      </c>
      <c r="F15" s="447">
        <v>2186937</v>
      </c>
      <c r="G15" s="112">
        <f>(F15-E15)</f>
        <v>859</v>
      </c>
      <c r="H15" s="99">
        <f>G15+'24'!H15</f>
        <v>25422</v>
      </c>
      <c r="I15" s="113">
        <f>'1'!I15</f>
        <v>800</v>
      </c>
      <c r="J15" s="175">
        <f>H15/DAY(B2)</f>
        <v>1016.88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-216.88</v>
      </c>
      <c r="J16" s="176"/>
      <c r="K16" s="79"/>
      <c r="L16" s="66"/>
      <c r="N16" s="87"/>
      <c r="O16" s="71"/>
    </row>
    <row r="17" spans="1:15" ht="26.25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81" t="s">
        <v>141</v>
      </c>
      <c r="B18" s="1282"/>
      <c r="C18" s="1283"/>
      <c r="D18" s="151" t="s">
        <v>142</v>
      </c>
      <c r="E18" s="95">
        <f>'24'!F18</f>
        <v>15</v>
      </c>
      <c r="F18" s="122">
        <v>12</v>
      </c>
      <c r="G18" s="119">
        <f>F18*10</f>
        <v>120</v>
      </c>
      <c r="H18" s="99">
        <f>G18+'24'!H18</f>
        <v>6200</v>
      </c>
      <c r="I18" s="113">
        <f>'1'!I18</f>
        <v>65</v>
      </c>
      <c r="J18" s="175">
        <f>H18/DAY(B2)</f>
        <v>248</v>
      </c>
      <c r="K18" s="79"/>
      <c r="L18" s="66"/>
      <c r="N18" s="87"/>
      <c r="O18" s="71"/>
    </row>
    <row r="19" spans="1:15" ht="25.5">
      <c r="A19" s="1281" t="s">
        <v>69</v>
      </c>
      <c r="B19" s="1282"/>
      <c r="C19" s="1283"/>
      <c r="D19" s="151" t="s">
        <v>142</v>
      </c>
      <c r="E19" s="95">
        <f>'24'!F19</f>
        <v>166655</v>
      </c>
      <c r="F19" s="150">
        <v>166708</v>
      </c>
      <c r="G19" s="112">
        <f t="shared" ref="G19" si="1">F19-E19</f>
        <v>53</v>
      </c>
      <c r="H19" s="99">
        <f>G19+'24'!H19</f>
        <v>1265</v>
      </c>
      <c r="I19" s="335"/>
      <c r="J19" s="175">
        <f>H19/DAY(B2)</f>
        <v>50.6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173</v>
      </c>
      <c r="H20" s="99">
        <f>G20+'24'!H20</f>
        <v>7465</v>
      </c>
      <c r="I20" s="336">
        <f>I18-J20</f>
        <v>-233.60000000000002</v>
      </c>
      <c r="J20" s="175">
        <f>H20/DAY(B2)</f>
        <v>298.60000000000002</v>
      </c>
      <c r="K20" s="79"/>
      <c r="L20" s="66"/>
      <c r="N20" s="87"/>
      <c r="O20" s="71"/>
    </row>
    <row r="21" spans="1:15" ht="26.25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'24'!F23</f>
        <v>1500</v>
      </c>
      <c r="F23" s="122">
        <v>1500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'24'!F24</f>
        <v>4470</v>
      </c>
      <c r="F24" s="128">
        <v>4470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21168</v>
      </c>
      <c r="F27" s="136">
        <v>10</v>
      </c>
      <c r="G27" s="137">
        <f>E27*F27</f>
        <v>211680</v>
      </c>
      <c r="H27" s="99">
        <f>G27+'24'!H27</f>
        <v>6183110</v>
      </c>
      <c r="I27" s="138"/>
      <c r="J27" s="175">
        <f>H27/DAY(B2)</f>
        <v>247324.4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859</v>
      </c>
      <c r="F28" s="136">
        <v>75</v>
      </c>
      <c r="G28" s="137">
        <f>E28*F28</f>
        <v>64425</v>
      </c>
      <c r="H28" s="99">
        <f>G28+'24'!H28</f>
        <v>1906650</v>
      </c>
      <c r="I28" s="140"/>
      <c r="J28" s="175">
        <f>H28/DAY(B2)</f>
        <v>76266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G30+'24'!H30</f>
        <v>191015</v>
      </c>
      <c r="I30" s="140"/>
      <c r="J30" s="175">
        <f>H30/DAY(B2)</f>
        <v>7640.6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85</v>
      </c>
      <c r="G31" s="137">
        <f>E31*F31</f>
        <v>10200</v>
      </c>
      <c r="H31" s="99">
        <f>G31+'24'!H31</f>
        <v>523850</v>
      </c>
      <c r="I31" s="140"/>
      <c r="J31" s="175">
        <f>H31/DAY(B2)</f>
        <v>20954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294308</v>
      </c>
      <c r="H32" s="99">
        <f>G32+'24'!H32</f>
        <v>8804625</v>
      </c>
      <c r="I32" s="144"/>
      <c r="J32" s="175">
        <f>H32/DAY(B2)</f>
        <v>352185</v>
      </c>
      <c r="K32" s="63"/>
      <c r="L32" s="89"/>
      <c r="N32" s="87"/>
      <c r="O32" s="71"/>
    </row>
    <row r="33" spans="1:15" ht="25.5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'24'!F35</f>
        <v>269635</v>
      </c>
      <c r="F35" s="145">
        <v>271480</v>
      </c>
      <c r="G35" s="112">
        <f t="shared" ref="G35:G46" si="3">F35-E35</f>
        <v>1845</v>
      </c>
      <c r="H35" s="99">
        <f>G35+'24'!H35</f>
        <v>32766.950000000012</v>
      </c>
      <c r="I35" s="95"/>
      <c r="J35" s="175">
        <f>H35/DAY(B2)</f>
        <v>1310.6780000000006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'24'!F36</f>
        <v>289934</v>
      </c>
      <c r="F36" s="145">
        <v>290535</v>
      </c>
      <c r="G36" s="112">
        <f t="shared" si="3"/>
        <v>601</v>
      </c>
      <c r="H36" s="99">
        <f>G36+'24'!H36</f>
        <v>21052</v>
      </c>
      <c r="I36" s="95"/>
      <c r="J36" s="175">
        <f>H36/DAY(B2)</f>
        <v>842.08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'24'!F37</f>
        <v>322998.69</v>
      </c>
      <c r="F37" s="145">
        <v>322998.69</v>
      </c>
      <c r="G37" s="112">
        <f t="shared" si="3"/>
        <v>0</v>
      </c>
      <c r="H37" s="99">
        <f>G37+'24'!H37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'24'!F38</f>
        <v>647911</v>
      </c>
      <c r="F38" s="108">
        <v>650006</v>
      </c>
      <c r="G38" s="112">
        <f t="shared" si="3"/>
        <v>2095</v>
      </c>
      <c r="H38" s="99">
        <f>G38+'24'!H38</f>
        <v>56289</v>
      </c>
      <c r="I38" s="95"/>
      <c r="J38" s="175">
        <f>H38/DAY(B2)</f>
        <v>2251.56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'24'!F39</f>
        <v>591584.18999999994</v>
      </c>
      <c r="F39" s="145">
        <v>591584.18999999994</v>
      </c>
      <c r="G39" s="112">
        <f t="shared" si="3"/>
        <v>0</v>
      </c>
      <c r="H39" s="99">
        <f>G39+'24'!H39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'24'!F40</f>
        <v>176690</v>
      </c>
      <c r="F40" s="145">
        <v>177398</v>
      </c>
      <c r="G40" s="112">
        <f t="shared" si="3"/>
        <v>708</v>
      </c>
      <c r="H40" s="99">
        <f>G40+'24'!H40</f>
        <v>19418</v>
      </c>
      <c r="I40" s="95"/>
      <c r="J40" s="175">
        <f>H40/DAY(B2)</f>
        <v>776.72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'24'!F41</f>
        <v>405083</v>
      </c>
      <c r="F41" s="145">
        <v>410551</v>
      </c>
      <c r="G41" s="112">
        <f t="shared" si="3"/>
        <v>5468</v>
      </c>
      <c r="H41" s="99">
        <f>G41+'24'!H41</f>
        <v>30199.450000000012</v>
      </c>
      <c r="I41" s="95"/>
      <c r="J41" s="175">
        <f>H41/DAY(B2)</f>
        <v>1207.9780000000005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'24'!F42</f>
        <v>871198</v>
      </c>
      <c r="F42" s="145">
        <v>871198</v>
      </c>
      <c r="G42" s="112">
        <f t="shared" si="3"/>
        <v>0</v>
      </c>
      <c r="H42" s="99">
        <f>G42+'24'!H42</f>
        <v>46111</v>
      </c>
      <c r="I42" s="95"/>
      <c r="J42" s="175">
        <f>H42/DAY(B2)</f>
        <v>1844.44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'24'!F43</f>
        <v>407028.03</v>
      </c>
      <c r="F43" s="145">
        <v>407028.03</v>
      </c>
      <c r="G43" s="112">
        <f t="shared" si="3"/>
        <v>0</v>
      </c>
      <c r="H43" s="99">
        <f>G43+'24'!H43</f>
        <v>3.0000000027939677E-2</v>
      </c>
      <c r="I43" s="95"/>
      <c r="J43" s="175">
        <f>H43/DAY(B2)</f>
        <v>1.200000001117587E-3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10717</v>
      </c>
      <c r="H47" s="99">
        <f>G47+'24'!H47</f>
        <v>209945.36999999994</v>
      </c>
      <c r="I47" s="95"/>
      <c r="J47" s="175">
        <f>H47/DAY(B2)</f>
        <v>8397.8147999999983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'24'!F49</f>
        <v>777074</v>
      </c>
      <c r="F49" s="145">
        <v>778559</v>
      </c>
      <c r="G49" s="112">
        <f t="shared" ref="G49:G58" si="4">F49-E49</f>
        <v>1485</v>
      </c>
      <c r="H49" s="99">
        <f>G49+'24'!H49</f>
        <v>58272</v>
      </c>
      <c r="I49" s="95"/>
      <c r="J49" s="175">
        <f>H49/DAY(B2)</f>
        <v>2330.88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'24'!F50</f>
        <v>402539</v>
      </c>
      <c r="F50" s="145">
        <v>404003</v>
      </c>
      <c r="G50" s="112">
        <f t="shared" si="4"/>
        <v>1464</v>
      </c>
      <c r="H50" s="99">
        <f>G50+'24'!H50</f>
        <v>238942</v>
      </c>
      <c r="I50" s="95"/>
      <c r="J50" s="175">
        <f>H50/DAY(B2)</f>
        <v>9557.68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'24'!F51</f>
        <v>96394</v>
      </c>
      <c r="F51" s="145">
        <v>97355</v>
      </c>
      <c r="G51" s="112">
        <f t="shared" si="4"/>
        <v>961</v>
      </c>
      <c r="H51" s="99">
        <f>G51+'24'!H51</f>
        <v>25628</v>
      </c>
      <c r="I51" s="95"/>
      <c r="J51" s="175">
        <f>H51/DAY(B2)</f>
        <v>1025.1199999999999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'24'!F52</f>
        <v>10</v>
      </c>
      <c r="F52" s="145">
        <v>10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'24'!F53</f>
        <v>395191</v>
      </c>
      <c r="F53" s="145">
        <v>399277</v>
      </c>
      <c r="G53" s="112">
        <f t="shared" si="4"/>
        <v>4086</v>
      </c>
      <c r="H53" s="99">
        <f>G53+'24'!H53</f>
        <v>105176</v>
      </c>
      <c r="I53" s="95"/>
      <c r="J53" s="175">
        <f>H53/DAY(B2)</f>
        <v>4207.04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'24'!F54</f>
        <v>103721</v>
      </c>
      <c r="F54" s="145">
        <v>103861</v>
      </c>
      <c r="G54" s="112">
        <f t="shared" si="4"/>
        <v>140</v>
      </c>
      <c r="H54" s="99">
        <f>G54+'24'!H54</f>
        <v>2474</v>
      </c>
      <c r="I54" s="95"/>
      <c r="J54" s="175">
        <f>H54/DAY(B2)</f>
        <v>98.96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'24'!F55</f>
        <v>538458</v>
      </c>
      <c r="F55" s="145">
        <v>538458</v>
      </c>
      <c r="G55" s="112">
        <f t="shared" si="4"/>
        <v>0</v>
      </c>
      <c r="H55" s="99">
        <f>G55+'24'!H55</f>
        <v>43975</v>
      </c>
      <c r="I55" s="95"/>
      <c r="J55" s="175">
        <f>H55/DAY(B2)</f>
        <v>1759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'24'!F56</f>
        <v>177810</v>
      </c>
      <c r="F56" s="145">
        <v>177810</v>
      </c>
      <c r="G56" s="112">
        <f t="shared" si="4"/>
        <v>0</v>
      </c>
      <c r="H56" s="99">
        <f>G56+'24'!H56</f>
        <v>28091</v>
      </c>
      <c r="I56" s="95"/>
      <c r="J56" s="175">
        <f>H56/DAY(B2)</f>
        <v>1123.6400000000001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'24'!F57</f>
        <v>478123</v>
      </c>
      <c r="F57" s="145">
        <v>480514</v>
      </c>
      <c r="G57" s="112">
        <f t="shared" si="4"/>
        <v>2391</v>
      </c>
      <c r="H57" s="99">
        <f>G57+'24'!H57</f>
        <v>71436</v>
      </c>
      <c r="I57" s="95"/>
      <c r="J57" s="175">
        <f>H57/DAY(B2)</f>
        <v>2857.44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'24'!F58</f>
        <v>69948</v>
      </c>
      <c r="F58" s="145">
        <v>70124</v>
      </c>
      <c r="G58" s="112">
        <f t="shared" si="4"/>
        <v>176</v>
      </c>
      <c r="H58" s="99">
        <f>G58+'24'!H58</f>
        <v>5973</v>
      </c>
      <c r="I58" s="95"/>
      <c r="J58" s="175">
        <f>H58/DAY(B2)</f>
        <v>238.92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10703</v>
      </c>
      <c r="H59" s="99">
        <f>G59+'24'!H59</f>
        <v>378627.82</v>
      </c>
      <c r="I59" s="95">
        <f>G7-G60</f>
        <v>-329</v>
      </c>
      <c r="J59" s="175">
        <f>H59/DAY(B2)</f>
        <v>15145.112800000001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21420</v>
      </c>
      <c r="H60" s="99">
        <f>G60+'24'!H60</f>
        <v>588573.18999999994</v>
      </c>
      <c r="I60" s="95">
        <f>G13-G60</f>
        <v>-905</v>
      </c>
      <c r="J60" s="175">
        <f>H60/DAY(B2)</f>
        <v>23542.927599999999</v>
      </c>
      <c r="K60" s="79"/>
      <c r="L60" s="66"/>
      <c r="N60" s="87"/>
      <c r="O60" s="71"/>
    </row>
    <row r="61" spans="1:15" s="68" customFormat="1" ht="26.25">
      <c r="A61" s="1278" t="s">
        <v>332</v>
      </c>
      <c r="B61" s="1279"/>
      <c r="C61" s="12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81" t="s">
        <v>198</v>
      </c>
      <c r="B62" s="1282"/>
      <c r="C62" s="1283"/>
      <c r="D62" s="151" t="s">
        <v>142</v>
      </c>
      <c r="E62" s="95">
        <f>'24'!F62</f>
        <v>304444</v>
      </c>
      <c r="F62" s="122">
        <v>304499</v>
      </c>
      <c r="G62" s="112">
        <f t="shared" ref="G62:G63" si="5">F62-E62</f>
        <v>55</v>
      </c>
      <c r="H62" s="99">
        <f>G62+'24'!H62</f>
        <v>2434</v>
      </c>
      <c r="I62" s="118"/>
      <c r="J62" s="175">
        <f>H62/DAY(B2)</f>
        <v>97.36</v>
      </c>
      <c r="K62" s="80"/>
      <c r="L62" s="66"/>
      <c r="N62" s="87"/>
      <c r="O62" s="71"/>
    </row>
    <row r="63" spans="1:15" ht="25.5">
      <c r="A63" s="1281" t="s">
        <v>199</v>
      </c>
      <c r="B63" s="1282"/>
      <c r="C63" s="1283"/>
      <c r="D63" s="151" t="s">
        <v>142</v>
      </c>
      <c r="E63" s="95">
        <f>'24'!F63</f>
        <v>245139</v>
      </c>
      <c r="F63" s="122">
        <v>245139</v>
      </c>
      <c r="G63" s="112">
        <f t="shared" si="5"/>
        <v>0</v>
      </c>
      <c r="H63" s="99">
        <f>G63+'24'!H63</f>
        <v>127</v>
      </c>
      <c r="I63" s="118"/>
      <c r="J63" s="175">
        <f>H63/DAY(B2)</f>
        <v>5.08</v>
      </c>
      <c r="K63" s="69"/>
      <c r="L63" s="66"/>
      <c r="N63" s="87"/>
      <c r="O63" s="71"/>
    </row>
    <row r="64" spans="1:15" ht="26.25">
      <c r="A64" s="1284" t="s">
        <v>200</v>
      </c>
      <c r="B64" s="1285"/>
      <c r="C64" s="1286"/>
      <c r="D64" s="151"/>
      <c r="E64" s="95">
        <f>'24'!F64</f>
        <v>0</v>
      </c>
      <c r="F64" s="122"/>
      <c r="G64" s="112">
        <f>G62+G63</f>
        <v>55</v>
      </c>
      <c r="H64" s="99">
        <f>G64+'24'!H64</f>
        <v>2540</v>
      </c>
      <c r="I64" s="118"/>
      <c r="J64" s="175">
        <f>H64/DAY(B2)</f>
        <v>101.6</v>
      </c>
      <c r="K64" s="69"/>
      <c r="L64" s="66"/>
      <c r="N64" s="87"/>
      <c r="O64" s="71"/>
    </row>
    <row r="65" spans="1:15" ht="25.5">
      <c r="A65" s="1281" t="s">
        <v>201</v>
      </c>
      <c r="B65" s="1282"/>
      <c r="C65" s="1283"/>
      <c r="D65" s="151" t="s">
        <v>142</v>
      </c>
      <c r="E65" s="95">
        <f>'24'!F65</f>
        <v>463440</v>
      </c>
      <c r="F65" s="122">
        <v>463529</v>
      </c>
      <c r="G65" s="112">
        <f t="shared" ref="G65:G70" si="6">F65-E65</f>
        <v>89</v>
      </c>
      <c r="H65" s="99">
        <f>G65+'24'!H65</f>
        <v>2705</v>
      </c>
      <c r="I65" s="118"/>
      <c r="J65" s="175">
        <f>H65/DAY(B2)</f>
        <v>108.2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'24'!F66</f>
        <v>112844</v>
      </c>
      <c r="F66" s="122">
        <v>112849</v>
      </c>
      <c r="G66" s="112">
        <f t="shared" si="6"/>
        <v>5</v>
      </c>
      <c r="H66" s="99">
        <f>G66+'24'!H66</f>
        <v>244</v>
      </c>
      <c r="I66" s="118"/>
      <c r="J66" s="175">
        <f>H66/DAY(B2)</f>
        <v>9.76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'24'!F67</f>
        <v>115206</v>
      </c>
      <c r="F67" s="122">
        <v>115217</v>
      </c>
      <c r="G67" s="112">
        <f t="shared" si="6"/>
        <v>11</v>
      </c>
      <c r="H67" s="99">
        <f>G67+'24'!H67</f>
        <v>509</v>
      </c>
      <c r="I67" s="118"/>
      <c r="J67" s="175">
        <f>H67/DAY(B2)</f>
        <v>20.36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'24'!F68</f>
        <v>167347</v>
      </c>
      <c r="F68" s="122">
        <v>167363</v>
      </c>
      <c r="G68" s="112">
        <f t="shared" si="6"/>
        <v>16</v>
      </c>
      <c r="H68" s="99">
        <f>G68+'24'!H68</f>
        <v>782</v>
      </c>
      <c r="I68" s="118"/>
      <c r="J68" s="175">
        <f>H68/DAY(B2)</f>
        <v>31.28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'24'!F69</f>
        <v>12664</v>
      </c>
      <c r="F69" s="122">
        <v>12666</v>
      </c>
      <c r="G69" s="112">
        <f t="shared" si="6"/>
        <v>2</v>
      </c>
      <c r="H69" s="99">
        <f>G69+'24'!H69</f>
        <v>102</v>
      </c>
      <c r="I69" s="118"/>
      <c r="J69" s="175">
        <f>H69/DAY(B2)</f>
        <v>4.08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'24'!F70</f>
        <v>10552</v>
      </c>
      <c r="F70" s="122">
        <v>10557</v>
      </c>
      <c r="G70" s="112">
        <f t="shared" si="6"/>
        <v>5</v>
      </c>
      <c r="H70" s="99">
        <f>G70+'24'!H70</f>
        <v>224</v>
      </c>
      <c r="I70" s="118"/>
      <c r="J70" s="175">
        <f>H70/DAY(B2)</f>
        <v>8.9600000000000009</v>
      </c>
      <c r="K70" s="69"/>
      <c r="L70" s="66"/>
      <c r="N70" s="87"/>
      <c r="O70" s="71"/>
    </row>
    <row r="71" spans="1:15" ht="26.25">
      <c r="A71" s="1284" t="s">
        <v>208</v>
      </c>
      <c r="B71" s="1285"/>
      <c r="C71" s="1286"/>
      <c r="D71" s="152"/>
      <c r="E71" s="152"/>
      <c r="F71" s="152"/>
      <c r="G71" s="153">
        <f>SUM(G65:G70)</f>
        <v>128</v>
      </c>
      <c r="H71" s="99">
        <f>G71+'24'!H71</f>
        <v>4566</v>
      </c>
      <c r="I71" s="154"/>
      <c r="J71" s="175">
        <f>H71/DAY(B2)</f>
        <v>182.64</v>
      </c>
      <c r="K71" s="69"/>
      <c r="L71" s="66"/>
      <c r="N71" s="87"/>
      <c r="O71" s="71"/>
    </row>
    <row r="72" spans="1:15" s="88" customFormat="1" ht="25.5">
      <c r="A72" s="1287"/>
      <c r="B72" s="126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5" t="s">
        <v>333</v>
      </c>
      <c r="B73" s="1296"/>
      <c r="C73" s="1297"/>
      <c r="D73" s="339"/>
      <c r="E73" s="339"/>
      <c r="F73" s="233"/>
      <c r="G73" s="235"/>
      <c r="H73" s="342"/>
      <c r="I73" s="342"/>
      <c r="J73" s="343"/>
      <c r="K73" s="69"/>
      <c r="L73" s="66"/>
      <c r="N73" s="87"/>
      <c r="O73" s="71"/>
    </row>
    <row r="74" spans="1:15" ht="25.5">
      <c r="A74" s="1281" t="s">
        <v>220</v>
      </c>
      <c r="B74" s="1282"/>
      <c r="C74" s="1283"/>
      <c r="D74" s="151" t="s">
        <v>139</v>
      </c>
      <c r="E74" s="95">
        <f>'24'!F74</f>
        <v>982843</v>
      </c>
      <c r="F74" s="393">
        <v>983128</v>
      </c>
      <c r="G74" s="236">
        <f t="shared" ref="G74:G78" si="7">F74-E74</f>
        <v>285</v>
      </c>
      <c r="H74" s="99">
        <f>G74+'24'!H74</f>
        <v>7317</v>
      </c>
      <c r="I74" s="154"/>
      <c r="J74" s="175">
        <f>H74/DAY(B2)</f>
        <v>292.68</v>
      </c>
      <c r="K74" s="69"/>
      <c r="L74" s="66"/>
      <c r="N74" s="87"/>
      <c r="O74" s="71"/>
    </row>
    <row r="75" spans="1:15" ht="25.5">
      <c r="A75" s="1281" t="s">
        <v>221</v>
      </c>
      <c r="B75" s="1282"/>
      <c r="C75" s="1283"/>
      <c r="D75" s="151" t="s">
        <v>139</v>
      </c>
      <c r="E75" s="95">
        <f>'24'!F75</f>
        <v>73586</v>
      </c>
      <c r="F75" s="393">
        <v>73586</v>
      </c>
      <c r="G75" s="236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288" t="s">
        <v>222</v>
      </c>
      <c r="B76" s="1289"/>
      <c r="C76" s="1290"/>
      <c r="D76" s="151" t="s">
        <v>139</v>
      </c>
      <c r="E76" s="95">
        <f>'24'!F76</f>
        <v>199435</v>
      </c>
      <c r="F76" s="393">
        <v>199527</v>
      </c>
      <c r="G76" s="236">
        <f t="shared" si="7"/>
        <v>92</v>
      </c>
      <c r="H76" s="99">
        <f>G76+'24'!H76</f>
        <v>2791</v>
      </c>
      <c r="I76" s="154"/>
      <c r="J76" s="175">
        <f>H76/DAY(B2)</f>
        <v>111.64</v>
      </c>
      <c r="K76" s="69"/>
      <c r="L76" s="66"/>
      <c r="N76" s="87"/>
      <c r="O76" s="71"/>
    </row>
    <row r="77" spans="1:15" ht="25.5">
      <c r="A77" s="1288" t="s">
        <v>223</v>
      </c>
      <c r="B77" s="1289"/>
      <c r="C77" s="1290"/>
      <c r="D77" s="151" t="s">
        <v>139</v>
      </c>
      <c r="E77" s="95">
        <f>'24'!F77</f>
        <v>54527</v>
      </c>
      <c r="F77" s="393">
        <v>54567</v>
      </c>
      <c r="G77" s="236">
        <f t="shared" si="7"/>
        <v>40</v>
      </c>
      <c r="H77" s="99">
        <f>G77+'24'!H77</f>
        <v>1215</v>
      </c>
      <c r="I77" s="154"/>
      <c r="J77" s="175">
        <f>H77/DAY(B2)</f>
        <v>48.6</v>
      </c>
      <c r="K77" s="69"/>
      <c r="L77" s="66"/>
      <c r="N77" s="87"/>
      <c r="O77" s="71"/>
    </row>
    <row r="78" spans="1:15" ht="25.5">
      <c r="A78" s="1288" t="s">
        <v>224</v>
      </c>
      <c r="B78" s="1289"/>
      <c r="C78" s="1290"/>
      <c r="D78" s="151" t="s">
        <v>139</v>
      </c>
      <c r="E78" s="95">
        <f>'24'!F78</f>
        <v>9563</v>
      </c>
      <c r="F78" s="393">
        <v>9563</v>
      </c>
      <c r="G78" s="236">
        <f t="shared" si="7"/>
        <v>0</v>
      </c>
      <c r="H78" s="99">
        <f>G78+'24'!H78</f>
        <v>-1.3999999999996362</v>
      </c>
      <c r="I78" s="118"/>
      <c r="J78" s="175">
        <f>H78/DAY(B2)</f>
        <v>-5.599999999998545E-2</v>
      </c>
      <c r="K78" s="69"/>
      <c r="L78" s="66"/>
      <c r="N78" s="87"/>
      <c r="O78" s="71"/>
    </row>
    <row r="79" spans="1:15" s="57" customFormat="1" ht="25.5">
      <c r="A79" s="1288" t="s">
        <v>225</v>
      </c>
      <c r="B79" s="1289"/>
      <c r="C79" s="1290"/>
      <c r="D79" s="151"/>
      <c r="E79" s="95">
        <f>'24'!F79</f>
        <v>0</v>
      </c>
      <c r="F79" s="117"/>
      <c r="G79" s="112">
        <f>G15-SUM(G74:G78)</f>
        <v>442</v>
      </c>
      <c r="H79" s="99">
        <f>G79+'24'!H79</f>
        <v>14097.179999999955</v>
      </c>
      <c r="I79" s="118"/>
      <c r="J79" s="175"/>
      <c r="K79" s="59"/>
      <c r="L79" s="58"/>
      <c r="N79" s="87"/>
      <c r="O79" s="71"/>
    </row>
    <row r="80" spans="1:15" s="57" customFormat="1" ht="26.25">
      <c r="A80" s="1284" t="s">
        <v>329</v>
      </c>
      <c r="B80" s="1285"/>
      <c r="C80" s="1286"/>
      <c r="D80" s="151"/>
      <c r="E80" s="117"/>
      <c r="F80" s="117"/>
      <c r="G80" s="112">
        <f>SUM(G74:G79)</f>
        <v>859</v>
      </c>
      <c r="H80" s="99"/>
      <c r="I80" s="118"/>
      <c r="J80" s="175"/>
      <c r="K80" s="59"/>
      <c r="L80" s="58"/>
      <c r="N80" s="87"/>
      <c r="O80" s="71"/>
    </row>
    <row r="81" spans="1:15" ht="25.5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389">
        <f>'24'!F84</f>
        <v>43474</v>
      </c>
      <c r="F84" s="164">
        <v>43498</v>
      </c>
      <c r="G84" s="236">
        <f t="shared" si="8"/>
        <v>24</v>
      </c>
      <c r="H84" s="99">
        <f>G84+'24'!H84</f>
        <v>131.19999999999709</v>
      </c>
      <c r="I84" s="538"/>
      <c r="J84" s="175">
        <f>H84/DAY(B2)</f>
        <v>5.2479999999998839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'24'!F85</f>
        <v>5680</v>
      </c>
      <c r="F85" s="164">
        <v>5680</v>
      </c>
      <c r="G85" s="112">
        <f t="shared" si="8"/>
        <v>0</v>
      </c>
      <c r="H85" s="99">
        <f>G85+'24'!H85</f>
        <v>204</v>
      </c>
      <c r="I85" s="538"/>
      <c r="J85" s="175">
        <f>H85/DAY(B2)</f>
        <v>8.16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'24'!F86</f>
        <v>46579</v>
      </c>
      <c r="F86" s="164">
        <v>46579</v>
      </c>
      <c r="G86" s="112">
        <f t="shared" si="8"/>
        <v>0</v>
      </c>
      <c r="H86" s="99">
        <f>G86+'24'!H86</f>
        <v>307.58000000000175</v>
      </c>
      <c r="I86" s="538"/>
      <c r="J86" s="175">
        <f>H86/DAY(B2)</f>
        <v>12.30320000000007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'24'!F87</f>
        <v>35861</v>
      </c>
      <c r="F87" s="164">
        <v>35861</v>
      </c>
      <c r="G87" s="112">
        <f t="shared" si="8"/>
        <v>0</v>
      </c>
      <c r="H87" s="99">
        <f>G87+'24'!H87</f>
        <v>205</v>
      </c>
      <c r="I87" s="538">
        <f>G84+G85+G86+G87</f>
        <v>24</v>
      </c>
      <c r="J87" s="175">
        <f>H87/DAY(B2)</f>
        <v>8.1999999999999993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'24'!F88</f>
        <v>24472</v>
      </c>
      <c r="F88" s="164">
        <v>24472</v>
      </c>
      <c r="G88" s="112">
        <f t="shared" si="8"/>
        <v>0</v>
      </c>
      <c r="H88" s="99">
        <f>G88+'24'!H88</f>
        <v>48.040000000000873</v>
      </c>
      <c r="I88" s="538"/>
      <c r="J88" s="175">
        <f>H88/DAY(B2)</f>
        <v>1.9216000000000348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'24'!F89</f>
        <v>28182</v>
      </c>
      <c r="F89" s="164">
        <v>28188.59</v>
      </c>
      <c r="G89" s="112">
        <f t="shared" si="8"/>
        <v>6.5900000000001455</v>
      </c>
      <c r="H89" s="99">
        <f>G89+'24'!H89</f>
        <v>200.59000000000015</v>
      </c>
      <c r="I89" s="538">
        <f>G88+G89</f>
        <v>6.5900000000001455</v>
      </c>
      <c r="J89" s="175">
        <f>H89/DAY(B2)</f>
        <v>8.0236000000000054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'24'!F90</f>
        <v>73470.37</v>
      </c>
      <c r="F90" s="164">
        <v>73479</v>
      </c>
      <c r="G90" s="112">
        <f t="shared" si="8"/>
        <v>8.6300000000046566</v>
      </c>
      <c r="H90" s="99">
        <f>G90+'24'!H90</f>
        <v>235.25999999999476</v>
      </c>
      <c r="I90" s="538">
        <f>G90</f>
        <v>8.6300000000046566</v>
      </c>
      <c r="J90" s="175">
        <f>H90/DAY(B2)</f>
        <v>9.4103999999997896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'24'!F91</f>
        <v>4948.84</v>
      </c>
      <c r="F91" s="122">
        <v>4959.8100000000004</v>
      </c>
      <c r="G91" s="112">
        <f t="shared" si="8"/>
        <v>10.970000000000255</v>
      </c>
      <c r="H91" s="99">
        <f>G91+'24'!H91</f>
        <v>281.38000000000011</v>
      </c>
      <c r="I91" s="557"/>
      <c r="J91" s="175">
        <f>H91/DAY(B2)</f>
        <v>11.255200000000004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'24'!F92</f>
        <v>7000.23</v>
      </c>
      <c r="F92" s="164">
        <v>7000.23</v>
      </c>
      <c r="G92" s="112">
        <f t="shared" si="8"/>
        <v>0</v>
      </c>
      <c r="H92" s="99">
        <f>G92+'24'!H92</f>
        <v>0.22999999999956344</v>
      </c>
      <c r="I92" s="561">
        <f>G91+G92</f>
        <v>10.970000000000255</v>
      </c>
      <c r="J92" s="175">
        <f>H92/DAY(B2)</f>
        <v>9.1999999999825381E-3</v>
      </c>
      <c r="O92" s="71"/>
    </row>
    <row r="93" spans="1:15" ht="26.25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5721</v>
      </c>
      <c r="H94" s="99">
        <f>G94+'24'!H94</f>
        <v>162580.18000000005</v>
      </c>
      <c r="I94" s="118"/>
      <c r="J94" s="175">
        <f>H94/DAY(B2)</f>
        <v>6503.2072000000016</v>
      </c>
      <c r="K94" s="69"/>
      <c r="L94" s="66"/>
      <c r="O94" s="71"/>
    </row>
    <row r="95" spans="1:15" ht="25.5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0.27125314115025367</v>
      </c>
      <c r="H95" s="99">
        <f>G95+'24'!H95</f>
        <v>6.6420797727579339</v>
      </c>
      <c r="I95" s="167"/>
      <c r="J95" s="175">
        <f>H95/DAY(B2)</f>
        <v>0.26568319091031734</v>
      </c>
      <c r="K95" s="69"/>
      <c r="L95" s="66"/>
      <c r="O95" s="71"/>
    </row>
    <row r="96" spans="1:15" ht="25.5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5468</v>
      </c>
      <c r="H96" s="99">
        <f>G96+'24'!H96</f>
        <v>148376.45000000001</v>
      </c>
      <c r="I96" s="118"/>
      <c r="J96" s="175">
        <f>H96/DAY(B2)</f>
        <v>5935.0580000000009</v>
      </c>
      <c r="K96" s="69"/>
      <c r="L96" s="66"/>
      <c r="O96" s="71"/>
    </row>
    <row r="97" spans="1:15" ht="25.5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0.25925750320041724</v>
      </c>
      <c r="H97" s="99">
        <f>G97+'24'!H97</f>
        <v>6.0620575388791016</v>
      </c>
      <c r="I97" s="167"/>
      <c r="J97" s="175">
        <f>H97/DAY(B2)</f>
        <v>0.24248230155516406</v>
      </c>
      <c r="K97" s="69"/>
      <c r="L97" s="66"/>
      <c r="O97" s="71"/>
    </row>
    <row r="98" spans="1:15" ht="25.5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4086</v>
      </c>
      <c r="H98" s="99">
        <f>G98+'24'!H98</f>
        <v>105074.95999999996</v>
      </c>
      <c r="I98" s="168"/>
      <c r="J98" s="175">
        <f>H98/DAY(B2)</f>
        <v>4202.9983999999986</v>
      </c>
      <c r="K98" s="69"/>
      <c r="L98" s="66"/>
      <c r="O98" s="71"/>
    </row>
    <row r="99" spans="1:15" ht="25.5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0.19373192356929497</v>
      </c>
      <c r="H99" s="99">
        <f>G99+'24'!H99</f>
        <v>4.3032647004059932</v>
      </c>
      <c r="I99" s="168"/>
      <c r="J99" s="175">
        <f>H99/DAY(B2)</f>
        <v>0.17213058801623973</v>
      </c>
      <c r="O99" s="71"/>
    </row>
    <row r="100" spans="1:15" ht="26.25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2095</v>
      </c>
      <c r="H100" s="99">
        <f>G100+'24'!H100</f>
        <v>56376.389999999898</v>
      </c>
      <c r="I100" s="118"/>
      <c r="J100" s="175">
        <f>H100/DAY(B2)</f>
        <v>2255.055599999996</v>
      </c>
      <c r="K100" s="70"/>
      <c r="O100" s="71"/>
    </row>
    <row r="101" spans="1:15" ht="25.5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9.9331468398843104E-2</v>
      </c>
      <c r="H101" s="99">
        <f>G101+'24'!H101</f>
        <v>2.3057084025399743</v>
      </c>
      <c r="I101" s="168"/>
      <c r="J101" s="175">
        <f>H101/DAY(B2)</f>
        <v>9.2228336101598973E-2</v>
      </c>
      <c r="O101" s="71"/>
    </row>
    <row r="102" spans="1:15" ht="25.5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2065</v>
      </c>
      <c r="H102" s="99">
        <f>G102+'24'!H102</f>
        <v>59284</v>
      </c>
      <c r="I102" s="168"/>
      <c r="J102" s="175">
        <f>H102/DAY(B2)</f>
        <v>2371.36</v>
      </c>
      <c r="O102" s="71"/>
    </row>
    <row r="103" spans="1:15" ht="25.5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9.7909060736807163E-2</v>
      </c>
      <c r="H103" s="99">
        <f>G103+'24'!H103</f>
        <v>2.4240653965752386</v>
      </c>
      <c r="I103" s="118"/>
      <c r="J103" s="175">
        <f>H103/DAY(B2)</f>
        <v>9.6962615863009541E-2</v>
      </c>
      <c r="O103" s="71"/>
    </row>
    <row r="104" spans="1:15" ht="25.5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961</v>
      </c>
      <c r="H104" s="99">
        <f>G104+'24'!H104</f>
        <v>25628</v>
      </c>
      <c r="I104" s="118"/>
      <c r="J104" s="175">
        <f>H104/DAY(B2)</f>
        <v>1025.1199999999999</v>
      </c>
      <c r="O104" s="71"/>
    </row>
    <row r="105" spans="1:15" ht="26.25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4.5564458773884597E-2</v>
      </c>
      <c r="H105" s="99">
        <f>G105+'24'!H105</f>
        <v>1.0503346291981572</v>
      </c>
      <c r="I105" s="187"/>
      <c r="J105" s="188">
        <f>H105/DAY(B2)</f>
        <v>4.2013385167926291E-2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6.25">
      <c r="A109" s="1291"/>
      <c r="B109" s="1291"/>
    </row>
    <row r="110" spans="1:15" ht="26.25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5.5">
      <c r="A111" s="1270"/>
      <c r="B111" s="1271"/>
      <c r="C111" s="1272"/>
      <c r="D111" s="165"/>
      <c r="E111" s="165"/>
      <c r="F111" s="165"/>
      <c r="G111" s="165"/>
      <c r="H111" s="156"/>
      <c r="I111" s="165"/>
      <c r="J111" s="327"/>
    </row>
    <row r="112" spans="1:15" ht="25.5">
      <c r="A112" s="1266" t="s">
        <v>252</v>
      </c>
      <c r="B112" s="1267"/>
      <c r="C112" s="1268"/>
      <c r="D112" s="146" t="s">
        <v>183</v>
      </c>
      <c r="E112" s="95">
        <f>'24'!F112</f>
        <v>13309</v>
      </c>
      <c r="F112" s="237">
        <v>13373</v>
      </c>
      <c r="G112" s="112">
        <f t="shared" ref="G112:G123" si="9">F112-E112</f>
        <v>64</v>
      </c>
      <c r="H112" s="99">
        <f>G112+'24'!H112</f>
        <v>1710</v>
      </c>
      <c r="I112" s="165"/>
      <c r="J112" s="328">
        <f>H112/DAY(B2)</f>
        <v>68.400000000000006</v>
      </c>
    </row>
    <row r="113" spans="1:18" ht="29.25" customHeight="1">
      <c r="A113" s="1266" t="s">
        <v>253</v>
      </c>
      <c r="B113" s="1267"/>
      <c r="C113" s="1268"/>
      <c r="D113" s="146" t="s">
        <v>183</v>
      </c>
      <c r="E113" s="95">
        <f>'24'!F113</f>
        <v>26901</v>
      </c>
      <c r="F113" s="237">
        <v>27046</v>
      </c>
      <c r="G113" s="112">
        <f t="shared" si="9"/>
        <v>145</v>
      </c>
      <c r="H113" s="99">
        <f>G113+'24'!H113</f>
        <v>3525</v>
      </c>
      <c r="I113" s="165"/>
      <c r="J113" s="328">
        <f>H113/DAY(B2)</f>
        <v>141</v>
      </c>
    </row>
    <row r="114" spans="1:18" ht="29.25" customHeight="1">
      <c r="A114" s="1266" t="s">
        <v>254</v>
      </c>
      <c r="B114" s="1267"/>
      <c r="C114" s="1268"/>
      <c r="D114" s="146" t="s">
        <v>183</v>
      </c>
      <c r="E114" s="95">
        <f>'24'!F114</f>
        <v>40086</v>
      </c>
      <c r="F114" s="237">
        <v>40293</v>
      </c>
      <c r="G114" s="112">
        <f t="shared" si="9"/>
        <v>207</v>
      </c>
      <c r="H114" s="99">
        <f>G114+'24'!H114</f>
        <v>5518</v>
      </c>
      <c r="I114" s="165"/>
      <c r="J114" s="328">
        <f>H114/DAY(B2)</f>
        <v>220.72</v>
      </c>
    </row>
    <row r="115" spans="1:18" ht="29.25" customHeight="1">
      <c r="A115" s="1266" t="s">
        <v>255</v>
      </c>
      <c r="B115" s="1267"/>
      <c r="C115" s="1268"/>
      <c r="D115" s="146" t="s">
        <v>183</v>
      </c>
      <c r="E115" s="95">
        <f>'24'!F115</f>
        <v>25295</v>
      </c>
      <c r="F115" s="237">
        <v>25422</v>
      </c>
      <c r="G115" s="112">
        <f t="shared" si="9"/>
        <v>127</v>
      </c>
      <c r="H115" s="99">
        <f>G115+'24'!H115</f>
        <v>3369</v>
      </c>
      <c r="I115" s="165"/>
      <c r="J115" s="328">
        <f>H115/DAY(B2)</f>
        <v>134.76</v>
      </c>
    </row>
    <row r="116" spans="1:18" ht="29.25" customHeight="1">
      <c r="A116" s="1275" t="s">
        <v>96</v>
      </c>
      <c r="B116" s="1276"/>
      <c r="C116" s="1277"/>
      <c r="D116" s="146" t="s">
        <v>183</v>
      </c>
      <c r="E116" s="95">
        <f>'24'!F116</f>
        <v>107691</v>
      </c>
      <c r="F116" s="237">
        <v>108142</v>
      </c>
      <c r="G116" s="112">
        <f t="shared" si="9"/>
        <v>451</v>
      </c>
      <c r="H116" s="99">
        <f>G116+'24'!H116</f>
        <v>11007</v>
      </c>
      <c r="I116" s="165"/>
      <c r="J116" s="328">
        <f>H116/DAY(B2)</f>
        <v>440.28</v>
      </c>
      <c r="Q116" s="1266"/>
      <c r="R116" s="1268"/>
    </row>
    <row r="117" spans="1:18" ht="29.25" customHeight="1">
      <c r="A117" s="1275" t="s">
        <v>184</v>
      </c>
      <c r="B117" s="1276"/>
      <c r="C117" s="1277"/>
      <c r="D117" s="146" t="s">
        <v>183</v>
      </c>
      <c r="E117" s="95">
        <f>'24'!F117</f>
        <v>64099</v>
      </c>
      <c r="F117" s="237">
        <v>64422</v>
      </c>
      <c r="G117" s="112">
        <f t="shared" si="9"/>
        <v>323</v>
      </c>
      <c r="H117" s="99">
        <f>G117+'24'!H117</f>
        <v>7917</v>
      </c>
      <c r="I117" s="165"/>
      <c r="J117" s="328">
        <f>H117/DAY(B2)</f>
        <v>316.68</v>
      </c>
      <c r="Q117" s="1266"/>
      <c r="R117" s="1268"/>
    </row>
    <row r="118" spans="1:18" ht="25.5">
      <c r="A118" s="1269" t="s">
        <v>97</v>
      </c>
      <c r="B118" s="1269"/>
      <c r="C118" s="1269"/>
      <c r="D118" s="151" t="s">
        <v>183</v>
      </c>
      <c r="E118" s="95">
        <f>'24'!F118</f>
        <v>116107</v>
      </c>
      <c r="F118" s="1025">
        <v>116668</v>
      </c>
      <c r="G118" s="112">
        <f t="shared" si="9"/>
        <v>561</v>
      </c>
      <c r="H118" s="99">
        <f>G118+'24'!H118</f>
        <v>14914</v>
      </c>
      <c r="I118" s="165"/>
      <c r="J118" s="328">
        <f>H118/DAY(B2)</f>
        <v>596.55999999999995</v>
      </c>
      <c r="Q118" s="1266"/>
      <c r="R118" s="1268"/>
    </row>
    <row r="119" spans="1:18" ht="25.5">
      <c r="A119" s="1269" t="s">
        <v>98</v>
      </c>
      <c r="B119" s="1269"/>
      <c r="C119" s="1269"/>
      <c r="D119" s="151" t="s">
        <v>183</v>
      </c>
      <c r="E119" s="95">
        <f>'24'!F119</f>
        <v>42873</v>
      </c>
      <c r="F119" s="237">
        <v>42884</v>
      </c>
      <c r="G119" s="112">
        <f t="shared" si="9"/>
        <v>11</v>
      </c>
      <c r="H119" s="99">
        <f>G119+'24'!H119</f>
        <v>703</v>
      </c>
      <c r="I119" s="165"/>
      <c r="J119" s="328">
        <f>H119/DAY(B2)</f>
        <v>28.12</v>
      </c>
    </row>
    <row r="120" spans="1:18" ht="25.5">
      <c r="A120" s="1269" t="s">
        <v>99</v>
      </c>
      <c r="B120" s="1269"/>
      <c r="C120" s="1269"/>
      <c r="D120" s="151" t="s">
        <v>183</v>
      </c>
      <c r="E120" s="95">
        <f>'24'!F120</f>
        <v>80965</v>
      </c>
      <c r="F120" s="237">
        <v>81354</v>
      </c>
      <c r="G120" s="112">
        <f t="shared" si="9"/>
        <v>389</v>
      </c>
      <c r="H120" s="99">
        <f>G120+'24'!H120</f>
        <v>10022</v>
      </c>
      <c r="I120" s="165"/>
      <c r="J120" s="328">
        <f>H120/DAY(B2)</f>
        <v>400.88</v>
      </c>
    </row>
    <row r="121" spans="1:18" ht="25.5">
      <c r="A121" s="1269" t="s">
        <v>100</v>
      </c>
      <c r="B121" s="1269"/>
      <c r="C121" s="1269"/>
      <c r="D121" s="151" t="s">
        <v>183</v>
      </c>
      <c r="E121" s="95">
        <f>'24'!F121</f>
        <v>91908</v>
      </c>
      <c r="F121" s="237">
        <v>92308</v>
      </c>
      <c r="G121" s="112">
        <f t="shared" si="9"/>
        <v>400</v>
      </c>
      <c r="H121" s="99">
        <f>G121+'24'!H121</f>
        <v>10952</v>
      </c>
      <c r="I121" s="165"/>
      <c r="J121" s="328">
        <f>H121/DAY(B2)</f>
        <v>438.08</v>
      </c>
    </row>
    <row r="122" spans="1:18" ht="25.5">
      <c r="A122" s="1269" t="s">
        <v>101</v>
      </c>
      <c r="B122" s="1269"/>
      <c r="C122" s="1269"/>
      <c r="D122" s="151" t="s">
        <v>183</v>
      </c>
      <c r="E122" s="95">
        <f>'24'!F122</f>
        <v>58185</v>
      </c>
      <c r="F122" s="237">
        <v>58541</v>
      </c>
      <c r="G122" s="112">
        <f t="shared" si="9"/>
        <v>356</v>
      </c>
      <c r="H122" s="99">
        <f>G122+'24'!H122</f>
        <v>9410</v>
      </c>
      <c r="I122" s="165"/>
      <c r="J122" s="328">
        <f>H122/DAY(B2)</f>
        <v>376.4</v>
      </c>
    </row>
    <row r="123" spans="1:18" ht="25.5">
      <c r="A123" s="1269" t="s">
        <v>102</v>
      </c>
      <c r="B123" s="1269"/>
      <c r="C123" s="1269"/>
      <c r="D123" s="151" t="s">
        <v>183</v>
      </c>
      <c r="E123" s="95">
        <f>'24'!F123</f>
        <v>57036</v>
      </c>
      <c r="F123" s="237">
        <v>57331</v>
      </c>
      <c r="G123" s="112">
        <f t="shared" si="9"/>
        <v>295</v>
      </c>
      <c r="H123" s="99">
        <f>G123+'24'!H123</f>
        <v>7582</v>
      </c>
      <c r="I123" s="165"/>
      <c r="J123" s="328">
        <f>H123/DAY(B2)</f>
        <v>303.27999999999997</v>
      </c>
    </row>
    <row r="124" spans="1:18" ht="29.25" customHeight="1">
      <c r="A124" s="1270"/>
      <c r="B124" s="1271"/>
      <c r="C124" s="1272"/>
      <c r="D124" s="165"/>
      <c r="E124" s="165"/>
      <c r="F124" s="165"/>
      <c r="G124" s="327"/>
      <c r="H124" s="156"/>
      <c r="I124" s="165"/>
      <c r="J124" s="327"/>
    </row>
    <row r="125" spans="1:18" ht="25.5">
      <c r="A125" s="1261" t="s">
        <v>196</v>
      </c>
      <c r="B125" s="1262"/>
      <c r="C125" s="245"/>
      <c r="D125" s="307"/>
      <c r="E125" s="308"/>
      <c r="F125" s="308"/>
      <c r="G125" s="309">
        <f>SUM(G112:G124)</f>
        <v>3329</v>
      </c>
      <c r="H125" s="156"/>
      <c r="I125" s="327">
        <f>G125-(G39+G53)</f>
        <v>-757</v>
      </c>
      <c r="J125" s="327"/>
    </row>
    <row r="126" spans="1:18" ht="25.5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5.5">
      <c r="A127" s="1274"/>
      <c r="B127" s="1274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1266" t="s">
        <v>318</v>
      </c>
      <c r="B128" s="1267"/>
      <c r="C128" s="1268"/>
      <c r="D128" s="151" t="s">
        <v>183</v>
      </c>
      <c r="E128" s="95">
        <f>'24'!F128</f>
        <v>164619</v>
      </c>
      <c r="F128" s="155">
        <v>164967</v>
      </c>
      <c r="G128" s="112">
        <f t="shared" ref="G128:G134" si="10">F128-E128</f>
        <v>348</v>
      </c>
      <c r="H128" s="99">
        <f>G128+'24'!H128</f>
        <v>10152</v>
      </c>
      <c r="I128" s="165"/>
      <c r="J128" s="328">
        <f>H128/DAY(B2)</f>
        <v>406.08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'24'!F129</f>
        <v>88553</v>
      </c>
      <c r="F129" s="155">
        <v>88761</v>
      </c>
      <c r="G129" s="112">
        <f t="shared" si="10"/>
        <v>208</v>
      </c>
      <c r="H129" s="99">
        <f>G129+'24'!H129</f>
        <v>4825</v>
      </c>
      <c r="I129" s="165"/>
      <c r="J129" s="328">
        <f>H129/DAY(B2)</f>
        <v>193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'24'!F130</f>
        <v>222270</v>
      </c>
      <c r="F130" s="155">
        <v>222814</v>
      </c>
      <c r="G130" s="112">
        <f t="shared" si="10"/>
        <v>544</v>
      </c>
      <c r="H130" s="99">
        <f>G130+'24'!H130</f>
        <v>16055</v>
      </c>
      <c r="I130" s="165"/>
      <c r="J130" s="328">
        <f>H130/DAY(B2)</f>
        <v>642.20000000000005</v>
      </c>
      <c r="N130" s="240"/>
      <c r="O130" s="241"/>
    </row>
    <row r="131" spans="1:15" ht="25.5">
      <c r="A131" s="1266" t="s">
        <v>321</v>
      </c>
      <c r="B131" s="1267"/>
      <c r="C131" s="1268"/>
      <c r="D131" s="151" t="s">
        <v>183</v>
      </c>
      <c r="E131" s="95">
        <f>'24'!F131</f>
        <v>64932</v>
      </c>
      <c r="F131" s="155">
        <v>65129</v>
      </c>
      <c r="G131" s="112">
        <f t="shared" si="10"/>
        <v>197</v>
      </c>
      <c r="H131" s="99">
        <f>G131+'24'!H131</f>
        <v>4821</v>
      </c>
      <c r="I131" s="165"/>
      <c r="J131" s="328">
        <f>H131/DAY(B2)</f>
        <v>192.84</v>
      </c>
      <c r="N131" s="240"/>
      <c r="O131" s="241"/>
    </row>
    <row r="132" spans="1:15" ht="25.5">
      <c r="A132" s="1266" t="s">
        <v>322</v>
      </c>
      <c r="B132" s="1267"/>
      <c r="C132" s="1268"/>
      <c r="D132" s="151" t="s">
        <v>183</v>
      </c>
      <c r="E132" s="95">
        <f>'24'!F132</f>
        <v>146985</v>
      </c>
      <c r="F132" s="155">
        <v>146985</v>
      </c>
      <c r="G132" s="112">
        <f t="shared" si="10"/>
        <v>0</v>
      </c>
      <c r="H132" s="99">
        <f>G132+'24'!H132</f>
        <v>0</v>
      </c>
      <c r="I132" s="165"/>
      <c r="J132" s="328">
        <f>H132/DAY(B2)</f>
        <v>0</v>
      </c>
    </row>
    <row r="133" spans="1:15" ht="25.5">
      <c r="A133" s="1266" t="s">
        <v>357</v>
      </c>
      <c r="B133" s="1267"/>
      <c r="C133" s="1268"/>
      <c r="D133" s="151" t="s">
        <v>183</v>
      </c>
      <c r="E133" s="95">
        <f>'24'!F133</f>
        <v>286614</v>
      </c>
      <c r="F133" s="155">
        <v>287344</v>
      </c>
      <c r="G133" s="112">
        <f t="shared" si="10"/>
        <v>730</v>
      </c>
      <c r="H133" s="99">
        <f>G133+'24'!H133</f>
        <v>21399</v>
      </c>
      <c r="I133" s="165"/>
      <c r="J133" s="328">
        <f>H133/DAY(B2)</f>
        <v>855.96</v>
      </c>
    </row>
    <row r="134" spans="1:15" ht="25.5">
      <c r="A134" s="1266" t="s">
        <v>340</v>
      </c>
      <c r="B134" s="1267"/>
      <c r="C134" s="1268"/>
      <c r="D134" s="151" t="s">
        <v>183</v>
      </c>
      <c r="E134" s="95">
        <f>'24'!F134</f>
        <v>69731</v>
      </c>
      <c r="F134" s="157">
        <v>69983</v>
      </c>
      <c r="G134" s="112">
        <f t="shared" si="10"/>
        <v>252</v>
      </c>
      <c r="H134" s="99">
        <f>G134+'24'!H134</f>
        <v>6321</v>
      </c>
      <c r="I134" s="165"/>
      <c r="J134" s="328">
        <f>H134/DAY(B2)</f>
        <v>252.84</v>
      </c>
    </row>
    <row r="135" spans="1:15" ht="25.5">
      <c r="A135" s="1261" t="s">
        <v>196</v>
      </c>
      <c r="B135" s="1262"/>
      <c r="C135" s="331"/>
      <c r="D135" s="151"/>
      <c r="E135" s="95"/>
      <c r="F135" s="165"/>
      <c r="G135" s="112">
        <f>SUM(G128:G134)</f>
        <v>2279</v>
      </c>
      <c r="H135" s="99">
        <f>G135+'23'!H135</f>
        <v>30243.390000000021</v>
      </c>
      <c r="I135" s="327">
        <f>G135-(G35+G49)</f>
        <v>-1051</v>
      </c>
      <c r="J135" s="328"/>
    </row>
    <row r="136" spans="1:15" ht="27.75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9" t="s">
        <v>185</v>
      </c>
      <c r="B138" s="1269"/>
      <c r="C138" s="1269"/>
      <c r="D138" s="151" t="s">
        <v>183</v>
      </c>
      <c r="E138" s="95">
        <f>'24'!F138</f>
        <v>901929</v>
      </c>
      <c r="F138" s="147">
        <v>902095</v>
      </c>
      <c r="G138" s="112">
        <f t="shared" ref="G138:G152" si="11">F138-E138</f>
        <v>166</v>
      </c>
      <c r="H138" s="99">
        <f>G138+'24'!H138</f>
        <v>3890</v>
      </c>
      <c r="I138" s="118"/>
      <c r="J138" s="328">
        <f>H138/DAY(B2)</f>
        <v>155.6</v>
      </c>
    </row>
    <row r="139" spans="1:15" ht="25.5">
      <c r="A139" s="1269" t="s">
        <v>186</v>
      </c>
      <c r="B139" s="1269"/>
      <c r="C139" s="1269"/>
      <c r="D139" s="151" t="s">
        <v>183</v>
      </c>
      <c r="E139" s="95">
        <f>'24'!F139</f>
        <v>921750</v>
      </c>
      <c r="F139" s="148">
        <v>921886</v>
      </c>
      <c r="G139" s="112">
        <f t="shared" si="11"/>
        <v>136</v>
      </c>
      <c r="H139" s="99">
        <f>G139+'24'!H139</f>
        <v>3682</v>
      </c>
      <c r="I139" s="118"/>
      <c r="J139" s="328">
        <f>H139/DAY(B2)</f>
        <v>147.28</v>
      </c>
    </row>
    <row r="140" spans="1:15" ht="25.5">
      <c r="A140" s="1269" t="s">
        <v>187</v>
      </c>
      <c r="B140" s="1269"/>
      <c r="C140" s="1269"/>
      <c r="D140" s="151" t="s">
        <v>183</v>
      </c>
      <c r="E140" s="95">
        <f>'24'!F140</f>
        <v>2618</v>
      </c>
      <c r="F140" s="149">
        <v>2627</v>
      </c>
      <c r="G140" s="112">
        <f t="shared" si="11"/>
        <v>9</v>
      </c>
      <c r="H140" s="99">
        <f>G140+'24'!H140</f>
        <v>284</v>
      </c>
      <c r="I140" s="118"/>
      <c r="J140" s="328">
        <f>H140/DAY(B2)</f>
        <v>11.36</v>
      </c>
    </row>
    <row r="141" spans="1:15" ht="25.5">
      <c r="A141" s="1256" t="s">
        <v>188</v>
      </c>
      <c r="B141" s="1256"/>
      <c r="C141" s="1256"/>
      <c r="D141" s="151" t="s">
        <v>183</v>
      </c>
      <c r="E141" s="95">
        <f>'24'!F141</f>
        <v>109152</v>
      </c>
      <c r="F141" s="149">
        <v>109369</v>
      </c>
      <c r="G141" s="112">
        <f t="shared" si="11"/>
        <v>217</v>
      </c>
      <c r="H141" s="99">
        <f>G141+'24'!H141</f>
        <v>5595</v>
      </c>
      <c r="I141" s="118"/>
      <c r="J141" s="328">
        <f>H141/DAY(B2)</f>
        <v>223.8</v>
      </c>
    </row>
    <row r="142" spans="1:15" ht="25.5">
      <c r="A142" s="1256" t="s">
        <v>189</v>
      </c>
      <c r="B142" s="1256"/>
      <c r="C142" s="1256"/>
      <c r="D142" s="151" t="s">
        <v>183</v>
      </c>
      <c r="E142" s="95">
        <f>'24'!F142</f>
        <v>44056</v>
      </c>
      <c r="F142" s="148">
        <v>44144</v>
      </c>
      <c r="G142" s="112">
        <f t="shared" si="11"/>
        <v>88</v>
      </c>
      <c r="H142" s="99">
        <f>G142+'24'!H142</f>
        <v>2329</v>
      </c>
      <c r="I142" s="140"/>
      <c r="J142" s="328">
        <f>H142/DAY(B2)</f>
        <v>93.16</v>
      </c>
    </row>
    <row r="143" spans="1:15" ht="25.5">
      <c r="A143" s="1269" t="s">
        <v>91</v>
      </c>
      <c r="B143" s="1269"/>
      <c r="C143" s="1269"/>
      <c r="D143" s="151" t="s">
        <v>183</v>
      </c>
      <c r="E143" s="95">
        <f>'24'!F143</f>
        <v>11346</v>
      </c>
      <c r="F143" s="149">
        <v>11373</v>
      </c>
      <c r="G143" s="112">
        <f t="shared" si="11"/>
        <v>27</v>
      </c>
      <c r="H143" s="99">
        <f>G143+'24'!H143</f>
        <v>696</v>
      </c>
      <c r="I143" s="140"/>
      <c r="J143" s="328">
        <f>H143/DAY(B2)</f>
        <v>27.84</v>
      </c>
    </row>
    <row r="144" spans="1:15" ht="25.5">
      <c r="A144" s="1256" t="s">
        <v>90</v>
      </c>
      <c r="B144" s="1256"/>
      <c r="C144" s="1256"/>
      <c r="D144" s="151" t="s">
        <v>183</v>
      </c>
      <c r="E144" s="95">
        <f>'24'!F144</f>
        <v>939298</v>
      </c>
      <c r="F144" s="149">
        <v>939517</v>
      </c>
      <c r="G144" s="112">
        <f t="shared" si="11"/>
        <v>219</v>
      </c>
      <c r="H144" s="99">
        <f>G144+'24'!H144</f>
        <v>5996</v>
      </c>
      <c r="I144" s="140"/>
      <c r="J144" s="328">
        <f>H144/DAY(B2)</f>
        <v>239.84</v>
      </c>
    </row>
    <row r="145" spans="1:10" ht="25.5">
      <c r="A145" s="1269" t="s">
        <v>190</v>
      </c>
      <c r="B145" s="1269"/>
      <c r="C145" s="1269"/>
      <c r="D145" s="152" t="s">
        <v>183</v>
      </c>
      <c r="E145" s="95">
        <f>'24'!F145</f>
        <v>17896</v>
      </c>
      <c r="F145" s="149">
        <v>18058</v>
      </c>
      <c r="G145" s="112">
        <f t="shared" si="11"/>
        <v>162</v>
      </c>
      <c r="H145" s="99">
        <f>G145+'24'!H145</f>
        <v>4918</v>
      </c>
      <c r="I145" s="140"/>
      <c r="J145" s="328">
        <f>H145/DAY(B2)</f>
        <v>196.72</v>
      </c>
    </row>
    <row r="146" spans="1:10" ht="25.5">
      <c r="A146" s="1332" t="s">
        <v>191</v>
      </c>
      <c r="B146" s="1289"/>
      <c r="C146" s="1290"/>
      <c r="D146" s="152" t="s">
        <v>183</v>
      </c>
      <c r="E146" s="95">
        <f>'24'!F146</f>
        <v>785416</v>
      </c>
      <c r="F146" s="148">
        <v>785452</v>
      </c>
      <c r="G146" s="112">
        <f t="shared" si="11"/>
        <v>36</v>
      </c>
      <c r="H146" s="99">
        <f>G146+'24'!H146</f>
        <v>1113</v>
      </c>
      <c r="I146" s="140"/>
      <c r="J146" s="328">
        <f>H146/DAY(B2)</f>
        <v>44.52</v>
      </c>
    </row>
    <row r="147" spans="1:10" ht="25.5">
      <c r="A147" s="1256" t="s">
        <v>192</v>
      </c>
      <c r="B147" s="1256"/>
      <c r="C147" s="1256"/>
      <c r="D147" s="152" t="s">
        <v>183</v>
      </c>
      <c r="E147" s="95">
        <f>'24'!F147</f>
        <v>733055</v>
      </c>
      <c r="F147" s="148">
        <v>733419</v>
      </c>
      <c r="G147" s="112">
        <f t="shared" si="11"/>
        <v>364</v>
      </c>
      <c r="H147" s="99">
        <f>G147+'24'!H147</f>
        <v>9897</v>
      </c>
      <c r="I147" s="140"/>
      <c r="J147" s="328">
        <f>H147/DAY(B2)</f>
        <v>395.88</v>
      </c>
    </row>
    <row r="148" spans="1:10" ht="25.5">
      <c r="A148" s="1257" t="s">
        <v>193</v>
      </c>
      <c r="B148" s="1258"/>
      <c r="C148" s="1259"/>
      <c r="D148" s="123" t="s">
        <v>130</v>
      </c>
      <c r="E148" s="95">
        <f>'24'!F148</f>
        <v>773732</v>
      </c>
      <c r="F148" s="164">
        <v>773982</v>
      </c>
      <c r="G148" s="112">
        <f t="shared" si="11"/>
        <v>250</v>
      </c>
      <c r="H148" s="99">
        <f>G148+'24'!H148</f>
        <v>7372</v>
      </c>
      <c r="I148" s="124"/>
      <c r="J148" s="328">
        <f>H148/DAY(B2)</f>
        <v>294.88</v>
      </c>
    </row>
    <row r="149" spans="1:10" ht="25.5">
      <c r="A149" s="1257" t="s">
        <v>336</v>
      </c>
      <c r="B149" s="1258"/>
      <c r="C149" s="1259"/>
      <c r="D149" s="227" t="s">
        <v>130</v>
      </c>
      <c r="E149" s="95">
        <f>'24'!F149</f>
        <v>168468</v>
      </c>
      <c r="F149" s="146">
        <v>168825</v>
      </c>
      <c r="G149" s="112">
        <f t="shared" si="11"/>
        <v>357</v>
      </c>
      <c r="H149" s="99">
        <f>G149+'24'!H149</f>
        <v>10858</v>
      </c>
      <c r="I149" s="119"/>
      <c r="J149" s="328">
        <f>H149/DAY(B2)</f>
        <v>434.32</v>
      </c>
    </row>
    <row r="150" spans="1:10" ht="25.5">
      <c r="A150" s="1257" t="s">
        <v>337</v>
      </c>
      <c r="B150" s="1258"/>
      <c r="C150" s="1259"/>
      <c r="D150" s="117" t="s">
        <v>130</v>
      </c>
      <c r="E150" s="95">
        <f>'24'!F150</f>
        <v>69273</v>
      </c>
      <c r="F150" s="233">
        <v>69485</v>
      </c>
      <c r="G150" s="112">
        <f t="shared" si="11"/>
        <v>212</v>
      </c>
      <c r="H150" s="99">
        <f>G150+'24'!H150</f>
        <v>5507</v>
      </c>
      <c r="I150" s="119"/>
      <c r="J150" s="328">
        <f>H150/DAY(B2)</f>
        <v>220.28</v>
      </c>
    </row>
    <row r="151" spans="1:10" ht="25.5">
      <c r="A151" s="1257" t="s">
        <v>338</v>
      </c>
      <c r="B151" s="1258"/>
      <c r="C151" s="1259"/>
      <c r="D151" s="117" t="s">
        <v>130</v>
      </c>
      <c r="E151" s="95">
        <f>'24'!F151</f>
        <v>150937</v>
      </c>
      <c r="F151" s="233">
        <v>150974</v>
      </c>
      <c r="G151" s="112">
        <f t="shared" si="11"/>
        <v>37</v>
      </c>
      <c r="H151" s="99">
        <f>G151+'24'!H151</f>
        <v>1186</v>
      </c>
      <c r="I151" s="119"/>
      <c r="J151" s="328">
        <f>H151/DAY(B2)</f>
        <v>47.44</v>
      </c>
    </row>
    <row r="152" spans="1:10" ht="25.5">
      <c r="A152" s="1257" t="s">
        <v>339</v>
      </c>
      <c r="B152" s="1258"/>
      <c r="C152" s="1259"/>
      <c r="D152" s="117" t="s">
        <v>130</v>
      </c>
      <c r="E152" s="95">
        <f>'24'!F152</f>
        <v>33686</v>
      </c>
      <c r="F152" s="233">
        <v>33811</v>
      </c>
      <c r="G152" s="112">
        <f t="shared" si="11"/>
        <v>125</v>
      </c>
      <c r="H152" s="99">
        <f>G152+'24'!H152</f>
        <v>3197</v>
      </c>
      <c r="I152" s="119"/>
      <c r="J152" s="328">
        <f>H152/DAY(B2)</f>
        <v>127.88</v>
      </c>
    </row>
    <row r="153" spans="1:10" ht="25.5">
      <c r="A153" s="1261" t="s">
        <v>196</v>
      </c>
      <c r="B153" s="1262"/>
      <c r="C153" s="362"/>
      <c r="D153" s="355"/>
      <c r="E153" s="357"/>
      <c r="F153" s="358"/>
      <c r="G153" s="359">
        <f>SUM(G138:G152)</f>
        <v>2405</v>
      </c>
      <c r="H153" s="360"/>
      <c r="I153" s="119">
        <f>G153-(G38+G52)</f>
        <v>310</v>
      </c>
      <c r="J153" s="363"/>
    </row>
    <row r="154" spans="1:10" ht="27.75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0" ht="27.75">
      <c r="A155" s="1256" t="s">
        <v>345</v>
      </c>
      <c r="B155" s="1256"/>
      <c r="C155" s="1256"/>
      <c r="D155" s="117" t="s">
        <v>130</v>
      </c>
      <c r="E155" s="95">
        <f>'24'!F155</f>
        <v>198456</v>
      </c>
      <c r="F155" s="157">
        <v>198893</v>
      </c>
      <c r="G155" s="112">
        <f t="shared" ref="G155:G158" si="12">F155-E155</f>
        <v>437</v>
      </c>
      <c r="H155" s="99">
        <f>G155+'24'!H155</f>
        <v>13152</v>
      </c>
      <c r="I155" s="361"/>
      <c r="J155" s="328">
        <f>H155/DAY(B2)</f>
        <v>526.08000000000004</v>
      </c>
    </row>
    <row r="156" spans="1:10" ht="25.5">
      <c r="A156" s="1256" t="s">
        <v>347</v>
      </c>
      <c r="B156" s="1256"/>
      <c r="C156" s="1256"/>
      <c r="D156" s="117" t="s">
        <v>130</v>
      </c>
      <c r="E156" s="95">
        <f>'24'!F156</f>
        <v>23034</v>
      </c>
      <c r="F156" s="157">
        <v>23131</v>
      </c>
      <c r="G156" s="112">
        <f t="shared" si="12"/>
        <v>97</v>
      </c>
      <c r="H156" s="99">
        <f>G156+'24'!H156</f>
        <v>8333</v>
      </c>
      <c r="I156" s="165"/>
      <c r="J156" s="328">
        <f>H156/DAY(B2)</f>
        <v>333.32</v>
      </c>
    </row>
    <row r="157" spans="1:10" ht="25.5">
      <c r="A157" s="1257" t="s">
        <v>358</v>
      </c>
      <c r="B157" s="1258"/>
      <c r="C157" s="1259"/>
      <c r="D157" s="117" t="s">
        <v>130</v>
      </c>
      <c r="E157" s="95">
        <f>'24'!F157</f>
        <v>37559</v>
      </c>
      <c r="F157" s="157">
        <v>37559</v>
      </c>
      <c r="G157" s="112">
        <f t="shared" si="12"/>
        <v>0</v>
      </c>
      <c r="H157" s="99">
        <f>G157+'24'!H157</f>
        <v>0.45999999999912689</v>
      </c>
      <c r="I157" s="165"/>
      <c r="J157" s="328"/>
    </row>
    <row r="158" spans="1:10" ht="25.5">
      <c r="A158" s="1257" t="s">
        <v>359</v>
      </c>
      <c r="B158" s="1258"/>
      <c r="C158" s="1259"/>
      <c r="D158" s="117" t="s">
        <v>130</v>
      </c>
      <c r="E158" s="95">
        <f>'24'!F158</f>
        <v>1049</v>
      </c>
      <c r="F158" s="157">
        <v>1063</v>
      </c>
      <c r="G158" s="112">
        <f t="shared" si="12"/>
        <v>14</v>
      </c>
      <c r="H158" s="99">
        <f>G158+'24'!H158</f>
        <v>124</v>
      </c>
      <c r="I158" s="165"/>
      <c r="J158" s="328"/>
    </row>
    <row r="159" spans="1:10" ht="25.5">
      <c r="A159" s="1263"/>
      <c r="B159" s="1264"/>
      <c r="C159" s="1265"/>
      <c r="D159" s="117"/>
      <c r="E159" s="95"/>
      <c r="F159" s="158"/>
      <c r="G159" s="112"/>
      <c r="H159" s="99"/>
      <c r="I159" s="165"/>
      <c r="J159" s="328"/>
    </row>
    <row r="160" spans="1:10" ht="27.75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26.25">
      <c r="A161" s="242" t="s">
        <v>92</v>
      </c>
      <c r="B161" s="243"/>
      <c r="C161" s="243"/>
      <c r="D161" s="244" t="s">
        <v>180</v>
      </c>
      <c r="E161" s="95">
        <f>'24'!F161</f>
        <v>495188</v>
      </c>
      <c r="F161" s="235">
        <v>495578</v>
      </c>
      <c r="G161" s="238">
        <f t="shared" ref="G161:G165" si="13">F161-E161</f>
        <v>390</v>
      </c>
      <c r="H161" s="99">
        <f>G161+'24'!H161</f>
        <v>2300.960000000021</v>
      </c>
      <c r="I161" s="236"/>
      <c r="J161" s="239">
        <f>H161/DAY(B2)</f>
        <v>92.038400000000834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'24'!F162</f>
        <v>98169</v>
      </c>
      <c r="F162" s="235">
        <v>98206</v>
      </c>
      <c r="G162" s="238">
        <f t="shared" si="13"/>
        <v>37</v>
      </c>
      <c r="H162" s="99">
        <f>G162+'24'!H162</f>
        <v>918</v>
      </c>
      <c r="I162" s="236"/>
      <c r="J162" s="239">
        <f>H162/DAY(B2)</f>
        <v>36.72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'24'!F163</f>
        <v>17023</v>
      </c>
      <c r="F163" s="235">
        <v>17151</v>
      </c>
      <c r="G163" s="238">
        <f t="shared" si="13"/>
        <v>128</v>
      </c>
      <c r="H163" s="99">
        <f>G163+'24'!H163</f>
        <v>2987</v>
      </c>
      <c r="I163" s="236"/>
      <c r="J163" s="239">
        <f>H163/DAY(B2)</f>
        <v>119.48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'24'!F164</f>
        <v>6779</v>
      </c>
      <c r="F164" s="235">
        <v>6781</v>
      </c>
      <c r="G164" s="238">
        <f t="shared" si="13"/>
        <v>2</v>
      </c>
      <c r="H164" s="99">
        <f>G164+'24'!H164</f>
        <v>169</v>
      </c>
      <c r="I164" s="236"/>
      <c r="J164" s="239">
        <f>H164/DAY(B2)</f>
        <v>6.76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'24'!F165</f>
        <v>32301</v>
      </c>
      <c r="F165" s="235">
        <v>32308</v>
      </c>
      <c r="G165" s="238">
        <f t="shared" si="13"/>
        <v>7</v>
      </c>
      <c r="H165" s="99">
        <f>G165+'24'!H165</f>
        <v>167</v>
      </c>
      <c r="I165" s="236"/>
      <c r="J165" s="239">
        <f>H165/DAY(B2)</f>
        <v>6.68</v>
      </c>
    </row>
    <row r="166" spans="1:10" ht="26.25">
      <c r="A166" s="1274"/>
      <c r="B166" s="1274"/>
      <c r="C166" s="246"/>
      <c r="D166" s="244" t="s">
        <v>180</v>
      </c>
      <c r="E166" s="95">
        <f>'24'!F166</f>
        <v>0</v>
      </c>
      <c r="F166" s="165" t="s">
        <v>371</v>
      </c>
      <c r="G166" s="165"/>
      <c r="H166" s="99">
        <f>G166+'24'!H166</f>
        <v>0</v>
      </c>
      <c r="I166" s="165"/>
      <c r="J166" s="239">
        <f>H166/DAY(B2)</f>
        <v>0</v>
      </c>
    </row>
    <row r="167" spans="1:10" ht="26.25">
      <c r="A167" s="1274"/>
      <c r="B167" s="1274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6.25">
      <c r="A168" s="1274"/>
      <c r="B168" s="1274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6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1.75" customHeight="1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1254" t="s">
        <v>209</v>
      </c>
      <c r="B173" s="1255"/>
      <c r="C173" s="333"/>
      <c r="D173" s="228" t="s">
        <v>142</v>
      </c>
      <c r="E173" s="95">
        <f>'24'!F173</f>
        <v>8229</v>
      </c>
      <c r="F173" s="155">
        <v>8229</v>
      </c>
      <c r="G173" s="155">
        <f>F173-E173</f>
        <v>0</v>
      </c>
      <c r="H173" s="99">
        <f>G173+'24'!H173</f>
        <v>39</v>
      </c>
      <c r="I173" s="155"/>
      <c r="J173" s="178">
        <f>H173/DAY(B2)</f>
        <v>1.56</v>
      </c>
    </row>
    <row r="174" spans="1:10" ht="27.75" customHeight="1">
      <c r="A174" s="1254" t="s">
        <v>75</v>
      </c>
      <c r="B174" s="1255"/>
      <c r="C174" s="333"/>
      <c r="D174" s="228" t="s">
        <v>142</v>
      </c>
      <c r="E174" s="95">
        <f>'24'!F174</f>
        <v>42269</v>
      </c>
      <c r="F174" s="157">
        <v>42276</v>
      </c>
      <c r="G174" s="155">
        <f t="shared" ref="G174:G175" si="14">F174-E174</f>
        <v>7</v>
      </c>
      <c r="H174" s="99">
        <f>G174+'24'!H174</f>
        <v>314</v>
      </c>
      <c r="I174" s="155"/>
      <c r="J174" s="178">
        <f>H174/DAY(B2)</f>
        <v>12.56</v>
      </c>
    </row>
    <row r="175" spans="1:10" ht="21.75" customHeight="1">
      <c r="A175" s="1254" t="s">
        <v>76</v>
      </c>
      <c r="B175" s="1324"/>
      <c r="C175" s="1255"/>
      <c r="D175" s="228" t="s">
        <v>142</v>
      </c>
      <c r="E175" s="95">
        <f>'24'!F175</f>
        <v>24968</v>
      </c>
      <c r="F175" s="155">
        <v>24975</v>
      </c>
      <c r="G175" s="155">
        <f t="shared" si="14"/>
        <v>7</v>
      </c>
      <c r="H175" s="99">
        <f>G175+'24'!H175</f>
        <v>278</v>
      </c>
      <c r="I175" s="155"/>
      <c r="J175" s="178">
        <f>H175/DAY(B2)</f>
        <v>11.12</v>
      </c>
    </row>
    <row r="176" spans="1:10" ht="23.25" customHeight="1">
      <c r="A176" s="1261" t="s">
        <v>196</v>
      </c>
      <c r="B176" s="1262"/>
      <c r="C176" s="384"/>
      <c r="D176" s="228" t="s">
        <v>142</v>
      </c>
      <c r="E176" s="95"/>
      <c r="F176" s="155"/>
      <c r="G176" s="155">
        <f>SUM(G173:G175)</f>
        <v>14</v>
      </c>
      <c r="H176" s="99">
        <f>G176+'24'!H176</f>
        <v>631</v>
      </c>
      <c r="I176" s="155"/>
      <c r="J176" s="178">
        <f>H176/DAY(B2)</f>
        <v>25.24</v>
      </c>
    </row>
    <row r="177" spans="1:10" ht="21.75" customHeight="1">
      <c r="A177" s="1254" t="s">
        <v>77</v>
      </c>
      <c r="B177" s="1255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5.5">
      <c r="A178" s="1254" t="s">
        <v>210</v>
      </c>
      <c r="B178" s="1255"/>
      <c r="C178" s="333"/>
      <c r="D178" s="228" t="s">
        <v>142</v>
      </c>
      <c r="E178" s="95">
        <f>'24'!F178</f>
        <v>102114</v>
      </c>
      <c r="F178" s="155">
        <v>102114</v>
      </c>
      <c r="G178" s="155">
        <f>F178-E178</f>
        <v>0</v>
      </c>
      <c r="H178" s="99">
        <f>G178+'24'!H178</f>
        <v>3</v>
      </c>
      <c r="I178" s="155"/>
      <c r="J178" s="178">
        <f>H178/DAY(B2)</f>
        <v>0.12</v>
      </c>
    </row>
    <row r="179" spans="1:10" ht="24" customHeight="1">
      <c r="A179" s="1254" t="s">
        <v>211</v>
      </c>
      <c r="B179" s="1255"/>
      <c r="C179" s="333"/>
      <c r="D179" s="228" t="s">
        <v>142</v>
      </c>
      <c r="E179" s="95">
        <f>'24'!F179</f>
        <v>37501</v>
      </c>
      <c r="F179" s="155">
        <v>37501</v>
      </c>
      <c r="G179" s="155">
        <f t="shared" ref="G179:G180" si="15">F179-E179</f>
        <v>0</v>
      </c>
      <c r="H179" s="99">
        <f>G179+'24'!H179</f>
        <v>0</v>
      </c>
      <c r="I179" s="155"/>
      <c r="J179" s="178">
        <f>H179/DAY(B2)</f>
        <v>0</v>
      </c>
    </row>
    <row r="180" spans="1:10" ht="25.5">
      <c r="A180" s="1254" t="s">
        <v>212</v>
      </c>
      <c r="B180" s="1255"/>
      <c r="C180" s="333"/>
      <c r="D180" s="228" t="s">
        <v>142</v>
      </c>
      <c r="E180" s="95">
        <f>'24'!F180</f>
        <v>7226</v>
      </c>
      <c r="F180" s="155">
        <v>7231</v>
      </c>
      <c r="G180" s="155">
        <f t="shared" si="15"/>
        <v>5</v>
      </c>
      <c r="H180" s="99">
        <f>G180+'24'!H180</f>
        <v>5</v>
      </c>
      <c r="I180" s="155"/>
      <c r="J180" s="178">
        <f>H180/DAY(B2)</f>
        <v>0.2</v>
      </c>
    </row>
    <row r="181" spans="1:10" ht="25.5">
      <c r="A181" s="1325" t="s">
        <v>108</v>
      </c>
      <c r="B181" s="1326"/>
      <c r="C181" s="384"/>
      <c r="D181" s="228" t="s">
        <v>142</v>
      </c>
      <c r="E181" s="95"/>
      <c r="F181" s="155"/>
      <c r="G181" s="155">
        <f>SUM(G178:G180)</f>
        <v>5</v>
      </c>
      <c r="H181" s="99">
        <f>G181+'24'!H181</f>
        <v>8</v>
      </c>
      <c r="I181" s="155"/>
      <c r="J181" s="178">
        <f>H181/DAY(B2)</f>
        <v>0.32</v>
      </c>
    </row>
    <row r="182" spans="1:10" ht="25.5">
      <c r="A182" s="1254" t="s">
        <v>213</v>
      </c>
      <c r="B182" s="1255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5.5">
      <c r="A183" s="1254" t="s">
        <v>214</v>
      </c>
      <c r="B183" s="1255"/>
      <c r="C183" s="334"/>
      <c r="D183" s="228" t="s">
        <v>142</v>
      </c>
      <c r="E183" s="95">
        <f>'24'!F183</f>
        <v>17977</v>
      </c>
      <c r="F183" s="157">
        <v>17978</v>
      </c>
      <c r="G183" s="157">
        <f>F183-E183</f>
        <v>1</v>
      </c>
      <c r="H183" s="99">
        <f>G183+'24'!H183</f>
        <v>130</v>
      </c>
      <c r="I183" s="155"/>
      <c r="J183" s="178">
        <f>H183/DAY(B2)</f>
        <v>5.2</v>
      </c>
    </row>
    <row r="184" spans="1:10" ht="30.75" customHeight="1">
      <c r="A184" s="1254" t="s">
        <v>215</v>
      </c>
      <c r="B184" s="1255"/>
      <c r="C184" s="334"/>
      <c r="D184" s="228" t="s">
        <v>142</v>
      </c>
      <c r="E184" s="95">
        <f>'24'!F184</f>
        <v>12523</v>
      </c>
      <c r="F184" s="157">
        <v>12526</v>
      </c>
      <c r="G184" s="157">
        <f t="shared" ref="G184:G185" si="16">F184-E184</f>
        <v>3</v>
      </c>
      <c r="H184" s="99">
        <f>G184+'24'!H184</f>
        <v>177</v>
      </c>
      <c r="I184" s="155"/>
      <c r="J184" s="178">
        <f>H184/DAY(B2)</f>
        <v>7.08</v>
      </c>
    </row>
    <row r="185" spans="1:10" ht="23.25" customHeight="1">
      <c r="A185" s="1254" t="s">
        <v>216</v>
      </c>
      <c r="B185" s="1255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5.5">
      <c r="A186" s="1261" t="s">
        <v>196</v>
      </c>
      <c r="B186" s="1262"/>
      <c r="C186" s="383"/>
      <c r="D186" s="228" t="s">
        <v>142</v>
      </c>
      <c r="E186" s="95"/>
      <c r="F186" s="157">
        <v>0</v>
      </c>
      <c r="G186" s="157">
        <f>SUM(G183:G185)</f>
        <v>4</v>
      </c>
      <c r="H186" s="99">
        <f>G186+'24'!H186</f>
        <v>307</v>
      </c>
      <c r="I186" s="157"/>
      <c r="J186" s="178">
        <f>H186/DAY(B2)</f>
        <v>12.28</v>
      </c>
    </row>
    <row r="187" spans="1:10" ht="25.5">
      <c r="A187" s="1250" t="s">
        <v>217</v>
      </c>
      <c r="B187" s="1251"/>
      <c r="C187" s="333"/>
      <c r="D187" s="228" t="s">
        <v>142</v>
      </c>
      <c r="E187" s="95">
        <f>'24'!F187</f>
        <v>0</v>
      </c>
      <c r="F187" s="159"/>
      <c r="G187" s="367">
        <f>G62+G19</f>
        <v>108</v>
      </c>
      <c r="H187" s="99">
        <f>G187+'24'!H187</f>
        <v>3699</v>
      </c>
      <c r="I187" s="158"/>
      <c r="J187" s="179">
        <f>H187/DAY(B2)</f>
        <v>147.96</v>
      </c>
    </row>
    <row r="188" spans="1:10" ht="25.5">
      <c r="A188" s="1250" t="s">
        <v>218</v>
      </c>
      <c r="B188" s="1251"/>
      <c r="C188" s="333"/>
      <c r="D188" s="230" t="s">
        <v>142</v>
      </c>
      <c r="E188" s="95">
        <f>'24'!F188</f>
        <v>0</v>
      </c>
      <c r="F188" s="159"/>
      <c r="G188" s="367">
        <f>G65+G66+G67+G69+G70</f>
        <v>112</v>
      </c>
      <c r="H188" s="99">
        <f>G188+'24'!H188</f>
        <v>1697</v>
      </c>
      <c r="I188" s="158"/>
      <c r="J188" s="179">
        <f>H188/DAY(B2)</f>
        <v>67.88</v>
      </c>
    </row>
    <row r="189" spans="1:10" ht="25.5">
      <c r="A189" s="1250" t="s">
        <v>219</v>
      </c>
      <c r="B189" s="1251"/>
      <c r="C189" s="333"/>
      <c r="D189" s="230" t="s">
        <v>142</v>
      </c>
      <c r="E189" s="95">
        <f>'24'!F189</f>
        <v>0</v>
      </c>
      <c r="F189" s="157"/>
      <c r="G189" s="366">
        <f>G181</f>
        <v>5</v>
      </c>
      <c r="H189" s="99">
        <f>G189+'24'!H189</f>
        <v>5</v>
      </c>
      <c r="I189" s="158"/>
      <c r="J189" s="179">
        <f>H189/DAY(B2)</f>
        <v>0.2</v>
      </c>
    </row>
    <row r="190" spans="1:10" ht="25.5">
      <c r="A190" s="1252"/>
      <c r="B190" s="1253"/>
      <c r="C190" s="382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</mergeCells>
  <pageMargins left="0.22" right="0.17" top="0.14000000000000001" bottom="0.2" header="0.2" footer="0.2"/>
  <pageSetup paperSize="5" scale="2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F27" sqref="F27:F3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432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3.25">
      <c r="A2" s="191" t="s">
        <v>353</v>
      </c>
      <c r="B2" s="262">
        <v>44830</v>
      </c>
      <c r="C2" s="348" t="s">
        <v>67</v>
      </c>
      <c r="D2" s="218">
        <v>0.54449999999999998</v>
      </c>
      <c r="E2" s="100"/>
      <c r="F2" s="100"/>
      <c r="G2" s="409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1322" t="s">
        <v>119</v>
      </c>
      <c r="F3" s="1323"/>
      <c r="G3" s="410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10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11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319" t="s">
        <v>128</v>
      </c>
      <c r="B6" s="1320"/>
      <c r="C6" s="1321"/>
      <c r="D6" s="110"/>
      <c r="E6" s="110"/>
      <c r="F6" s="110"/>
      <c r="G6" s="412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'[2]25'!F7</f>
        <v>755524.07</v>
      </c>
      <c r="F7" s="95">
        <v>778284.31</v>
      </c>
      <c r="G7" s="413">
        <f>F7-E7</f>
        <v>22760.240000000107</v>
      </c>
      <c r="H7" s="99">
        <f>G7+'[2]25'!H7</f>
        <v>655058.31000000006</v>
      </c>
      <c r="I7" s="113">
        <f>'[2]1'!I7</f>
        <v>12000</v>
      </c>
      <c r="J7" s="175">
        <f>H7/DAY(B2)</f>
        <v>25194.550384615388</v>
      </c>
      <c r="K7" s="172">
        <v>1375467</v>
      </c>
      <c r="L7" s="66"/>
      <c r="N7" s="87"/>
      <c r="O7" s="71">
        <f>G7-G8</f>
        <v>-178.15999999991618</v>
      </c>
    </row>
    <row r="8" spans="1:15" ht="27" thickBot="1">
      <c r="A8" s="196" t="s">
        <v>131</v>
      </c>
      <c r="B8" s="197"/>
      <c r="C8" s="198"/>
      <c r="D8" s="224" t="s">
        <v>24</v>
      </c>
      <c r="E8" s="95">
        <f>'[2]25'!F8</f>
        <v>921891.83</v>
      </c>
      <c r="F8" s="95">
        <v>944830.23</v>
      </c>
      <c r="G8" s="414">
        <f>F8-E8</f>
        <v>22938.400000000023</v>
      </c>
      <c r="H8" s="99">
        <f>G8+'[2]25'!H8</f>
        <v>662284.23</v>
      </c>
      <c r="I8" s="116"/>
      <c r="J8" s="175">
        <f>H8/DAY(B2)</f>
        <v>25472.470384615382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'[2]25'!F9</f>
        <v>3661990.7</v>
      </c>
      <c r="F9" s="447">
        <v>3670073.9</v>
      </c>
      <c r="G9" s="413">
        <f>F9-E9</f>
        <v>8083.1999999997206</v>
      </c>
      <c r="H9" s="99">
        <f>G9+'[2]25'!H9</f>
        <v>179705.19999999972</v>
      </c>
      <c r="I9" s="124">
        <f>I7-J7</f>
        <v>-13194.550384615388</v>
      </c>
      <c r="J9" s="175">
        <f>H9/DAY(B2)</f>
        <v>6911.7384615384508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'[2]25'!F10</f>
        <v>2664459.2999999998</v>
      </c>
      <c r="F10" s="353">
        <v>2678538.7000000002</v>
      </c>
      <c r="G10" s="413">
        <f t="shared" ref="G10:G12" si="0">F10-E10</f>
        <v>14079.400000000373</v>
      </c>
      <c r="H10" s="99">
        <f>G10+'[2]25'!H10</f>
        <v>457741.40000000037</v>
      </c>
      <c r="I10" s="282"/>
      <c r="J10" s="175">
        <f>H10/DAY(B2)</f>
        <v>17605.438461538477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'[2]25'!F11</f>
        <v>37560</v>
      </c>
      <c r="F11" s="95">
        <v>37560</v>
      </c>
      <c r="G11" s="413">
        <f t="shared" si="0"/>
        <v>0</v>
      </c>
      <c r="H11" s="99">
        <f>G11+'[2]25'!H11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'[2]25'!F12</f>
        <v>40380</v>
      </c>
      <c r="F12" s="117">
        <v>40380</v>
      </c>
      <c r="G12" s="413">
        <f t="shared" si="0"/>
        <v>0</v>
      </c>
      <c r="H12" s="99">
        <f>G12+'[2]25'!H12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15">
        <f>G9+G10+G11+G12</f>
        <v>22162.600000000093</v>
      </c>
      <c r="H13" s="99">
        <f>G13+'[2]25'!H13</f>
        <v>640430.79999999981</v>
      </c>
      <c r="I13" s="120">
        <f>G7-G13</f>
        <v>597.64000000001397</v>
      </c>
      <c r="J13" s="175">
        <f>H13/DAY(B2)</f>
        <v>24631.95384615384</v>
      </c>
      <c r="K13" s="79"/>
      <c r="L13" s="66"/>
      <c r="N13" s="87">
        <f>G13-G7</f>
        <v>-597.64000000001397</v>
      </c>
      <c r="O13" s="71">
        <f>G8-G7</f>
        <v>178.15999999991618</v>
      </c>
    </row>
    <row r="14" spans="1:15" ht="26.25">
      <c r="A14" s="1308" t="s">
        <v>137</v>
      </c>
      <c r="B14" s="1309"/>
      <c r="C14" s="1310"/>
      <c r="D14" s="111"/>
      <c r="E14" s="111"/>
      <c r="F14" s="111"/>
      <c r="G14" s="416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47">
        <f>'[2]25'!F15</f>
        <v>2156488.98</v>
      </c>
      <c r="F15" s="447">
        <v>2157483.52</v>
      </c>
      <c r="G15" s="413">
        <f>(F15-E15)</f>
        <v>994.54000000003725</v>
      </c>
      <c r="H15" s="99">
        <f>G15+'[2]25'!H15</f>
        <v>25649.919999999925</v>
      </c>
      <c r="I15" s="113">
        <f>'[2]1'!I15</f>
        <v>800</v>
      </c>
      <c r="J15" s="175">
        <f>H15/DAY(B2)</f>
        <v>986.53538461538176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13"/>
      <c r="H16" s="124"/>
      <c r="I16" s="120">
        <f>I15-J15</f>
        <v>-186.53538461538176</v>
      </c>
      <c r="J16" s="176"/>
      <c r="K16" s="79"/>
      <c r="L16" s="66"/>
      <c r="N16" s="87"/>
      <c r="O16" s="71"/>
    </row>
    <row r="17" spans="1:15" ht="26.25">
      <c r="A17" s="1308" t="s">
        <v>140</v>
      </c>
      <c r="B17" s="1309"/>
      <c r="C17" s="1310"/>
      <c r="D17" s="111"/>
      <c r="E17" s="111"/>
      <c r="F17" s="111"/>
      <c r="G17" s="416"/>
      <c r="H17" s="111"/>
      <c r="I17" s="111"/>
      <c r="J17" s="174"/>
      <c r="K17" s="79"/>
      <c r="L17" s="66"/>
      <c r="N17" s="87"/>
      <c r="O17" s="71"/>
    </row>
    <row r="18" spans="1:15" ht="25.5">
      <c r="A18" s="1281" t="s">
        <v>141</v>
      </c>
      <c r="B18" s="1282"/>
      <c r="C18" s="1283"/>
      <c r="D18" s="151" t="s">
        <v>142</v>
      </c>
      <c r="E18" s="95">
        <f>'[2]25'!F18</f>
        <v>22</v>
      </c>
      <c r="F18" s="164">
        <v>26</v>
      </c>
      <c r="G18" s="415">
        <f>F18*10</f>
        <v>260</v>
      </c>
      <c r="H18" s="99">
        <f>G18+'[2]25'!H18</f>
        <v>4380</v>
      </c>
      <c r="I18" s="113">
        <f>'[2]1'!I18</f>
        <v>65</v>
      </c>
      <c r="J18" s="175">
        <f>H18/DAY(B2)</f>
        <v>168.46153846153845</v>
      </c>
      <c r="K18" s="79"/>
      <c r="L18" s="66"/>
      <c r="N18" s="87"/>
      <c r="O18" s="71"/>
    </row>
    <row r="19" spans="1:15" ht="25.5">
      <c r="A19" s="1281" t="s">
        <v>69</v>
      </c>
      <c r="B19" s="1282"/>
      <c r="C19" s="1283"/>
      <c r="D19" s="151" t="s">
        <v>142</v>
      </c>
      <c r="E19" s="95">
        <f>'[2]25'!F19</f>
        <v>165186</v>
      </c>
      <c r="F19" s="122">
        <v>165240</v>
      </c>
      <c r="G19" s="413">
        <f t="shared" ref="G19" si="1">F19-E19</f>
        <v>54</v>
      </c>
      <c r="H19" s="99">
        <f>G19+'[2]25'!H19</f>
        <v>1347</v>
      </c>
      <c r="I19" s="335"/>
      <c r="J19" s="175">
        <f>H19/DAY(B2)</f>
        <v>51.807692307692307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17">
        <f>G18+G19</f>
        <v>314</v>
      </c>
      <c r="H20" s="99">
        <f>G20+'[2]25'!H20</f>
        <v>5727</v>
      </c>
      <c r="I20" s="336">
        <f>I18-J20</f>
        <v>-155.26923076923077</v>
      </c>
      <c r="J20" s="175">
        <f>H20/DAY(B2)</f>
        <v>220.26923076923077</v>
      </c>
      <c r="K20" s="79"/>
      <c r="L20" s="66"/>
      <c r="N20" s="87"/>
      <c r="O20" s="71"/>
    </row>
    <row r="21" spans="1:15" ht="26.25">
      <c r="A21" s="1308" t="s">
        <v>144</v>
      </c>
      <c r="B21" s="1309"/>
      <c r="C21" s="1310"/>
      <c r="D21" s="111"/>
      <c r="E21" s="111"/>
      <c r="F21" s="111"/>
      <c r="G21" s="416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'[2]25'!F22</f>
        <v>2970</v>
      </c>
      <c r="F22" s="122">
        <v>2970</v>
      </c>
      <c r="G22" s="415">
        <f t="shared" ref="G22" si="2">(F22-E22)</f>
        <v>0</v>
      </c>
      <c r="H22" s="99">
        <f>G22+'[2]25'!H22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'[2]25'!F23</f>
        <v>1500</v>
      </c>
      <c r="F23" s="122">
        <v>1500</v>
      </c>
      <c r="G23" s="415">
        <v>0</v>
      </c>
      <c r="H23" s="99">
        <f>G23+'[2]25'!H23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'[2]25'!F24</f>
        <v>4470</v>
      </c>
      <c r="F24" s="128">
        <v>4470</v>
      </c>
      <c r="G24" s="415">
        <v>0</v>
      </c>
      <c r="H24" s="99">
        <f>G24+'[2]25'!H24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311" t="s">
        <v>149</v>
      </c>
      <c r="B25" s="1312"/>
      <c r="C25" s="1313"/>
      <c r="D25" s="110"/>
      <c r="E25" s="110"/>
      <c r="F25" s="110"/>
      <c r="G25" s="418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19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22938.400000000023</v>
      </c>
      <c r="F27" s="136">
        <v>10</v>
      </c>
      <c r="G27" s="420">
        <f>E27*F27</f>
        <v>229384.00000000023</v>
      </c>
      <c r="H27" s="99">
        <f>G27+'[2]25'!H27</f>
        <v>5983496.4699999997</v>
      </c>
      <c r="I27" s="138"/>
      <c r="J27" s="175">
        <f>H27/DAY(B2)</f>
        <v>230134.4796153846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994.54000000003725</v>
      </c>
      <c r="F28" s="136">
        <v>75</v>
      </c>
      <c r="G28" s="420">
        <f>E28*F28</f>
        <v>74590.500000002794</v>
      </c>
      <c r="H28" s="99">
        <f>G28+'[2]25'!H28</f>
        <v>1800467.099999995</v>
      </c>
      <c r="I28" s="140"/>
      <c r="J28" s="175">
        <f>H28/DAY(B2)</f>
        <v>69248.734615384426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20">
        <f>E29*F29</f>
        <v>0</v>
      </c>
      <c r="H29" s="99">
        <f>G29+'[2]25'!H29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420">
        <f>E30*F30</f>
        <v>8154</v>
      </c>
      <c r="H30" s="99">
        <f>G30+'[2]25'!H30</f>
        <v>203397</v>
      </c>
      <c r="I30" s="140"/>
      <c r="J30" s="175">
        <f>H30/DAY(B2)</f>
        <v>7822.9615384615381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85</v>
      </c>
      <c r="G31" s="420">
        <f>E31*F31</f>
        <v>22100</v>
      </c>
      <c r="H31" s="99">
        <f>G31+'[2]25'!H31</f>
        <v>351700</v>
      </c>
      <c r="I31" s="140"/>
      <c r="J31" s="175">
        <f>H31/DAY(B2)</f>
        <v>13526.923076923076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21">
        <f>G27+G28+G29+G30+G31</f>
        <v>334228.50000000303</v>
      </c>
      <c r="H32" s="99">
        <f>G32+'[2]25'!H32</f>
        <v>8339060.5699999947</v>
      </c>
      <c r="I32" s="144"/>
      <c r="J32" s="175">
        <f>H32/DAY(B2)</f>
        <v>320733.09884615365</v>
      </c>
      <c r="K32" s="63"/>
      <c r="L32" s="89"/>
      <c r="N32" s="87"/>
      <c r="O32" s="71"/>
    </row>
    <row r="33" spans="1:15" ht="25.5">
      <c r="A33" s="1314" t="s">
        <v>331</v>
      </c>
      <c r="B33" s="1315"/>
      <c r="C33" s="1315"/>
      <c r="D33" s="337"/>
      <c r="E33" s="337"/>
      <c r="F33" s="337"/>
      <c r="G33" s="422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23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'[2]25'!F35</f>
        <v>238713.05</v>
      </c>
      <c r="F35" s="145">
        <v>238713.05</v>
      </c>
      <c r="G35" s="413">
        <f t="shared" ref="G35:G46" si="3">F35-E35</f>
        <v>0</v>
      </c>
      <c r="H35" s="99">
        <f>G35+'[2]25'!H35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'[2]25'!F36</f>
        <v>264468.09000000003</v>
      </c>
      <c r="F36" s="145">
        <v>265376.90999999997</v>
      </c>
      <c r="G36" s="413">
        <f t="shared" si="3"/>
        <v>908.81999999994878</v>
      </c>
      <c r="H36" s="99">
        <f>G36+'[2]25'!H36</f>
        <v>23559.859999999986</v>
      </c>
      <c r="I36" s="95"/>
      <c r="J36" s="175">
        <f>H36/DAY(B2)</f>
        <v>906.14846153846099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'[2]25'!F37</f>
        <v>322998.69</v>
      </c>
      <c r="F37" s="145">
        <v>322998.69</v>
      </c>
      <c r="G37" s="413">
        <f t="shared" si="3"/>
        <v>0</v>
      </c>
      <c r="H37" s="99">
        <f>G37+'[2]25'!H37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'[2]25'!F38</f>
        <v>582898.27</v>
      </c>
      <c r="F38" s="108">
        <v>585003.27</v>
      </c>
      <c r="G38" s="413">
        <f t="shared" si="3"/>
        <v>2105</v>
      </c>
      <c r="H38" s="99">
        <f>G38+'[2]25'!H38</f>
        <v>59247.770000000019</v>
      </c>
      <c r="I38" s="95"/>
      <c r="J38" s="175">
        <f>H38/DAY(B2)</f>
        <v>2278.7603846153852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'[2]25'!F39</f>
        <v>591584.18999999994</v>
      </c>
      <c r="F39" s="145">
        <v>591584.18999999994</v>
      </c>
      <c r="G39" s="413">
        <f t="shared" si="3"/>
        <v>0</v>
      </c>
      <c r="H39" s="99">
        <f>G39+'[2]25'!H39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'[2]25'!F40</f>
        <v>153753.67000000001</v>
      </c>
      <c r="F40" s="145">
        <v>154549.48000000001</v>
      </c>
      <c r="G40" s="413">
        <f t="shared" si="3"/>
        <v>795.80999999999767</v>
      </c>
      <c r="H40" s="99">
        <f>G40+'[2]25'!H40</f>
        <v>21278.25</v>
      </c>
      <c r="I40" s="95"/>
      <c r="J40" s="175">
        <f>H40/DAY(B2)</f>
        <v>818.39423076923072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'[2]25'!F41</f>
        <v>362008.83</v>
      </c>
      <c r="F41" s="145">
        <v>367294.99</v>
      </c>
      <c r="G41" s="413">
        <f t="shared" si="3"/>
        <v>5286.1599999999744</v>
      </c>
      <c r="H41" s="99">
        <f>G41+'[2]25'!H41</f>
        <v>85081.919999999984</v>
      </c>
      <c r="I41" s="95"/>
      <c r="J41" s="175">
        <f>H41/DAY(B2)</f>
        <v>3272.3815384615377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'[2]25'!F42</f>
        <v>814404.47</v>
      </c>
      <c r="F42" s="145">
        <v>814404.47</v>
      </c>
      <c r="G42" s="413">
        <f t="shared" si="3"/>
        <v>0</v>
      </c>
      <c r="H42" s="99">
        <f>G42+'[2]25'!H42</f>
        <v>15385.919999999925</v>
      </c>
      <c r="I42" s="95"/>
      <c r="J42" s="175">
        <f>H42/DAY(B2)</f>
        <v>591.76615384615093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'[2]25'!F43</f>
        <v>407028.03</v>
      </c>
      <c r="F43" s="145">
        <v>407028.03</v>
      </c>
      <c r="G43" s="413">
        <f t="shared" si="3"/>
        <v>0</v>
      </c>
      <c r="H43" s="99">
        <f>G43+'[2]25'!H43</f>
        <v>3.0000000027939677E-2</v>
      </c>
      <c r="I43" s="95"/>
      <c r="J43" s="175">
        <f>H43/DAY(B2)</f>
        <v>1.1538461549207568E-3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'[2]25'!F44</f>
        <v>0</v>
      </c>
      <c r="F44" s="145">
        <v>0</v>
      </c>
      <c r="G44" s="413">
        <f t="shared" si="3"/>
        <v>0</v>
      </c>
      <c r="H44" s="99">
        <f>G44+'[2]25'!H44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'[2]25'!F45</f>
        <v>0</v>
      </c>
      <c r="F45" s="145">
        <v>0</v>
      </c>
      <c r="G45" s="413">
        <f t="shared" si="3"/>
        <v>0</v>
      </c>
      <c r="H45" s="99">
        <f>G45+'[2]25'!H45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'[2]25'!F46</f>
        <v>0</v>
      </c>
      <c r="F46" s="145">
        <v>0</v>
      </c>
      <c r="G46" s="413">
        <f t="shared" si="3"/>
        <v>0</v>
      </c>
      <c r="H46" s="99">
        <f>G46+'[2]25'!H46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15">
        <f>G35+G36+G37+G38+G39+G40+G41+G42+G43+G44+G45+G46</f>
        <v>9095.7899999999208</v>
      </c>
      <c r="H47" s="99">
        <f>G47+'[2]25'!H47</f>
        <v>204553.74999999994</v>
      </c>
      <c r="I47" s="95"/>
      <c r="J47" s="175">
        <f>H47/DAY(B2)</f>
        <v>7867.451923076921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23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'[2]25'!F49</f>
        <v>701245.43</v>
      </c>
      <c r="F49" s="145">
        <v>704934.39</v>
      </c>
      <c r="G49" s="413">
        <f t="shared" ref="G49:G58" si="4">F49-E49</f>
        <v>3688.9599999999627</v>
      </c>
      <c r="H49" s="99">
        <f>G49+'[2]25'!H49</f>
        <v>95316.800000000047</v>
      </c>
      <c r="I49" s="95"/>
      <c r="J49" s="175">
        <f>H49/DAY(B2)</f>
        <v>3666.0307692307711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'[2]25'!F50</f>
        <v>357372.71</v>
      </c>
      <c r="F50" s="145">
        <v>358672.75</v>
      </c>
      <c r="G50" s="413">
        <f t="shared" si="4"/>
        <v>1300.039999999979</v>
      </c>
      <c r="H50" s="99">
        <f>G50+'[2]25'!H50</f>
        <v>241388.12</v>
      </c>
      <c r="I50" s="95"/>
      <c r="J50" s="175">
        <f>H50/DAY(B2)</f>
        <v>9284.1584615384618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'[2]25'!F51</f>
        <v>66469.73</v>
      </c>
      <c r="F51" s="145">
        <v>67529.19</v>
      </c>
      <c r="G51" s="413">
        <f t="shared" si="4"/>
        <v>1059.4600000000064</v>
      </c>
      <c r="H51" s="99">
        <f>G51+'[2]25'!H51</f>
        <v>26667.93</v>
      </c>
      <c r="I51" s="95"/>
      <c r="J51" s="175">
        <f>H51/DAY(B2)</f>
        <v>1025.6896153846153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'[2]25'!F52</f>
        <v>10</v>
      </c>
      <c r="F52" s="145">
        <v>10</v>
      </c>
      <c r="G52" s="413">
        <f t="shared" si="4"/>
        <v>0</v>
      </c>
      <c r="H52" s="99">
        <f>G52+'[2]25'!H52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'[2]25'!F53</f>
        <v>272897.34999999998</v>
      </c>
      <c r="F53" s="145">
        <v>277104.21000000002</v>
      </c>
      <c r="G53" s="413">
        <f t="shared" si="4"/>
        <v>4206.8600000000442</v>
      </c>
      <c r="H53" s="99">
        <f>G53+'[2]25'!H53</f>
        <v>109829.52000000002</v>
      </c>
      <c r="I53" s="95"/>
      <c r="J53" s="175">
        <f>H53/DAY(B2)</f>
        <v>4224.2123076923081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'[2]25'!F54</f>
        <v>100523.33</v>
      </c>
      <c r="F54" s="405">
        <v>100709.91</v>
      </c>
      <c r="G54" s="413">
        <f t="shared" si="4"/>
        <v>186.58000000000175</v>
      </c>
      <c r="H54" s="99">
        <f>G54+'[2]25'!H54</f>
        <v>4981.820000000007</v>
      </c>
      <c r="I54" s="95"/>
      <c r="J54" s="175">
        <f>H54/DAY(B2)</f>
        <v>191.6084615384618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'[2]25'!F55</f>
        <v>494482.51</v>
      </c>
      <c r="F55" s="145">
        <v>494482.51</v>
      </c>
      <c r="G55" s="413">
        <f t="shared" si="4"/>
        <v>0</v>
      </c>
      <c r="H55" s="99">
        <f>G55+'[2]25'!H55</f>
        <v>51312.760000000009</v>
      </c>
      <c r="I55" s="95"/>
      <c r="J55" s="175">
        <f>H55/DAY(B2)</f>
        <v>1973.5676923076926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'[2]25'!F56</f>
        <v>144175.85999999999</v>
      </c>
      <c r="F56" s="145">
        <v>144706.53</v>
      </c>
      <c r="G56" s="413">
        <f t="shared" si="4"/>
        <v>530.67000000001281</v>
      </c>
      <c r="H56" s="99">
        <f>G56+'[2]25'!H56</f>
        <v>18658.839999999997</v>
      </c>
      <c r="I56" s="95"/>
      <c r="J56" s="175">
        <f>H56/DAY(B2)</f>
        <v>717.64769230769218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'[2]25'!F57</f>
        <v>394515.47</v>
      </c>
      <c r="F57" s="145">
        <v>397236.23</v>
      </c>
      <c r="G57" s="413">
        <f t="shared" si="4"/>
        <v>2720.7600000000093</v>
      </c>
      <c r="H57" s="99">
        <f>G57+'[2]25'!H57</f>
        <v>74985.299999999988</v>
      </c>
      <c r="I57" s="95"/>
      <c r="J57" s="175">
        <f>H57/DAY(B2)</f>
        <v>2884.0499999999997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'[2]25'!F58</f>
        <v>62889.69</v>
      </c>
      <c r="F58" s="145">
        <v>63141.87</v>
      </c>
      <c r="G58" s="413">
        <f t="shared" si="4"/>
        <v>252.18000000000029</v>
      </c>
      <c r="H58" s="99">
        <f>G58+'[2]25'!H58</f>
        <v>6380.8700000000026</v>
      </c>
      <c r="I58" s="95"/>
      <c r="J58" s="175">
        <f>H58/DAY(B2)</f>
        <v>245.41807692307702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15">
        <f>G49+G50+G51+G52+G53+G54+G55+G56+G57+G58</f>
        <v>13945.510000000017</v>
      </c>
      <c r="H59" s="99">
        <f>G59+'[2]25'!H59</f>
        <v>426073.7</v>
      </c>
      <c r="I59" s="95">
        <f>G7-G60</f>
        <v>-281.05999999983032</v>
      </c>
      <c r="J59" s="175">
        <f>H59/DAY(B2)</f>
        <v>16387.45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15">
        <f>G47+G59</f>
        <v>23041.299999999937</v>
      </c>
      <c r="H60" s="99">
        <f>G60+'[2]25'!H60</f>
        <v>630627.44999999995</v>
      </c>
      <c r="I60" s="95">
        <f>G13-G60</f>
        <v>-878.69999999984429</v>
      </c>
      <c r="J60" s="175">
        <f>H60/DAY(B2)</f>
        <v>24254.901923076923</v>
      </c>
      <c r="K60" s="79"/>
      <c r="L60" s="66"/>
      <c r="N60" s="87"/>
      <c r="O60" s="71"/>
    </row>
    <row r="61" spans="1:15" s="68" customFormat="1" ht="26.25">
      <c r="A61" s="1278" t="s">
        <v>332</v>
      </c>
      <c r="B61" s="1279"/>
      <c r="C61" s="1280"/>
      <c r="D61" s="339"/>
      <c r="E61" s="339"/>
      <c r="F61" s="339"/>
      <c r="G61" s="424"/>
      <c r="H61" s="339"/>
      <c r="I61" s="339"/>
      <c r="J61" s="341"/>
      <c r="K61" s="69"/>
      <c r="L61" s="67"/>
      <c r="N61" s="87"/>
      <c r="O61" s="71"/>
    </row>
    <row r="62" spans="1:15" ht="25.5">
      <c r="A62" s="1281" t="s">
        <v>198</v>
      </c>
      <c r="B62" s="1282"/>
      <c r="C62" s="1283"/>
      <c r="D62" s="151" t="s">
        <v>142</v>
      </c>
      <c r="E62" s="95">
        <f>'[2]25'!F62</f>
        <v>301604</v>
      </c>
      <c r="F62" s="122">
        <v>301698</v>
      </c>
      <c r="G62" s="413">
        <f t="shared" ref="G62:G63" si="5">F62-E62</f>
        <v>94</v>
      </c>
      <c r="H62" s="99">
        <f>G62+'[2]25'!H62</f>
        <v>2225</v>
      </c>
      <c r="I62" s="118"/>
      <c r="J62" s="175">
        <f>H62/DAY(B2)</f>
        <v>85.57692307692308</v>
      </c>
      <c r="K62" s="80"/>
      <c r="L62" s="66"/>
      <c r="N62" s="87"/>
      <c r="O62" s="71"/>
    </row>
    <row r="63" spans="1:15" ht="25.5">
      <c r="A63" s="1281" t="s">
        <v>199</v>
      </c>
      <c r="B63" s="1282"/>
      <c r="C63" s="1283"/>
      <c r="D63" s="151" t="s">
        <v>142</v>
      </c>
      <c r="E63" s="95">
        <f>'[2]25'!F63</f>
        <v>245139</v>
      </c>
      <c r="F63" s="122">
        <v>245139</v>
      </c>
      <c r="G63" s="413">
        <f t="shared" si="5"/>
        <v>0</v>
      </c>
      <c r="H63" s="99">
        <f>G63+'[2]25'!H63</f>
        <v>2547</v>
      </c>
      <c r="I63" s="118"/>
      <c r="J63" s="175">
        <f>H63/DAY(B2)</f>
        <v>97.961538461538467</v>
      </c>
      <c r="K63" s="69"/>
      <c r="L63" s="66"/>
      <c r="N63" s="87"/>
      <c r="O63" s="71"/>
    </row>
    <row r="64" spans="1:15" ht="26.25">
      <c r="A64" s="1284" t="s">
        <v>200</v>
      </c>
      <c r="B64" s="1285"/>
      <c r="C64" s="1286"/>
      <c r="D64" s="151"/>
      <c r="E64" s="95">
        <f>'[2]25'!F64</f>
        <v>0</v>
      </c>
      <c r="F64" s="122"/>
      <c r="G64" s="413">
        <f>G62+G63</f>
        <v>94</v>
      </c>
      <c r="H64" s="99">
        <f>G64+'[2]25'!H64</f>
        <v>4772</v>
      </c>
      <c r="I64" s="118"/>
      <c r="J64" s="175">
        <f>H64/DAY(B2)</f>
        <v>183.53846153846155</v>
      </c>
      <c r="K64" s="69"/>
      <c r="L64" s="66"/>
      <c r="N64" s="87"/>
      <c r="O64" s="71"/>
    </row>
    <row r="65" spans="1:15" ht="25.5">
      <c r="A65" s="1281" t="s">
        <v>201</v>
      </c>
      <c r="B65" s="1282"/>
      <c r="C65" s="1283"/>
      <c r="D65" s="151" t="s">
        <v>142</v>
      </c>
      <c r="E65" s="95">
        <f>'[2]25'!F65</f>
        <v>460294</v>
      </c>
      <c r="F65" s="122">
        <v>460407</v>
      </c>
      <c r="G65" s="413">
        <f t="shared" ref="G65:G70" si="6">F65-E65</f>
        <v>113</v>
      </c>
      <c r="H65" s="99">
        <f>G65+'[2]25'!H65</f>
        <v>2581</v>
      </c>
      <c r="I65" s="118"/>
      <c r="J65" s="175">
        <f>H65/DAY(B2)</f>
        <v>99.269230769230774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'[2]25'!F66</f>
        <v>112545</v>
      </c>
      <c r="F66" s="122">
        <v>112553</v>
      </c>
      <c r="G66" s="413">
        <f t="shared" si="6"/>
        <v>8</v>
      </c>
      <c r="H66" s="99">
        <f>G66+'[2]25'!H66</f>
        <v>256</v>
      </c>
      <c r="I66" s="118"/>
      <c r="J66" s="175">
        <f>H66/DAY(B2)</f>
        <v>9.8461538461538467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'[2]25'!F67</f>
        <v>114643</v>
      </c>
      <c r="F67" s="164">
        <v>114659</v>
      </c>
      <c r="G67" s="413">
        <f t="shared" si="6"/>
        <v>16</v>
      </c>
      <c r="H67" s="99">
        <f>G67+'[2]25'!H67</f>
        <v>461</v>
      </c>
      <c r="I67" s="118"/>
      <c r="J67" s="175">
        <f>H67/DAY(B2)</f>
        <v>17.73076923076923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'[2]25'!F68</f>
        <v>166441</v>
      </c>
      <c r="F68" s="122">
        <v>166455</v>
      </c>
      <c r="G68" s="413">
        <f>F68-E68</f>
        <v>14</v>
      </c>
      <c r="H68" s="99">
        <f>G68+'[2]25'!H68</f>
        <v>899</v>
      </c>
      <c r="I68" s="118"/>
      <c r="J68" s="175">
        <f>H68/DAY(B2)</f>
        <v>34.57692307692308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'[2]25'!F69</f>
        <v>12550</v>
      </c>
      <c r="F69" s="122">
        <v>12553</v>
      </c>
      <c r="G69" s="413">
        <f t="shared" si="6"/>
        <v>3</v>
      </c>
      <c r="H69" s="99">
        <f>G69+'[2]25'!H69</f>
        <v>115</v>
      </c>
      <c r="I69" s="118"/>
      <c r="J69" s="175">
        <f>H69/DAY(B2)</f>
        <v>4.4230769230769234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'[2]25'!F70</f>
        <v>10298</v>
      </c>
      <c r="F70" s="122">
        <v>10305</v>
      </c>
      <c r="G70" s="413">
        <f t="shared" si="6"/>
        <v>7</v>
      </c>
      <c r="H70" s="99">
        <f>G70+'[2]25'!H70</f>
        <v>209</v>
      </c>
      <c r="I70" s="118"/>
      <c r="J70" s="175">
        <f>H70/DAY(B2)</f>
        <v>8.0384615384615383</v>
      </c>
      <c r="K70" s="69"/>
      <c r="L70" s="66"/>
      <c r="N70" s="87"/>
      <c r="O70" s="71"/>
    </row>
    <row r="71" spans="1:15" ht="26.25">
      <c r="A71" s="1284" t="s">
        <v>208</v>
      </c>
      <c r="B71" s="1285"/>
      <c r="C71" s="1286"/>
      <c r="D71" s="152"/>
      <c r="E71" s="152"/>
      <c r="F71" s="152"/>
      <c r="G71" s="425">
        <f>SUM(G65:G70)</f>
        <v>161</v>
      </c>
      <c r="H71" s="99">
        <f>G71+'[2]25'!H71</f>
        <v>4521</v>
      </c>
      <c r="I71" s="154"/>
      <c r="J71" s="175">
        <f>H71/DAY(B2)</f>
        <v>173.88461538461539</v>
      </c>
      <c r="K71" s="69"/>
      <c r="L71" s="66"/>
      <c r="N71" s="87"/>
      <c r="O71" s="71"/>
    </row>
    <row r="72" spans="1:15" s="88" customFormat="1" ht="25.5">
      <c r="A72" s="1287"/>
      <c r="B72" s="1268"/>
      <c r="C72" s="716"/>
      <c r="D72" s="180"/>
      <c r="E72" s="180" t="s">
        <v>207</v>
      </c>
      <c r="F72" s="180"/>
      <c r="G72" s="426"/>
      <c r="H72" s="181"/>
      <c r="I72" s="180"/>
      <c r="J72" s="182"/>
      <c r="N72" s="87"/>
      <c r="O72" s="71"/>
    </row>
    <row r="73" spans="1:15" ht="26.25">
      <c r="A73" s="1295" t="s">
        <v>333</v>
      </c>
      <c r="B73" s="1296"/>
      <c r="C73" s="1297"/>
      <c r="D73" s="339"/>
      <c r="E73" s="339"/>
      <c r="F73" s="339"/>
      <c r="G73" s="424"/>
      <c r="H73" s="342"/>
      <c r="I73" s="342"/>
      <c r="J73" s="343"/>
      <c r="K73" s="69"/>
      <c r="L73" s="66"/>
      <c r="N73" s="87"/>
      <c r="O73" s="71"/>
    </row>
    <row r="74" spans="1:15" ht="25.5">
      <c r="A74" s="1281" t="s">
        <v>220</v>
      </c>
      <c r="B74" s="1282"/>
      <c r="C74" s="1283"/>
      <c r="D74" s="151" t="s">
        <v>139</v>
      </c>
      <c r="E74" s="95">
        <f>'[2]25'!F74</f>
        <v>974379.31</v>
      </c>
      <c r="F74" s="123">
        <v>974667.61</v>
      </c>
      <c r="G74" s="413">
        <f t="shared" ref="G74:G78" si="7">F74-E74</f>
        <v>288.29999999993015</v>
      </c>
      <c r="H74" s="99">
        <f>G74+'[2]25'!H74</f>
        <v>7484.8299999999581</v>
      </c>
      <c r="I74" s="154"/>
      <c r="J74" s="175">
        <f>H74/DAY(B2)</f>
        <v>287.8780769230753</v>
      </c>
      <c r="K74" s="69"/>
      <c r="L74" s="66"/>
      <c r="N74" s="87"/>
      <c r="O74" s="71"/>
    </row>
    <row r="75" spans="1:15" ht="25.5">
      <c r="A75" s="1281" t="s">
        <v>221</v>
      </c>
      <c r="B75" s="1282"/>
      <c r="C75" s="1283"/>
      <c r="D75" s="151" t="s">
        <v>139</v>
      </c>
      <c r="E75" s="95">
        <f>'[2]25'!F75</f>
        <v>73586.8</v>
      </c>
      <c r="F75" s="123">
        <v>73586.8</v>
      </c>
      <c r="G75" s="413">
        <f t="shared" si="7"/>
        <v>0</v>
      </c>
      <c r="H75" s="99">
        <f>G75+'[2]25'!H75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288" t="s">
        <v>222</v>
      </c>
      <c r="B76" s="1289"/>
      <c r="C76" s="1290"/>
      <c r="D76" s="151" t="s">
        <v>139</v>
      </c>
      <c r="E76" s="95">
        <f>'[2]25'!F76</f>
        <v>196156.04</v>
      </c>
      <c r="F76" s="123">
        <v>196293</v>
      </c>
      <c r="G76" s="413">
        <f t="shared" si="7"/>
        <v>136.95999999999185</v>
      </c>
      <c r="H76" s="99">
        <f>G76+'[2]25'!H76</f>
        <v>2871.5</v>
      </c>
      <c r="I76" s="154"/>
      <c r="J76" s="175">
        <f>H76/DAY(B2)</f>
        <v>110.44230769230769</v>
      </c>
      <c r="K76" s="69"/>
      <c r="L76" s="66"/>
      <c r="N76" s="87"/>
      <c r="O76" s="71"/>
    </row>
    <row r="77" spans="1:15" ht="25.5">
      <c r="A77" s="1288" t="s">
        <v>223</v>
      </c>
      <c r="B77" s="1289"/>
      <c r="C77" s="1290"/>
      <c r="D77" s="151" t="s">
        <v>139</v>
      </c>
      <c r="E77" s="95">
        <f>'[2]25'!F77</f>
        <v>53099.3</v>
      </c>
      <c r="F77" s="123">
        <v>53140.9</v>
      </c>
      <c r="G77" s="413">
        <f t="shared" si="7"/>
        <v>41.599999999998545</v>
      </c>
      <c r="H77" s="99">
        <f>G77+'[2]25'!H77</f>
        <v>1300.9000000000015</v>
      </c>
      <c r="I77" s="154"/>
      <c r="J77" s="175">
        <f>H77/DAY(B2)</f>
        <v>50.034615384615442</v>
      </c>
      <c r="K77" s="69"/>
      <c r="L77" s="66"/>
      <c r="N77" s="87"/>
      <c r="O77" s="71"/>
    </row>
    <row r="78" spans="1:15" ht="25.5">
      <c r="A78" s="1288" t="s">
        <v>224</v>
      </c>
      <c r="B78" s="1289"/>
      <c r="C78" s="1290"/>
      <c r="D78" s="151" t="s">
        <v>139</v>
      </c>
      <c r="E78" s="95">
        <f>'[2]25'!F78</f>
        <v>9564</v>
      </c>
      <c r="F78" s="123">
        <v>9564</v>
      </c>
      <c r="G78" s="413">
        <f t="shared" si="7"/>
        <v>0</v>
      </c>
      <c r="H78" s="99">
        <f>G78+'[2]25'!H78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1288" t="s">
        <v>225</v>
      </c>
      <c r="B79" s="1289"/>
      <c r="C79" s="1290"/>
      <c r="D79" s="151"/>
      <c r="E79" s="95">
        <f>'[2]25'!F79</f>
        <v>0</v>
      </c>
      <c r="F79" s="117"/>
      <c r="G79" s="413">
        <f>G15-SUM(G74:G78)</f>
        <v>527.68000000011671</v>
      </c>
      <c r="H79" s="99">
        <f>G79+'[2]25'!H79</f>
        <v>13992.689999999966</v>
      </c>
      <c r="I79" s="118"/>
      <c r="J79" s="175"/>
      <c r="K79" s="59"/>
      <c r="L79" s="58"/>
      <c r="N79" s="87"/>
      <c r="O79" s="71"/>
    </row>
    <row r="80" spans="1:15" s="57" customFormat="1" ht="26.25">
      <c r="A80" s="1284" t="s">
        <v>329</v>
      </c>
      <c r="B80" s="1285"/>
      <c r="C80" s="1286"/>
      <c r="D80" s="151"/>
      <c r="E80" s="117"/>
      <c r="F80" s="117"/>
      <c r="G80" s="413">
        <f>SUM(G74:G79)</f>
        <v>994.54000000003725</v>
      </c>
      <c r="H80" s="99"/>
      <c r="I80" s="118"/>
      <c r="J80" s="175"/>
      <c r="K80" s="59"/>
      <c r="L80" s="58"/>
      <c r="N80" s="87"/>
      <c r="O80" s="71"/>
    </row>
    <row r="81" spans="1:15" ht="25.5">
      <c r="A81" s="1302" t="s">
        <v>226</v>
      </c>
      <c r="B81" s="1303"/>
      <c r="C81" s="1304"/>
      <c r="D81" s="110"/>
      <c r="E81" s="110"/>
      <c r="F81" s="110"/>
      <c r="G81" s="427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'[2]25'!F82</f>
        <v>0</v>
      </c>
      <c r="F82" s="122">
        <v>0</v>
      </c>
      <c r="G82" s="413">
        <f t="shared" ref="G82:G92" si="8">F82-E82</f>
        <v>0</v>
      </c>
      <c r="H82" s="99">
        <f>G82+'[2]25'!H82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'[2]25'!F83</f>
        <v>0</v>
      </c>
      <c r="F83" s="122">
        <v>0</v>
      </c>
      <c r="G83" s="413">
        <f t="shared" si="8"/>
        <v>0</v>
      </c>
      <c r="H83" s="99">
        <f>G83+'[2]25'!H83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'[2]25'!F84</f>
        <v>43276.01</v>
      </c>
      <c r="F84" s="164">
        <v>43299.57</v>
      </c>
      <c r="G84" s="413">
        <f t="shared" si="8"/>
        <v>23.559999999997672</v>
      </c>
      <c r="H84" s="99">
        <f>G84+'[2]25'!H84</f>
        <v>387.0199999999968</v>
      </c>
      <c r="I84" s="538"/>
      <c r="J84" s="175">
        <f>H84/DAY(B2)</f>
        <v>14.885384615384492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'[2]25'!F85</f>
        <v>5431</v>
      </c>
      <c r="F85" s="164">
        <v>5431.2</v>
      </c>
      <c r="G85" s="413">
        <f t="shared" si="8"/>
        <v>0.1999999999998181</v>
      </c>
      <c r="H85" s="99">
        <f>G85+'[2]25'!H85</f>
        <v>67.199999999999818</v>
      </c>
      <c r="I85" s="538"/>
      <c r="J85" s="175">
        <f>H85/DAY(B2)</f>
        <v>2.5846153846153777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'[2]25'!F86</f>
        <v>46271.42</v>
      </c>
      <c r="F86" s="164">
        <v>46271.42</v>
      </c>
      <c r="G86" s="413">
        <f t="shared" si="8"/>
        <v>0</v>
      </c>
      <c r="H86" s="99">
        <f>G86+'[2]25'!H86</f>
        <v>350.04999999999563</v>
      </c>
      <c r="I86" s="538"/>
      <c r="J86" s="175">
        <f>H86/DAY(B2)</f>
        <v>13.46346153846137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'[2]25'!F87</f>
        <v>35602.54</v>
      </c>
      <c r="F87" s="164">
        <v>35607.17</v>
      </c>
      <c r="G87" s="413">
        <f t="shared" si="8"/>
        <v>4.6299999999973807</v>
      </c>
      <c r="H87" s="99">
        <f>G87+'[2]25'!H87</f>
        <v>132.36999999999534</v>
      </c>
      <c r="I87" s="538">
        <f>G84+G85+G86+G87</f>
        <v>28.38999999999487</v>
      </c>
      <c r="J87" s="175">
        <f>H87/DAY(B2)</f>
        <v>5.0911538461536674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'[2]25'!F88</f>
        <v>24404.41</v>
      </c>
      <c r="F88" s="164">
        <v>24410.639999999999</v>
      </c>
      <c r="G88" s="413">
        <f t="shared" si="8"/>
        <v>6.2299999999995634</v>
      </c>
      <c r="H88" s="99">
        <f>G88+'[2]25'!H88</f>
        <v>75.479999999999563</v>
      </c>
      <c r="I88" s="538"/>
      <c r="J88" s="175">
        <f>H88/DAY(B2)</f>
        <v>2.9030769230769065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'[2]25'!F89</f>
        <v>27958.97</v>
      </c>
      <c r="F89" s="164">
        <v>27962.87</v>
      </c>
      <c r="G89" s="413">
        <f t="shared" si="8"/>
        <v>3.8999999999978172</v>
      </c>
      <c r="H89" s="99">
        <f>G89+'[2]25'!H89</f>
        <v>160.84999999999854</v>
      </c>
      <c r="I89" s="538">
        <f>G88+G89</f>
        <v>10.129999999997381</v>
      </c>
      <c r="J89" s="175">
        <f>H89/DAY(B2)</f>
        <v>6.1865384615384054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'[2]25'!F90</f>
        <v>73189.13</v>
      </c>
      <c r="F90" s="164">
        <v>73199.37</v>
      </c>
      <c r="G90" s="413">
        <f t="shared" si="8"/>
        <v>10.239999999990687</v>
      </c>
      <c r="H90" s="99">
        <f>G90+'[2]25'!H90</f>
        <v>268.64999999999418</v>
      </c>
      <c r="I90" s="538">
        <f>G90</f>
        <v>10.239999999990687</v>
      </c>
      <c r="J90" s="175">
        <f>H90/DAY(B2)</f>
        <v>10.332692307692083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'[2]25'!F91</f>
        <v>4623.1099999999997</v>
      </c>
      <c r="F91" s="122">
        <v>4634.2299999999996</v>
      </c>
      <c r="G91" s="413">
        <f t="shared" si="8"/>
        <v>11.119999999999891</v>
      </c>
      <c r="H91" s="99">
        <f>G91+'[2]25'!H91</f>
        <v>286.07999999999993</v>
      </c>
      <c r="I91" s="557"/>
      <c r="J91" s="175">
        <f>H91/DAY(B2)</f>
        <v>11.00307692307692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'[2]25'!F92</f>
        <v>7000.23</v>
      </c>
      <c r="F92" s="122">
        <v>7000.23</v>
      </c>
      <c r="G92" s="413">
        <f t="shared" si="8"/>
        <v>0</v>
      </c>
      <c r="H92" s="99">
        <f>G92+'[2]25'!H92</f>
        <v>0.22999999999956344</v>
      </c>
      <c r="I92" s="561">
        <f>G91+G92</f>
        <v>11.119999999999891</v>
      </c>
      <c r="J92" s="175">
        <f>H92/DAY(B2)</f>
        <v>8.8461538461370552E-3</v>
      </c>
      <c r="O92" s="71"/>
    </row>
    <row r="93" spans="1:15" ht="26.25">
      <c r="A93" s="1305" t="s">
        <v>239</v>
      </c>
      <c r="B93" s="1306"/>
      <c r="C93" s="1307"/>
      <c r="D93" s="111"/>
      <c r="E93" s="111"/>
      <c r="F93" s="111"/>
      <c r="G93" s="416"/>
      <c r="H93" s="121"/>
      <c r="I93" s="121"/>
      <c r="J93" s="183"/>
      <c r="K93" s="69"/>
      <c r="L93" s="66"/>
      <c r="O93" s="71"/>
    </row>
    <row r="94" spans="1:15" ht="25.5">
      <c r="A94" s="1281" t="s">
        <v>240</v>
      </c>
      <c r="B94" s="1282"/>
      <c r="C94" s="1283"/>
      <c r="D94" s="151" t="s">
        <v>130</v>
      </c>
      <c r="E94" s="151"/>
      <c r="F94" s="151"/>
      <c r="G94" s="428">
        <f>G35+G43+G49+G57</f>
        <v>6409.7199999999721</v>
      </c>
      <c r="H94" s="99">
        <f>G94+'[2]25'!H94</f>
        <v>170302.13000000006</v>
      </c>
      <c r="I94" s="118"/>
      <c r="J94" s="175">
        <f>H94/DAY(B2)</f>
        <v>6550.0819230769257</v>
      </c>
      <c r="K94" s="69"/>
      <c r="L94" s="66"/>
      <c r="O94" s="71"/>
    </row>
    <row r="95" spans="1:15" ht="25.5">
      <c r="A95" s="1281" t="s">
        <v>241</v>
      </c>
      <c r="B95" s="1282"/>
      <c r="C95" s="1283"/>
      <c r="D95" s="151" t="s">
        <v>23</v>
      </c>
      <c r="E95" s="146"/>
      <c r="F95" s="146"/>
      <c r="G95" s="429">
        <f>G94/G7</f>
        <v>0.28161917449024887</v>
      </c>
      <c r="H95" s="99">
        <f>G95+'[2]25'!H95</f>
        <v>6.7662696308844543</v>
      </c>
      <c r="I95" s="167"/>
      <c r="J95" s="175">
        <f>H95/DAY(B2)</f>
        <v>0.2602411396494021</v>
      </c>
      <c r="K95" s="69"/>
      <c r="L95" s="66"/>
      <c r="O95" s="71"/>
    </row>
    <row r="96" spans="1:15" ht="25.5">
      <c r="A96" s="1281" t="s">
        <v>242</v>
      </c>
      <c r="B96" s="1282"/>
      <c r="C96" s="1283"/>
      <c r="D96" s="151" t="s">
        <v>130</v>
      </c>
      <c r="E96" s="95"/>
      <c r="F96" s="95"/>
      <c r="G96" s="428">
        <f>G41+G42+G55+G56</f>
        <v>5816.8299999999872</v>
      </c>
      <c r="H96" s="99">
        <f>G96+'[2]25'!H96</f>
        <v>170439.43999999992</v>
      </c>
      <c r="I96" s="118"/>
      <c r="J96" s="175">
        <f>H96/DAY(B2)</f>
        <v>6555.363076923074</v>
      </c>
      <c r="K96" s="69"/>
      <c r="L96" s="66"/>
      <c r="O96" s="71"/>
    </row>
    <row r="97" spans="1:15" ht="25.5">
      <c r="A97" s="1281" t="s">
        <v>243</v>
      </c>
      <c r="B97" s="1282"/>
      <c r="C97" s="1283"/>
      <c r="D97" s="151" t="s">
        <v>23</v>
      </c>
      <c r="E97" s="95"/>
      <c r="F97" s="95"/>
      <c r="G97" s="429">
        <f>G96/G7</f>
        <v>0.25556980066993845</v>
      </c>
      <c r="H97" s="99">
        <f>G97+'[2]25'!H97</f>
        <v>6.7638162402541697</v>
      </c>
      <c r="I97" s="167"/>
      <c r="J97" s="175">
        <f>H97/DAY(B2)</f>
        <v>0.26014677847131423</v>
      </c>
      <c r="K97" s="69"/>
      <c r="L97" s="66"/>
      <c r="O97" s="71"/>
    </row>
    <row r="98" spans="1:15" ht="25.5">
      <c r="A98" s="1281" t="s">
        <v>244</v>
      </c>
      <c r="B98" s="1282"/>
      <c r="C98" s="1283"/>
      <c r="D98" s="151" t="s">
        <v>130</v>
      </c>
      <c r="E98" s="95"/>
      <c r="F98" s="95"/>
      <c r="G98" s="428">
        <f>G39+G53</f>
        <v>4206.8600000000442</v>
      </c>
      <c r="H98" s="99">
        <f>G98+'[2]25'!H98</f>
        <v>109829.52000000002</v>
      </c>
      <c r="I98" s="168"/>
      <c r="J98" s="175">
        <f>H98/DAY(B2)</f>
        <v>4224.2123076923081</v>
      </c>
      <c r="K98" s="69"/>
      <c r="L98" s="66"/>
      <c r="O98" s="71"/>
    </row>
    <row r="99" spans="1:15" ht="25.5">
      <c r="A99" s="1281" t="s">
        <v>245</v>
      </c>
      <c r="B99" s="1282"/>
      <c r="C99" s="1283"/>
      <c r="D99" s="151" t="s">
        <v>23</v>
      </c>
      <c r="E99" s="95"/>
      <c r="F99" s="95"/>
      <c r="G99" s="429">
        <f>G98/G7</f>
        <v>0.18483372758811087</v>
      </c>
      <c r="H99" s="99">
        <f>G99+'[2]25'!H99</f>
        <v>4.3672444412919544</v>
      </c>
      <c r="I99" s="168"/>
      <c r="J99" s="175">
        <f>H99/DAY(B2)</f>
        <v>0.16797094004969054</v>
      </c>
      <c r="O99" s="71"/>
    </row>
    <row r="100" spans="1:15" ht="26.25">
      <c r="A100" s="1281" t="s">
        <v>246</v>
      </c>
      <c r="B100" s="1282"/>
      <c r="C100" s="1283"/>
      <c r="D100" s="151" t="s">
        <v>180</v>
      </c>
      <c r="E100" s="95"/>
      <c r="F100" s="95"/>
      <c r="G100" s="428">
        <f>G38+G52</f>
        <v>2105</v>
      </c>
      <c r="H100" s="99">
        <f>G100+'[2]25'!H100</f>
        <v>59247.770000000019</v>
      </c>
      <c r="I100" s="118"/>
      <c r="J100" s="175">
        <f>H100/DAY(B2)</f>
        <v>2278.7603846153852</v>
      </c>
      <c r="K100" s="70"/>
      <c r="O100" s="71"/>
    </row>
    <row r="101" spans="1:15" ht="25.5">
      <c r="A101" s="1281" t="s">
        <v>247</v>
      </c>
      <c r="B101" s="1282"/>
      <c r="C101" s="1283"/>
      <c r="D101" s="151" t="s">
        <v>23</v>
      </c>
      <c r="E101" s="95"/>
      <c r="F101" s="95"/>
      <c r="G101" s="429">
        <f>G100/G7</f>
        <v>9.2485843734512033E-2</v>
      </c>
      <c r="H101" s="99">
        <f>G101+'[2]25'!H101</f>
        <v>2.3534227432382604</v>
      </c>
      <c r="I101" s="168"/>
      <c r="J101" s="175">
        <f>H101/DAY(B2)</f>
        <v>9.0516259355317708E-2</v>
      </c>
      <c r="O101" s="71"/>
    </row>
    <row r="102" spans="1:15" ht="25.5">
      <c r="A102" s="1281" t="s">
        <v>248</v>
      </c>
      <c r="B102" s="1282"/>
      <c r="C102" s="1283"/>
      <c r="D102" s="151" t="s">
        <v>180</v>
      </c>
      <c r="E102" s="95"/>
      <c r="F102" s="95"/>
      <c r="G102" s="428">
        <f>G36+G50</f>
        <v>2208.8599999999278</v>
      </c>
      <c r="H102" s="99">
        <f>G102+'[2]25'!H102</f>
        <v>61499.719999999972</v>
      </c>
      <c r="I102" s="168"/>
      <c r="J102" s="175">
        <f>H102/DAY(B2)</f>
        <v>2365.3738461538451</v>
      </c>
      <c r="O102" s="71"/>
    </row>
    <row r="103" spans="1:15" ht="25.5">
      <c r="A103" s="1281" t="s">
        <v>249</v>
      </c>
      <c r="B103" s="1282"/>
      <c r="C103" s="1283"/>
      <c r="D103" s="151" t="s">
        <v>23</v>
      </c>
      <c r="E103" s="95"/>
      <c r="F103" s="95"/>
      <c r="G103" s="429">
        <f>G102/G7</f>
        <v>9.7049064508982222E-2</v>
      </c>
      <c r="H103" s="99">
        <f>G103+'[2]25'!H103</f>
        <v>2.4386754686771206</v>
      </c>
      <c r="I103" s="118"/>
      <c r="J103" s="175">
        <f>H103/DAY(B2)</f>
        <v>9.3795210333735404E-2</v>
      </c>
      <c r="O103" s="71"/>
    </row>
    <row r="104" spans="1:15" ht="25.5">
      <c r="A104" s="1281" t="s">
        <v>250</v>
      </c>
      <c r="B104" s="1282"/>
      <c r="C104" s="1283"/>
      <c r="D104" s="151" t="s">
        <v>180</v>
      </c>
      <c r="E104" s="95"/>
      <c r="F104" s="95"/>
      <c r="G104" s="428">
        <f>G37+G51</f>
        <v>1059.4600000000064</v>
      </c>
      <c r="H104" s="99">
        <f>G104+'[2]25'!H104</f>
        <v>26667.93</v>
      </c>
      <c r="I104" s="118"/>
      <c r="J104" s="175">
        <f>H104/DAY(B2)</f>
        <v>1025.6896153846153</v>
      </c>
      <c r="O104" s="71"/>
    </row>
    <row r="105" spans="1:15" ht="26.25" thickBot="1">
      <c r="A105" s="1298" t="s">
        <v>251</v>
      </c>
      <c r="B105" s="1299"/>
      <c r="C105" s="1300"/>
      <c r="D105" s="231" t="s">
        <v>23</v>
      </c>
      <c r="E105" s="185"/>
      <c r="F105" s="185"/>
      <c r="G105" s="430">
        <f>G104/G7</f>
        <v>4.6548718291195584E-2</v>
      </c>
      <c r="H105" s="99">
        <f>G105+'[2]25'!H105</f>
        <v>1.0605255347647828</v>
      </c>
      <c r="I105" s="187"/>
      <c r="J105" s="188">
        <f>H105/DAY(B2)</f>
        <v>4.0789443644799341E-2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31"/>
      <c r="H106" s="170"/>
      <c r="I106" s="169"/>
      <c r="J106" s="171"/>
      <c r="O106" s="71"/>
    </row>
    <row r="107" spans="1:15" ht="26.25"/>
    <row r="108" spans="1:15" ht="27.75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6.25">
      <c r="A109" s="1291"/>
      <c r="B109" s="1291"/>
    </row>
    <row r="110" spans="1:15" ht="26.25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5.5">
      <c r="A111" s="1270"/>
      <c r="B111" s="1271"/>
      <c r="C111" s="1272"/>
      <c r="D111" s="165"/>
      <c r="E111" s="165"/>
      <c r="F111" s="165"/>
      <c r="G111" s="433"/>
      <c r="H111" s="156"/>
      <c r="I111" s="165"/>
      <c r="J111" s="327"/>
    </row>
    <row r="112" spans="1:15" ht="25.5">
      <c r="A112" s="1266" t="s">
        <v>252</v>
      </c>
      <c r="B112" s="1267"/>
      <c r="C112" s="1268"/>
      <c r="D112" s="146" t="s">
        <v>183</v>
      </c>
      <c r="E112" s="95">
        <f>'[2]25'!F112</f>
        <v>11302.18</v>
      </c>
      <c r="F112" s="237">
        <v>11373.92</v>
      </c>
      <c r="G112" s="413">
        <f t="shared" ref="G112:G123" si="9">F112-E112</f>
        <v>71.739999999999782</v>
      </c>
      <c r="H112" s="99">
        <f>G112+'[2]25'!H112</f>
        <v>1942.8199999999997</v>
      </c>
      <c r="I112" s="165"/>
      <c r="J112" s="328">
        <f>H112/DAY(B2)</f>
        <v>74.723846153846139</v>
      </c>
    </row>
    <row r="113" spans="1:18" ht="25.5">
      <c r="A113" s="1266" t="s">
        <v>253</v>
      </c>
      <c r="B113" s="1267"/>
      <c r="C113" s="1268"/>
      <c r="D113" s="146" t="s">
        <v>183</v>
      </c>
      <c r="E113" s="95">
        <f>'[2]25'!F113</f>
        <v>22828.77</v>
      </c>
      <c r="F113" s="237">
        <v>22966.41</v>
      </c>
      <c r="G113" s="413">
        <f t="shared" si="9"/>
        <v>137.63999999999942</v>
      </c>
      <c r="H113" s="99">
        <f>G113+'[2]25'!H113</f>
        <v>3741.5099999999984</v>
      </c>
      <c r="I113" s="165"/>
      <c r="J113" s="328">
        <f>H113/DAY(B2)</f>
        <v>143.90423076923071</v>
      </c>
    </row>
    <row r="114" spans="1:18" ht="25.5">
      <c r="A114" s="1266" t="s">
        <v>254</v>
      </c>
      <c r="B114" s="1267"/>
      <c r="C114" s="1268"/>
      <c r="D114" s="146" t="s">
        <v>183</v>
      </c>
      <c r="E114" s="95">
        <f>'[2]25'!F114</f>
        <v>33663.800000000003</v>
      </c>
      <c r="F114" s="237">
        <v>33884.730000000003</v>
      </c>
      <c r="G114" s="413">
        <f t="shared" si="9"/>
        <v>220.93000000000029</v>
      </c>
      <c r="H114" s="99">
        <f>G114+'[2]25'!H114</f>
        <v>6013.8300000000017</v>
      </c>
      <c r="I114" s="165"/>
      <c r="J114" s="328">
        <f>H114/DAY(B2)</f>
        <v>231.30115384615391</v>
      </c>
    </row>
    <row r="115" spans="1:18" ht="25.5">
      <c r="A115" s="1266" t="s">
        <v>255</v>
      </c>
      <c r="B115" s="1267"/>
      <c r="C115" s="1268"/>
      <c r="D115" s="146" t="s">
        <v>183</v>
      </c>
      <c r="E115" s="95">
        <f>'[2]25'!F115</f>
        <v>21312.19</v>
      </c>
      <c r="F115" s="237">
        <v>21467.61</v>
      </c>
      <c r="G115" s="413">
        <f t="shared" si="9"/>
        <v>155.42000000000189</v>
      </c>
      <c r="H115" s="99">
        <f>G115+'[2]25'!H115</f>
        <v>4040.41</v>
      </c>
      <c r="I115" s="165"/>
      <c r="J115" s="328">
        <f>H115/DAY(B2)</f>
        <v>155.40038461538461</v>
      </c>
    </row>
    <row r="116" spans="1:18" ht="25.5">
      <c r="A116" s="1275" t="s">
        <v>96</v>
      </c>
      <c r="B116" s="1276"/>
      <c r="C116" s="1277"/>
      <c r="D116" s="146" t="s">
        <v>183</v>
      </c>
      <c r="E116" s="95">
        <f>'[2]25'!F116</f>
        <v>94831.03</v>
      </c>
      <c r="F116" s="237">
        <v>95225.7</v>
      </c>
      <c r="G116" s="413">
        <f t="shared" si="9"/>
        <v>394.66999999999825</v>
      </c>
      <c r="H116" s="99">
        <f>G116+'[2]25'!H116</f>
        <v>12406.399999999994</v>
      </c>
      <c r="I116" s="165"/>
      <c r="J116" s="328">
        <f>H116/DAY(B2)</f>
        <v>477.16923076923052</v>
      </c>
      <c r="Q116" s="1266" t="s">
        <v>311</v>
      </c>
      <c r="R116" s="1268"/>
    </row>
    <row r="117" spans="1:18" ht="25.5">
      <c r="A117" s="1275" t="s">
        <v>184</v>
      </c>
      <c r="B117" s="1276"/>
      <c r="C117" s="1277"/>
      <c r="D117" s="146" t="s">
        <v>183</v>
      </c>
      <c r="E117" s="389">
        <f>'[2]25'!F117</f>
        <v>55348.86</v>
      </c>
      <c r="F117" s="400">
        <v>55632.08</v>
      </c>
      <c r="G117" s="494">
        <f t="shared" si="9"/>
        <v>283.22000000000116</v>
      </c>
      <c r="H117" s="99">
        <f>G117+'[2]25'!H117</f>
        <v>7126.0800000000017</v>
      </c>
      <c r="I117" s="165"/>
      <c r="J117" s="328">
        <f>H117/DAY(B2)</f>
        <v>274.08000000000004</v>
      </c>
      <c r="Q117" s="1266" t="s">
        <v>312</v>
      </c>
      <c r="R117" s="1268"/>
    </row>
    <row r="118" spans="1:18" ht="25.5">
      <c r="A118" s="1269" t="s">
        <v>97</v>
      </c>
      <c r="B118" s="1269"/>
      <c r="C118" s="1269"/>
      <c r="D118" s="151" t="s">
        <v>183</v>
      </c>
      <c r="E118" s="95">
        <f>'[2]25'!F118</f>
        <v>98587.68</v>
      </c>
      <c r="F118" s="237">
        <v>99216.58</v>
      </c>
      <c r="G118" s="413">
        <f t="shared" si="9"/>
        <v>628.90000000000873</v>
      </c>
      <c r="H118" s="99">
        <f>G118+'[2]25'!H118</f>
        <v>16580.78</v>
      </c>
      <c r="I118" s="165"/>
      <c r="J118" s="328">
        <f>H118/DAY(B2)</f>
        <v>637.7223076923076</v>
      </c>
      <c r="Q118" s="1266" t="s">
        <v>311</v>
      </c>
      <c r="R118" s="1268"/>
    </row>
    <row r="119" spans="1:18" ht="25.5">
      <c r="A119" s="1269" t="s">
        <v>98</v>
      </c>
      <c r="B119" s="1269"/>
      <c r="C119" s="1269"/>
      <c r="D119" s="151" t="s">
        <v>183</v>
      </c>
      <c r="E119" s="95">
        <f>'[2]25'!F119</f>
        <v>42515.25</v>
      </c>
      <c r="F119" s="237">
        <v>42527.199999999997</v>
      </c>
      <c r="G119" s="413">
        <f t="shared" si="9"/>
        <v>11.94999999999709</v>
      </c>
      <c r="H119" s="99">
        <f>G119+'[2]25'!H119</f>
        <v>1483.7999999999956</v>
      </c>
      <c r="I119" s="165"/>
      <c r="J119" s="328">
        <f>H119/DAY(B2)</f>
        <v>57.0692307692306</v>
      </c>
    </row>
    <row r="120" spans="1:18" ht="25.5">
      <c r="A120" s="1269" t="s">
        <v>99</v>
      </c>
      <c r="B120" s="1269"/>
      <c r="C120" s="1269"/>
      <c r="D120" s="151" t="s">
        <v>183</v>
      </c>
      <c r="E120" s="95">
        <f>'[2]25'!F120</f>
        <v>69317.100000000006</v>
      </c>
      <c r="F120" s="237">
        <v>69734.91</v>
      </c>
      <c r="G120" s="413">
        <f t="shared" si="9"/>
        <v>417.80999999999767</v>
      </c>
      <c r="H120" s="99">
        <f>G120+'[2]25'!H120</f>
        <v>11169.510000000002</v>
      </c>
      <c r="I120" s="165"/>
      <c r="J120" s="328">
        <f>H120/DAY(B2)</f>
        <v>429.59653846153856</v>
      </c>
    </row>
    <row r="121" spans="1:18" ht="25.5">
      <c r="A121" s="1269" t="s">
        <v>100</v>
      </c>
      <c r="B121" s="1269"/>
      <c r="C121" s="1269"/>
      <c r="D121" s="151" t="s">
        <v>183</v>
      </c>
      <c r="E121" s="95">
        <f>'[2]25'!F121</f>
        <v>79034.100000000006</v>
      </c>
      <c r="F121" s="237">
        <v>79485.759999999995</v>
      </c>
      <c r="G121" s="413">
        <f t="shared" si="9"/>
        <v>451.65999999998894</v>
      </c>
      <c r="H121" s="99">
        <f>G121+'[2]25'!H121</f>
        <v>12203.759999999995</v>
      </c>
      <c r="I121" s="165"/>
      <c r="J121" s="328">
        <f>H121/DAY(B2)</f>
        <v>469.37538461538441</v>
      </c>
    </row>
    <row r="122" spans="1:18" ht="25.5">
      <c r="A122" s="1269" t="s">
        <v>101</v>
      </c>
      <c r="B122" s="1269"/>
      <c r="C122" s="1269"/>
      <c r="D122" s="151" t="s">
        <v>183</v>
      </c>
      <c r="E122" s="95">
        <f>'[2]25'!F122</f>
        <v>47273.57</v>
      </c>
      <c r="F122" s="237">
        <v>47636.66</v>
      </c>
      <c r="G122" s="413">
        <f t="shared" si="9"/>
        <v>363.09000000000378</v>
      </c>
      <c r="H122" s="99">
        <f>G122+'[2]25'!H122</f>
        <v>9309.760000000002</v>
      </c>
      <c r="I122" s="165"/>
      <c r="J122" s="328">
        <f>H122/DAY(B2)</f>
        <v>358.06769230769237</v>
      </c>
    </row>
    <row r="123" spans="1:18" ht="25.5">
      <c r="A123" s="1269" t="s">
        <v>102</v>
      </c>
      <c r="B123" s="1269"/>
      <c r="C123" s="1269"/>
      <c r="D123" s="151" t="s">
        <v>183</v>
      </c>
      <c r="E123" s="95">
        <f>'[2]25'!F123</f>
        <v>48241.440000000002</v>
      </c>
      <c r="F123" s="237">
        <v>48543.61</v>
      </c>
      <c r="G123" s="413">
        <f t="shared" si="9"/>
        <v>302.16999999999825</v>
      </c>
      <c r="H123" s="99">
        <f>G123+'[2]25'!H123</f>
        <v>8494.8099999999977</v>
      </c>
      <c r="I123" s="165"/>
      <c r="J123" s="328">
        <f>H123/DAY(B2)</f>
        <v>326.72346153846144</v>
      </c>
    </row>
    <row r="124" spans="1:18" ht="25.5">
      <c r="A124" s="1270"/>
      <c r="B124" s="1271"/>
      <c r="C124" s="1272"/>
      <c r="D124" s="165"/>
      <c r="E124" s="95">
        <f>'[2]25'!F124</f>
        <v>0</v>
      </c>
      <c r="F124" s="165"/>
      <c r="G124" s="433"/>
      <c r="H124" s="156"/>
      <c r="I124" s="165"/>
      <c r="J124" s="327"/>
    </row>
    <row r="125" spans="1:18" ht="25.5">
      <c r="A125" s="1261" t="s">
        <v>196</v>
      </c>
      <c r="B125" s="1262"/>
      <c r="C125" s="245"/>
      <c r="D125" s="307"/>
      <c r="E125" s="308"/>
      <c r="F125" s="308"/>
      <c r="G125" s="434">
        <f>SUM(G112:G124)</f>
        <v>3439.1999999999953</v>
      </c>
      <c r="H125" s="156"/>
      <c r="I125" s="327">
        <f>G125-(G39+G53)</f>
        <v>-767.66000000004897</v>
      </c>
      <c r="J125" s="327"/>
    </row>
    <row r="126" spans="1:18" ht="25.5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5.5">
      <c r="A127" s="1274"/>
      <c r="B127" s="1274"/>
      <c r="C127" s="245"/>
      <c r="D127" s="307"/>
      <c r="E127" s="308"/>
      <c r="F127" s="308"/>
      <c r="G127" s="434"/>
      <c r="H127" s="99">
        <f>G127+'[2]25'!H127</f>
        <v>0</v>
      </c>
      <c r="I127" s="165"/>
      <c r="J127" s="328">
        <f>H127/DAY(B2)</f>
        <v>0</v>
      </c>
    </row>
    <row r="128" spans="1:18" ht="25.5">
      <c r="A128" s="1266" t="s">
        <v>318</v>
      </c>
      <c r="B128" s="1267"/>
      <c r="C128" s="1268"/>
      <c r="D128" s="151" t="s">
        <v>183</v>
      </c>
      <c r="E128" s="95">
        <f>'[2]25'!F128</f>
        <v>152574.48000000001</v>
      </c>
      <c r="F128" s="165">
        <v>153030.60999999999</v>
      </c>
      <c r="G128" s="413">
        <f t="shared" ref="G128:G134" si="10">F128-E128</f>
        <v>456.12999999997555</v>
      </c>
      <c r="H128" s="99">
        <f>G128+'[2]25'!H128</f>
        <v>11575.50999999998</v>
      </c>
      <c r="I128" s="165"/>
      <c r="J128" s="328">
        <f>H128/DAY(B2)</f>
        <v>445.21192307692229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'[2]25'!F129</f>
        <v>83102.61</v>
      </c>
      <c r="F129" s="165">
        <v>83260.55</v>
      </c>
      <c r="G129" s="413">
        <f t="shared" si="10"/>
        <v>157.94000000000233</v>
      </c>
      <c r="H129" s="99">
        <f>G129+'[2]25'!H129</f>
        <v>4942.1500000000087</v>
      </c>
      <c r="I129" s="165"/>
      <c r="J129" s="328">
        <f>H129/DAY(B2)</f>
        <v>190.08269230769264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'[2]25'!F130</f>
        <v>203531.81</v>
      </c>
      <c r="F130" s="165">
        <v>204098.63</v>
      </c>
      <c r="G130" s="413">
        <f t="shared" si="10"/>
        <v>566.82000000000698</v>
      </c>
      <c r="H130" s="99">
        <f>G130+'[2]25'!H130</f>
        <v>18303.839999999997</v>
      </c>
      <c r="I130" s="165"/>
      <c r="J130" s="328">
        <f>H130/DAY(B2)</f>
        <v>703.99384615384599</v>
      </c>
      <c r="N130" s="240"/>
      <c r="O130" s="241"/>
    </row>
    <row r="131" spans="1:15" ht="25.5">
      <c r="A131" s="1266" t="s">
        <v>321</v>
      </c>
      <c r="B131" s="1267"/>
      <c r="C131" s="1268"/>
      <c r="D131" s="151" t="s">
        <v>183</v>
      </c>
      <c r="E131" s="95">
        <f>'[2]25'!F131</f>
        <v>59164.4</v>
      </c>
      <c r="F131" s="165">
        <v>59406.15</v>
      </c>
      <c r="G131" s="413">
        <f t="shared" si="10"/>
        <v>241.75</v>
      </c>
      <c r="H131" s="99">
        <f>G131+'[2]25'!H131</f>
        <v>5558.4500000000044</v>
      </c>
      <c r="I131" s="165"/>
      <c r="J131" s="328">
        <f>H131/DAY(B2)</f>
        <v>213.78653846153864</v>
      </c>
      <c r="N131" s="240"/>
      <c r="O131" s="241"/>
    </row>
    <row r="132" spans="1:15" ht="25.5">
      <c r="A132" s="1266" t="s">
        <v>322</v>
      </c>
      <c r="B132" s="1267"/>
      <c r="C132" s="1268"/>
      <c r="D132" s="151" t="s">
        <v>183</v>
      </c>
      <c r="E132" s="95">
        <f>'[2]25'!F132</f>
        <v>146985</v>
      </c>
      <c r="F132" s="165">
        <v>146985</v>
      </c>
      <c r="G132" s="413">
        <f t="shared" si="10"/>
        <v>0</v>
      </c>
      <c r="H132" s="99">
        <f>G132+'[2]25'!H132</f>
        <v>6455.7999999999884</v>
      </c>
      <c r="I132" s="165"/>
      <c r="J132" s="328">
        <f>H132/DAY(B2)</f>
        <v>248.29999999999956</v>
      </c>
    </row>
    <row r="133" spans="1:15" ht="25.5">
      <c r="A133" s="1266" t="s">
        <v>357</v>
      </c>
      <c r="B133" s="1267"/>
      <c r="C133" s="1268"/>
      <c r="D133" s="151" t="s">
        <v>183</v>
      </c>
      <c r="E133" s="95">
        <f>'[2]25'!F133</f>
        <v>261584.37</v>
      </c>
      <c r="F133" s="165">
        <v>262412.28999999998</v>
      </c>
      <c r="G133" s="413">
        <f t="shared" si="10"/>
        <v>827.9199999999837</v>
      </c>
      <c r="H133" s="99">
        <f>G133+'[2]25'!H133</f>
        <v>22383.289999999979</v>
      </c>
      <c r="I133" s="165"/>
      <c r="J133" s="328">
        <f>H133/DAY(B2)</f>
        <v>860.89576923076845</v>
      </c>
    </row>
    <row r="134" spans="1:15" ht="25.5">
      <c r="A134" s="1266" t="s">
        <v>340</v>
      </c>
      <c r="B134" s="1267"/>
      <c r="C134" s="1268"/>
      <c r="D134" s="151" t="s">
        <v>183</v>
      </c>
      <c r="E134" s="95">
        <f>'[2]25'!F134</f>
        <v>62394.36</v>
      </c>
      <c r="F134" s="165">
        <v>62648.86</v>
      </c>
      <c r="G134" s="413">
        <f t="shared" si="10"/>
        <v>254.5</v>
      </c>
      <c r="H134" s="99">
        <f>G134+'[2]25'!H134</f>
        <v>6745.7099999999991</v>
      </c>
      <c r="I134" s="165"/>
      <c r="J134" s="328">
        <f>H134/DAY(B2)</f>
        <v>259.45038461538456</v>
      </c>
    </row>
    <row r="135" spans="1:15" ht="25.5">
      <c r="A135" s="1261" t="s">
        <v>196</v>
      </c>
      <c r="B135" s="1262"/>
      <c r="C135" s="331"/>
      <c r="D135" s="151"/>
      <c r="E135" s="95"/>
      <c r="F135" s="165"/>
      <c r="G135" s="413">
        <f>SUM(G128:G134)</f>
        <v>2505.0599999999686</v>
      </c>
      <c r="H135" s="99">
        <f>G135+'[2]23'!H135</f>
        <v>34288.479999999916</v>
      </c>
      <c r="I135" s="327">
        <f>G135-(G35+G49)</f>
        <v>-1183.8999999999942</v>
      </c>
      <c r="J135" s="328"/>
    </row>
    <row r="136" spans="1:15" ht="27.75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6.25">
      <c r="A137" s="245"/>
      <c r="B137" s="246"/>
      <c r="C137" s="246"/>
      <c r="D137" s="165"/>
      <c r="E137" s="165"/>
      <c r="F137" s="165"/>
      <c r="G137" s="433"/>
      <c r="H137" s="156"/>
      <c r="I137" s="165"/>
      <c r="J137" s="327"/>
    </row>
    <row r="138" spans="1:15" ht="25.5">
      <c r="A138" s="1269" t="s">
        <v>185</v>
      </c>
      <c r="B138" s="1269"/>
      <c r="C138" s="1269"/>
      <c r="D138" s="151" t="s">
        <v>183</v>
      </c>
      <c r="E138" s="95">
        <f>'[2]25'!F138</f>
        <v>897637</v>
      </c>
      <c r="F138" s="147">
        <v>897757</v>
      </c>
      <c r="G138" s="413">
        <f t="shared" ref="G138:G152" si="11">F138-E138</f>
        <v>120</v>
      </c>
      <c r="H138" s="99">
        <f>G138+'[2]25'!H138</f>
        <v>2822</v>
      </c>
      <c r="I138" s="118"/>
      <c r="J138" s="328">
        <f>H138/DAY(B2)</f>
        <v>108.53846153846153</v>
      </c>
    </row>
    <row r="139" spans="1:15" ht="25.5">
      <c r="A139" s="1269" t="s">
        <v>186</v>
      </c>
      <c r="B139" s="1269"/>
      <c r="C139" s="1269"/>
      <c r="D139" s="151" t="s">
        <v>183</v>
      </c>
      <c r="E139" s="95">
        <f>'[2]25'!F139</f>
        <v>917432</v>
      </c>
      <c r="F139" s="148">
        <v>917574</v>
      </c>
      <c r="G139" s="413">
        <f t="shared" si="11"/>
        <v>142</v>
      </c>
      <c r="H139" s="99">
        <f>G139+'[2]25'!H139</f>
        <v>3975</v>
      </c>
      <c r="I139" s="118"/>
      <c r="J139" s="328">
        <f>H139/DAY(B2)</f>
        <v>152.88461538461539</v>
      </c>
    </row>
    <row r="140" spans="1:15" ht="25.5">
      <c r="A140" s="1269" t="s">
        <v>187</v>
      </c>
      <c r="B140" s="1269"/>
      <c r="C140" s="1269"/>
      <c r="D140" s="151" t="s">
        <v>183</v>
      </c>
      <c r="E140" s="95">
        <f>'[2]25'!F140</f>
        <v>2288.25</v>
      </c>
      <c r="F140" s="148">
        <v>2298.36</v>
      </c>
      <c r="G140" s="413">
        <f t="shared" si="11"/>
        <v>10.110000000000127</v>
      </c>
      <c r="H140" s="99">
        <f>G140+'[2]25'!H140</f>
        <v>790.60000000000014</v>
      </c>
      <c r="I140" s="118"/>
      <c r="J140" s="328">
        <f>H140/DAY(B2)</f>
        <v>30.407692307692312</v>
      </c>
    </row>
    <row r="141" spans="1:15" ht="25.5">
      <c r="A141" s="1256" t="s">
        <v>188</v>
      </c>
      <c r="B141" s="1256"/>
      <c r="C141" s="1256"/>
      <c r="D141" s="151" t="s">
        <v>183</v>
      </c>
      <c r="E141" s="95">
        <f>'[2]25'!F141</f>
        <v>102592.39</v>
      </c>
      <c r="F141" s="148">
        <v>102821.9</v>
      </c>
      <c r="G141" s="413">
        <f t="shared" si="11"/>
        <v>229.50999999999476</v>
      </c>
      <c r="H141" s="99">
        <f>G141+'[2]25'!H141</f>
        <v>6208.8999999999942</v>
      </c>
      <c r="I141" s="118"/>
      <c r="J141" s="328">
        <f>H141/DAY(B2)</f>
        <v>238.80384615384594</v>
      </c>
    </row>
    <row r="142" spans="1:15" ht="25.5">
      <c r="A142" s="1256" t="s">
        <v>189</v>
      </c>
      <c r="B142" s="1256"/>
      <c r="C142" s="1256"/>
      <c r="D142" s="151" t="s">
        <v>183</v>
      </c>
      <c r="E142" s="95">
        <f>'[2]25'!F142</f>
        <v>41370.35</v>
      </c>
      <c r="F142" s="148">
        <v>41456.67</v>
      </c>
      <c r="G142" s="413">
        <f t="shared" si="11"/>
        <v>86.319999999999709</v>
      </c>
      <c r="H142" s="99">
        <f>G142+'[2]25'!H142</f>
        <v>2366.6699999999983</v>
      </c>
      <c r="I142" s="140"/>
      <c r="J142" s="328">
        <f>H142/DAY(B2)</f>
        <v>91.025769230769157</v>
      </c>
    </row>
    <row r="143" spans="1:15" ht="25.5">
      <c r="A143" s="1269" t="s">
        <v>91</v>
      </c>
      <c r="B143" s="1269"/>
      <c r="C143" s="1269"/>
      <c r="D143" s="151" t="s">
        <v>183</v>
      </c>
      <c r="E143" s="95">
        <f>'[2]25'!F143</f>
        <v>10545.04</v>
      </c>
      <c r="F143" s="148">
        <v>10576.06</v>
      </c>
      <c r="G143" s="413">
        <f t="shared" si="11"/>
        <v>31.019999999998618</v>
      </c>
      <c r="H143" s="99">
        <f>G143+'[2]25'!H143</f>
        <v>723.05999999999949</v>
      </c>
      <c r="I143" s="140"/>
      <c r="J143" s="328">
        <f>H143/DAY(B2)</f>
        <v>27.809999999999981</v>
      </c>
    </row>
    <row r="144" spans="1:15" ht="25.5">
      <c r="A144" s="1256" t="s">
        <v>90</v>
      </c>
      <c r="B144" s="1256"/>
      <c r="C144" s="1256"/>
      <c r="D144" s="151" t="s">
        <v>183</v>
      </c>
      <c r="E144" s="95">
        <f>'[2]25'!F144</f>
        <v>932361</v>
      </c>
      <c r="F144" s="148">
        <v>932590</v>
      </c>
      <c r="G144" s="413">
        <f t="shared" si="11"/>
        <v>229</v>
      </c>
      <c r="H144" s="99">
        <f>G144+'[2]25'!H144</f>
        <v>6194</v>
      </c>
      <c r="I144" s="140"/>
      <c r="J144" s="328">
        <f>H144/DAY(B2)</f>
        <v>238.23076923076923</v>
      </c>
    </row>
    <row r="145" spans="1:10" ht="25.5">
      <c r="A145" s="1269" t="s">
        <v>190</v>
      </c>
      <c r="B145" s="1269"/>
      <c r="C145" s="1269"/>
      <c r="D145" s="152" t="s">
        <v>183</v>
      </c>
      <c r="E145" s="95">
        <f>'[2]25'!F145</f>
        <v>12039.42</v>
      </c>
      <c r="F145" s="148">
        <v>12238.5</v>
      </c>
      <c r="G145" s="413">
        <f t="shared" si="11"/>
        <v>199.07999999999993</v>
      </c>
      <c r="H145" s="99">
        <f>G145+'[2]25'!H145</f>
        <v>5004.3</v>
      </c>
      <c r="I145" s="140"/>
      <c r="J145" s="328">
        <f>H145/DAY(B2)</f>
        <v>192.47307692307692</v>
      </c>
    </row>
    <row r="146" spans="1:10" ht="25.5">
      <c r="A146" s="1332" t="s">
        <v>191</v>
      </c>
      <c r="B146" s="1289"/>
      <c r="C146" s="1290"/>
      <c r="D146" s="152" t="s">
        <v>183</v>
      </c>
      <c r="E146" s="95">
        <f>'[2]25'!F146</f>
        <v>784084</v>
      </c>
      <c r="F146" s="148">
        <v>784139</v>
      </c>
      <c r="G146" s="413">
        <f t="shared" si="11"/>
        <v>55</v>
      </c>
      <c r="H146" s="99">
        <f>G146+'[2]25'!H146</f>
        <v>1331</v>
      </c>
      <c r="I146" s="140"/>
      <c r="J146" s="328">
        <f>H146/DAY(B2)</f>
        <v>51.192307692307693</v>
      </c>
    </row>
    <row r="147" spans="1:10" ht="25.5">
      <c r="A147" s="1256" t="s">
        <v>192</v>
      </c>
      <c r="B147" s="1256"/>
      <c r="C147" s="1256"/>
      <c r="D147" s="152" t="s">
        <v>183</v>
      </c>
      <c r="E147" s="95">
        <f>'[2]25'!F147</f>
        <v>721621.92</v>
      </c>
      <c r="F147" s="148">
        <v>722012.24</v>
      </c>
      <c r="G147" s="413">
        <f t="shared" si="11"/>
        <v>390.31999999994878</v>
      </c>
      <c r="H147" s="99">
        <f>G147+'[2]25'!H147</f>
        <v>10340.699999999953</v>
      </c>
      <c r="I147" s="140"/>
      <c r="J147" s="328">
        <f>H147/DAY(B2)</f>
        <v>397.719230769229</v>
      </c>
    </row>
    <row r="148" spans="1:10" ht="25.5">
      <c r="A148" s="1257" t="s">
        <v>193</v>
      </c>
      <c r="B148" s="1258"/>
      <c r="C148" s="1259"/>
      <c r="D148" s="123" t="s">
        <v>130</v>
      </c>
      <c r="E148" s="95">
        <f>'[2]25'!F148</f>
        <v>765131.12</v>
      </c>
      <c r="F148" s="164">
        <v>765446.32</v>
      </c>
      <c r="G148" s="413">
        <f t="shared" si="11"/>
        <v>315.19999999995343</v>
      </c>
      <c r="H148" s="99">
        <f>G148+'[2]25'!H148</f>
        <v>7495.8399999999674</v>
      </c>
      <c r="I148" s="124"/>
      <c r="J148" s="328">
        <f>H148/DAY(B2)</f>
        <v>288.30153846153723</v>
      </c>
    </row>
    <row r="149" spans="1:10" ht="25.5">
      <c r="A149" s="1257" t="s">
        <v>336</v>
      </c>
      <c r="B149" s="1258"/>
      <c r="C149" s="1259"/>
      <c r="D149" s="227" t="s">
        <v>130</v>
      </c>
      <c r="E149" s="95">
        <f>'[2]25'!F149</f>
        <v>155973.91</v>
      </c>
      <c r="F149" s="399">
        <v>156366.85</v>
      </c>
      <c r="G149" s="413">
        <f t="shared" si="11"/>
        <v>392.94000000000233</v>
      </c>
      <c r="H149" s="99">
        <f>G149+'[2]25'!H149</f>
        <v>10570.170000000013</v>
      </c>
      <c r="I149" s="119"/>
      <c r="J149" s="328">
        <f>H149/DAY(B2)</f>
        <v>406.54500000000047</v>
      </c>
    </row>
    <row r="150" spans="1:10" ht="25.5">
      <c r="A150" s="1257" t="s">
        <v>337</v>
      </c>
      <c r="B150" s="1258"/>
      <c r="C150" s="1259"/>
      <c r="D150" s="117" t="s">
        <v>130</v>
      </c>
      <c r="E150" s="95">
        <f>'[2]25'!F150</f>
        <v>62877.29</v>
      </c>
      <c r="F150" s="233">
        <v>63096.87</v>
      </c>
      <c r="G150" s="413">
        <f t="shared" si="11"/>
        <v>219.58000000000175</v>
      </c>
      <c r="H150" s="99">
        <f>G150+'[2]25'!H150</f>
        <v>5881.7700000000041</v>
      </c>
      <c r="I150" s="119"/>
      <c r="J150" s="328">
        <f>H150/DAY(B2)</f>
        <v>226.22192307692325</v>
      </c>
    </row>
    <row r="151" spans="1:10" ht="25.5">
      <c r="A151" s="1257" t="s">
        <v>338</v>
      </c>
      <c r="B151" s="1258"/>
      <c r="C151" s="1259"/>
      <c r="D151" s="117" t="s">
        <v>130</v>
      </c>
      <c r="E151" s="95">
        <f>'[2]25'!F151</f>
        <v>149523</v>
      </c>
      <c r="F151" s="233">
        <v>149591</v>
      </c>
      <c r="G151" s="413">
        <f t="shared" si="11"/>
        <v>68</v>
      </c>
      <c r="H151" s="99">
        <f>G151+'[2]25'!H151</f>
        <v>6377</v>
      </c>
      <c r="I151" s="119"/>
      <c r="J151" s="328">
        <f>H151/DAY(B2)</f>
        <v>245.26923076923077</v>
      </c>
    </row>
    <row r="152" spans="1:10" ht="25.5">
      <c r="A152" s="1257" t="s">
        <v>339</v>
      </c>
      <c r="B152" s="1258"/>
      <c r="C152" s="1259"/>
      <c r="D152" s="117" t="s">
        <v>130</v>
      </c>
      <c r="E152" s="95">
        <f>'[2]25'!F152</f>
        <v>29979.86</v>
      </c>
      <c r="F152" s="233">
        <v>30104.6</v>
      </c>
      <c r="G152" s="413">
        <f t="shared" si="11"/>
        <v>124.73999999999796</v>
      </c>
      <c r="H152" s="99">
        <f>G152+'[2]25'!H152</f>
        <v>3363.6999999999971</v>
      </c>
      <c r="I152" s="119"/>
      <c r="J152" s="328">
        <f>H152/DAY(B2)</f>
        <v>129.37307692307681</v>
      </c>
    </row>
    <row r="153" spans="1:10" ht="25.5">
      <c r="A153" s="1261" t="s">
        <v>196</v>
      </c>
      <c r="B153" s="1262"/>
      <c r="C153" s="362"/>
      <c r="D153" s="355"/>
      <c r="E153" s="357"/>
      <c r="F153" s="358"/>
      <c r="G153" s="435">
        <f>SUM(G138:G152)</f>
        <v>2612.8199999998974</v>
      </c>
      <c r="H153" s="360"/>
      <c r="I153" s="119">
        <f>G153-(G38+G52)</f>
        <v>507.81999999989739</v>
      </c>
      <c r="J153" s="363"/>
    </row>
    <row r="154" spans="1:10" ht="27.75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0" ht="27.75">
      <c r="A155" s="1256" t="s">
        <v>345</v>
      </c>
      <c r="B155" s="1256"/>
      <c r="C155" s="1256"/>
      <c r="D155" s="117" t="s">
        <v>130</v>
      </c>
      <c r="E155" s="95">
        <f>'[2]25'!F155</f>
        <v>182790.99</v>
      </c>
      <c r="F155" s="157">
        <v>183703.07</v>
      </c>
      <c r="G155" s="413">
        <f t="shared" ref="G155:G158" si="12">F155-E155</f>
        <v>912.0800000000163</v>
      </c>
      <c r="H155" s="99">
        <f>G155+'[2]25'!H155</f>
        <v>17026.070000000007</v>
      </c>
      <c r="I155" s="361"/>
      <c r="J155" s="328">
        <f>H155/DAY(B2)</f>
        <v>654.84884615384647</v>
      </c>
    </row>
    <row r="156" spans="1:10" ht="25.5">
      <c r="A156" s="1256" t="s">
        <v>347</v>
      </c>
      <c r="B156" s="1256"/>
      <c r="C156" s="1256"/>
      <c r="D156" s="117" t="s">
        <v>130</v>
      </c>
      <c r="E156" s="95">
        <f>'[2]25'!F156</f>
        <v>20263.330000000002</v>
      </c>
      <c r="F156" s="157">
        <v>20369.82</v>
      </c>
      <c r="G156" s="413">
        <f t="shared" si="12"/>
        <v>106.48999999999796</v>
      </c>
      <c r="H156" s="99">
        <f>G156+'[2]25'!H156</f>
        <v>5867.82</v>
      </c>
      <c r="I156" s="165"/>
      <c r="J156" s="328">
        <f>H156/DAY(B2)</f>
        <v>225.68538461538461</v>
      </c>
    </row>
    <row r="157" spans="1:10" ht="25.5">
      <c r="A157" s="1257" t="s">
        <v>358</v>
      </c>
      <c r="B157" s="1258"/>
      <c r="C157" s="1259"/>
      <c r="D157" s="117" t="s">
        <v>130</v>
      </c>
      <c r="E157" s="95">
        <f>'[2]25'!F157</f>
        <v>35404.97</v>
      </c>
      <c r="F157" s="155">
        <v>35534.879999999997</v>
      </c>
      <c r="G157" s="413">
        <f t="shared" si="12"/>
        <v>129.90999999999622</v>
      </c>
      <c r="H157" s="99">
        <f>G157+'[2]25'!H157</f>
        <v>1008.0799999999945</v>
      </c>
      <c r="I157" s="165"/>
      <c r="J157" s="328">
        <f>H157/DAY(B2)</f>
        <v>38.772307692307479</v>
      </c>
    </row>
    <row r="158" spans="1:10" ht="25.5">
      <c r="A158" s="1257" t="s">
        <v>359</v>
      </c>
      <c r="B158" s="1258"/>
      <c r="C158" s="1259"/>
      <c r="D158" s="117" t="s">
        <v>130</v>
      </c>
      <c r="E158" s="95">
        <f>'[2]25'!F158</f>
        <v>392.74</v>
      </c>
      <c r="F158" s="155">
        <v>411.74</v>
      </c>
      <c r="G158" s="413">
        <f t="shared" si="12"/>
        <v>19</v>
      </c>
      <c r="H158" s="99">
        <f>G158+'[2]25'!H158</f>
        <v>69.139999999999986</v>
      </c>
      <c r="I158" s="165"/>
      <c r="J158" s="328">
        <f>H158/DAY(B2)</f>
        <v>2.6592307692307688</v>
      </c>
    </row>
    <row r="159" spans="1:10" ht="25.5">
      <c r="A159" s="1263"/>
      <c r="B159" s="1264"/>
      <c r="C159" s="1265"/>
      <c r="D159" s="117"/>
      <c r="E159" s="95"/>
      <c r="F159" s="165"/>
      <c r="G159" s="413"/>
      <c r="H159" s="99"/>
      <c r="I159" s="165"/>
      <c r="J159" s="328"/>
    </row>
    <row r="160" spans="1:10" ht="27.75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26.25">
      <c r="A161" s="242" t="s">
        <v>92</v>
      </c>
      <c r="B161" s="243"/>
      <c r="C161" s="243"/>
      <c r="D161" s="244" t="s">
        <v>180</v>
      </c>
      <c r="E161" s="95">
        <f>'[2]25'!F161</f>
        <v>487254.68</v>
      </c>
      <c r="F161" s="235">
        <v>487417.56</v>
      </c>
      <c r="G161" s="436">
        <f t="shared" ref="G161:G165" si="13">F161-E161</f>
        <v>162.88000000000466</v>
      </c>
      <c r="H161" s="99">
        <f>G161+'[2]25'!H161</f>
        <v>1853.8400000000256</v>
      </c>
      <c r="I161" s="236"/>
      <c r="J161" s="239">
        <f>H161/DAY(B2)</f>
        <v>71.301538461539451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'[2]25'!F162</f>
        <v>97055.4</v>
      </c>
      <c r="F162" s="235">
        <v>97098.4</v>
      </c>
      <c r="G162" s="436">
        <f t="shared" si="13"/>
        <v>43</v>
      </c>
      <c r="H162" s="99">
        <f>G162+'[2]25'!H162</f>
        <v>977.39999999999418</v>
      </c>
      <c r="I162" s="236"/>
      <c r="J162" s="239">
        <f>H162/DAY(B2)</f>
        <v>37.592307692307472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'[2]25'!F163</f>
        <v>13424.8</v>
      </c>
      <c r="F163" s="235">
        <v>13570.4</v>
      </c>
      <c r="G163" s="436">
        <f t="shared" si="13"/>
        <v>145.60000000000036</v>
      </c>
      <c r="H163" s="99">
        <f>G163+'[2]25'!H163</f>
        <v>3444.7999999999993</v>
      </c>
      <c r="I163" s="236"/>
      <c r="J163" s="239">
        <f>H163/DAY(B2)</f>
        <v>132.49230769230766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'[2]25'!F164</f>
        <v>6568.2</v>
      </c>
      <c r="F164" s="235">
        <v>6574</v>
      </c>
      <c r="G164" s="436">
        <f t="shared" si="13"/>
        <v>5.8000000000001819</v>
      </c>
      <c r="H164" s="99">
        <f>G164+'[2]25'!H164</f>
        <v>153.89999999999964</v>
      </c>
      <c r="I164" s="236"/>
      <c r="J164" s="239">
        <f>H164/DAY(B2)</f>
        <v>5.9192307692307553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'[2]25'!F165</f>
        <v>32091.33</v>
      </c>
      <c r="F165" s="235">
        <v>32103.64</v>
      </c>
      <c r="G165" s="436">
        <f t="shared" si="13"/>
        <v>12.309999999997672</v>
      </c>
      <c r="H165" s="99">
        <f>G165+'[2]25'!H165</f>
        <v>242.45000000000073</v>
      </c>
      <c r="I165" s="236"/>
      <c r="J165" s="239">
        <f>H165/DAY(B2)</f>
        <v>9.3250000000000277</v>
      </c>
    </row>
    <row r="166" spans="1:10" ht="26.25">
      <c r="A166" s="1274"/>
      <c r="B166" s="1274"/>
      <c r="C166" s="246"/>
      <c r="D166" s="244" t="s">
        <v>180</v>
      </c>
      <c r="E166" s="95" t="str">
        <f>'[2]25'!F166</f>
        <v>.</v>
      </c>
      <c r="F166" s="165"/>
      <c r="G166" s="433"/>
      <c r="H166" s="99">
        <f>G166+'[2]25'!H166</f>
        <v>0</v>
      </c>
      <c r="I166" s="165"/>
      <c r="J166" s="239">
        <f>H166/DAY(B2)</f>
        <v>0</v>
      </c>
    </row>
    <row r="167" spans="1:10" ht="26.25">
      <c r="A167" s="1274"/>
      <c r="B167" s="1274"/>
      <c r="C167" s="246"/>
      <c r="D167" s="244" t="s">
        <v>180</v>
      </c>
      <c r="E167" s="95">
        <f>'[2]25'!F167</f>
        <v>0</v>
      </c>
      <c r="F167" s="165"/>
      <c r="G167" s="433"/>
      <c r="H167" s="99">
        <f>G167+'[2]25'!H167</f>
        <v>0</v>
      </c>
      <c r="I167" s="165"/>
      <c r="J167" s="239">
        <f>H167/DAY(B2)</f>
        <v>0</v>
      </c>
    </row>
    <row r="168" spans="1:10" ht="26.25">
      <c r="A168" s="1274"/>
      <c r="B168" s="1274"/>
      <c r="C168" s="246"/>
      <c r="D168" s="244" t="s">
        <v>180</v>
      </c>
      <c r="E168" s="95">
        <f>'[2]25'!F168</f>
        <v>0</v>
      </c>
      <c r="F168" s="165"/>
      <c r="G168" s="433"/>
      <c r="H168" s="99">
        <f>G168+'[2]25'!H168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5.5">
      <c r="A172" s="1330"/>
      <c r="B172" s="1331"/>
      <c r="C172" s="332"/>
      <c r="D172" s="228"/>
      <c r="E172" s="155"/>
      <c r="F172" s="155"/>
      <c r="G172" s="437"/>
      <c r="H172" s="156"/>
      <c r="I172" s="155"/>
      <c r="J172" s="178"/>
    </row>
    <row r="173" spans="1:10" ht="25.5">
      <c r="A173" s="1254" t="s">
        <v>209</v>
      </c>
      <c r="B173" s="1255"/>
      <c r="C173" s="720"/>
      <c r="D173" s="228" t="s">
        <v>142</v>
      </c>
      <c r="E173" s="95">
        <f>'[2]25'!F173</f>
        <v>8232</v>
      </c>
      <c r="F173" s="155">
        <v>8235</v>
      </c>
      <c r="G173" s="437">
        <f>F173-E173</f>
        <v>3</v>
      </c>
      <c r="H173" s="99">
        <f>G173+'[2]25'!H173</f>
        <v>36</v>
      </c>
      <c r="I173" s="155"/>
      <c r="J173" s="178">
        <f>H173/DAY(B2)</f>
        <v>1.3846153846153846</v>
      </c>
    </row>
    <row r="174" spans="1:10" ht="25.5">
      <c r="A174" s="1254" t="s">
        <v>75</v>
      </c>
      <c r="B174" s="1255"/>
      <c r="C174" s="720"/>
      <c r="D174" s="228" t="s">
        <v>142</v>
      </c>
      <c r="E174" s="95">
        <f>'[2]25'!F174</f>
        <v>41898</v>
      </c>
      <c r="F174" s="157">
        <v>41911</v>
      </c>
      <c r="G174" s="437">
        <f t="shared" ref="G174:G175" si="14">F174-E174</f>
        <v>13</v>
      </c>
      <c r="H174" s="99">
        <f>G174+'[2]25'!H174</f>
        <v>317</v>
      </c>
      <c r="I174" s="155"/>
      <c r="J174" s="178">
        <f>H174/DAY(B2)</f>
        <v>12.192307692307692</v>
      </c>
    </row>
    <row r="175" spans="1:10" ht="25.5">
      <c r="A175" s="1254" t="s">
        <v>76</v>
      </c>
      <c r="B175" s="1324"/>
      <c r="C175" s="1255"/>
      <c r="D175" s="228" t="s">
        <v>142</v>
      </c>
      <c r="E175" s="95">
        <f>'[2]25'!F175</f>
        <v>24637</v>
      </c>
      <c r="F175" s="155">
        <v>24649</v>
      </c>
      <c r="G175" s="437">
        <f t="shared" si="14"/>
        <v>12</v>
      </c>
      <c r="H175" s="99">
        <f>G175+'[2]25'!H175</f>
        <v>296</v>
      </c>
      <c r="I175" s="155"/>
      <c r="J175" s="178">
        <f>H175/DAY(B2)</f>
        <v>11.384615384615385</v>
      </c>
    </row>
    <row r="176" spans="1:10" ht="25.5">
      <c r="A176" s="1261" t="s">
        <v>196</v>
      </c>
      <c r="B176" s="1262"/>
      <c r="C176" s="721"/>
      <c r="D176" s="228" t="s">
        <v>142</v>
      </c>
      <c r="E176" s="95"/>
      <c r="F176" s="155"/>
      <c r="G176" s="437">
        <f>SUM(G173:G175)</f>
        <v>28</v>
      </c>
      <c r="H176" s="99">
        <f>G176+'[2]25'!H176</f>
        <v>649</v>
      </c>
      <c r="I176" s="155"/>
      <c r="J176" s="178">
        <f>H176/DAY(B2)</f>
        <v>24.96153846153846</v>
      </c>
    </row>
    <row r="177" spans="1:10" ht="25.5">
      <c r="A177" s="1254" t="s">
        <v>77</v>
      </c>
      <c r="B177" s="1255"/>
      <c r="C177" s="720"/>
      <c r="D177" s="228" t="s">
        <v>142</v>
      </c>
      <c r="E177" s="95"/>
      <c r="F177" s="155"/>
      <c r="G177" s="437"/>
      <c r="H177" s="99">
        <f>G177+'[2]25'!H177</f>
        <v>0</v>
      </c>
      <c r="I177" s="155"/>
      <c r="J177" s="178">
        <f>H177/DAY(B2)</f>
        <v>0</v>
      </c>
    </row>
    <row r="178" spans="1:10" ht="25.5">
      <c r="A178" s="1254" t="s">
        <v>210</v>
      </c>
      <c r="B178" s="1255"/>
      <c r="C178" s="720"/>
      <c r="D178" s="228" t="s">
        <v>142</v>
      </c>
      <c r="E178" s="95">
        <f>'[2]25'!F178</f>
        <v>102114</v>
      </c>
      <c r="F178" s="155">
        <v>102114</v>
      </c>
      <c r="G178" s="437">
        <f>F178-E178</f>
        <v>0</v>
      </c>
      <c r="H178" s="99">
        <f>G178+'[2]25'!H178</f>
        <v>2139</v>
      </c>
      <c r="I178" s="155"/>
      <c r="J178" s="178">
        <f>H178/DAY(B2)</f>
        <v>82.269230769230774</v>
      </c>
    </row>
    <row r="179" spans="1:10" ht="25.5">
      <c r="A179" s="1254" t="s">
        <v>211</v>
      </c>
      <c r="B179" s="1255"/>
      <c r="C179" s="720"/>
      <c r="D179" s="228" t="s">
        <v>142</v>
      </c>
      <c r="E179" s="95">
        <f>'[2]25'!F179</f>
        <v>37501</v>
      </c>
      <c r="F179" s="155">
        <v>37501</v>
      </c>
      <c r="G179" s="437">
        <f t="shared" ref="G179:G180" si="15">F179-E179</f>
        <v>0</v>
      </c>
      <c r="H179" s="99">
        <f>G179+'[2]25'!H179</f>
        <v>252</v>
      </c>
      <c r="I179" s="155"/>
      <c r="J179" s="178">
        <f>H179/DAY(B2)</f>
        <v>9.6923076923076916</v>
      </c>
    </row>
    <row r="180" spans="1:10" ht="25.5">
      <c r="A180" s="1254" t="s">
        <v>212</v>
      </c>
      <c r="B180" s="1255"/>
      <c r="C180" s="720"/>
      <c r="D180" s="228" t="s">
        <v>142</v>
      </c>
      <c r="E180" s="95">
        <f>'[2]25'!F180</f>
        <v>7228</v>
      </c>
      <c r="F180" s="155">
        <v>7230</v>
      </c>
      <c r="G180" s="437">
        <f t="shared" si="15"/>
        <v>2</v>
      </c>
      <c r="H180" s="99">
        <f>G180+'[2]25'!H180</f>
        <v>234</v>
      </c>
      <c r="I180" s="155"/>
      <c r="J180" s="178">
        <f>H180/DAY(B2)</f>
        <v>9</v>
      </c>
    </row>
    <row r="181" spans="1:10" ht="25.5">
      <c r="A181" s="1325" t="s">
        <v>108</v>
      </c>
      <c r="B181" s="1326"/>
      <c r="C181" s="721"/>
      <c r="D181" s="228" t="s">
        <v>142</v>
      </c>
      <c r="E181" s="95"/>
      <c r="F181" s="155"/>
      <c r="G181" s="437">
        <f>SUM(G178:G180)</f>
        <v>2</v>
      </c>
      <c r="H181" s="99">
        <f>G181+'[2]25'!H181</f>
        <v>2625</v>
      </c>
      <c r="I181" s="155"/>
      <c r="J181" s="178">
        <f>H181/DAY(B2)</f>
        <v>100.96153846153847</v>
      </c>
    </row>
    <row r="182" spans="1:10" ht="25.5">
      <c r="A182" s="1254" t="s">
        <v>213</v>
      </c>
      <c r="B182" s="1255"/>
      <c r="C182" s="720"/>
      <c r="D182" s="228" t="s">
        <v>142</v>
      </c>
      <c r="E182" s="95"/>
      <c r="F182" s="155"/>
      <c r="G182" s="437"/>
      <c r="H182" s="99">
        <f>G182+'[2]25'!H182</f>
        <v>0</v>
      </c>
      <c r="I182" s="155"/>
      <c r="J182" s="178">
        <f>H182/DAY(B2)</f>
        <v>0</v>
      </c>
    </row>
    <row r="183" spans="1:10" ht="25.5">
      <c r="A183" s="1254" t="s">
        <v>214</v>
      </c>
      <c r="B183" s="1255"/>
      <c r="C183" s="718"/>
      <c r="D183" s="228" t="s">
        <v>142</v>
      </c>
      <c r="E183" s="95">
        <f>'[2]25'!F183</f>
        <v>17829</v>
      </c>
      <c r="F183" s="157">
        <v>17833</v>
      </c>
      <c r="G183" s="438">
        <f>F183-E183</f>
        <v>4</v>
      </c>
      <c r="H183" s="99">
        <f>G183+'[2]25'!H183</f>
        <v>156</v>
      </c>
      <c r="I183" s="155"/>
      <c r="J183" s="178">
        <f>H183/DAY(B2)</f>
        <v>6</v>
      </c>
    </row>
    <row r="184" spans="1:10" ht="25.5">
      <c r="A184" s="1254" t="s">
        <v>215</v>
      </c>
      <c r="B184" s="1255"/>
      <c r="C184" s="718"/>
      <c r="D184" s="228" t="s">
        <v>142</v>
      </c>
      <c r="E184" s="95">
        <f>'[2]25'!F184</f>
        <v>12315</v>
      </c>
      <c r="F184" s="157">
        <v>12321</v>
      </c>
      <c r="G184" s="438">
        <f t="shared" ref="G184:G185" si="16">F184-E184</f>
        <v>6</v>
      </c>
      <c r="H184" s="99">
        <f>G184+'[2]25'!H184</f>
        <v>174</v>
      </c>
      <c r="I184" s="155"/>
      <c r="J184" s="178">
        <f>H184/DAY(B2)</f>
        <v>6.6923076923076925</v>
      </c>
    </row>
    <row r="185" spans="1:10" ht="25.5">
      <c r="A185" s="1254" t="s">
        <v>216</v>
      </c>
      <c r="B185" s="1255"/>
      <c r="C185" s="718"/>
      <c r="D185" s="228" t="s">
        <v>142</v>
      </c>
      <c r="E185" s="95">
        <f>'[2]25'!F185</f>
        <v>0</v>
      </c>
      <c r="F185" s="157"/>
      <c r="G185" s="438">
        <f t="shared" si="16"/>
        <v>0</v>
      </c>
      <c r="H185" s="99">
        <f>G185+'[2]25'!H185</f>
        <v>12106</v>
      </c>
      <c r="I185" s="155"/>
      <c r="J185" s="178">
        <f>H185/DAY(B2)</f>
        <v>465.61538461538464</v>
      </c>
    </row>
    <row r="186" spans="1:10" ht="25.5">
      <c r="A186" s="1261" t="s">
        <v>196</v>
      </c>
      <c r="B186" s="1262"/>
      <c r="C186" s="717"/>
      <c r="D186" s="228" t="s">
        <v>142</v>
      </c>
      <c r="E186" s="95"/>
      <c r="F186" s="157"/>
      <c r="G186" s="438">
        <f>SUM(G183:G185)</f>
        <v>10</v>
      </c>
      <c r="H186" s="99">
        <f>G186+'[2]25'!H186</f>
        <v>12436</v>
      </c>
      <c r="I186" s="157"/>
      <c r="J186" s="178">
        <f>H186/DAY(B2)</f>
        <v>478.30769230769232</v>
      </c>
    </row>
    <row r="187" spans="1:10" ht="25.5">
      <c r="A187" s="1250" t="s">
        <v>217</v>
      </c>
      <c r="B187" s="1251"/>
      <c r="C187" s="720"/>
      <c r="D187" s="228" t="s">
        <v>142</v>
      </c>
      <c r="E187" s="95">
        <f>'[2]25'!F187</f>
        <v>0</v>
      </c>
      <c r="F187" s="159"/>
      <c r="G187" s="439">
        <f>G62+G19</f>
        <v>148</v>
      </c>
      <c r="H187" s="99">
        <f>G187+'[2]25'!H187</f>
        <v>3572</v>
      </c>
      <c r="I187" s="158"/>
      <c r="J187" s="179">
        <f>H187/DAY(B2)</f>
        <v>137.38461538461539</v>
      </c>
    </row>
    <row r="188" spans="1:10" ht="25.5">
      <c r="A188" s="1250" t="s">
        <v>218</v>
      </c>
      <c r="B188" s="1251"/>
      <c r="C188" s="720"/>
      <c r="D188" s="228" t="s">
        <v>142</v>
      </c>
      <c r="E188" s="95">
        <f>'[2]25'!F188</f>
        <v>0</v>
      </c>
      <c r="F188" s="159"/>
      <c r="G188" s="439">
        <f>G65+G66+G67+G69+G70</f>
        <v>147</v>
      </c>
      <c r="H188" s="99">
        <f>G188+'[2]25'!H188</f>
        <v>1711</v>
      </c>
      <c r="I188" s="158"/>
      <c r="J188" s="179">
        <f>H188/DAY(B2)</f>
        <v>65.807692307692307</v>
      </c>
    </row>
    <row r="189" spans="1:10" ht="25.5">
      <c r="A189" s="1250" t="s">
        <v>219</v>
      </c>
      <c r="B189" s="1251"/>
      <c r="C189" s="720"/>
      <c r="D189" s="228" t="s">
        <v>142</v>
      </c>
      <c r="E189" s="95">
        <f>'[2]25'!F189</f>
        <v>0</v>
      </c>
      <c r="F189" s="157"/>
      <c r="G189" s="439">
        <f>G181</f>
        <v>2</v>
      </c>
      <c r="H189" s="99">
        <f>G189+'[2]25'!H189</f>
        <v>669</v>
      </c>
      <c r="I189" s="158"/>
      <c r="J189" s="179">
        <f>H189/DAY(B2)</f>
        <v>25.73076923076923</v>
      </c>
    </row>
    <row r="190" spans="1:10" ht="25.5">
      <c r="A190" s="1252"/>
      <c r="B190" s="1253"/>
      <c r="C190" s="719"/>
      <c r="D190" s="379"/>
      <c r="E190" s="379" t="s">
        <v>207</v>
      </c>
      <c r="F190" s="379"/>
      <c r="G190" s="571"/>
      <c r="H190" s="380"/>
      <c r="I190" s="379"/>
      <c r="J190" s="381"/>
    </row>
    <row r="191" spans="1:10" ht="26.25">
      <c r="F191" s="160">
        <f>515993-516223</f>
        <v>-230</v>
      </c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2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topLeftCell="A136" zoomScale="55" zoomScaleSheetLayoutView="55" workbookViewId="0">
      <selection activeCell="F27" sqref="F27:F3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3.25">
      <c r="A2" s="191" t="s">
        <v>349</v>
      </c>
      <c r="B2" s="262">
        <v>44831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'26'!F7</f>
        <v>778284.31</v>
      </c>
      <c r="F7" s="95">
        <v>801707</v>
      </c>
      <c r="G7" s="112">
        <f>F7-E7</f>
        <v>23422.689999999944</v>
      </c>
      <c r="H7" s="99">
        <f>G7+'26'!H7</f>
        <v>678481</v>
      </c>
      <c r="I7" s="113">
        <f>'1'!I7</f>
        <v>12000</v>
      </c>
      <c r="J7" s="175">
        <f>H7/DAY(B2)</f>
        <v>25128.925925925927</v>
      </c>
      <c r="K7" s="172">
        <v>1375467</v>
      </c>
      <c r="L7" s="66"/>
      <c r="N7" s="87"/>
      <c r="O7" s="71">
        <f>F7-O12</f>
        <v>778296.31</v>
      </c>
    </row>
    <row r="8" spans="1:15" ht="27" thickBot="1">
      <c r="A8" s="196" t="s">
        <v>131</v>
      </c>
      <c r="B8" s="197"/>
      <c r="C8" s="198"/>
      <c r="D8" s="224" t="s">
        <v>24</v>
      </c>
      <c r="E8" s="95">
        <f>'26'!F8</f>
        <v>944830.23</v>
      </c>
      <c r="F8" s="389">
        <f>E8+G7+178</f>
        <v>968430.91999999993</v>
      </c>
      <c r="G8" s="493">
        <f>F8-E8</f>
        <v>23600.689999999944</v>
      </c>
      <c r="H8" s="99">
        <f>G8+'26'!H8</f>
        <v>685884.91999999993</v>
      </c>
      <c r="I8" s="116"/>
      <c r="J8" s="175">
        <f>H8/DAY(B2)</f>
        <v>25403.145185185182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'26'!F9</f>
        <v>3670073.9</v>
      </c>
      <c r="F9" s="447">
        <v>3677670.7</v>
      </c>
      <c r="G9" s="112">
        <f>F9-E9</f>
        <v>7596.8000000002794</v>
      </c>
      <c r="H9" s="99">
        <f>G9+'26'!H9</f>
        <v>187302</v>
      </c>
      <c r="I9" s="124">
        <f>I7-J7</f>
        <v>-13128.925925925927</v>
      </c>
      <c r="J9" s="175">
        <f>H9/DAY(B2)</f>
        <v>6937.1111111111113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'26'!F10</f>
        <v>2678538.7000000002</v>
      </c>
      <c r="F10" s="353">
        <v>2693767</v>
      </c>
      <c r="G10" s="112">
        <f t="shared" ref="G10:G12" si="0">F10-E10</f>
        <v>15228.299999999814</v>
      </c>
      <c r="H10" s="99">
        <f>G10+'26'!H10</f>
        <v>472969.70000000019</v>
      </c>
      <c r="I10" s="282"/>
      <c r="J10" s="175">
        <f>H10/DAY(B2)</f>
        <v>17517.396296296301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'26'!F11</f>
        <v>37560</v>
      </c>
      <c r="F11" s="95">
        <v>37560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'26'!F12</f>
        <v>40380</v>
      </c>
      <c r="F12" s="117">
        <v>40380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>
        <v>0</v>
      </c>
      <c r="O12" s="71">
        <f>G8-190</f>
        <v>23410.689999999944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22825.100000000093</v>
      </c>
      <c r="H13" s="99">
        <f>G13+'26'!H13</f>
        <v>663255.89999999991</v>
      </c>
      <c r="I13" s="120">
        <f>G7-G13</f>
        <v>597.58999999985099</v>
      </c>
      <c r="J13" s="175">
        <f>H13/DAY(B2)</f>
        <v>24565.033333333329</v>
      </c>
      <c r="K13" s="79"/>
      <c r="L13" s="66"/>
      <c r="N13" s="87"/>
      <c r="O13" s="71"/>
    </row>
    <row r="14" spans="1:15" ht="26.25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47">
        <f>'26'!F15</f>
        <v>2157483.52</v>
      </c>
      <c r="F15" s="447">
        <v>2158480</v>
      </c>
      <c r="G15" s="112">
        <f>(F15-E15)</f>
        <v>996.47999999998137</v>
      </c>
      <c r="H15" s="99">
        <f>G15+'26'!H15</f>
        <v>26646.399999999907</v>
      </c>
      <c r="I15" s="113">
        <f>'1'!I15</f>
        <v>800</v>
      </c>
      <c r="J15" s="175">
        <f>H15/DAY(B2)</f>
        <v>986.90370370370022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-186.90370370370022</v>
      </c>
      <c r="J16" s="176"/>
      <c r="K16" s="79"/>
      <c r="L16" s="66"/>
      <c r="N16" s="87"/>
      <c r="O16" s="71"/>
    </row>
    <row r="17" spans="1:15" ht="26.25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81" t="s">
        <v>141</v>
      </c>
      <c r="B18" s="1282"/>
      <c r="C18" s="1283"/>
      <c r="D18" s="151" t="s">
        <v>142</v>
      </c>
      <c r="E18" s="389">
        <f>'26'!F18</f>
        <v>26</v>
      </c>
      <c r="F18" s="164">
        <v>22</v>
      </c>
      <c r="G18" s="236">
        <f>F18*10</f>
        <v>220</v>
      </c>
      <c r="H18" s="99">
        <f>G18+'26'!H18</f>
        <v>4600</v>
      </c>
      <c r="I18" s="113">
        <f>'1'!I18</f>
        <v>65</v>
      </c>
      <c r="J18" s="175">
        <f>H18/DAY(B2)</f>
        <v>170.37037037037038</v>
      </c>
      <c r="K18" s="79"/>
      <c r="L18" s="66"/>
      <c r="N18" s="87"/>
      <c r="O18" s="71"/>
    </row>
    <row r="19" spans="1:15" ht="25.5">
      <c r="A19" s="1281" t="s">
        <v>69</v>
      </c>
      <c r="B19" s="1282"/>
      <c r="C19" s="1283"/>
      <c r="D19" s="151" t="s">
        <v>142</v>
      </c>
      <c r="E19" s="95">
        <f>'26'!F19</f>
        <v>165240</v>
      </c>
      <c r="F19" s="122">
        <v>165292</v>
      </c>
      <c r="G19" s="112">
        <f t="shared" ref="G19" si="1">F19-E19</f>
        <v>52</v>
      </c>
      <c r="H19" s="99">
        <f>G19+'26'!H19</f>
        <v>1399</v>
      </c>
      <c r="I19" s="335"/>
      <c r="J19" s="175">
        <f>H19/DAY(B2)</f>
        <v>51.814814814814817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272</v>
      </c>
      <c r="H20" s="99">
        <f>G20+'26'!H20</f>
        <v>5999</v>
      </c>
      <c r="I20" s="336">
        <f>I18-J20</f>
        <v>-157.18518518518519</v>
      </c>
      <c r="J20" s="175">
        <f>H20/DAY(B2)</f>
        <v>222.18518518518519</v>
      </c>
      <c r="K20" s="79"/>
      <c r="L20" s="66"/>
      <c r="N20" s="87"/>
      <c r="O20" s="71"/>
    </row>
    <row r="21" spans="1:15" ht="26.25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'26'!F23</f>
        <v>1500</v>
      </c>
      <c r="F23" s="122">
        <v>1500</v>
      </c>
      <c r="G23" s="112">
        <f t="shared" si="2"/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'26'!F24</f>
        <v>4470</v>
      </c>
      <c r="F24" s="128">
        <v>4470</v>
      </c>
      <c r="G24" s="112">
        <f t="shared" si="2"/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23600.689999999944</v>
      </c>
      <c r="F27" s="136">
        <v>10</v>
      </c>
      <c r="G27" s="137">
        <f>E27*F27</f>
        <v>236006.89999999944</v>
      </c>
      <c r="H27" s="99">
        <f>G27+'26'!H27</f>
        <v>6219503.3699999992</v>
      </c>
      <c r="I27" s="138"/>
      <c r="J27" s="175">
        <f>H27/DAY(B2)</f>
        <v>230351.97666666663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996.47999999998137</v>
      </c>
      <c r="F28" s="136">
        <v>75</v>
      </c>
      <c r="G28" s="137">
        <f>E28*F28</f>
        <v>74735.999999998603</v>
      </c>
      <c r="H28" s="99">
        <f>G28+'26'!H28</f>
        <v>1875203.0999999936</v>
      </c>
      <c r="I28" s="140"/>
      <c r="J28" s="175">
        <f>H28/DAY(B2)</f>
        <v>69451.966666666427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G30+'26'!H30</f>
        <v>211249</v>
      </c>
      <c r="I30" s="140"/>
      <c r="J30" s="175">
        <f>H30/DAY(B2)</f>
        <v>7824.0370370370374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85</v>
      </c>
      <c r="G31" s="137">
        <f>E31*F31</f>
        <v>18700</v>
      </c>
      <c r="H31" s="99">
        <f>G31+'26'!H31</f>
        <v>370400</v>
      </c>
      <c r="I31" s="140"/>
      <c r="J31" s="175">
        <f>H31/DAY(B2)</f>
        <v>13718.518518518518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337294.89999999804</v>
      </c>
      <c r="H32" s="99">
        <f>G32+'26'!H32</f>
        <v>8676355.4699999932</v>
      </c>
      <c r="I32" s="144"/>
      <c r="J32" s="175">
        <f>H32/DAY(B2)</f>
        <v>321346.49888888863</v>
      </c>
      <c r="K32" s="63"/>
      <c r="L32" s="89"/>
      <c r="N32" s="87"/>
      <c r="O32" s="71"/>
    </row>
    <row r="33" spans="1:15" ht="25.5" customHeight="1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'26'!F35</f>
        <v>238713.05</v>
      </c>
      <c r="F35" s="145">
        <v>238713.05</v>
      </c>
      <c r="G35" s="112">
        <f t="shared" ref="G35:G46" si="3">F35-E35</f>
        <v>0</v>
      </c>
      <c r="H35" s="99">
        <f>G35+'26'!H35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'26'!F36</f>
        <v>265376.90999999997</v>
      </c>
      <c r="F36" s="145">
        <v>266402.5</v>
      </c>
      <c r="G36" s="112">
        <f t="shared" si="3"/>
        <v>1025.5900000000256</v>
      </c>
      <c r="H36" s="99">
        <f>G36+'26'!H36</f>
        <v>24585.450000000012</v>
      </c>
      <c r="I36" s="95"/>
      <c r="J36" s="175">
        <f>H36/DAY(B2)</f>
        <v>910.57222222222265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'26'!F37</f>
        <v>322998.69</v>
      </c>
      <c r="F37" s="145">
        <v>322998.69</v>
      </c>
      <c r="G37" s="112">
        <f t="shared" si="3"/>
        <v>0</v>
      </c>
      <c r="H37" s="99">
        <f>G37+'26'!H37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'26'!F38</f>
        <v>585003.27</v>
      </c>
      <c r="F38" s="108">
        <v>587067.59</v>
      </c>
      <c r="G38" s="112">
        <f t="shared" si="3"/>
        <v>2064.3199999999488</v>
      </c>
      <c r="H38" s="99">
        <f>G38+'26'!H38</f>
        <v>61312.089999999967</v>
      </c>
      <c r="I38" s="95"/>
      <c r="J38" s="175">
        <f>H38/DAY(B2)</f>
        <v>2270.818148148147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'26'!F39</f>
        <v>591584.18999999994</v>
      </c>
      <c r="F39" s="145">
        <v>591584.18999999994</v>
      </c>
      <c r="G39" s="112">
        <f t="shared" si="3"/>
        <v>0</v>
      </c>
      <c r="H39" s="99">
        <f>G39+'26'!H39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'26'!F40</f>
        <v>154549.48000000001</v>
      </c>
      <c r="F40" s="145">
        <v>155327.69</v>
      </c>
      <c r="G40" s="112">
        <f t="shared" si="3"/>
        <v>778.20999999999185</v>
      </c>
      <c r="H40" s="99">
        <f>G40+'26'!H40</f>
        <v>22056.459999999992</v>
      </c>
      <c r="I40" s="95"/>
      <c r="J40" s="175">
        <f>H40/DAY(B2)</f>
        <v>816.90592592592566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'26'!F41</f>
        <v>367294.99</v>
      </c>
      <c r="F41" s="145">
        <v>371968.19</v>
      </c>
      <c r="G41" s="112">
        <f t="shared" si="3"/>
        <v>4673.2000000000116</v>
      </c>
      <c r="H41" s="99">
        <f>G41+'26'!H41</f>
        <v>89755.12</v>
      </c>
      <c r="I41" s="95"/>
      <c r="J41" s="175">
        <f>H41/DAY(B2)</f>
        <v>3324.2637037037034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'26'!F42</f>
        <v>814404.47</v>
      </c>
      <c r="F42" s="145">
        <v>814404.47</v>
      </c>
      <c r="G42" s="112">
        <f t="shared" si="3"/>
        <v>0</v>
      </c>
      <c r="H42" s="99">
        <f>G42+'26'!H42</f>
        <v>15385.919999999925</v>
      </c>
      <c r="I42" s="95"/>
      <c r="J42" s="175">
        <f>H42/DAY(B2)</f>
        <v>569.84888888888611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'26'!F43</f>
        <v>407028.03</v>
      </c>
      <c r="F43" s="145">
        <v>407028.03</v>
      </c>
      <c r="G43" s="112">
        <f t="shared" si="3"/>
        <v>0</v>
      </c>
      <c r="H43" s="99">
        <f>G43+'26'!H43</f>
        <v>3.0000000027939677E-2</v>
      </c>
      <c r="I43" s="95"/>
      <c r="J43" s="175">
        <f>H43/DAY(B2)</f>
        <v>1.111111112145914E-3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8541.3199999999779</v>
      </c>
      <c r="H47" s="99">
        <f>G47+'26'!H47</f>
        <v>213095.06999999992</v>
      </c>
      <c r="I47" s="95"/>
      <c r="J47" s="175">
        <f>H47/DAY(B2)</f>
        <v>7892.4099999999971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'26'!F49</f>
        <v>704934.39</v>
      </c>
      <c r="F49" s="145">
        <v>708629.89</v>
      </c>
      <c r="G49" s="112">
        <f t="shared" ref="G49:G58" si="4">F49-E49</f>
        <v>3695.5</v>
      </c>
      <c r="H49" s="99">
        <f>G49+'26'!H49</f>
        <v>99012.300000000047</v>
      </c>
      <c r="I49" s="95"/>
      <c r="J49" s="175">
        <f>H49/DAY(B2)</f>
        <v>3667.1222222222241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'26'!F50</f>
        <v>358672.75</v>
      </c>
      <c r="F50" s="145">
        <v>360170.79</v>
      </c>
      <c r="G50" s="112">
        <f t="shared" si="4"/>
        <v>1498.039999999979</v>
      </c>
      <c r="H50" s="99">
        <f>G50+'26'!H50</f>
        <v>242886.15999999997</v>
      </c>
      <c r="I50" s="95"/>
      <c r="J50" s="175">
        <f>H50/DAY(B2)</f>
        <v>8995.7837037037025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'26'!F51</f>
        <v>67529.19</v>
      </c>
      <c r="F51" s="145">
        <v>68562.27</v>
      </c>
      <c r="G51" s="112">
        <f t="shared" si="4"/>
        <v>1033.0800000000017</v>
      </c>
      <c r="H51" s="99">
        <f>G51+'26'!H51</f>
        <v>27701.010000000002</v>
      </c>
      <c r="I51" s="95"/>
      <c r="J51" s="175">
        <f>H51/DAY(B2)</f>
        <v>1025.9633333333334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'26'!F52</f>
        <v>10</v>
      </c>
      <c r="F52" s="145">
        <v>10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'26'!F53</f>
        <v>277104.21000000002</v>
      </c>
      <c r="F53" s="145">
        <v>281204.67</v>
      </c>
      <c r="G53" s="112">
        <f t="shared" si="4"/>
        <v>4100.4599999999627</v>
      </c>
      <c r="H53" s="99">
        <f>G53+'26'!H53</f>
        <v>113929.97999999998</v>
      </c>
      <c r="I53" s="95"/>
      <c r="J53" s="175">
        <f>H53/DAY(B2)</f>
        <v>4219.6288888888885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'26'!F54</f>
        <v>100709.91</v>
      </c>
      <c r="F54" s="145">
        <v>100878.85</v>
      </c>
      <c r="G54" s="112">
        <f t="shared" si="4"/>
        <v>168.94000000000233</v>
      </c>
      <c r="H54" s="99">
        <f>G54+'26'!H54</f>
        <v>5150.7600000000093</v>
      </c>
      <c r="I54" s="95"/>
      <c r="J54" s="175">
        <f>H54/DAY(B2)</f>
        <v>190.76888888888922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'26'!F55</f>
        <v>494482.51</v>
      </c>
      <c r="F55" s="145">
        <v>494482.51</v>
      </c>
      <c r="G55" s="112">
        <f t="shared" si="4"/>
        <v>0</v>
      </c>
      <c r="H55" s="99">
        <f>G55+'26'!H55</f>
        <v>51312.760000000009</v>
      </c>
      <c r="I55" s="95"/>
      <c r="J55" s="175">
        <f>H55/DAY(B2)</f>
        <v>1900.4725925925929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'26'!F56</f>
        <v>144706.53</v>
      </c>
      <c r="F56" s="145">
        <v>145944.79</v>
      </c>
      <c r="G56" s="112">
        <f t="shared" si="4"/>
        <v>1238.2600000000093</v>
      </c>
      <c r="H56" s="99">
        <f>G56+'26'!H56</f>
        <v>19897.100000000006</v>
      </c>
      <c r="I56" s="95"/>
      <c r="J56" s="175">
        <f>H56/DAY(B2)</f>
        <v>736.92962962962986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'26'!F57</f>
        <v>397236.23</v>
      </c>
      <c r="F57" s="405">
        <v>399995.8</v>
      </c>
      <c r="G57" s="112">
        <f t="shared" si="4"/>
        <v>2759.570000000007</v>
      </c>
      <c r="H57" s="99">
        <f>G57+'26'!H57</f>
        <v>77744.87</v>
      </c>
      <c r="I57" s="95"/>
      <c r="J57" s="175">
        <f>H57/DAY(B2)</f>
        <v>2879.4396296296295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'26'!F58</f>
        <v>63141.87</v>
      </c>
      <c r="F58" s="145">
        <v>63392.4</v>
      </c>
      <c r="G58" s="112">
        <f t="shared" si="4"/>
        <v>250.52999999999884</v>
      </c>
      <c r="H58" s="99">
        <f>G58+'26'!H58</f>
        <v>6631.4000000000015</v>
      </c>
      <c r="I58" s="95"/>
      <c r="J58" s="175">
        <f>H58/DAY(B2)</f>
        <v>245.60740740740746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14744.379999999961</v>
      </c>
      <c r="H59" s="99">
        <f>G59+'26'!H59</f>
        <v>440818.07999999996</v>
      </c>
      <c r="I59" s="95">
        <f>G7-G60</f>
        <v>136.99000000000524</v>
      </c>
      <c r="J59" s="175">
        <f>H59/DAY(B2)</f>
        <v>16326.595555555554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23285.699999999939</v>
      </c>
      <c r="H60" s="99">
        <f>G60+'26'!H60</f>
        <v>653913.14999999991</v>
      </c>
      <c r="I60" s="95">
        <f>G13-G60</f>
        <v>-460.59999999984575</v>
      </c>
      <c r="J60" s="175">
        <f>H60/DAY(B2)</f>
        <v>24219.005555555552</v>
      </c>
      <c r="K60" s="79"/>
      <c r="L60" s="66"/>
      <c r="N60" s="87"/>
      <c r="O60" s="71"/>
    </row>
    <row r="61" spans="1:15" s="68" customFormat="1" ht="26.25">
      <c r="A61" s="1278" t="s">
        <v>332</v>
      </c>
      <c r="B61" s="1279"/>
      <c r="C61" s="12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81" t="s">
        <v>198</v>
      </c>
      <c r="B62" s="1282"/>
      <c r="C62" s="1283"/>
      <c r="D62" s="151" t="s">
        <v>142</v>
      </c>
      <c r="E62" s="95">
        <f>'26'!F62</f>
        <v>301698</v>
      </c>
      <c r="F62" s="122">
        <v>301771</v>
      </c>
      <c r="G62" s="112">
        <f t="shared" ref="G62:G63" si="5">F62-E62</f>
        <v>73</v>
      </c>
      <c r="H62" s="99">
        <f>G62+'26'!H62</f>
        <v>2298</v>
      </c>
      <c r="I62" s="118"/>
      <c r="J62" s="175">
        <f>H62/DAY(B2)</f>
        <v>85.111111111111114</v>
      </c>
      <c r="K62" s="80"/>
      <c r="L62" s="66"/>
      <c r="N62" s="87"/>
      <c r="O62" s="71"/>
    </row>
    <row r="63" spans="1:15" ht="25.5">
      <c r="A63" s="1281" t="s">
        <v>199</v>
      </c>
      <c r="B63" s="1282"/>
      <c r="C63" s="1283"/>
      <c r="D63" s="151" t="s">
        <v>142</v>
      </c>
      <c r="E63" s="95">
        <f>'26'!F63</f>
        <v>245139</v>
      </c>
      <c r="F63" s="122">
        <v>245139</v>
      </c>
      <c r="G63" s="112">
        <f t="shared" si="5"/>
        <v>0</v>
      </c>
      <c r="H63" s="99">
        <f>G63+'26'!H63</f>
        <v>2547</v>
      </c>
      <c r="I63" s="118"/>
      <c r="J63" s="175">
        <f>H63/DAY(B2)</f>
        <v>94.333333333333329</v>
      </c>
      <c r="K63" s="69"/>
      <c r="L63" s="66"/>
      <c r="N63" s="87"/>
      <c r="O63" s="71"/>
    </row>
    <row r="64" spans="1:15" ht="26.25">
      <c r="A64" s="1284" t="s">
        <v>200</v>
      </c>
      <c r="B64" s="1285"/>
      <c r="C64" s="1286"/>
      <c r="D64" s="151"/>
      <c r="E64" s="95">
        <f>'26'!F64</f>
        <v>0</v>
      </c>
      <c r="F64" s="122"/>
      <c r="G64" s="112">
        <f>G62+G63</f>
        <v>73</v>
      </c>
      <c r="H64" s="99">
        <f>G64+'26'!H64</f>
        <v>4845</v>
      </c>
      <c r="I64" s="118"/>
      <c r="J64" s="175">
        <f>H64/DAY(B2)</f>
        <v>179.44444444444446</v>
      </c>
      <c r="K64" s="69"/>
      <c r="L64" s="66"/>
      <c r="N64" s="87"/>
      <c r="O64" s="71"/>
    </row>
    <row r="65" spans="1:15" ht="25.5">
      <c r="A65" s="1281" t="s">
        <v>201</v>
      </c>
      <c r="B65" s="1282"/>
      <c r="C65" s="1283"/>
      <c r="D65" s="151" t="s">
        <v>142</v>
      </c>
      <c r="E65" s="95">
        <f>'26'!F65</f>
        <v>460407</v>
      </c>
      <c r="F65" s="122">
        <v>460496</v>
      </c>
      <c r="G65" s="112">
        <f t="shared" ref="G65:G70" si="6">F65-E65</f>
        <v>89</v>
      </c>
      <c r="H65" s="99">
        <f>G65+'26'!H65</f>
        <v>2670</v>
      </c>
      <c r="I65" s="118"/>
      <c r="J65" s="175">
        <f>H65/DAY(B2)</f>
        <v>98.888888888888886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'26'!F66</f>
        <v>112553</v>
      </c>
      <c r="F66" s="122">
        <v>112560</v>
      </c>
      <c r="G66" s="112">
        <f t="shared" si="6"/>
        <v>7</v>
      </c>
      <c r="H66" s="99">
        <f>G66+'26'!H66</f>
        <v>263</v>
      </c>
      <c r="I66" s="118"/>
      <c r="J66" s="175">
        <f>H66/DAY(B2)</f>
        <v>9.7407407407407405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'26'!F67</f>
        <v>114659</v>
      </c>
      <c r="F67" s="122">
        <v>114678</v>
      </c>
      <c r="G67" s="112">
        <f t="shared" si="6"/>
        <v>19</v>
      </c>
      <c r="H67" s="99">
        <f>G67+'26'!H67</f>
        <v>480</v>
      </c>
      <c r="I67" s="118"/>
      <c r="J67" s="175">
        <f>H67/DAY(B2)</f>
        <v>17.777777777777779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'26'!F68</f>
        <v>166455</v>
      </c>
      <c r="F68" s="122">
        <v>166481</v>
      </c>
      <c r="G68" s="112">
        <f t="shared" si="6"/>
        <v>26</v>
      </c>
      <c r="H68" s="99">
        <f>G68+'26'!H68</f>
        <v>925</v>
      </c>
      <c r="I68" s="118"/>
      <c r="J68" s="175">
        <f>H68/DAY(B2)</f>
        <v>34.25925925925926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'26'!F69</f>
        <v>12553</v>
      </c>
      <c r="F69" s="122">
        <v>12557</v>
      </c>
      <c r="G69" s="112">
        <f t="shared" si="6"/>
        <v>4</v>
      </c>
      <c r="H69" s="99">
        <f>G69+'26'!H69</f>
        <v>119</v>
      </c>
      <c r="I69" s="118"/>
      <c r="J69" s="175">
        <f>H69/DAY(B2)</f>
        <v>4.4074074074074074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'26'!F70</f>
        <v>10305</v>
      </c>
      <c r="F70" s="122">
        <v>10317</v>
      </c>
      <c r="G70" s="112">
        <f t="shared" si="6"/>
        <v>12</v>
      </c>
      <c r="H70" s="99">
        <f>G70+'26'!H70</f>
        <v>221</v>
      </c>
      <c r="I70" s="118"/>
      <c r="J70" s="175">
        <f>H70/DAY(B2)</f>
        <v>8.1851851851851851</v>
      </c>
      <c r="K70" s="69"/>
      <c r="L70" s="66"/>
      <c r="N70" s="87"/>
      <c r="O70" s="71"/>
    </row>
    <row r="71" spans="1:15" ht="26.25">
      <c r="A71" s="1284" t="s">
        <v>208</v>
      </c>
      <c r="B71" s="1285"/>
      <c r="C71" s="1286"/>
      <c r="D71" s="152"/>
      <c r="E71" s="152"/>
      <c r="F71" s="152"/>
      <c r="G71" s="153">
        <f>SUM(G65:G70)</f>
        <v>157</v>
      </c>
      <c r="H71" s="99">
        <f>G71+'26'!H71</f>
        <v>4678</v>
      </c>
      <c r="I71" s="154"/>
      <c r="J71" s="175">
        <f>H71/DAY(B2)</f>
        <v>173.25925925925927</v>
      </c>
      <c r="K71" s="69"/>
      <c r="L71" s="66"/>
      <c r="N71" s="87"/>
      <c r="O71" s="71"/>
    </row>
    <row r="72" spans="1:15" s="88" customFormat="1" ht="25.5">
      <c r="A72" s="1287"/>
      <c r="B72" s="1268"/>
      <c r="C72" s="716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5" t="s">
        <v>333</v>
      </c>
      <c r="B73" s="1296"/>
      <c r="C73" s="129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81" t="s">
        <v>220</v>
      </c>
      <c r="B74" s="1282"/>
      <c r="C74" s="1283"/>
      <c r="D74" s="151" t="s">
        <v>139</v>
      </c>
      <c r="E74" s="95">
        <f>'26'!F74</f>
        <v>974667.61</v>
      </c>
      <c r="F74" s="117">
        <v>974950.58</v>
      </c>
      <c r="G74" s="112">
        <f t="shared" ref="G74:G78" si="7">F74-E74</f>
        <v>282.96999999997206</v>
      </c>
      <c r="H74" s="99">
        <f>G74+'26'!H74</f>
        <v>7767.7999999999302</v>
      </c>
      <c r="I74" s="154"/>
      <c r="J74" s="175">
        <f>H74/DAY(B2)</f>
        <v>287.69629629629372</v>
      </c>
      <c r="K74" s="69"/>
      <c r="L74" s="66"/>
      <c r="N74" s="87"/>
      <c r="O74" s="71"/>
    </row>
    <row r="75" spans="1:15" ht="25.5">
      <c r="A75" s="1281" t="s">
        <v>221</v>
      </c>
      <c r="B75" s="1282"/>
      <c r="C75" s="1283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1288" t="s">
        <v>222</v>
      </c>
      <c r="B76" s="1289"/>
      <c r="C76" s="1290"/>
      <c r="D76" s="151" t="s">
        <v>139</v>
      </c>
      <c r="E76" s="95">
        <f>'26'!F76</f>
        <v>196293</v>
      </c>
      <c r="F76" s="123">
        <v>196391</v>
      </c>
      <c r="G76" s="112">
        <f t="shared" si="7"/>
        <v>98</v>
      </c>
      <c r="H76" s="99">
        <f>G76+'26'!H76</f>
        <v>2969.5</v>
      </c>
      <c r="I76" s="154"/>
      <c r="J76" s="175">
        <f>H76/DAY(B2)</f>
        <v>109.98148148148148</v>
      </c>
      <c r="K76" s="69"/>
      <c r="L76" s="66"/>
      <c r="N76" s="87"/>
      <c r="O76" s="71"/>
    </row>
    <row r="77" spans="1:15" ht="25.5">
      <c r="A77" s="1288" t="s">
        <v>223</v>
      </c>
      <c r="B77" s="1289"/>
      <c r="C77" s="1290"/>
      <c r="D77" s="151" t="s">
        <v>139</v>
      </c>
      <c r="E77" s="95">
        <f>'26'!F77</f>
        <v>53140.9</v>
      </c>
      <c r="F77" s="123">
        <v>53184</v>
      </c>
      <c r="G77" s="112">
        <f t="shared" si="7"/>
        <v>43.099999999998545</v>
      </c>
      <c r="H77" s="99">
        <f>G77+'26'!H77</f>
        <v>1344</v>
      </c>
      <c r="I77" s="154"/>
      <c r="J77" s="175">
        <f>H77/DAY(B2)</f>
        <v>49.777777777777779</v>
      </c>
      <c r="K77" s="69"/>
      <c r="L77" s="66"/>
      <c r="N77" s="87"/>
      <c r="O77" s="71"/>
    </row>
    <row r="78" spans="1:15" ht="25.5">
      <c r="A78" s="1288" t="s">
        <v>224</v>
      </c>
      <c r="B78" s="1289"/>
      <c r="C78" s="1290"/>
      <c r="D78" s="151" t="s">
        <v>139</v>
      </c>
      <c r="E78" s="95">
        <f>'26'!F78</f>
        <v>9564</v>
      </c>
      <c r="F78" s="123">
        <v>9563</v>
      </c>
      <c r="G78" s="112">
        <f t="shared" si="7"/>
        <v>-1</v>
      </c>
      <c r="H78" s="99">
        <f>G78+'26'!H78</f>
        <v>-1</v>
      </c>
      <c r="I78" s="118"/>
      <c r="J78" s="175">
        <f>H78/DAY(B2)</f>
        <v>-3.7037037037037035E-2</v>
      </c>
      <c r="K78" s="69"/>
      <c r="L78" s="66"/>
      <c r="N78" s="87"/>
      <c r="O78" s="71"/>
    </row>
    <row r="79" spans="1:15" s="57" customFormat="1" ht="25.5">
      <c r="A79" s="1288" t="s">
        <v>225</v>
      </c>
      <c r="B79" s="1289"/>
      <c r="C79" s="1290"/>
      <c r="D79" s="151"/>
      <c r="E79" s="95">
        <f>'26'!F79</f>
        <v>0</v>
      </c>
      <c r="F79" s="123"/>
      <c r="G79" s="112">
        <f>G15-SUM(G74:G78)</f>
        <v>573.41000000001077</v>
      </c>
      <c r="H79" s="99">
        <f>G79+'26'!H79</f>
        <v>14566.099999999977</v>
      </c>
      <c r="I79" s="118"/>
      <c r="J79" s="175"/>
      <c r="K79" s="59"/>
      <c r="L79" s="58"/>
      <c r="N79" s="87"/>
      <c r="O79" s="71"/>
    </row>
    <row r="80" spans="1:15" s="57" customFormat="1" ht="26.25">
      <c r="A80" s="1284" t="s">
        <v>329</v>
      </c>
      <c r="B80" s="1285"/>
      <c r="C80" s="1286"/>
      <c r="D80" s="151"/>
      <c r="E80" s="117"/>
      <c r="F80" s="117"/>
      <c r="G80" s="112">
        <f>SUM(G74:G79)</f>
        <v>996.47999999998137</v>
      </c>
      <c r="H80" s="99"/>
      <c r="I80" s="118"/>
      <c r="J80" s="175"/>
      <c r="K80" s="59"/>
      <c r="L80" s="58"/>
      <c r="N80" s="87"/>
      <c r="O80" s="71"/>
    </row>
    <row r="81" spans="1:15" ht="25.5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'26'!F84</f>
        <v>43299.57</v>
      </c>
      <c r="F84" s="164">
        <v>43323.1</v>
      </c>
      <c r="G84" s="112">
        <f t="shared" si="8"/>
        <v>23.529999999998836</v>
      </c>
      <c r="H84" s="99">
        <f>G84+'26'!H84</f>
        <v>410.54999999999563</v>
      </c>
      <c r="I84" s="538"/>
      <c r="J84" s="175">
        <f>H84/DAY(B2)</f>
        <v>15.205555555555394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'26'!F85</f>
        <v>5431.2</v>
      </c>
      <c r="F85" s="164">
        <v>5431.2</v>
      </c>
      <c r="G85" s="112">
        <f t="shared" si="8"/>
        <v>0</v>
      </c>
      <c r="H85" s="99">
        <f>G85+'26'!H85</f>
        <v>67.199999999999818</v>
      </c>
      <c r="I85" s="538"/>
      <c r="J85" s="175">
        <f>H85/DAY(B2)</f>
        <v>2.4888888888888823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'26'!F86</f>
        <v>46271.42</v>
      </c>
      <c r="F86" s="164">
        <v>46271.43</v>
      </c>
      <c r="G86" s="112">
        <f t="shared" si="8"/>
        <v>1.0000000002037268E-2</v>
      </c>
      <c r="H86" s="99">
        <f>G86+'26'!H86</f>
        <v>350.05999999999767</v>
      </c>
      <c r="I86" s="538"/>
      <c r="J86" s="175">
        <f>H86/DAY(B2)</f>
        <v>12.965185185185099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'26'!F87</f>
        <v>35607.17</v>
      </c>
      <c r="F87" s="164">
        <v>35618.03</v>
      </c>
      <c r="G87" s="112">
        <f t="shared" si="8"/>
        <v>10.860000000000582</v>
      </c>
      <c r="H87" s="99">
        <f>G87+'26'!H87</f>
        <v>143.22999999999593</v>
      </c>
      <c r="I87" s="538">
        <f>G84+G85+G86+G87</f>
        <v>34.400000000001455</v>
      </c>
      <c r="J87" s="175">
        <f>H87/DAY(B2)</f>
        <v>5.3048148148146641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'26'!F88</f>
        <v>24410.639999999999</v>
      </c>
      <c r="F88" s="164">
        <v>24413.57</v>
      </c>
      <c r="G88" s="112">
        <f t="shared" si="8"/>
        <v>2.930000000000291</v>
      </c>
      <c r="H88" s="99">
        <f>G88+'26'!H88</f>
        <v>78.409999999999854</v>
      </c>
      <c r="I88" s="538"/>
      <c r="J88" s="175">
        <f>H88/DAY(B2)</f>
        <v>2.9040740740740687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'26'!F89</f>
        <v>27962.87</v>
      </c>
      <c r="F89" s="164">
        <v>27970.28</v>
      </c>
      <c r="G89" s="112">
        <f t="shared" si="8"/>
        <v>7.4099999999998545</v>
      </c>
      <c r="H89" s="99">
        <f>G89+'26'!H89</f>
        <v>168.2599999999984</v>
      </c>
      <c r="I89" s="538">
        <f>G88+G89</f>
        <v>10.340000000000146</v>
      </c>
      <c r="J89" s="175">
        <f>H89/DAY(B2)</f>
        <v>6.2318518518517925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'26'!F90</f>
        <v>73199.37</v>
      </c>
      <c r="F90" s="164">
        <v>73208.69</v>
      </c>
      <c r="G90" s="112">
        <f t="shared" si="8"/>
        <v>9.3200000000069849</v>
      </c>
      <c r="H90" s="99">
        <v>23</v>
      </c>
      <c r="I90" s="538">
        <f>G90</f>
        <v>9.3200000000069849</v>
      </c>
      <c r="J90" s="175">
        <f>H90/DAY(B2)</f>
        <v>0.85185185185185186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'26'!F91</f>
        <v>4634.2299999999996</v>
      </c>
      <c r="F91" s="122">
        <v>4645.1899999999996</v>
      </c>
      <c r="G91" s="112">
        <f t="shared" si="8"/>
        <v>10.960000000000036</v>
      </c>
      <c r="H91" s="99">
        <f>G91+'26'!H91</f>
        <v>297.03999999999996</v>
      </c>
      <c r="I91" s="557"/>
      <c r="J91" s="175">
        <f>H91/DAY(B2)</f>
        <v>11.001481481481481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'26'!F92</f>
        <v>7000.23</v>
      </c>
      <c r="F92" s="122">
        <v>7000.23</v>
      </c>
      <c r="G92" s="112">
        <f t="shared" si="8"/>
        <v>0</v>
      </c>
      <c r="H92" s="99">
        <f>G92+'26'!H92</f>
        <v>0.22999999999956344</v>
      </c>
      <c r="I92" s="561">
        <f>G91+G92</f>
        <v>10.960000000000036</v>
      </c>
      <c r="J92" s="175">
        <f>H92/DAY(B2)</f>
        <v>8.5185185185023497E-3</v>
      </c>
      <c r="O92" s="71"/>
    </row>
    <row r="93" spans="1:15" ht="26.25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6455.070000000007</v>
      </c>
      <c r="H94" s="99">
        <f>G94+'26'!H94</f>
        <v>176757.20000000007</v>
      </c>
      <c r="I94" s="118"/>
      <c r="J94" s="175">
        <f>H94/DAY(B2)</f>
        <v>6546.5629629629657</v>
      </c>
      <c r="K94" s="69"/>
      <c r="L94" s="66"/>
      <c r="O94" s="71"/>
    </row>
    <row r="95" spans="1:15" ht="25.5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0.27559046377679175</v>
      </c>
      <c r="H95" s="99">
        <f>G95+'26'!H95</f>
        <v>7.0418600946612457</v>
      </c>
      <c r="I95" s="167"/>
      <c r="J95" s="175">
        <f>H95/DAY(B2)</f>
        <v>0.26080963313560168</v>
      </c>
      <c r="K95" s="69"/>
      <c r="L95" s="66"/>
      <c r="O95" s="71"/>
    </row>
    <row r="96" spans="1:15" ht="25.5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5911.460000000021</v>
      </c>
      <c r="H96" s="99">
        <f>G96+'26'!H96</f>
        <v>176350.89999999994</v>
      </c>
      <c r="I96" s="118"/>
      <c r="J96" s="175">
        <f>H96/DAY(B2)</f>
        <v>6531.5148148148128</v>
      </c>
      <c r="K96" s="69"/>
      <c r="L96" s="66"/>
      <c r="O96" s="71"/>
    </row>
    <row r="97" spans="1:15" ht="25.5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0.25238177169232207</v>
      </c>
      <c r="H97" s="99">
        <f>G97+'26'!H97</f>
        <v>7.016198011946492</v>
      </c>
      <c r="I97" s="167"/>
      <c r="J97" s="175">
        <f>H97/DAY(B2)</f>
        <v>0.25985918562764787</v>
      </c>
      <c r="K97" s="69"/>
      <c r="L97" s="66"/>
      <c r="O97" s="71"/>
    </row>
    <row r="98" spans="1:15" ht="25.5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4100.4599999999627</v>
      </c>
      <c r="H98" s="99">
        <f>G98+'26'!H98</f>
        <v>113929.97999999998</v>
      </c>
      <c r="I98" s="168"/>
      <c r="J98" s="175">
        <f>H98/DAY(B2)</f>
        <v>4219.6288888888885</v>
      </c>
      <c r="K98" s="69"/>
      <c r="L98" s="66"/>
      <c r="O98" s="71"/>
    </row>
    <row r="99" spans="1:15" ht="25.5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0.17506358151006449</v>
      </c>
      <c r="H99" s="99">
        <f>G99+'26'!H99</f>
        <v>4.5423080228020192</v>
      </c>
      <c r="I99" s="168"/>
      <c r="J99" s="175">
        <f>H99/DAY(B2)</f>
        <v>0.16823363047414885</v>
      </c>
      <c r="O99" s="71"/>
    </row>
    <row r="100" spans="1:15" ht="26.25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2064.3199999999488</v>
      </c>
      <c r="H100" s="99">
        <f>G100+'26'!H100</f>
        <v>61312.089999999967</v>
      </c>
      <c r="I100" s="118"/>
      <c r="J100" s="175">
        <f>H100/DAY(B2)</f>
        <v>2270.818148148147</v>
      </c>
      <c r="K100" s="70"/>
      <c r="O100" s="71"/>
    </row>
    <row r="101" spans="1:15" ht="25.5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8.8133344205979486E-2</v>
      </c>
      <c r="H101" s="99">
        <f>G101+'26'!H101</f>
        <v>2.4415560874442397</v>
      </c>
      <c r="I101" s="168"/>
      <c r="J101" s="175">
        <f>H101/DAY(B2)</f>
        <v>9.0428003238675544E-2</v>
      </c>
      <c r="O101" s="71"/>
    </row>
    <row r="102" spans="1:15" ht="25.5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2523.6300000000047</v>
      </c>
      <c r="H102" s="99">
        <f>G102+'26'!H102</f>
        <v>64023.349999999977</v>
      </c>
      <c r="I102" s="168"/>
      <c r="J102" s="175">
        <f>H102/DAY(B2)</f>
        <v>2371.2351851851845</v>
      </c>
      <c r="O102" s="71"/>
    </row>
    <row r="103" spans="1:15" ht="25.5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0.1077429620594394</v>
      </c>
      <c r="H103" s="99">
        <f>G103+'26'!H103</f>
        <v>2.5464184307365598</v>
      </c>
      <c r="I103" s="118"/>
      <c r="J103" s="175">
        <f>H103/DAY(B2)</f>
        <v>9.4311793730983695E-2</v>
      </c>
      <c r="O103" s="71"/>
    </row>
    <row r="104" spans="1:15" ht="25.5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1033.0800000000017</v>
      </c>
      <c r="H104" s="99">
        <f>G104+'26'!H104</f>
        <v>27701.010000000002</v>
      </c>
      <c r="I104" s="118"/>
      <c r="J104" s="175">
        <f>H104/DAY(B2)</f>
        <v>1025.9633333333334</v>
      </c>
      <c r="O104" s="71"/>
    </row>
    <row r="105" spans="1:15" ht="26.25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4.4105950255927229E-2</v>
      </c>
      <c r="H105" s="99">
        <f>G105+'26'!H105</f>
        <v>1.1046314850207102</v>
      </c>
      <c r="I105" s="187"/>
      <c r="J105" s="188">
        <f>H105/DAY(B2)</f>
        <v>4.0912277222989263E-2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6.25">
      <c r="A109" s="1364"/>
      <c r="B109" s="1364"/>
    </row>
    <row r="110" spans="1:15" ht="26.25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5.5">
      <c r="A111" s="1270"/>
      <c r="B111" s="1271"/>
      <c r="C111" s="1272"/>
      <c r="D111" s="165"/>
      <c r="E111" s="165"/>
      <c r="F111" s="165"/>
      <c r="G111" s="165"/>
      <c r="H111" s="156"/>
      <c r="I111" s="165"/>
      <c r="J111" s="327"/>
    </row>
    <row r="112" spans="1:15" ht="25.5">
      <c r="A112" s="1266" t="s">
        <v>252</v>
      </c>
      <c r="B112" s="1267"/>
      <c r="C112" s="1268"/>
      <c r="D112" s="146" t="s">
        <v>183</v>
      </c>
      <c r="E112" s="95">
        <f>'26'!F112</f>
        <v>11373.92</v>
      </c>
      <c r="F112" s="237">
        <v>11444.5</v>
      </c>
      <c r="G112" s="112">
        <f t="shared" ref="G112:G123" si="9">F112-E112</f>
        <v>70.579999999999927</v>
      </c>
      <c r="H112" s="99">
        <f>G112+'26'!H112</f>
        <v>2013.3999999999996</v>
      </c>
      <c r="I112" s="165"/>
      <c r="J112" s="328">
        <f>H112/DAY(B2)</f>
        <v>74.570370370370355</v>
      </c>
    </row>
    <row r="113" spans="1:18" ht="29.25" customHeight="1">
      <c r="A113" s="1266" t="s">
        <v>253</v>
      </c>
      <c r="B113" s="1267"/>
      <c r="C113" s="1268"/>
      <c r="D113" s="146" t="s">
        <v>183</v>
      </c>
      <c r="E113" s="95">
        <f>'26'!F113</f>
        <v>22966.41</v>
      </c>
      <c r="F113" s="237">
        <v>23100.15</v>
      </c>
      <c r="G113" s="112">
        <f t="shared" si="9"/>
        <v>133.7400000000016</v>
      </c>
      <c r="H113" s="99">
        <f>G113+'26'!H113</f>
        <v>3875.25</v>
      </c>
      <c r="I113" s="165"/>
      <c r="J113" s="328">
        <f>H113/DAY(B2)</f>
        <v>143.52777777777777</v>
      </c>
    </row>
    <row r="114" spans="1:18" ht="29.25" customHeight="1">
      <c r="A114" s="1266" t="s">
        <v>254</v>
      </c>
      <c r="B114" s="1267"/>
      <c r="C114" s="1268"/>
      <c r="D114" s="146" t="s">
        <v>183</v>
      </c>
      <c r="E114" s="95">
        <f>'26'!F114</f>
        <v>33884.730000000003</v>
      </c>
      <c r="F114" s="237">
        <v>34105.9</v>
      </c>
      <c r="G114" s="112">
        <f t="shared" si="9"/>
        <v>221.16999999999825</v>
      </c>
      <c r="H114" s="99">
        <f>G114+'26'!H114</f>
        <v>6235</v>
      </c>
      <c r="I114" s="165"/>
      <c r="J114" s="328">
        <f>H114/DAY(B2)</f>
        <v>230.92592592592592</v>
      </c>
    </row>
    <row r="115" spans="1:18" ht="29.25" customHeight="1">
      <c r="A115" s="1266" t="s">
        <v>255</v>
      </c>
      <c r="B115" s="1267"/>
      <c r="C115" s="1268"/>
      <c r="D115" s="146" t="s">
        <v>183</v>
      </c>
      <c r="E115" s="95">
        <f>'26'!F115</f>
        <v>21467.61</v>
      </c>
      <c r="F115" s="237">
        <v>21621.3</v>
      </c>
      <c r="G115" s="112">
        <f t="shared" si="9"/>
        <v>153.68999999999869</v>
      </c>
      <c r="H115" s="99">
        <f>G115+'26'!H115</f>
        <v>4194.0999999999985</v>
      </c>
      <c r="I115" s="165"/>
      <c r="J115" s="328">
        <f>H115/DAY(B2)</f>
        <v>155.33703703703699</v>
      </c>
    </row>
    <row r="116" spans="1:18" ht="29.25" customHeight="1">
      <c r="A116" s="1275" t="s">
        <v>96</v>
      </c>
      <c r="B116" s="1276"/>
      <c r="C116" s="1277"/>
      <c r="D116" s="146" t="s">
        <v>183</v>
      </c>
      <c r="E116" s="95">
        <f>'26'!F116</f>
        <v>95225.7</v>
      </c>
      <c r="F116" s="237">
        <v>95563.58</v>
      </c>
      <c r="G116" s="112">
        <f t="shared" si="9"/>
        <v>337.88000000000466</v>
      </c>
      <c r="H116" s="99">
        <f>G116+'26'!H116</f>
        <v>12744.279999999999</v>
      </c>
      <c r="I116" s="165"/>
      <c r="J116" s="328">
        <f>H116/DAY(B2)</f>
        <v>472.01037037037031</v>
      </c>
      <c r="Q116" s="1266" t="s">
        <v>311</v>
      </c>
      <c r="R116" s="1268"/>
    </row>
    <row r="117" spans="1:18" ht="29.25" customHeight="1">
      <c r="A117" s="1275" t="s">
        <v>184</v>
      </c>
      <c r="B117" s="1276"/>
      <c r="C117" s="1277"/>
      <c r="D117" s="146" t="s">
        <v>183</v>
      </c>
      <c r="E117" s="95">
        <f>'26'!F117</f>
        <v>55632.08</v>
      </c>
      <c r="F117" s="237">
        <v>55862.23</v>
      </c>
      <c r="G117" s="112">
        <f t="shared" si="9"/>
        <v>230.15000000000146</v>
      </c>
      <c r="H117" s="99">
        <f>G117+'26'!H117</f>
        <v>7356.2300000000032</v>
      </c>
      <c r="I117" s="165"/>
      <c r="J117" s="328">
        <f>H117/DAY(B2)</f>
        <v>272.45296296296306</v>
      </c>
      <c r="Q117" s="1266" t="s">
        <v>312</v>
      </c>
      <c r="R117" s="1268"/>
    </row>
    <row r="118" spans="1:18" ht="25.5">
      <c r="A118" s="1332" t="s">
        <v>97</v>
      </c>
      <c r="B118" s="1289"/>
      <c r="C118" s="1290"/>
      <c r="D118" s="151" t="s">
        <v>183</v>
      </c>
      <c r="E118" s="95">
        <f>'26'!F118</f>
        <v>99216.58</v>
      </c>
      <c r="F118" s="237">
        <v>99351.5</v>
      </c>
      <c r="G118" s="112">
        <f t="shared" si="9"/>
        <v>134.91999999999825</v>
      </c>
      <c r="H118" s="99">
        <f>G118+'26'!H118</f>
        <v>16715.699999999997</v>
      </c>
      <c r="I118" s="165"/>
      <c r="J118" s="328">
        <f>H118/DAY(B2)</f>
        <v>619.09999999999991</v>
      </c>
      <c r="Q118" s="1266" t="s">
        <v>311</v>
      </c>
      <c r="R118" s="1268"/>
    </row>
    <row r="119" spans="1:18" ht="25.5">
      <c r="A119" s="1332" t="s">
        <v>98</v>
      </c>
      <c r="B119" s="1289"/>
      <c r="C119" s="1290"/>
      <c r="D119" s="151" t="s">
        <v>183</v>
      </c>
      <c r="E119" s="95">
        <f>'26'!F119</f>
        <v>42527.199999999997</v>
      </c>
      <c r="F119" s="237">
        <v>42540.4</v>
      </c>
      <c r="G119" s="112">
        <f t="shared" si="9"/>
        <v>13.200000000004366</v>
      </c>
      <c r="H119" s="99">
        <f>G119+'26'!H119</f>
        <v>1497</v>
      </c>
      <c r="I119" s="165"/>
      <c r="J119" s="328">
        <f>H119/DAY(B2)</f>
        <v>55.444444444444443</v>
      </c>
    </row>
    <row r="120" spans="1:18" ht="25.5">
      <c r="A120" s="1332" t="s">
        <v>99</v>
      </c>
      <c r="B120" s="1289"/>
      <c r="C120" s="1290"/>
      <c r="D120" s="151" t="s">
        <v>183</v>
      </c>
      <c r="E120" s="95">
        <f>'26'!F120</f>
        <v>69734.91</v>
      </c>
      <c r="F120" s="237">
        <v>70144.5</v>
      </c>
      <c r="G120" s="112">
        <f t="shared" si="9"/>
        <v>409.58999999999651</v>
      </c>
      <c r="H120" s="99">
        <f>G120+'26'!H120</f>
        <v>11579.099999999999</v>
      </c>
      <c r="I120" s="165"/>
      <c r="J120" s="328">
        <f>H120/DAY(B2)</f>
        <v>428.8555555555555</v>
      </c>
    </row>
    <row r="121" spans="1:18" ht="25.5">
      <c r="A121" s="1332" t="s">
        <v>100</v>
      </c>
      <c r="B121" s="1289"/>
      <c r="C121" s="1290"/>
      <c r="D121" s="151" t="s">
        <v>183</v>
      </c>
      <c r="E121" s="95">
        <f>'26'!F121</f>
        <v>79485.759999999995</v>
      </c>
      <c r="F121" s="237">
        <v>79945.899999999994</v>
      </c>
      <c r="G121" s="112">
        <f t="shared" si="9"/>
        <v>460.13999999999942</v>
      </c>
      <c r="H121" s="99">
        <f>G121+'26'!H121</f>
        <v>12663.899999999994</v>
      </c>
      <c r="I121" s="165"/>
      <c r="J121" s="328">
        <f>H121/DAY(B2)</f>
        <v>469.03333333333313</v>
      </c>
    </row>
    <row r="122" spans="1:18" ht="25.5">
      <c r="A122" s="1332" t="s">
        <v>101</v>
      </c>
      <c r="B122" s="1289"/>
      <c r="C122" s="1290"/>
      <c r="D122" s="151" t="s">
        <v>183</v>
      </c>
      <c r="E122" s="95">
        <f>'26'!F122</f>
        <v>47636.66</v>
      </c>
      <c r="F122" s="237">
        <v>48007.07</v>
      </c>
      <c r="G122" s="112">
        <f t="shared" si="9"/>
        <v>370.40999999999622</v>
      </c>
      <c r="H122" s="99">
        <f>G122+'26'!H122</f>
        <v>9680.1699999999983</v>
      </c>
      <c r="I122" s="165"/>
      <c r="J122" s="328">
        <f>H122/DAY(B2)</f>
        <v>358.52481481481476</v>
      </c>
    </row>
    <row r="123" spans="1:18" ht="25.5">
      <c r="A123" s="1332" t="s">
        <v>102</v>
      </c>
      <c r="B123" s="1289"/>
      <c r="C123" s="1290"/>
      <c r="D123" s="151" t="s">
        <v>183</v>
      </c>
      <c r="E123" s="95">
        <f>'26'!F123</f>
        <v>48543.61</v>
      </c>
      <c r="F123" s="237">
        <v>48843.09</v>
      </c>
      <c r="G123" s="112">
        <f t="shared" si="9"/>
        <v>299.47999999999593</v>
      </c>
      <c r="H123" s="99">
        <f>G123+'26'!H123</f>
        <v>8794.2899999999936</v>
      </c>
      <c r="I123" s="165"/>
      <c r="J123" s="328">
        <f>H123/DAY(B2)</f>
        <v>325.71444444444421</v>
      </c>
    </row>
    <row r="124" spans="1:18" ht="29.25" customHeight="1">
      <c r="A124" s="1270"/>
      <c r="B124" s="1271"/>
      <c r="C124" s="1272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5.5">
      <c r="A125" s="1261" t="s">
        <v>196</v>
      </c>
      <c r="B125" s="1262"/>
      <c r="C125" s="245"/>
      <c r="D125" s="307"/>
      <c r="E125" s="308"/>
      <c r="F125" s="308"/>
      <c r="G125" s="309">
        <f>SUM(G112:G124)</f>
        <v>2834.9499999999953</v>
      </c>
      <c r="H125" s="156"/>
      <c r="I125" s="327">
        <f>G125-(G39+G53)</f>
        <v>-1265.5099999999675</v>
      </c>
      <c r="J125" s="327"/>
    </row>
    <row r="126" spans="1:18" ht="25.5">
      <c r="A126" s="1361" t="s">
        <v>317</v>
      </c>
      <c r="B126" s="1362"/>
      <c r="C126" s="1362"/>
      <c r="D126" s="1362"/>
      <c r="E126" s="1362"/>
      <c r="F126" s="1362"/>
      <c r="G126" s="1362"/>
      <c r="H126" s="1362"/>
      <c r="I126" s="1362"/>
      <c r="J126" s="1363"/>
    </row>
    <row r="127" spans="1:18" ht="25.5">
      <c r="A127" s="1266"/>
      <c r="B127" s="1268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1266" t="s">
        <v>318</v>
      </c>
      <c r="B128" s="1267"/>
      <c r="C128" s="1268"/>
      <c r="D128" s="151" t="s">
        <v>183</v>
      </c>
      <c r="E128" s="95">
        <f>'26'!F128</f>
        <v>153030.60999999999</v>
      </c>
      <c r="F128" s="155">
        <v>153471.41</v>
      </c>
      <c r="G128" s="112">
        <f t="shared" ref="G128:G134" si="10">F128-E128</f>
        <v>440.80000000001746</v>
      </c>
      <c r="H128" s="99">
        <f>G128+'26'!H128</f>
        <v>12016.309999999998</v>
      </c>
      <c r="I128" s="165"/>
      <c r="J128" s="328">
        <f>H128/DAY(B2)</f>
        <v>445.04851851851845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'26'!F129</f>
        <v>83260.55</v>
      </c>
      <c r="F129" s="155">
        <v>83430.899999999994</v>
      </c>
      <c r="G129" s="112">
        <f t="shared" si="10"/>
        <v>170.34999999999127</v>
      </c>
      <c r="H129" s="99">
        <f>G129+'26'!H129</f>
        <v>5112.5</v>
      </c>
      <c r="I129" s="165"/>
      <c r="J129" s="328">
        <f>H129/DAY(B2)</f>
        <v>189.35185185185185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'26'!F130</f>
        <v>204098.63</v>
      </c>
      <c r="F130" s="155">
        <v>204620.15</v>
      </c>
      <c r="G130" s="112">
        <f t="shared" si="10"/>
        <v>521.51999999998952</v>
      </c>
      <c r="H130" s="99">
        <f>G130+'26'!H130</f>
        <v>18825.359999999986</v>
      </c>
      <c r="I130" s="165"/>
      <c r="J130" s="328">
        <f>H130/DAY(B2)</f>
        <v>697.23555555555504</v>
      </c>
      <c r="N130" s="240"/>
      <c r="O130" s="241"/>
    </row>
    <row r="131" spans="1:15" ht="25.5">
      <c r="A131" s="1266" t="s">
        <v>321</v>
      </c>
      <c r="B131" s="1267"/>
      <c r="C131" s="1268"/>
      <c r="D131" s="151" t="s">
        <v>183</v>
      </c>
      <c r="E131" s="95">
        <f>'26'!F131</f>
        <v>59406.15</v>
      </c>
      <c r="F131" s="155">
        <v>59649.36</v>
      </c>
      <c r="G131" s="112">
        <f t="shared" si="10"/>
        <v>243.20999999999913</v>
      </c>
      <c r="H131" s="99">
        <f>G131+'26'!H131</f>
        <v>5801.6600000000035</v>
      </c>
      <c r="I131" s="165"/>
      <c r="J131" s="328">
        <f>H131/DAY(B2)</f>
        <v>214.87629629629643</v>
      </c>
      <c r="N131" s="240"/>
      <c r="O131" s="241"/>
    </row>
    <row r="132" spans="1:15" ht="25.5">
      <c r="A132" s="1266" t="s">
        <v>322</v>
      </c>
      <c r="B132" s="1267"/>
      <c r="C132" s="1268"/>
      <c r="D132" s="151" t="s">
        <v>183</v>
      </c>
      <c r="E132" s="95">
        <f>'26'!F132</f>
        <v>146985</v>
      </c>
      <c r="F132" s="155">
        <v>146985</v>
      </c>
      <c r="G132" s="112">
        <f t="shared" si="10"/>
        <v>0</v>
      </c>
      <c r="H132" s="99">
        <f>G132+'26'!H132</f>
        <v>6455.7999999999884</v>
      </c>
      <c r="I132" s="165"/>
      <c r="J132" s="328">
        <f>H132/DAY(B2)</f>
        <v>239.10370370370327</v>
      </c>
    </row>
    <row r="133" spans="1:15" ht="25.5">
      <c r="A133" s="1266" t="s">
        <v>357</v>
      </c>
      <c r="B133" s="1267"/>
      <c r="C133" s="1268"/>
      <c r="D133" s="151" t="s">
        <v>183</v>
      </c>
      <c r="E133" s="95">
        <f>'26'!F133</f>
        <v>262412.28999999998</v>
      </c>
      <c r="F133" s="155">
        <v>263297.67</v>
      </c>
      <c r="G133" s="112">
        <f t="shared" si="10"/>
        <v>885.38000000000466</v>
      </c>
      <c r="H133" s="99">
        <f>G133+'26'!H133</f>
        <v>23268.669999999984</v>
      </c>
      <c r="I133" s="165"/>
      <c r="J133" s="328">
        <f>H133/DAY(B2)</f>
        <v>861.80259259259196</v>
      </c>
    </row>
    <row r="134" spans="1:15" ht="25.5">
      <c r="A134" s="1266" t="s">
        <v>340</v>
      </c>
      <c r="B134" s="1267"/>
      <c r="C134" s="1268"/>
      <c r="D134" s="151" t="s">
        <v>183</v>
      </c>
      <c r="E134" s="95">
        <f>'26'!F134</f>
        <v>62648.86</v>
      </c>
      <c r="F134" s="155">
        <v>62899.98</v>
      </c>
      <c r="G134" s="112">
        <f t="shared" si="10"/>
        <v>251.12000000000262</v>
      </c>
      <c r="H134" s="99">
        <f>G134+'26'!H134</f>
        <v>6996.8300000000017</v>
      </c>
      <c r="I134" s="165"/>
      <c r="J134" s="328">
        <f>H134/DAY(B2)</f>
        <v>259.14185185185192</v>
      </c>
    </row>
    <row r="135" spans="1:15" ht="25.5">
      <c r="A135" s="1261" t="s">
        <v>196</v>
      </c>
      <c r="B135" s="1262"/>
      <c r="C135" s="331"/>
      <c r="D135" s="151"/>
      <c r="E135" s="95"/>
      <c r="F135" s="165"/>
      <c r="G135" s="112">
        <f>SUM(G128:G134)</f>
        <v>2512.3800000000047</v>
      </c>
      <c r="H135" s="99">
        <f>G135+'23'!H135</f>
        <v>30476.770000000026</v>
      </c>
      <c r="I135" s="327">
        <f>G135-(G35+G49)</f>
        <v>-1183.1199999999953</v>
      </c>
      <c r="J135" s="328"/>
    </row>
    <row r="136" spans="1:15" ht="27.75">
      <c r="A136" s="1358" t="s">
        <v>325</v>
      </c>
      <c r="B136" s="1359"/>
      <c r="C136" s="1359"/>
      <c r="D136" s="1359"/>
      <c r="E136" s="1359"/>
      <c r="F136" s="1359"/>
      <c r="G136" s="1359"/>
      <c r="H136" s="1359"/>
      <c r="I136" s="1359"/>
      <c r="J136" s="136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332" t="s">
        <v>185</v>
      </c>
      <c r="B138" s="1289"/>
      <c r="C138" s="1290"/>
      <c r="D138" s="151" t="s">
        <v>183</v>
      </c>
      <c r="E138" s="95">
        <f>'26'!F138</f>
        <v>897757</v>
      </c>
      <c r="F138" s="147">
        <v>897876</v>
      </c>
      <c r="G138" s="112">
        <f t="shared" ref="G138:G152" si="11">F138-E138</f>
        <v>119</v>
      </c>
      <c r="H138" s="99">
        <f>G138+'26'!H138</f>
        <v>2941</v>
      </c>
      <c r="I138" s="118"/>
      <c r="J138" s="328">
        <f>H138/DAY(B2)</f>
        <v>108.92592592592592</v>
      </c>
    </row>
    <row r="139" spans="1:15" ht="25.5">
      <c r="A139" s="1332" t="s">
        <v>186</v>
      </c>
      <c r="B139" s="1289"/>
      <c r="C139" s="1290"/>
      <c r="D139" s="151" t="s">
        <v>183</v>
      </c>
      <c r="E139" s="95">
        <f>'26'!F139</f>
        <v>917574</v>
      </c>
      <c r="F139" s="148">
        <v>917734</v>
      </c>
      <c r="G139" s="112">
        <f t="shared" si="11"/>
        <v>160</v>
      </c>
      <c r="H139" s="99">
        <f>G139+'26'!H139</f>
        <v>4135</v>
      </c>
      <c r="I139" s="118"/>
      <c r="J139" s="328">
        <f>H139/DAY(B2)</f>
        <v>153.14814814814815</v>
      </c>
    </row>
    <row r="140" spans="1:15" ht="25.5">
      <c r="A140" s="1332" t="s">
        <v>187</v>
      </c>
      <c r="B140" s="1289"/>
      <c r="C140" s="1290"/>
      <c r="D140" s="151" t="s">
        <v>183</v>
      </c>
      <c r="E140" s="95">
        <f>'26'!F140</f>
        <v>2298.36</v>
      </c>
      <c r="F140" s="149">
        <v>2308.61</v>
      </c>
      <c r="G140" s="112">
        <f t="shared" si="11"/>
        <v>10.25</v>
      </c>
      <c r="H140" s="99">
        <f>G140+'26'!H140</f>
        <v>800.85000000000014</v>
      </c>
      <c r="I140" s="118"/>
      <c r="J140" s="328">
        <f>H140/DAY(B2)</f>
        <v>29.661111111111115</v>
      </c>
    </row>
    <row r="141" spans="1:15" ht="25.5">
      <c r="A141" s="1257" t="s">
        <v>188</v>
      </c>
      <c r="B141" s="1258"/>
      <c r="C141" s="1259"/>
      <c r="D141" s="151" t="s">
        <v>183</v>
      </c>
      <c r="E141" s="95">
        <f>'26'!F141</f>
        <v>102821.9</v>
      </c>
      <c r="F141" s="149">
        <v>103056.23</v>
      </c>
      <c r="G141" s="112">
        <f t="shared" si="11"/>
        <v>234.33000000000175</v>
      </c>
      <c r="H141" s="99">
        <f>G141+'26'!H141</f>
        <v>6443.2299999999959</v>
      </c>
      <c r="I141" s="118"/>
      <c r="J141" s="328">
        <f>H141/DAY(B2)</f>
        <v>238.63814814814799</v>
      </c>
    </row>
    <row r="142" spans="1:15" ht="25.5">
      <c r="A142" s="1257" t="s">
        <v>189</v>
      </c>
      <c r="B142" s="1258"/>
      <c r="C142" s="1259"/>
      <c r="D142" s="151" t="s">
        <v>183</v>
      </c>
      <c r="E142" s="95">
        <f>'26'!F142</f>
        <v>41456.67</v>
      </c>
      <c r="F142" s="148">
        <v>41551.46</v>
      </c>
      <c r="G142" s="112">
        <f t="shared" si="11"/>
        <v>94.790000000000873</v>
      </c>
      <c r="H142" s="99">
        <f>G142+'26'!H142</f>
        <v>2461.4599999999991</v>
      </c>
      <c r="I142" s="140"/>
      <c r="J142" s="328">
        <f>H142/DAY(B2)</f>
        <v>91.165185185185152</v>
      </c>
    </row>
    <row r="143" spans="1:15" ht="25.5">
      <c r="A143" s="1332" t="s">
        <v>91</v>
      </c>
      <c r="B143" s="1289"/>
      <c r="C143" s="1290"/>
      <c r="D143" s="151" t="s">
        <v>183</v>
      </c>
      <c r="E143" s="95">
        <f>'26'!F143</f>
        <v>10576.06</v>
      </c>
      <c r="F143" s="149">
        <v>10607.112999999999</v>
      </c>
      <c r="G143" s="112">
        <f t="shared" si="11"/>
        <v>31.052999999999884</v>
      </c>
      <c r="H143" s="99">
        <f>G143+'26'!H143</f>
        <v>754.11299999999937</v>
      </c>
      <c r="I143" s="140"/>
      <c r="J143" s="328">
        <f>H143/DAY(B2)</f>
        <v>27.930111111111088</v>
      </c>
    </row>
    <row r="144" spans="1:15" ht="25.5">
      <c r="A144" s="1257" t="s">
        <v>90</v>
      </c>
      <c r="B144" s="1258"/>
      <c r="C144" s="1259"/>
      <c r="D144" s="151" t="s">
        <v>183</v>
      </c>
      <c r="E144" s="95">
        <f>'26'!F144</f>
        <v>932590</v>
      </c>
      <c r="F144" s="149">
        <v>932819</v>
      </c>
      <c r="G144" s="112">
        <f t="shared" si="11"/>
        <v>229</v>
      </c>
      <c r="H144" s="99">
        <f>G144+'26'!H144</f>
        <v>6423</v>
      </c>
      <c r="I144" s="140"/>
      <c r="J144" s="328">
        <f>H144/DAY(B2)</f>
        <v>237.88888888888889</v>
      </c>
    </row>
    <row r="145" spans="1:10" ht="25.5">
      <c r="A145" s="1332" t="s">
        <v>190</v>
      </c>
      <c r="B145" s="1289"/>
      <c r="C145" s="1290"/>
      <c r="D145" s="152" t="s">
        <v>183</v>
      </c>
      <c r="E145" s="95">
        <f>'26'!F145</f>
        <v>12238.5</v>
      </c>
      <c r="F145" s="148">
        <v>12442.3</v>
      </c>
      <c r="G145" s="112">
        <f t="shared" si="11"/>
        <v>203.79999999999927</v>
      </c>
      <c r="H145" s="99">
        <f>G145+'26'!H145</f>
        <v>5208.0999999999995</v>
      </c>
      <c r="I145" s="140"/>
      <c r="J145" s="328">
        <f>H145/DAY(B2)</f>
        <v>192.89259259259256</v>
      </c>
    </row>
    <row r="146" spans="1:10" ht="25.5">
      <c r="A146" s="1332" t="s">
        <v>191</v>
      </c>
      <c r="B146" s="1289"/>
      <c r="C146" s="1290"/>
      <c r="D146" s="152" t="s">
        <v>183</v>
      </c>
      <c r="E146" s="95">
        <f>'26'!F146</f>
        <v>784139</v>
      </c>
      <c r="F146" s="148">
        <v>784184</v>
      </c>
      <c r="G146" s="112">
        <f t="shared" si="11"/>
        <v>45</v>
      </c>
      <c r="H146" s="99">
        <f>G146+'26'!H146</f>
        <v>1376</v>
      </c>
      <c r="I146" s="140"/>
      <c r="J146" s="328">
        <f>H146/DAY(B2)</f>
        <v>50.962962962962962</v>
      </c>
    </row>
    <row r="147" spans="1:10" ht="25.5">
      <c r="A147" s="1257" t="s">
        <v>192</v>
      </c>
      <c r="B147" s="1258"/>
      <c r="C147" s="1259"/>
      <c r="D147" s="152" t="s">
        <v>183</v>
      </c>
      <c r="E147" s="95">
        <f>'26'!F147</f>
        <v>722012.24</v>
      </c>
      <c r="F147" s="148">
        <v>722412.8</v>
      </c>
      <c r="G147" s="112">
        <f t="shared" si="11"/>
        <v>400.56000000005588</v>
      </c>
      <c r="H147" s="99">
        <f>G147+'26'!H147</f>
        <v>10741.260000000009</v>
      </c>
      <c r="I147" s="140"/>
      <c r="J147" s="328">
        <f>H147/DAY(B2)</f>
        <v>397.82444444444479</v>
      </c>
    </row>
    <row r="148" spans="1:10" ht="25.5">
      <c r="A148" s="1257" t="s">
        <v>193</v>
      </c>
      <c r="B148" s="1258"/>
      <c r="C148" s="1259"/>
      <c r="D148" s="123" t="s">
        <v>130</v>
      </c>
      <c r="E148" s="95">
        <f>'26'!F148</f>
        <v>765446.32</v>
      </c>
      <c r="F148" s="150">
        <v>765783.6</v>
      </c>
      <c r="G148" s="112">
        <f t="shared" si="11"/>
        <v>337.28000000002794</v>
      </c>
      <c r="H148" s="99">
        <f>G148+'26'!H148</f>
        <v>7833.1199999999953</v>
      </c>
      <c r="I148" s="124"/>
      <c r="J148" s="328">
        <f>H148/DAY(B2)</f>
        <v>290.11555555555537</v>
      </c>
    </row>
    <row r="149" spans="1:10" ht="25.5">
      <c r="A149" s="1257" t="s">
        <v>336</v>
      </c>
      <c r="B149" s="1258"/>
      <c r="C149" s="1259"/>
      <c r="D149" s="227" t="s">
        <v>130</v>
      </c>
      <c r="E149" s="95">
        <f>'26'!F149</f>
        <v>156366.85</v>
      </c>
      <c r="F149" s="146">
        <v>156723.07</v>
      </c>
      <c r="G149" s="112">
        <f t="shared" si="11"/>
        <v>356.22000000000116</v>
      </c>
      <c r="H149" s="99">
        <f>G149+'26'!H149</f>
        <v>10926.390000000014</v>
      </c>
      <c r="I149" s="119"/>
      <c r="J149" s="328">
        <f>H149/DAY(B2)</f>
        <v>404.68111111111165</v>
      </c>
    </row>
    <row r="150" spans="1:10" ht="25.5">
      <c r="A150" s="1257" t="s">
        <v>337</v>
      </c>
      <c r="B150" s="1258"/>
      <c r="C150" s="1259"/>
      <c r="D150" s="117" t="s">
        <v>130</v>
      </c>
      <c r="E150" s="95">
        <f>'26'!F150</f>
        <v>63096.87</v>
      </c>
      <c r="F150" s="233">
        <v>63315.67</v>
      </c>
      <c r="G150" s="112">
        <f t="shared" si="11"/>
        <v>218.79999999999563</v>
      </c>
      <c r="H150" s="99">
        <f>G150+'26'!H150</f>
        <v>6100.57</v>
      </c>
      <c r="I150" s="119"/>
      <c r="J150" s="328">
        <f>H150/DAY(B2)</f>
        <v>225.94703703703703</v>
      </c>
    </row>
    <row r="151" spans="1:10" ht="25.5">
      <c r="A151" s="1257" t="s">
        <v>338</v>
      </c>
      <c r="B151" s="1258"/>
      <c r="C151" s="1259"/>
      <c r="D151" s="117" t="s">
        <v>130</v>
      </c>
      <c r="E151" s="95">
        <f>'26'!F151</f>
        <v>149591</v>
      </c>
      <c r="F151" s="233">
        <v>149617</v>
      </c>
      <c r="G151" s="112">
        <f t="shared" si="11"/>
        <v>26</v>
      </c>
      <c r="H151" s="99">
        <f>G151+'26'!H151</f>
        <v>6403</v>
      </c>
      <c r="I151" s="119"/>
      <c r="J151" s="328">
        <f>H151/DAY(B2)</f>
        <v>237.14814814814815</v>
      </c>
    </row>
    <row r="152" spans="1:10" ht="25.5">
      <c r="A152" s="1257" t="s">
        <v>339</v>
      </c>
      <c r="B152" s="1258"/>
      <c r="C152" s="1259"/>
      <c r="D152" s="117" t="s">
        <v>130</v>
      </c>
      <c r="E152" s="95">
        <f>'26'!F152</f>
        <v>30104.6</v>
      </c>
      <c r="F152" s="233">
        <v>30231</v>
      </c>
      <c r="G152" s="112">
        <f t="shared" si="11"/>
        <v>126.40000000000146</v>
      </c>
      <c r="H152" s="99">
        <f>G152+'26'!H152</f>
        <v>3490.0999999999985</v>
      </c>
      <c r="I152" s="119"/>
      <c r="J152" s="328">
        <f>H152/DAY(B2)</f>
        <v>129.26296296296292</v>
      </c>
    </row>
    <row r="153" spans="1:10" ht="25.5">
      <c r="A153" s="1261" t="s">
        <v>196</v>
      </c>
      <c r="B153" s="1262"/>
      <c r="C153" s="362"/>
      <c r="D153" s="355"/>
      <c r="E153" s="357"/>
      <c r="F153" s="358"/>
      <c r="G153" s="359">
        <f>SUM(G138:G152)</f>
        <v>2592.4830000000838</v>
      </c>
      <c r="H153" s="360"/>
      <c r="I153" s="119">
        <f>G153-(G38+G52)</f>
        <v>528.16300000013507</v>
      </c>
      <c r="J153" s="363"/>
    </row>
    <row r="154" spans="1:10" ht="27.75">
      <c r="A154" s="1358" t="s">
        <v>344</v>
      </c>
      <c r="B154" s="1359"/>
      <c r="C154" s="1359"/>
      <c r="D154" s="1359"/>
      <c r="E154" s="1359"/>
      <c r="F154" s="1359"/>
      <c r="G154" s="1359"/>
      <c r="H154" s="1359"/>
      <c r="I154" s="1359"/>
      <c r="J154" s="1360"/>
    </row>
    <row r="155" spans="1:10" ht="27.75">
      <c r="A155" s="1257" t="s">
        <v>345</v>
      </c>
      <c r="B155" s="1258"/>
      <c r="C155" s="1259"/>
      <c r="D155" s="117" t="s">
        <v>130</v>
      </c>
      <c r="E155" s="95">
        <f>'26'!F155</f>
        <v>183703.07</v>
      </c>
      <c r="F155" s="722">
        <v>184032</v>
      </c>
      <c r="G155" s="236">
        <f t="shared" ref="G155:G158" si="12">F155-E155</f>
        <v>328.92999999999302</v>
      </c>
      <c r="H155" s="99">
        <f>G155+'26'!H155</f>
        <v>17355</v>
      </c>
      <c r="I155" s="361"/>
      <c r="J155" s="328">
        <f>H155/DAY(B2)</f>
        <v>642.77777777777783</v>
      </c>
    </row>
    <row r="156" spans="1:10" ht="25.5">
      <c r="A156" s="1257" t="s">
        <v>347</v>
      </c>
      <c r="B156" s="1258"/>
      <c r="C156" s="1259"/>
      <c r="D156" s="117" t="s">
        <v>130</v>
      </c>
      <c r="E156" s="95">
        <f>'26'!F156</f>
        <v>20369.82</v>
      </c>
      <c r="F156" s="155">
        <v>20467.97</v>
      </c>
      <c r="G156" s="112">
        <f t="shared" si="12"/>
        <v>98.150000000001455</v>
      </c>
      <c r="H156" s="99">
        <f>G156+'26'!H156</f>
        <v>5965.9700000000012</v>
      </c>
      <c r="I156" s="165"/>
      <c r="J156" s="328">
        <f>H156/DAY(B2)</f>
        <v>220.96185185185189</v>
      </c>
    </row>
    <row r="157" spans="1:10" ht="25.5">
      <c r="A157" s="1257" t="s">
        <v>358</v>
      </c>
      <c r="B157" s="1258"/>
      <c r="C157" s="1259"/>
      <c r="D157" s="117" t="s">
        <v>130</v>
      </c>
      <c r="E157" s="95">
        <f>'26'!F157</f>
        <v>35534.879999999997</v>
      </c>
      <c r="F157" s="155">
        <v>35662.949999999997</v>
      </c>
      <c r="G157" s="112">
        <f t="shared" si="12"/>
        <v>128.06999999999971</v>
      </c>
      <c r="H157" s="99">
        <f>G157+'26'!H157</f>
        <v>1136.1499999999942</v>
      </c>
      <c r="I157" s="165"/>
      <c r="J157" s="328">
        <f>H157/DAY(B2)</f>
        <v>42.079629629629416</v>
      </c>
    </row>
    <row r="158" spans="1:10" ht="25.5">
      <c r="A158" s="1257" t="s">
        <v>359</v>
      </c>
      <c r="B158" s="1258"/>
      <c r="C158" s="1259"/>
      <c r="D158" s="117" t="s">
        <v>130</v>
      </c>
      <c r="E158" s="95">
        <f>'26'!F158</f>
        <v>411.74</v>
      </c>
      <c r="F158" s="155">
        <v>412.74</v>
      </c>
      <c r="G158" s="112">
        <f t="shared" si="12"/>
        <v>1</v>
      </c>
      <c r="H158" s="99">
        <f>G158+'26'!H158</f>
        <v>70.139999999999986</v>
      </c>
      <c r="I158" s="165"/>
      <c r="J158" s="328">
        <f>H158/DAY(B2)</f>
        <v>2.5977777777777771</v>
      </c>
    </row>
    <row r="159" spans="1:10" ht="25.5">
      <c r="A159" s="1263"/>
      <c r="B159" s="1264"/>
      <c r="C159" s="1265"/>
      <c r="D159" s="117"/>
      <c r="E159" s="95"/>
      <c r="F159" s="155"/>
      <c r="G159" s="112"/>
      <c r="H159" s="99"/>
      <c r="I159" s="165"/>
      <c r="J159" s="328"/>
    </row>
    <row r="160" spans="1:10" ht="27.75">
      <c r="A160" s="1358" t="s">
        <v>326</v>
      </c>
      <c r="B160" s="1359"/>
      <c r="C160" s="1359"/>
      <c r="D160" s="1359"/>
      <c r="E160" s="1359"/>
      <c r="F160" s="1359"/>
      <c r="G160" s="1359"/>
      <c r="H160" s="1359"/>
      <c r="I160" s="1359"/>
      <c r="J160" s="1360"/>
    </row>
    <row r="161" spans="1:10" ht="26.25">
      <c r="A161" s="242" t="s">
        <v>92</v>
      </c>
      <c r="B161" s="243"/>
      <c r="C161" s="243"/>
      <c r="D161" s="244" t="s">
        <v>180</v>
      </c>
      <c r="E161" s="95">
        <f>'26'!F161</f>
        <v>487417.56</v>
      </c>
      <c r="F161" s="235">
        <v>487580.8</v>
      </c>
      <c r="G161" s="238">
        <f t="shared" ref="G161:G165" si="13">F161-E161</f>
        <v>163.23999999999069</v>
      </c>
      <c r="H161" s="99">
        <f>G161+'26'!H161</f>
        <v>2017.0800000000163</v>
      </c>
      <c r="I161" s="236"/>
      <c r="J161" s="239">
        <f>H161/DAY(B2)</f>
        <v>74.706666666667275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'26'!F162</f>
        <v>97098.4</v>
      </c>
      <c r="F162" s="235">
        <v>97144</v>
      </c>
      <c r="G162" s="238">
        <f>F162-E162</f>
        <v>45.600000000005821</v>
      </c>
      <c r="H162" s="99">
        <f>G162+'26'!H162</f>
        <v>1023</v>
      </c>
      <c r="I162" s="236"/>
      <c r="J162" s="239">
        <f>H162/DAY(B2)</f>
        <v>37.888888888888886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'26'!F163</f>
        <v>13570.4</v>
      </c>
      <c r="F163" s="235">
        <v>13721.1</v>
      </c>
      <c r="G163" s="238">
        <f t="shared" si="13"/>
        <v>150.70000000000073</v>
      </c>
      <c r="H163" s="99">
        <f>G163+'26'!H163</f>
        <v>3595.5</v>
      </c>
      <c r="I163" s="236"/>
      <c r="J163" s="239">
        <f>H163/DAY(B2)</f>
        <v>133.16666666666666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'26'!F164</f>
        <v>6574</v>
      </c>
      <c r="F164" s="235">
        <v>6581.7</v>
      </c>
      <c r="G164" s="238">
        <f t="shared" si="13"/>
        <v>7.6999999999998181</v>
      </c>
      <c r="H164" s="99">
        <f>G164+'26'!H164</f>
        <v>161.59999999999945</v>
      </c>
      <c r="I164" s="236"/>
      <c r="J164" s="239">
        <f>H164/DAY(B2)</f>
        <v>5.9851851851851654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'26'!F165</f>
        <v>32103.64</v>
      </c>
      <c r="F165" s="235">
        <v>32115.22</v>
      </c>
      <c r="G165" s="238">
        <f t="shared" si="13"/>
        <v>11.580000000001746</v>
      </c>
      <c r="H165" s="99">
        <f>G165+'26'!H165</f>
        <v>254.03000000000247</v>
      </c>
      <c r="I165" s="236"/>
      <c r="J165" s="239">
        <f>H165/DAY(B2)</f>
        <v>9.4085185185186102</v>
      </c>
    </row>
    <row r="166" spans="1:10" ht="26.25">
      <c r="A166" s="1266"/>
      <c r="B166" s="1268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6.25">
      <c r="A167" s="1266"/>
      <c r="B167" s="1268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6.25">
      <c r="A168" s="1266"/>
      <c r="B168" s="1268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5.5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54" t="s">
        <v>209</v>
      </c>
      <c r="B173" s="1255"/>
      <c r="C173" s="720"/>
      <c r="D173" s="228" t="s">
        <v>142</v>
      </c>
      <c r="E173" s="95">
        <v>8574</v>
      </c>
      <c r="F173" s="155">
        <v>8576</v>
      </c>
      <c r="G173" s="155">
        <f>F173-E173</f>
        <v>2</v>
      </c>
      <c r="H173" s="99">
        <f>G173+'26'!H173</f>
        <v>38</v>
      </c>
      <c r="I173" s="155"/>
      <c r="J173" s="178">
        <f>H173/DAY(B2)</f>
        <v>1.4074074074074074</v>
      </c>
    </row>
    <row r="174" spans="1:10" ht="25.5">
      <c r="A174" s="1254" t="s">
        <v>75</v>
      </c>
      <c r="B174" s="1255"/>
      <c r="C174" s="720"/>
      <c r="D174" s="228" t="s">
        <v>142</v>
      </c>
      <c r="E174" s="95">
        <f>'26'!F174</f>
        <v>41911</v>
      </c>
      <c r="F174" s="157">
        <v>41922</v>
      </c>
      <c r="G174" s="155">
        <f t="shared" ref="G174:G175" si="14">F174-E174</f>
        <v>11</v>
      </c>
      <c r="H174" s="99">
        <f>G174+'26'!H174</f>
        <v>328</v>
      </c>
      <c r="I174" s="155"/>
      <c r="J174" s="178">
        <f>H174/DAY(B2)</f>
        <v>12.148148148148149</v>
      </c>
    </row>
    <row r="175" spans="1:10" ht="25.5">
      <c r="A175" s="1254" t="s">
        <v>76</v>
      </c>
      <c r="B175" s="1324"/>
      <c r="C175" s="1255"/>
      <c r="D175" s="228" t="s">
        <v>142</v>
      </c>
      <c r="E175" s="95">
        <f>'26'!F175</f>
        <v>24649</v>
      </c>
      <c r="F175" s="155">
        <v>24662</v>
      </c>
      <c r="G175" s="155">
        <f t="shared" si="14"/>
        <v>13</v>
      </c>
      <c r="H175" s="99">
        <f>G175+'26'!H175</f>
        <v>309</v>
      </c>
      <c r="I175" s="155"/>
      <c r="J175" s="178">
        <f>H175/DAY(B2)</f>
        <v>11.444444444444445</v>
      </c>
    </row>
    <row r="176" spans="1:10" ht="25.5">
      <c r="A176" s="1261" t="s">
        <v>196</v>
      </c>
      <c r="B176" s="1262"/>
      <c r="C176" s="721"/>
      <c r="D176" s="228" t="s">
        <v>142</v>
      </c>
      <c r="E176" s="95"/>
      <c r="F176" s="155"/>
      <c r="G176" s="155">
        <f>SUM(G173:G175)</f>
        <v>26</v>
      </c>
      <c r="H176" s="99">
        <f>G176+'26'!H176</f>
        <v>675</v>
      </c>
      <c r="I176" s="155"/>
      <c r="J176" s="178">
        <f>H176/DAY(B2)</f>
        <v>25</v>
      </c>
    </row>
    <row r="177" spans="1:10" ht="25.5">
      <c r="A177" s="1254" t="s">
        <v>77</v>
      </c>
      <c r="B177" s="1255"/>
      <c r="C177" s="720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5.5">
      <c r="A178" s="1254" t="s">
        <v>210</v>
      </c>
      <c r="B178" s="1255"/>
      <c r="C178" s="720"/>
      <c r="D178" s="228" t="s">
        <v>142</v>
      </c>
      <c r="E178" s="95">
        <f>'26'!F178</f>
        <v>102114</v>
      </c>
      <c r="F178" s="155">
        <v>102114</v>
      </c>
      <c r="G178" s="155">
        <f>F178-E178</f>
        <v>0</v>
      </c>
      <c r="H178" s="99">
        <f>G178+'26'!H178</f>
        <v>2139</v>
      </c>
      <c r="I178" s="155"/>
      <c r="J178" s="178">
        <f>H178/DAY(B2)</f>
        <v>79.222222222222229</v>
      </c>
    </row>
    <row r="179" spans="1:10" ht="25.5">
      <c r="A179" s="1254" t="s">
        <v>211</v>
      </c>
      <c r="B179" s="1255"/>
      <c r="C179" s="720"/>
      <c r="D179" s="228" t="s">
        <v>142</v>
      </c>
      <c r="E179" s="95">
        <f>'26'!F179</f>
        <v>37501</v>
      </c>
      <c r="F179" s="155">
        <v>37501</v>
      </c>
      <c r="G179" s="155">
        <f t="shared" ref="G179:G180" si="15">F179-E179</f>
        <v>0</v>
      </c>
      <c r="H179" s="99">
        <f>G179+'26'!H179</f>
        <v>252</v>
      </c>
      <c r="I179" s="155"/>
      <c r="J179" s="178">
        <f>H179/DAY(B2)</f>
        <v>9.3333333333333339</v>
      </c>
    </row>
    <row r="180" spans="1:10" ht="25.5">
      <c r="A180" s="1254" t="s">
        <v>212</v>
      </c>
      <c r="B180" s="1255"/>
      <c r="C180" s="720"/>
      <c r="D180" s="228" t="s">
        <v>142</v>
      </c>
      <c r="E180" s="95">
        <f>'26'!F180</f>
        <v>7230</v>
      </c>
      <c r="F180" s="155">
        <v>7231</v>
      </c>
      <c r="G180" s="155">
        <f t="shared" si="15"/>
        <v>1</v>
      </c>
      <c r="H180" s="99">
        <f>G180+'26'!H180</f>
        <v>235</v>
      </c>
      <c r="I180" s="155"/>
      <c r="J180" s="178">
        <f>H180/DAY(B2)</f>
        <v>8.7037037037037042</v>
      </c>
    </row>
    <row r="181" spans="1:10" ht="25.5">
      <c r="A181" s="1325" t="s">
        <v>108</v>
      </c>
      <c r="B181" s="1326"/>
      <c r="C181" s="721"/>
      <c r="D181" s="228" t="s">
        <v>142</v>
      </c>
      <c r="E181" s="95"/>
      <c r="F181" s="155"/>
      <c r="G181" s="155">
        <f>SUM(G178:G180)</f>
        <v>1</v>
      </c>
      <c r="H181" s="99">
        <f>G181+'26'!H181</f>
        <v>2626</v>
      </c>
      <c r="I181" s="155"/>
      <c r="J181" s="178">
        <f>H181/DAY(B2)</f>
        <v>97.259259259259252</v>
      </c>
    </row>
    <row r="182" spans="1:10" ht="25.5">
      <c r="A182" s="1254" t="s">
        <v>213</v>
      </c>
      <c r="B182" s="1255"/>
      <c r="C182" s="720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5.5">
      <c r="A183" s="1254" t="s">
        <v>214</v>
      </c>
      <c r="B183" s="1255"/>
      <c r="C183" s="718"/>
      <c r="D183" s="228" t="s">
        <v>142</v>
      </c>
      <c r="E183" s="95">
        <f>'26'!F183</f>
        <v>17833</v>
      </c>
      <c r="F183" s="157">
        <v>17839</v>
      </c>
      <c r="G183" s="157">
        <f>F183-E183</f>
        <v>6</v>
      </c>
      <c r="H183" s="99">
        <f>G183+'26'!H183</f>
        <v>162</v>
      </c>
      <c r="I183" s="155"/>
      <c r="J183" s="178">
        <f>H183/DAY(B2)</f>
        <v>6</v>
      </c>
    </row>
    <row r="184" spans="1:10" ht="25.5">
      <c r="A184" s="1254" t="s">
        <v>215</v>
      </c>
      <c r="B184" s="1255"/>
      <c r="C184" s="718"/>
      <c r="D184" s="228" t="s">
        <v>142</v>
      </c>
      <c r="E184" s="95">
        <f>'26'!F184</f>
        <v>12321</v>
      </c>
      <c r="F184" s="157">
        <v>12325</v>
      </c>
      <c r="G184" s="157">
        <f t="shared" ref="G184:G185" si="16">F184-E184</f>
        <v>4</v>
      </c>
      <c r="H184" s="99">
        <f>G184+'26'!H184</f>
        <v>178</v>
      </c>
      <c r="I184" s="155"/>
      <c r="J184" s="178">
        <f>H184/DAY(B2)</f>
        <v>6.5925925925925926</v>
      </c>
    </row>
    <row r="185" spans="1:10" ht="25.5" customHeight="1">
      <c r="A185" s="1254" t="s">
        <v>216</v>
      </c>
      <c r="B185" s="1255"/>
      <c r="C185" s="718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12106</v>
      </c>
      <c r="I185" s="155"/>
      <c r="J185" s="178">
        <f>H185/DAY(B2)</f>
        <v>448.37037037037038</v>
      </c>
    </row>
    <row r="186" spans="1:10" ht="25.5">
      <c r="A186" s="1261" t="s">
        <v>196</v>
      </c>
      <c r="B186" s="1262"/>
      <c r="C186" s="717"/>
      <c r="D186" s="228" t="s">
        <v>142</v>
      </c>
      <c r="E186" s="95"/>
      <c r="F186" s="157"/>
      <c r="G186" s="157">
        <f>SUM(G183:G185)</f>
        <v>10</v>
      </c>
      <c r="H186" s="99">
        <f>G186+'26'!H186</f>
        <v>12446</v>
      </c>
      <c r="I186" s="157"/>
      <c r="J186" s="178">
        <f>H186/DAY(B2)</f>
        <v>460.96296296296299</v>
      </c>
    </row>
    <row r="187" spans="1:10" ht="25.5">
      <c r="A187" s="1250" t="s">
        <v>217</v>
      </c>
      <c r="B187" s="1251"/>
      <c r="C187" s="720"/>
      <c r="D187" s="228" t="s">
        <v>142</v>
      </c>
      <c r="E187" s="95">
        <f>'26'!F187</f>
        <v>0</v>
      </c>
      <c r="F187" s="159"/>
      <c r="G187" s="367">
        <f>G62+G19</f>
        <v>125</v>
      </c>
      <c r="H187" s="99">
        <f>G187+'26'!H187</f>
        <v>3697</v>
      </c>
      <c r="I187" s="158"/>
      <c r="J187" s="179">
        <f>H187/DAY(B2)</f>
        <v>136.92592592592592</v>
      </c>
    </row>
    <row r="188" spans="1:10" ht="25.5">
      <c r="A188" s="1250" t="s">
        <v>218</v>
      </c>
      <c r="B188" s="1251"/>
      <c r="C188" s="720"/>
      <c r="D188" s="228" t="s">
        <v>142</v>
      </c>
      <c r="E188" s="95">
        <f>'26'!F188</f>
        <v>0</v>
      </c>
      <c r="F188" s="159"/>
      <c r="G188" s="367">
        <f>G65+G66+G67+G69+G70</f>
        <v>131</v>
      </c>
      <c r="H188" s="99">
        <f>G188+'26'!H188</f>
        <v>1842</v>
      </c>
      <c r="I188" s="158"/>
      <c r="J188" s="179">
        <f>H188/DAY(B2)</f>
        <v>68.222222222222229</v>
      </c>
    </row>
    <row r="189" spans="1:10" ht="25.5">
      <c r="A189" s="1250" t="s">
        <v>219</v>
      </c>
      <c r="B189" s="1251"/>
      <c r="C189" s="720"/>
      <c r="D189" s="230" t="s">
        <v>142</v>
      </c>
      <c r="E189" s="95">
        <f>'26'!F189</f>
        <v>0</v>
      </c>
      <c r="F189" s="157"/>
      <c r="G189" s="366">
        <f>G181</f>
        <v>1</v>
      </c>
      <c r="H189" s="99">
        <f>G189+'26'!H189</f>
        <v>670</v>
      </c>
      <c r="I189" s="158"/>
      <c r="J189" s="179">
        <f>H189/DAY(B2)</f>
        <v>24.814814814814813</v>
      </c>
    </row>
    <row r="190" spans="1:10" ht="25.5">
      <c r="A190" s="1252"/>
      <c r="B190" s="1253"/>
      <c r="C190" s="719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zoomScale="55" zoomScaleNormal="80" zoomScaleSheetLayoutView="55" workbookViewId="0">
      <selection activeCell="F27" sqref="F27:F3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3.25">
      <c r="A2" s="191" t="s">
        <v>349</v>
      </c>
      <c r="B2" s="262">
        <v>44832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'27'!F7</f>
        <v>801707</v>
      </c>
      <c r="F7" s="95">
        <v>828800</v>
      </c>
      <c r="G7" s="112">
        <f>F7-E7</f>
        <v>27093</v>
      </c>
      <c r="H7" s="99">
        <f>G7+'27'!H7</f>
        <v>705574</v>
      </c>
      <c r="I7" s="113">
        <f>'1'!I7</f>
        <v>12000</v>
      </c>
      <c r="J7" s="175">
        <f>H7/DAY(B2)</f>
        <v>25199.071428571428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'27'!F8</f>
        <v>968430.91999999993</v>
      </c>
      <c r="F8" s="95">
        <v>995801</v>
      </c>
      <c r="G8" s="115">
        <f>F8-E8</f>
        <v>27370.080000000075</v>
      </c>
      <c r="H8" s="99">
        <f>G8+'27'!H8</f>
        <v>713255</v>
      </c>
      <c r="I8" s="116"/>
      <c r="J8" s="175">
        <f>H8/DAY(B2)</f>
        <v>25473.392857142859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27170.080000000075</v>
      </c>
    </row>
    <row r="9" spans="1:15" ht="26.25">
      <c r="A9" s="199" t="s">
        <v>132</v>
      </c>
      <c r="B9" s="200"/>
      <c r="C9" s="200"/>
      <c r="D9" s="151" t="s">
        <v>130</v>
      </c>
      <c r="E9" s="95">
        <f>'27'!F9</f>
        <v>3677670.7</v>
      </c>
      <c r="F9" s="447">
        <v>3689709.9</v>
      </c>
      <c r="G9" s="112">
        <f>F9-E9</f>
        <v>12039.199999999721</v>
      </c>
      <c r="H9" s="99">
        <f>G9+'27'!H9</f>
        <v>199341.19999999972</v>
      </c>
      <c r="I9" s="124">
        <f>I7-J7</f>
        <v>-13199.071428571428</v>
      </c>
      <c r="J9" s="175">
        <f>H9/DAY(B2)</f>
        <v>7119.3285714285612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'27'!F10</f>
        <v>2693767</v>
      </c>
      <c r="F10" s="353">
        <v>2708122.7</v>
      </c>
      <c r="G10" s="112">
        <f t="shared" ref="G10:G12" si="0">F10-E10</f>
        <v>14355.700000000186</v>
      </c>
      <c r="H10" s="99">
        <f>G10+'27'!H10</f>
        <v>487325.40000000037</v>
      </c>
      <c r="I10" s="282"/>
      <c r="J10" s="175">
        <f>H10/DAY(B2)</f>
        <v>17404.478571428586</v>
      </c>
      <c r="K10" s="79"/>
      <c r="L10" s="66"/>
      <c r="N10" s="87"/>
      <c r="O10" s="71">
        <f>F7-O8</f>
        <v>801629.91999999993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37560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'27'!F12</f>
        <v>40380</v>
      </c>
      <c r="F12" s="117">
        <v>40380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-77.080000000074506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26394.899999999907</v>
      </c>
      <c r="H13" s="99">
        <f>G13+'27'!H13</f>
        <v>689650.79999999981</v>
      </c>
      <c r="I13" s="120">
        <f>G7-G13</f>
        <v>698.10000000009313</v>
      </c>
      <c r="J13" s="175">
        <f>H13/DAY(B2)</f>
        <v>24630.385714285709</v>
      </c>
      <c r="K13" s="79"/>
      <c r="L13" s="66"/>
      <c r="N13" s="87">
        <f>G7-G8</f>
        <v>-277.08000000007451</v>
      </c>
      <c r="O13" s="71"/>
    </row>
    <row r="14" spans="1:15" ht="26.25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47">
        <f>'27'!F15</f>
        <v>2158480</v>
      </c>
      <c r="F15" s="447">
        <v>2159466</v>
      </c>
      <c r="G15" s="112">
        <f>(F15-E15)</f>
        <v>986</v>
      </c>
      <c r="H15" s="99">
        <f>G15+'27'!H15</f>
        <v>27632.399999999907</v>
      </c>
      <c r="I15" s="113">
        <f>'1'!I15</f>
        <v>800</v>
      </c>
      <c r="J15" s="175">
        <f>H15/DAY(B2)</f>
        <v>986.87142857142521</v>
      </c>
      <c r="K15" s="79"/>
      <c r="L15" s="66"/>
      <c r="N15" s="87"/>
      <c r="O15" s="71">
        <f>G8-200</f>
        <v>27170.080000000075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-186.87142857142521</v>
      </c>
      <c r="J16" s="176"/>
      <c r="K16" s="79"/>
      <c r="L16" s="66"/>
      <c r="N16" s="87"/>
      <c r="O16" s="71"/>
    </row>
    <row r="17" spans="1:16" ht="26.25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5.5">
      <c r="A18" s="1281" t="s">
        <v>141</v>
      </c>
      <c r="B18" s="1282"/>
      <c r="C18" s="1283"/>
      <c r="D18" s="151" t="s">
        <v>142</v>
      </c>
      <c r="E18" s="95">
        <f>'27'!F18</f>
        <v>22</v>
      </c>
      <c r="F18" s="122">
        <v>20</v>
      </c>
      <c r="G18" s="119">
        <f>F18*10</f>
        <v>200</v>
      </c>
      <c r="H18" s="99">
        <f>G18+'27'!H18</f>
        <v>4800</v>
      </c>
      <c r="I18" s="113">
        <f>'1'!I18</f>
        <v>65</v>
      </c>
      <c r="J18" s="175">
        <f>H18/DAY(B2)</f>
        <v>171.42857142857142</v>
      </c>
      <c r="K18" s="79"/>
      <c r="L18" s="66"/>
      <c r="N18" s="87"/>
      <c r="O18" s="71"/>
    </row>
    <row r="19" spans="1:16" ht="25.5">
      <c r="A19" s="1281" t="s">
        <v>69</v>
      </c>
      <c r="B19" s="1282"/>
      <c r="C19" s="1283"/>
      <c r="D19" s="151" t="s">
        <v>142</v>
      </c>
      <c r="E19" s="95">
        <f>'27'!F19</f>
        <v>165292</v>
      </c>
      <c r="F19" s="122">
        <v>165341</v>
      </c>
      <c r="G19" s="112">
        <f t="shared" ref="G19" si="1">F19-E19</f>
        <v>49</v>
      </c>
      <c r="H19" s="99">
        <f>G19+'27'!H19</f>
        <v>1448</v>
      </c>
      <c r="I19" s="335"/>
      <c r="J19" s="175">
        <f>H19/DAY(B2)</f>
        <v>51.714285714285715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26"/>
      <c r="G20" s="127">
        <f>G18+G19</f>
        <v>249</v>
      </c>
      <c r="H20" s="99">
        <f>G20+'27'!H20</f>
        <v>6248</v>
      </c>
      <c r="I20" s="336">
        <f>I18-J20</f>
        <v>-158.14285714285714</v>
      </c>
      <c r="J20" s="175">
        <f>H20/DAY(B2)</f>
        <v>223.14285714285714</v>
      </c>
      <c r="K20" s="79"/>
      <c r="L20" s="66"/>
      <c r="N20" s="87"/>
      <c r="O20" s="71"/>
    </row>
    <row r="21" spans="1:16" ht="26.25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6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27370.080000000075</v>
      </c>
      <c r="F27" s="136">
        <v>10</v>
      </c>
      <c r="G27" s="137">
        <f>E27*F27</f>
        <v>273700.80000000075</v>
      </c>
      <c r="H27" s="99">
        <f>G27+'27'!H27</f>
        <v>6493204.1699999999</v>
      </c>
      <c r="I27" s="138"/>
      <c r="J27" s="175">
        <f>H27/DAY(B2)</f>
        <v>231900.14892857143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986</v>
      </c>
      <c r="F28" s="136">
        <v>75</v>
      </c>
      <c r="G28" s="137">
        <f>E28*F28</f>
        <v>73950</v>
      </c>
      <c r="H28" s="99">
        <f>G28+'27'!H28</f>
        <v>1949153.0999999936</v>
      </c>
      <c r="I28" s="140"/>
      <c r="J28" s="175">
        <f>H28/DAY(B2)</f>
        <v>69612.610714285489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G30+'27'!H30</f>
        <v>218648</v>
      </c>
      <c r="I30" s="140"/>
      <c r="J30" s="175">
        <f>H30/DAY(B2)</f>
        <v>7808.8571428571431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85</v>
      </c>
      <c r="G31" s="137">
        <f>E31*F31</f>
        <v>17000</v>
      </c>
      <c r="H31" s="99">
        <f>G31+'27'!H31</f>
        <v>387400</v>
      </c>
      <c r="I31" s="140"/>
      <c r="J31" s="175">
        <f>H31/DAY(B2)</f>
        <v>13835.714285714286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372049.80000000075</v>
      </c>
      <c r="H32" s="99">
        <f>G32+'27'!H32</f>
        <v>9048405.269999994</v>
      </c>
      <c r="I32" s="144"/>
      <c r="J32" s="175">
        <f>H32/DAY(B2)</f>
        <v>323157.33107142837</v>
      </c>
      <c r="K32" s="63"/>
      <c r="L32" s="89"/>
      <c r="N32" s="87"/>
      <c r="O32" s="71"/>
    </row>
    <row r="33" spans="1:15" ht="25.5" customHeight="1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'27'!F35</f>
        <v>238713.05</v>
      </c>
      <c r="F35" s="145">
        <v>238713.05</v>
      </c>
      <c r="G35" s="112">
        <f t="shared" ref="G35:G46" si="3">F35-E35</f>
        <v>0</v>
      </c>
      <c r="H35" s="99">
        <f>G35+'27'!H35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'27'!F36</f>
        <v>266402.5</v>
      </c>
      <c r="F36" s="145">
        <v>267583.81</v>
      </c>
      <c r="G36" s="112">
        <f t="shared" si="3"/>
        <v>1181.3099999999977</v>
      </c>
      <c r="H36" s="99">
        <f>G36+'27'!H36</f>
        <v>25766.760000000009</v>
      </c>
      <c r="I36" s="95"/>
      <c r="J36" s="175">
        <f>H36/DAY(B2)</f>
        <v>920.24142857142886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'27'!F37</f>
        <v>322998.69</v>
      </c>
      <c r="F37" s="145">
        <v>322998.69</v>
      </c>
      <c r="G37" s="112">
        <f t="shared" si="3"/>
        <v>0</v>
      </c>
      <c r="H37" s="99">
        <f>G37+'27'!H37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'27'!F38</f>
        <v>587067.59</v>
      </c>
      <c r="F38" s="108">
        <v>589263.63</v>
      </c>
      <c r="G38" s="112">
        <f t="shared" si="3"/>
        <v>2196.0400000000373</v>
      </c>
      <c r="H38" s="99">
        <f>G38+'27'!H38</f>
        <v>63508.130000000005</v>
      </c>
      <c r="I38" s="95"/>
      <c r="J38" s="175">
        <f>H38/DAY(B2)</f>
        <v>2268.1475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'27'!F39</f>
        <v>591584.18999999994</v>
      </c>
      <c r="F39" s="145">
        <v>591584.18999999994</v>
      </c>
      <c r="G39" s="112">
        <f t="shared" si="3"/>
        <v>0</v>
      </c>
      <c r="H39" s="99">
        <f>G39+'27'!H39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'27'!F40</f>
        <v>155327.69</v>
      </c>
      <c r="F40" s="145">
        <v>156251.73000000001</v>
      </c>
      <c r="G40" s="112">
        <f t="shared" si="3"/>
        <v>924.04000000000815</v>
      </c>
      <c r="H40" s="99">
        <f>G40+'27'!H40</f>
        <v>22980.5</v>
      </c>
      <c r="I40" s="95"/>
      <c r="J40" s="175">
        <f>H40/DAY(B2)</f>
        <v>820.73214285714289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'27'!F41</f>
        <v>371968.19</v>
      </c>
      <c r="F41" s="145">
        <v>377356.7</v>
      </c>
      <c r="G41" s="112">
        <f t="shared" si="3"/>
        <v>5388.5100000000093</v>
      </c>
      <c r="H41" s="99">
        <f>G41+'27'!H41</f>
        <v>95143.63</v>
      </c>
      <c r="I41" s="95"/>
      <c r="J41" s="175">
        <f>H41/DAY(B2)</f>
        <v>3397.9867857142858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'27'!F42</f>
        <v>814404.47</v>
      </c>
      <c r="F42" s="405">
        <v>818030</v>
      </c>
      <c r="G42" s="112">
        <f t="shared" si="3"/>
        <v>3625.5300000000279</v>
      </c>
      <c r="H42" s="99">
        <f>G42+'27'!H42</f>
        <v>19011.449999999953</v>
      </c>
      <c r="I42" s="95"/>
      <c r="J42" s="175">
        <f>H42/DAY(B2)</f>
        <v>678.9803571428555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'27'!F43</f>
        <v>407028.03</v>
      </c>
      <c r="F43" s="145">
        <v>407028</v>
      </c>
      <c r="G43" s="112">
        <f t="shared" si="3"/>
        <v>-3.0000000027939677E-2</v>
      </c>
      <c r="H43" s="99">
        <f>G43+'27'!H43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13315.400000000052</v>
      </c>
      <c r="H47" s="99">
        <f>G47+'27'!H47</f>
        <v>226410.46999999997</v>
      </c>
      <c r="I47" s="95"/>
      <c r="J47" s="175">
        <f>H47/DAY(B2)</f>
        <v>8086.0882142857135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'27'!F49</f>
        <v>708629.89</v>
      </c>
      <c r="F49" s="405">
        <v>712354.15</v>
      </c>
      <c r="G49" s="112">
        <f t="shared" ref="G49:G58" si="4">F49-E49</f>
        <v>3724.2600000000093</v>
      </c>
      <c r="H49" s="99">
        <f>G49+'27'!H49</f>
        <v>102736.56000000006</v>
      </c>
      <c r="I49" s="95"/>
      <c r="J49" s="175">
        <f>H49/DAY(B2)</f>
        <v>3669.1628571428591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'27'!F50</f>
        <v>360170.79</v>
      </c>
      <c r="F50" s="145">
        <v>362053.63</v>
      </c>
      <c r="G50" s="112">
        <f t="shared" si="4"/>
        <v>1882.8400000000256</v>
      </c>
      <c r="H50" s="99">
        <f>G50+'27'!H50</f>
        <v>244769</v>
      </c>
      <c r="I50" s="95"/>
      <c r="J50" s="175">
        <f>H50/DAY(B2)</f>
        <v>8741.75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'27'!F51</f>
        <v>68562.27</v>
      </c>
      <c r="F51" s="145">
        <v>69639.399999999994</v>
      </c>
      <c r="G51" s="112">
        <f t="shared" si="4"/>
        <v>1077.1299999999901</v>
      </c>
      <c r="H51" s="99">
        <f>G51+'27'!H51</f>
        <v>28778.139999999992</v>
      </c>
      <c r="I51" s="95"/>
      <c r="J51" s="175">
        <f>H51/DAY(B2)</f>
        <v>1027.7907142857141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10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'27'!F53</f>
        <v>281204.67</v>
      </c>
      <c r="F53" s="145">
        <v>285560.45</v>
      </c>
      <c r="G53" s="112">
        <f t="shared" si="4"/>
        <v>4355.7800000000279</v>
      </c>
      <c r="H53" s="99">
        <f>G53+'27'!H53</f>
        <v>118285.76000000001</v>
      </c>
      <c r="I53" s="95"/>
      <c r="J53" s="175">
        <f>H53/DAY(B2)</f>
        <v>4224.4914285714285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'27'!F54</f>
        <v>100878.85</v>
      </c>
      <c r="F54" s="145">
        <v>101049.65</v>
      </c>
      <c r="G54" s="112">
        <f t="shared" si="4"/>
        <v>170.79999999998836</v>
      </c>
      <c r="H54" s="99">
        <f>G54+'27'!H54</f>
        <v>5321.5599999999977</v>
      </c>
      <c r="I54" s="95"/>
      <c r="J54" s="175">
        <f>H54/DAY(B2)</f>
        <v>190.0557142857142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'27'!F55</f>
        <v>494482.51</v>
      </c>
      <c r="F55" s="145">
        <v>494482.51</v>
      </c>
      <c r="G55" s="112">
        <f t="shared" si="4"/>
        <v>0</v>
      </c>
      <c r="H55" s="99">
        <f>G55+'27'!H55</f>
        <v>51312.760000000009</v>
      </c>
      <c r="I55" s="95"/>
      <c r="J55" s="175">
        <f>H55/DAY(B2)</f>
        <v>1832.5985714285719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'27'!F56</f>
        <v>145944.79</v>
      </c>
      <c r="F56" s="145">
        <v>145944.79</v>
      </c>
      <c r="G56" s="112">
        <f t="shared" si="4"/>
        <v>0</v>
      </c>
      <c r="H56" s="99">
        <f>G56+'27'!H56</f>
        <v>19897.100000000006</v>
      </c>
      <c r="I56" s="95"/>
      <c r="J56" s="175">
        <f>H56/DAY(B2)</f>
        <v>710.61071428571449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'27'!F57</f>
        <v>399995.8</v>
      </c>
      <c r="F57" s="405">
        <v>403040.59</v>
      </c>
      <c r="G57" s="112">
        <f t="shared" si="4"/>
        <v>3044.7900000000373</v>
      </c>
      <c r="H57" s="99">
        <f>G57+'27'!H57</f>
        <v>80789.660000000033</v>
      </c>
      <c r="I57" s="95"/>
      <c r="J57" s="175">
        <f>H57/DAY(B2)</f>
        <v>2885.3450000000012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'27'!F58</f>
        <v>63392.4</v>
      </c>
      <c r="F58" s="145">
        <v>63652.36</v>
      </c>
      <c r="G58" s="112">
        <f t="shared" si="4"/>
        <v>259.95999999999913</v>
      </c>
      <c r="H58" s="99">
        <f>G58+'27'!H58</f>
        <v>6891.3600000000006</v>
      </c>
      <c r="I58" s="95"/>
      <c r="J58" s="175">
        <f>H58/DAY(B2)</f>
        <v>246.12000000000003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14515.560000000078</v>
      </c>
      <c r="H59" s="99">
        <f>G59+'27'!H59</f>
        <v>455333.64</v>
      </c>
      <c r="I59" s="95">
        <f>G7-G60</f>
        <v>-737.96000000013009</v>
      </c>
      <c r="J59" s="175">
        <f>H59/DAY(B2)</f>
        <v>16261.915714285715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27830.96000000013</v>
      </c>
      <c r="H60" s="99">
        <f>G60+'27'!H60</f>
        <v>681744.11</v>
      </c>
      <c r="I60" s="95">
        <f>G13-G60</f>
        <v>-1436.0600000002232</v>
      </c>
      <c r="J60" s="175">
        <f>H60/DAY(B2)</f>
        <v>24348.003928571427</v>
      </c>
      <c r="K60" s="79"/>
      <c r="L60" s="66"/>
      <c r="N60" s="87"/>
      <c r="O60" s="71"/>
    </row>
    <row r="61" spans="1:15" s="68" customFormat="1" ht="26.25">
      <c r="A61" s="1278" t="s">
        <v>332</v>
      </c>
      <c r="B61" s="1279"/>
      <c r="C61" s="12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81" t="s">
        <v>198</v>
      </c>
      <c r="B62" s="1282"/>
      <c r="C62" s="1283"/>
      <c r="D62" s="151" t="s">
        <v>142</v>
      </c>
      <c r="E62" s="95">
        <f>'27'!F62</f>
        <v>301771</v>
      </c>
      <c r="F62" s="122">
        <v>301877</v>
      </c>
      <c r="G62" s="112">
        <f t="shared" ref="G62:G63" si="5">F62-E62</f>
        <v>106</v>
      </c>
      <c r="H62" s="99">
        <f>G62+'27'!H62</f>
        <v>2404</v>
      </c>
      <c r="I62" s="118"/>
      <c r="J62" s="175">
        <f>H62/DAY(B2)</f>
        <v>85.857142857142861</v>
      </c>
      <c r="K62" s="80"/>
      <c r="L62" s="66"/>
      <c r="N62" s="87"/>
      <c r="O62" s="71"/>
    </row>
    <row r="63" spans="1:15" ht="25.5">
      <c r="A63" s="1281" t="s">
        <v>199</v>
      </c>
      <c r="B63" s="1282"/>
      <c r="C63" s="1283"/>
      <c r="D63" s="151" t="s">
        <v>142</v>
      </c>
      <c r="E63" s="95">
        <f>'27'!F63</f>
        <v>245139</v>
      </c>
      <c r="F63" s="122">
        <v>245139</v>
      </c>
      <c r="G63" s="112">
        <f t="shared" si="5"/>
        <v>0</v>
      </c>
      <c r="H63" s="99">
        <f>G63+'27'!H63</f>
        <v>2547</v>
      </c>
      <c r="I63" s="118"/>
      <c r="J63" s="175">
        <f>H63/DAY(B2)</f>
        <v>90.964285714285708</v>
      </c>
      <c r="K63" s="69"/>
      <c r="L63" s="66"/>
      <c r="N63" s="87"/>
      <c r="O63" s="71"/>
    </row>
    <row r="64" spans="1:15" ht="26.25">
      <c r="A64" s="1284" t="s">
        <v>200</v>
      </c>
      <c r="B64" s="1285"/>
      <c r="C64" s="1286"/>
      <c r="D64" s="151"/>
      <c r="E64" s="95">
        <f>'27'!F64</f>
        <v>0</v>
      </c>
      <c r="F64" s="122">
        <v>0</v>
      </c>
      <c r="G64" s="112">
        <f>G62+G63</f>
        <v>106</v>
      </c>
      <c r="H64" s="99">
        <f>G64+'27'!H64</f>
        <v>4951</v>
      </c>
      <c r="I64" s="118"/>
      <c r="J64" s="175">
        <f>H64/DAY(B2)</f>
        <v>176.82142857142858</v>
      </c>
      <c r="K64" s="69"/>
      <c r="L64" s="66"/>
      <c r="N64" s="87"/>
      <c r="O64" s="71"/>
    </row>
    <row r="65" spans="1:15" ht="25.5">
      <c r="A65" s="1281" t="s">
        <v>201</v>
      </c>
      <c r="B65" s="1282"/>
      <c r="C65" s="1283"/>
      <c r="D65" s="151" t="s">
        <v>142</v>
      </c>
      <c r="E65" s="95">
        <f>'27'!F65</f>
        <v>460496</v>
      </c>
      <c r="F65" s="122">
        <v>460614</v>
      </c>
      <c r="G65" s="112">
        <f t="shared" ref="G65:G70" si="6">F65-E65</f>
        <v>118</v>
      </c>
      <c r="H65" s="99">
        <f>G65+'27'!H65</f>
        <v>2788</v>
      </c>
      <c r="I65" s="118"/>
      <c r="J65" s="175">
        <f>H65/DAY(B2)</f>
        <v>99.571428571428569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'27'!F66</f>
        <v>112560</v>
      </c>
      <c r="F66" s="122">
        <v>112567</v>
      </c>
      <c r="G66" s="112">
        <f t="shared" si="6"/>
        <v>7</v>
      </c>
      <c r="H66" s="99">
        <f>G66+'27'!H66</f>
        <v>270</v>
      </c>
      <c r="I66" s="118"/>
      <c r="J66" s="175">
        <f>H66/DAY(B2)</f>
        <v>9.6428571428571423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'27'!F67</f>
        <v>114678</v>
      </c>
      <c r="F67" s="122">
        <v>114693</v>
      </c>
      <c r="G67" s="112">
        <f t="shared" si="6"/>
        <v>15</v>
      </c>
      <c r="H67" s="99">
        <f>G67+'27'!H67</f>
        <v>495</v>
      </c>
      <c r="I67" s="118"/>
      <c r="J67" s="175">
        <f>H67/DAY(B2)</f>
        <v>17.678571428571427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'27'!F68</f>
        <v>166481</v>
      </c>
      <c r="F68" s="122">
        <v>166509</v>
      </c>
      <c r="G68" s="112">
        <f t="shared" si="6"/>
        <v>28</v>
      </c>
      <c r="H68" s="99">
        <f>G68+'27'!H68</f>
        <v>953</v>
      </c>
      <c r="I68" s="118"/>
      <c r="J68" s="175">
        <f>H68/DAY(B2)</f>
        <v>34.035714285714285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'27'!F69</f>
        <v>12557</v>
      </c>
      <c r="F69" s="122">
        <v>12559</v>
      </c>
      <c r="G69" s="112">
        <f t="shared" si="6"/>
        <v>2</v>
      </c>
      <c r="H69" s="99">
        <f>G69+'27'!H69</f>
        <v>121</v>
      </c>
      <c r="I69" s="118"/>
      <c r="J69" s="175">
        <f>H69/DAY(B2)</f>
        <v>4.3214285714285712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'27'!F70</f>
        <v>10317</v>
      </c>
      <c r="F70" s="122">
        <v>10324</v>
      </c>
      <c r="G70" s="112">
        <f t="shared" si="6"/>
        <v>7</v>
      </c>
      <c r="H70" s="99">
        <f>G70+'27'!H70</f>
        <v>228</v>
      </c>
      <c r="I70" s="118"/>
      <c r="J70" s="175">
        <f>H70/DAY(B2)</f>
        <v>8.1428571428571423</v>
      </c>
      <c r="K70" s="69"/>
      <c r="L70" s="66"/>
      <c r="N70" s="87"/>
      <c r="O70" s="71"/>
    </row>
    <row r="71" spans="1:15" ht="26.25">
      <c r="A71" s="1284" t="s">
        <v>208</v>
      </c>
      <c r="B71" s="1285"/>
      <c r="C71" s="1286"/>
      <c r="D71" s="152"/>
      <c r="E71" s="152"/>
      <c r="F71" s="152"/>
      <c r="G71" s="153">
        <f>SUM(G65:G70)</f>
        <v>177</v>
      </c>
      <c r="H71" s="99">
        <f>G71+'27'!H71</f>
        <v>4855</v>
      </c>
      <c r="I71" s="154"/>
      <c r="J71" s="175">
        <f>H71/DAY(B2)</f>
        <v>173.39285714285714</v>
      </c>
      <c r="K71" s="69"/>
      <c r="L71" s="66"/>
      <c r="N71" s="87"/>
      <c r="O71" s="71"/>
    </row>
    <row r="72" spans="1:15" s="88" customFormat="1" ht="25.5">
      <c r="A72" s="1287"/>
      <c r="B72" s="126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5" t="s">
        <v>333</v>
      </c>
      <c r="B73" s="1296"/>
      <c r="C73" s="129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81" t="s">
        <v>220</v>
      </c>
      <c r="B74" s="1282"/>
      <c r="C74" s="1283"/>
      <c r="D74" s="151" t="s">
        <v>139</v>
      </c>
      <c r="E74" s="95">
        <f>'27'!F74</f>
        <v>974950.58</v>
      </c>
      <c r="F74" s="117">
        <v>975231.29</v>
      </c>
      <c r="G74" s="112">
        <f t="shared" ref="G74:G78" si="7">F74-E74</f>
        <v>280.71000000007916</v>
      </c>
      <c r="H74" s="99">
        <f>G74+'27'!H74</f>
        <v>8048.5100000000093</v>
      </c>
      <c r="I74" s="154"/>
      <c r="J74" s="175">
        <f>H74/DAY(B2)</f>
        <v>287.44678571428602</v>
      </c>
      <c r="K74" s="69"/>
      <c r="L74" s="66"/>
      <c r="N74" s="87"/>
      <c r="O74" s="71"/>
    </row>
    <row r="75" spans="1:15" ht="25.5">
      <c r="A75" s="1281" t="s">
        <v>221</v>
      </c>
      <c r="B75" s="1282"/>
      <c r="C75" s="1283"/>
      <c r="D75" s="151" t="s">
        <v>139</v>
      </c>
      <c r="E75" s="95">
        <f>'27'!F75</f>
        <v>73586.8</v>
      </c>
      <c r="F75" s="123">
        <v>73586</v>
      </c>
      <c r="G75" s="112">
        <f t="shared" si="7"/>
        <v>-0.80000000000291038</v>
      </c>
      <c r="H75" s="99">
        <f>G75+'27'!H75</f>
        <v>-0.80000000000291038</v>
      </c>
      <c r="I75" s="154"/>
      <c r="J75" s="175">
        <f>H75/DAY(B2)</f>
        <v>-2.8571428571532515E-2</v>
      </c>
      <c r="K75" s="69"/>
      <c r="L75" s="66"/>
      <c r="N75" s="87"/>
      <c r="O75" s="71"/>
    </row>
    <row r="76" spans="1:15" ht="25.5">
      <c r="A76" s="1288" t="s">
        <v>222</v>
      </c>
      <c r="B76" s="1289"/>
      <c r="C76" s="1290"/>
      <c r="D76" s="151" t="s">
        <v>139</v>
      </c>
      <c r="E76" s="95">
        <f>'27'!F76</f>
        <v>196391</v>
      </c>
      <c r="F76" s="123">
        <v>196504</v>
      </c>
      <c r="G76" s="112">
        <f t="shared" si="7"/>
        <v>113</v>
      </c>
      <c r="H76" s="99">
        <f>G76+'27'!H76</f>
        <v>3082.5</v>
      </c>
      <c r="I76" s="154"/>
      <c r="J76" s="175">
        <f>H76/DAY(B2)</f>
        <v>110.08928571428571</v>
      </c>
      <c r="K76" s="69"/>
      <c r="L76" s="66"/>
      <c r="N76" s="87"/>
      <c r="O76" s="71"/>
    </row>
    <row r="77" spans="1:15" ht="25.5">
      <c r="A77" s="1288" t="s">
        <v>223</v>
      </c>
      <c r="B77" s="1289"/>
      <c r="C77" s="1290"/>
      <c r="D77" s="151" t="s">
        <v>139</v>
      </c>
      <c r="E77" s="95">
        <f>'27'!F77</f>
        <v>53184</v>
      </c>
      <c r="F77" s="123">
        <v>53231</v>
      </c>
      <c r="G77" s="112">
        <f t="shared" si="7"/>
        <v>47</v>
      </c>
      <c r="H77" s="99">
        <f>G77+'27'!H77</f>
        <v>1391</v>
      </c>
      <c r="I77" s="154"/>
      <c r="J77" s="175">
        <f>H77/DAY(B2)</f>
        <v>49.678571428571431</v>
      </c>
      <c r="K77" s="69"/>
      <c r="L77" s="66"/>
      <c r="N77" s="87"/>
      <c r="O77" s="71"/>
    </row>
    <row r="78" spans="1:15" ht="25.5">
      <c r="A78" s="1288" t="s">
        <v>224</v>
      </c>
      <c r="B78" s="1289"/>
      <c r="C78" s="1290"/>
      <c r="D78" s="151" t="s">
        <v>139</v>
      </c>
      <c r="E78" s="95">
        <f>'27'!F78</f>
        <v>9563</v>
      </c>
      <c r="F78" s="123">
        <v>9563</v>
      </c>
      <c r="G78" s="112">
        <f t="shared" si="7"/>
        <v>0</v>
      </c>
      <c r="H78" s="99">
        <f>G78+'27'!H78</f>
        <v>-1</v>
      </c>
      <c r="I78" s="118"/>
      <c r="J78" s="175">
        <f>H78/DAY(B2)</f>
        <v>-3.5714285714285712E-2</v>
      </c>
      <c r="K78" s="69"/>
      <c r="L78" s="66"/>
      <c r="N78" s="87"/>
      <c r="O78" s="71"/>
    </row>
    <row r="79" spans="1:15" s="57" customFormat="1" ht="25.5">
      <c r="A79" s="1288" t="s">
        <v>225</v>
      </c>
      <c r="B79" s="1289"/>
      <c r="C79" s="1290"/>
      <c r="D79" s="151"/>
      <c r="E79" s="95">
        <f>'27'!F79</f>
        <v>0</v>
      </c>
      <c r="F79" s="123"/>
      <c r="G79" s="112">
        <f>G15-SUM(G74:G78)</f>
        <v>546.08999999992375</v>
      </c>
      <c r="H79" s="99">
        <f>G79+'27'!H79</f>
        <v>15112.1899999999</v>
      </c>
      <c r="I79" s="118"/>
      <c r="J79" s="175"/>
      <c r="K79" s="59"/>
      <c r="L79" s="58"/>
      <c r="N79" s="87"/>
      <c r="O79" s="71"/>
    </row>
    <row r="80" spans="1:15" s="57" customFormat="1" ht="26.25">
      <c r="A80" s="1284" t="s">
        <v>329</v>
      </c>
      <c r="B80" s="1285"/>
      <c r="C80" s="1286"/>
      <c r="D80" s="151"/>
      <c r="E80" s="117"/>
      <c r="F80" s="117"/>
      <c r="G80" s="112">
        <f>SUM(G74:G79)</f>
        <v>986</v>
      </c>
      <c r="H80" s="99"/>
      <c r="I80" s="118"/>
      <c r="J80" s="175"/>
      <c r="K80" s="59"/>
      <c r="L80" s="58"/>
      <c r="N80" s="87"/>
      <c r="O80" s="71"/>
    </row>
    <row r="81" spans="1:15" ht="25.5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'27'!F84</f>
        <v>43323.1</v>
      </c>
      <c r="F84" s="164">
        <v>43347.28</v>
      </c>
      <c r="G84" s="112">
        <f t="shared" si="8"/>
        <v>24.180000000000291</v>
      </c>
      <c r="H84" s="99">
        <f>G84+'27'!H84</f>
        <v>434.72999999999593</v>
      </c>
      <c r="I84" s="538"/>
      <c r="J84" s="175">
        <f>H84/DAY(B2)</f>
        <v>15.526071428571283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389">
        <f>'27'!F85</f>
        <v>5431.2</v>
      </c>
      <c r="F85" s="164">
        <v>5447.14</v>
      </c>
      <c r="G85" s="236">
        <f t="shared" si="8"/>
        <v>15.940000000000509</v>
      </c>
      <c r="H85" s="99">
        <f>G85+'27'!H85</f>
        <v>83.140000000000327</v>
      </c>
      <c r="I85" s="538"/>
      <c r="J85" s="175">
        <f>H85/DAY(B2)</f>
        <v>2.9692857142857259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'27'!F86</f>
        <v>46271.43</v>
      </c>
      <c r="F86" s="164">
        <v>46271.3</v>
      </c>
      <c r="G86" s="112">
        <f t="shared" si="8"/>
        <v>-0.12999999999738066</v>
      </c>
      <c r="H86" s="99">
        <f>G86+'27'!H86</f>
        <v>349.93000000000029</v>
      </c>
      <c r="I86" s="538"/>
      <c r="J86" s="175">
        <f>H86/DAY(B2)</f>
        <v>12.497500000000011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'27'!F87</f>
        <v>35618.03</v>
      </c>
      <c r="F87" s="164">
        <v>35618.03</v>
      </c>
      <c r="G87" s="112">
        <f t="shared" si="8"/>
        <v>0</v>
      </c>
      <c r="H87" s="99">
        <f>G87+'27'!H87</f>
        <v>143.22999999999593</v>
      </c>
      <c r="I87" s="538">
        <f>G84+G85+G86+G87</f>
        <v>39.99000000000342</v>
      </c>
      <c r="J87" s="175">
        <f>H87/DAY(B2)</f>
        <v>5.1153571428569977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'27'!F88</f>
        <v>24413.57</v>
      </c>
      <c r="F88" s="164">
        <v>24413.57</v>
      </c>
      <c r="G88" s="112">
        <f t="shared" si="8"/>
        <v>0</v>
      </c>
      <c r="H88" s="99">
        <f>G88+'27'!H88</f>
        <v>78.409999999999854</v>
      </c>
      <c r="I88" s="538"/>
      <c r="J88" s="175">
        <f>H88/DAY(B2)</f>
        <v>2.8003571428571377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'27'!F89</f>
        <v>27970.28</v>
      </c>
      <c r="F89" s="164">
        <v>27979.06</v>
      </c>
      <c r="G89" s="112">
        <f t="shared" si="8"/>
        <v>8.7800000000024738</v>
      </c>
      <c r="H89" s="99">
        <f>G89+'27'!H89</f>
        <v>177.04000000000087</v>
      </c>
      <c r="I89" s="538">
        <f>G88+G89</f>
        <v>8.7800000000024738</v>
      </c>
      <c r="J89" s="175">
        <f>H89/DAY(B2)</f>
        <v>6.322857142857174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'27'!F90</f>
        <v>73208.69</v>
      </c>
      <c r="F90" s="164">
        <v>73218.94</v>
      </c>
      <c r="G90" s="112">
        <f t="shared" si="8"/>
        <v>10.25</v>
      </c>
      <c r="H90" s="99">
        <f>G90+'27'!H90</f>
        <v>33.25</v>
      </c>
      <c r="I90" s="538">
        <f>G90</f>
        <v>10.25</v>
      </c>
      <c r="J90" s="175">
        <f>H90/DAY(B2)</f>
        <v>1.1875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'27'!F91</f>
        <v>4645.1899999999996</v>
      </c>
      <c r="F91" s="122">
        <v>4656.0200000000004</v>
      </c>
      <c r="G91" s="112">
        <f t="shared" si="8"/>
        <v>10.830000000000837</v>
      </c>
      <c r="H91" s="99">
        <f>G91+'27'!H91</f>
        <v>307.8700000000008</v>
      </c>
      <c r="I91" s="557"/>
      <c r="J91" s="175">
        <f>H91/DAY(B2)</f>
        <v>10.995357142857172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'27'!F92</f>
        <v>7000.23</v>
      </c>
      <c r="F92" s="122">
        <v>7000.23</v>
      </c>
      <c r="G92" s="112">
        <f t="shared" si="8"/>
        <v>0</v>
      </c>
      <c r="H92" s="99">
        <f>G92+'27'!H92</f>
        <v>0.22999999999956344</v>
      </c>
      <c r="I92" s="561">
        <f>G91+G92</f>
        <v>10.830000000000837</v>
      </c>
      <c r="J92" s="175">
        <f>H92/DAY(B2)</f>
        <v>8.2142857142701222E-3</v>
      </c>
      <c r="O92" s="71"/>
    </row>
    <row r="93" spans="1:15" ht="26.25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6769.0200000000186</v>
      </c>
      <c r="H94" s="99">
        <f>G94+'27'!H94</f>
        <v>183526.22000000009</v>
      </c>
      <c r="I94" s="118"/>
      <c r="J94" s="175">
        <f>H94/DAY(B2)</f>
        <v>6554.5078571428603</v>
      </c>
      <c r="K94" s="69"/>
      <c r="L94" s="66"/>
      <c r="O94" s="71"/>
    </row>
    <row r="95" spans="1:15" ht="25.5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0.24984387111061968</v>
      </c>
      <c r="H95" s="99">
        <f>G95+'27'!H95</f>
        <v>7.2917039657718652</v>
      </c>
      <c r="I95" s="167"/>
      <c r="J95" s="175">
        <f>H95/DAY(B2)</f>
        <v>0.26041799877756661</v>
      </c>
      <c r="K95" s="69"/>
      <c r="L95" s="66"/>
      <c r="O95" s="71"/>
    </row>
    <row r="96" spans="1:15" ht="25.5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9014.0400000000373</v>
      </c>
      <c r="H96" s="99">
        <f>G96+'27'!H96</f>
        <v>185364.93999999997</v>
      </c>
      <c r="I96" s="118"/>
      <c r="J96" s="175">
        <f>H96/DAY(B2)</f>
        <v>6620.176428571428</v>
      </c>
      <c r="K96" s="69"/>
      <c r="L96" s="66"/>
      <c r="O96" s="71"/>
    </row>
    <row r="97" spans="1:15" ht="25.5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0.33270734137969354</v>
      </c>
      <c r="H97" s="99">
        <f>G97+'27'!H97</f>
        <v>7.3489053533261854</v>
      </c>
      <c r="I97" s="167"/>
      <c r="J97" s="175">
        <f>H97/DAY(B2)</f>
        <v>0.2624609054759352</v>
      </c>
      <c r="K97" s="69"/>
      <c r="L97" s="66"/>
      <c r="O97" s="71"/>
    </row>
    <row r="98" spans="1:15" ht="25.5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4355.7800000000279</v>
      </c>
      <c r="H98" s="99">
        <f>G98+'27'!H98</f>
        <v>118285.76000000001</v>
      </c>
      <c r="I98" s="168"/>
      <c r="J98" s="175">
        <f>H98/DAY(B2)</f>
        <v>4224.4914285714285</v>
      </c>
      <c r="K98" s="69"/>
      <c r="L98" s="66"/>
      <c r="O98" s="71"/>
    </row>
    <row r="99" spans="1:15" ht="25.5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0.16077141697117439</v>
      </c>
      <c r="H99" s="99">
        <f>G99+'27'!H99</f>
        <v>4.7030794397731936</v>
      </c>
      <c r="I99" s="168"/>
      <c r="J99" s="175">
        <f>H99/DAY(B2)</f>
        <v>0.16796712284904264</v>
      </c>
      <c r="O99" s="71"/>
    </row>
    <row r="100" spans="1:15" ht="26.25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2196.0400000000373</v>
      </c>
      <c r="H100" s="99">
        <f>G100+'27'!H100</f>
        <v>63508.130000000005</v>
      </c>
      <c r="I100" s="118"/>
      <c r="J100" s="175">
        <f>H100/DAY(B2)</f>
        <v>2268.1475</v>
      </c>
      <c r="K100" s="70"/>
      <c r="O100" s="71"/>
    </row>
    <row r="101" spans="1:15" ht="25.5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8.1055623223712292E-2</v>
      </c>
      <c r="H101" s="99">
        <f>G101+'27'!H101</f>
        <v>2.522611710667952</v>
      </c>
      <c r="I101" s="168"/>
      <c r="J101" s="175">
        <f>H101/DAY(B2)</f>
        <v>9.0093275380998289E-2</v>
      </c>
      <c r="O101" s="71"/>
    </row>
    <row r="102" spans="1:15" ht="25.5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3064.1500000000233</v>
      </c>
      <c r="H102" s="99">
        <f>G102+'27'!H102</f>
        <v>67087.5</v>
      </c>
      <c r="I102" s="168"/>
      <c r="J102" s="175">
        <f>H102/DAY(B2)</f>
        <v>2395.9821428571427</v>
      </c>
      <c r="O102" s="71"/>
    </row>
    <row r="103" spans="1:15" ht="25.5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0.11309747905363095</v>
      </c>
      <c r="H103" s="99">
        <f>G103+'27'!H103</f>
        <v>2.6595159097901906</v>
      </c>
      <c r="I103" s="118"/>
      <c r="J103" s="175">
        <f>H103/DAY(B2)</f>
        <v>9.4982711063935382E-2</v>
      </c>
      <c r="O103" s="71"/>
    </row>
    <row r="104" spans="1:15" ht="25.5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1077.1299999999901</v>
      </c>
      <c r="H104" s="99">
        <f>G104+'27'!H104</f>
        <v>28778.139999999992</v>
      </c>
      <c r="I104" s="118"/>
      <c r="J104" s="175">
        <f>H104/DAY(B2)</f>
        <v>1027.7907142857141</v>
      </c>
      <c r="O104" s="71"/>
    </row>
    <row r="105" spans="1:15" ht="26.25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3.9756763739711001E-2</v>
      </c>
      <c r="H105" s="99">
        <f>G105+'27'!H105</f>
        <v>1.1443882487604211</v>
      </c>
      <c r="I105" s="187"/>
      <c r="J105" s="188">
        <f>H105/DAY(B2)</f>
        <v>4.0871008884300751E-2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6.25">
      <c r="A109" s="1291"/>
      <c r="B109" s="1291"/>
    </row>
    <row r="110" spans="1:15" ht="26.25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5.5">
      <c r="A111" s="1270"/>
      <c r="B111" s="1271"/>
      <c r="C111" s="1272"/>
      <c r="D111" s="165"/>
      <c r="E111" s="165"/>
      <c r="F111" s="165"/>
      <c r="G111" s="165"/>
      <c r="H111" s="156"/>
      <c r="I111" s="165"/>
      <c r="J111" s="327"/>
    </row>
    <row r="112" spans="1:15" ht="25.5">
      <c r="A112" s="1266" t="s">
        <v>252</v>
      </c>
      <c r="B112" s="1267"/>
      <c r="C112" s="1268"/>
      <c r="D112" s="146" t="s">
        <v>183</v>
      </c>
      <c r="E112" s="95">
        <f>'27'!F112</f>
        <v>11444.5</v>
      </c>
      <c r="F112" s="237">
        <v>11518.2</v>
      </c>
      <c r="G112" s="112">
        <f t="shared" ref="G112:G123" si="9">F112-E112</f>
        <v>73.700000000000728</v>
      </c>
      <c r="H112" s="99">
        <f>G112+'27'!H112</f>
        <v>2087.1000000000004</v>
      </c>
      <c r="I112" s="165"/>
      <c r="J112" s="328">
        <f>H112/DAY(B2)</f>
        <v>74.539285714285725</v>
      </c>
    </row>
    <row r="113" spans="1:18" ht="29.25" customHeight="1">
      <c r="A113" s="1266" t="s">
        <v>253</v>
      </c>
      <c r="B113" s="1267"/>
      <c r="C113" s="1268"/>
      <c r="D113" s="146" t="s">
        <v>183</v>
      </c>
      <c r="E113" s="95">
        <f>'27'!F113</f>
        <v>23100.15</v>
      </c>
      <c r="F113" s="237">
        <v>23239.8</v>
      </c>
      <c r="G113" s="112">
        <f t="shared" si="9"/>
        <v>139.64999999999782</v>
      </c>
      <c r="H113" s="99">
        <f>G113+'27'!H113</f>
        <v>4014.8999999999978</v>
      </c>
      <c r="I113" s="165"/>
      <c r="J113" s="328">
        <f>H113/DAY(B2)</f>
        <v>143.38928571428565</v>
      </c>
    </row>
    <row r="114" spans="1:18" ht="29.25" customHeight="1">
      <c r="A114" s="1266" t="s">
        <v>254</v>
      </c>
      <c r="B114" s="1267"/>
      <c r="C114" s="1268"/>
      <c r="D114" s="146" t="s">
        <v>183</v>
      </c>
      <c r="E114" s="95">
        <f>'27'!F114</f>
        <v>34105.9</v>
      </c>
      <c r="F114" s="237">
        <v>34333.9</v>
      </c>
      <c r="G114" s="112">
        <f t="shared" si="9"/>
        <v>228</v>
      </c>
      <c r="H114" s="99">
        <f>G114+'27'!H114</f>
        <v>6463</v>
      </c>
      <c r="I114" s="165"/>
      <c r="J114" s="328">
        <f>H114/DAY(B2)</f>
        <v>230.82142857142858</v>
      </c>
    </row>
    <row r="115" spans="1:18" ht="29.25" customHeight="1">
      <c r="A115" s="1266" t="s">
        <v>255</v>
      </c>
      <c r="B115" s="1267"/>
      <c r="C115" s="1268"/>
      <c r="D115" s="146" t="s">
        <v>183</v>
      </c>
      <c r="E115" s="95">
        <f>'27'!F115</f>
        <v>21621.3</v>
      </c>
      <c r="F115" s="237">
        <v>21782</v>
      </c>
      <c r="G115" s="112">
        <f t="shared" si="9"/>
        <v>160.70000000000073</v>
      </c>
      <c r="H115" s="99">
        <f>G115+'27'!H115</f>
        <v>4354.7999999999993</v>
      </c>
      <c r="I115" s="165"/>
      <c r="J115" s="328">
        <f>H115/DAY(B2)</f>
        <v>155.52857142857141</v>
      </c>
    </row>
    <row r="116" spans="1:18" ht="29.25" customHeight="1">
      <c r="A116" s="1275" t="s">
        <v>96</v>
      </c>
      <c r="B116" s="1276"/>
      <c r="C116" s="1277"/>
      <c r="D116" s="146" t="s">
        <v>183</v>
      </c>
      <c r="E116" s="95">
        <f>'27'!F116</f>
        <v>95563.58</v>
      </c>
      <c r="F116" s="237">
        <v>96130.3</v>
      </c>
      <c r="G116" s="112">
        <f t="shared" si="9"/>
        <v>566.72000000000116</v>
      </c>
      <c r="H116" s="99">
        <f>G116+'27'!H116</f>
        <v>13311</v>
      </c>
      <c r="I116" s="165"/>
      <c r="J116" s="328">
        <f>H116/DAY(B2)</f>
        <v>475.39285714285717</v>
      </c>
      <c r="Q116" s="1266"/>
      <c r="R116" s="1268"/>
    </row>
    <row r="117" spans="1:18" ht="29.25" customHeight="1">
      <c r="A117" s="1275" t="s">
        <v>184</v>
      </c>
      <c r="B117" s="1276"/>
      <c r="C117" s="1277"/>
      <c r="D117" s="146" t="s">
        <v>183</v>
      </c>
      <c r="E117" s="95">
        <f>'27'!F117</f>
        <v>55862.23</v>
      </c>
      <c r="F117" s="237">
        <v>56071</v>
      </c>
      <c r="G117" s="112">
        <f t="shared" si="9"/>
        <v>208.7699999999968</v>
      </c>
      <c r="H117" s="99">
        <f>G117+'27'!H117</f>
        <v>7565</v>
      </c>
      <c r="I117" s="165"/>
      <c r="J117" s="328">
        <f>H117/DAY(B2)</f>
        <v>270.17857142857144</v>
      </c>
      <c r="Q117" s="1266"/>
      <c r="R117" s="1268"/>
    </row>
    <row r="118" spans="1:18" ht="25.5">
      <c r="A118" s="1269" t="s">
        <v>97</v>
      </c>
      <c r="B118" s="1269"/>
      <c r="C118" s="1269"/>
      <c r="D118" s="151" t="s">
        <v>183</v>
      </c>
      <c r="E118" s="95">
        <f>'27'!F118</f>
        <v>99351.5</v>
      </c>
      <c r="F118" s="400">
        <v>100491.61</v>
      </c>
      <c r="G118" s="112">
        <f t="shared" si="9"/>
        <v>1140.1100000000006</v>
      </c>
      <c r="H118" s="99">
        <f>G118+'27'!H118</f>
        <v>17855.809999999998</v>
      </c>
      <c r="I118" s="165"/>
      <c r="J118" s="328">
        <f>H118/DAY(B2)</f>
        <v>637.70749999999987</v>
      </c>
      <c r="Q118" s="1266"/>
      <c r="R118" s="1268"/>
    </row>
    <row r="119" spans="1:18" ht="25.5">
      <c r="A119" s="1269" t="s">
        <v>98</v>
      </c>
      <c r="B119" s="1269"/>
      <c r="C119" s="1269"/>
      <c r="D119" s="151" t="s">
        <v>183</v>
      </c>
      <c r="E119" s="95">
        <f>'27'!F119</f>
        <v>42540.4</v>
      </c>
      <c r="F119" s="237">
        <v>42553.4</v>
      </c>
      <c r="G119" s="112">
        <f t="shared" si="9"/>
        <v>13</v>
      </c>
      <c r="H119" s="99">
        <f>G119+'27'!H119</f>
        <v>1510</v>
      </c>
      <c r="I119" s="165"/>
      <c r="J119" s="328">
        <f>H119/DAY(B2)</f>
        <v>53.928571428571431</v>
      </c>
    </row>
    <row r="120" spans="1:18" ht="25.5">
      <c r="A120" s="1269" t="s">
        <v>99</v>
      </c>
      <c r="B120" s="1269"/>
      <c r="C120" s="1269"/>
      <c r="D120" s="151" t="s">
        <v>183</v>
      </c>
      <c r="E120" s="95">
        <f>'27'!F120</f>
        <v>70144.5</v>
      </c>
      <c r="F120" s="237">
        <v>70536.899999999994</v>
      </c>
      <c r="G120" s="112">
        <f t="shared" si="9"/>
        <v>392.39999999999418</v>
      </c>
      <c r="H120" s="99">
        <f>G120+'27'!H120</f>
        <v>11971.499999999993</v>
      </c>
      <c r="I120" s="165"/>
      <c r="J120" s="328">
        <f>H120/DAY(B2)</f>
        <v>427.55357142857116</v>
      </c>
    </row>
    <row r="121" spans="1:18" ht="25.5">
      <c r="A121" s="1269" t="s">
        <v>100</v>
      </c>
      <c r="B121" s="1269"/>
      <c r="C121" s="1269"/>
      <c r="D121" s="151" t="s">
        <v>183</v>
      </c>
      <c r="E121" s="95">
        <f>'27'!F121</f>
        <v>79945.899999999994</v>
      </c>
      <c r="F121" s="237">
        <v>80407.7</v>
      </c>
      <c r="G121" s="112">
        <f t="shared" si="9"/>
        <v>461.80000000000291</v>
      </c>
      <c r="H121" s="99">
        <f>G121+'27'!H121</f>
        <v>13125.699999999997</v>
      </c>
      <c r="I121" s="165"/>
      <c r="J121" s="328">
        <f>H121/DAY(B2)</f>
        <v>468.77499999999992</v>
      </c>
    </row>
    <row r="122" spans="1:18" ht="25.5">
      <c r="A122" s="1269" t="s">
        <v>101</v>
      </c>
      <c r="B122" s="1269"/>
      <c r="C122" s="1269"/>
      <c r="D122" s="151" t="s">
        <v>183</v>
      </c>
      <c r="E122" s="95">
        <f>'27'!F122</f>
        <v>48007.07</v>
      </c>
      <c r="F122" s="237">
        <v>48386</v>
      </c>
      <c r="G122" s="112">
        <f t="shared" si="9"/>
        <v>378.93000000000029</v>
      </c>
      <c r="H122" s="99">
        <f>G122+'27'!H122</f>
        <v>10059.099999999999</v>
      </c>
      <c r="I122" s="165"/>
      <c r="J122" s="328">
        <f>H122/DAY(B2)</f>
        <v>359.25357142857138</v>
      </c>
    </row>
    <row r="123" spans="1:18" ht="25.5">
      <c r="A123" s="1269" t="s">
        <v>102</v>
      </c>
      <c r="B123" s="1269"/>
      <c r="C123" s="1269"/>
      <c r="D123" s="151" t="s">
        <v>183</v>
      </c>
      <c r="E123" s="95">
        <f>'27'!F123</f>
        <v>48843.09</v>
      </c>
      <c r="F123" s="237">
        <v>49147.53</v>
      </c>
      <c r="G123" s="112">
        <f t="shared" si="9"/>
        <v>304.44000000000233</v>
      </c>
      <c r="H123" s="99">
        <f>G123+'27'!H123</f>
        <v>9098.7299999999959</v>
      </c>
      <c r="I123" s="165"/>
      <c r="J123" s="328">
        <f>H123/DAY(B2)</f>
        <v>324.95464285714269</v>
      </c>
    </row>
    <row r="124" spans="1:18" ht="29.25" customHeight="1">
      <c r="A124" s="1270"/>
      <c r="B124" s="1271"/>
      <c r="C124" s="1272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5.5">
      <c r="A125" s="1261" t="s">
        <v>196</v>
      </c>
      <c r="B125" s="1262"/>
      <c r="C125" s="245"/>
      <c r="D125" s="307"/>
      <c r="E125" s="308"/>
      <c r="F125" s="308"/>
      <c r="G125" s="309">
        <f>SUM(G112:G124)</f>
        <v>4068.2199999999975</v>
      </c>
      <c r="H125" s="156"/>
      <c r="I125" s="327">
        <f>G125-(G39+G53)</f>
        <v>-287.56000000003041</v>
      </c>
      <c r="J125" s="327"/>
    </row>
    <row r="126" spans="1:18" ht="25.5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5.5">
      <c r="A127" s="1274"/>
      <c r="B127" s="1274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1266" t="s">
        <v>318</v>
      </c>
      <c r="B128" s="1267"/>
      <c r="C128" s="1268"/>
      <c r="D128" s="151" t="s">
        <v>183</v>
      </c>
      <c r="E128" s="95">
        <f>'27'!F128</f>
        <v>153471.41</v>
      </c>
      <c r="F128" s="165">
        <v>153929.1</v>
      </c>
      <c r="G128" s="112">
        <f t="shared" ref="G128:G134" si="10">F128-E128</f>
        <v>457.69000000000233</v>
      </c>
      <c r="H128" s="99">
        <f>G128+'27'!H128</f>
        <v>12474</v>
      </c>
      <c r="I128" s="165"/>
      <c r="J128" s="328">
        <f>H128/DAY(B2)</f>
        <v>445.5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'27'!F129</f>
        <v>83430.899999999994</v>
      </c>
      <c r="F129" s="165">
        <v>83594.600000000006</v>
      </c>
      <c r="G129" s="112">
        <f t="shared" si="10"/>
        <v>163.70000000001164</v>
      </c>
      <c r="H129" s="99">
        <f>G129+'27'!H129</f>
        <v>5276.2000000000116</v>
      </c>
      <c r="I129" s="165"/>
      <c r="J129" s="328">
        <f>H129/DAY(B2)</f>
        <v>188.43571428571471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'27'!F130</f>
        <v>204620.15</v>
      </c>
      <c r="F130" s="165">
        <v>205193.19</v>
      </c>
      <c r="G130" s="112">
        <f t="shared" si="10"/>
        <v>573.04000000000815</v>
      </c>
      <c r="H130" s="99">
        <f>G130+'27'!H130</f>
        <v>19398.399999999994</v>
      </c>
      <c r="I130" s="165"/>
      <c r="J130" s="328">
        <f>H130/DAY(B2)</f>
        <v>692.79999999999984</v>
      </c>
      <c r="N130" s="240"/>
      <c r="O130" s="241"/>
    </row>
    <row r="131" spans="1:15" ht="25.5">
      <c r="A131" s="1266" t="s">
        <v>321</v>
      </c>
      <c r="B131" s="1267"/>
      <c r="C131" s="1268"/>
      <c r="D131" s="151" t="s">
        <v>183</v>
      </c>
      <c r="E131" s="95">
        <f>'27'!F131</f>
        <v>59649.36</v>
      </c>
      <c r="F131" s="165">
        <v>59868.56</v>
      </c>
      <c r="G131" s="112">
        <f t="shared" si="10"/>
        <v>219.19999999999709</v>
      </c>
      <c r="H131" s="99">
        <f>G131+'27'!H131</f>
        <v>6020.8600000000006</v>
      </c>
      <c r="I131" s="165"/>
      <c r="J131" s="328">
        <f>H131/DAY(B2)</f>
        <v>215.03071428571431</v>
      </c>
      <c r="N131" s="240"/>
      <c r="O131" s="241"/>
    </row>
    <row r="132" spans="1:15" ht="25.5">
      <c r="A132" s="1266" t="s">
        <v>322</v>
      </c>
      <c r="B132" s="1267"/>
      <c r="C132" s="1268"/>
      <c r="D132" s="151" t="s">
        <v>183</v>
      </c>
      <c r="E132" s="95">
        <f>'27'!F132</f>
        <v>146985</v>
      </c>
      <c r="F132" s="165">
        <v>146985</v>
      </c>
      <c r="G132" s="112">
        <f t="shared" si="10"/>
        <v>0</v>
      </c>
      <c r="H132" s="99">
        <f>G132+'27'!H132</f>
        <v>6455.7999999999884</v>
      </c>
      <c r="I132" s="165"/>
      <c r="J132" s="328">
        <f>H132/DAY(B2)</f>
        <v>230.56428571428529</v>
      </c>
    </row>
    <row r="133" spans="1:15" ht="25.5">
      <c r="A133" s="1266" t="s">
        <v>357</v>
      </c>
      <c r="B133" s="1267"/>
      <c r="C133" s="1268"/>
      <c r="D133" s="151" t="s">
        <v>183</v>
      </c>
      <c r="E133" s="95">
        <f>'27'!F133</f>
        <v>263297.67</v>
      </c>
      <c r="F133" s="165">
        <v>264152.93</v>
      </c>
      <c r="G133" s="112">
        <f t="shared" si="10"/>
        <v>855.26000000000931</v>
      </c>
      <c r="H133" s="99">
        <f>G133+'27'!H133</f>
        <v>24123.929999999993</v>
      </c>
      <c r="I133" s="165"/>
      <c r="J133" s="328">
        <f>H133/DAY(B2)</f>
        <v>861.56892857142827</v>
      </c>
    </row>
    <row r="134" spans="1:15" ht="25.5">
      <c r="A134" s="1266" t="s">
        <v>340</v>
      </c>
      <c r="B134" s="1267"/>
      <c r="C134" s="1268"/>
      <c r="D134" s="151" t="s">
        <v>183</v>
      </c>
      <c r="E134" s="95">
        <f>'27'!F134</f>
        <v>62899.98</v>
      </c>
      <c r="F134" s="158">
        <v>63158.2</v>
      </c>
      <c r="G134" s="112">
        <f t="shared" si="10"/>
        <v>258.21999999999389</v>
      </c>
      <c r="H134" s="99">
        <f>G134+'27'!H134</f>
        <v>7255.0499999999956</v>
      </c>
      <c r="I134" s="165"/>
      <c r="J134" s="328">
        <f>H134/DAY(B2)</f>
        <v>259.10892857142841</v>
      </c>
    </row>
    <row r="135" spans="1:15" ht="25.5">
      <c r="A135" s="1261" t="s">
        <v>196</v>
      </c>
      <c r="B135" s="1262"/>
      <c r="C135" s="331"/>
      <c r="D135" s="151"/>
      <c r="E135" s="95"/>
      <c r="F135" s="165"/>
      <c r="G135" s="112">
        <f>SUM(G128:G134)</f>
        <v>2527.1100000000224</v>
      </c>
      <c r="H135" s="99">
        <f>G135+'23'!H135</f>
        <v>30491.500000000044</v>
      </c>
      <c r="I135" s="327">
        <f>G135-(G35+G49)</f>
        <v>-1197.1499999999869</v>
      </c>
      <c r="J135" s="328">
        <f>H135/DAY(B2)</f>
        <v>1088.9821428571445</v>
      </c>
    </row>
    <row r="136" spans="1:15" ht="27.75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9" t="s">
        <v>185</v>
      </c>
      <c r="B138" s="1269"/>
      <c r="C138" s="1269"/>
      <c r="D138" s="151" t="s">
        <v>183</v>
      </c>
      <c r="E138" s="95">
        <f>'27'!F138</f>
        <v>897876</v>
      </c>
      <c r="F138" s="147">
        <v>897976</v>
      </c>
      <c r="G138" s="112">
        <f t="shared" ref="G138:G152" si="11">F138-E138</f>
        <v>100</v>
      </c>
      <c r="H138" s="99">
        <f>G138+'27'!H138</f>
        <v>3041</v>
      </c>
      <c r="I138" s="118"/>
      <c r="J138" s="328">
        <f>H138/DAY(B2)</f>
        <v>108.60714285714286</v>
      </c>
    </row>
    <row r="139" spans="1:15" ht="25.5">
      <c r="A139" s="1269" t="s">
        <v>186</v>
      </c>
      <c r="B139" s="1269"/>
      <c r="C139" s="1269"/>
      <c r="D139" s="151" t="s">
        <v>183</v>
      </c>
      <c r="E139" s="95">
        <f>'27'!F139</f>
        <v>917734</v>
      </c>
      <c r="F139" s="148">
        <v>917894</v>
      </c>
      <c r="G139" s="112">
        <f t="shared" si="11"/>
        <v>160</v>
      </c>
      <c r="H139" s="99">
        <f>G139+'27'!H139</f>
        <v>4295</v>
      </c>
      <c r="I139" s="118"/>
      <c r="J139" s="328">
        <f>H139/DAY(B2)</f>
        <v>153.39285714285714</v>
      </c>
    </row>
    <row r="140" spans="1:15" ht="25.5">
      <c r="A140" s="1269" t="s">
        <v>187</v>
      </c>
      <c r="B140" s="1269"/>
      <c r="C140" s="1269"/>
      <c r="D140" s="151" t="s">
        <v>183</v>
      </c>
      <c r="E140" s="95">
        <f>'27'!F140</f>
        <v>2308.61</v>
      </c>
      <c r="F140" s="149">
        <v>2319.3200000000002</v>
      </c>
      <c r="G140" s="112">
        <f t="shared" si="11"/>
        <v>10.710000000000036</v>
      </c>
      <c r="H140" s="99">
        <f>G140+'27'!H140</f>
        <v>811.56000000000017</v>
      </c>
      <c r="I140" s="118"/>
      <c r="J140" s="328">
        <f>H140/DAY(B2)</f>
        <v>28.984285714285722</v>
      </c>
    </row>
    <row r="141" spans="1:15" ht="25.5">
      <c r="A141" s="1256" t="s">
        <v>188</v>
      </c>
      <c r="B141" s="1256"/>
      <c r="C141" s="1256"/>
      <c r="D141" s="151" t="s">
        <v>183</v>
      </c>
      <c r="E141" s="95">
        <f>'27'!F141</f>
        <v>103056.23</v>
      </c>
      <c r="F141" s="149">
        <v>103292</v>
      </c>
      <c r="G141" s="112">
        <f t="shared" si="11"/>
        <v>235.77000000000407</v>
      </c>
      <c r="H141" s="99">
        <f>G141+'27'!H141</f>
        <v>6679</v>
      </c>
      <c r="I141" s="118"/>
      <c r="J141" s="328">
        <f>H141/DAY(B2)</f>
        <v>238.53571428571428</v>
      </c>
    </row>
    <row r="142" spans="1:15" ht="25.5">
      <c r="A142" s="1256" t="s">
        <v>189</v>
      </c>
      <c r="B142" s="1256"/>
      <c r="C142" s="1256"/>
      <c r="D142" s="151" t="s">
        <v>183</v>
      </c>
      <c r="E142" s="95">
        <f>'27'!F142</f>
        <v>41551.46</v>
      </c>
      <c r="F142" s="148">
        <v>41639.599999999999</v>
      </c>
      <c r="G142" s="112">
        <f t="shared" si="11"/>
        <v>88.139999999999418</v>
      </c>
      <c r="H142" s="99">
        <f>G142+'27'!H142</f>
        <v>2549.5999999999985</v>
      </c>
      <c r="I142" s="140"/>
      <c r="J142" s="328">
        <f>H142/DAY(B2)</f>
        <v>91.057142857142807</v>
      </c>
    </row>
    <row r="143" spans="1:15" ht="25.5">
      <c r="A143" s="1269" t="s">
        <v>91</v>
      </c>
      <c r="B143" s="1269"/>
      <c r="C143" s="1269"/>
      <c r="D143" s="151" t="s">
        <v>183</v>
      </c>
      <c r="E143" s="95">
        <f>'27'!F143</f>
        <v>10607.112999999999</v>
      </c>
      <c r="F143" s="149">
        <v>10633.6</v>
      </c>
      <c r="G143" s="112">
        <f t="shared" si="11"/>
        <v>26.48700000000099</v>
      </c>
      <c r="H143" s="99">
        <f>G143+'27'!H143</f>
        <v>780.60000000000036</v>
      </c>
      <c r="I143" s="140"/>
      <c r="J143" s="328">
        <f>H143/DAY(B2)</f>
        <v>27.878571428571441</v>
      </c>
    </row>
    <row r="144" spans="1:15" ht="25.5">
      <c r="A144" s="1256" t="s">
        <v>90</v>
      </c>
      <c r="B144" s="1256"/>
      <c r="C144" s="1256"/>
      <c r="D144" s="151" t="s">
        <v>183</v>
      </c>
      <c r="E144" s="95">
        <f>'27'!F144</f>
        <v>932819</v>
      </c>
      <c r="F144" s="148">
        <v>933045</v>
      </c>
      <c r="G144" s="112">
        <f t="shared" si="11"/>
        <v>226</v>
      </c>
      <c r="H144" s="99">
        <f>G144+'27'!H144</f>
        <v>6649</v>
      </c>
      <c r="I144" s="140"/>
      <c r="J144" s="328">
        <f>H144/DAY(B2)</f>
        <v>237.46428571428572</v>
      </c>
    </row>
    <row r="145" spans="1:10" ht="25.5">
      <c r="A145" s="1269" t="s">
        <v>190</v>
      </c>
      <c r="B145" s="1269"/>
      <c r="C145" s="1269"/>
      <c r="D145" s="152" t="s">
        <v>183</v>
      </c>
      <c r="E145" s="95">
        <f>'27'!F145</f>
        <v>12442.3</v>
      </c>
      <c r="F145" s="149">
        <v>12686</v>
      </c>
      <c r="G145" s="112">
        <f t="shared" si="11"/>
        <v>243.70000000000073</v>
      </c>
      <c r="H145" s="99">
        <f>G145+'27'!H145</f>
        <v>5451.8</v>
      </c>
      <c r="I145" s="140"/>
      <c r="J145" s="328">
        <f>H145/DAY(B2)</f>
        <v>194.70714285714286</v>
      </c>
    </row>
    <row r="146" spans="1:10" ht="25.5">
      <c r="A146" s="1332" t="s">
        <v>191</v>
      </c>
      <c r="B146" s="1289"/>
      <c r="C146" s="1290"/>
      <c r="D146" s="152" t="s">
        <v>183</v>
      </c>
      <c r="E146" s="95">
        <f>'27'!F146</f>
        <v>784184</v>
      </c>
      <c r="F146" s="148">
        <v>784234</v>
      </c>
      <c r="G146" s="112">
        <f t="shared" si="11"/>
        <v>50</v>
      </c>
      <c r="H146" s="99">
        <f>G146+'27'!H146</f>
        <v>1426</v>
      </c>
      <c r="I146" s="140"/>
      <c r="J146" s="328">
        <f>H146/DAY(B2)</f>
        <v>50.928571428571431</v>
      </c>
    </row>
    <row r="147" spans="1:10" ht="25.5">
      <c r="A147" s="1256" t="s">
        <v>192</v>
      </c>
      <c r="B147" s="1256"/>
      <c r="C147" s="1256"/>
      <c r="D147" s="152" t="s">
        <v>183</v>
      </c>
      <c r="E147" s="95">
        <f>'27'!F147</f>
        <v>722412.8</v>
      </c>
      <c r="F147" s="623">
        <v>722816.88</v>
      </c>
      <c r="G147" s="112">
        <f t="shared" si="11"/>
        <v>404.07999999995809</v>
      </c>
      <c r="H147" s="99">
        <f>G147+'27'!H147</f>
        <v>11145.339999999967</v>
      </c>
      <c r="I147" s="140"/>
      <c r="J147" s="328">
        <f>H147/DAY(B2)</f>
        <v>398.047857142856</v>
      </c>
    </row>
    <row r="148" spans="1:10" ht="25.5">
      <c r="A148" s="1257" t="s">
        <v>193</v>
      </c>
      <c r="B148" s="1258"/>
      <c r="C148" s="1259"/>
      <c r="D148" s="123" t="s">
        <v>130</v>
      </c>
      <c r="E148" s="95">
        <f>'27'!F148</f>
        <v>765783.6</v>
      </c>
      <c r="F148" s="150">
        <v>766081.84</v>
      </c>
      <c r="G148" s="112">
        <f t="shared" si="11"/>
        <v>298.23999999999069</v>
      </c>
      <c r="H148" s="99">
        <f>G148+'27'!H148</f>
        <v>8131.359999999986</v>
      </c>
      <c r="I148" s="124"/>
      <c r="J148" s="328">
        <f>H148/DAY(B2)</f>
        <v>290.40571428571377</v>
      </c>
    </row>
    <row r="149" spans="1:10" ht="25.5">
      <c r="A149" s="1257" t="s">
        <v>336</v>
      </c>
      <c r="B149" s="1258"/>
      <c r="C149" s="1259"/>
      <c r="D149" s="227" t="s">
        <v>130</v>
      </c>
      <c r="E149" s="95">
        <f>'27'!F149</f>
        <v>156723.07</v>
      </c>
      <c r="F149" s="146">
        <v>157136.4</v>
      </c>
      <c r="G149" s="112">
        <f t="shared" si="11"/>
        <v>413.32999999998719</v>
      </c>
      <c r="H149" s="99">
        <f>G149+'27'!H149</f>
        <v>11339.720000000001</v>
      </c>
      <c r="I149" s="119"/>
      <c r="J149" s="328">
        <f>H149/DAY(B2)</f>
        <v>404.99000000000007</v>
      </c>
    </row>
    <row r="150" spans="1:10" ht="25.5">
      <c r="A150" s="1257" t="s">
        <v>337</v>
      </c>
      <c r="B150" s="1258"/>
      <c r="C150" s="1259"/>
      <c r="D150" s="117" t="s">
        <v>130</v>
      </c>
      <c r="E150" s="95">
        <f>'27'!F150</f>
        <v>63315.67</v>
      </c>
      <c r="F150" s="233">
        <v>63535</v>
      </c>
      <c r="G150" s="112">
        <f t="shared" si="11"/>
        <v>219.33000000000175</v>
      </c>
      <c r="H150" s="99">
        <f>G150+'27'!H150</f>
        <v>6319.9000000000015</v>
      </c>
      <c r="I150" s="119"/>
      <c r="J150" s="328">
        <f>H150/DAY(B2)</f>
        <v>225.71071428571435</v>
      </c>
    </row>
    <row r="151" spans="1:10" ht="25.5">
      <c r="A151" s="1257" t="s">
        <v>338</v>
      </c>
      <c r="B151" s="1258"/>
      <c r="C151" s="1259"/>
      <c r="D151" s="117" t="s">
        <v>130</v>
      </c>
      <c r="E151" s="95">
        <f>'27'!F151</f>
        <v>149617</v>
      </c>
      <c r="F151" s="233">
        <v>149698</v>
      </c>
      <c r="G151" s="112">
        <f t="shared" si="11"/>
        <v>81</v>
      </c>
      <c r="H151" s="99">
        <f>G151+'27'!H151</f>
        <v>6484</v>
      </c>
      <c r="I151" s="119"/>
      <c r="J151" s="328">
        <f>H151/DAY(B2)</f>
        <v>231.57142857142858</v>
      </c>
    </row>
    <row r="152" spans="1:10" ht="25.5">
      <c r="A152" s="1257" t="s">
        <v>339</v>
      </c>
      <c r="B152" s="1258"/>
      <c r="C152" s="1259"/>
      <c r="D152" s="117" t="s">
        <v>130</v>
      </c>
      <c r="E152" s="95">
        <f>'27'!F152</f>
        <v>30231</v>
      </c>
      <c r="F152" s="233">
        <v>30360.53</v>
      </c>
      <c r="G152" s="112">
        <f t="shared" si="11"/>
        <v>129.52999999999884</v>
      </c>
      <c r="H152" s="99">
        <f>G152+'27'!H152</f>
        <v>3619.6299999999974</v>
      </c>
      <c r="I152" s="119"/>
      <c r="J152" s="328">
        <f>H152/DAY(B2)</f>
        <v>129.27249999999989</v>
      </c>
    </row>
    <row r="153" spans="1:10" ht="25.5">
      <c r="A153" s="1261" t="s">
        <v>196</v>
      </c>
      <c r="B153" s="1262"/>
      <c r="C153" s="362"/>
      <c r="D153" s="355"/>
      <c r="E153" s="357"/>
      <c r="F153" s="358"/>
      <c r="G153" s="359">
        <f>SUM(G138:G152)</f>
        <v>2686.3169999999418</v>
      </c>
      <c r="H153" s="360"/>
      <c r="I153" s="119">
        <f>G153-(G38+G52)</f>
        <v>490.27699999990455</v>
      </c>
      <c r="J153" s="363"/>
    </row>
    <row r="154" spans="1:10" ht="27.75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0" ht="27.75">
      <c r="A155" s="1256" t="s">
        <v>345</v>
      </c>
      <c r="B155" s="1256"/>
      <c r="C155" s="1256"/>
      <c r="D155" s="117" t="s">
        <v>130</v>
      </c>
      <c r="E155" s="498">
        <f>'27'!F155</f>
        <v>184032</v>
      </c>
      <c r="F155" s="624">
        <v>184360</v>
      </c>
      <c r="G155" s="112">
        <f t="shared" ref="G155:G158" si="12">F155-E155</f>
        <v>328</v>
      </c>
      <c r="H155" s="99">
        <f>G155+'27'!H155</f>
        <v>17683</v>
      </c>
      <c r="I155" s="361"/>
      <c r="J155" s="328">
        <f>H155/DAY(B2)</f>
        <v>631.53571428571433</v>
      </c>
    </row>
    <row r="156" spans="1:10" ht="25.5">
      <c r="A156" s="1256" t="s">
        <v>347</v>
      </c>
      <c r="B156" s="1256"/>
      <c r="C156" s="1256"/>
      <c r="D156" s="117" t="s">
        <v>130</v>
      </c>
      <c r="E156" s="95">
        <f>'27'!F156</f>
        <v>20467.97</v>
      </c>
      <c r="F156" s="157">
        <v>20559.97</v>
      </c>
      <c r="G156" s="112">
        <f t="shared" si="12"/>
        <v>92</v>
      </c>
      <c r="H156" s="99">
        <f>G156+'27'!H156</f>
        <v>6057.9700000000012</v>
      </c>
      <c r="I156" s="165"/>
      <c r="J156" s="328">
        <f>H156/DAY(B2)</f>
        <v>216.35607142857148</v>
      </c>
    </row>
    <row r="157" spans="1:10" ht="25.5">
      <c r="A157" s="1257" t="s">
        <v>358</v>
      </c>
      <c r="B157" s="1258"/>
      <c r="C157" s="1259"/>
      <c r="D157" s="117" t="s">
        <v>130</v>
      </c>
      <c r="E157" s="95">
        <f>'27'!F157</f>
        <v>35662.949999999997</v>
      </c>
      <c r="F157" s="157">
        <v>35824.800000000003</v>
      </c>
      <c r="G157" s="112">
        <f t="shared" si="12"/>
        <v>161.85000000000582</v>
      </c>
      <c r="H157" s="99"/>
      <c r="I157" s="165"/>
      <c r="J157" s="328"/>
    </row>
    <row r="158" spans="1:10" ht="25.5">
      <c r="A158" s="1257" t="s">
        <v>359</v>
      </c>
      <c r="B158" s="1258"/>
      <c r="C158" s="1259"/>
      <c r="D158" s="117" t="s">
        <v>130</v>
      </c>
      <c r="E158" s="95">
        <f>'27'!F158</f>
        <v>412.74</v>
      </c>
      <c r="F158" s="155">
        <v>412.7</v>
      </c>
      <c r="G158" s="112">
        <f t="shared" si="12"/>
        <v>-4.0000000000020464E-2</v>
      </c>
      <c r="H158" s="99"/>
      <c r="I158" s="165"/>
      <c r="J158" s="328"/>
    </row>
    <row r="159" spans="1:10" ht="25.5">
      <c r="A159" s="1263"/>
      <c r="B159" s="1264"/>
      <c r="C159" s="1265"/>
      <c r="D159" s="117"/>
      <c r="E159" s="95"/>
      <c r="F159" s="165"/>
      <c r="G159" s="112"/>
      <c r="H159" s="99"/>
      <c r="I159" s="165"/>
      <c r="J159" s="328"/>
    </row>
    <row r="160" spans="1:10" ht="27.75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26.25">
      <c r="A161" s="242" t="s">
        <v>92</v>
      </c>
      <c r="B161" s="243"/>
      <c r="C161" s="243"/>
      <c r="D161" s="244" t="s">
        <v>180</v>
      </c>
      <c r="E161" s="95">
        <f>'27'!F161</f>
        <v>487580.8</v>
      </c>
      <c r="F161" s="235">
        <v>487766.04</v>
      </c>
      <c r="G161" s="238">
        <f t="shared" ref="G161:G165" si="13">F161-E161</f>
        <v>185.23999999999069</v>
      </c>
      <c r="H161" s="99">
        <f>G161+'27'!H161</f>
        <v>2202.320000000007</v>
      </c>
      <c r="I161" s="236"/>
      <c r="J161" s="239">
        <f>H161/DAY(B2)</f>
        <v>78.654285714285962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'27'!F162</f>
        <v>97144</v>
      </c>
      <c r="F162" s="235">
        <v>97191.9</v>
      </c>
      <c r="G162" s="238">
        <f t="shared" si="13"/>
        <v>47.899999999994179</v>
      </c>
      <c r="H162" s="99">
        <f>G162+'27'!H162</f>
        <v>1070.8999999999942</v>
      </c>
      <c r="I162" s="236"/>
      <c r="J162" s="239">
        <f>H162/DAY(B2)</f>
        <v>38.24642857142836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'27'!F163</f>
        <v>13721.1</v>
      </c>
      <c r="F163" s="235">
        <v>13869</v>
      </c>
      <c r="G163" s="238">
        <f t="shared" si="13"/>
        <v>147.89999999999964</v>
      </c>
      <c r="H163" s="99">
        <f>G163+'27'!H163</f>
        <v>3743.3999999999996</v>
      </c>
      <c r="I163" s="236"/>
      <c r="J163" s="239">
        <f>H163/DAY(B2)</f>
        <v>133.69285714285712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'27'!F164</f>
        <v>6581.7</v>
      </c>
      <c r="F164" s="235">
        <v>6589.8</v>
      </c>
      <c r="G164" s="238">
        <f t="shared" si="13"/>
        <v>8.1000000000003638</v>
      </c>
      <c r="H164" s="99">
        <f>G164+'27'!H164</f>
        <v>169.69999999999982</v>
      </c>
      <c r="I164" s="236"/>
      <c r="J164" s="239">
        <f>H164/DAY(B2)</f>
        <v>6.0607142857142788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'27'!F165</f>
        <v>32115.22</v>
      </c>
      <c r="F165" s="235">
        <v>32123</v>
      </c>
      <c r="G165" s="238">
        <f t="shared" si="13"/>
        <v>7.7799999999988358</v>
      </c>
      <c r="H165" s="99">
        <f>G165+'27'!H165</f>
        <v>261.81000000000131</v>
      </c>
      <c r="I165" s="236"/>
      <c r="J165" s="239">
        <f>H165/DAY(B2)</f>
        <v>9.3503571428571899</v>
      </c>
    </row>
    <row r="166" spans="1:10" ht="26.25">
      <c r="A166" s="1274"/>
      <c r="B166" s="1274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6.25">
      <c r="A167" s="1274"/>
      <c r="B167" s="1274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6.25">
      <c r="A168" s="1274"/>
      <c r="B168" s="1274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5.5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54" t="s">
        <v>209</v>
      </c>
      <c r="B173" s="1255"/>
      <c r="C173" s="333"/>
      <c r="D173" s="228" t="s">
        <v>142</v>
      </c>
      <c r="E173" s="95">
        <f>'27'!F173</f>
        <v>8576</v>
      </c>
      <c r="F173" s="155">
        <v>8577</v>
      </c>
      <c r="G173" s="155">
        <f>F173-E173</f>
        <v>1</v>
      </c>
      <c r="H173" s="99">
        <f>G173+'27'!H173</f>
        <v>39</v>
      </c>
      <c r="I173" s="155"/>
      <c r="J173" s="178">
        <f>H173/DAY(B2)</f>
        <v>1.3928571428571428</v>
      </c>
    </row>
    <row r="174" spans="1:10" ht="25.5">
      <c r="A174" s="1254" t="s">
        <v>75</v>
      </c>
      <c r="B174" s="1255"/>
      <c r="C174" s="333"/>
      <c r="D174" s="228" t="s">
        <v>142</v>
      </c>
      <c r="E174" s="95">
        <f>'27'!F174</f>
        <v>41922</v>
      </c>
      <c r="F174" s="157">
        <v>41938</v>
      </c>
      <c r="G174" s="155">
        <f t="shared" ref="G174:G175" si="14">F174-E174</f>
        <v>16</v>
      </c>
      <c r="H174" s="99">
        <f>G174+'27'!H174</f>
        <v>344</v>
      </c>
      <c r="I174" s="155"/>
      <c r="J174" s="178">
        <f>H174/DAY(B2)</f>
        <v>12.285714285714286</v>
      </c>
    </row>
    <row r="175" spans="1:10" ht="25.5">
      <c r="A175" s="1254" t="s">
        <v>76</v>
      </c>
      <c r="B175" s="1324"/>
      <c r="C175" s="1255"/>
      <c r="D175" s="228" t="s">
        <v>142</v>
      </c>
      <c r="E175" s="95">
        <f>'27'!F175</f>
        <v>24662</v>
      </c>
      <c r="F175" s="155">
        <v>24672</v>
      </c>
      <c r="G175" s="155">
        <f t="shared" si="14"/>
        <v>10</v>
      </c>
      <c r="H175" s="99">
        <f>G175+'27'!H175</f>
        <v>319</v>
      </c>
      <c r="I175" s="155"/>
      <c r="J175" s="178">
        <f>H175/DAY(B2)</f>
        <v>11.392857142857142</v>
      </c>
    </row>
    <row r="176" spans="1:10" ht="25.5">
      <c r="A176" s="1261" t="s">
        <v>196</v>
      </c>
      <c r="B176" s="1262"/>
      <c r="C176" s="384"/>
      <c r="D176" s="228" t="s">
        <v>142</v>
      </c>
      <c r="E176" s="95"/>
      <c r="F176" s="155"/>
      <c r="G176" s="155">
        <f>SUM(G173:G175)</f>
        <v>27</v>
      </c>
      <c r="H176" s="99">
        <f>G176+'27'!H176</f>
        <v>702</v>
      </c>
      <c r="I176" s="155"/>
      <c r="J176" s="178">
        <f>H176/DAY(B2)</f>
        <v>25.071428571428573</v>
      </c>
    </row>
    <row r="177" spans="1:10" ht="25.5">
      <c r="A177" s="1254" t="s">
        <v>77</v>
      </c>
      <c r="B177" s="1255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5.5">
      <c r="A178" s="1254" t="s">
        <v>210</v>
      </c>
      <c r="B178" s="1255"/>
      <c r="C178" s="333"/>
      <c r="D178" s="228" t="s">
        <v>142</v>
      </c>
      <c r="E178" s="95">
        <f>'27'!F178</f>
        <v>102114</v>
      </c>
      <c r="F178" s="155">
        <v>102114</v>
      </c>
      <c r="G178" s="155">
        <f>F178-E178</f>
        <v>0</v>
      </c>
      <c r="H178" s="99">
        <f>G178+'27'!H178</f>
        <v>2139</v>
      </c>
      <c r="I178" s="155"/>
      <c r="J178" s="178">
        <f>H178/DAY(B2)</f>
        <v>76.392857142857139</v>
      </c>
    </row>
    <row r="179" spans="1:10" ht="25.5">
      <c r="A179" s="1254" t="s">
        <v>211</v>
      </c>
      <c r="B179" s="1255"/>
      <c r="C179" s="333"/>
      <c r="D179" s="228" t="s">
        <v>142</v>
      </c>
      <c r="E179" s="95">
        <f>'27'!F179</f>
        <v>37501</v>
      </c>
      <c r="F179" s="155">
        <v>37501</v>
      </c>
      <c r="G179" s="155">
        <f t="shared" ref="G179:G180" si="15">F179-E179</f>
        <v>0</v>
      </c>
      <c r="H179" s="99">
        <f>G179+'27'!H179</f>
        <v>252</v>
      </c>
      <c r="I179" s="155"/>
      <c r="J179" s="178">
        <f>H179/DAY(B2)</f>
        <v>9</v>
      </c>
    </row>
    <row r="180" spans="1:10" ht="25.5">
      <c r="A180" s="1254" t="s">
        <v>212</v>
      </c>
      <c r="B180" s="1255"/>
      <c r="C180" s="333"/>
      <c r="D180" s="228" t="s">
        <v>142</v>
      </c>
      <c r="E180" s="95">
        <f>'27'!F180</f>
        <v>7231</v>
      </c>
      <c r="F180" s="155">
        <v>7231</v>
      </c>
      <c r="G180" s="155">
        <f t="shared" si="15"/>
        <v>0</v>
      </c>
      <c r="H180" s="99">
        <f>G180+'27'!H180</f>
        <v>235</v>
      </c>
      <c r="I180" s="155"/>
      <c r="J180" s="178">
        <f>H180/DAY(B2)</f>
        <v>8.3928571428571423</v>
      </c>
    </row>
    <row r="181" spans="1:10" ht="25.5">
      <c r="A181" s="1325" t="s">
        <v>108</v>
      </c>
      <c r="B181" s="1326"/>
      <c r="C181" s="384"/>
      <c r="D181" s="228" t="s">
        <v>142</v>
      </c>
      <c r="E181" s="95"/>
      <c r="F181" s="155"/>
      <c r="G181" s="155">
        <f>SUM(G178:G180)</f>
        <v>0</v>
      </c>
      <c r="H181" s="99">
        <f>G181+'27'!H181</f>
        <v>2626</v>
      </c>
      <c r="I181" s="155"/>
      <c r="J181" s="178">
        <f>H181/DAY(B2)</f>
        <v>93.785714285714292</v>
      </c>
    </row>
    <row r="182" spans="1:10" ht="25.5">
      <c r="A182" s="1254" t="s">
        <v>213</v>
      </c>
      <c r="B182" s="1255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5.5">
      <c r="A183" s="1254" t="s">
        <v>214</v>
      </c>
      <c r="B183" s="1255"/>
      <c r="C183" s="334"/>
      <c r="D183" s="228" t="s">
        <v>142</v>
      </c>
      <c r="E183" s="95">
        <f>'27'!F183</f>
        <v>17839</v>
      </c>
      <c r="F183" s="157">
        <v>17842</v>
      </c>
      <c r="G183" s="157">
        <f>F183-E183</f>
        <v>3</v>
      </c>
      <c r="H183" s="99">
        <f>G183+'27'!H183</f>
        <v>165</v>
      </c>
      <c r="I183" s="155"/>
      <c r="J183" s="178">
        <f>H183/DAY(B2)</f>
        <v>5.8928571428571432</v>
      </c>
    </row>
    <row r="184" spans="1:10" ht="25.5">
      <c r="A184" s="1254" t="s">
        <v>215</v>
      </c>
      <c r="B184" s="1255"/>
      <c r="C184" s="334"/>
      <c r="D184" s="228" t="s">
        <v>142</v>
      </c>
      <c r="E184" s="95">
        <f>'27'!F184</f>
        <v>12325</v>
      </c>
      <c r="F184" s="157">
        <v>12337</v>
      </c>
      <c r="G184" s="157">
        <f t="shared" ref="G184:G185" si="16">F184-E184</f>
        <v>12</v>
      </c>
      <c r="H184" s="99">
        <f>G184+'27'!H184</f>
        <v>190</v>
      </c>
      <c r="I184" s="155"/>
      <c r="J184" s="178">
        <f>H184/DAY(B2)</f>
        <v>6.7857142857142856</v>
      </c>
    </row>
    <row r="185" spans="1:10" ht="25.5">
      <c r="A185" s="1254" t="s">
        <v>216</v>
      </c>
      <c r="B185" s="1255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12106</v>
      </c>
      <c r="I185" s="155"/>
      <c r="J185" s="178">
        <f>H185/DAY(B2)</f>
        <v>432.35714285714283</v>
      </c>
    </row>
    <row r="186" spans="1:10" ht="25.5">
      <c r="A186" s="1261" t="s">
        <v>196</v>
      </c>
      <c r="B186" s="1262"/>
      <c r="C186" s="383"/>
      <c r="D186" s="228" t="s">
        <v>142</v>
      </c>
      <c r="E186" s="95"/>
      <c r="F186" s="157"/>
      <c r="G186" s="157">
        <f>SUM(G183:G185)</f>
        <v>15</v>
      </c>
      <c r="H186" s="99">
        <f>G186+'27'!H186</f>
        <v>12461</v>
      </c>
      <c r="I186" s="157"/>
      <c r="J186" s="178">
        <f>H186/DAY(B2)</f>
        <v>445.03571428571428</v>
      </c>
    </row>
    <row r="187" spans="1:10" ht="25.5">
      <c r="A187" s="1250" t="s">
        <v>217</v>
      </c>
      <c r="B187" s="1251"/>
      <c r="C187" s="333"/>
      <c r="D187" s="230" t="s">
        <v>142</v>
      </c>
      <c r="E187" s="95">
        <f>'27'!F187</f>
        <v>0</v>
      </c>
      <c r="F187" s="159"/>
      <c r="G187" s="367">
        <f>G62+G19</f>
        <v>155</v>
      </c>
      <c r="H187" s="99">
        <f>G187+'27'!H187</f>
        <v>3852</v>
      </c>
      <c r="I187" s="158"/>
      <c r="J187" s="179">
        <f>H187/DAY(B2)</f>
        <v>137.57142857142858</v>
      </c>
    </row>
    <row r="188" spans="1:10" ht="25.5">
      <c r="A188" s="1250" t="s">
        <v>218</v>
      </c>
      <c r="B188" s="1251"/>
      <c r="C188" s="333"/>
      <c r="D188" s="230" t="s">
        <v>142</v>
      </c>
      <c r="E188" s="95">
        <f>'27'!F188</f>
        <v>0</v>
      </c>
      <c r="F188" s="159"/>
      <c r="G188" s="367">
        <f>G65+G66+G67+G69+G70</f>
        <v>149</v>
      </c>
      <c r="H188" s="99">
        <f>G188+'27'!H188</f>
        <v>1991</v>
      </c>
      <c r="I188" s="158"/>
      <c r="J188" s="179">
        <f>H188/DAY(B2)</f>
        <v>71.107142857142861</v>
      </c>
    </row>
    <row r="189" spans="1:10" ht="25.5">
      <c r="A189" s="1250" t="s">
        <v>219</v>
      </c>
      <c r="B189" s="1251"/>
      <c r="C189" s="333"/>
      <c r="D189" s="230" t="s">
        <v>142</v>
      </c>
      <c r="E189" s="95">
        <f>'27'!F189</f>
        <v>0</v>
      </c>
      <c r="F189" s="157"/>
      <c r="G189" s="366">
        <f>G181</f>
        <v>0</v>
      </c>
      <c r="H189" s="99">
        <f>G189+'27'!H189</f>
        <v>670</v>
      </c>
      <c r="I189" s="158"/>
      <c r="J189" s="179">
        <f>H189/DAY(B2)</f>
        <v>23.928571428571427</v>
      </c>
    </row>
    <row r="190" spans="1:10" ht="25.5">
      <c r="A190" s="1252"/>
      <c r="B190" s="1253"/>
      <c r="C190" s="382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zoomScale="55" zoomScaleNormal="78" zoomScaleSheetLayoutView="55" workbookViewId="0">
      <selection activeCell="F27" sqref="F27:F3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3.25">
      <c r="A2" s="191" t="s">
        <v>374</v>
      </c>
      <c r="B2" s="262">
        <v>44833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828800</v>
      </c>
      <c r="F7" s="95">
        <v>855574</v>
      </c>
      <c r="G7" s="112">
        <f>F7-E7</f>
        <v>26774</v>
      </c>
      <c r="H7" s="99">
        <f>G7+'28'!H7</f>
        <v>732348</v>
      </c>
      <c r="I7" s="113">
        <f>'1'!I7</f>
        <v>12000</v>
      </c>
      <c r="J7" s="175">
        <f>H7/DAY(B2)</f>
        <v>25253.379310344826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995801</v>
      </c>
      <c r="F8" s="389">
        <v>1022852</v>
      </c>
      <c r="G8" s="115">
        <f>F8-E8</f>
        <v>27051</v>
      </c>
      <c r="H8" s="99">
        <f>G8+'28'!H8</f>
        <v>740306</v>
      </c>
      <c r="I8" s="116"/>
      <c r="J8" s="175">
        <f>H8/DAY(B2)</f>
        <v>25527.793103448275</v>
      </c>
      <c r="K8" s="172">
        <v>1715917</v>
      </c>
      <c r="L8" s="76">
        <v>1728480</v>
      </c>
      <c r="M8" s="87">
        <f>L8-K8</f>
        <v>12563</v>
      </c>
      <c r="N8" s="87">
        <f>F8-'1'!E8</f>
        <v>973472</v>
      </c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3689709.9</v>
      </c>
      <c r="F9" s="447">
        <v>3700823.5</v>
      </c>
      <c r="G9" s="112">
        <f>F9-E9</f>
        <v>11113.600000000093</v>
      </c>
      <c r="H9" s="99">
        <f>G9+'28'!H9</f>
        <v>210454.79999999981</v>
      </c>
      <c r="I9" s="124">
        <f>I7-J7</f>
        <v>-13253.379310344826</v>
      </c>
      <c r="J9" s="175">
        <f>H9/DAY(B2)</f>
        <v>7257.0620689655107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2708122.7</v>
      </c>
      <c r="F10" s="353">
        <v>2723118.7</v>
      </c>
      <c r="G10" s="112">
        <f t="shared" ref="G10:G12" si="0">F10-E10</f>
        <v>14996</v>
      </c>
      <c r="H10" s="99">
        <f>G10+'28'!H10</f>
        <v>502321.40000000037</v>
      </c>
      <c r="I10" s="282"/>
      <c r="J10" s="175">
        <f>H10/DAY(B2)</f>
        <v>17321.427586206908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37560</v>
      </c>
      <c r="F11" s="95">
        <v>37560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40380</v>
      </c>
      <c r="F12" s="117">
        <v>40380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26109.600000000093</v>
      </c>
      <c r="H13" s="99">
        <f>G13+'28'!H13</f>
        <v>715760.39999999991</v>
      </c>
      <c r="I13" s="120">
        <f>G7-G13</f>
        <v>664.39999999990687</v>
      </c>
      <c r="J13" s="175">
        <f>H13/DAY(B2)</f>
        <v>24681.393103448274</v>
      </c>
      <c r="K13" s="79"/>
      <c r="L13" s="66"/>
      <c r="N13" s="87"/>
      <c r="O13" s="71"/>
    </row>
    <row r="14" spans="1:15" ht="26.25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95">
        <f>'28'!F15</f>
        <v>2159466</v>
      </c>
      <c r="F15" s="447">
        <v>2160494.2999999998</v>
      </c>
      <c r="G15" s="112">
        <f>(F15-E15)</f>
        <v>1028.2999999998137</v>
      </c>
      <c r="H15" s="99">
        <f>G15+'28'!H15</f>
        <v>28660.699999999721</v>
      </c>
      <c r="I15" s="113">
        <f>'1'!I15</f>
        <v>800</v>
      </c>
      <c r="J15" s="175">
        <f>H15/DAY(B2)</f>
        <v>988.2999999999904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-188.2999999999904</v>
      </c>
      <c r="J16" s="176"/>
      <c r="K16" s="79"/>
      <c r="L16" s="66"/>
      <c r="N16" s="87"/>
      <c r="O16" s="71"/>
    </row>
    <row r="17" spans="1:15" ht="26.25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81" t="s">
        <v>141</v>
      </c>
      <c r="B18" s="1282"/>
      <c r="C18" s="1283"/>
      <c r="D18" s="151" t="s">
        <v>142</v>
      </c>
      <c r="E18" s="95">
        <f>'28'!F18</f>
        <v>20</v>
      </c>
      <c r="F18" s="122">
        <v>27</v>
      </c>
      <c r="G18" s="119">
        <f>F18*10</f>
        <v>270</v>
      </c>
      <c r="H18" s="99">
        <f>G18+'28'!H18</f>
        <v>5070</v>
      </c>
      <c r="I18" s="113">
        <f>'1'!I18</f>
        <v>65</v>
      </c>
      <c r="J18" s="175">
        <f>H18/DAY(B2)</f>
        <v>174.82758620689654</v>
      </c>
      <c r="K18" s="79"/>
      <c r="L18" s="66"/>
      <c r="N18" s="87">
        <f>2+2+1+1+1+1+1+1+1+2+2+2+2+2+2+2+2</f>
        <v>27</v>
      </c>
      <c r="O18" s="71"/>
    </row>
    <row r="19" spans="1:15" ht="25.5">
      <c r="A19" s="1281" t="s">
        <v>69</v>
      </c>
      <c r="B19" s="1282"/>
      <c r="C19" s="1283"/>
      <c r="D19" s="151" t="s">
        <v>142</v>
      </c>
      <c r="E19" s="95">
        <f>'28'!F19</f>
        <v>165341</v>
      </c>
      <c r="F19" s="122">
        <v>165391</v>
      </c>
      <c r="G19" s="112">
        <f t="shared" ref="G19" si="1">F19-E19</f>
        <v>50</v>
      </c>
      <c r="H19" s="99">
        <f>G19+'28'!H19</f>
        <v>1498</v>
      </c>
      <c r="I19" s="335"/>
      <c r="J19" s="175">
        <f>H19/DAY(B2)</f>
        <v>51.655172413793103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320</v>
      </c>
      <c r="H20" s="99">
        <f>G20+'28'!H20</f>
        <v>6568</v>
      </c>
      <c r="I20" s="336">
        <f>I18-J20</f>
        <v>-161.48275862068965</v>
      </c>
      <c r="J20" s="175">
        <f>H20/DAY(B2)</f>
        <v>226.48275862068965</v>
      </c>
      <c r="K20" s="79"/>
      <c r="L20" s="66"/>
      <c r="N20" s="87"/>
      <c r="O20" s="71"/>
    </row>
    <row r="21" spans="1:15" ht="26.25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27051</v>
      </c>
      <c r="F27" s="136">
        <v>10</v>
      </c>
      <c r="G27" s="137">
        <f>E27*F27</f>
        <v>270510</v>
      </c>
      <c r="H27" s="99">
        <f>G27+'28'!H27</f>
        <v>6763714.1699999999</v>
      </c>
      <c r="I27" s="138"/>
      <c r="J27" s="175">
        <f>H27/DAY(B2)</f>
        <v>233231.52310344827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1028.2999999998137</v>
      </c>
      <c r="F28" s="136">
        <v>75</v>
      </c>
      <c r="G28" s="137">
        <f>E28*F28</f>
        <v>77122.49999998603</v>
      </c>
      <c r="H28" s="99">
        <f>G28+'28'!H28</f>
        <v>2026275.5999999796</v>
      </c>
      <c r="I28" s="140"/>
      <c r="J28" s="175">
        <f>H28/DAY(B2)</f>
        <v>69871.572413792397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G30+'28'!H30</f>
        <v>226198</v>
      </c>
      <c r="I30" s="140"/>
      <c r="J30" s="175">
        <f>H30/DAY(B2)</f>
        <v>7799.9310344827591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85</v>
      </c>
      <c r="G31" s="137">
        <f>E31*F31</f>
        <v>22950</v>
      </c>
      <c r="H31" s="99">
        <f>G31+'28'!H31</f>
        <v>410350</v>
      </c>
      <c r="I31" s="140"/>
      <c r="J31" s="175">
        <f>H31/DAY(B2)</f>
        <v>14150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378132.49999998603</v>
      </c>
      <c r="H32" s="99">
        <f>G32+'28'!H32</f>
        <v>9426537.7699999809</v>
      </c>
      <c r="I32" s="144"/>
      <c r="J32" s="175">
        <f>H32/DAY(B2)</f>
        <v>325053.02655172348</v>
      </c>
      <c r="K32" s="63"/>
      <c r="L32" s="89"/>
      <c r="N32" s="87"/>
      <c r="O32" s="71"/>
    </row>
    <row r="33" spans="1:15" ht="25.5" customHeight="1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'28'!F35</f>
        <v>238713.05</v>
      </c>
      <c r="F35" s="145">
        <v>238713.05</v>
      </c>
      <c r="G35" s="112">
        <f t="shared" ref="G35:G46" si="3">F35-E35</f>
        <v>0</v>
      </c>
      <c r="H35" s="99">
        <f>G35+'28'!H35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'28'!F36</f>
        <v>267583.81</v>
      </c>
      <c r="F36" s="145">
        <v>268699.07</v>
      </c>
      <c r="G36" s="112">
        <f t="shared" si="3"/>
        <v>1115.2600000000093</v>
      </c>
      <c r="H36" s="99">
        <f>G36+'28'!H36</f>
        <v>26882.020000000019</v>
      </c>
      <c r="I36" s="95"/>
      <c r="J36" s="175">
        <f>H36/DAY(B2)</f>
        <v>926.96620689655242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'28'!F37</f>
        <v>322998.69</v>
      </c>
      <c r="F37" s="145">
        <v>322998.69</v>
      </c>
      <c r="G37" s="112">
        <f t="shared" si="3"/>
        <v>0</v>
      </c>
      <c r="H37" s="99">
        <f>G37+'28'!H37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'28'!F38</f>
        <v>589263.63</v>
      </c>
      <c r="F38" s="108">
        <v>591447.63</v>
      </c>
      <c r="G38" s="112">
        <f t="shared" si="3"/>
        <v>2184</v>
      </c>
      <c r="H38" s="99">
        <f>G38+'28'!H38</f>
        <v>65692.13</v>
      </c>
      <c r="I38" s="95"/>
      <c r="J38" s="175">
        <f>H38/DAY(B2)</f>
        <v>2265.2458620689658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'28'!F39</f>
        <v>591584.18999999994</v>
      </c>
      <c r="F39" s="145">
        <v>591584</v>
      </c>
      <c r="G39" s="112">
        <f t="shared" si="3"/>
        <v>-0.18999999994412065</v>
      </c>
      <c r="H39" s="99">
        <f>G39+'28'!H39</f>
        <v>-0.18999999994412065</v>
      </c>
      <c r="I39" s="95"/>
      <c r="J39" s="175">
        <f>H39/DAY(B2)</f>
        <v>-6.5517241360041603E-3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'28'!F40</f>
        <v>156251.73000000001</v>
      </c>
      <c r="F40" s="145">
        <v>157166.03</v>
      </c>
      <c r="G40" s="112">
        <f t="shared" si="3"/>
        <v>914.29999999998836</v>
      </c>
      <c r="H40" s="99">
        <f>G40+'28'!H40</f>
        <v>23894.799999999988</v>
      </c>
      <c r="I40" s="95"/>
      <c r="J40" s="175">
        <f>H40/DAY(B2)</f>
        <v>823.95862068965482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'28'!F41</f>
        <v>377356.7</v>
      </c>
      <c r="F41" s="145">
        <v>381351.55</v>
      </c>
      <c r="G41" s="112">
        <f t="shared" si="3"/>
        <v>3994.8499999999767</v>
      </c>
      <c r="H41" s="99">
        <f>G41+'28'!H41</f>
        <v>99138.479999999981</v>
      </c>
      <c r="I41" s="95"/>
      <c r="J41" s="175">
        <f>H41/DAY(B2)</f>
        <v>3418.5682758620683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'28'!F42</f>
        <v>818030</v>
      </c>
      <c r="F42" s="145">
        <v>822155.83</v>
      </c>
      <c r="G42" s="112">
        <f t="shared" si="3"/>
        <v>4125.8299999999581</v>
      </c>
      <c r="H42" s="99">
        <f>G42+'28'!H42</f>
        <v>23137.279999999912</v>
      </c>
      <c r="I42" s="95"/>
      <c r="J42" s="175">
        <f>H42/DAY(B2)</f>
        <v>797.83724137930733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'28'!F43</f>
        <v>407028</v>
      </c>
      <c r="F43" s="145">
        <v>407028</v>
      </c>
      <c r="G43" s="112">
        <f t="shared" si="3"/>
        <v>0</v>
      </c>
      <c r="H43" s="99">
        <f>G43+'28'!H43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12334.049999999988</v>
      </c>
      <c r="H47" s="99">
        <f>G47+'28'!H47</f>
        <v>238744.51999999996</v>
      </c>
      <c r="I47" s="95"/>
      <c r="J47" s="175">
        <f>H47/DAY(B2)</f>
        <v>8232.5696551724122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'28'!F49</f>
        <v>712354.15</v>
      </c>
      <c r="F49" s="145">
        <v>716247.75</v>
      </c>
      <c r="G49" s="112">
        <f t="shared" ref="G49:G58" si="4">F49-E49</f>
        <v>3893.5999999999767</v>
      </c>
      <c r="H49" s="99">
        <f>G49+'28'!H49</f>
        <v>106630.16000000003</v>
      </c>
      <c r="I49" s="95"/>
      <c r="J49" s="175">
        <f>H49/DAY(B2)</f>
        <v>3676.9020689655185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'28'!F50</f>
        <v>362053.63</v>
      </c>
      <c r="F50" s="145">
        <v>364000</v>
      </c>
      <c r="G50" s="112">
        <f t="shared" si="4"/>
        <v>1946.3699999999953</v>
      </c>
      <c r="H50" s="99">
        <f>G50+'28'!H50</f>
        <v>246715.37</v>
      </c>
      <c r="I50" s="95"/>
      <c r="J50" s="175">
        <f>H50/DAY(B2)</f>
        <v>8507.4265517241383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'28'!F51</f>
        <v>69639.399999999994</v>
      </c>
      <c r="F51" s="145">
        <v>70662.320000000007</v>
      </c>
      <c r="G51" s="112">
        <f t="shared" si="4"/>
        <v>1022.9200000000128</v>
      </c>
      <c r="H51" s="99">
        <f>G51+'28'!H51</f>
        <v>29801.060000000005</v>
      </c>
      <c r="I51" s="95"/>
      <c r="J51" s="175">
        <f>H51/DAY(B2)</f>
        <v>1027.6227586206899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'28'!F52</f>
        <v>10</v>
      </c>
      <c r="F52" s="145">
        <v>10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'28'!F53</f>
        <v>285560.45</v>
      </c>
      <c r="F53" s="145">
        <v>289818.5</v>
      </c>
      <c r="G53" s="112">
        <f t="shared" si="4"/>
        <v>4258.0499999999884</v>
      </c>
      <c r="H53" s="99">
        <f>G53+'28'!H53</f>
        <v>122543.81</v>
      </c>
      <c r="I53" s="95"/>
      <c r="J53" s="175">
        <f>H53/DAY(B2)</f>
        <v>4225.6486206896552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'28'!F54</f>
        <v>101049.65</v>
      </c>
      <c r="F54" s="145">
        <v>101220.75</v>
      </c>
      <c r="G54" s="112">
        <f t="shared" si="4"/>
        <v>171.10000000000582</v>
      </c>
      <c r="H54" s="99">
        <f>G54+'28'!H54</f>
        <v>5492.6600000000035</v>
      </c>
      <c r="I54" s="95"/>
      <c r="J54" s="175">
        <f>H54/DAY(B2)</f>
        <v>189.40206896551737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'28'!F55</f>
        <v>494482.51</v>
      </c>
      <c r="F55" s="145">
        <v>494482.51</v>
      </c>
      <c r="G55" s="112">
        <f t="shared" si="4"/>
        <v>0</v>
      </c>
      <c r="H55" s="99">
        <f>G55+'28'!H55</f>
        <v>51312.760000000009</v>
      </c>
      <c r="I55" s="95"/>
      <c r="J55" s="175">
        <f>H55/DAY(B2)</f>
        <v>1769.4055172413796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'28'!F56</f>
        <v>145944.79</v>
      </c>
      <c r="F56" s="145">
        <v>146304.93</v>
      </c>
      <c r="G56" s="112">
        <f t="shared" si="4"/>
        <v>360.13999999998487</v>
      </c>
      <c r="H56" s="99">
        <f>G56+'28'!H56</f>
        <v>20257.239999999991</v>
      </c>
      <c r="I56" s="95"/>
      <c r="J56" s="175">
        <f>H56/DAY(B2)</f>
        <v>698.52551724137902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'28'!F57</f>
        <v>403040.59</v>
      </c>
      <c r="F57" s="145">
        <v>406118.39</v>
      </c>
      <c r="G57" s="112">
        <f t="shared" si="4"/>
        <v>3077.7999999999884</v>
      </c>
      <c r="H57" s="99">
        <f>G57+'28'!H57</f>
        <v>83867.460000000021</v>
      </c>
      <c r="I57" s="95"/>
      <c r="J57" s="175">
        <f>H57/DAY(B2)</f>
        <v>2891.9813793103453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'28'!F58</f>
        <v>63652.36</v>
      </c>
      <c r="F58" s="145">
        <v>63890.6</v>
      </c>
      <c r="G58" s="112">
        <f t="shared" si="4"/>
        <v>238.23999999999796</v>
      </c>
      <c r="H58" s="99">
        <f>G58+'28'!H58</f>
        <v>7129.5999999999985</v>
      </c>
      <c r="I58" s="95"/>
      <c r="J58" s="175">
        <f>H58/DAY(B2)</f>
        <v>245.8482758620689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14968.21999999995</v>
      </c>
      <c r="H59" s="99">
        <f>G59+'28'!H59</f>
        <v>470301.86</v>
      </c>
      <c r="I59" s="95">
        <f>G7-G60</f>
        <v>-528.26999999993859</v>
      </c>
      <c r="J59" s="175">
        <f>H59/DAY(B2)</f>
        <v>16217.305517241379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27302.269999999939</v>
      </c>
      <c r="H60" s="99">
        <f>G60+'28'!H60</f>
        <v>709046.37999999989</v>
      </c>
      <c r="I60" s="95">
        <f>G13-G60</f>
        <v>-1192.6699999998455</v>
      </c>
      <c r="J60" s="175">
        <f>H60/DAY(B2)</f>
        <v>24449.875172413791</v>
      </c>
      <c r="K60" s="79"/>
      <c r="L60" s="66"/>
      <c r="N60" s="87"/>
      <c r="O60" s="71"/>
    </row>
    <row r="61" spans="1:15" s="68" customFormat="1" ht="26.25">
      <c r="A61" s="1278" t="s">
        <v>332</v>
      </c>
      <c r="B61" s="1279"/>
      <c r="C61" s="12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81" t="s">
        <v>198</v>
      </c>
      <c r="B62" s="1282"/>
      <c r="C62" s="1283"/>
      <c r="D62" s="151" t="s">
        <v>142</v>
      </c>
      <c r="E62" s="95">
        <f>'28'!F62</f>
        <v>301877</v>
      </c>
      <c r="F62" s="122">
        <v>301962</v>
      </c>
      <c r="G62" s="112">
        <f t="shared" ref="G62:G63" si="5">F62-E62</f>
        <v>85</v>
      </c>
      <c r="H62" s="99">
        <f>G62+'28'!H62</f>
        <v>2489</v>
      </c>
      <c r="I62" s="118"/>
      <c r="J62" s="175">
        <f>H62/DAY(B2)</f>
        <v>85.827586206896555</v>
      </c>
      <c r="K62" s="80"/>
      <c r="L62" s="66"/>
      <c r="N62" s="87"/>
      <c r="O62" s="71"/>
    </row>
    <row r="63" spans="1:15" ht="25.5">
      <c r="A63" s="1281" t="s">
        <v>199</v>
      </c>
      <c r="B63" s="1282"/>
      <c r="C63" s="1283"/>
      <c r="D63" s="151" t="s">
        <v>142</v>
      </c>
      <c r="E63" s="95">
        <f>'28'!F63</f>
        <v>245139</v>
      </c>
      <c r="F63" s="122">
        <v>245139</v>
      </c>
      <c r="G63" s="112">
        <f t="shared" si="5"/>
        <v>0</v>
      </c>
      <c r="H63" s="99">
        <f>G63+'28'!H63</f>
        <v>2547</v>
      </c>
      <c r="I63" s="118"/>
      <c r="J63" s="175">
        <f>H63/DAY(B2)</f>
        <v>87.827586206896555</v>
      </c>
      <c r="K63" s="69"/>
      <c r="L63" s="66"/>
      <c r="N63" s="87"/>
      <c r="O63" s="71"/>
    </row>
    <row r="64" spans="1:15" ht="26.25">
      <c r="A64" s="1284" t="s">
        <v>200</v>
      </c>
      <c r="B64" s="1285"/>
      <c r="C64" s="1286"/>
      <c r="D64" s="151"/>
      <c r="E64" s="95">
        <f>'28'!F64</f>
        <v>0</v>
      </c>
      <c r="F64" s="122"/>
      <c r="G64" s="112">
        <f>G62+G63</f>
        <v>85</v>
      </c>
      <c r="H64" s="99">
        <f>G64+'28'!H64</f>
        <v>5036</v>
      </c>
      <c r="I64" s="118"/>
      <c r="J64" s="175">
        <f>H64/DAY(B2)</f>
        <v>173.65517241379311</v>
      </c>
      <c r="K64" s="69"/>
      <c r="L64" s="66"/>
      <c r="N64" s="87"/>
      <c r="O64" s="71"/>
    </row>
    <row r="65" spans="1:15" ht="25.5">
      <c r="A65" s="1281" t="s">
        <v>201</v>
      </c>
      <c r="B65" s="1282"/>
      <c r="C65" s="1283"/>
      <c r="D65" s="151" t="s">
        <v>142</v>
      </c>
      <c r="E65" s="95">
        <f>'28'!F65</f>
        <v>460614</v>
      </c>
      <c r="F65" s="122">
        <v>460713</v>
      </c>
      <c r="G65" s="112">
        <f t="shared" ref="G65:G70" si="6">F65-E65</f>
        <v>99</v>
      </c>
      <c r="H65" s="99">
        <f>G65+'28'!H65</f>
        <v>2887</v>
      </c>
      <c r="I65" s="118"/>
      <c r="J65" s="175">
        <f>H65/DAY(B2)</f>
        <v>99.551724137931032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'28'!F66</f>
        <v>112567</v>
      </c>
      <c r="F66" s="122">
        <v>112583</v>
      </c>
      <c r="G66" s="112">
        <f t="shared" si="6"/>
        <v>16</v>
      </c>
      <c r="H66" s="99">
        <f>G66+'28'!H66</f>
        <v>286</v>
      </c>
      <c r="I66" s="118"/>
      <c r="J66" s="175">
        <f>H66/DAY(B2)</f>
        <v>9.862068965517242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'28'!F67</f>
        <v>114693</v>
      </c>
      <c r="F67" s="122">
        <v>114708</v>
      </c>
      <c r="G67" s="112">
        <f t="shared" si="6"/>
        <v>15</v>
      </c>
      <c r="H67" s="99">
        <f>G67+'28'!H67</f>
        <v>510</v>
      </c>
      <c r="I67" s="118"/>
      <c r="J67" s="175">
        <f>H67/DAY(B2)</f>
        <v>17.586206896551722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'28'!F68</f>
        <v>166509</v>
      </c>
      <c r="F68" s="122">
        <v>166543</v>
      </c>
      <c r="G68" s="112">
        <f t="shared" si="6"/>
        <v>34</v>
      </c>
      <c r="H68" s="99">
        <f>G68+'28'!H68</f>
        <v>987</v>
      </c>
      <c r="I68" s="118"/>
      <c r="J68" s="175">
        <f>H68/DAY(B2)</f>
        <v>34.03448275862069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'28'!F69</f>
        <v>12559</v>
      </c>
      <c r="F69" s="122">
        <v>12561</v>
      </c>
      <c r="G69" s="112">
        <f t="shared" si="6"/>
        <v>2</v>
      </c>
      <c r="H69" s="99">
        <f>G69+'28'!H69</f>
        <v>123</v>
      </c>
      <c r="I69" s="118"/>
      <c r="J69" s="175">
        <f>H69/DAY(B2)</f>
        <v>4.2413793103448274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'28'!F70</f>
        <v>10324</v>
      </c>
      <c r="F70" s="122">
        <v>10333</v>
      </c>
      <c r="G70" s="112">
        <f t="shared" si="6"/>
        <v>9</v>
      </c>
      <c r="H70" s="99">
        <f>G70+'28'!H70</f>
        <v>237</v>
      </c>
      <c r="I70" s="118"/>
      <c r="J70" s="175">
        <f>H70/DAY(B2)</f>
        <v>8.1724137931034484</v>
      </c>
      <c r="K70" s="69"/>
      <c r="L70" s="66"/>
      <c r="N70" s="87"/>
      <c r="O70" s="71"/>
    </row>
    <row r="71" spans="1:15" ht="26.25">
      <c r="A71" s="1284" t="s">
        <v>208</v>
      </c>
      <c r="B71" s="1285"/>
      <c r="C71" s="1286"/>
      <c r="D71" s="152"/>
      <c r="E71" s="95">
        <f>'28'!F71</f>
        <v>0</v>
      </c>
      <c r="F71" s="152"/>
      <c r="G71" s="153">
        <f>SUM(G65:G70)</f>
        <v>175</v>
      </c>
      <c r="H71" s="99">
        <f>G71+'28'!H71</f>
        <v>5030</v>
      </c>
      <c r="I71" s="154"/>
      <c r="J71" s="175">
        <f>H71/DAY(B2)</f>
        <v>173.44827586206895</v>
      </c>
      <c r="K71" s="69"/>
      <c r="L71" s="66"/>
      <c r="N71" s="87"/>
      <c r="O71" s="71"/>
    </row>
    <row r="72" spans="1:15" s="88" customFormat="1" ht="25.5">
      <c r="A72" s="1287"/>
      <c r="B72" s="126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1295" t="s">
        <v>333</v>
      </c>
      <c r="B73" s="1296"/>
      <c r="C73" s="129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81" t="s">
        <v>220</v>
      </c>
      <c r="B74" s="1282"/>
      <c r="C74" s="1283"/>
      <c r="D74" s="151" t="s">
        <v>139</v>
      </c>
      <c r="E74" s="95">
        <f>'28'!F74</f>
        <v>975231.29</v>
      </c>
      <c r="F74" s="117">
        <v>975521.01</v>
      </c>
      <c r="G74" s="112">
        <f t="shared" ref="G74:G78" si="7">F74-E74</f>
        <v>289.71999999997206</v>
      </c>
      <c r="H74" s="99">
        <f>G74+'28'!H74</f>
        <v>8338.2299999999814</v>
      </c>
      <c r="I74" s="154"/>
      <c r="J74" s="175">
        <f>H74/DAY(B2)</f>
        <v>287.52517241379246</v>
      </c>
      <c r="K74" s="69"/>
      <c r="L74" s="66"/>
      <c r="N74" s="87"/>
      <c r="O74" s="71"/>
    </row>
    <row r="75" spans="1:15" ht="25.5">
      <c r="A75" s="1281" t="s">
        <v>221</v>
      </c>
      <c r="B75" s="1282"/>
      <c r="C75" s="1283"/>
      <c r="D75" s="151" t="s">
        <v>139</v>
      </c>
      <c r="E75" s="95">
        <f>'28'!F75</f>
        <v>73586</v>
      </c>
      <c r="F75" s="123">
        <v>73586</v>
      </c>
      <c r="G75" s="112">
        <f t="shared" si="7"/>
        <v>0</v>
      </c>
      <c r="H75" s="99">
        <f>G75+'28'!H75</f>
        <v>-0.80000000000291038</v>
      </c>
      <c r="I75" s="154"/>
      <c r="J75" s="175">
        <f>H75/DAY(B2)</f>
        <v>-2.7586206896652081E-2</v>
      </c>
      <c r="K75" s="69"/>
      <c r="L75" s="66"/>
      <c r="N75" s="87"/>
      <c r="O75" s="71"/>
    </row>
    <row r="76" spans="1:15" ht="25.5">
      <c r="A76" s="1288" t="s">
        <v>222</v>
      </c>
      <c r="B76" s="1289"/>
      <c r="C76" s="1290"/>
      <c r="D76" s="151" t="s">
        <v>139</v>
      </c>
      <c r="E76" s="95">
        <f>'28'!F76</f>
        <v>196504</v>
      </c>
      <c r="F76" s="123">
        <v>196618</v>
      </c>
      <c r="G76" s="112">
        <f t="shared" si="7"/>
        <v>114</v>
      </c>
      <c r="H76" s="99">
        <f>G76+'28'!H76</f>
        <v>3196.5</v>
      </c>
      <c r="I76" s="154"/>
      <c r="J76" s="175">
        <f>H76/DAY(B2)</f>
        <v>110.22413793103448</v>
      </c>
      <c r="K76" s="69"/>
      <c r="L76" s="66"/>
      <c r="N76" s="87"/>
      <c r="O76" s="71"/>
    </row>
    <row r="77" spans="1:15" ht="25.5">
      <c r="A77" s="1288" t="s">
        <v>223</v>
      </c>
      <c r="B77" s="1289"/>
      <c r="C77" s="1290"/>
      <c r="D77" s="151" t="s">
        <v>139</v>
      </c>
      <c r="E77" s="95">
        <f>'28'!F77</f>
        <v>53231</v>
      </c>
      <c r="F77" s="123">
        <v>53284</v>
      </c>
      <c r="G77" s="112">
        <f t="shared" si="7"/>
        <v>53</v>
      </c>
      <c r="H77" s="99">
        <f>G77+'28'!H77</f>
        <v>1444</v>
      </c>
      <c r="I77" s="154"/>
      <c r="J77" s="175">
        <f>H77/DAY(B2)</f>
        <v>49.793103448275865</v>
      </c>
      <c r="K77" s="69"/>
      <c r="L77" s="66"/>
      <c r="N77" s="87"/>
      <c r="O77" s="71"/>
    </row>
    <row r="78" spans="1:15" ht="25.5">
      <c r="A78" s="1288" t="s">
        <v>224</v>
      </c>
      <c r="B78" s="1289"/>
      <c r="C78" s="1290"/>
      <c r="D78" s="151" t="s">
        <v>139</v>
      </c>
      <c r="E78" s="95">
        <f>'28'!F78</f>
        <v>9563</v>
      </c>
      <c r="F78" s="123">
        <v>9563.4</v>
      </c>
      <c r="G78" s="112">
        <f t="shared" si="7"/>
        <v>0.3999999999996362</v>
      </c>
      <c r="H78" s="99">
        <f>G78+'28'!H78</f>
        <v>-0.6000000000003638</v>
      </c>
      <c r="I78" s="118"/>
      <c r="J78" s="175">
        <f>H78/DAY(B2)</f>
        <v>-2.0689655172426338E-2</v>
      </c>
      <c r="K78" s="69"/>
      <c r="L78" s="66"/>
      <c r="N78" s="87"/>
      <c r="O78" s="71"/>
    </row>
    <row r="79" spans="1:15" s="57" customFormat="1" ht="25.5">
      <c r="A79" s="1288" t="s">
        <v>225</v>
      </c>
      <c r="B79" s="1289"/>
      <c r="C79" s="1290"/>
      <c r="D79" s="151"/>
      <c r="E79" s="95">
        <f>'28'!F79</f>
        <v>0</v>
      </c>
      <c r="F79" s="117"/>
      <c r="G79" s="112">
        <f>G15-SUM(G74:G78)</f>
        <v>571.17999999984204</v>
      </c>
      <c r="H79" s="99">
        <f>G79+'28'!H79</f>
        <v>15683.369999999743</v>
      </c>
      <c r="I79" s="118"/>
      <c r="J79" s="175"/>
      <c r="K79" s="59"/>
      <c r="L79" s="58"/>
      <c r="N79" s="87"/>
      <c r="O79" s="71"/>
    </row>
    <row r="80" spans="1:15" s="57" customFormat="1" ht="26.25">
      <c r="A80" s="1284" t="s">
        <v>329</v>
      </c>
      <c r="B80" s="1285"/>
      <c r="C80" s="1286"/>
      <c r="D80" s="151"/>
      <c r="E80" s="117"/>
      <c r="F80" s="117"/>
      <c r="G80" s="112">
        <f>SUM(G74:G79)</f>
        <v>1028.2999999998137</v>
      </c>
      <c r="H80" s="99"/>
      <c r="I80" s="118"/>
      <c r="J80" s="175"/>
      <c r="K80" s="59"/>
      <c r="L80" s="58"/>
      <c r="N80" s="87"/>
      <c r="O80" s="71"/>
    </row>
    <row r="81" spans="1:15" ht="25.5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538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'28'!F84</f>
        <v>43347.28</v>
      </c>
      <c r="F84" s="164">
        <v>43366.8</v>
      </c>
      <c r="G84" s="112">
        <f t="shared" si="8"/>
        <v>19.520000000004075</v>
      </c>
      <c r="H84" s="99">
        <f>G84+'28'!H84</f>
        <v>454.25</v>
      </c>
      <c r="I84" s="538"/>
      <c r="J84" s="175">
        <f>H84/DAY(B2)</f>
        <v>15.663793103448276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'28'!F85</f>
        <v>5447.14</v>
      </c>
      <c r="F85" s="164">
        <v>5463.2</v>
      </c>
      <c r="G85" s="112">
        <f t="shared" si="8"/>
        <v>16.059999999999491</v>
      </c>
      <c r="H85" s="99">
        <f>G85+'28'!H85</f>
        <v>99.199999999999818</v>
      </c>
      <c r="I85" s="538"/>
      <c r="J85" s="175">
        <f>H85/DAY(B2)</f>
        <v>3.4206896551724073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'28'!F86</f>
        <v>46271.3</v>
      </c>
      <c r="F86" s="164">
        <v>46271.42</v>
      </c>
      <c r="G86" s="112">
        <f t="shared" si="8"/>
        <v>0.11999999999534339</v>
      </c>
      <c r="H86" s="99">
        <f>G86+'28'!H86</f>
        <v>350.04999999999563</v>
      </c>
      <c r="I86" s="538"/>
      <c r="J86" s="175">
        <f>H86/DAY(B2)</f>
        <v>12.070689655172263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'28'!F87</f>
        <v>35618.03</v>
      </c>
      <c r="F87" s="164">
        <v>35620.400000000001</v>
      </c>
      <c r="G87" s="112">
        <f t="shared" si="8"/>
        <v>2.3700000000026193</v>
      </c>
      <c r="H87" s="99">
        <f>G87+'28'!H87</f>
        <v>145.59999999999854</v>
      </c>
      <c r="I87" s="538">
        <f>G84+G85+G86+G87</f>
        <v>38.070000000001528</v>
      </c>
      <c r="J87" s="175">
        <f>H87/DAY(B2)</f>
        <v>5.0206896551723634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'28'!F88</f>
        <v>24413.57</v>
      </c>
      <c r="F88" s="164">
        <v>24413.5</v>
      </c>
      <c r="G88" s="112">
        <f t="shared" si="8"/>
        <v>-6.9999999999708962E-2</v>
      </c>
      <c r="H88" s="99">
        <f>G88+'28'!H88</f>
        <v>78.340000000000146</v>
      </c>
      <c r="I88" s="538"/>
      <c r="J88" s="175">
        <f>H88/DAY(B2)</f>
        <v>2.7013793103448327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'28'!F89</f>
        <v>27979.06</v>
      </c>
      <c r="F89" s="164">
        <v>27988.07</v>
      </c>
      <c r="G89" s="112">
        <f t="shared" si="8"/>
        <v>9.0099999999983993</v>
      </c>
      <c r="H89" s="99">
        <f>G89+'28'!H89</f>
        <v>186.04999999999927</v>
      </c>
      <c r="I89" s="538">
        <f>G88+G89</f>
        <v>8.9399999999986903</v>
      </c>
      <c r="J89" s="175">
        <f>H89/DAY(B2)</f>
        <v>6.4155172413792849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'28'!F90</f>
        <v>73218.94</v>
      </c>
      <c r="F90" s="164">
        <v>73230.25</v>
      </c>
      <c r="G90" s="112">
        <f t="shared" si="8"/>
        <v>11.309999999997672</v>
      </c>
      <c r="H90" s="99">
        <f>G90+'28'!H90</f>
        <v>44.559999999997672</v>
      </c>
      <c r="I90" s="538">
        <f>G90</f>
        <v>11.309999999997672</v>
      </c>
      <c r="J90" s="175">
        <f>H90/DAY(B2)</f>
        <v>1.5365517241378508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'28'!F91</f>
        <v>4656.0200000000004</v>
      </c>
      <c r="F91" s="122">
        <v>4667.21</v>
      </c>
      <c r="G91" s="112">
        <f t="shared" si="8"/>
        <v>11.1899999999996</v>
      </c>
      <c r="H91" s="99">
        <f>G91+'28'!H91</f>
        <v>319.0600000000004</v>
      </c>
      <c r="I91" s="557"/>
      <c r="J91" s="175">
        <f>H91/DAY(B2)</f>
        <v>11.002068965517255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'28'!F92</f>
        <v>7000.23</v>
      </c>
      <c r="F92" s="122">
        <v>7000</v>
      </c>
      <c r="G92" s="112">
        <f t="shared" si="8"/>
        <v>-0.22999999999956344</v>
      </c>
      <c r="H92" s="99">
        <f>G92+'28'!H92</f>
        <v>0</v>
      </c>
      <c r="I92" s="561">
        <f>G91+G92</f>
        <v>10.960000000000036</v>
      </c>
      <c r="J92" s="175">
        <f>H92/DAY(B2)</f>
        <v>0</v>
      </c>
      <c r="O92" s="71"/>
    </row>
    <row r="93" spans="1:15" ht="26.25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6971.3999999999651</v>
      </c>
      <c r="H94" s="99">
        <f>G94+'28'!H94</f>
        <v>190497.62000000005</v>
      </c>
      <c r="I94" s="118"/>
      <c r="J94" s="175">
        <f>H94/DAY(B2)</f>
        <v>6568.8834482758639</v>
      </c>
      <c r="K94" s="69"/>
      <c r="L94" s="66"/>
      <c r="O94" s="71"/>
    </row>
    <row r="95" spans="1:15" ht="25.5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0.26037947262269234</v>
      </c>
      <c r="H95" s="99">
        <f>G95+'28'!H95</f>
        <v>7.5520834383945576</v>
      </c>
      <c r="I95" s="167"/>
      <c r="J95" s="175">
        <f>H95/DAY(B2)</f>
        <v>0.26041667028946752</v>
      </c>
      <c r="K95" s="69"/>
      <c r="L95" s="66"/>
      <c r="O95" s="71"/>
    </row>
    <row r="96" spans="1:15" ht="25.5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8480.8199999999197</v>
      </c>
      <c r="H96" s="99">
        <f>G96+'28'!H96</f>
        <v>193845.75999999989</v>
      </c>
      <c r="I96" s="118"/>
      <c r="J96" s="175">
        <f>H96/DAY(B2)</f>
        <v>6684.3365517241346</v>
      </c>
      <c r="K96" s="69"/>
      <c r="L96" s="66"/>
      <c r="O96" s="71"/>
    </row>
    <row r="97" spans="1:15" ht="25.5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0.31675580787330693</v>
      </c>
      <c r="H97" s="99">
        <f>G97+'28'!H97</f>
        <v>7.665661161199492</v>
      </c>
      <c r="I97" s="167"/>
      <c r="J97" s="175">
        <f>H97/DAY(B2)</f>
        <v>0.26433314348963766</v>
      </c>
      <c r="K97" s="69"/>
      <c r="L97" s="66"/>
      <c r="O97" s="71"/>
    </row>
    <row r="98" spans="1:15" ht="25.5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4257.8600000000442</v>
      </c>
      <c r="H98" s="99">
        <f>G98+'28'!H98</f>
        <v>122543.62000000005</v>
      </c>
      <c r="I98" s="168"/>
      <c r="J98" s="175">
        <f>H98/DAY(B2)</f>
        <v>4225.6420689655188</v>
      </c>
      <c r="K98" s="69"/>
      <c r="L98" s="66"/>
      <c r="O98" s="71"/>
    </row>
    <row r="99" spans="1:15" ht="25.5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0.1590296556360665</v>
      </c>
      <c r="H99" s="99">
        <f>G99+'28'!H99</f>
        <v>4.8621090954092603</v>
      </c>
      <c r="I99" s="168"/>
      <c r="J99" s="175">
        <f>H99/DAY(B2)</f>
        <v>0.16765893432445725</v>
      </c>
      <c r="O99" s="71"/>
    </row>
    <row r="100" spans="1:15" ht="26.25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2184</v>
      </c>
      <c r="H100" s="99">
        <f>G100+'28'!H100</f>
        <v>65692.13</v>
      </c>
      <c r="I100" s="118"/>
      <c r="J100" s="175">
        <f>H100/DAY(B2)</f>
        <v>2265.2458620689658</v>
      </c>
      <c r="K100" s="70"/>
      <c r="O100" s="71"/>
    </row>
    <row r="101" spans="1:15" ht="25.5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8.1571674012101289E-2</v>
      </c>
      <c r="H101" s="99">
        <f>G101+'28'!H101</f>
        <v>2.6041833846800531</v>
      </c>
      <c r="I101" s="168"/>
      <c r="J101" s="175">
        <f>H101/DAY(B2)</f>
        <v>8.9799427057932868E-2</v>
      </c>
      <c r="O101" s="71"/>
    </row>
    <row r="102" spans="1:15" ht="25.5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3061.6300000000047</v>
      </c>
      <c r="H102" s="99">
        <f>G102+'28'!H102</f>
        <v>70149.13</v>
      </c>
      <c r="I102" s="168"/>
      <c r="J102" s="175">
        <f>H102/DAY(B2)</f>
        <v>2418.9355172413793</v>
      </c>
      <c r="O102" s="71"/>
    </row>
    <row r="103" spans="1:15" ht="25.5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0.11435086277732145</v>
      </c>
      <c r="H103" s="99">
        <f>G103+'28'!H103</f>
        <v>2.7738667725675121</v>
      </c>
      <c r="I103" s="118"/>
      <c r="J103" s="175">
        <f>H103/DAY(B2)</f>
        <v>9.5650578364396971E-2</v>
      </c>
      <c r="O103" s="71"/>
    </row>
    <row r="104" spans="1:15" ht="25.5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1022.9200000000128</v>
      </c>
      <c r="H104" s="99">
        <f>G104+'28'!H104</f>
        <v>29801.060000000005</v>
      </c>
      <c r="I104" s="118"/>
      <c r="J104" s="175">
        <f>H104/DAY(B2)</f>
        <v>1027.6227586206899</v>
      </c>
      <c r="O104" s="71"/>
    </row>
    <row r="105" spans="1:15" ht="26.25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3.820572196907495E-2</v>
      </c>
      <c r="H105" s="99">
        <f>G105+'28'!H105</f>
        <v>1.1825939707294961</v>
      </c>
      <c r="I105" s="187"/>
      <c r="J105" s="188">
        <f>H105/DAY(B2)</f>
        <v>4.0779102438948139E-2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6.25">
      <c r="A109" s="1291"/>
      <c r="B109" s="1291"/>
    </row>
    <row r="110" spans="1:15" ht="26.25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5.5">
      <c r="A111" s="1270"/>
      <c r="B111" s="1271"/>
      <c r="C111" s="1272"/>
      <c r="D111" s="165"/>
      <c r="E111" s="165"/>
      <c r="F111" s="165"/>
      <c r="G111" s="165"/>
      <c r="H111" s="156"/>
      <c r="I111" s="165"/>
      <c r="J111" s="327"/>
    </row>
    <row r="112" spans="1:15" ht="25.5">
      <c r="A112" s="1266" t="s">
        <v>252</v>
      </c>
      <c r="B112" s="1267"/>
      <c r="C112" s="1268"/>
      <c r="D112" s="146" t="s">
        <v>183</v>
      </c>
      <c r="E112" s="237">
        <f>'28'!F112</f>
        <v>11518.2</v>
      </c>
      <c r="F112" s="237">
        <v>11590.16</v>
      </c>
      <c r="G112" s="112">
        <f t="shared" ref="G112" si="9">F112-E112</f>
        <v>71.959999999999127</v>
      </c>
      <c r="H112" s="99">
        <f>G112+'28'!H112</f>
        <v>2159.0599999999995</v>
      </c>
      <c r="I112" s="165"/>
      <c r="J112" s="328">
        <f>H112/DAY(B2)</f>
        <v>74.450344827586193</v>
      </c>
    </row>
    <row r="113" spans="1:18" ht="25.5">
      <c r="A113" s="1266" t="s">
        <v>253</v>
      </c>
      <c r="B113" s="1267"/>
      <c r="C113" s="1268"/>
      <c r="D113" s="146" t="s">
        <v>183</v>
      </c>
      <c r="E113" s="237">
        <f>'28'!F113</f>
        <v>23239.8</v>
      </c>
      <c r="F113" s="237">
        <v>23379.7</v>
      </c>
      <c r="G113" s="112">
        <f t="shared" ref="G113:G123" si="10">F113-E113</f>
        <v>139.90000000000146</v>
      </c>
      <c r="H113" s="99">
        <f>G113+'28'!H113</f>
        <v>4154.7999999999993</v>
      </c>
      <c r="I113" s="165"/>
      <c r="J113" s="328">
        <f>H113/DAY(B2)</f>
        <v>143.26896551724136</v>
      </c>
    </row>
    <row r="114" spans="1:18" ht="25.5">
      <c r="A114" s="1266" t="s">
        <v>254</v>
      </c>
      <c r="B114" s="1267"/>
      <c r="C114" s="1268"/>
      <c r="D114" s="146" t="s">
        <v>183</v>
      </c>
      <c r="E114" s="237">
        <f>'28'!F114</f>
        <v>34333.9</v>
      </c>
      <c r="F114" s="237">
        <v>34555.300000000003</v>
      </c>
      <c r="G114" s="112">
        <f t="shared" si="10"/>
        <v>221.40000000000146</v>
      </c>
      <c r="H114" s="99">
        <f>G114+'28'!H114</f>
        <v>6684.4000000000015</v>
      </c>
      <c r="I114" s="165"/>
      <c r="J114" s="328">
        <f>H114/DAY(B2)</f>
        <v>230.49655172413799</v>
      </c>
    </row>
    <row r="115" spans="1:18" ht="25.5">
      <c r="A115" s="1266" t="s">
        <v>255</v>
      </c>
      <c r="B115" s="1267"/>
      <c r="C115" s="1268"/>
      <c r="D115" s="146" t="s">
        <v>183</v>
      </c>
      <c r="E115" s="237">
        <f>'28'!F115</f>
        <v>21782</v>
      </c>
      <c r="F115" s="237">
        <v>21931.9</v>
      </c>
      <c r="G115" s="112">
        <f t="shared" si="10"/>
        <v>149.90000000000146</v>
      </c>
      <c r="H115" s="99">
        <f>G115+'28'!H115</f>
        <v>4504.7000000000007</v>
      </c>
      <c r="I115" s="165"/>
      <c r="J115" s="328">
        <f>H115/DAY(B2)</f>
        <v>155.33448275862071</v>
      </c>
    </row>
    <row r="116" spans="1:18" ht="25.5">
      <c r="A116" s="1275" t="s">
        <v>96</v>
      </c>
      <c r="B116" s="1276"/>
      <c r="C116" s="1277"/>
      <c r="D116" s="146" t="s">
        <v>183</v>
      </c>
      <c r="E116" s="237">
        <f>'28'!F116</f>
        <v>96130.3</v>
      </c>
      <c r="F116" s="237">
        <v>96626.11</v>
      </c>
      <c r="G116" s="112">
        <f t="shared" si="10"/>
        <v>495.80999999999767</v>
      </c>
      <c r="H116" s="99">
        <f>G116+'28'!H116</f>
        <v>13806.809999999998</v>
      </c>
      <c r="I116" s="165"/>
      <c r="J116" s="328">
        <f>H116/DAY(B2)</f>
        <v>476.09689655172406</v>
      </c>
      <c r="Q116" s="1266" t="s">
        <v>311</v>
      </c>
      <c r="R116" s="1268"/>
    </row>
    <row r="117" spans="1:18" ht="25.5">
      <c r="A117" s="1275" t="s">
        <v>184</v>
      </c>
      <c r="B117" s="1276"/>
      <c r="C117" s="1277"/>
      <c r="D117" s="146" t="s">
        <v>183</v>
      </c>
      <c r="E117" s="237">
        <f>'28'!F117</f>
        <v>56071</v>
      </c>
      <c r="F117" s="237">
        <v>56313.75</v>
      </c>
      <c r="G117" s="112">
        <f t="shared" si="10"/>
        <v>242.75</v>
      </c>
      <c r="H117" s="99">
        <f>G117+'28'!H117</f>
        <v>7807.75</v>
      </c>
      <c r="I117" s="165"/>
      <c r="J117" s="328">
        <f>H117/DAY(B2)</f>
        <v>269.23275862068965</v>
      </c>
      <c r="Q117" s="1266" t="s">
        <v>312</v>
      </c>
      <c r="R117" s="1268"/>
    </row>
    <row r="118" spans="1:18" ht="25.5">
      <c r="A118" s="1269" t="s">
        <v>97</v>
      </c>
      <c r="B118" s="1269"/>
      <c r="C118" s="1269"/>
      <c r="D118" s="151" t="s">
        <v>183</v>
      </c>
      <c r="E118" s="237">
        <f>'28'!F118</f>
        <v>100491.61</v>
      </c>
      <c r="F118" s="237">
        <v>101137.7</v>
      </c>
      <c r="G118" s="112">
        <f t="shared" si="10"/>
        <v>646.08999999999651</v>
      </c>
      <c r="H118" s="99">
        <f>G118+'28'!H118</f>
        <v>18501.899999999994</v>
      </c>
      <c r="I118" s="165"/>
      <c r="J118" s="328">
        <f>H118/DAY(B2)</f>
        <v>637.9965517241377</v>
      </c>
      <c r="Q118" s="1266" t="s">
        <v>311</v>
      </c>
      <c r="R118" s="1268"/>
    </row>
    <row r="119" spans="1:18" ht="25.5">
      <c r="A119" s="1269" t="s">
        <v>98</v>
      </c>
      <c r="B119" s="1269"/>
      <c r="C119" s="1269"/>
      <c r="D119" s="151" t="s">
        <v>183</v>
      </c>
      <c r="E119" s="237">
        <f>'28'!F119</f>
        <v>42553.4</v>
      </c>
      <c r="F119" s="237">
        <v>42566.9</v>
      </c>
      <c r="G119" s="112">
        <f t="shared" si="10"/>
        <v>13.5</v>
      </c>
      <c r="H119" s="99">
        <f>G119+'28'!H119</f>
        <v>1523.5</v>
      </c>
      <c r="I119" s="165"/>
      <c r="J119" s="328">
        <f>H119/DAY(B2)</f>
        <v>52.53448275862069</v>
      </c>
    </row>
    <row r="120" spans="1:18" ht="25.5">
      <c r="A120" s="1269" t="s">
        <v>99</v>
      </c>
      <c r="B120" s="1269"/>
      <c r="C120" s="1269"/>
      <c r="D120" s="151" t="s">
        <v>183</v>
      </c>
      <c r="E120" s="237">
        <f>'28'!F120</f>
        <v>70536.899999999994</v>
      </c>
      <c r="F120" s="237">
        <v>70926.5</v>
      </c>
      <c r="G120" s="112">
        <f t="shared" si="10"/>
        <v>389.60000000000582</v>
      </c>
      <c r="H120" s="99">
        <f>G120+'28'!H120</f>
        <v>12361.099999999999</v>
      </c>
      <c r="I120" s="165"/>
      <c r="J120" s="328">
        <f>H120/DAY(B2)</f>
        <v>426.24482758620684</v>
      </c>
    </row>
    <row r="121" spans="1:18" ht="25.5">
      <c r="A121" s="1269" t="s">
        <v>100</v>
      </c>
      <c r="B121" s="1269"/>
      <c r="C121" s="1269"/>
      <c r="D121" s="151" t="s">
        <v>183</v>
      </c>
      <c r="E121" s="237">
        <f>'28'!F121</f>
        <v>80407.7</v>
      </c>
      <c r="F121" s="237">
        <v>80872.2</v>
      </c>
      <c r="G121" s="112">
        <f t="shared" si="10"/>
        <v>464.5</v>
      </c>
      <c r="H121" s="99">
        <f>G121+'28'!H121</f>
        <v>13590.199999999997</v>
      </c>
      <c r="I121" s="165"/>
      <c r="J121" s="328">
        <f>H121/DAY(B2)</f>
        <v>468.62758620689647</v>
      </c>
    </row>
    <row r="122" spans="1:18" ht="25.5">
      <c r="A122" s="1269" t="s">
        <v>101</v>
      </c>
      <c r="B122" s="1269"/>
      <c r="C122" s="1269"/>
      <c r="D122" s="151" t="s">
        <v>183</v>
      </c>
      <c r="E122" s="237">
        <f>'28'!F122</f>
        <v>48386</v>
      </c>
      <c r="F122" s="237">
        <v>48743.199999999997</v>
      </c>
      <c r="G122" s="112">
        <f t="shared" si="10"/>
        <v>357.19999999999709</v>
      </c>
      <c r="H122" s="99">
        <f>G122+'28'!H122</f>
        <v>10416.299999999996</v>
      </c>
      <c r="I122" s="165"/>
      <c r="J122" s="328">
        <f>H122/DAY(B2)</f>
        <v>359.18275862068953</v>
      </c>
    </row>
    <row r="123" spans="1:18" ht="25.5">
      <c r="A123" s="1269" t="s">
        <v>102</v>
      </c>
      <c r="B123" s="1269"/>
      <c r="C123" s="1269"/>
      <c r="D123" s="151" t="s">
        <v>183</v>
      </c>
      <c r="E123" s="237">
        <f>'28'!F123</f>
        <v>49147.53</v>
      </c>
      <c r="F123" s="237">
        <v>49443.9</v>
      </c>
      <c r="G123" s="112">
        <f t="shared" si="10"/>
        <v>296.37000000000262</v>
      </c>
      <c r="H123" s="99">
        <f>G123+'28'!H123</f>
        <v>9395.0999999999985</v>
      </c>
      <c r="I123" s="165"/>
      <c r="J123" s="328">
        <f>H123/DAY(B2)</f>
        <v>323.96896551724132</v>
      </c>
    </row>
    <row r="124" spans="1:18" ht="25.5">
      <c r="A124" s="1270"/>
      <c r="B124" s="1271"/>
      <c r="C124" s="1272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5.5">
      <c r="A125" s="1261" t="s">
        <v>196</v>
      </c>
      <c r="B125" s="1262"/>
      <c r="C125" s="245"/>
      <c r="D125" s="307"/>
      <c r="E125" s="308"/>
      <c r="F125" s="308"/>
      <c r="G125" s="309">
        <f>SUM(G112:G124)</f>
        <v>3488.9800000000032</v>
      </c>
      <c r="H125" s="156"/>
      <c r="I125" s="327">
        <f>G125-(G39+G53)</f>
        <v>-768.88000000004104</v>
      </c>
      <c r="J125" s="327"/>
    </row>
    <row r="126" spans="1:18" ht="25.5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5.5">
      <c r="A127" s="1274"/>
      <c r="B127" s="1274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5.5">
      <c r="A128" s="1266" t="s">
        <v>318</v>
      </c>
      <c r="B128" s="1267"/>
      <c r="C128" s="1268"/>
      <c r="D128" s="151" t="s">
        <v>183</v>
      </c>
      <c r="E128" s="95">
        <f>'28'!F128</f>
        <v>153929.1</v>
      </c>
      <c r="F128" s="165">
        <v>154375</v>
      </c>
      <c r="G128" s="112">
        <f t="shared" ref="G128:G134" si="11">F128-E128</f>
        <v>445.89999999999418</v>
      </c>
      <c r="H128" s="99">
        <f>G128+'28'!H128</f>
        <v>12919.899999999994</v>
      </c>
      <c r="I128" s="165"/>
      <c r="J128" s="328">
        <f>H128/DAY(B2)</f>
        <v>445.51379310344805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'28'!F129</f>
        <v>83594.600000000006</v>
      </c>
      <c r="F129" s="165">
        <v>83754.899999999994</v>
      </c>
      <c r="G129" s="112">
        <f t="shared" si="11"/>
        <v>160.29999999998836</v>
      </c>
      <c r="H129" s="99">
        <f>G129+'28'!H129</f>
        <v>5436.5</v>
      </c>
      <c r="I129" s="165"/>
      <c r="J129" s="328">
        <f>H129/DAY(B2)</f>
        <v>187.4655172413793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'28'!F130</f>
        <v>205193.19</v>
      </c>
      <c r="F130" s="158">
        <v>205923.3</v>
      </c>
      <c r="G130" s="112">
        <f t="shared" si="11"/>
        <v>730.10999999998603</v>
      </c>
      <c r="H130" s="99">
        <f>G130+'28'!H130</f>
        <v>20128.50999999998</v>
      </c>
      <c r="I130" s="165"/>
      <c r="J130" s="328">
        <f>H130/DAY(B2)</f>
        <v>694.08655172413728</v>
      </c>
      <c r="N130" s="240"/>
      <c r="O130" s="241"/>
    </row>
    <row r="131" spans="1:15" ht="25.5">
      <c r="A131" s="1266" t="s">
        <v>321</v>
      </c>
      <c r="B131" s="1267"/>
      <c r="C131" s="1268"/>
      <c r="D131" s="151" t="s">
        <v>183</v>
      </c>
      <c r="E131" s="95">
        <f>'28'!F131</f>
        <v>59868.56</v>
      </c>
      <c r="F131" s="165">
        <v>60109</v>
      </c>
      <c r="G131" s="112">
        <f t="shared" si="11"/>
        <v>240.44000000000233</v>
      </c>
      <c r="H131" s="99">
        <f>G131+'28'!H131</f>
        <v>6261.3000000000029</v>
      </c>
      <c r="I131" s="165"/>
      <c r="J131" s="328">
        <f>H131/DAY(B2)</f>
        <v>215.90689655172423</v>
      </c>
      <c r="N131" s="240"/>
      <c r="O131" s="241"/>
    </row>
    <row r="132" spans="1:15" ht="25.5">
      <c r="A132" s="1266" t="s">
        <v>322</v>
      </c>
      <c r="B132" s="1267"/>
      <c r="C132" s="1268"/>
      <c r="D132" s="151" t="s">
        <v>183</v>
      </c>
      <c r="E132" s="95">
        <f>'28'!F132</f>
        <v>146985</v>
      </c>
      <c r="F132" s="165">
        <v>146985</v>
      </c>
      <c r="G132" s="112">
        <f t="shared" si="11"/>
        <v>0</v>
      </c>
      <c r="H132" s="99">
        <f>G132+'28'!H132</f>
        <v>6455.7999999999884</v>
      </c>
      <c r="I132" s="165"/>
      <c r="J132" s="328">
        <f>H132/DAY(B2)</f>
        <v>222.61379310344788</v>
      </c>
    </row>
    <row r="133" spans="1:15" ht="25.5">
      <c r="A133" s="1266" t="s">
        <v>357</v>
      </c>
      <c r="B133" s="1267"/>
      <c r="C133" s="1268"/>
      <c r="D133" s="151" t="s">
        <v>183</v>
      </c>
      <c r="E133" s="95">
        <f>'28'!F133</f>
        <v>264152.93</v>
      </c>
      <c r="F133" s="165">
        <v>265026.51</v>
      </c>
      <c r="G133" s="112">
        <f t="shared" si="11"/>
        <v>873.5800000000163</v>
      </c>
      <c r="H133" s="99">
        <f>G133+'28'!H133</f>
        <v>24997.510000000009</v>
      </c>
      <c r="I133" s="165"/>
      <c r="J133" s="328">
        <f>H133/DAY(B2)</f>
        <v>861.98310344827621</v>
      </c>
    </row>
    <row r="134" spans="1:15" ht="25.5">
      <c r="A134" s="1266" t="s">
        <v>340</v>
      </c>
      <c r="B134" s="1267"/>
      <c r="C134" s="1268"/>
      <c r="D134" s="151" t="s">
        <v>183</v>
      </c>
      <c r="E134" s="95">
        <f>'28'!F134</f>
        <v>63158.2</v>
      </c>
      <c r="F134" s="165">
        <v>63412.6</v>
      </c>
      <c r="G134" s="112">
        <f t="shared" si="11"/>
        <v>254.40000000000146</v>
      </c>
      <c r="H134" s="99">
        <f>G134+'28'!H134</f>
        <v>7509.4499999999971</v>
      </c>
      <c r="I134" s="165"/>
      <c r="J134" s="328">
        <f>H134/DAY(B2)</f>
        <v>258.94655172413781</v>
      </c>
    </row>
    <row r="135" spans="1:15" ht="25.5">
      <c r="A135" s="1261" t="s">
        <v>196</v>
      </c>
      <c r="B135" s="1262"/>
      <c r="C135" s="331"/>
      <c r="D135" s="151"/>
      <c r="E135" s="95"/>
      <c r="F135" s="165" t="s">
        <v>364</v>
      </c>
      <c r="G135" s="112">
        <f>SUM(G127:G134)</f>
        <v>2704.7299999999886</v>
      </c>
      <c r="H135" s="99">
        <f>G135+'23'!H135</f>
        <v>30669.12000000001</v>
      </c>
      <c r="I135" s="327">
        <f>G135-(G35+G49)</f>
        <v>-1188.8699999999881</v>
      </c>
      <c r="J135" s="328"/>
    </row>
    <row r="136" spans="1:15" ht="27.75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1269" t="s">
        <v>185</v>
      </c>
      <c r="B138" s="1269"/>
      <c r="C138" s="1269"/>
      <c r="D138" s="151" t="s">
        <v>183</v>
      </c>
      <c r="E138" s="95">
        <f>'28'!F138</f>
        <v>897976</v>
      </c>
      <c r="F138" s="147">
        <v>898085</v>
      </c>
      <c r="G138" s="112">
        <f t="shared" ref="G138:G151" si="12">F138-E138</f>
        <v>109</v>
      </c>
      <c r="H138" s="99">
        <f>G138+'28'!H138</f>
        <v>3150</v>
      </c>
      <c r="I138" s="118"/>
      <c r="J138" s="328">
        <f>H138/DAY(B2)</f>
        <v>108.62068965517241</v>
      </c>
    </row>
    <row r="139" spans="1:15" ht="25.5">
      <c r="A139" s="1269" t="s">
        <v>186</v>
      </c>
      <c r="B139" s="1269"/>
      <c r="C139" s="1269"/>
      <c r="D139" s="151" t="s">
        <v>183</v>
      </c>
      <c r="E139" s="95">
        <f>'28'!F139</f>
        <v>917894</v>
      </c>
      <c r="F139" s="148">
        <v>918053</v>
      </c>
      <c r="G139" s="112">
        <f t="shared" si="12"/>
        <v>159</v>
      </c>
      <c r="H139" s="99">
        <f>G139+'28'!H139</f>
        <v>4454</v>
      </c>
      <c r="I139" s="118"/>
      <c r="J139" s="328">
        <f>H139/DAY(B2)</f>
        <v>153.58620689655172</v>
      </c>
    </row>
    <row r="140" spans="1:15" ht="25.5">
      <c r="A140" s="1269" t="s">
        <v>187</v>
      </c>
      <c r="B140" s="1269"/>
      <c r="C140" s="1269"/>
      <c r="D140" s="151" t="s">
        <v>183</v>
      </c>
      <c r="E140" s="95">
        <f>'28'!F140</f>
        <v>2319.3200000000002</v>
      </c>
      <c r="F140" s="149">
        <v>2331.69</v>
      </c>
      <c r="G140" s="112">
        <f t="shared" si="12"/>
        <v>12.369999999999891</v>
      </c>
      <c r="H140" s="99">
        <f>G140+'28'!H140</f>
        <v>823.93000000000006</v>
      </c>
      <c r="I140" s="118"/>
      <c r="J140" s="328">
        <f>H140/DAY(B2)</f>
        <v>28.411379310344831</v>
      </c>
    </row>
    <row r="141" spans="1:15" ht="25.5">
      <c r="A141" s="1256" t="s">
        <v>188</v>
      </c>
      <c r="B141" s="1256"/>
      <c r="C141" s="1256"/>
      <c r="D141" s="151" t="s">
        <v>183</v>
      </c>
      <c r="E141" s="95">
        <f>'28'!F141</f>
        <v>103292</v>
      </c>
      <c r="F141" s="149">
        <v>103538.57</v>
      </c>
      <c r="G141" s="112">
        <f t="shared" si="12"/>
        <v>246.57000000000698</v>
      </c>
      <c r="H141" s="99">
        <f>G141+'28'!H141</f>
        <v>6925.570000000007</v>
      </c>
      <c r="I141" s="118"/>
      <c r="J141" s="328">
        <f>H141/DAY(B2)</f>
        <v>238.81275862068989</v>
      </c>
      <c r="O141" s="65">
        <v>918053</v>
      </c>
    </row>
    <row r="142" spans="1:15" ht="25.5">
      <c r="A142" s="1256" t="s">
        <v>189</v>
      </c>
      <c r="B142" s="1256"/>
      <c r="C142" s="1256"/>
      <c r="D142" s="151" t="s">
        <v>183</v>
      </c>
      <c r="E142" s="95">
        <f>'28'!F142</f>
        <v>41639.599999999999</v>
      </c>
      <c r="F142" s="148">
        <v>41729.300000000003</v>
      </c>
      <c r="G142" s="112">
        <f t="shared" si="12"/>
        <v>89.700000000004366</v>
      </c>
      <c r="H142" s="99">
        <f>G142+'28'!H142</f>
        <v>2639.3000000000029</v>
      </c>
      <c r="I142" s="140"/>
      <c r="J142" s="328">
        <f>H142/DAY(B2)</f>
        <v>91.010344827586309</v>
      </c>
      <c r="O142" s="65">
        <v>898085</v>
      </c>
    </row>
    <row r="143" spans="1:15" ht="25.5">
      <c r="A143" s="1269" t="s">
        <v>91</v>
      </c>
      <c r="B143" s="1269"/>
      <c r="C143" s="1269"/>
      <c r="D143" s="151" t="s">
        <v>183</v>
      </c>
      <c r="E143" s="95">
        <f>'28'!F143</f>
        <v>10633.6</v>
      </c>
      <c r="F143" s="149">
        <v>10659.6</v>
      </c>
      <c r="G143" s="112">
        <f t="shared" si="12"/>
        <v>26</v>
      </c>
      <c r="H143" s="99">
        <f>G143+'28'!H143</f>
        <v>806.60000000000036</v>
      </c>
      <c r="I143" s="140"/>
      <c r="J143" s="328">
        <f>H143/DAY(B2)</f>
        <v>27.813793103448287</v>
      </c>
      <c r="O143" s="65">
        <v>723173.92</v>
      </c>
    </row>
    <row r="144" spans="1:15" ht="25.5">
      <c r="A144" s="1256" t="s">
        <v>90</v>
      </c>
      <c r="B144" s="1256"/>
      <c r="C144" s="1256"/>
      <c r="D144" s="151" t="s">
        <v>183</v>
      </c>
      <c r="E144" s="95">
        <f>'28'!F144</f>
        <v>933045</v>
      </c>
      <c r="F144" s="149">
        <v>933285</v>
      </c>
      <c r="G144" s="112">
        <f t="shared" si="12"/>
        <v>240</v>
      </c>
      <c r="H144" s="99">
        <f>G144+'28'!H144</f>
        <v>6889</v>
      </c>
      <c r="I144" s="140"/>
      <c r="J144" s="328">
        <f>H144/DAY(B2)</f>
        <v>237.55172413793105</v>
      </c>
      <c r="O144" s="65">
        <v>488017.72</v>
      </c>
    </row>
    <row r="145" spans="1:15" ht="25.5">
      <c r="A145" s="1269" t="s">
        <v>190</v>
      </c>
      <c r="B145" s="1269"/>
      <c r="C145" s="1269"/>
      <c r="D145" s="152" t="s">
        <v>183</v>
      </c>
      <c r="E145" s="95">
        <f>'28'!F145</f>
        <v>12686</v>
      </c>
      <c r="F145" s="149">
        <v>12909.7</v>
      </c>
      <c r="G145" s="112">
        <f t="shared" si="12"/>
        <v>223.70000000000073</v>
      </c>
      <c r="H145" s="99">
        <f>G145+'28'!H145</f>
        <v>5675.5000000000009</v>
      </c>
      <c r="I145" s="140"/>
      <c r="J145" s="328">
        <f>H145/DAY(B2)</f>
        <v>195.70689655172416</v>
      </c>
      <c r="O145" s="65">
        <v>766346.23999999999</v>
      </c>
    </row>
    <row r="146" spans="1:15" ht="25.5">
      <c r="A146" s="1332" t="s">
        <v>191</v>
      </c>
      <c r="B146" s="1289"/>
      <c r="C146" s="1290"/>
      <c r="D146" s="152" t="s">
        <v>183</v>
      </c>
      <c r="E146" s="95">
        <f>'28'!F146</f>
        <v>784234</v>
      </c>
      <c r="F146" s="148">
        <v>784276</v>
      </c>
      <c r="G146" s="112">
        <f t="shared" si="12"/>
        <v>42</v>
      </c>
      <c r="H146" s="99">
        <f>G146+'28'!H146</f>
        <v>1468</v>
      </c>
      <c r="I146" s="140"/>
      <c r="J146" s="328">
        <f>H146/DAY(B2)</f>
        <v>50.620689655172413</v>
      </c>
    </row>
    <row r="147" spans="1:15" ht="25.5">
      <c r="A147" s="1256" t="s">
        <v>192</v>
      </c>
      <c r="B147" s="1256"/>
      <c r="C147" s="1256"/>
      <c r="D147" s="152" t="s">
        <v>183</v>
      </c>
      <c r="E147" s="95">
        <f>'28'!F147</f>
        <v>722816.88</v>
      </c>
      <c r="F147" s="148">
        <v>723173</v>
      </c>
      <c r="G147" s="112">
        <f t="shared" si="12"/>
        <v>356.11999999999534</v>
      </c>
      <c r="H147" s="99">
        <f>G147+'28'!H147</f>
        <v>11501.459999999963</v>
      </c>
      <c r="I147" s="140"/>
      <c r="J147" s="328">
        <f>H147/DAY(B2)</f>
        <v>396.60206896551597</v>
      </c>
    </row>
    <row r="148" spans="1:15" ht="25.5">
      <c r="A148" s="1257" t="s">
        <v>193</v>
      </c>
      <c r="B148" s="1258"/>
      <c r="C148" s="1259"/>
      <c r="D148" s="123" t="s">
        <v>130</v>
      </c>
      <c r="E148" s="95">
        <f>'28'!F148</f>
        <v>766081.84</v>
      </c>
      <c r="F148" s="150">
        <v>766346.23999999999</v>
      </c>
      <c r="G148" s="112">
        <f t="shared" si="12"/>
        <v>264.40000000002328</v>
      </c>
      <c r="H148" s="99">
        <f>G148+'28'!H148</f>
        <v>8395.7600000000093</v>
      </c>
      <c r="I148" s="124"/>
      <c r="J148" s="328">
        <f>H148/DAY(B2)</f>
        <v>289.50896551724168</v>
      </c>
    </row>
    <row r="149" spans="1:15" ht="25.5">
      <c r="A149" s="1257" t="s">
        <v>336</v>
      </c>
      <c r="B149" s="1258"/>
      <c r="C149" s="1259"/>
      <c r="D149" s="227" t="s">
        <v>130</v>
      </c>
      <c r="E149" s="95">
        <f>'28'!F149</f>
        <v>157136.4</v>
      </c>
      <c r="F149" s="146">
        <v>157525.75</v>
      </c>
      <c r="G149" s="112">
        <f t="shared" si="12"/>
        <v>389.35000000000582</v>
      </c>
      <c r="H149" s="99">
        <f>G149+'28'!H149</f>
        <v>11729.070000000007</v>
      </c>
      <c r="I149" s="119"/>
      <c r="J149" s="328">
        <f>H149/DAY(B2)</f>
        <v>404.45068965517265</v>
      </c>
    </row>
    <row r="150" spans="1:15" ht="25.5">
      <c r="A150" s="1257" t="s">
        <v>337</v>
      </c>
      <c r="B150" s="1258"/>
      <c r="C150" s="1259"/>
      <c r="D150" s="117" t="s">
        <v>130</v>
      </c>
      <c r="E150" s="95">
        <f>'28'!F150</f>
        <v>63535</v>
      </c>
      <c r="F150" s="233">
        <v>63754</v>
      </c>
      <c r="G150" s="112">
        <f t="shared" si="12"/>
        <v>219</v>
      </c>
      <c r="H150" s="99">
        <f>G150+'28'!H150</f>
        <v>6538.9000000000015</v>
      </c>
      <c r="I150" s="119"/>
      <c r="J150" s="328">
        <f>H150/DAY(B2)</f>
        <v>225.47931034482764</v>
      </c>
    </row>
    <row r="151" spans="1:15" ht="25.5">
      <c r="A151" s="1257" t="s">
        <v>338</v>
      </c>
      <c r="B151" s="1258"/>
      <c r="C151" s="1259"/>
      <c r="D151" s="117" t="s">
        <v>130</v>
      </c>
      <c r="E151" s="95">
        <f>'28'!F151</f>
        <v>149698</v>
      </c>
      <c r="F151" s="233">
        <v>149752</v>
      </c>
      <c r="G151" s="112">
        <f t="shared" si="12"/>
        <v>54</v>
      </c>
      <c r="H151" s="99">
        <f>G151+'28'!H151</f>
        <v>6538</v>
      </c>
      <c r="I151" s="119"/>
      <c r="J151" s="328">
        <f>H151/DAY(B2)</f>
        <v>225.44827586206895</v>
      </c>
    </row>
    <row r="152" spans="1:15" ht="25.5">
      <c r="A152" s="1257" t="s">
        <v>339</v>
      </c>
      <c r="B152" s="1258"/>
      <c r="C152" s="1259"/>
      <c r="D152" s="117" t="s">
        <v>130</v>
      </c>
      <c r="E152" s="95">
        <f>'28'!F152</f>
        <v>30360.53</v>
      </c>
      <c r="F152" s="233">
        <v>30487.22</v>
      </c>
      <c r="G152" s="112">
        <f>F152-E152</f>
        <v>126.69000000000233</v>
      </c>
      <c r="H152" s="99">
        <f>G152+'28'!H152</f>
        <v>3746.3199999999997</v>
      </c>
      <c r="I152" s="119"/>
      <c r="J152" s="328">
        <f>H152/DAY(B2)</f>
        <v>129.18344827586205</v>
      </c>
    </row>
    <row r="153" spans="1:15" ht="25.5">
      <c r="A153" s="1261" t="s">
        <v>196</v>
      </c>
      <c r="B153" s="1262"/>
      <c r="C153" s="362"/>
      <c r="D153" s="355"/>
      <c r="E153" s="357"/>
      <c r="F153" s="358"/>
      <c r="G153" s="359">
        <f>SUM(G138:G152)</f>
        <v>2557.9000000000387</v>
      </c>
      <c r="H153" s="360"/>
      <c r="I153" s="119">
        <f>G153-(G38+G52)</f>
        <v>373.90000000003874</v>
      </c>
      <c r="J153" s="363"/>
    </row>
    <row r="154" spans="1:15" ht="27.75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5" ht="27.75">
      <c r="A155" s="1256" t="s">
        <v>345</v>
      </c>
      <c r="B155" s="1256"/>
      <c r="C155" s="1256"/>
      <c r="D155" s="117" t="s">
        <v>130</v>
      </c>
      <c r="E155" s="95">
        <f>'28'!F155</f>
        <v>184360</v>
      </c>
      <c r="F155" s="375">
        <v>185160.3</v>
      </c>
      <c r="G155" s="112">
        <f t="shared" ref="G155:G158" si="13">F155-E155</f>
        <v>800.29999999998836</v>
      </c>
      <c r="H155" s="99">
        <f>G155+'28'!H155</f>
        <v>18483.299999999988</v>
      </c>
      <c r="I155" s="361"/>
      <c r="J155" s="328">
        <f>H155/DAY(B2)</f>
        <v>637.35517241379273</v>
      </c>
    </row>
    <row r="156" spans="1:15" ht="25.5">
      <c r="A156" s="1256" t="s">
        <v>347</v>
      </c>
      <c r="B156" s="1256"/>
      <c r="C156" s="1256"/>
      <c r="D156" s="117" t="s">
        <v>130</v>
      </c>
      <c r="E156" s="95">
        <f>'28'!F156</f>
        <v>20559.97</v>
      </c>
      <c r="F156" s="621">
        <v>20643.2</v>
      </c>
      <c r="G156" s="112">
        <f t="shared" si="13"/>
        <v>83.229999999999563</v>
      </c>
      <c r="H156" s="99">
        <f>G156+'28'!H156</f>
        <v>6141.2000000000007</v>
      </c>
      <c r="I156" s="165"/>
      <c r="J156" s="328">
        <f>H156/DAY(B2)</f>
        <v>211.76551724137934</v>
      </c>
    </row>
    <row r="157" spans="1:15" ht="25.5">
      <c r="A157" s="1257" t="s">
        <v>358</v>
      </c>
      <c r="B157" s="1258"/>
      <c r="C157" s="1259"/>
      <c r="D157" s="117" t="s">
        <v>130</v>
      </c>
      <c r="E157" s="95">
        <f>'28'!F157</f>
        <v>35824.800000000003</v>
      </c>
      <c r="F157" s="155">
        <v>35966.14</v>
      </c>
      <c r="G157" s="112">
        <f t="shared" si="13"/>
        <v>141.33999999999651</v>
      </c>
      <c r="H157" s="99">
        <f>G157+'28'!H157</f>
        <v>141.33999999999651</v>
      </c>
      <c r="I157" s="165"/>
      <c r="J157" s="328">
        <f>H157/DAY(B2)</f>
        <v>4.8737931034481559</v>
      </c>
    </row>
    <row r="158" spans="1:15" ht="25.5">
      <c r="A158" s="1257" t="s">
        <v>359</v>
      </c>
      <c r="B158" s="1258"/>
      <c r="C158" s="1259"/>
      <c r="D158" s="117" t="s">
        <v>130</v>
      </c>
      <c r="E158" s="95">
        <f>'28'!F158</f>
        <v>412.7</v>
      </c>
      <c r="F158" s="155">
        <v>472.96</v>
      </c>
      <c r="G158" s="112">
        <f t="shared" si="13"/>
        <v>60.259999999999991</v>
      </c>
      <c r="H158" s="99">
        <f>G158+'28'!H158</f>
        <v>60.259999999999991</v>
      </c>
      <c r="I158" s="165"/>
      <c r="J158" s="328">
        <f>H158/DAY(B2)</f>
        <v>2.0779310344827584</v>
      </c>
    </row>
    <row r="159" spans="1:15" ht="25.5">
      <c r="A159" s="1263"/>
      <c r="B159" s="1264"/>
      <c r="C159" s="1265"/>
      <c r="D159" s="117"/>
      <c r="E159" s="95"/>
      <c r="F159" s="165"/>
      <c r="G159" s="112"/>
      <c r="H159" s="99"/>
      <c r="I159" s="165"/>
      <c r="J159" s="328"/>
    </row>
    <row r="160" spans="1:15" ht="27.75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26.25">
      <c r="A161" s="242" t="s">
        <v>92</v>
      </c>
      <c r="B161" s="243"/>
      <c r="C161" s="243"/>
      <c r="D161" s="244" t="s">
        <v>180</v>
      </c>
      <c r="E161" s="95">
        <f>'28'!F161</f>
        <v>487766.04</v>
      </c>
      <c r="F161" s="235">
        <v>488017.72</v>
      </c>
      <c r="G161" s="238">
        <f t="shared" ref="G161:G165" si="14">F161-E161</f>
        <v>251.67999999999302</v>
      </c>
      <c r="H161" s="99">
        <f>G161+'28'!H161</f>
        <v>2454</v>
      </c>
      <c r="I161" s="236"/>
      <c r="J161" s="239">
        <f>H161/DAY(B2)</f>
        <v>84.620689655172413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'28'!F162</f>
        <v>97191.9</v>
      </c>
      <c r="F162" s="235">
        <v>97240.7</v>
      </c>
      <c r="G162" s="238">
        <f t="shared" si="14"/>
        <v>48.80000000000291</v>
      </c>
      <c r="H162" s="99">
        <f>G162+'28'!H162</f>
        <v>1119.6999999999971</v>
      </c>
      <c r="I162" s="236"/>
      <c r="J162" s="239">
        <f>H162/DAY(B2)</f>
        <v>38.610344827586104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'28'!F163</f>
        <v>13869</v>
      </c>
      <c r="F163" s="235">
        <v>14022.8</v>
      </c>
      <c r="G163" s="238">
        <f t="shared" si="14"/>
        <v>153.79999999999927</v>
      </c>
      <c r="H163" s="99">
        <f>G163+'28'!H163</f>
        <v>3897.1999999999989</v>
      </c>
      <c r="I163" s="236"/>
      <c r="J163" s="239">
        <f>H163/DAY(B2)</f>
        <v>134.3862068965517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'28'!F164</f>
        <v>6589.8</v>
      </c>
      <c r="F164" s="235">
        <v>6601.9</v>
      </c>
      <c r="G164" s="238">
        <f t="shared" si="14"/>
        <v>12.099999999999454</v>
      </c>
      <c r="H164" s="99">
        <f>G164+'28'!H164</f>
        <v>181.79999999999927</v>
      </c>
      <c r="I164" s="236"/>
      <c r="J164" s="239">
        <f>H164/DAY(B2)</f>
        <v>6.2689655172413543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'28'!F165</f>
        <v>32123</v>
      </c>
      <c r="F165" s="235">
        <v>32131.21</v>
      </c>
      <c r="G165" s="238">
        <f t="shared" si="14"/>
        <v>8.2099999999991269</v>
      </c>
      <c r="H165" s="99">
        <f>G165+'28'!H165</f>
        <v>270.02000000000044</v>
      </c>
      <c r="I165" s="236"/>
      <c r="J165" s="239">
        <f>H165/DAY(B2)</f>
        <v>9.311034482758636</v>
      </c>
    </row>
    <row r="166" spans="1:10" ht="26.25">
      <c r="A166" s="1274"/>
      <c r="B166" s="1274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6.25">
      <c r="A167" s="1274"/>
      <c r="B167" s="1274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6.25">
      <c r="A168" s="1274"/>
      <c r="B168" s="1274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5.5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54" t="s">
        <v>209</v>
      </c>
      <c r="B173" s="1255"/>
      <c r="C173" s="333"/>
      <c r="D173" s="228" t="s">
        <v>142</v>
      </c>
      <c r="E173" s="95">
        <f>'28'!F173</f>
        <v>8577</v>
      </c>
      <c r="F173" s="155">
        <v>8580</v>
      </c>
      <c r="G173" s="155">
        <f>F173-E173</f>
        <v>3</v>
      </c>
      <c r="H173" s="99">
        <f>G173+'28'!H173</f>
        <v>42</v>
      </c>
      <c r="I173" s="155"/>
      <c r="J173" s="178">
        <f>H173/DAY(B2)</f>
        <v>1.4482758620689655</v>
      </c>
    </row>
    <row r="174" spans="1:10" ht="25.5">
      <c r="A174" s="1254" t="s">
        <v>75</v>
      </c>
      <c r="B174" s="1255"/>
      <c r="C174" s="333"/>
      <c r="D174" s="228" t="s">
        <v>142</v>
      </c>
      <c r="E174" s="95">
        <f>'28'!F174</f>
        <v>41938</v>
      </c>
      <c r="F174" s="157">
        <v>41948</v>
      </c>
      <c r="G174" s="155">
        <f t="shared" ref="G174:G175" si="15">F174-E174</f>
        <v>10</v>
      </c>
      <c r="H174" s="99">
        <f>G174+'28'!H174</f>
        <v>354</v>
      </c>
      <c r="I174" s="155"/>
      <c r="J174" s="178">
        <f>H174/DAY(B2)</f>
        <v>12.206896551724139</v>
      </c>
    </row>
    <row r="175" spans="1:10" ht="25.5">
      <c r="A175" s="1254" t="s">
        <v>76</v>
      </c>
      <c r="B175" s="1324"/>
      <c r="C175" s="1255"/>
      <c r="D175" s="228" t="s">
        <v>142</v>
      </c>
      <c r="E175" s="95">
        <f>'28'!F175</f>
        <v>24672</v>
      </c>
      <c r="F175" s="155">
        <v>24683</v>
      </c>
      <c r="G175" s="155">
        <f t="shared" si="15"/>
        <v>11</v>
      </c>
      <c r="H175" s="99">
        <f>G175+'28'!H175</f>
        <v>330</v>
      </c>
      <c r="I175" s="155"/>
      <c r="J175" s="178">
        <f>H175/DAY(B2)</f>
        <v>11.379310344827585</v>
      </c>
    </row>
    <row r="176" spans="1:10" ht="25.5">
      <c r="A176" s="1261" t="s">
        <v>196</v>
      </c>
      <c r="B176" s="1262"/>
      <c r="C176" s="384"/>
      <c r="D176" s="228"/>
      <c r="E176" s="95"/>
      <c r="F176" s="155"/>
      <c r="G176" s="155">
        <f>SUM(G173:G175)</f>
        <v>24</v>
      </c>
      <c r="H176" s="99">
        <f>G176+'28'!H176</f>
        <v>726</v>
      </c>
      <c r="I176" s="155"/>
      <c r="J176" s="178">
        <f>H176/DAY(B2)</f>
        <v>25.03448275862069</v>
      </c>
    </row>
    <row r="177" spans="1:10" ht="25.5">
      <c r="A177" s="1254" t="s">
        <v>77</v>
      </c>
      <c r="B177" s="1255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5.5">
      <c r="A178" s="1254" t="s">
        <v>210</v>
      </c>
      <c r="B178" s="1255"/>
      <c r="C178" s="333"/>
      <c r="D178" s="228" t="s">
        <v>142</v>
      </c>
      <c r="E178" s="95">
        <f>'28'!F178</f>
        <v>102114</v>
      </c>
      <c r="F178" s="155">
        <v>102114</v>
      </c>
      <c r="G178" s="155">
        <f>F178-E178</f>
        <v>0</v>
      </c>
      <c r="H178" s="99">
        <f>G178+'28'!H178</f>
        <v>2139</v>
      </c>
      <c r="I178" s="155"/>
      <c r="J178" s="178">
        <f>H178/DAY(B2)</f>
        <v>73.758620689655174</v>
      </c>
    </row>
    <row r="179" spans="1:10" ht="25.5">
      <c r="A179" s="1254" t="s">
        <v>211</v>
      </c>
      <c r="B179" s="1255"/>
      <c r="C179" s="333"/>
      <c r="D179" s="228" t="s">
        <v>142</v>
      </c>
      <c r="E179" s="95">
        <f>'28'!F179</f>
        <v>37501</v>
      </c>
      <c r="F179" s="155">
        <v>37501</v>
      </c>
      <c r="G179" s="155">
        <f t="shared" ref="G179:G180" si="16">F179-E179</f>
        <v>0</v>
      </c>
      <c r="H179" s="99">
        <f>G179+'28'!H179</f>
        <v>252</v>
      </c>
      <c r="I179" s="155"/>
      <c r="J179" s="178">
        <f>H179/DAY(B2)</f>
        <v>8.6896551724137936</v>
      </c>
    </row>
    <row r="180" spans="1:10" ht="25.5">
      <c r="A180" s="1254" t="s">
        <v>212</v>
      </c>
      <c r="B180" s="1255"/>
      <c r="C180" s="333"/>
      <c r="D180" s="228" t="s">
        <v>142</v>
      </c>
      <c r="E180" s="95">
        <f>'28'!F180</f>
        <v>7231</v>
      </c>
      <c r="F180" s="155">
        <v>7231</v>
      </c>
      <c r="G180" s="155">
        <f t="shared" si="16"/>
        <v>0</v>
      </c>
      <c r="H180" s="99">
        <f>G180+'28'!H180</f>
        <v>235</v>
      </c>
      <c r="I180" s="155"/>
      <c r="J180" s="178">
        <f>H180/DAY(B2)</f>
        <v>8.1034482758620694</v>
      </c>
    </row>
    <row r="181" spans="1:10" ht="25.5">
      <c r="A181" s="1325" t="s">
        <v>108</v>
      </c>
      <c r="B181" s="1326"/>
      <c r="C181" s="384"/>
      <c r="D181" s="228"/>
      <c r="E181" s="95"/>
      <c r="F181" s="155"/>
      <c r="G181" s="155">
        <f>SUM(G178:G180)</f>
        <v>0</v>
      </c>
      <c r="H181" s="99">
        <f>G181+'28'!H181</f>
        <v>2626</v>
      </c>
      <c r="I181" s="155"/>
      <c r="J181" s="178">
        <f>H181/DAY(B2)</f>
        <v>90.551724137931032</v>
      </c>
    </row>
    <row r="182" spans="1:10" ht="25.5">
      <c r="A182" s="1254" t="s">
        <v>213</v>
      </c>
      <c r="B182" s="1255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5.5">
      <c r="A183" s="1254" t="s">
        <v>214</v>
      </c>
      <c r="B183" s="1255"/>
      <c r="C183" s="334"/>
      <c r="D183" s="228" t="s">
        <v>142</v>
      </c>
      <c r="E183" s="95">
        <f>'28'!F183</f>
        <v>17842</v>
      </c>
      <c r="F183" s="157">
        <v>17845</v>
      </c>
      <c r="G183" s="157">
        <f>F183-E183</f>
        <v>3</v>
      </c>
      <c r="H183" s="99">
        <f>G183+'28'!H183</f>
        <v>168</v>
      </c>
      <c r="I183" s="155"/>
      <c r="J183" s="178">
        <f>H183/DAY(B2)</f>
        <v>5.7931034482758621</v>
      </c>
    </row>
    <row r="184" spans="1:10" ht="25.5">
      <c r="A184" s="1254" t="s">
        <v>215</v>
      </c>
      <c r="B184" s="1255"/>
      <c r="C184" s="334"/>
      <c r="D184" s="228" t="s">
        <v>142</v>
      </c>
      <c r="E184" s="95">
        <f>'28'!F184</f>
        <v>12337</v>
      </c>
      <c r="F184" s="157">
        <v>12343</v>
      </c>
      <c r="G184" s="157">
        <f t="shared" ref="G184:G185" si="17">F184-E184</f>
        <v>6</v>
      </c>
      <c r="H184" s="99">
        <f>G184+'28'!H184</f>
        <v>196</v>
      </c>
      <c r="I184" s="155"/>
      <c r="J184" s="178">
        <f>H184/DAY(B2)</f>
        <v>6.7586206896551726</v>
      </c>
    </row>
    <row r="185" spans="1:10" ht="25.5">
      <c r="A185" s="1254" t="s">
        <v>216</v>
      </c>
      <c r="B185" s="1255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12106</v>
      </c>
      <c r="I185" s="155"/>
      <c r="J185" s="178">
        <f>H185/DAY(B2)</f>
        <v>417.44827586206895</v>
      </c>
    </row>
    <row r="186" spans="1:10" ht="25.5">
      <c r="A186" s="1261" t="s">
        <v>196</v>
      </c>
      <c r="B186" s="1262"/>
      <c r="C186" s="383"/>
      <c r="D186" s="229"/>
      <c r="E186" s="95"/>
      <c r="F186" s="157"/>
      <c r="G186" s="157">
        <f>SUM(G183:G185)</f>
        <v>9</v>
      </c>
      <c r="H186" s="99">
        <f>G186+'28'!H186</f>
        <v>12470</v>
      </c>
      <c r="I186" s="157"/>
      <c r="J186" s="178">
        <f>H186/DAY(B2)</f>
        <v>430</v>
      </c>
    </row>
    <row r="187" spans="1:10" ht="25.5">
      <c r="A187" s="1250" t="s">
        <v>217</v>
      </c>
      <c r="B187" s="1251"/>
      <c r="C187" s="333"/>
      <c r="D187" s="230" t="s">
        <v>142</v>
      </c>
      <c r="E187" s="95">
        <f>'28'!F187</f>
        <v>0</v>
      </c>
      <c r="F187" s="159"/>
      <c r="G187" s="444">
        <f>G62+G19</f>
        <v>135</v>
      </c>
      <c r="H187" s="99">
        <f>G187+'28'!H187</f>
        <v>3987</v>
      </c>
      <c r="I187" s="158"/>
      <c r="J187" s="179">
        <f>H187/DAY(B2)</f>
        <v>137.48275862068965</v>
      </c>
    </row>
    <row r="188" spans="1:10" ht="25.5">
      <c r="A188" s="1250" t="s">
        <v>218</v>
      </c>
      <c r="B188" s="1251"/>
      <c r="C188" s="333"/>
      <c r="D188" s="230" t="s">
        <v>142</v>
      </c>
      <c r="E188" s="95">
        <f>'28'!F188</f>
        <v>0</v>
      </c>
      <c r="F188" s="159"/>
      <c r="G188" s="444">
        <f>G65+G66+G67+G69+G70</f>
        <v>141</v>
      </c>
      <c r="H188" s="99">
        <f>G188+'28'!H188</f>
        <v>2132</v>
      </c>
      <c r="I188" s="158"/>
      <c r="J188" s="179">
        <f>H188/DAY(B2)</f>
        <v>73.517241379310349</v>
      </c>
    </row>
    <row r="189" spans="1:10" ht="25.5">
      <c r="A189" s="1250" t="s">
        <v>219</v>
      </c>
      <c r="B189" s="1251"/>
      <c r="C189" s="333"/>
      <c r="D189" s="230" t="s">
        <v>142</v>
      </c>
      <c r="E189" s="95">
        <f>'28'!F189</f>
        <v>0</v>
      </c>
      <c r="F189" s="157"/>
      <c r="G189" s="400">
        <f>G181</f>
        <v>0</v>
      </c>
      <c r="H189" s="99">
        <f>G189+'28'!H189</f>
        <v>670</v>
      </c>
      <c r="I189" s="158"/>
      <c r="J189" s="179">
        <f>H189/DAY(B2)</f>
        <v>23.103448275862068</v>
      </c>
    </row>
    <row r="190" spans="1:10" ht="25.5">
      <c r="A190" s="1252"/>
      <c r="B190" s="1253"/>
      <c r="C190" s="382"/>
      <c r="D190" s="379"/>
      <c r="E190" s="379" t="s">
        <v>207</v>
      </c>
      <c r="F190" s="379"/>
      <c r="G190" s="379"/>
      <c r="H190" s="380"/>
      <c r="I190" s="379"/>
      <c r="J190" s="381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zoomScale="55" zoomScaleNormal="55" zoomScaleSheetLayoutView="55" workbookViewId="0">
      <selection activeCell="F27" sqref="F27:F31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30.75" customHeight="1">
      <c r="A2" s="191" t="s">
        <v>354</v>
      </c>
      <c r="B2" s="262">
        <v>44834</v>
      </c>
      <c r="C2" s="348" t="s">
        <v>67</v>
      </c>
      <c r="D2" s="218">
        <v>0.68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27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855574</v>
      </c>
      <c r="F7" s="95">
        <v>881732</v>
      </c>
      <c r="G7" s="112">
        <f>F7-E7</f>
        <v>26158</v>
      </c>
      <c r="H7" s="99">
        <f>G7+'29'!H7</f>
        <v>758506</v>
      </c>
      <c r="I7" s="113">
        <f>'1'!I7</f>
        <v>12000</v>
      </c>
      <c r="J7" s="175">
        <f>H7/DAY(B2)</f>
        <v>25283.533333333333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v>22829</v>
      </c>
      <c r="F8" s="95">
        <v>49380</v>
      </c>
      <c r="G8" s="112">
        <f>F8-E8</f>
        <v>26551</v>
      </c>
      <c r="H8" s="99">
        <f>G8+'29'!H8</f>
        <v>766857</v>
      </c>
      <c r="I8" s="116"/>
      <c r="J8" s="175">
        <f>H8/DAY(B2)</f>
        <v>25561.9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3700823.5</v>
      </c>
      <c r="F9" s="447">
        <v>3706707</v>
      </c>
      <c r="G9" s="354">
        <f>F9-E9</f>
        <v>5883.5</v>
      </c>
      <c r="H9" s="99">
        <f>G9+'29'!H9</f>
        <v>216338.29999999981</v>
      </c>
      <c r="I9" s="124">
        <f>I7-J7</f>
        <v>-13283.533333333333</v>
      </c>
      <c r="J9" s="175">
        <f>H9/DAY(B2)</f>
        <v>7211.2766666666603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2723118.7</v>
      </c>
      <c r="F10" s="353">
        <v>2742694</v>
      </c>
      <c r="G10" s="112">
        <f t="shared" ref="G10:G12" si="0">F10-E10</f>
        <v>19575.299999999814</v>
      </c>
      <c r="H10" s="99">
        <f>G10+'29'!H10</f>
        <v>521896.70000000019</v>
      </c>
      <c r="I10" s="282"/>
      <c r="J10" s="175">
        <f>H10/DAY(B2)</f>
        <v>17396.556666666675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37560</v>
      </c>
      <c r="F11" s="95">
        <v>37560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40380</v>
      </c>
      <c r="F12" s="117">
        <v>40380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25458.799999999814</v>
      </c>
      <c r="H13" s="99">
        <f>G13+'29'!H13</f>
        <v>741219.19999999972</v>
      </c>
      <c r="I13" s="120">
        <f>G7-G13</f>
        <v>699.20000000018626</v>
      </c>
      <c r="J13" s="175">
        <f>H13/DAY(B2)</f>
        <v>24707.306666666656</v>
      </c>
      <c r="K13" s="79"/>
      <c r="L13" s="66"/>
      <c r="N13" s="87"/>
      <c r="O13" s="71" t="s">
        <v>369</v>
      </c>
    </row>
    <row r="14" spans="1:15" ht="30.75" customHeight="1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'29'!F15</f>
        <v>2160494.2999999998</v>
      </c>
      <c r="F15" s="447">
        <v>2161515</v>
      </c>
      <c r="G15" s="112">
        <f>(F15-E15)</f>
        <v>1020.7000000001863</v>
      </c>
      <c r="H15" s="99">
        <f>G15+'29'!H15</f>
        <v>29681.399999999907</v>
      </c>
      <c r="I15" s="113">
        <f>'1'!I15</f>
        <v>800</v>
      </c>
      <c r="J15" s="175">
        <f>H15/DAY(B2)</f>
        <v>989.37999999999693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-189.37999999999693</v>
      </c>
      <c r="J16" s="176"/>
      <c r="K16" s="79"/>
      <c r="L16" s="66"/>
      <c r="N16" s="87"/>
      <c r="O16" s="71"/>
    </row>
    <row r="17" spans="1:15" ht="30.75" customHeight="1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1281" t="s">
        <v>141</v>
      </c>
      <c r="B18" s="1282"/>
      <c r="C18" s="1283"/>
      <c r="D18" s="151" t="s">
        <v>142</v>
      </c>
      <c r="E18" s="95">
        <f>'29'!F18</f>
        <v>27</v>
      </c>
      <c r="F18" s="122">
        <v>27</v>
      </c>
      <c r="G18" s="119">
        <f>F18*10</f>
        <v>270</v>
      </c>
      <c r="H18" s="99">
        <f>G18+'29'!H18</f>
        <v>5340</v>
      </c>
      <c r="I18" s="113">
        <f>'1'!I18</f>
        <v>65</v>
      </c>
      <c r="J18" s="175">
        <f>H18/DAY(B2)</f>
        <v>178</v>
      </c>
      <c r="K18" s="79"/>
      <c r="L18" s="66"/>
      <c r="N18" s="87"/>
      <c r="O18" s="71"/>
    </row>
    <row r="19" spans="1:15" ht="30.75" customHeight="1">
      <c r="A19" s="1281" t="s">
        <v>69</v>
      </c>
      <c r="B19" s="1282"/>
      <c r="C19" s="1283"/>
      <c r="D19" s="151" t="s">
        <v>142</v>
      </c>
      <c r="E19" s="95">
        <f>'29'!F19</f>
        <v>165391</v>
      </c>
      <c r="F19" s="122">
        <v>165441</v>
      </c>
      <c r="G19" s="112">
        <f t="shared" ref="G19" si="1">F19-E19</f>
        <v>50</v>
      </c>
      <c r="H19" s="99">
        <f>G19+'29'!H19</f>
        <v>1548</v>
      </c>
      <c r="I19" s="335"/>
      <c r="J19" s="175">
        <f>H19/DAY(B2)</f>
        <v>51.6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320</v>
      </c>
      <c r="H20" s="99">
        <f>G20+'29'!H20</f>
        <v>6888</v>
      </c>
      <c r="I20" s="336">
        <f>I18-J20</f>
        <v>-164.6</v>
      </c>
      <c r="J20" s="175">
        <f>H20/DAY(B2)</f>
        <v>229.6</v>
      </c>
      <c r="K20" s="79"/>
      <c r="L20" s="66"/>
      <c r="N20" s="87"/>
      <c r="O20" s="71"/>
    </row>
    <row r="21" spans="1:15" ht="30.75" customHeight="1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26551</v>
      </c>
      <c r="F27" s="136">
        <v>10</v>
      </c>
      <c r="G27" s="137">
        <f>E27*F27</f>
        <v>265510</v>
      </c>
      <c r="H27" s="99">
        <f>G27+'29'!H27</f>
        <v>7029224.1699999999</v>
      </c>
      <c r="I27" s="138"/>
      <c r="J27" s="175">
        <f>H27/DAY(B2)</f>
        <v>234307.47233333334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1020.7000000001863</v>
      </c>
      <c r="F28" s="136">
        <v>75</v>
      </c>
      <c r="G28" s="137">
        <f>E28*F28</f>
        <v>76552.50000001397</v>
      </c>
      <c r="H28" s="99">
        <f>G28+'29'!H28</f>
        <v>2102828.0999999936</v>
      </c>
      <c r="I28" s="140"/>
      <c r="J28" s="175">
        <f>H28/DAY(B2)</f>
        <v>70094.269999999786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G30+'29'!H30</f>
        <v>233748</v>
      </c>
      <c r="I30" s="140"/>
      <c r="J30" s="175">
        <f>H30/DAY(B2)</f>
        <v>7791.6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85</v>
      </c>
      <c r="G31" s="137">
        <f>E31*F31</f>
        <v>22950</v>
      </c>
      <c r="H31" s="99">
        <f>G31+'29'!H31</f>
        <v>433300</v>
      </c>
      <c r="I31" s="140"/>
      <c r="J31" s="175">
        <f>H31/DAY(B2)</f>
        <v>14443.333333333334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372562.50000001397</v>
      </c>
      <c r="H32" s="99">
        <f>G32+'29'!H32</f>
        <v>9799100.2699999958</v>
      </c>
      <c r="I32" s="144"/>
      <c r="J32" s="175">
        <f>H32/DAY(B2)</f>
        <v>326636.67566666653</v>
      </c>
      <c r="K32" s="63"/>
      <c r="L32" s="89"/>
      <c r="N32" s="87"/>
      <c r="O32" s="71"/>
    </row>
    <row r="33" spans="1:15" ht="30.75" customHeight="1">
      <c r="A33" s="1314" t="s">
        <v>331</v>
      </c>
      <c r="B33" s="1315"/>
      <c r="C33" s="1315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238713.05</v>
      </c>
      <c r="F35" s="145">
        <v>238713.05</v>
      </c>
      <c r="G35" s="112">
        <f t="shared" ref="G35:G46" si="3">F35-E35</f>
        <v>0</v>
      </c>
      <c r="H35" s="99">
        <f>G35+'29'!H35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268699.07</v>
      </c>
      <c r="F36" s="145">
        <v>269483</v>
      </c>
      <c r="G36" s="112">
        <f t="shared" si="3"/>
        <v>783.92999999999302</v>
      </c>
      <c r="H36" s="99">
        <f>G36+'29'!H36</f>
        <v>27665.950000000012</v>
      </c>
      <c r="I36" s="95"/>
      <c r="J36" s="175">
        <f>H36/DAY(B2)</f>
        <v>922.19833333333372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322998.69</v>
      </c>
      <c r="F37" s="145">
        <v>322998.69</v>
      </c>
      <c r="G37" s="112">
        <f t="shared" si="3"/>
        <v>0</v>
      </c>
      <c r="H37" s="99">
        <f>G37+'29'!H37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591447.63</v>
      </c>
      <c r="F38" s="108">
        <v>593717</v>
      </c>
      <c r="G38" s="112">
        <f t="shared" si="3"/>
        <v>2269.3699999999953</v>
      </c>
      <c r="H38" s="99">
        <f>G38+'29'!H38</f>
        <v>67961.5</v>
      </c>
      <c r="I38" s="95"/>
      <c r="J38" s="175">
        <f>H38/DAY(B2)</f>
        <v>2265.3833333333332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591584</v>
      </c>
      <c r="F39" s="145">
        <v>591584.18999999994</v>
      </c>
      <c r="G39" s="112">
        <f t="shared" si="3"/>
        <v>0.18999999994412065</v>
      </c>
      <c r="H39" s="99">
        <f>G39+'29'!H39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157166.03</v>
      </c>
      <c r="F40" s="145">
        <v>157980</v>
      </c>
      <c r="G40" s="112">
        <f t="shared" si="3"/>
        <v>813.97000000000116</v>
      </c>
      <c r="H40" s="99">
        <f>G40+'29'!H40</f>
        <v>24708.76999999999</v>
      </c>
      <c r="I40" s="95"/>
      <c r="J40" s="175">
        <f>H40/DAY(B2)</f>
        <v>823.62566666666635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381351.55</v>
      </c>
      <c r="F41" s="145">
        <v>381352</v>
      </c>
      <c r="G41" s="112">
        <f t="shared" si="3"/>
        <v>0.45000000001164153</v>
      </c>
      <c r="H41" s="99">
        <f>G41+'29'!H41</f>
        <v>99138.93</v>
      </c>
      <c r="I41" s="95"/>
      <c r="J41" s="175">
        <f>H41/DAY(B2)</f>
        <v>3304.6309999999999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822155.83</v>
      </c>
      <c r="F42" s="405">
        <v>825087</v>
      </c>
      <c r="G42" s="112">
        <f t="shared" si="3"/>
        <v>2931.1700000000419</v>
      </c>
      <c r="H42" s="99">
        <f>G42+'29'!H42</f>
        <v>26068.449999999953</v>
      </c>
      <c r="I42" s="95"/>
      <c r="J42" s="175">
        <f>H42/DAY(B2)</f>
        <v>868.94833333333179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407028</v>
      </c>
      <c r="F43" s="145">
        <v>407028</v>
      </c>
      <c r="G43" s="112">
        <f t="shared" si="3"/>
        <v>0</v>
      </c>
      <c r="H43" s="99">
        <f>G43+'29'!H43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6799.0799999999872</v>
      </c>
      <c r="H47" s="99">
        <f>G47+'29'!H47</f>
        <v>245543.59999999995</v>
      </c>
      <c r="I47" s="95"/>
      <c r="J47" s="175">
        <f>H47/DAY(B2)</f>
        <v>8184.786666666665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716247.75</v>
      </c>
      <c r="F49" s="145">
        <v>720287</v>
      </c>
      <c r="G49" s="112">
        <f t="shared" ref="G49:G58" si="4">F49-E49</f>
        <v>4039.25</v>
      </c>
      <c r="H49" s="99">
        <f>G49+'29'!H49</f>
        <v>110669.41000000003</v>
      </c>
      <c r="I49" s="95"/>
      <c r="J49" s="175">
        <f>H49/DAY(B2)</f>
        <v>3688.9803333333343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364000</v>
      </c>
      <c r="F50" s="145">
        <v>365771</v>
      </c>
      <c r="G50" s="112">
        <f t="shared" si="4"/>
        <v>1771</v>
      </c>
      <c r="H50" s="99">
        <f>G50+'29'!H50</f>
        <v>248486.37</v>
      </c>
      <c r="I50" s="95"/>
      <c r="J50" s="175">
        <f>H50/DAY(B2)</f>
        <v>8282.878999999999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70662.320000000007</v>
      </c>
      <c r="F51" s="145">
        <v>71727</v>
      </c>
      <c r="G51" s="112">
        <f t="shared" si="4"/>
        <v>1064.679999999993</v>
      </c>
      <c r="H51" s="99">
        <f>G51+'29'!H51</f>
        <v>30865.739999999998</v>
      </c>
      <c r="I51" s="95"/>
      <c r="J51" s="175">
        <f>H51/DAY(B2)</f>
        <v>1028.8579999999999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10</v>
      </c>
      <c r="F52" s="145">
        <v>10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289818.5</v>
      </c>
      <c r="F53" s="401">
        <v>294101</v>
      </c>
      <c r="G53" s="112">
        <f t="shared" si="4"/>
        <v>4282.5</v>
      </c>
      <c r="H53" s="99">
        <f>G53+'29'!H53</f>
        <v>126826.31</v>
      </c>
      <c r="I53" s="95"/>
      <c r="J53" s="175">
        <f>H53/DAY(B2)</f>
        <v>4227.5436666666665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101220.75</v>
      </c>
      <c r="F54" s="401">
        <v>101387</v>
      </c>
      <c r="G54" s="112">
        <f t="shared" si="4"/>
        <v>166.25</v>
      </c>
      <c r="H54" s="99">
        <f>G54+'29'!H54</f>
        <v>5658.9100000000035</v>
      </c>
      <c r="I54" s="95"/>
      <c r="J54" s="175">
        <f>H54/DAY(B2)</f>
        <v>188.63033333333345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494482.51</v>
      </c>
      <c r="F55" s="401">
        <v>494483</v>
      </c>
      <c r="G55" s="112">
        <f t="shared" si="4"/>
        <v>0.48999999999068677</v>
      </c>
      <c r="H55" s="99">
        <f>G55+'29'!H55</f>
        <v>51313.25</v>
      </c>
      <c r="I55" s="95"/>
      <c r="J55" s="175">
        <f>H55/DAY(B2)</f>
        <v>1710.4416666666666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146304.93</v>
      </c>
      <c r="F56" s="401">
        <v>149719</v>
      </c>
      <c r="G56" s="112">
        <f t="shared" si="4"/>
        <v>3414.070000000007</v>
      </c>
      <c r="H56" s="99">
        <f>G56+'29'!H56</f>
        <v>23671.309999999998</v>
      </c>
      <c r="I56" s="95"/>
      <c r="J56" s="175">
        <f>H56/DAY(B2)</f>
        <v>789.04366666666658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406118.39</v>
      </c>
      <c r="F57" s="401">
        <v>409078</v>
      </c>
      <c r="G57" s="112">
        <f t="shared" si="4"/>
        <v>2959.609999999986</v>
      </c>
      <c r="H57" s="99">
        <f>G57+'29'!H57</f>
        <v>86827.07</v>
      </c>
      <c r="I57" s="95"/>
      <c r="J57" s="175">
        <f>H57/DAY(B2)</f>
        <v>2894.2356666666669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63890.6</v>
      </c>
      <c r="F58" s="401">
        <v>64151</v>
      </c>
      <c r="G58" s="112">
        <f t="shared" si="4"/>
        <v>260.40000000000146</v>
      </c>
      <c r="H58" s="99">
        <f>G58+'29'!H58</f>
        <v>7390</v>
      </c>
      <c r="I58" s="95"/>
      <c r="J58" s="175">
        <f>H58/DAY(B2)</f>
        <v>246.33333333333334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227"/>
      <c r="G59" s="119">
        <f>G49+G50+G51+G52+G53+G54+G55+G56+G57+G58</f>
        <v>17958.249999999978</v>
      </c>
      <c r="H59" s="99">
        <f>G59+'29'!H59</f>
        <v>488260.11</v>
      </c>
      <c r="I59" s="95">
        <f>G7-G60</f>
        <v>1400.6700000000346</v>
      </c>
      <c r="J59" s="175">
        <f>H59/DAY(B2)</f>
        <v>16275.337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227"/>
      <c r="G60" s="119">
        <f>G47+G59</f>
        <v>24757.329999999965</v>
      </c>
      <c r="H60" s="99">
        <f>G60+'29'!H60</f>
        <v>733803.70999999985</v>
      </c>
      <c r="I60" s="95">
        <f>G13-G60</f>
        <v>701.46999999984837</v>
      </c>
      <c r="J60" s="175">
        <f>H60/DAY(B2)</f>
        <v>24460.123666666663</v>
      </c>
      <c r="K60" s="79"/>
      <c r="L60" s="66"/>
      <c r="N60" s="87"/>
      <c r="O60" s="71"/>
    </row>
    <row r="61" spans="1:15" s="68" customFormat="1" ht="30.75" customHeight="1">
      <c r="A61" s="1278" t="s">
        <v>332</v>
      </c>
      <c r="B61" s="1279"/>
      <c r="C61" s="1280"/>
      <c r="D61" s="339"/>
      <c r="E61" s="339"/>
      <c r="F61" s="340"/>
      <c r="G61" s="340" t="s">
        <v>207</v>
      </c>
      <c r="H61" s="339"/>
      <c r="I61" s="339"/>
      <c r="J61" s="341"/>
      <c r="K61" s="69"/>
      <c r="L61" s="67"/>
      <c r="N61" s="87"/>
      <c r="O61" s="71"/>
    </row>
    <row r="62" spans="1:15" ht="30.75" customHeight="1">
      <c r="A62" s="1281" t="s">
        <v>198</v>
      </c>
      <c r="B62" s="1282"/>
      <c r="C62" s="1283"/>
      <c r="D62" s="151" t="s">
        <v>142</v>
      </c>
      <c r="E62" s="95">
        <f>'29'!F62</f>
        <v>301962</v>
      </c>
      <c r="F62" s="150">
        <v>302065</v>
      </c>
      <c r="G62" s="112">
        <f t="shared" ref="G62:G63" si="5">F62-E62</f>
        <v>103</v>
      </c>
      <c r="H62" s="99">
        <f>G62+'29'!H62</f>
        <v>2592</v>
      </c>
      <c r="I62" s="118"/>
      <c r="J62" s="175">
        <f>H62/DAY(B2)</f>
        <v>86.4</v>
      </c>
      <c r="K62" s="80"/>
      <c r="L62" s="66"/>
      <c r="N62" s="87"/>
      <c r="O62" s="71"/>
    </row>
    <row r="63" spans="1:15" ht="30.75" customHeight="1">
      <c r="A63" s="1281" t="s">
        <v>199</v>
      </c>
      <c r="B63" s="1282"/>
      <c r="C63" s="1283"/>
      <c r="D63" s="151" t="s">
        <v>142</v>
      </c>
      <c r="E63" s="95">
        <f>'29'!F63</f>
        <v>245139</v>
      </c>
      <c r="F63" s="150">
        <v>245139</v>
      </c>
      <c r="G63" s="112">
        <f t="shared" si="5"/>
        <v>0</v>
      </c>
      <c r="H63" s="99">
        <f>G63+'29'!H63</f>
        <v>2547</v>
      </c>
      <c r="I63" s="118"/>
      <c r="J63" s="175">
        <f>H63/DAY(B2)</f>
        <v>84.9</v>
      </c>
      <c r="K63" s="69"/>
      <c r="L63" s="66"/>
      <c r="N63" s="87"/>
      <c r="O63" s="71"/>
    </row>
    <row r="64" spans="1:15" ht="30.75" customHeight="1">
      <c r="A64" s="1284" t="s">
        <v>200</v>
      </c>
      <c r="B64" s="1285"/>
      <c r="C64" s="1286"/>
      <c r="D64" s="151"/>
      <c r="E64" s="95">
        <f>'29'!F64</f>
        <v>0</v>
      </c>
      <c r="F64" s="150"/>
      <c r="G64" s="112">
        <f>G62+G63</f>
        <v>103</v>
      </c>
      <c r="H64" s="99">
        <f>G64+'29'!H64</f>
        <v>5139</v>
      </c>
      <c r="I64" s="118"/>
      <c r="J64" s="175">
        <f>H64/DAY(B2)</f>
        <v>171.3</v>
      </c>
      <c r="K64" s="69"/>
      <c r="L64" s="66"/>
      <c r="N64" s="87"/>
      <c r="O64" s="71"/>
    </row>
    <row r="65" spans="1:15" ht="30.75" customHeight="1">
      <c r="A65" s="1281" t="s">
        <v>201</v>
      </c>
      <c r="B65" s="1282"/>
      <c r="C65" s="1283"/>
      <c r="D65" s="151" t="s">
        <v>142</v>
      </c>
      <c r="E65" s="95">
        <f>'29'!F65</f>
        <v>460713</v>
      </c>
      <c r="F65" s="150">
        <v>460824</v>
      </c>
      <c r="G65" s="112">
        <f t="shared" ref="G65:G70" si="6">F65-E65</f>
        <v>111</v>
      </c>
      <c r="H65" s="99">
        <f>G65+'29'!H65</f>
        <v>2998</v>
      </c>
      <c r="I65" s="118"/>
      <c r="J65" s="175">
        <f>H65/DAY(B2)</f>
        <v>99.933333333333337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112583</v>
      </c>
      <c r="F66" s="150">
        <v>112605</v>
      </c>
      <c r="G66" s="112">
        <f t="shared" si="6"/>
        <v>22</v>
      </c>
      <c r="H66" s="99">
        <f>G66+'29'!H66</f>
        <v>308</v>
      </c>
      <c r="I66" s="118"/>
      <c r="J66" s="175">
        <f>H66/DAY(B2)</f>
        <v>10.266666666666667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114708</v>
      </c>
      <c r="F67" s="150">
        <v>114708</v>
      </c>
      <c r="G67" s="112">
        <f t="shared" si="6"/>
        <v>0</v>
      </c>
      <c r="H67" s="99">
        <f>G67+'29'!H67</f>
        <v>510</v>
      </c>
      <c r="I67" s="118"/>
      <c r="J67" s="175">
        <f>H67/DAY(B2)</f>
        <v>17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166543</v>
      </c>
      <c r="F68" s="150">
        <v>166581</v>
      </c>
      <c r="G68" s="112">
        <f t="shared" si="6"/>
        <v>38</v>
      </c>
      <c r="H68" s="99">
        <f>G68+'29'!H68</f>
        <v>1025</v>
      </c>
      <c r="I68" s="118"/>
      <c r="J68" s="175">
        <f>H68/DAY(B2)</f>
        <v>34.166666666666664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12561</v>
      </c>
      <c r="F69" s="150">
        <v>12564</v>
      </c>
      <c r="G69" s="112">
        <f t="shared" si="6"/>
        <v>3</v>
      </c>
      <c r="H69" s="99">
        <f>G69+'29'!H69</f>
        <v>126</v>
      </c>
      <c r="I69" s="118"/>
      <c r="J69" s="175">
        <f>H69/DAY(B2)</f>
        <v>4.2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10333</v>
      </c>
      <c r="F70" s="150">
        <v>10333</v>
      </c>
      <c r="G70" s="236">
        <f t="shared" si="6"/>
        <v>0</v>
      </c>
      <c r="H70" s="99">
        <f>G70+'29'!H70</f>
        <v>237</v>
      </c>
      <c r="I70" s="118"/>
      <c r="J70" s="175">
        <f>H70/DAY(B2)</f>
        <v>7.9</v>
      </c>
      <c r="K70" s="69"/>
      <c r="L70" s="66"/>
      <c r="N70" s="87"/>
      <c r="O70" s="71"/>
    </row>
    <row r="71" spans="1:15" ht="30.75" customHeight="1">
      <c r="A71" s="1284" t="s">
        <v>208</v>
      </c>
      <c r="B71" s="1285"/>
      <c r="C71" s="1286"/>
      <c r="D71" s="152"/>
      <c r="E71" s="152"/>
      <c r="F71" s="152"/>
      <c r="G71" s="153">
        <f>SUM(G65:G70)</f>
        <v>174</v>
      </c>
      <c r="H71" s="99">
        <f>G71+'29'!H71</f>
        <v>5204</v>
      </c>
      <c r="I71" s="154"/>
      <c r="J71" s="175">
        <f>H71/DAY(B2)</f>
        <v>173.46666666666667</v>
      </c>
      <c r="K71" s="69"/>
      <c r="L71" s="66"/>
      <c r="N71" s="87"/>
      <c r="O71" s="71"/>
    </row>
    <row r="72" spans="1:15" s="88" customFormat="1" ht="30.75" customHeight="1">
      <c r="A72" s="1287"/>
      <c r="B72" s="126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1295" t="s">
        <v>333</v>
      </c>
      <c r="B73" s="1296"/>
      <c r="C73" s="129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1281" t="s">
        <v>220</v>
      </c>
      <c r="B74" s="1282"/>
      <c r="C74" s="1283"/>
      <c r="D74" s="151" t="s">
        <v>139</v>
      </c>
      <c r="E74" s="95">
        <f>'29'!F74</f>
        <v>975521.01</v>
      </c>
      <c r="F74" s="123">
        <v>975811</v>
      </c>
      <c r="G74" s="112">
        <f t="shared" ref="G74:G78" si="7">F74-E74</f>
        <v>289.98999999999069</v>
      </c>
      <c r="H74" s="99">
        <f>G74+'29'!H74</f>
        <v>8628.2199999999721</v>
      </c>
      <c r="I74" s="154"/>
      <c r="J74" s="175">
        <f>H74/DAY(B2)</f>
        <v>287.60733333333241</v>
      </c>
      <c r="K74" s="69"/>
      <c r="L74" s="66"/>
      <c r="N74" s="87"/>
      <c r="O74" s="71"/>
    </row>
    <row r="75" spans="1:15" ht="30.75" customHeight="1">
      <c r="A75" s="1281" t="s">
        <v>221</v>
      </c>
      <c r="B75" s="1282"/>
      <c r="C75" s="1283"/>
      <c r="D75" s="151" t="s">
        <v>139</v>
      </c>
      <c r="E75" s="95">
        <f>'29'!F75</f>
        <v>73586</v>
      </c>
      <c r="F75" s="123">
        <v>73586</v>
      </c>
      <c r="G75" s="112">
        <f t="shared" si="7"/>
        <v>0</v>
      </c>
      <c r="H75" s="99">
        <f>G75+'29'!H75</f>
        <v>-0.80000000000291038</v>
      </c>
      <c r="I75" s="154"/>
      <c r="J75" s="175">
        <f>H75/DAY(B2)</f>
        <v>-2.6666666666763681E-2</v>
      </c>
      <c r="K75" s="69"/>
      <c r="L75" s="66"/>
      <c r="N75" s="87"/>
      <c r="O75" s="71"/>
    </row>
    <row r="76" spans="1:15" ht="30.75" customHeight="1">
      <c r="A76" s="1288" t="s">
        <v>222</v>
      </c>
      <c r="B76" s="1289"/>
      <c r="C76" s="1290"/>
      <c r="D76" s="151" t="s">
        <v>139</v>
      </c>
      <c r="E76" s="95">
        <f>'29'!F76</f>
        <v>196618</v>
      </c>
      <c r="F76" s="123">
        <v>196736</v>
      </c>
      <c r="G76" s="112">
        <f t="shared" si="7"/>
        <v>118</v>
      </c>
      <c r="H76" s="99">
        <f>G76+'29'!H76</f>
        <v>3314.5</v>
      </c>
      <c r="I76" s="154"/>
      <c r="J76" s="175">
        <f>H76/DAY(B2)</f>
        <v>110.48333333333333</v>
      </c>
      <c r="K76" s="69"/>
      <c r="L76" s="66"/>
      <c r="N76" s="87"/>
      <c r="O76" s="71"/>
    </row>
    <row r="77" spans="1:15" ht="30.75" customHeight="1">
      <c r="A77" s="1288" t="s">
        <v>223</v>
      </c>
      <c r="B77" s="1289"/>
      <c r="C77" s="1290"/>
      <c r="D77" s="151" t="s">
        <v>139</v>
      </c>
      <c r="E77" s="95">
        <f>'29'!F77</f>
        <v>53284</v>
      </c>
      <c r="F77" s="123">
        <v>53352</v>
      </c>
      <c r="G77" s="112">
        <f t="shared" si="7"/>
        <v>68</v>
      </c>
      <c r="H77" s="99">
        <f>G77+'29'!H77</f>
        <v>1512</v>
      </c>
      <c r="I77" s="154"/>
      <c r="J77" s="175">
        <f>H77/DAY(B2)</f>
        <v>50.4</v>
      </c>
      <c r="K77" s="69"/>
      <c r="L77" s="66"/>
      <c r="N77" s="87"/>
      <c r="O77" s="71"/>
    </row>
    <row r="78" spans="1:15" ht="30.75" customHeight="1">
      <c r="A78" s="1288" t="s">
        <v>224</v>
      </c>
      <c r="B78" s="1289"/>
      <c r="C78" s="1290"/>
      <c r="D78" s="151" t="s">
        <v>139</v>
      </c>
      <c r="E78" s="95">
        <f>'29'!F78</f>
        <v>9563.4</v>
      </c>
      <c r="F78" s="123">
        <v>9563.4</v>
      </c>
      <c r="G78" s="112">
        <f t="shared" si="7"/>
        <v>0</v>
      </c>
      <c r="H78" s="99">
        <f>G78+'29'!H78</f>
        <v>-0.6000000000003638</v>
      </c>
      <c r="I78" s="118"/>
      <c r="J78" s="175">
        <f>H78/DAY(B2)</f>
        <v>-2.0000000000012126E-2</v>
      </c>
      <c r="K78" s="69"/>
      <c r="L78" s="66"/>
      <c r="N78" s="87"/>
      <c r="O78" s="71"/>
    </row>
    <row r="79" spans="1:15" s="57" customFormat="1" ht="30.75" customHeight="1">
      <c r="A79" s="1288" t="s">
        <v>225</v>
      </c>
      <c r="B79" s="1289"/>
      <c r="C79" s="1290"/>
      <c r="D79" s="151"/>
      <c r="E79" s="95">
        <f>'29'!F79</f>
        <v>0</v>
      </c>
      <c r="F79" s="117"/>
      <c r="G79" s="112">
        <f>G15-SUM(G74:G78)</f>
        <v>544.71000000019558</v>
      </c>
      <c r="H79" s="99">
        <f>G79+'29'!H79</f>
        <v>16228.079999999938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1284" t="s">
        <v>329</v>
      </c>
      <c r="B80" s="1285"/>
      <c r="C80" s="1286"/>
      <c r="D80" s="151"/>
      <c r="E80" s="117"/>
      <c r="F80" s="117"/>
      <c r="G80" s="112">
        <f>SUM(G74:G79)</f>
        <v>1020.7000000001863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538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538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43366.8</v>
      </c>
      <c r="F84" s="164">
        <v>43366.8</v>
      </c>
      <c r="G84" s="112">
        <f t="shared" si="8"/>
        <v>0</v>
      </c>
      <c r="H84" s="99">
        <f>G84+'29'!H84</f>
        <v>454.25</v>
      </c>
      <c r="I84" s="538"/>
      <c r="J84" s="175">
        <f>H84/DAY(B2)</f>
        <v>15.141666666666667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120">
        <f>'29'!F85</f>
        <v>5463.2</v>
      </c>
      <c r="F85" s="150">
        <v>5476</v>
      </c>
      <c r="G85" s="112">
        <f t="shared" si="8"/>
        <v>12.800000000000182</v>
      </c>
      <c r="H85" s="99">
        <f>G85+'29'!H85</f>
        <v>112</v>
      </c>
      <c r="I85" s="538"/>
      <c r="J85" s="175">
        <f>H85/DAY(B2)</f>
        <v>3.7333333333333334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46271.42</v>
      </c>
      <c r="F86" s="164">
        <v>46271.42</v>
      </c>
      <c r="G86" s="625">
        <f t="shared" si="8"/>
        <v>0</v>
      </c>
      <c r="H86" s="99">
        <f>G86+'29'!H86</f>
        <v>350.04999999999563</v>
      </c>
      <c r="I86" s="538"/>
      <c r="J86" s="175">
        <f>H86/DAY(B2)</f>
        <v>11.668333333333187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35620.400000000001</v>
      </c>
      <c r="F87" s="164">
        <v>35644</v>
      </c>
      <c r="G87" s="112">
        <f t="shared" si="8"/>
        <v>23.599999999998545</v>
      </c>
      <c r="H87" s="99">
        <f>G87+'29'!H87</f>
        <v>169.19999999999709</v>
      </c>
      <c r="I87" s="524">
        <f>G84+G85+G86+G87</f>
        <v>36.399999999998727</v>
      </c>
      <c r="J87" s="175">
        <f>H87/DAY(B2)</f>
        <v>5.6399999999999029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24413.5</v>
      </c>
      <c r="F88" s="164">
        <v>24423.96</v>
      </c>
      <c r="G88" s="112">
        <f t="shared" si="8"/>
        <v>10.459999999999127</v>
      </c>
      <c r="H88" s="99">
        <f>G88+'29'!H88</f>
        <v>88.799999999999272</v>
      </c>
      <c r="I88" s="524"/>
      <c r="J88" s="175">
        <f>H88/DAY(B2)</f>
        <v>2.9599999999999755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27988.07</v>
      </c>
      <c r="F89" s="164">
        <v>27988</v>
      </c>
      <c r="G89" s="112">
        <f t="shared" si="8"/>
        <v>-6.9999999999708962E-2</v>
      </c>
      <c r="H89" s="99">
        <f>G89+'29'!H89</f>
        <v>185.97999999999956</v>
      </c>
      <c r="I89" s="524">
        <f>G88+G89</f>
        <v>10.389999999999418</v>
      </c>
      <c r="J89" s="175">
        <f>H89/DAY(B2)</f>
        <v>6.1993333333333185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73230.25</v>
      </c>
      <c r="F90" s="164">
        <v>73243.740000000005</v>
      </c>
      <c r="G90" s="112">
        <f t="shared" si="8"/>
        <v>13.490000000005239</v>
      </c>
      <c r="H90" s="99">
        <f>G90+'29'!H90</f>
        <v>58.05000000000291</v>
      </c>
      <c r="I90" s="524">
        <f>G90</f>
        <v>13.490000000005239</v>
      </c>
      <c r="J90" s="175">
        <f>H90/DAY(B2)</f>
        <v>1.9350000000000971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4667.21</v>
      </c>
      <c r="F91" s="122">
        <v>4678.43</v>
      </c>
      <c r="G91" s="112">
        <f t="shared" si="8"/>
        <v>11.220000000000255</v>
      </c>
      <c r="H91" s="99">
        <f>G91+'29'!H91</f>
        <v>330.28000000000065</v>
      </c>
      <c r="I91" s="572"/>
      <c r="J91" s="175">
        <f>H91/DAY(B2)</f>
        <v>11.009333333333355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7000</v>
      </c>
      <c r="F92" s="122">
        <v>7000</v>
      </c>
      <c r="G92" s="112">
        <f t="shared" si="8"/>
        <v>0</v>
      </c>
      <c r="H92" s="99">
        <f>G92+'29'!H92</f>
        <v>0</v>
      </c>
      <c r="I92" s="573">
        <f>G91+G92</f>
        <v>11.220000000000255</v>
      </c>
      <c r="J92" s="175">
        <f>H92/DAY(B2)</f>
        <v>0</v>
      </c>
      <c r="O92" s="71"/>
    </row>
    <row r="93" spans="1:15" ht="30.75" customHeight="1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6998.859999999986</v>
      </c>
      <c r="H94" s="99">
        <f>G94+'29'!H94</f>
        <v>197496.48000000004</v>
      </c>
      <c r="I94" s="118"/>
      <c r="J94" s="175">
        <f>H94/DAY(B2)</f>
        <v>6583.2160000000013</v>
      </c>
      <c r="K94" s="69"/>
      <c r="L94" s="66"/>
      <c r="O94" s="71"/>
    </row>
    <row r="95" spans="1:15" ht="30.75" customHeight="1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0.26756097560975556</v>
      </c>
      <c r="H95" s="99">
        <f>G95+'29'!H95</f>
        <v>7.8196444140043129</v>
      </c>
      <c r="I95" s="167"/>
      <c r="J95" s="175">
        <f>H95/DAY(B2)</f>
        <v>0.26065481380014377</v>
      </c>
      <c r="K95" s="69"/>
      <c r="L95" s="66"/>
      <c r="O95" s="71"/>
    </row>
    <row r="96" spans="1:15" ht="30.75" customHeight="1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6346.1800000000512</v>
      </c>
      <c r="H96" s="99">
        <f>G96+'29'!H96</f>
        <v>200191.93999999994</v>
      </c>
      <c r="I96" s="118"/>
      <c r="J96" s="175">
        <f>H96/DAY(B2)</f>
        <v>6673.0646666666644</v>
      </c>
      <c r="K96" s="69"/>
      <c r="L96" s="66"/>
      <c r="O96" s="71"/>
    </row>
    <row r="97" spans="1:15" ht="30.75" customHeight="1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0.24260952672222844</v>
      </c>
      <c r="H97" s="99">
        <f>G97+'29'!H97</f>
        <v>7.9082706879217204</v>
      </c>
      <c r="I97" s="167"/>
      <c r="J97" s="175">
        <f>H97/DAY(B2)</f>
        <v>0.26360902293072402</v>
      </c>
      <c r="K97" s="69"/>
      <c r="L97" s="66"/>
      <c r="O97" s="71"/>
    </row>
    <row r="98" spans="1:15" ht="30.75" customHeight="1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4282.6899999999441</v>
      </c>
      <c r="H98" s="99">
        <f>G98+'29'!H98</f>
        <v>126826.31</v>
      </c>
      <c r="I98" s="168"/>
      <c r="J98" s="175">
        <f>H98/DAY(B2)</f>
        <v>4227.5436666666665</v>
      </c>
      <c r="K98" s="69"/>
      <c r="L98" s="66"/>
      <c r="O98" s="71"/>
    </row>
    <row r="99" spans="1:15" ht="30.75" customHeight="1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0.16372390855569785</v>
      </c>
      <c r="H99" s="99">
        <f>G99+'29'!H99</f>
        <v>5.0258330039649586</v>
      </c>
      <c r="I99" s="168"/>
      <c r="J99" s="175">
        <f>H99/DAY(B2)</f>
        <v>0.16752776679883194</v>
      </c>
      <c r="O99" s="71"/>
    </row>
    <row r="100" spans="1:15" ht="30.75" customHeight="1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2269.3699999999953</v>
      </c>
      <c r="H100" s="99">
        <f>G100+'29'!H100</f>
        <v>67961.5</v>
      </c>
      <c r="I100" s="118"/>
      <c r="J100" s="175">
        <f>H100/DAY(B2)</f>
        <v>2265.3833333333332</v>
      </c>
      <c r="K100" s="70"/>
      <c r="O100" s="71"/>
    </row>
    <row r="101" spans="1:15" ht="30.75" customHeight="1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8.6756250477865102E-2</v>
      </c>
      <c r="H101" s="99">
        <f>G101+'29'!H101</f>
        <v>2.690939635157918</v>
      </c>
      <c r="I101" s="168"/>
      <c r="J101" s="175">
        <f>H101/DAY(B2)</f>
        <v>8.9697987838597268E-2</v>
      </c>
      <c r="O101" s="71"/>
    </row>
    <row r="102" spans="1:15" ht="30.75" customHeight="1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2554.929999999993</v>
      </c>
      <c r="H102" s="99">
        <f>G102+'29'!H102</f>
        <v>72704.06</v>
      </c>
      <c r="I102" s="168"/>
      <c r="J102" s="175">
        <f>H102/DAY(B2)</f>
        <v>2423.4686666666666</v>
      </c>
      <c r="O102" s="71"/>
    </row>
    <row r="103" spans="1:15" ht="30.75" customHeight="1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9.767298723143944E-2</v>
      </c>
      <c r="H103" s="99">
        <f>G103+'29'!H103</f>
        <v>2.8715397597989516</v>
      </c>
      <c r="I103" s="118"/>
      <c r="J103" s="175">
        <f>H103/DAY(B2)</f>
        <v>9.571799199329839E-2</v>
      </c>
      <c r="O103" s="71"/>
    </row>
    <row r="104" spans="1:15" ht="30.75" customHeight="1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1064.679999999993</v>
      </c>
      <c r="H104" s="99">
        <f>G104+'29'!H104</f>
        <v>30865.739999999998</v>
      </c>
      <c r="I104" s="118"/>
      <c r="J104" s="175">
        <f>H104/DAY(B2)</f>
        <v>1028.8579999999999</v>
      </c>
      <c r="O104" s="71"/>
    </row>
    <row r="105" spans="1:15" ht="30.75" customHeight="1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4.0701888523587165E-2</v>
      </c>
      <c r="H105" s="99">
        <f>G105+'29'!H105</f>
        <v>1.2232958592530834</v>
      </c>
      <c r="I105" s="187"/>
      <c r="J105" s="188">
        <f>H105/DAY(B2)</f>
        <v>4.0776528641769443E-2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30.75" customHeight="1">
      <c r="A109" s="1291"/>
      <c r="B109" s="1291"/>
    </row>
    <row r="110" spans="1:15" ht="30.75" customHeight="1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30.75" customHeight="1">
      <c r="A111" s="1270"/>
      <c r="B111" s="1271"/>
      <c r="C111" s="1272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1266" t="s">
        <v>252</v>
      </c>
      <c r="B112" s="1267"/>
      <c r="C112" s="1268"/>
      <c r="D112" s="146" t="s">
        <v>183</v>
      </c>
      <c r="E112" s="95">
        <f>'29'!F112</f>
        <v>11590.16</v>
      </c>
      <c r="F112" s="237">
        <v>11663</v>
      </c>
      <c r="G112" s="112">
        <f t="shared" ref="G112:G123" si="9">F112-E112</f>
        <v>72.840000000000146</v>
      </c>
      <c r="H112" s="99">
        <f>G112+'29'!H112</f>
        <v>2231.8999999999996</v>
      </c>
      <c r="I112" s="165"/>
      <c r="J112" s="328">
        <f>H112/DAY(B2)</f>
        <v>74.396666666666661</v>
      </c>
    </row>
    <row r="113" spans="1:18" ht="30.75" customHeight="1">
      <c r="A113" s="1266" t="s">
        <v>253</v>
      </c>
      <c r="B113" s="1267"/>
      <c r="C113" s="1268"/>
      <c r="D113" s="146" t="s">
        <v>183</v>
      </c>
      <c r="E113" s="95">
        <f>'29'!F113</f>
        <v>23379.7</v>
      </c>
      <c r="F113" s="237">
        <v>23521</v>
      </c>
      <c r="G113" s="112">
        <f t="shared" si="9"/>
        <v>141.29999999999927</v>
      </c>
      <c r="H113" s="99">
        <f>G113+'29'!H113</f>
        <v>4296.0999999999985</v>
      </c>
      <c r="I113" s="165"/>
      <c r="J113" s="328">
        <f>H113/DAY(B2)</f>
        <v>143.20333333333329</v>
      </c>
    </row>
    <row r="114" spans="1:18" ht="30.75" customHeight="1">
      <c r="A114" s="1266" t="s">
        <v>254</v>
      </c>
      <c r="B114" s="1267"/>
      <c r="C114" s="1268"/>
      <c r="D114" s="146" t="s">
        <v>183</v>
      </c>
      <c r="E114" s="95">
        <f>'29'!F114</f>
        <v>34555.300000000003</v>
      </c>
      <c r="F114" s="237">
        <v>34775</v>
      </c>
      <c r="G114" s="112">
        <f t="shared" si="9"/>
        <v>219.69999999999709</v>
      </c>
      <c r="H114" s="99">
        <f>G114+'29'!H114</f>
        <v>6904.0999999999985</v>
      </c>
      <c r="I114" s="165"/>
      <c r="J114" s="328">
        <f>H114/DAY(B2)</f>
        <v>230.13666666666663</v>
      </c>
    </row>
    <row r="115" spans="1:18" ht="30.75" customHeight="1">
      <c r="A115" s="1266" t="s">
        <v>255</v>
      </c>
      <c r="B115" s="1267"/>
      <c r="C115" s="1268"/>
      <c r="D115" s="146" t="s">
        <v>183</v>
      </c>
      <c r="E115" s="95">
        <f>'29'!F115</f>
        <v>21931.9</v>
      </c>
      <c r="F115" s="237">
        <v>22053</v>
      </c>
      <c r="G115" s="112">
        <f t="shared" si="9"/>
        <v>121.09999999999854</v>
      </c>
      <c r="H115" s="99">
        <f>G115+'29'!H115</f>
        <v>4625.7999999999993</v>
      </c>
      <c r="I115" s="165"/>
      <c r="J115" s="328">
        <f>H115/DAY(B2)</f>
        <v>154.1933333333333</v>
      </c>
    </row>
    <row r="116" spans="1:18" ht="30.75" customHeight="1">
      <c r="A116" s="1275" t="s">
        <v>96</v>
      </c>
      <c r="B116" s="1276"/>
      <c r="C116" s="1277"/>
      <c r="D116" s="146" t="s">
        <v>183</v>
      </c>
      <c r="E116" s="95">
        <f>'29'!F116</f>
        <v>96626.11</v>
      </c>
      <c r="F116" s="237">
        <v>97135</v>
      </c>
      <c r="G116" s="112">
        <f t="shared" si="9"/>
        <v>508.88999999999942</v>
      </c>
      <c r="H116" s="99">
        <f>G116+'29'!H116</f>
        <v>14315.699999999997</v>
      </c>
      <c r="I116" s="165"/>
      <c r="J116" s="328">
        <f>H116/DAY(B2)</f>
        <v>477.18999999999988</v>
      </c>
      <c r="Q116" s="1266" t="s">
        <v>311</v>
      </c>
      <c r="R116" s="1268"/>
    </row>
    <row r="117" spans="1:18" ht="30.75" customHeight="1">
      <c r="A117" s="1275" t="s">
        <v>184</v>
      </c>
      <c r="B117" s="1276"/>
      <c r="C117" s="1277"/>
      <c r="D117" s="146" t="s">
        <v>183</v>
      </c>
      <c r="E117" s="95">
        <f>'29'!F117</f>
        <v>56313.75</v>
      </c>
      <c r="F117" s="237">
        <v>56905</v>
      </c>
      <c r="G117" s="112">
        <f t="shared" si="9"/>
        <v>591.25</v>
      </c>
      <c r="H117" s="99">
        <f>G117+'29'!H117</f>
        <v>8399</v>
      </c>
      <c r="I117" s="165"/>
      <c r="J117" s="328">
        <f>H117/DAY(B2)</f>
        <v>279.96666666666664</v>
      </c>
      <c r="Q117" s="1266" t="s">
        <v>312</v>
      </c>
      <c r="R117" s="1268"/>
    </row>
    <row r="118" spans="1:18" ht="30.75" customHeight="1">
      <c r="A118" s="1269" t="s">
        <v>97</v>
      </c>
      <c r="B118" s="1269"/>
      <c r="C118" s="1269"/>
      <c r="D118" s="151" t="s">
        <v>183</v>
      </c>
      <c r="E118" s="95">
        <f>'29'!F118</f>
        <v>101137.7</v>
      </c>
      <c r="F118" s="400">
        <v>101754</v>
      </c>
      <c r="G118" s="112">
        <f t="shared" si="9"/>
        <v>616.30000000000291</v>
      </c>
      <c r="H118" s="99">
        <f>G118+'29'!H118</f>
        <v>19118.199999999997</v>
      </c>
      <c r="I118" s="165"/>
      <c r="J118" s="328">
        <f>H118/DAY(B2)</f>
        <v>637.2733333333332</v>
      </c>
      <c r="Q118" s="1266" t="s">
        <v>311</v>
      </c>
      <c r="R118" s="1268"/>
    </row>
    <row r="119" spans="1:18" ht="30.75" customHeight="1">
      <c r="A119" s="1269" t="s">
        <v>98</v>
      </c>
      <c r="B119" s="1269"/>
      <c r="C119" s="1269"/>
      <c r="D119" s="151" t="s">
        <v>183</v>
      </c>
      <c r="E119" s="95">
        <f>'29'!F119</f>
        <v>42566.9</v>
      </c>
      <c r="F119" s="237">
        <v>42581</v>
      </c>
      <c r="G119" s="112">
        <f t="shared" si="9"/>
        <v>14.099999999998545</v>
      </c>
      <c r="H119" s="99">
        <f>G119+'29'!H119</f>
        <v>1537.5999999999985</v>
      </c>
      <c r="I119" s="165"/>
      <c r="J119" s="328">
        <f>H119/DAY(B2)</f>
        <v>51.253333333333288</v>
      </c>
    </row>
    <row r="120" spans="1:18" ht="30.75" customHeight="1">
      <c r="A120" s="1269" t="s">
        <v>99</v>
      </c>
      <c r="B120" s="1269"/>
      <c r="C120" s="1269"/>
      <c r="D120" s="151" t="s">
        <v>183</v>
      </c>
      <c r="E120" s="95">
        <f>'29'!F120</f>
        <v>70926.5</v>
      </c>
      <c r="F120" s="237">
        <v>71332</v>
      </c>
      <c r="G120" s="112">
        <f t="shared" si="9"/>
        <v>405.5</v>
      </c>
      <c r="H120" s="99">
        <f>G120+'29'!H120</f>
        <v>12766.599999999999</v>
      </c>
      <c r="I120" s="165"/>
      <c r="J120" s="328">
        <f>H120/DAY(B2)</f>
        <v>425.55333333333328</v>
      </c>
    </row>
    <row r="121" spans="1:18" ht="30.75" customHeight="1">
      <c r="A121" s="1269" t="s">
        <v>100</v>
      </c>
      <c r="B121" s="1269"/>
      <c r="C121" s="1269"/>
      <c r="D121" s="151" t="s">
        <v>183</v>
      </c>
      <c r="E121" s="95">
        <f>'29'!F121</f>
        <v>80872.2</v>
      </c>
      <c r="F121" s="237">
        <v>81356</v>
      </c>
      <c r="G121" s="112">
        <f t="shared" si="9"/>
        <v>483.80000000000291</v>
      </c>
      <c r="H121" s="99">
        <f>G121+'29'!H121</f>
        <v>14074</v>
      </c>
      <c r="I121" s="165"/>
      <c r="J121" s="328">
        <f>H121/DAY(B2)</f>
        <v>469.13333333333333</v>
      </c>
    </row>
    <row r="122" spans="1:18" ht="30.75" customHeight="1">
      <c r="A122" s="1269" t="s">
        <v>101</v>
      </c>
      <c r="B122" s="1269"/>
      <c r="C122" s="1269"/>
      <c r="D122" s="151" t="s">
        <v>183</v>
      </c>
      <c r="E122" s="95">
        <f>'29'!F122</f>
        <v>48743.199999999997</v>
      </c>
      <c r="F122" s="237">
        <v>49131</v>
      </c>
      <c r="G122" s="112">
        <f t="shared" si="9"/>
        <v>387.80000000000291</v>
      </c>
      <c r="H122" s="99">
        <f>G122+'29'!H122</f>
        <v>10804.099999999999</v>
      </c>
      <c r="I122" s="165"/>
      <c r="J122" s="328">
        <f>H122/DAY(B2)</f>
        <v>360.1366666666666</v>
      </c>
    </row>
    <row r="123" spans="1:18" ht="30.75" customHeight="1">
      <c r="A123" s="1269" t="s">
        <v>102</v>
      </c>
      <c r="B123" s="1269"/>
      <c r="C123" s="1269"/>
      <c r="D123" s="151" t="s">
        <v>183</v>
      </c>
      <c r="E123" s="95">
        <f>'29'!F123</f>
        <v>49443.9</v>
      </c>
      <c r="F123" s="237">
        <v>49749</v>
      </c>
      <c r="G123" s="112">
        <f t="shared" si="9"/>
        <v>305.09999999999854</v>
      </c>
      <c r="H123" s="99">
        <f>G123+'29'!H123</f>
        <v>9700.1999999999971</v>
      </c>
      <c r="I123" s="165"/>
      <c r="J123" s="328">
        <f>H123/DAY(B2)</f>
        <v>323.33999999999992</v>
      </c>
    </row>
    <row r="124" spans="1:18" ht="30.75" customHeight="1">
      <c r="A124" s="1270"/>
      <c r="B124" s="1271"/>
      <c r="C124" s="1272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1261" t="s">
        <v>196</v>
      </c>
      <c r="B125" s="1262"/>
      <c r="C125" s="245"/>
      <c r="D125" s="307"/>
      <c r="E125" s="308"/>
      <c r="F125" s="308"/>
      <c r="G125" s="309">
        <f>SUM(G112:G124)</f>
        <v>3867.6800000000003</v>
      </c>
      <c r="H125" s="156"/>
      <c r="I125" s="327">
        <f>G125-(G39+G53)</f>
        <v>-415.00999999994383</v>
      </c>
      <c r="J125" s="327"/>
    </row>
    <row r="126" spans="1:18" ht="30.75" customHeight="1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30.75" customHeight="1">
      <c r="A127" s="1274"/>
      <c r="B127" s="1274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1266" t="s">
        <v>318</v>
      </c>
      <c r="B128" s="1267"/>
      <c r="C128" s="1268"/>
      <c r="D128" s="151" t="s">
        <v>183</v>
      </c>
      <c r="E128" s="95">
        <f>'29'!F128</f>
        <v>154375</v>
      </c>
      <c r="F128" s="165">
        <v>154815</v>
      </c>
      <c r="G128" s="112">
        <f t="shared" ref="G128:G134" si="10">F128-E128</f>
        <v>440</v>
      </c>
      <c r="H128" s="99">
        <f>G128+'29'!H128</f>
        <v>13359.899999999994</v>
      </c>
      <c r="I128" s="165"/>
      <c r="J128" s="328">
        <f>H128/DAY(B2)</f>
        <v>445.32999999999981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83754.899999999994</v>
      </c>
      <c r="F129" s="165">
        <v>83936</v>
      </c>
      <c r="G129" s="112">
        <f t="shared" si="10"/>
        <v>181.10000000000582</v>
      </c>
      <c r="H129" s="99">
        <f>G129+'29'!H129</f>
        <v>5617.6000000000058</v>
      </c>
      <c r="I129" s="165"/>
      <c r="J129" s="328">
        <f>H129/DAY(B2)</f>
        <v>187.25333333333353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205923.3</v>
      </c>
      <c r="F130" s="165">
        <v>206759</v>
      </c>
      <c r="G130" s="112">
        <f t="shared" si="10"/>
        <v>835.70000000001164</v>
      </c>
      <c r="H130" s="99">
        <f>G130+'29'!H130</f>
        <v>20964.209999999992</v>
      </c>
      <c r="I130" s="165"/>
      <c r="J130" s="328">
        <f>H130/DAY(B2)</f>
        <v>698.80699999999968</v>
      </c>
      <c r="N130" s="240"/>
      <c r="O130" s="241"/>
    </row>
    <row r="131" spans="1:15" ht="30.75" customHeight="1">
      <c r="A131" s="1266" t="s">
        <v>321</v>
      </c>
      <c r="B131" s="1267"/>
      <c r="C131" s="1268"/>
      <c r="D131" s="151" t="s">
        <v>183</v>
      </c>
      <c r="E131" s="95">
        <f>'29'!F131</f>
        <v>60109</v>
      </c>
      <c r="F131" s="165">
        <v>60308</v>
      </c>
      <c r="G131" s="112">
        <f t="shared" si="10"/>
        <v>199</v>
      </c>
      <c r="H131" s="99">
        <f>G131+'29'!H131</f>
        <v>6460.3000000000029</v>
      </c>
      <c r="I131" s="165"/>
      <c r="J131" s="328">
        <f>H131/DAY(B2)</f>
        <v>215.34333333333342</v>
      </c>
      <c r="N131" s="240"/>
      <c r="O131" s="241"/>
    </row>
    <row r="132" spans="1:15" ht="30.75" customHeight="1">
      <c r="A132" s="1266" t="s">
        <v>322</v>
      </c>
      <c r="B132" s="1267"/>
      <c r="C132" s="1268"/>
      <c r="D132" s="151" t="s">
        <v>183</v>
      </c>
      <c r="E132" s="120">
        <f>'29'!F132</f>
        <v>146985</v>
      </c>
      <c r="F132" s="443">
        <v>146985</v>
      </c>
      <c r="G132" s="112">
        <f t="shared" si="10"/>
        <v>0</v>
      </c>
      <c r="H132" s="99">
        <f>G132+'29'!H132</f>
        <v>6455.7999999999884</v>
      </c>
      <c r="I132" s="165"/>
      <c r="J132" s="328">
        <f>H132/DAY(B2)</f>
        <v>215.19333333333296</v>
      </c>
    </row>
    <row r="133" spans="1:15" ht="30.75" customHeight="1">
      <c r="A133" s="1266" t="s">
        <v>357</v>
      </c>
      <c r="B133" s="1267"/>
      <c r="C133" s="1268"/>
      <c r="D133" s="151" t="s">
        <v>183</v>
      </c>
      <c r="E133" s="95">
        <f>'29'!F133</f>
        <v>265026.51</v>
      </c>
      <c r="F133" s="165">
        <v>265945</v>
      </c>
      <c r="G133" s="112">
        <f t="shared" si="10"/>
        <v>918.48999999999069</v>
      </c>
      <c r="H133" s="99">
        <f>G133+'29'!H133</f>
        <v>25916</v>
      </c>
      <c r="I133" s="165"/>
      <c r="J133" s="328">
        <f>H133/DAY(B2)</f>
        <v>863.86666666666667</v>
      </c>
    </row>
    <row r="134" spans="1:15" ht="30.75" customHeight="1">
      <c r="A134" s="1266" t="s">
        <v>340</v>
      </c>
      <c r="B134" s="1267"/>
      <c r="C134" s="1268"/>
      <c r="D134" s="151" t="s">
        <v>183</v>
      </c>
      <c r="E134" s="95">
        <f>'29'!F134</f>
        <v>63412.6</v>
      </c>
      <c r="F134" s="445">
        <v>63662</v>
      </c>
      <c r="G134" s="112">
        <f t="shared" si="10"/>
        <v>249.40000000000146</v>
      </c>
      <c r="H134" s="99">
        <f>G134+'29'!H134</f>
        <v>7758.8499999999985</v>
      </c>
      <c r="I134" s="165"/>
      <c r="J134" s="328">
        <f>H134/DAY(B2)</f>
        <v>258.62833333333327</v>
      </c>
    </row>
    <row r="135" spans="1:15" ht="30.75" customHeight="1">
      <c r="A135" s="1261" t="s">
        <v>196</v>
      </c>
      <c r="B135" s="1262"/>
      <c r="C135" s="331"/>
      <c r="D135" s="151"/>
      <c r="E135" s="95"/>
      <c r="F135" s="165"/>
      <c r="G135" s="112">
        <f>SUM(G128:G134)</f>
        <v>2823.6900000000096</v>
      </c>
      <c r="H135" s="99">
        <f>G135+'23'!H135</f>
        <v>30788.080000000031</v>
      </c>
      <c r="I135" s="327">
        <f>G135-(G35+G49)</f>
        <v>-1215.5599999999904</v>
      </c>
      <c r="J135" s="328">
        <f>H135/DAY(B2)</f>
        <v>1026.2693333333343</v>
      </c>
    </row>
    <row r="136" spans="1:15" ht="30.75" customHeight="1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1269" t="s">
        <v>185</v>
      </c>
      <c r="B138" s="1269"/>
      <c r="C138" s="1269"/>
      <c r="D138" s="151" t="s">
        <v>183</v>
      </c>
      <c r="E138" s="95">
        <f>'29'!F138</f>
        <v>898085</v>
      </c>
      <c r="F138" s="147">
        <v>898205</v>
      </c>
      <c r="G138" s="112">
        <f t="shared" ref="G138:G152" si="11">F138-E138</f>
        <v>120</v>
      </c>
      <c r="H138" s="99">
        <f>G138+'29'!H138</f>
        <v>3270</v>
      </c>
      <c r="I138" s="118"/>
      <c r="J138" s="328">
        <f>H138/DAY(B2)</f>
        <v>109</v>
      </c>
    </row>
    <row r="139" spans="1:15" ht="30.75" customHeight="1">
      <c r="A139" s="1269" t="s">
        <v>186</v>
      </c>
      <c r="B139" s="1269"/>
      <c r="C139" s="1269"/>
      <c r="D139" s="151" t="s">
        <v>183</v>
      </c>
      <c r="E139" s="95">
        <f>'29'!F139</f>
        <v>918053</v>
      </c>
      <c r="F139" s="148">
        <v>918204</v>
      </c>
      <c r="G139" s="112">
        <f t="shared" si="11"/>
        <v>151</v>
      </c>
      <c r="H139" s="99">
        <f>G139+'29'!H139</f>
        <v>4605</v>
      </c>
      <c r="I139" s="118"/>
      <c r="J139" s="328">
        <f>H139/DAY(B2)</f>
        <v>153.5</v>
      </c>
    </row>
    <row r="140" spans="1:15" ht="30.75" customHeight="1">
      <c r="A140" s="1269" t="s">
        <v>187</v>
      </c>
      <c r="B140" s="1269"/>
      <c r="C140" s="1269"/>
      <c r="D140" s="151" t="s">
        <v>183</v>
      </c>
      <c r="E140" s="95">
        <f>'29'!F140</f>
        <v>2331.69</v>
      </c>
      <c r="F140" s="149">
        <v>2343</v>
      </c>
      <c r="G140" s="112">
        <f t="shared" si="11"/>
        <v>11.309999999999945</v>
      </c>
      <c r="H140" s="99">
        <f>G140+'29'!H140</f>
        <v>835.24</v>
      </c>
      <c r="I140" s="118"/>
      <c r="J140" s="328">
        <f>H140/DAY(B2)</f>
        <v>27.841333333333335</v>
      </c>
    </row>
    <row r="141" spans="1:15" ht="30.75" customHeight="1">
      <c r="A141" s="1256" t="s">
        <v>188</v>
      </c>
      <c r="B141" s="1256"/>
      <c r="C141" s="1256"/>
      <c r="D141" s="151" t="s">
        <v>183</v>
      </c>
      <c r="E141" s="95">
        <f>'29'!F141</f>
        <v>103538.57</v>
      </c>
      <c r="F141" s="149">
        <v>103774</v>
      </c>
      <c r="G141" s="112">
        <f t="shared" si="11"/>
        <v>235.42999999999302</v>
      </c>
      <c r="H141" s="99">
        <f>G141+'29'!H141</f>
        <v>7161</v>
      </c>
      <c r="I141" s="118"/>
      <c r="J141" s="328">
        <f>H141/DAY(B2)</f>
        <v>238.7</v>
      </c>
    </row>
    <row r="142" spans="1:15" ht="30.75" customHeight="1">
      <c r="A142" s="1256" t="s">
        <v>189</v>
      </c>
      <c r="B142" s="1256"/>
      <c r="C142" s="1256"/>
      <c r="D142" s="151" t="s">
        <v>183</v>
      </c>
      <c r="E142" s="95">
        <f>'29'!F142</f>
        <v>41729.300000000003</v>
      </c>
      <c r="F142" s="148">
        <v>41815</v>
      </c>
      <c r="G142" s="112">
        <f t="shared" si="11"/>
        <v>85.69999999999709</v>
      </c>
      <c r="H142" s="99">
        <f>G142+'29'!H142</f>
        <v>2725</v>
      </c>
      <c r="I142" s="140"/>
      <c r="J142" s="328">
        <f>H142/DAY(B2)</f>
        <v>90.833333333333329</v>
      </c>
    </row>
    <row r="143" spans="1:15" ht="30.75" customHeight="1">
      <c r="A143" s="1269" t="s">
        <v>91</v>
      </c>
      <c r="B143" s="1269"/>
      <c r="C143" s="1269"/>
      <c r="D143" s="151" t="s">
        <v>183</v>
      </c>
      <c r="E143" s="95">
        <f>'29'!F143</f>
        <v>10659.6</v>
      </c>
      <c r="F143" s="149">
        <v>10677</v>
      </c>
      <c r="G143" s="112">
        <f t="shared" si="11"/>
        <v>17.399999999999636</v>
      </c>
      <c r="H143" s="99">
        <f>G143+'29'!H143</f>
        <v>824</v>
      </c>
      <c r="I143" s="140"/>
      <c r="J143" s="328">
        <f>H143/DAY(B2)</f>
        <v>27.466666666666665</v>
      </c>
    </row>
    <row r="144" spans="1:15" ht="30.75" customHeight="1">
      <c r="A144" s="1256" t="s">
        <v>90</v>
      </c>
      <c r="B144" s="1256"/>
      <c r="C144" s="1256"/>
      <c r="D144" s="151" t="s">
        <v>183</v>
      </c>
      <c r="E144" s="95">
        <f>'29'!F144</f>
        <v>933285</v>
      </c>
      <c r="F144" s="149">
        <v>933521</v>
      </c>
      <c r="G144" s="112">
        <f t="shared" si="11"/>
        <v>236</v>
      </c>
      <c r="H144" s="99">
        <f>G144+'29'!H144</f>
        <v>7125</v>
      </c>
      <c r="I144" s="140"/>
      <c r="J144" s="328">
        <f>H144/DAY(B2)</f>
        <v>237.5</v>
      </c>
    </row>
    <row r="145" spans="1:10" ht="30.75" customHeight="1">
      <c r="A145" s="1269" t="s">
        <v>190</v>
      </c>
      <c r="B145" s="1269"/>
      <c r="C145" s="1269"/>
      <c r="D145" s="152" t="s">
        <v>183</v>
      </c>
      <c r="E145" s="95">
        <f>'29'!F145</f>
        <v>12909.7</v>
      </c>
      <c r="F145" s="149">
        <v>13140</v>
      </c>
      <c r="G145" s="112">
        <f t="shared" si="11"/>
        <v>230.29999999999927</v>
      </c>
      <c r="H145" s="99">
        <f>G145+'29'!H145</f>
        <v>5905.8</v>
      </c>
      <c r="I145" s="140"/>
      <c r="J145" s="328">
        <f>H145/DAY(B2)</f>
        <v>196.86</v>
      </c>
    </row>
    <row r="146" spans="1:10" ht="30.75" customHeight="1">
      <c r="A146" s="1332" t="s">
        <v>191</v>
      </c>
      <c r="B146" s="1289"/>
      <c r="C146" s="1290"/>
      <c r="D146" s="152" t="s">
        <v>183</v>
      </c>
      <c r="E146" s="95">
        <f>'29'!F146</f>
        <v>784276</v>
      </c>
      <c r="F146" s="148">
        <v>784339</v>
      </c>
      <c r="G146" s="112">
        <f t="shared" si="11"/>
        <v>63</v>
      </c>
      <c r="H146" s="99">
        <f>G146+'29'!H146</f>
        <v>1531</v>
      </c>
      <c r="I146" s="140"/>
      <c r="J146" s="328">
        <f>H146/DAY(B2)</f>
        <v>51.033333333333331</v>
      </c>
    </row>
    <row r="147" spans="1:10" ht="30.75" customHeight="1">
      <c r="A147" s="1256" t="s">
        <v>192</v>
      </c>
      <c r="B147" s="1256"/>
      <c r="C147" s="1256"/>
      <c r="D147" s="152" t="s">
        <v>183</v>
      </c>
      <c r="E147" s="95">
        <f>'29'!F147</f>
        <v>723173</v>
      </c>
      <c r="F147" s="148">
        <v>723522</v>
      </c>
      <c r="G147" s="112">
        <f t="shared" si="11"/>
        <v>349</v>
      </c>
      <c r="H147" s="99">
        <f>G147+'29'!H147</f>
        <v>11850.459999999963</v>
      </c>
      <c r="I147" s="140"/>
      <c r="J147" s="328">
        <f>H147/DAY(B2)</f>
        <v>395.01533333333208</v>
      </c>
    </row>
    <row r="148" spans="1:10" ht="30.75" customHeight="1">
      <c r="A148" s="1257" t="s">
        <v>193</v>
      </c>
      <c r="B148" s="1258"/>
      <c r="C148" s="1259"/>
      <c r="D148" s="123" t="s">
        <v>130</v>
      </c>
      <c r="E148" s="95">
        <f>'29'!F148</f>
        <v>766346.23999999999</v>
      </c>
      <c r="F148" s="150">
        <v>766610</v>
      </c>
      <c r="G148" s="112">
        <f t="shared" si="11"/>
        <v>263.76000000000931</v>
      </c>
      <c r="H148" s="99">
        <f>G148+'29'!H148</f>
        <v>8659.5200000000186</v>
      </c>
      <c r="I148" s="124"/>
      <c r="J148" s="328">
        <f>H148/DAY(B2)</f>
        <v>288.65066666666729</v>
      </c>
    </row>
    <row r="149" spans="1:10" ht="30.75" customHeight="1">
      <c r="A149" s="1257" t="s">
        <v>336</v>
      </c>
      <c r="B149" s="1258"/>
      <c r="C149" s="1259"/>
      <c r="D149" s="227" t="s">
        <v>130</v>
      </c>
      <c r="E149" s="95">
        <f>'29'!F149</f>
        <v>157525.75</v>
      </c>
      <c r="F149" s="146">
        <v>157967</v>
      </c>
      <c r="G149" s="112">
        <f t="shared" si="11"/>
        <v>441.25</v>
      </c>
      <c r="H149" s="99">
        <f>G149+'29'!H149</f>
        <v>12170.320000000007</v>
      </c>
      <c r="I149" s="119"/>
      <c r="J149" s="328">
        <f>H149/DAY(B2)</f>
        <v>405.67733333333359</v>
      </c>
    </row>
    <row r="150" spans="1:10" ht="30.75" customHeight="1">
      <c r="A150" s="1257" t="s">
        <v>337</v>
      </c>
      <c r="B150" s="1258"/>
      <c r="C150" s="1259"/>
      <c r="D150" s="117" t="s">
        <v>130</v>
      </c>
      <c r="E150" s="95">
        <f>'29'!F150</f>
        <v>63754</v>
      </c>
      <c r="F150" s="233">
        <v>63978</v>
      </c>
      <c r="G150" s="112">
        <f t="shared" si="11"/>
        <v>224</v>
      </c>
      <c r="H150" s="99">
        <f>G150+'29'!H150</f>
        <v>6762.9000000000015</v>
      </c>
      <c r="I150" s="119"/>
      <c r="J150" s="328">
        <f>H150/DAY(B2)</f>
        <v>225.43000000000004</v>
      </c>
    </row>
    <row r="151" spans="1:10" ht="30.75" customHeight="1">
      <c r="A151" s="1257" t="s">
        <v>338</v>
      </c>
      <c r="B151" s="1258"/>
      <c r="C151" s="1259"/>
      <c r="D151" s="117" t="s">
        <v>130</v>
      </c>
      <c r="E151" s="95">
        <f>'29'!F151</f>
        <v>149752</v>
      </c>
      <c r="F151" s="233">
        <v>149788</v>
      </c>
      <c r="G151" s="112">
        <f t="shared" si="11"/>
        <v>36</v>
      </c>
      <c r="H151" s="99">
        <f>G151+'29'!H151</f>
        <v>6574</v>
      </c>
      <c r="I151" s="119"/>
      <c r="J151" s="328">
        <f>H151/DAY(B2)</f>
        <v>219.13333333333333</v>
      </c>
    </row>
    <row r="152" spans="1:10" ht="30.75" customHeight="1">
      <c r="A152" s="1257" t="s">
        <v>339</v>
      </c>
      <c r="B152" s="1258"/>
      <c r="C152" s="1259"/>
      <c r="D152" s="117" t="s">
        <v>130</v>
      </c>
      <c r="E152" s="95">
        <f>'29'!F152</f>
        <v>30487.22</v>
      </c>
      <c r="F152" s="233">
        <v>30614</v>
      </c>
      <c r="G152" s="112">
        <f t="shared" si="11"/>
        <v>126.77999999999884</v>
      </c>
      <c r="H152" s="99">
        <f>G152+'29'!H152</f>
        <v>3873.0999999999985</v>
      </c>
      <c r="I152" s="119"/>
      <c r="J152" s="328">
        <f>H152/DAY(B2)</f>
        <v>129.1033333333333</v>
      </c>
    </row>
    <row r="153" spans="1:10" ht="30.75" customHeight="1">
      <c r="A153" s="1261" t="s">
        <v>196</v>
      </c>
      <c r="B153" s="1262"/>
      <c r="C153" s="362"/>
      <c r="D153" s="355"/>
      <c r="E153" s="357"/>
      <c r="F153" s="358"/>
      <c r="G153" s="359">
        <f>SUM(G138:G152)</f>
        <v>2590.9299999999971</v>
      </c>
      <c r="H153" s="360"/>
      <c r="I153" s="119">
        <f>G153-(G38+G52)</f>
        <v>321.56000000000176</v>
      </c>
      <c r="J153" s="363"/>
    </row>
    <row r="154" spans="1:10" ht="30.75" customHeight="1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0" ht="30.75" customHeight="1">
      <c r="A155" s="1256" t="s">
        <v>345</v>
      </c>
      <c r="B155" s="1256"/>
      <c r="C155" s="1256"/>
      <c r="D155" s="117" t="s">
        <v>130</v>
      </c>
      <c r="E155" s="95">
        <f>'29'!F155</f>
        <v>185160.3</v>
      </c>
      <c r="F155" s="365">
        <v>185741</v>
      </c>
      <c r="G155" s="112">
        <f t="shared" ref="G155:G158" si="12">F155-E155</f>
        <v>580.70000000001164</v>
      </c>
      <c r="H155" s="99">
        <f>G155+'29'!H155</f>
        <v>19064</v>
      </c>
      <c r="I155" s="361"/>
      <c r="J155" s="328">
        <f>H155/DAY(B2)</f>
        <v>635.4666666666667</v>
      </c>
    </row>
    <row r="156" spans="1:10" ht="30.75" customHeight="1">
      <c r="A156" s="1256" t="s">
        <v>347</v>
      </c>
      <c r="B156" s="1256"/>
      <c r="C156" s="1256"/>
      <c r="D156" s="117" t="s">
        <v>130</v>
      </c>
      <c r="E156" s="95">
        <f>'29'!F156</f>
        <v>20643.2</v>
      </c>
      <c r="F156" s="155">
        <v>20739</v>
      </c>
      <c r="G156" s="112">
        <f t="shared" si="12"/>
        <v>95.799999999999272</v>
      </c>
      <c r="H156" s="99">
        <f>G156+'29'!H156</f>
        <v>6237</v>
      </c>
      <c r="I156" s="165"/>
      <c r="J156" s="328">
        <f>H156/DAY(B2)</f>
        <v>207.9</v>
      </c>
    </row>
    <row r="157" spans="1:10" ht="30.75" customHeight="1">
      <c r="A157" s="1257" t="s">
        <v>358</v>
      </c>
      <c r="B157" s="1258"/>
      <c r="C157" s="1259"/>
      <c r="D157" s="117" t="s">
        <v>130</v>
      </c>
      <c r="E157" s="95">
        <f>'29'!F157</f>
        <v>35966.14</v>
      </c>
      <c r="F157" s="155">
        <v>36124</v>
      </c>
      <c r="G157" s="112">
        <f t="shared" si="12"/>
        <v>157.86000000000058</v>
      </c>
      <c r="H157" s="99">
        <f>G157+'29'!H157</f>
        <v>299.19999999999709</v>
      </c>
      <c r="I157" s="165"/>
      <c r="J157" s="328">
        <f>H157/DAY(B2)</f>
        <v>9.9733333333332368</v>
      </c>
    </row>
    <row r="158" spans="1:10" ht="30.75" customHeight="1">
      <c r="A158" s="1257" t="s">
        <v>359</v>
      </c>
      <c r="B158" s="1258"/>
      <c r="C158" s="1259"/>
      <c r="D158" s="117" t="s">
        <v>130</v>
      </c>
      <c r="E158" s="95">
        <f>'29'!F158</f>
        <v>472.96</v>
      </c>
      <c r="F158" s="155">
        <v>504.63</v>
      </c>
      <c r="G158" s="112">
        <f t="shared" si="12"/>
        <v>31.670000000000016</v>
      </c>
      <c r="H158" s="99">
        <f>G158+'29'!H158</f>
        <v>91.93</v>
      </c>
      <c r="I158" s="165"/>
      <c r="J158" s="328">
        <f>H158/DAY(B2)</f>
        <v>3.0643333333333334</v>
      </c>
    </row>
    <row r="159" spans="1:10" ht="30.75" customHeight="1">
      <c r="A159" s="1263"/>
      <c r="B159" s="1264"/>
      <c r="C159" s="1265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1260"/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488017.72</v>
      </c>
      <c r="F161" s="235">
        <v>488323</v>
      </c>
      <c r="G161" s="238">
        <f t="shared" ref="G161:G165" si="13">F161-E161</f>
        <v>305.28000000002794</v>
      </c>
      <c r="H161" s="99">
        <f>G161+'29'!H161</f>
        <v>2759.2800000000279</v>
      </c>
      <c r="I161" s="236"/>
      <c r="J161" s="239">
        <f>H161/DAY(B2)</f>
        <v>91.976000000000937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97240.7</v>
      </c>
      <c r="F162" s="235">
        <v>97288</v>
      </c>
      <c r="G162" s="238">
        <f t="shared" si="13"/>
        <v>47.30000000000291</v>
      </c>
      <c r="H162" s="99">
        <f>G162+'29'!H162</f>
        <v>1167</v>
      </c>
      <c r="I162" s="236"/>
      <c r="J162" s="239">
        <f>H162/DAY(B2)</f>
        <v>38.9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14022.8</v>
      </c>
      <c r="F163" s="235">
        <v>14164</v>
      </c>
      <c r="G163" s="238">
        <f t="shared" si="13"/>
        <v>141.20000000000073</v>
      </c>
      <c r="H163" s="99">
        <f>G163+'29'!H163</f>
        <v>4038.3999999999996</v>
      </c>
      <c r="I163" s="236"/>
      <c r="J163" s="239">
        <f>H163/DAY(B2)</f>
        <v>134.61333333333332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6601.9</v>
      </c>
      <c r="F164" s="235">
        <v>6612</v>
      </c>
      <c r="G164" s="238">
        <f t="shared" si="13"/>
        <v>10.100000000000364</v>
      </c>
      <c r="H164" s="99">
        <f>G164+'29'!H164</f>
        <v>191.89999999999964</v>
      </c>
      <c r="I164" s="236"/>
      <c r="J164" s="239">
        <f>H164/DAY(B2)</f>
        <v>6.396666666666655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32131.21</v>
      </c>
      <c r="F165" s="235">
        <v>32141</v>
      </c>
      <c r="G165" s="238">
        <f t="shared" si="13"/>
        <v>9.7900000000008731</v>
      </c>
      <c r="H165" s="99">
        <f>G165+'29'!H165</f>
        <v>279.81000000000131</v>
      </c>
      <c r="I165" s="236"/>
      <c r="J165" s="239">
        <f>H165/DAY(B2)</f>
        <v>9.3270000000000444</v>
      </c>
    </row>
    <row r="166" spans="1:10" ht="30.75" customHeight="1">
      <c r="A166" s="1274"/>
      <c r="B166" s="1274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1274"/>
      <c r="B167" s="1274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1274"/>
      <c r="B168" s="1274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30.75" customHeight="1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1254" t="s">
        <v>209</v>
      </c>
      <c r="B173" s="1255"/>
      <c r="C173" s="333"/>
      <c r="D173" s="228" t="s">
        <v>142</v>
      </c>
      <c r="E173" s="95">
        <f>'29'!F173</f>
        <v>8580</v>
      </c>
      <c r="F173" s="155">
        <v>8581</v>
      </c>
      <c r="G173" s="155">
        <f>F173-E173</f>
        <v>1</v>
      </c>
      <c r="H173" s="99">
        <f>G173+'29'!H173</f>
        <v>43</v>
      </c>
      <c r="I173" s="155"/>
      <c r="J173" s="178">
        <f>H173/DAY(B2)</f>
        <v>1.4333333333333333</v>
      </c>
    </row>
    <row r="174" spans="1:10" ht="30.75" customHeight="1">
      <c r="A174" s="1254" t="s">
        <v>75</v>
      </c>
      <c r="B174" s="1255"/>
      <c r="C174" s="333"/>
      <c r="D174" s="228" t="s">
        <v>142</v>
      </c>
      <c r="E174" s="95">
        <f>'29'!F174</f>
        <v>41948</v>
      </c>
      <c r="F174" s="157">
        <v>41962</v>
      </c>
      <c r="G174" s="155">
        <f t="shared" ref="G174:G175" si="14">F174-E174</f>
        <v>14</v>
      </c>
      <c r="H174" s="99">
        <f>G174+'29'!H174</f>
        <v>368</v>
      </c>
      <c r="I174" s="155"/>
      <c r="J174" s="178">
        <f>H174/DAY(B2)</f>
        <v>12.266666666666667</v>
      </c>
    </row>
    <row r="175" spans="1:10" ht="30.75" customHeight="1">
      <c r="A175" s="1254" t="s">
        <v>76</v>
      </c>
      <c r="B175" s="1324"/>
      <c r="C175" s="1255"/>
      <c r="D175" s="228" t="s">
        <v>142</v>
      </c>
      <c r="E175" s="95">
        <f>'29'!F175</f>
        <v>24683</v>
      </c>
      <c r="F175" s="155">
        <v>24697</v>
      </c>
      <c r="G175" s="155">
        <f t="shared" si="14"/>
        <v>14</v>
      </c>
      <c r="H175" s="99">
        <f>G175+'29'!H175</f>
        <v>344</v>
      </c>
      <c r="I175" s="155"/>
      <c r="J175" s="178">
        <f>H175/DAY(B2)</f>
        <v>11.466666666666667</v>
      </c>
    </row>
    <row r="176" spans="1:10" ht="30.75" customHeight="1">
      <c r="A176" s="1261" t="s">
        <v>196</v>
      </c>
      <c r="B176" s="1262"/>
      <c r="C176" s="384"/>
      <c r="D176" s="228" t="s">
        <v>142</v>
      </c>
      <c r="E176" s="95"/>
      <c r="F176" s="155"/>
      <c r="G176" s="155">
        <f>SUM(G173:G175)</f>
        <v>29</v>
      </c>
      <c r="H176" s="99">
        <f>G176+'29'!H176</f>
        <v>755</v>
      </c>
      <c r="I176" s="155"/>
      <c r="J176" s="178">
        <f>H176/DAY(B2)</f>
        <v>25.166666666666668</v>
      </c>
    </row>
    <row r="177" spans="1:10" ht="30.75" customHeight="1">
      <c r="A177" s="1254" t="s">
        <v>77</v>
      </c>
      <c r="B177" s="1255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1254" t="s">
        <v>210</v>
      </c>
      <c r="B178" s="1255"/>
      <c r="C178" s="333"/>
      <c r="D178" s="228" t="s">
        <v>142</v>
      </c>
      <c r="E178" s="95">
        <f>'29'!F178</f>
        <v>102114</v>
      </c>
      <c r="F178" s="155">
        <v>102114</v>
      </c>
      <c r="G178" s="155">
        <f>F178-E178</f>
        <v>0</v>
      </c>
      <c r="H178" s="99">
        <f>G178+'29'!H178</f>
        <v>2139</v>
      </c>
      <c r="I178" s="155"/>
      <c r="J178" s="178">
        <f>H178/DAY(B2)</f>
        <v>71.3</v>
      </c>
    </row>
    <row r="179" spans="1:10" ht="30.75" customHeight="1">
      <c r="A179" s="1254" t="s">
        <v>211</v>
      </c>
      <c r="B179" s="1255"/>
      <c r="C179" s="333"/>
      <c r="D179" s="228" t="s">
        <v>142</v>
      </c>
      <c r="E179" s="95">
        <f>'29'!F179</f>
        <v>37501</v>
      </c>
      <c r="F179" s="155">
        <v>37501</v>
      </c>
      <c r="G179" s="155">
        <f t="shared" ref="G179:G180" si="15">F179-E179</f>
        <v>0</v>
      </c>
      <c r="H179" s="99">
        <f>G179+'29'!H179</f>
        <v>252</v>
      </c>
      <c r="I179" s="155"/>
      <c r="J179" s="178">
        <f>H179/DAY(B2)</f>
        <v>8.4</v>
      </c>
    </row>
    <row r="180" spans="1:10" ht="30.75" customHeight="1">
      <c r="A180" s="1254" t="s">
        <v>212</v>
      </c>
      <c r="B180" s="1255"/>
      <c r="C180" s="333"/>
      <c r="D180" s="228" t="s">
        <v>142</v>
      </c>
      <c r="E180" s="95">
        <f>'29'!F180</f>
        <v>7231</v>
      </c>
      <c r="F180" s="155">
        <v>7231</v>
      </c>
      <c r="G180" s="155">
        <f t="shared" si="15"/>
        <v>0</v>
      </c>
      <c r="H180" s="99">
        <f>G180+'29'!H180</f>
        <v>235</v>
      </c>
      <c r="I180" s="155"/>
      <c r="J180" s="178">
        <f>H180/DAY(B2)</f>
        <v>7.833333333333333</v>
      </c>
    </row>
    <row r="181" spans="1:10" ht="30.75" customHeight="1">
      <c r="A181" s="1325" t="s">
        <v>108</v>
      </c>
      <c r="B181" s="1326"/>
      <c r="C181" s="384"/>
      <c r="D181" s="228" t="s">
        <v>142</v>
      </c>
      <c r="E181" s="95"/>
      <c r="F181" s="155"/>
      <c r="G181" s="155">
        <f>SUM(G178:G180)</f>
        <v>0</v>
      </c>
      <c r="H181" s="99">
        <f>G181+'29'!H181</f>
        <v>2626</v>
      </c>
      <c r="I181" s="155"/>
      <c r="J181" s="178">
        <f>H181/DAY(B2)</f>
        <v>87.533333333333331</v>
      </c>
    </row>
    <row r="182" spans="1:10" ht="30.75" customHeight="1">
      <c r="A182" s="1254" t="s">
        <v>213</v>
      </c>
      <c r="B182" s="1255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1254" t="s">
        <v>214</v>
      </c>
      <c r="B183" s="1255"/>
      <c r="C183" s="334"/>
      <c r="D183" s="228" t="s">
        <v>142</v>
      </c>
      <c r="E183" s="157">
        <f>'29'!F183</f>
        <v>17845</v>
      </c>
      <c r="F183" s="157">
        <v>17848</v>
      </c>
      <c r="G183" s="157">
        <f>F183-E183</f>
        <v>3</v>
      </c>
      <c r="H183" s="99">
        <f>G183+'29'!H183</f>
        <v>171</v>
      </c>
      <c r="I183" s="155"/>
      <c r="J183" s="178">
        <f>H183/DAY(B2)</f>
        <v>5.7</v>
      </c>
    </row>
    <row r="184" spans="1:10" ht="30.75" customHeight="1">
      <c r="A184" s="1254" t="s">
        <v>215</v>
      </c>
      <c r="B184" s="1255"/>
      <c r="C184" s="334"/>
      <c r="D184" s="228" t="s">
        <v>142</v>
      </c>
      <c r="E184" s="157">
        <f>'29'!F184</f>
        <v>12343</v>
      </c>
      <c r="F184" s="157">
        <v>12349</v>
      </c>
      <c r="G184" s="157">
        <f t="shared" ref="G184:G185" si="16">F184-E184</f>
        <v>6</v>
      </c>
      <c r="H184" s="99">
        <f>G184+'29'!H184</f>
        <v>202</v>
      </c>
      <c r="I184" s="155"/>
      <c r="J184" s="178">
        <f>H184/DAY(B2)</f>
        <v>6.7333333333333334</v>
      </c>
    </row>
    <row r="185" spans="1:10" ht="30.75" customHeight="1">
      <c r="A185" s="1254" t="s">
        <v>216</v>
      </c>
      <c r="B185" s="1255"/>
      <c r="C185" s="334"/>
      <c r="D185" s="228" t="s">
        <v>142</v>
      </c>
      <c r="E185" s="157">
        <f>'29'!F185</f>
        <v>0</v>
      </c>
      <c r="F185" s="157"/>
      <c r="G185" s="157">
        <f t="shared" si="16"/>
        <v>0</v>
      </c>
      <c r="H185" s="99">
        <f>G185+'29'!H185</f>
        <v>12106</v>
      </c>
      <c r="I185" s="155"/>
      <c r="J185" s="178">
        <f>H185/DAY(B2)</f>
        <v>403.53333333333336</v>
      </c>
    </row>
    <row r="186" spans="1:10" ht="30.75" customHeight="1">
      <c r="A186" s="1261" t="s">
        <v>196</v>
      </c>
      <c r="B186" s="1262"/>
      <c r="C186" s="383"/>
      <c r="D186" s="228" t="s">
        <v>142</v>
      </c>
      <c r="E186" s="95"/>
      <c r="F186" s="157"/>
      <c r="G186" s="157">
        <f>SUM(G183:G185)</f>
        <v>9</v>
      </c>
      <c r="H186" s="99">
        <f>G186+'29'!H186</f>
        <v>12479</v>
      </c>
      <c r="I186" s="157"/>
      <c r="J186" s="178">
        <f>H186/DAY(B2)</f>
        <v>415.96666666666664</v>
      </c>
    </row>
    <row r="187" spans="1:10" ht="30.75" customHeight="1">
      <c r="A187" s="1250" t="s">
        <v>217</v>
      </c>
      <c r="B187" s="1251"/>
      <c r="C187" s="333"/>
      <c r="D187" s="228" t="s">
        <v>142</v>
      </c>
      <c r="E187" s="95"/>
      <c r="F187" s="159"/>
      <c r="G187" s="159">
        <f>G62+G19</f>
        <v>153</v>
      </c>
      <c r="H187" s="99">
        <f>G187+'29'!H187</f>
        <v>4140</v>
      </c>
      <c r="I187" s="158"/>
      <c r="J187" s="179">
        <f>H187/DAY(B2)</f>
        <v>138</v>
      </c>
    </row>
    <row r="188" spans="1:10" ht="30.75" customHeight="1">
      <c r="A188" s="1250" t="s">
        <v>218</v>
      </c>
      <c r="B188" s="1251"/>
      <c r="C188" s="333"/>
      <c r="D188" s="230" t="s">
        <v>142</v>
      </c>
      <c r="E188" s="95"/>
      <c r="F188" s="159"/>
      <c r="G188" s="159">
        <f>G65+G66+G67+G69+G70</f>
        <v>136</v>
      </c>
      <c r="H188" s="99">
        <f>G188+'29'!H188</f>
        <v>2268</v>
      </c>
      <c r="I188" s="158"/>
      <c r="J188" s="179">
        <f>H188/DAY(B2)</f>
        <v>75.599999999999994</v>
      </c>
    </row>
    <row r="189" spans="1:10" ht="30.75" customHeight="1">
      <c r="A189" s="1250" t="s">
        <v>219</v>
      </c>
      <c r="B189" s="1251"/>
      <c r="C189" s="333"/>
      <c r="D189" s="230" t="s">
        <v>142</v>
      </c>
      <c r="E189" s="95"/>
      <c r="F189" s="157"/>
      <c r="G189" s="157">
        <f>G181</f>
        <v>0</v>
      </c>
      <c r="H189" s="99">
        <f>G189+'29'!H189</f>
        <v>670</v>
      </c>
      <c r="I189" s="158"/>
      <c r="J189" s="179">
        <f>H189/DAY(B2)</f>
        <v>22.333333333333332</v>
      </c>
    </row>
    <row r="190" spans="1:10" ht="30.75" customHeight="1">
      <c r="A190" s="1252"/>
      <c r="B190" s="1253"/>
      <c r="C190" s="382"/>
      <c r="D190" s="379"/>
      <c r="E190" s="379"/>
      <c r="F190" s="379"/>
      <c r="G190" s="379"/>
      <c r="H190" s="380"/>
      <c r="I190" s="379"/>
      <c r="J190" s="381"/>
    </row>
  </sheetData>
  <mergeCells count="115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</mergeCells>
  <pageMargins left="0.23622047244094491" right="0.15748031496062992" top="0.15748031496062992" bottom="0.19685039370078741" header="0.19685039370078741" footer="0.19685039370078741"/>
  <pageSetup paperSize="9" scale="14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55" zoomScaleNormal="75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397" customWidth="1"/>
    <col min="7" max="7" width="28.88671875" style="397" customWidth="1"/>
    <col min="8" max="8" width="29.109375" style="161" customWidth="1"/>
    <col min="9" max="9" width="23.5546875" style="397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5" s="57" customFormat="1" ht="23.25">
      <c r="A2" s="191" t="s">
        <v>349</v>
      </c>
      <c r="B2" s="262">
        <v>44804</v>
      </c>
      <c r="C2" s="348" t="s">
        <v>67</v>
      </c>
      <c r="D2" s="218">
        <v>0.42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6.25" thickBot="1">
      <c r="A7" s="1369" t="s">
        <v>129</v>
      </c>
      <c r="B7" s="1370"/>
      <c r="C7" s="1371"/>
      <c r="D7" s="151" t="s">
        <v>130</v>
      </c>
      <c r="E7" s="99">
        <f>'30'!F7</f>
        <v>881732</v>
      </c>
      <c r="F7" s="95">
        <v>123226</v>
      </c>
      <c r="G7" s="112">
        <f>F7-E7</f>
        <v>-758506</v>
      </c>
      <c r="H7" s="99">
        <f>G7+'30'!H7</f>
        <v>0</v>
      </c>
      <c r="I7" s="113">
        <f>'1'!I7</f>
        <v>12000</v>
      </c>
      <c r="J7" s="175">
        <f>H7/DAY(B2)</f>
        <v>0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9">
        <f>'30'!F8</f>
        <v>49380</v>
      </c>
      <c r="F8" s="95">
        <v>282846</v>
      </c>
      <c r="G8" s="115">
        <f>F8-E8</f>
        <v>233466</v>
      </c>
      <c r="H8" s="99">
        <f>G8+'30'!H8</f>
        <v>1000323</v>
      </c>
      <c r="I8" s="116"/>
      <c r="J8" s="175">
        <f>H8/DAY(B2)</f>
        <v>32268.483870967742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5.5">
      <c r="A9" s="1372" t="s">
        <v>132</v>
      </c>
      <c r="B9" s="1373"/>
      <c r="C9" s="1374"/>
      <c r="D9" s="151" t="s">
        <v>130</v>
      </c>
      <c r="E9" s="99">
        <f>'30'!F9</f>
        <v>3706707</v>
      </c>
      <c r="F9" s="447">
        <v>3490368.7</v>
      </c>
      <c r="G9" s="112">
        <f>F9-E9</f>
        <v>-216338.29999999981</v>
      </c>
      <c r="H9" s="99">
        <f>G9+'30'!H9</f>
        <v>0</v>
      </c>
      <c r="I9" s="124">
        <f>I7-J7</f>
        <v>12000</v>
      </c>
      <c r="J9" s="175">
        <f>H9/DAY(B2)</f>
        <v>0</v>
      </c>
      <c r="K9" s="79">
        <f>K8-100</f>
        <v>1715817</v>
      </c>
      <c r="L9" s="66"/>
      <c r="N9" s="87"/>
      <c r="O9" s="71"/>
    </row>
    <row r="10" spans="1:15" ht="25.5">
      <c r="A10" s="1369" t="s">
        <v>133</v>
      </c>
      <c r="B10" s="1370"/>
      <c r="C10" s="1371"/>
      <c r="D10" s="151" t="s">
        <v>130</v>
      </c>
      <c r="E10" s="99">
        <f>'30'!F10</f>
        <v>2742694</v>
      </c>
      <c r="F10" s="353">
        <v>2220797.2999999998</v>
      </c>
      <c r="G10" s="112">
        <f t="shared" ref="G10:G12" si="0">F10-E10</f>
        <v>-521896.70000000019</v>
      </c>
      <c r="H10" s="99">
        <f>G10+'30'!H10</f>
        <v>0</v>
      </c>
      <c r="I10" s="120"/>
      <c r="J10" s="175">
        <f>H10/DAY(B2)</f>
        <v>0</v>
      </c>
      <c r="K10" s="79"/>
      <c r="L10" s="66"/>
      <c r="N10" s="87"/>
      <c r="O10" s="71"/>
    </row>
    <row r="11" spans="1:15" ht="25.5">
      <c r="A11" s="1369" t="s">
        <v>134</v>
      </c>
      <c r="B11" s="1370"/>
      <c r="C11" s="1371"/>
      <c r="D11" s="151" t="s">
        <v>130</v>
      </c>
      <c r="E11" s="99">
        <f>'30'!F11</f>
        <v>37560</v>
      </c>
      <c r="F11" s="95">
        <v>37560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5.5">
      <c r="A12" s="1369" t="s">
        <v>135</v>
      </c>
      <c r="B12" s="1370"/>
      <c r="C12" s="1371"/>
      <c r="D12" s="151" t="s">
        <v>130</v>
      </c>
      <c r="E12" s="99">
        <f>'30'!F12</f>
        <v>40380</v>
      </c>
      <c r="F12" s="117">
        <v>40380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-738235</v>
      </c>
      <c r="H13" s="99">
        <f>G13+'30'!H13</f>
        <v>2984.1999999997206</v>
      </c>
      <c r="I13" s="120">
        <f>G7-G13</f>
        <v>-20271</v>
      </c>
      <c r="J13" s="175">
        <f>H13/DAY(B2)</f>
        <v>96.264516129023249</v>
      </c>
      <c r="K13" s="79"/>
      <c r="L13" s="66"/>
      <c r="N13" s="87"/>
      <c r="O13" s="71"/>
    </row>
    <row r="14" spans="1:15" ht="26.25">
      <c r="A14" s="1308" t="s">
        <v>137</v>
      </c>
      <c r="B14" s="1309"/>
      <c r="C14" s="13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1281" t="s">
        <v>138</v>
      </c>
      <c r="B15" s="1282"/>
      <c r="C15" s="1283"/>
      <c r="D15" s="151" t="s">
        <v>139</v>
      </c>
      <c r="E15" s="95">
        <f>'30'!F15</f>
        <v>2161515</v>
      </c>
      <c r="F15" s="447">
        <f>967+2161515</f>
        <v>2162482</v>
      </c>
      <c r="G15" s="112">
        <f>(F15-E15)</f>
        <v>967</v>
      </c>
      <c r="H15" s="99">
        <f>G15+'30'!H15</f>
        <v>30648.399999999907</v>
      </c>
      <c r="I15" s="113">
        <f>'1'!I15</f>
        <v>800</v>
      </c>
      <c r="J15" s="175">
        <f>H15/DAY(B2)</f>
        <v>988.65806451612605</v>
      </c>
      <c r="K15" s="79"/>
      <c r="L15" s="66"/>
      <c r="N15" s="87"/>
      <c r="O15" s="71"/>
    </row>
    <row r="16" spans="1:15" ht="21.95" customHeight="1">
      <c r="A16" s="1366"/>
      <c r="B16" s="1367"/>
      <c r="C16" s="1368"/>
      <c r="D16" s="152"/>
      <c r="E16" s="123"/>
      <c r="F16" s="123"/>
      <c r="G16" s="112"/>
      <c r="H16" s="124"/>
      <c r="I16" s="113">
        <f>'1'!I16</f>
        <v>-167</v>
      </c>
      <c r="J16" s="620">
        <f>H16/DAY(B2)</f>
        <v>0</v>
      </c>
      <c r="K16" s="79"/>
      <c r="L16" s="66"/>
      <c r="N16" s="87"/>
      <c r="O16" s="71"/>
    </row>
    <row r="17" spans="1:15" ht="26.25">
      <c r="A17" s="1308" t="s">
        <v>140</v>
      </c>
      <c r="B17" s="1309"/>
      <c r="C17" s="13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1281" t="s">
        <v>141</v>
      </c>
      <c r="B18" s="1282"/>
      <c r="C18" s="1283"/>
      <c r="D18" s="151" t="s">
        <v>142</v>
      </c>
      <c r="E18" s="95">
        <f>'30'!F18</f>
        <v>27</v>
      </c>
      <c r="F18" s="164">
        <v>13</v>
      </c>
      <c r="G18" s="119">
        <f>F18*10</f>
        <v>130</v>
      </c>
      <c r="H18" s="99">
        <f>G18+'30'!H18</f>
        <v>5470</v>
      </c>
      <c r="I18" s="113">
        <f>'1'!I18</f>
        <v>65</v>
      </c>
      <c r="J18" s="175">
        <f>H18/DAY(B2)</f>
        <v>176.45161290322579</v>
      </c>
      <c r="K18" s="79"/>
      <c r="L18" s="66"/>
      <c r="N18" s="87"/>
      <c r="O18" s="71"/>
    </row>
    <row r="19" spans="1:15" ht="25.5">
      <c r="A19" s="1281" t="s">
        <v>69</v>
      </c>
      <c r="B19" s="1282"/>
      <c r="C19" s="1283"/>
      <c r="D19" s="151" t="s">
        <v>142</v>
      </c>
      <c r="E19" s="95">
        <f>'30'!F19</f>
        <v>165441</v>
      </c>
      <c r="F19" s="122">
        <v>163891</v>
      </c>
      <c r="G19" s="112">
        <f t="shared" ref="G19" si="1">F19-E19</f>
        <v>-1550</v>
      </c>
      <c r="H19" s="99">
        <f>G19+'30'!H19</f>
        <v>-2</v>
      </c>
      <c r="I19" s="123"/>
      <c r="J19" s="175">
        <f>H19/DAY(B2)</f>
        <v>-6.4516129032258063E-2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-1420</v>
      </c>
      <c r="H20" s="99">
        <f>G20+'30'!H20</f>
        <v>5468</v>
      </c>
      <c r="I20" s="336">
        <f>I18-J20</f>
        <v>-111.38709677419354</v>
      </c>
      <c r="J20" s="175">
        <f>H20/DAY(B2)</f>
        <v>176.38709677419354</v>
      </c>
      <c r="K20" s="79"/>
      <c r="L20" s="66"/>
      <c r="N20" s="87"/>
      <c r="O20" s="71"/>
    </row>
    <row r="21" spans="1:15" ht="26.25">
      <c r="A21" s="1308" t="s">
        <v>144</v>
      </c>
      <c r="B21" s="1309"/>
      <c r="C21" s="13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122"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128"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1311" t="s">
        <v>149</v>
      </c>
      <c r="B25" s="1312"/>
      <c r="C25" s="1313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233466</v>
      </c>
      <c r="F27" s="136">
        <v>10</v>
      </c>
      <c r="G27" s="137">
        <f>E27*F27</f>
        <v>2334660</v>
      </c>
      <c r="H27" s="99">
        <f>G27+'30'!H27</f>
        <v>9363884.1699999999</v>
      </c>
      <c r="I27" s="138"/>
      <c r="J27" s="175">
        <f>H27/DAY(B2)</f>
        <v>302060.77967741934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967</v>
      </c>
      <c r="F28" s="136">
        <v>75</v>
      </c>
      <c r="G28" s="137">
        <f>E28*F28</f>
        <v>72525</v>
      </c>
      <c r="H28" s="99">
        <f>G28+'30'!H28</f>
        <v>2175353.0999999936</v>
      </c>
      <c r="I28" s="499"/>
      <c r="J28" s="175">
        <f>H28/DAY(B2)</f>
        <v>70172.68064516109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499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-1550</v>
      </c>
      <c r="F30" s="136">
        <v>151</v>
      </c>
      <c r="G30" s="137">
        <f>E30*F30</f>
        <v>-234050</v>
      </c>
      <c r="H30" s="99">
        <f>G30+'30'!H30</f>
        <v>-302</v>
      </c>
      <c r="I30" s="499"/>
      <c r="J30" s="175">
        <f>H30/DAY(B2)</f>
        <v>-9.741935483870968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130</v>
      </c>
      <c r="F31" s="136">
        <v>85</v>
      </c>
      <c r="G31" s="137">
        <f>E31*F31</f>
        <v>11050</v>
      </c>
      <c r="H31" s="99">
        <f>G31+'30'!H31</f>
        <v>444350</v>
      </c>
      <c r="I31" s="499"/>
      <c r="J31" s="175">
        <f>H31/DAY(B2)</f>
        <v>14333.870967741936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2184185</v>
      </c>
      <c r="H32" s="99">
        <f>G32+'30'!H32</f>
        <v>11983285.269999996</v>
      </c>
      <c r="I32" s="144"/>
      <c r="J32" s="175">
        <f>H32/DAY(B2)</f>
        <v>386557.58935483859</v>
      </c>
      <c r="K32" s="63"/>
      <c r="L32" s="89"/>
      <c r="N32" s="87"/>
      <c r="O32" s="71"/>
    </row>
    <row r="33" spans="1:15" ht="25.5" customHeight="1">
      <c r="A33" s="1314" t="s">
        <v>331</v>
      </c>
      <c r="B33" s="1315"/>
      <c r="C33" s="1315"/>
      <c r="D33" s="337"/>
      <c r="E33" s="337"/>
      <c r="F33" s="500"/>
      <c r="G33" s="500"/>
      <c r="H33" s="500"/>
      <c r="I33" s="500"/>
      <c r="J33" s="501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9">
        <f>'30'!F35</f>
        <v>238713.05</v>
      </c>
      <c r="F35" s="145">
        <v>238713.05</v>
      </c>
      <c r="G35" s="112">
        <f t="shared" ref="G35:G46" si="3">F35-E35</f>
        <v>0</v>
      </c>
      <c r="H35" s="99">
        <f>G35+'30'!H35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9">
        <f>'30'!F36</f>
        <v>269483</v>
      </c>
      <c r="F36" s="145">
        <v>241817.05</v>
      </c>
      <c r="G36" s="112">
        <f t="shared" si="3"/>
        <v>-27665.950000000012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9">
        <f>'30'!F37</f>
        <v>322998.69</v>
      </c>
      <c r="F37" s="145">
        <v>322998.69</v>
      </c>
      <c r="G37" s="112">
        <f t="shared" si="3"/>
        <v>0</v>
      </c>
      <c r="H37" s="99">
        <f>G37+'30'!H37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9">
        <f>'30'!F38</f>
        <v>593717</v>
      </c>
      <c r="F38" s="108">
        <v>525755.5</v>
      </c>
      <c r="G38" s="112">
        <f t="shared" si="3"/>
        <v>-67961.5</v>
      </c>
      <c r="H38" s="99">
        <f>G38+'30'!H38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9">
        <f>'30'!F39</f>
        <v>591584.18999999994</v>
      </c>
      <c r="F39" s="145">
        <v>591584.18999999994</v>
      </c>
      <c r="G39" s="112">
        <f t="shared" si="3"/>
        <v>0</v>
      </c>
      <c r="H39" s="99">
        <f>G39+'30'!H39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9">
        <f>'30'!F40</f>
        <v>157980</v>
      </c>
      <c r="F40" s="145">
        <v>133271.23000000001</v>
      </c>
      <c r="G40" s="112">
        <f t="shared" si="3"/>
        <v>-24708.76999999999</v>
      </c>
      <c r="H40" s="99">
        <f>G40+'30'!H40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9">
        <f>'30'!F41</f>
        <v>381352</v>
      </c>
      <c r="F41" s="145">
        <v>282213.07</v>
      </c>
      <c r="G41" s="112">
        <f t="shared" si="3"/>
        <v>-99138.93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9">
        <f>'30'!F42</f>
        <v>825087</v>
      </c>
      <c r="F42" s="145">
        <v>799018.55</v>
      </c>
      <c r="G42" s="112">
        <f t="shared" si="3"/>
        <v>-26068.449999999953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9">
        <f>'30'!F43</f>
        <v>407028</v>
      </c>
      <c r="F43" s="145">
        <v>407028</v>
      </c>
      <c r="G43" s="112">
        <f t="shared" si="3"/>
        <v>0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9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9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9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-245543.59999999995</v>
      </c>
      <c r="H47" s="99">
        <f>G47+'30'!H47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9">
        <f>'30'!F49</f>
        <v>720287</v>
      </c>
      <c r="F49" s="145">
        <v>606617.59</v>
      </c>
      <c r="G49" s="112">
        <f t="shared" ref="G49:G58" si="4">F49-E49</f>
        <v>-113669.41000000003</v>
      </c>
      <c r="H49" s="99">
        <f>G49+'30'!H49</f>
        <v>-3000</v>
      </c>
      <c r="I49" s="95"/>
      <c r="J49" s="175">
        <f>H49/DAY(B2)</f>
        <v>-96.774193548387103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9">
        <f>'30'!F50</f>
        <v>365771</v>
      </c>
      <c r="F50" s="145">
        <v>320732.89</v>
      </c>
      <c r="G50" s="112">
        <f t="shared" si="4"/>
        <v>-45038.109999999986</v>
      </c>
      <c r="H50" s="99">
        <f>G50+'30'!H50</f>
        <v>203448.26</v>
      </c>
      <c r="I50" s="95"/>
      <c r="J50" s="175">
        <f>H50/DAY(B2)</f>
        <v>6562.8470967741941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9">
        <f>'30'!F51</f>
        <v>71727</v>
      </c>
      <c r="F51" s="145">
        <v>40861.26</v>
      </c>
      <c r="G51" s="112">
        <f t="shared" si="4"/>
        <v>-30865.739999999998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9">
        <f>'30'!F52</f>
        <v>10</v>
      </c>
      <c r="F52" s="145">
        <v>10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9">
        <f>'30'!F53</f>
        <v>294101</v>
      </c>
      <c r="F53" s="145">
        <v>167274.69</v>
      </c>
      <c r="G53" s="112">
        <f t="shared" si="4"/>
        <v>-126826.31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9">
        <f>'30'!F54</f>
        <v>101387</v>
      </c>
      <c r="F54" s="145">
        <v>95728.09</v>
      </c>
      <c r="G54" s="112">
        <f t="shared" si="4"/>
        <v>-5658.9100000000035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9">
        <f>'30'!F55</f>
        <v>494483</v>
      </c>
      <c r="F55" s="145">
        <v>443169.75</v>
      </c>
      <c r="G55" s="112">
        <f t="shared" si="4"/>
        <v>-51313.25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9">
        <f>'30'!F56</f>
        <v>149719</v>
      </c>
      <c r="F56" s="145">
        <v>126047.69</v>
      </c>
      <c r="G56" s="112">
        <f t="shared" si="4"/>
        <v>-23671.309999999998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9">
        <f>'30'!F57</f>
        <v>409078</v>
      </c>
      <c r="F57" s="145">
        <v>322250.93</v>
      </c>
      <c r="G57" s="112">
        <f t="shared" si="4"/>
        <v>-86827.07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9">
        <f>'30'!F58</f>
        <v>64151</v>
      </c>
      <c r="F58" s="145">
        <v>56761</v>
      </c>
      <c r="G58" s="112">
        <f t="shared" si="4"/>
        <v>-7390</v>
      </c>
      <c r="H58" s="99">
        <f>G58+'30'!H58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227"/>
      <c r="F59" s="146"/>
      <c r="G59" s="119">
        <f>G49+G50+G51+G52+G53+G54+G55+G56+G57+G58</f>
        <v>-491260.11</v>
      </c>
      <c r="H59" s="99">
        <f>G59+'30'!H59</f>
        <v>-3000</v>
      </c>
      <c r="I59" s="95">
        <f>G7-G60</f>
        <v>-21702.290000000037</v>
      </c>
      <c r="J59" s="175">
        <f>H59/DAY(B2)</f>
        <v>-96.774193548387103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227"/>
      <c r="F60" s="146"/>
      <c r="G60" s="119">
        <f>G47+G59</f>
        <v>-736803.71</v>
      </c>
      <c r="H60" s="99">
        <f>G60+'30'!H60</f>
        <v>-3000.0000000001164</v>
      </c>
      <c r="I60" s="95">
        <f>G13-G60</f>
        <v>-1431.2900000000373</v>
      </c>
      <c r="J60" s="175">
        <f>H60/DAY(B2)</f>
        <v>-96.774193548390855</v>
      </c>
      <c r="K60" s="79"/>
      <c r="L60" s="66"/>
      <c r="N60" s="87"/>
      <c r="O60" s="71"/>
    </row>
    <row r="61" spans="1:15" s="68" customFormat="1" ht="26.25">
      <c r="A61" s="1278" t="s">
        <v>332</v>
      </c>
      <c r="B61" s="1279"/>
      <c r="C61" s="1280"/>
      <c r="D61" s="339"/>
      <c r="E61" s="340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1281" t="s">
        <v>198</v>
      </c>
      <c r="B62" s="1282"/>
      <c r="C62" s="1283"/>
      <c r="D62" s="151" t="s">
        <v>142</v>
      </c>
      <c r="E62" s="95">
        <f>'30'!F62</f>
        <v>302065</v>
      </c>
      <c r="F62" s="122">
        <v>299473</v>
      </c>
      <c r="G62" s="112">
        <f t="shared" ref="G62:G63" si="5">F62-E62</f>
        <v>-2592</v>
      </c>
      <c r="H62" s="99">
        <f>G62+'30'!H62</f>
        <v>0</v>
      </c>
      <c r="I62" s="95"/>
      <c r="J62" s="175">
        <f>H62/DAY(B2)</f>
        <v>0</v>
      </c>
      <c r="K62" s="80"/>
      <c r="L62" s="66"/>
      <c r="N62" s="87"/>
      <c r="O62" s="71"/>
    </row>
    <row r="63" spans="1:15" ht="25.5">
      <c r="A63" s="1281" t="s">
        <v>199</v>
      </c>
      <c r="B63" s="1282"/>
      <c r="C63" s="1283"/>
      <c r="D63" s="151" t="s">
        <v>142</v>
      </c>
      <c r="E63" s="95">
        <f>'30'!F63</f>
        <v>245139</v>
      </c>
      <c r="F63" s="164">
        <v>242592</v>
      </c>
      <c r="G63" s="112">
        <f t="shared" si="5"/>
        <v>-2547</v>
      </c>
      <c r="H63" s="99">
        <f>G63+'30'!H63</f>
        <v>0</v>
      </c>
      <c r="I63" s="95"/>
      <c r="J63" s="175">
        <f>H63/DAY(B2)</f>
        <v>0</v>
      </c>
      <c r="K63" s="69"/>
      <c r="L63" s="66"/>
      <c r="N63" s="87"/>
      <c r="O63" s="71"/>
    </row>
    <row r="64" spans="1:15" ht="26.25">
      <c r="A64" s="1284" t="s">
        <v>200</v>
      </c>
      <c r="B64" s="1285"/>
      <c r="C64" s="1286"/>
      <c r="D64" s="151"/>
      <c r="E64" s="95">
        <f>'30'!F64</f>
        <v>0</v>
      </c>
      <c r="F64" s="122"/>
      <c r="G64" s="112">
        <f>G62+G63</f>
        <v>-5139</v>
      </c>
      <c r="H64" s="99">
        <f>G64+'30'!H64</f>
        <v>0</v>
      </c>
      <c r="I64" s="95"/>
      <c r="J64" s="175">
        <f>H64/DAY(B2)</f>
        <v>0</v>
      </c>
      <c r="K64" s="69"/>
      <c r="L64" s="66"/>
      <c r="N64" s="87"/>
      <c r="O64" s="71"/>
    </row>
    <row r="65" spans="1:15" ht="25.5">
      <c r="A65" s="1281" t="s">
        <v>201</v>
      </c>
      <c r="B65" s="1282"/>
      <c r="C65" s="1283"/>
      <c r="D65" s="151" t="s">
        <v>142</v>
      </c>
      <c r="E65" s="99">
        <f>'30'!F65</f>
        <v>460824</v>
      </c>
      <c r="F65" s="122">
        <v>457826</v>
      </c>
      <c r="G65" s="112">
        <f t="shared" ref="G65:G70" si="6">F65-E65</f>
        <v>-2998</v>
      </c>
      <c r="H65" s="99">
        <f>G65+'30'!H65</f>
        <v>0</v>
      </c>
      <c r="I65" s="95"/>
      <c r="J65" s="175">
        <f>H65/DAY(B2)</f>
        <v>0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9">
        <f>'30'!F66</f>
        <v>112605</v>
      </c>
      <c r="F66" s="122">
        <v>112297</v>
      </c>
      <c r="G66" s="112">
        <f t="shared" si="6"/>
        <v>-308</v>
      </c>
      <c r="H66" s="99">
        <f>G66+'30'!H66</f>
        <v>0</v>
      </c>
      <c r="I66" s="95"/>
      <c r="J66" s="175">
        <f>H66/DAY(B2)</f>
        <v>0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9">
        <f>'30'!F67</f>
        <v>114708</v>
      </c>
      <c r="F67" s="122">
        <v>114198</v>
      </c>
      <c r="G67" s="112">
        <f t="shared" si="6"/>
        <v>-510</v>
      </c>
      <c r="H67" s="99">
        <f>G67+'30'!H67</f>
        <v>0</v>
      </c>
      <c r="I67" s="95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9">
        <f>'30'!F68</f>
        <v>166581</v>
      </c>
      <c r="F68" s="122">
        <v>165556</v>
      </c>
      <c r="G68" s="112">
        <f t="shared" si="6"/>
        <v>-1025</v>
      </c>
      <c r="H68" s="99">
        <f>G68+'30'!H68</f>
        <v>0</v>
      </c>
      <c r="I68" s="95"/>
      <c r="J68" s="175">
        <f>H68/DAY(B2)</f>
        <v>0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9">
        <f>'30'!F69</f>
        <v>12564</v>
      </c>
      <c r="F69" s="122">
        <v>12438</v>
      </c>
      <c r="G69" s="112">
        <f t="shared" si="6"/>
        <v>-126</v>
      </c>
      <c r="H69" s="99">
        <f>G69+'30'!H69</f>
        <v>0</v>
      </c>
      <c r="I69" s="95"/>
      <c r="J69" s="175">
        <f>H69/DAY(B2)</f>
        <v>0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9">
        <f>'30'!F70</f>
        <v>10333</v>
      </c>
      <c r="F70" s="122">
        <v>10096</v>
      </c>
      <c r="G70" s="112">
        <f t="shared" si="6"/>
        <v>-237</v>
      </c>
      <c r="H70" s="99">
        <f>G70+'30'!H70</f>
        <v>0</v>
      </c>
      <c r="I70" s="95"/>
      <c r="J70" s="175">
        <f>H70/DAY(B2)</f>
        <v>0</v>
      </c>
      <c r="K70" s="69"/>
      <c r="L70" s="66"/>
      <c r="N70" s="87"/>
      <c r="O70" s="71"/>
    </row>
    <row r="71" spans="1:15" ht="26.25">
      <c r="A71" s="1284" t="s">
        <v>208</v>
      </c>
      <c r="B71" s="1285"/>
      <c r="C71" s="1286"/>
      <c r="D71" s="152"/>
      <c r="E71" s="152"/>
      <c r="F71" s="152"/>
      <c r="G71" s="153">
        <f>SUM(G65:G70)</f>
        <v>-5204</v>
      </c>
      <c r="H71" s="99">
        <f>G71+'30'!H71</f>
        <v>0</v>
      </c>
      <c r="I71" s="502"/>
      <c r="J71" s="175">
        <f>H71/DAY(B2)</f>
        <v>0</v>
      </c>
      <c r="K71" s="69"/>
      <c r="L71" s="66"/>
      <c r="N71" s="87"/>
      <c r="O71" s="71"/>
    </row>
    <row r="72" spans="1:15" s="88" customFormat="1" ht="25.5">
      <c r="A72" s="1287"/>
      <c r="B72" s="1268"/>
      <c r="C72" s="347"/>
      <c r="D72" s="180"/>
      <c r="E72" s="180"/>
      <c r="F72" s="395"/>
      <c r="G72" s="395"/>
      <c r="H72" s="181"/>
      <c r="I72" s="395"/>
      <c r="J72" s="503"/>
      <c r="N72" s="87"/>
      <c r="O72" s="71"/>
    </row>
    <row r="73" spans="1:15" ht="26.25">
      <c r="A73" s="1295" t="s">
        <v>333</v>
      </c>
      <c r="B73" s="1296"/>
      <c r="C73" s="1297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1281" t="s">
        <v>220</v>
      </c>
      <c r="B74" s="1282"/>
      <c r="C74" s="1283"/>
      <c r="D74" s="151" t="s">
        <v>139</v>
      </c>
      <c r="E74" s="99">
        <f>'30'!F74</f>
        <v>975811</v>
      </c>
      <c r="F74" s="123">
        <v>967182.78</v>
      </c>
      <c r="G74" s="112">
        <f t="shared" ref="G74:G78" si="7">F74-E74</f>
        <v>-8628.2199999999721</v>
      </c>
      <c r="H74" s="99">
        <f>G74+'30'!H74</f>
        <v>0</v>
      </c>
      <c r="I74" s="502"/>
      <c r="J74" s="175">
        <f>H74/DAY(B2)</f>
        <v>0</v>
      </c>
      <c r="K74" s="69"/>
      <c r="L74" s="66"/>
      <c r="N74" s="87"/>
      <c r="O74" s="71"/>
    </row>
    <row r="75" spans="1:15" ht="25.5">
      <c r="A75" s="1281" t="s">
        <v>221</v>
      </c>
      <c r="B75" s="1282"/>
      <c r="C75" s="1283"/>
      <c r="D75" s="151" t="s">
        <v>139</v>
      </c>
      <c r="E75" s="99">
        <f>'30'!F75</f>
        <v>73586</v>
      </c>
      <c r="F75" s="123">
        <v>73586.8</v>
      </c>
      <c r="G75" s="112">
        <f t="shared" si="7"/>
        <v>0.80000000000291038</v>
      </c>
      <c r="H75" s="99">
        <f>G75+'30'!H75</f>
        <v>0</v>
      </c>
      <c r="I75" s="502"/>
      <c r="J75" s="175">
        <f>H75/DAY(B2)</f>
        <v>0</v>
      </c>
      <c r="K75" s="69"/>
      <c r="L75" s="66"/>
      <c r="N75" s="87"/>
      <c r="O75" s="71"/>
    </row>
    <row r="76" spans="1:15" ht="25.5">
      <c r="A76" s="1288" t="s">
        <v>222</v>
      </c>
      <c r="B76" s="1289"/>
      <c r="C76" s="1290"/>
      <c r="D76" s="151" t="s">
        <v>139</v>
      </c>
      <c r="E76" s="99">
        <f>'30'!F76</f>
        <v>196736</v>
      </c>
      <c r="F76" s="123">
        <v>193421.5</v>
      </c>
      <c r="G76" s="112">
        <f t="shared" si="7"/>
        <v>-3314.5</v>
      </c>
      <c r="H76" s="99">
        <f>G76+'30'!H76</f>
        <v>0</v>
      </c>
      <c r="I76" s="502"/>
      <c r="J76" s="175">
        <f>H76/DAY(B2)</f>
        <v>0</v>
      </c>
      <c r="K76" s="69"/>
      <c r="L76" s="66"/>
      <c r="N76" s="87"/>
      <c r="O76" s="71"/>
    </row>
    <row r="77" spans="1:15" ht="25.5">
      <c r="A77" s="1288" t="s">
        <v>223</v>
      </c>
      <c r="B77" s="1289"/>
      <c r="C77" s="1290"/>
      <c r="D77" s="151" t="s">
        <v>139</v>
      </c>
      <c r="E77" s="99">
        <f>'30'!F77</f>
        <v>53352</v>
      </c>
      <c r="F77" s="393">
        <v>51840</v>
      </c>
      <c r="G77" s="112">
        <f t="shared" si="7"/>
        <v>-1512</v>
      </c>
      <c r="H77" s="99">
        <f>G77+'30'!H77</f>
        <v>0</v>
      </c>
      <c r="I77" s="502"/>
      <c r="J77" s="175">
        <f>H77/DAY(B2)</f>
        <v>0</v>
      </c>
      <c r="K77" s="69"/>
      <c r="L77" s="66"/>
      <c r="N77" s="87"/>
      <c r="O77" s="71"/>
    </row>
    <row r="78" spans="1:15" ht="25.5">
      <c r="A78" s="1288" t="s">
        <v>224</v>
      </c>
      <c r="B78" s="1289"/>
      <c r="C78" s="1290"/>
      <c r="D78" s="151" t="s">
        <v>139</v>
      </c>
      <c r="E78" s="99">
        <f>'30'!F78</f>
        <v>9563.4</v>
      </c>
      <c r="F78" s="393">
        <v>9563</v>
      </c>
      <c r="G78" s="112">
        <f t="shared" si="7"/>
        <v>-0.3999999999996362</v>
      </c>
      <c r="H78" s="99">
        <f>G78+'30'!H78</f>
        <v>-1</v>
      </c>
      <c r="I78" s="95"/>
      <c r="J78" s="175">
        <f>H78/DAY(B2)</f>
        <v>-3.2258064516129031E-2</v>
      </c>
      <c r="K78" s="69"/>
      <c r="L78" s="66"/>
      <c r="N78" s="87"/>
      <c r="O78" s="71"/>
    </row>
    <row r="79" spans="1:15" s="57" customFormat="1" ht="25.5">
      <c r="A79" s="1288" t="s">
        <v>225</v>
      </c>
      <c r="B79" s="1289"/>
      <c r="C79" s="1290"/>
      <c r="D79" s="151"/>
      <c r="E79" s="632"/>
      <c r="F79" s="123"/>
      <c r="G79" s="112">
        <f>G15-SUM(G74:G78)</f>
        <v>14421.319999999969</v>
      </c>
      <c r="H79" s="99">
        <f>G79+'30'!H79</f>
        <v>30649.399999999907</v>
      </c>
      <c r="I79" s="95"/>
      <c r="J79" s="175"/>
      <c r="K79" s="59"/>
      <c r="L79" s="58"/>
      <c r="N79" s="87"/>
      <c r="O79" s="71"/>
    </row>
    <row r="80" spans="1:15" s="57" customFormat="1" ht="26.25">
      <c r="A80" s="1284" t="s">
        <v>329</v>
      </c>
      <c r="B80" s="1285"/>
      <c r="C80" s="1286"/>
      <c r="D80" s="151"/>
      <c r="E80" s="117"/>
      <c r="F80" s="117"/>
      <c r="G80" s="112">
        <f>SUM(G74:G79)</f>
        <v>967</v>
      </c>
      <c r="H80" s="99"/>
      <c r="I80" s="95"/>
      <c r="J80" s="175"/>
      <c r="K80" s="59"/>
      <c r="L80" s="58"/>
      <c r="N80" s="87"/>
      <c r="O80" s="71"/>
    </row>
    <row r="81" spans="1:15" ht="25.5">
      <c r="A81" s="1302" t="s">
        <v>226</v>
      </c>
      <c r="B81" s="1303"/>
      <c r="C81" s="1304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9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6460.3000000000029</v>
      </c>
      <c r="I82" s="538"/>
      <c r="J82" s="175">
        <f>H82/DAY(B2)</f>
        <v>208.39677419354848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9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538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9">
        <f>'30'!F84</f>
        <v>43366.8</v>
      </c>
      <c r="F84" s="164">
        <v>42912.55</v>
      </c>
      <c r="G84" s="112">
        <f t="shared" si="8"/>
        <v>-454.25</v>
      </c>
      <c r="H84" s="99">
        <f>G84+'30'!H84</f>
        <v>0</v>
      </c>
      <c r="I84" s="538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9">
        <f>'30'!F85</f>
        <v>5476</v>
      </c>
      <c r="F85" s="164">
        <v>5364</v>
      </c>
      <c r="G85" s="112">
        <f t="shared" si="8"/>
        <v>-112</v>
      </c>
      <c r="H85" s="99">
        <f>G85+'30'!H85</f>
        <v>0</v>
      </c>
      <c r="I85" s="538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9">
        <f>'30'!F86</f>
        <v>46271.42</v>
      </c>
      <c r="F86" s="164">
        <v>45921.37</v>
      </c>
      <c r="G86" s="112">
        <f t="shared" si="8"/>
        <v>-350.04999999999563</v>
      </c>
      <c r="H86" s="99">
        <f>G86+'30'!H86</f>
        <v>0</v>
      </c>
      <c r="I86" s="538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9">
        <f>'30'!F87</f>
        <v>35644</v>
      </c>
      <c r="F87" s="164">
        <v>35474.800000000003</v>
      </c>
      <c r="G87" s="112">
        <f t="shared" si="8"/>
        <v>-169.19999999999709</v>
      </c>
      <c r="H87" s="99">
        <f>G87+'30'!H87</f>
        <v>0</v>
      </c>
      <c r="I87" s="538">
        <f>G84+G85+G86+G87</f>
        <v>-1085.4999999999927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9">
        <f>'30'!F88</f>
        <v>24423.96</v>
      </c>
      <c r="F88" s="164">
        <v>24335.16</v>
      </c>
      <c r="G88" s="112">
        <f t="shared" si="8"/>
        <v>-88.799999999999272</v>
      </c>
      <c r="H88" s="99">
        <f>G88+'30'!H88</f>
        <v>0</v>
      </c>
      <c r="I88" s="538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9">
        <f>'30'!F89</f>
        <v>27988</v>
      </c>
      <c r="F89" s="164">
        <v>27802.02</v>
      </c>
      <c r="G89" s="112">
        <f t="shared" si="8"/>
        <v>-185.97999999999956</v>
      </c>
      <c r="H89" s="99">
        <f>G89+'30'!H89</f>
        <v>0</v>
      </c>
      <c r="I89" s="538">
        <f>G88+G89</f>
        <v>-274.77999999999884</v>
      </c>
      <c r="J89" s="175">
        <f>H89/DAY(B2)</f>
        <v>0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9">
        <f>'30'!F90</f>
        <v>73243.740000000005</v>
      </c>
      <c r="F90" s="164">
        <v>72930.720000000001</v>
      </c>
      <c r="G90" s="112">
        <f>F90-E90</f>
        <v>-313.02000000000407</v>
      </c>
      <c r="H90" s="99">
        <f>G90+'30'!H90</f>
        <v>-254.97000000000116</v>
      </c>
      <c r="I90" s="538">
        <f>G90</f>
        <v>-313.02000000000407</v>
      </c>
      <c r="J90" s="175">
        <f>H90/DAY(B2)</f>
        <v>-8.2248387096774564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9">
        <f>'30'!F91</f>
        <v>4678.43</v>
      </c>
      <c r="F91" s="122">
        <v>4348.1499999999996</v>
      </c>
      <c r="G91" s="112">
        <f t="shared" si="8"/>
        <v>-330.28000000000065</v>
      </c>
      <c r="H91" s="99">
        <f>G91+'30'!H91</f>
        <v>0</v>
      </c>
      <c r="I91" s="557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9">
        <f>'30'!F92</f>
        <v>7000</v>
      </c>
      <c r="F92" s="122">
        <v>7000</v>
      </c>
      <c r="G92" s="112">
        <f t="shared" si="8"/>
        <v>0</v>
      </c>
      <c r="H92" s="99">
        <f>G92+'30'!H92</f>
        <v>0</v>
      </c>
      <c r="I92" s="561">
        <f>G91+G92</f>
        <v>-330.28000000000065</v>
      </c>
      <c r="J92" s="175">
        <f>H92/DAY(B2)</f>
        <v>0</v>
      </c>
      <c r="O92" s="71"/>
    </row>
    <row r="93" spans="1:15" ht="26.25">
      <c r="A93" s="1305" t="s">
        <v>239</v>
      </c>
      <c r="B93" s="1306"/>
      <c r="C93" s="1307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1281" t="s">
        <v>240</v>
      </c>
      <c r="B94" s="1282"/>
      <c r="C94" s="1283"/>
      <c r="D94" s="151" t="s">
        <v>130</v>
      </c>
      <c r="E94" s="151"/>
      <c r="F94" s="151"/>
      <c r="G94" s="99">
        <f>G35+G43+G49+G57</f>
        <v>-200496.48000000004</v>
      </c>
      <c r="H94" s="99">
        <f>G94+'30'!H94</f>
        <v>-3000</v>
      </c>
      <c r="I94" s="95"/>
      <c r="J94" s="175">
        <f>H94/DAY(B2)</f>
        <v>-96.774193548387103</v>
      </c>
      <c r="K94" s="69"/>
      <c r="L94" s="66"/>
      <c r="O94" s="71"/>
    </row>
    <row r="95" spans="1:15" ht="25.5">
      <c r="A95" s="1281" t="s">
        <v>241</v>
      </c>
      <c r="B95" s="1282"/>
      <c r="C95" s="1283"/>
      <c r="D95" s="151" t="s">
        <v>23</v>
      </c>
      <c r="E95" s="146"/>
      <c r="F95" s="146"/>
      <c r="G95" s="166">
        <f>G94/G7</f>
        <v>0.26433077655285525</v>
      </c>
      <c r="H95" s="99">
        <f>G95+'30'!H95</f>
        <v>8.0839751905571688</v>
      </c>
      <c r="I95" s="504"/>
      <c r="J95" s="175">
        <f>H95/DAY(B2)</f>
        <v>0.26077339324377963</v>
      </c>
      <c r="K95" s="69"/>
      <c r="L95" s="66"/>
      <c r="O95" s="71"/>
    </row>
    <row r="96" spans="1:15" ht="25.5">
      <c r="A96" s="1281" t="s">
        <v>242</v>
      </c>
      <c r="B96" s="1282"/>
      <c r="C96" s="1283"/>
      <c r="D96" s="151" t="s">
        <v>130</v>
      </c>
      <c r="E96" s="95"/>
      <c r="F96" s="95"/>
      <c r="G96" s="99">
        <f>G41+G42+G55+G56</f>
        <v>-200191.93999999994</v>
      </c>
      <c r="H96" s="99">
        <f>G96+'30'!H96</f>
        <v>0</v>
      </c>
      <c r="I96" s="95"/>
      <c r="J96" s="175">
        <f>H96/DAY(B2)</f>
        <v>0</v>
      </c>
      <c r="K96" s="69"/>
      <c r="L96" s="66"/>
      <c r="O96" s="71"/>
    </row>
    <row r="97" spans="1:15" ht="25.5">
      <c r="A97" s="1281" t="s">
        <v>243</v>
      </c>
      <c r="B97" s="1282"/>
      <c r="C97" s="1283"/>
      <c r="D97" s="151" t="s">
        <v>23</v>
      </c>
      <c r="E97" s="95"/>
      <c r="F97" s="95"/>
      <c r="G97" s="166">
        <f>G96/G7</f>
        <v>0.26392927676247774</v>
      </c>
      <c r="H97" s="99">
        <f>G97+'30'!H97</f>
        <v>8.1721999646841983</v>
      </c>
      <c r="I97" s="504"/>
      <c r="J97" s="175">
        <f>H97/DAY(B2)</f>
        <v>0.26361935369949024</v>
      </c>
      <c r="K97" s="69"/>
      <c r="L97" s="66"/>
      <c r="O97" s="71"/>
    </row>
    <row r="98" spans="1:15" ht="25.5">
      <c r="A98" s="1281" t="s">
        <v>244</v>
      </c>
      <c r="B98" s="1282"/>
      <c r="C98" s="1283"/>
      <c r="D98" s="151" t="s">
        <v>130</v>
      </c>
      <c r="E98" s="95"/>
      <c r="F98" s="95"/>
      <c r="G98" s="99">
        <f>G39+G53</f>
        <v>-126826.31</v>
      </c>
      <c r="H98" s="99">
        <f>G98+'30'!H98</f>
        <v>0</v>
      </c>
      <c r="I98" s="491"/>
      <c r="J98" s="175">
        <f>H98/DAY(B2)</f>
        <v>0</v>
      </c>
      <c r="K98" s="69"/>
      <c r="L98" s="66"/>
      <c r="O98" s="71"/>
    </row>
    <row r="99" spans="1:15" ht="25.5">
      <c r="A99" s="1281" t="s">
        <v>245</v>
      </c>
      <c r="B99" s="1282"/>
      <c r="C99" s="1283"/>
      <c r="D99" s="151" t="s">
        <v>23</v>
      </c>
      <c r="E99" s="95"/>
      <c r="F99" s="95"/>
      <c r="G99" s="166">
        <f>G98/G7</f>
        <v>0.1672054143276388</v>
      </c>
      <c r="H99" s="99">
        <f>G99+'30'!H99</f>
        <v>5.1930384182925975</v>
      </c>
      <c r="I99" s="491"/>
      <c r="J99" s="175">
        <f>H99/DAY(B2)</f>
        <v>0.16751736833201927</v>
      </c>
      <c r="O99" s="71"/>
    </row>
    <row r="100" spans="1:15" ht="26.25">
      <c r="A100" s="1281" t="s">
        <v>246</v>
      </c>
      <c r="B100" s="1282"/>
      <c r="C100" s="1283"/>
      <c r="D100" s="151" t="s">
        <v>180</v>
      </c>
      <c r="E100" s="95"/>
      <c r="F100" s="95"/>
      <c r="G100" s="99">
        <f>G38+G52</f>
        <v>-67961.5</v>
      </c>
      <c r="H100" s="99">
        <f>G100+'30'!H100</f>
        <v>0</v>
      </c>
      <c r="I100" s="95"/>
      <c r="J100" s="175">
        <f>H100/DAY(B2)</f>
        <v>0</v>
      </c>
      <c r="K100" s="70"/>
      <c r="O100" s="71"/>
    </row>
    <row r="101" spans="1:15" ht="25.5">
      <c r="A101" s="1281" t="s">
        <v>247</v>
      </c>
      <c r="B101" s="1282"/>
      <c r="C101" s="1283"/>
      <c r="D101" s="151" t="s">
        <v>23</v>
      </c>
      <c r="E101" s="95"/>
      <c r="F101" s="95"/>
      <c r="G101" s="166">
        <f>G100/G7</f>
        <v>8.9599159400189324E-2</v>
      </c>
      <c r="H101" s="99">
        <f>G101+'30'!H101</f>
        <v>2.7805387945581073</v>
      </c>
      <c r="I101" s="491"/>
      <c r="J101" s="175">
        <f>H101/DAY(B2)</f>
        <v>8.9694799824455079E-2</v>
      </c>
      <c r="O101" s="71"/>
    </row>
    <row r="102" spans="1:15" ht="25.5">
      <c r="A102" s="1281" t="s">
        <v>248</v>
      </c>
      <c r="B102" s="1282"/>
      <c r="C102" s="1283"/>
      <c r="D102" s="151" t="s">
        <v>180</v>
      </c>
      <c r="E102" s="95"/>
      <c r="F102" s="95"/>
      <c r="G102" s="99">
        <f>G36+G50</f>
        <v>-72704.06</v>
      </c>
      <c r="H102" s="99">
        <f>G102+'30'!H102</f>
        <v>0</v>
      </c>
      <c r="I102" s="491"/>
      <c r="J102" s="175">
        <f>H102/DAY(B2)</f>
        <v>0</v>
      </c>
      <c r="O102" s="71"/>
    </row>
    <row r="103" spans="1:15" ht="25.5">
      <c r="A103" s="1281" t="s">
        <v>249</v>
      </c>
      <c r="B103" s="1282"/>
      <c r="C103" s="1283"/>
      <c r="D103" s="151" t="s">
        <v>23</v>
      </c>
      <c r="E103" s="95"/>
      <c r="F103" s="95"/>
      <c r="G103" s="166">
        <f>G102/G7</f>
        <v>9.5851661028390017E-2</v>
      </c>
      <c r="H103" s="99">
        <f>G103+'30'!H103</f>
        <v>2.9673914208273415</v>
      </c>
      <c r="I103" s="95"/>
      <c r="J103" s="175">
        <f>H103/DAY(B2)</f>
        <v>9.572230389765618E-2</v>
      </c>
      <c r="O103" s="71"/>
    </row>
    <row r="104" spans="1:15" ht="25.5">
      <c r="A104" s="1281" t="s">
        <v>250</v>
      </c>
      <c r="B104" s="1282"/>
      <c r="C104" s="1283"/>
      <c r="D104" s="151" t="s">
        <v>180</v>
      </c>
      <c r="E104" s="95"/>
      <c r="F104" s="95"/>
      <c r="G104" s="99">
        <f>G37+G51</f>
        <v>-30865.739999999998</v>
      </c>
      <c r="H104" s="99">
        <f>G104+'30'!H104</f>
        <v>0</v>
      </c>
      <c r="I104" s="95"/>
      <c r="J104" s="175">
        <f>H104/DAY(B2)</f>
        <v>0</v>
      </c>
      <c r="O104" s="71"/>
    </row>
    <row r="105" spans="1:15" ht="26.25" thickBot="1">
      <c r="A105" s="1298" t="s">
        <v>251</v>
      </c>
      <c r="B105" s="1299"/>
      <c r="C105" s="1300"/>
      <c r="D105" s="231" t="s">
        <v>23</v>
      </c>
      <c r="E105" s="185"/>
      <c r="F105" s="185"/>
      <c r="G105" s="186">
        <f>G104/G7</f>
        <v>4.0692809285621995E-2</v>
      </c>
      <c r="H105" s="99">
        <f>G105+'30'!H105</f>
        <v>1.2639886685387054</v>
      </c>
      <c r="I105" s="185"/>
      <c r="J105" s="188">
        <f>H105/DAY(B2)</f>
        <v>4.077382801737759E-2</v>
      </c>
      <c r="O105" s="71"/>
    </row>
    <row r="106" spans="1:15" ht="25.5">
      <c r="A106" s="105"/>
      <c r="B106" s="96"/>
      <c r="C106" s="96"/>
      <c r="D106" s="169"/>
      <c r="E106" s="396"/>
      <c r="F106" s="396"/>
      <c r="G106" s="396"/>
      <c r="H106" s="170"/>
      <c r="I106" s="396"/>
      <c r="J106" s="170"/>
      <c r="O106" s="71"/>
    </row>
    <row r="107" spans="1:15" ht="26.25"/>
    <row r="108" spans="1:15" ht="27.75">
      <c r="A108" s="1301" t="s">
        <v>324</v>
      </c>
      <c r="B108" s="1301"/>
      <c r="C108" s="1301"/>
      <c r="D108" s="1301"/>
      <c r="E108" s="1301"/>
      <c r="F108" s="1301"/>
      <c r="G108" s="1301"/>
      <c r="H108" s="1301"/>
      <c r="I108" s="1301"/>
      <c r="J108" s="1301"/>
    </row>
    <row r="109" spans="1:15" ht="26.25">
      <c r="A109" s="1291"/>
      <c r="B109" s="1291"/>
    </row>
    <row r="110" spans="1:15" ht="26.25">
      <c r="A110" s="1292" t="s">
        <v>165</v>
      </c>
      <c r="B110" s="1293"/>
      <c r="C110" s="1293"/>
      <c r="D110" s="1293"/>
      <c r="E110" s="1293"/>
      <c r="F110" s="1293"/>
      <c r="G110" s="1293"/>
      <c r="H110" s="1293"/>
      <c r="I110" s="1293"/>
      <c r="J110" s="1294"/>
    </row>
    <row r="111" spans="1:15" ht="25.5">
      <c r="A111" s="1270"/>
      <c r="B111" s="1271"/>
      <c r="C111" s="1272"/>
      <c r="D111" s="165"/>
      <c r="E111" s="155"/>
      <c r="F111" s="155"/>
      <c r="G111" s="155"/>
      <c r="H111" s="156"/>
      <c r="I111" s="155"/>
      <c r="J111" s="156"/>
    </row>
    <row r="112" spans="1:15" ht="25.5">
      <c r="A112" s="1266" t="s">
        <v>252</v>
      </c>
      <c r="B112" s="1267"/>
      <c r="C112" s="1268"/>
      <c r="D112" s="146" t="s">
        <v>183</v>
      </c>
      <c r="E112" s="99">
        <f>'30'!F112</f>
        <v>11663</v>
      </c>
      <c r="F112" s="237">
        <v>9505.1</v>
      </c>
      <c r="G112" s="112">
        <f t="shared" ref="G112:G123" si="9">F112-E112</f>
        <v>-2157.8999999999996</v>
      </c>
      <c r="H112" s="99">
        <f>G112+'30'!H112</f>
        <v>74</v>
      </c>
      <c r="I112" s="155"/>
      <c r="J112" s="328">
        <f>H112/DAY(B2)</f>
        <v>2.3870967741935485</v>
      </c>
    </row>
    <row r="113" spans="1:18" ht="25.5">
      <c r="A113" s="1266" t="s">
        <v>253</v>
      </c>
      <c r="B113" s="1267"/>
      <c r="C113" s="1268"/>
      <c r="D113" s="146" t="s">
        <v>183</v>
      </c>
      <c r="E113" s="99">
        <f>'30'!F113</f>
        <v>23521</v>
      </c>
      <c r="F113" s="237">
        <v>19367.900000000001</v>
      </c>
      <c r="G113" s="112">
        <f t="shared" si="9"/>
        <v>-4153.0999999999985</v>
      </c>
      <c r="H113" s="99">
        <f>G113+'30'!H113</f>
        <v>143</v>
      </c>
      <c r="I113" s="155"/>
      <c r="J113" s="328">
        <f>H113/DAY(B2)</f>
        <v>4.612903225806452</v>
      </c>
    </row>
    <row r="114" spans="1:18" ht="25.5">
      <c r="A114" s="1266" t="s">
        <v>254</v>
      </c>
      <c r="B114" s="1267"/>
      <c r="C114" s="1268"/>
      <c r="D114" s="146" t="s">
        <v>183</v>
      </c>
      <c r="E114" s="99">
        <f>'30'!F114</f>
        <v>34775</v>
      </c>
      <c r="F114" s="237">
        <v>28097.9</v>
      </c>
      <c r="G114" s="112">
        <f t="shared" si="9"/>
        <v>-6677.0999999999985</v>
      </c>
      <c r="H114" s="99">
        <f>G114+'30'!H114</f>
        <v>227</v>
      </c>
      <c r="I114" s="155"/>
      <c r="J114" s="328">
        <f>H114/DAY(B2)</f>
        <v>7.32258064516129</v>
      </c>
    </row>
    <row r="115" spans="1:18" ht="25.5">
      <c r="A115" s="1266" t="s">
        <v>255</v>
      </c>
      <c r="B115" s="1267"/>
      <c r="C115" s="1268"/>
      <c r="D115" s="146" t="s">
        <v>183</v>
      </c>
      <c r="E115" s="99">
        <f>'30'!F115</f>
        <v>22053</v>
      </c>
      <c r="F115" s="237">
        <v>17575.2</v>
      </c>
      <c r="G115" s="112">
        <f t="shared" si="9"/>
        <v>-4477.7999999999993</v>
      </c>
      <c r="H115" s="99">
        <f>G115+'30'!H115</f>
        <v>148</v>
      </c>
      <c r="I115" s="155"/>
      <c r="J115" s="328">
        <f>H115/DAY(B2)</f>
        <v>4.774193548387097</v>
      </c>
    </row>
    <row r="116" spans="1:18" ht="25.5">
      <c r="A116" s="1275" t="s">
        <v>96</v>
      </c>
      <c r="B116" s="1276"/>
      <c r="C116" s="1277"/>
      <c r="D116" s="146" t="s">
        <v>183</v>
      </c>
      <c r="E116" s="99">
        <f>'30'!F116</f>
        <v>97135</v>
      </c>
      <c r="F116" s="237">
        <v>83425.3</v>
      </c>
      <c r="G116" s="112">
        <f t="shared" si="9"/>
        <v>-13709.699999999997</v>
      </c>
      <c r="H116" s="99">
        <f>G116+'30'!H116</f>
        <v>606</v>
      </c>
      <c r="I116" s="155"/>
      <c r="J116" s="328">
        <f>H116/DAY(B2)</f>
        <v>19.548387096774192</v>
      </c>
      <c r="Q116" s="1266"/>
      <c r="R116" s="1268"/>
    </row>
    <row r="117" spans="1:18" ht="25.5">
      <c r="A117" s="1275" t="s">
        <v>184</v>
      </c>
      <c r="B117" s="1276"/>
      <c r="C117" s="1277"/>
      <c r="D117" s="146" t="s">
        <v>183</v>
      </c>
      <c r="E117" s="99">
        <f>'30'!F117</f>
        <v>56905</v>
      </c>
      <c r="F117" s="237">
        <v>48709</v>
      </c>
      <c r="G117" s="112">
        <f t="shared" si="9"/>
        <v>-8196</v>
      </c>
      <c r="H117" s="99">
        <f>G117+'30'!H117</f>
        <v>203</v>
      </c>
      <c r="I117" s="155"/>
      <c r="J117" s="328">
        <f>H117/DAY(B2)</f>
        <v>6.5483870967741939</v>
      </c>
      <c r="Q117" s="1266"/>
      <c r="R117" s="1268"/>
    </row>
    <row r="118" spans="1:18" ht="25.5">
      <c r="A118" s="1269" t="s">
        <v>97</v>
      </c>
      <c r="B118" s="1269"/>
      <c r="C118" s="1269"/>
      <c r="D118" s="151" t="s">
        <v>183</v>
      </c>
      <c r="E118" s="99">
        <f>'30'!F118</f>
        <v>101754</v>
      </c>
      <c r="F118" s="237">
        <v>83252.800000000003</v>
      </c>
      <c r="G118" s="112">
        <f t="shared" si="9"/>
        <v>-18501.199999999997</v>
      </c>
      <c r="H118" s="99">
        <f>G118+'30'!H118</f>
        <v>617</v>
      </c>
      <c r="I118" s="155"/>
      <c r="J118" s="328">
        <f>H118/DAY(B2)</f>
        <v>19.903225806451612</v>
      </c>
      <c r="Q118" s="1266"/>
      <c r="R118" s="1268"/>
    </row>
    <row r="119" spans="1:18" ht="25.5">
      <c r="A119" s="1269" t="s">
        <v>98</v>
      </c>
      <c r="B119" s="1269"/>
      <c r="C119" s="1269"/>
      <c r="D119" s="151" t="s">
        <v>183</v>
      </c>
      <c r="E119" s="99">
        <f>'30'!F119</f>
        <v>42581</v>
      </c>
      <c r="F119" s="237">
        <v>42091.4</v>
      </c>
      <c r="G119" s="112">
        <f t="shared" si="9"/>
        <v>-489.59999999999854</v>
      </c>
      <c r="H119" s="99">
        <f>G119+'30'!H119</f>
        <v>1048</v>
      </c>
      <c r="I119" s="155"/>
      <c r="J119" s="328">
        <f>H119/DAY(B2)</f>
        <v>33.806451612903224</v>
      </c>
    </row>
    <row r="120" spans="1:18" ht="25.5">
      <c r="A120" s="1269" t="s">
        <v>99</v>
      </c>
      <c r="B120" s="1269"/>
      <c r="C120" s="1269"/>
      <c r="D120" s="151" t="s">
        <v>183</v>
      </c>
      <c r="E120" s="99">
        <f>'30'!F120</f>
        <v>71332</v>
      </c>
      <c r="F120" s="237">
        <v>59002.400000000001</v>
      </c>
      <c r="G120" s="112">
        <f t="shared" si="9"/>
        <v>-12329.599999999999</v>
      </c>
      <c r="H120" s="99">
        <f>G120+'30'!H120</f>
        <v>437</v>
      </c>
      <c r="I120" s="155"/>
      <c r="J120" s="328">
        <f>H120/DAY(B2)</f>
        <v>14.096774193548388</v>
      </c>
    </row>
    <row r="121" spans="1:18" ht="25.5">
      <c r="A121" s="1269" t="s">
        <v>100</v>
      </c>
      <c r="B121" s="1269"/>
      <c r="C121" s="1269"/>
      <c r="D121" s="151" t="s">
        <v>183</v>
      </c>
      <c r="E121" s="99">
        <f>'30'!F121</f>
        <v>81356</v>
      </c>
      <c r="F121" s="237">
        <v>67763</v>
      </c>
      <c r="G121" s="112">
        <f t="shared" si="9"/>
        <v>-13593</v>
      </c>
      <c r="H121" s="99">
        <f>G121+'30'!H121</f>
        <v>481</v>
      </c>
      <c r="I121" s="155"/>
      <c r="J121" s="328">
        <f>H121/DAY(B2)</f>
        <v>15.516129032258064</v>
      </c>
    </row>
    <row r="122" spans="1:18" ht="25.5">
      <c r="A122" s="1269" t="s">
        <v>101</v>
      </c>
      <c r="B122" s="1269"/>
      <c r="C122" s="1269"/>
      <c r="D122" s="151" t="s">
        <v>183</v>
      </c>
      <c r="E122" s="99">
        <f>'30'!F122</f>
        <v>49131</v>
      </c>
      <c r="F122" s="237">
        <v>38636.9</v>
      </c>
      <c r="G122" s="112">
        <f t="shared" si="9"/>
        <v>-10494.099999999999</v>
      </c>
      <c r="H122" s="99">
        <f>G122+'30'!H122</f>
        <v>310</v>
      </c>
      <c r="I122" s="155"/>
      <c r="J122" s="328">
        <f>H122/DAY(B2)</f>
        <v>10</v>
      </c>
    </row>
    <row r="123" spans="1:18" ht="25.5">
      <c r="A123" s="1269" t="s">
        <v>348</v>
      </c>
      <c r="B123" s="1269"/>
      <c r="C123" s="1269"/>
      <c r="D123" s="151" t="s">
        <v>183</v>
      </c>
      <c r="E123" s="99">
        <f>'30'!F123</f>
        <v>49749</v>
      </c>
      <c r="F123" s="237">
        <v>40362.800000000003</v>
      </c>
      <c r="G123" s="112">
        <f t="shared" si="9"/>
        <v>-9386.1999999999971</v>
      </c>
      <c r="H123" s="99">
        <f>G123+'30'!H123</f>
        <v>314</v>
      </c>
      <c r="I123" s="155"/>
      <c r="J123" s="328">
        <f>H123/DAY(B2)</f>
        <v>10.129032258064516</v>
      </c>
    </row>
    <row r="124" spans="1:18" ht="25.5">
      <c r="A124" s="1270"/>
      <c r="B124" s="1271"/>
      <c r="C124" s="1272"/>
      <c r="D124" s="165"/>
      <c r="E124" s="165"/>
      <c r="F124" s="155"/>
      <c r="G124" s="156"/>
      <c r="H124" s="99">
        <f>G124+'30'!H124</f>
        <v>0</v>
      </c>
      <c r="I124" s="155"/>
      <c r="J124" s="156"/>
    </row>
    <row r="125" spans="1:18" ht="25.5">
      <c r="A125" s="1261" t="s">
        <v>196</v>
      </c>
      <c r="B125" s="1365"/>
      <c r="C125" s="1262"/>
      <c r="D125" s="307"/>
      <c r="E125" s="308"/>
      <c r="F125" s="308"/>
      <c r="G125" s="309">
        <f>SUM(G112:G124)</f>
        <v>-104165.29999999997</v>
      </c>
      <c r="H125" s="156"/>
      <c r="I125" s="156">
        <f>G125-(G39+G53)</f>
        <v>22661.010000000024</v>
      </c>
      <c r="J125" s="156"/>
    </row>
    <row r="126" spans="1:18" ht="25.5">
      <c r="A126" s="1273" t="s">
        <v>317</v>
      </c>
      <c r="B126" s="1273"/>
      <c r="C126" s="1273"/>
      <c r="D126" s="1273"/>
      <c r="E126" s="1273"/>
      <c r="F126" s="1273"/>
      <c r="G126" s="1273"/>
      <c r="H126" s="1273"/>
      <c r="I126" s="1273"/>
      <c r="J126" s="1273"/>
    </row>
    <row r="127" spans="1:18" ht="25.5">
      <c r="A127" s="1274"/>
      <c r="B127" s="1274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5.5">
      <c r="A128" s="1266" t="s">
        <v>318</v>
      </c>
      <c r="B128" s="1267"/>
      <c r="C128" s="1268"/>
      <c r="D128" s="151" t="s">
        <v>183</v>
      </c>
      <c r="E128" s="99">
        <f>'30'!F128</f>
        <v>154815</v>
      </c>
      <c r="F128" s="155">
        <v>141869.1</v>
      </c>
      <c r="G128" s="112">
        <f t="shared" ref="G128:G134" si="10">F128-E128</f>
        <v>-12945.899999999994</v>
      </c>
      <c r="H128" s="99">
        <f>G128+'30'!H128</f>
        <v>414</v>
      </c>
      <c r="I128" s="155"/>
      <c r="J128" s="328">
        <f>H128/DAY(B2)</f>
        <v>13.35483870967742</v>
      </c>
    </row>
    <row r="129" spans="1:15" ht="25.5">
      <c r="A129" s="329" t="s">
        <v>319</v>
      </c>
      <c r="B129" s="330"/>
      <c r="C129" s="331"/>
      <c r="D129" s="151" t="s">
        <v>183</v>
      </c>
      <c r="E129" s="99">
        <f>'30'!F129</f>
        <v>83936</v>
      </c>
      <c r="F129" s="155">
        <v>78524.399999999994</v>
      </c>
      <c r="G129" s="112">
        <f t="shared" si="10"/>
        <v>-5411.6000000000058</v>
      </c>
      <c r="H129" s="99">
        <f>G129+'30'!H129</f>
        <v>206</v>
      </c>
      <c r="I129" s="155"/>
      <c r="J129" s="328">
        <f>H129/DAY(B2)</f>
        <v>6.645161290322581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9">
        <f>'30'!F130</f>
        <v>206759</v>
      </c>
      <c r="F130" s="407">
        <v>186023.89</v>
      </c>
      <c r="G130" s="570">
        <f t="shared" si="10"/>
        <v>-20735.109999999986</v>
      </c>
      <c r="H130" s="99">
        <f>G130+'30'!H130</f>
        <v>229.10000000000582</v>
      </c>
      <c r="I130" s="155"/>
      <c r="J130" s="328">
        <f>H130/DAY(B2)</f>
        <v>7.390322580645349</v>
      </c>
      <c r="N130" s="240"/>
      <c r="O130" s="241"/>
    </row>
    <row r="131" spans="1:15" ht="25.5">
      <c r="A131" s="1266" t="s">
        <v>321</v>
      </c>
      <c r="B131" s="1267"/>
      <c r="C131" s="1268"/>
      <c r="D131" s="151" t="s">
        <v>183</v>
      </c>
      <c r="E131" s="99">
        <f>'30'!F131</f>
        <v>60308</v>
      </c>
      <c r="F131" s="155">
        <v>54154.7</v>
      </c>
      <c r="G131" s="112">
        <f t="shared" si="10"/>
        <v>-6153.3000000000029</v>
      </c>
      <c r="H131" s="99">
        <f>G131+'30'!H131</f>
        <v>307</v>
      </c>
      <c r="I131" s="155"/>
      <c r="J131" s="328">
        <f>H131/DAY(B2)</f>
        <v>9.9032258064516121</v>
      </c>
      <c r="N131" s="240"/>
      <c r="O131" s="241"/>
    </row>
    <row r="132" spans="1:15" ht="25.5">
      <c r="A132" s="1266" t="s">
        <v>322</v>
      </c>
      <c r="B132" s="1267"/>
      <c r="C132" s="1268"/>
      <c r="D132" s="151" t="s">
        <v>183</v>
      </c>
      <c r="E132" s="99">
        <f>'30'!F132</f>
        <v>146985</v>
      </c>
      <c r="F132" s="155">
        <v>140941.20000000001</v>
      </c>
      <c r="G132" s="112">
        <f t="shared" si="10"/>
        <v>-6043.7999999999884</v>
      </c>
      <c r="H132" s="99">
        <f>G132+'30'!H132</f>
        <v>412</v>
      </c>
      <c r="I132" s="155"/>
      <c r="J132" s="328">
        <f>H132/DAY(B2)</f>
        <v>13.290322580645162</v>
      </c>
    </row>
    <row r="133" spans="1:15" ht="25.5">
      <c r="A133" s="1266" t="s">
        <v>357</v>
      </c>
      <c r="B133" s="1267"/>
      <c r="C133" s="1268"/>
      <c r="D133" s="151" t="s">
        <v>183</v>
      </c>
      <c r="E133" s="99">
        <f>'30'!F133</f>
        <v>265945</v>
      </c>
      <c r="F133" s="155">
        <v>240920</v>
      </c>
      <c r="G133" s="112">
        <f t="shared" si="10"/>
        <v>-25025</v>
      </c>
      <c r="H133" s="99">
        <f>G133+'30'!H133</f>
        <v>891</v>
      </c>
      <c r="I133" s="155"/>
      <c r="J133" s="328">
        <f>H133/DAY(B2)</f>
        <v>28.741935483870968</v>
      </c>
    </row>
    <row r="134" spans="1:15" ht="25.5">
      <c r="A134" s="1266" t="s">
        <v>340</v>
      </c>
      <c r="B134" s="1267"/>
      <c r="C134" s="1268"/>
      <c r="D134" s="151" t="s">
        <v>183</v>
      </c>
      <c r="E134" s="99">
        <f>'30'!F134</f>
        <v>63662</v>
      </c>
      <c r="F134" s="155">
        <v>56142.15</v>
      </c>
      <c r="G134" s="112">
        <f t="shared" si="10"/>
        <v>-7519.8499999999985</v>
      </c>
      <c r="H134" s="99">
        <f>G134+'30'!H134</f>
        <v>239</v>
      </c>
      <c r="I134" s="155"/>
      <c r="J134" s="328">
        <f>H134/DAY(B2)</f>
        <v>7.709677419354839</v>
      </c>
    </row>
    <row r="135" spans="1:15" ht="25.5">
      <c r="A135" s="1261" t="s">
        <v>196</v>
      </c>
      <c r="B135" s="1365"/>
      <c r="C135" s="1262"/>
      <c r="D135" s="151"/>
      <c r="E135" s="165"/>
      <c r="F135" s="155"/>
      <c r="G135" s="112">
        <f>SUM(G128:G134)</f>
        <v>-83834.559999999969</v>
      </c>
      <c r="H135" s="99">
        <f>G135+'23'!H135</f>
        <v>-55870.169999999947</v>
      </c>
      <c r="I135" s="156">
        <f>G135-(G35+G49)</f>
        <v>29834.850000000064</v>
      </c>
      <c r="J135" s="328"/>
    </row>
    <row r="136" spans="1:15" ht="27.75">
      <c r="A136" s="1260" t="s">
        <v>325</v>
      </c>
      <c r="B136" s="1260"/>
      <c r="C136" s="1260"/>
      <c r="D136" s="1260"/>
      <c r="E136" s="1260"/>
      <c r="F136" s="1260"/>
      <c r="G136" s="1260"/>
      <c r="H136" s="1260"/>
      <c r="I136" s="1260"/>
      <c r="J136" s="1260"/>
    </row>
    <row r="137" spans="1:15" ht="26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5.5">
      <c r="A138" s="1269" t="s">
        <v>185</v>
      </c>
      <c r="B138" s="1269"/>
      <c r="C138" s="1269"/>
      <c r="D138" s="151" t="s">
        <v>183</v>
      </c>
      <c r="E138" s="99">
        <f>'30'!F138</f>
        <v>898205</v>
      </c>
      <c r="F138" s="147">
        <v>895041</v>
      </c>
      <c r="G138" s="112">
        <f t="shared" ref="G138:G152" si="11">F138-E138</f>
        <v>-3164</v>
      </c>
      <c r="H138" s="99">
        <f>G138+'30'!H138</f>
        <v>106</v>
      </c>
      <c r="I138" s="95"/>
      <c r="J138" s="328">
        <f>H138/DAY(B2)</f>
        <v>3.4193548387096775</v>
      </c>
    </row>
    <row r="139" spans="1:15" ht="25.5">
      <c r="A139" s="1269" t="s">
        <v>186</v>
      </c>
      <c r="B139" s="1269"/>
      <c r="C139" s="1269"/>
      <c r="D139" s="151" t="s">
        <v>183</v>
      </c>
      <c r="E139" s="99">
        <f>'30'!F139</f>
        <v>918204</v>
      </c>
      <c r="F139" s="148">
        <v>913599</v>
      </c>
      <c r="G139" s="112">
        <f t="shared" si="11"/>
        <v>-4605</v>
      </c>
      <c r="H139" s="99">
        <f>G139+'30'!H139</f>
        <v>0</v>
      </c>
      <c r="I139" s="95"/>
      <c r="J139" s="328">
        <f>H139/DAY(B2)</f>
        <v>0</v>
      </c>
    </row>
    <row r="140" spans="1:15" ht="25.5">
      <c r="A140" s="1269" t="s">
        <v>187</v>
      </c>
      <c r="B140" s="1269"/>
      <c r="C140" s="1269"/>
      <c r="D140" s="151" t="s">
        <v>183</v>
      </c>
      <c r="E140" s="99">
        <f>'30'!F140</f>
        <v>2343</v>
      </c>
      <c r="F140" s="149">
        <v>1967.76</v>
      </c>
      <c r="G140" s="112">
        <f t="shared" si="11"/>
        <v>-375.24</v>
      </c>
      <c r="H140" s="99">
        <f>G140+'30'!H140</f>
        <v>460</v>
      </c>
      <c r="I140" s="95"/>
      <c r="J140" s="328">
        <f>H140/DAY(B2)</f>
        <v>14.838709677419354</v>
      </c>
    </row>
    <row r="141" spans="1:15" ht="25.5">
      <c r="A141" s="1256" t="s">
        <v>188</v>
      </c>
      <c r="B141" s="1256"/>
      <c r="C141" s="1256"/>
      <c r="D141" s="151" t="s">
        <v>183</v>
      </c>
      <c r="E141" s="99">
        <f>'30'!F141</f>
        <v>103774</v>
      </c>
      <c r="F141" s="149">
        <v>96827</v>
      </c>
      <c r="G141" s="112">
        <f t="shared" si="11"/>
        <v>-6947</v>
      </c>
      <c r="H141" s="99">
        <f>G141+'30'!H141</f>
        <v>214</v>
      </c>
      <c r="I141" s="95"/>
      <c r="J141" s="328">
        <f>H141/DAY(B2)</f>
        <v>6.903225806451613</v>
      </c>
    </row>
    <row r="142" spans="1:15" ht="25.5">
      <c r="A142" s="1256" t="s">
        <v>189</v>
      </c>
      <c r="B142" s="1256"/>
      <c r="C142" s="1256"/>
      <c r="D142" s="151" t="s">
        <v>183</v>
      </c>
      <c r="E142" s="99">
        <f>'30'!F142</f>
        <v>41815</v>
      </c>
      <c r="F142" s="148">
        <v>39175</v>
      </c>
      <c r="G142" s="112">
        <f t="shared" si="11"/>
        <v>-2640</v>
      </c>
      <c r="H142" s="99">
        <f>G142+'30'!H142</f>
        <v>85</v>
      </c>
      <c r="I142" s="499"/>
      <c r="J142" s="328">
        <f>H142/DAY(B2)</f>
        <v>2.7419354838709675</v>
      </c>
    </row>
    <row r="143" spans="1:15" ht="25.5">
      <c r="A143" s="1269" t="s">
        <v>91</v>
      </c>
      <c r="B143" s="1269"/>
      <c r="C143" s="1269"/>
      <c r="D143" s="151" t="s">
        <v>183</v>
      </c>
      <c r="E143" s="99">
        <f>'30'!F143</f>
        <v>10677</v>
      </c>
      <c r="F143" s="149">
        <v>9879</v>
      </c>
      <c r="G143" s="112">
        <f t="shared" si="11"/>
        <v>-798</v>
      </c>
      <c r="H143" s="99">
        <f>G143+'30'!H143</f>
        <v>26</v>
      </c>
      <c r="I143" s="499"/>
      <c r="J143" s="328">
        <f>H143/DAY(B2)</f>
        <v>0.83870967741935487</v>
      </c>
    </row>
    <row r="144" spans="1:15" ht="25.5">
      <c r="A144" s="1256" t="s">
        <v>90</v>
      </c>
      <c r="B144" s="1256"/>
      <c r="C144" s="1256"/>
      <c r="D144" s="151" t="s">
        <v>183</v>
      </c>
      <c r="E144" s="99">
        <f>'30'!F144</f>
        <v>933521</v>
      </c>
      <c r="F144" s="149">
        <v>926624</v>
      </c>
      <c r="G144" s="112">
        <f t="shared" si="11"/>
        <v>-6897</v>
      </c>
      <c r="H144" s="99">
        <f>G144+'30'!H144</f>
        <v>228</v>
      </c>
      <c r="I144" s="499"/>
      <c r="J144" s="328">
        <f>H144/DAY(B2)</f>
        <v>7.354838709677419</v>
      </c>
    </row>
    <row r="145" spans="1:11" ht="25.5">
      <c r="A145" s="1269" t="s">
        <v>190</v>
      </c>
      <c r="B145" s="1269"/>
      <c r="C145" s="1269"/>
      <c r="D145" s="152" t="s">
        <v>183</v>
      </c>
      <c r="E145" s="99">
        <f>'30'!F145</f>
        <v>13140</v>
      </c>
      <c r="F145" s="149">
        <v>7405.2</v>
      </c>
      <c r="G145" s="112">
        <f t="shared" si="11"/>
        <v>-5734.8</v>
      </c>
      <c r="H145" s="99">
        <f>G145+'30'!H145</f>
        <v>171</v>
      </c>
      <c r="I145" s="499"/>
      <c r="J145" s="328">
        <f>H145/DAY(B2)</f>
        <v>5.5161290322580649</v>
      </c>
    </row>
    <row r="146" spans="1:11" ht="25.5">
      <c r="A146" s="1332" t="s">
        <v>191</v>
      </c>
      <c r="B146" s="1289"/>
      <c r="C146" s="1290"/>
      <c r="D146" s="152" t="s">
        <v>183</v>
      </c>
      <c r="E146" s="99">
        <f>'30'!F146</f>
        <v>784339</v>
      </c>
      <c r="F146" s="148">
        <v>782808</v>
      </c>
      <c r="G146" s="112">
        <f t="shared" si="11"/>
        <v>-1531</v>
      </c>
      <c r="H146" s="99">
        <f>G146+'30'!H146</f>
        <v>0</v>
      </c>
      <c r="I146" s="499"/>
      <c r="J146" s="328">
        <f>H146/DAY(B2)</f>
        <v>0</v>
      </c>
    </row>
    <row r="147" spans="1:11" ht="25.5">
      <c r="A147" s="1256" t="s">
        <v>192</v>
      </c>
      <c r="B147" s="1256"/>
      <c r="C147" s="1256"/>
      <c r="D147" s="152" t="s">
        <v>183</v>
      </c>
      <c r="E147" s="99">
        <f>'30'!F147</f>
        <v>723522</v>
      </c>
      <c r="F147" s="148">
        <v>711671.54</v>
      </c>
      <c r="G147" s="112">
        <f t="shared" si="11"/>
        <v>-11850.459999999963</v>
      </c>
      <c r="H147" s="99">
        <f>G147+'30'!H147</f>
        <v>0</v>
      </c>
      <c r="I147" s="499"/>
      <c r="J147" s="328">
        <f>H147/DAY(B2)</f>
        <v>0</v>
      </c>
    </row>
    <row r="148" spans="1:11" ht="25.5">
      <c r="A148" s="1257" t="s">
        <v>193</v>
      </c>
      <c r="B148" s="1258"/>
      <c r="C148" s="1259"/>
      <c r="D148" s="123" t="s">
        <v>130</v>
      </c>
      <c r="E148" s="99">
        <f>'30'!F148</f>
        <v>766610</v>
      </c>
      <c r="F148" s="150">
        <v>757950.48</v>
      </c>
      <c r="G148" s="112">
        <f t="shared" si="11"/>
        <v>-8659.5200000000186</v>
      </c>
      <c r="H148" s="99">
        <f>G148+'30'!H148</f>
        <v>0</v>
      </c>
      <c r="I148" s="124"/>
      <c r="J148" s="328">
        <f>H148/DAY(B2)</f>
        <v>0</v>
      </c>
    </row>
    <row r="149" spans="1:11" ht="25.5">
      <c r="A149" s="1257" t="s">
        <v>336</v>
      </c>
      <c r="B149" s="1258"/>
      <c r="C149" s="1259"/>
      <c r="D149" s="227" t="s">
        <v>130</v>
      </c>
      <c r="E149" s="99">
        <f>'30'!F149</f>
        <v>157967</v>
      </c>
      <c r="F149" s="146">
        <v>146217.68</v>
      </c>
      <c r="G149" s="112">
        <f t="shared" si="11"/>
        <v>-11749.320000000007</v>
      </c>
      <c r="H149" s="99">
        <f>G149+'30'!H149</f>
        <v>421</v>
      </c>
      <c r="I149" s="119"/>
      <c r="J149" s="328">
        <f>H149/DAY(B2)</f>
        <v>13.580645161290322</v>
      </c>
    </row>
    <row r="150" spans="1:11" ht="25.5">
      <c r="A150" s="1257" t="s">
        <v>337</v>
      </c>
      <c r="B150" s="1258"/>
      <c r="C150" s="1259"/>
      <c r="D150" s="117" t="s">
        <v>130</v>
      </c>
      <c r="E150" s="99">
        <f>'30'!F150</f>
        <v>63978</v>
      </c>
      <c r="F150" s="233">
        <v>57426.1</v>
      </c>
      <c r="G150" s="112">
        <f t="shared" si="11"/>
        <v>-6551.9000000000015</v>
      </c>
      <c r="H150" s="99">
        <f>G150+'30'!H150</f>
        <v>211</v>
      </c>
      <c r="I150" s="119"/>
      <c r="J150" s="328">
        <f>H150/DAY(B2)</f>
        <v>6.806451612903226</v>
      </c>
    </row>
    <row r="151" spans="1:11" ht="25.5">
      <c r="A151" s="1257" t="s">
        <v>338</v>
      </c>
      <c r="B151" s="1258"/>
      <c r="C151" s="1259"/>
      <c r="D151" s="117" t="s">
        <v>130</v>
      </c>
      <c r="E151" s="99">
        <f>'30'!F151</f>
        <v>149788</v>
      </c>
      <c r="F151" s="233">
        <v>143538</v>
      </c>
      <c r="G151" s="112">
        <f t="shared" si="11"/>
        <v>-6250</v>
      </c>
      <c r="H151" s="99">
        <f>G151+'30'!H151</f>
        <v>324</v>
      </c>
      <c r="I151" s="119"/>
      <c r="J151" s="328">
        <f>H151/DAY(B2)</f>
        <v>10.451612903225806</v>
      </c>
    </row>
    <row r="152" spans="1:11" ht="25.5">
      <c r="A152" s="1257" t="s">
        <v>339</v>
      </c>
      <c r="B152" s="1258"/>
      <c r="C152" s="1259"/>
      <c r="D152" s="117" t="s">
        <v>130</v>
      </c>
      <c r="E152" s="99">
        <f>'30'!F152</f>
        <v>30614</v>
      </c>
      <c r="F152" s="233">
        <v>26865.9</v>
      </c>
      <c r="G152" s="112">
        <f t="shared" si="11"/>
        <v>-3748.0999999999985</v>
      </c>
      <c r="H152" s="99">
        <f>G152+'30'!H152</f>
        <v>125</v>
      </c>
      <c r="I152" s="119"/>
      <c r="J152" s="328">
        <f>H152/DAY(B2)</f>
        <v>4.032258064516129</v>
      </c>
    </row>
    <row r="153" spans="1:11" ht="25.5">
      <c r="A153" s="1261" t="s">
        <v>196</v>
      </c>
      <c r="B153" s="1365"/>
      <c r="C153" s="1262"/>
      <c r="D153" s="355"/>
      <c r="E153" s="358"/>
      <c r="F153" s="358"/>
      <c r="G153" s="359">
        <f>SUM(G138:G152)</f>
        <v>-81501.34</v>
      </c>
      <c r="H153" s="360"/>
      <c r="I153" s="119">
        <f>G153-(G38+G52)</f>
        <v>-13539.839999999997</v>
      </c>
      <c r="J153" s="363"/>
    </row>
    <row r="154" spans="1:11" ht="27.75">
      <c r="A154" s="1260" t="s">
        <v>344</v>
      </c>
      <c r="B154" s="1260"/>
      <c r="C154" s="1260"/>
      <c r="D154" s="1260"/>
      <c r="E154" s="1260"/>
      <c r="F154" s="1260"/>
      <c r="G154" s="1260"/>
      <c r="H154" s="1260"/>
      <c r="I154" s="1260"/>
      <c r="J154" s="1260"/>
    </row>
    <row r="155" spans="1:11" ht="27.75">
      <c r="A155" s="1256" t="s">
        <v>345</v>
      </c>
      <c r="B155" s="1256"/>
      <c r="C155" s="1256"/>
      <c r="D155" s="117" t="s">
        <v>130</v>
      </c>
      <c r="E155" s="99">
        <f>'30'!F155</f>
        <v>185741</v>
      </c>
      <c r="F155" s="375">
        <v>167284</v>
      </c>
      <c r="G155" s="112">
        <f t="shared" ref="G155:G158" si="12">F155-E155</f>
        <v>-18457</v>
      </c>
      <c r="H155" s="99">
        <f>G155+'30'!H155</f>
        <v>607</v>
      </c>
      <c r="I155" s="361"/>
      <c r="J155" s="328">
        <f>H155/DAY(B2)</f>
        <v>19.580645161290324</v>
      </c>
    </row>
    <row r="156" spans="1:11" ht="25.5">
      <c r="A156" s="1256" t="s">
        <v>347</v>
      </c>
      <c r="B156" s="1256"/>
      <c r="C156" s="1256"/>
      <c r="D156" s="117" t="s">
        <v>130</v>
      </c>
      <c r="E156" s="99">
        <f>'30'!F156</f>
        <v>20739</v>
      </c>
      <c r="F156" s="155">
        <v>17707</v>
      </c>
      <c r="G156" s="112">
        <f t="shared" si="12"/>
        <v>-3032</v>
      </c>
      <c r="H156" s="99">
        <f>G156+'30'!H156</f>
        <v>3205</v>
      </c>
      <c r="I156" s="155"/>
      <c r="J156" s="328">
        <f>H156/DAY(B2)</f>
        <v>103.38709677419355</v>
      </c>
    </row>
    <row r="157" spans="1:11" ht="25.5">
      <c r="A157" s="1257" t="s">
        <v>358</v>
      </c>
      <c r="B157" s="1258"/>
      <c r="C157" s="1259"/>
      <c r="D157" s="117" t="s">
        <v>130</v>
      </c>
      <c r="E157" s="99">
        <f>'30'!F157</f>
        <v>36124</v>
      </c>
      <c r="F157" s="95">
        <v>31730.5</v>
      </c>
      <c r="G157" s="112">
        <f t="shared" si="12"/>
        <v>-4393.5</v>
      </c>
      <c r="H157" s="99">
        <f>G157+'30'!H157</f>
        <v>-4094.3000000000029</v>
      </c>
      <c r="I157" s="99"/>
      <c r="J157" s="155"/>
      <c r="K157" s="328"/>
    </row>
    <row r="158" spans="1:11" ht="25.5">
      <c r="A158" s="1257" t="s">
        <v>359</v>
      </c>
      <c r="B158" s="1258"/>
      <c r="C158" s="1259"/>
      <c r="D158" s="117" t="s">
        <v>130</v>
      </c>
      <c r="E158" s="99">
        <f>'30'!F158</f>
        <v>504.63</v>
      </c>
      <c r="F158" s="155">
        <v>320</v>
      </c>
      <c r="G158" s="112">
        <f t="shared" si="12"/>
        <v>-184.63</v>
      </c>
      <c r="H158" s="99">
        <f>G158+'30'!H158</f>
        <v>-92.699999999999989</v>
      </c>
      <c r="I158" s="155"/>
      <c r="J158" s="328"/>
    </row>
    <row r="159" spans="1:11" ht="25.5">
      <c r="A159" s="1263"/>
      <c r="B159" s="1264"/>
      <c r="C159" s="1265"/>
      <c r="D159" s="117"/>
      <c r="E159" s="327"/>
      <c r="F159" s="155"/>
      <c r="G159" s="112"/>
      <c r="H159" s="99"/>
      <c r="I159" s="155"/>
      <c r="J159" s="328"/>
    </row>
    <row r="160" spans="1:11" ht="27.75">
      <c r="A160" s="1260" t="s">
        <v>326</v>
      </c>
      <c r="B160" s="1260"/>
      <c r="C160" s="1260"/>
      <c r="D160" s="1260"/>
      <c r="E160" s="1260"/>
      <c r="F160" s="1260"/>
      <c r="G160" s="1260"/>
      <c r="H160" s="1260"/>
      <c r="I160" s="1260"/>
      <c r="J160" s="1260"/>
    </row>
    <row r="161" spans="1:10" ht="26.25">
      <c r="A161" s="242" t="s">
        <v>92</v>
      </c>
      <c r="B161" s="243"/>
      <c r="C161" s="243"/>
      <c r="D161" s="244" t="s">
        <v>180</v>
      </c>
      <c r="E161" s="99">
        <f>'30'!F161</f>
        <v>488323</v>
      </c>
      <c r="F161" s="235">
        <v>482075.04</v>
      </c>
      <c r="G161" s="238">
        <f t="shared" ref="G161:G165" si="13">F161-E161</f>
        <v>-6247.960000000021</v>
      </c>
      <c r="H161" s="99">
        <f>G161+'30'!H161</f>
        <v>-3488.679999999993</v>
      </c>
      <c r="I161" s="236"/>
      <c r="J161" s="239">
        <f>H161/DAY(B2)</f>
        <v>-112.53806451612881</v>
      </c>
    </row>
    <row r="162" spans="1:10" ht="26.25">
      <c r="A162" s="242" t="s">
        <v>93</v>
      </c>
      <c r="B162" s="243"/>
      <c r="C162" s="243"/>
      <c r="D162" s="244" t="s">
        <v>180</v>
      </c>
      <c r="E162" s="99">
        <f>'30'!F162</f>
        <v>97288</v>
      </c>
      <c r="F162" s="235">
        <v>96121</v>
      </c>
      <c r="G162" s="238">
        <f t="shared" si="13"/>
        <v>-1167</v>
      </c>
      <c r="H162" s="99">
        <f>G162+'30'!H162</f>
        <v>0</v>
      </c>
      <c r="I162" s="236"/>
      <c r="J162" s="239">
        <f>H162/DAY(B2)</f>
        <v>0</v>
      </c>
    </row>
    <row r="163" spans="1:10" ht="26.25">
      <c r="A163" s="242" t="s">
        <v>197</v>
      </c>
      <c r="B163" s="243"/>
      <c r="C163" s="243"/>
      <c r="D163" s="244" t="s">
        <v>180</v>
      </c>
      <c r="E163" s="99">
        <f>'30'!F163</f>
        <v>14164</v>
      </c>
      <c r="F163" s="235">
        <v>10125.6</v>
      </c>
      <c r="G163" s="238">
        <f t="shared" si="13"/>
        <v>-4038.3999999999996</v>
      </c>
      <c r="H163" s="99">
        <f>G163+'30'!H163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99">
        <f>'30'!F164</f>
        <v>6612</v>
      </c>
      <c r="F164" s="235">
        <v>6420.1</v>
      </c>
      <c r="G164" s="238">
        <f t="shared" si="13"/>
        <v>-191.89999999999964</v>
      </c>
      <c r="H164" s="99">
        <f>G164+'30'!H164</f>
        <v>0</v>
      </c>
      <c r="I164" s="236"/>
      <c r="J164" s="239">
        <f>H164/DAY(B2)</f>
        <v>0</v>
      </c>
    </row>
    <row r="165" spans="1:10" ht="26.25">
      <c r="A165" s="242" t="s">
        <v>309</v>
      </c>
      <c r="B165" s="243"/>
      <c r="C165" s="243"/>
      <c r="D165" s="244" t="s">
        <v>180</v>
      </c>
      <c r="E165" s="99">
        <f>'30'!F165</f>
        <v>32141</v>
      </c>
      <c r="F165" s="235">
        <v>31871.19</v>
      </c>
      <c r="G165" s="238">
        <f t="shared" si="13"/>
        <v>-269.81000000000131</v>
      </c>
      <c r="H165" s="99">
        <f>G165+'30'!H165</f>
        <v>10</v>
      </c>
      <c r="I165" s="236"/>
      <c r="J165" s="239">
        <f>H165/DAY(B2)</f>
        <v>0.32258064516129031</v>
      </c>
    </row>
    <row r="166" spans="1:10" ht="26.25">
      <c r="A166" s="1274"/>
      <c r="B166" s="1274"/>
      <c r="C166" s="246"/>
      <c r="D166" s="244" t="s">
        <v>180</v>
      </c>
      <c r="E166" s="165"/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6.25">
      <c r="A167" s="1274"/>
      <c r="B167" s="1274"/>
      <c r="C167" s="246"/>
      <c r="D167" s="244" t="s">
        <v>180</v>
      </c>
      <c r="E167" s="165"/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6.25">
      <c r="A168" s="1274"/>
      <c r="B168" s="1274"/>
      <c r="C168" s="246"/>
      <c r="D168" s="244" t="s">
        <v>180</v>
      </c>
      <c r="E168" s="165"/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6.25"/>
    <row r="170" spans="1:10" ht="26.25"/>
    <row r="171" spans="1:10" ht="27.75">
      <c r="A171" s="1327" t="s">
        <v>330</v>
      </c>
      <c r="B171" s="1328"/>
      <c r="C171" s="1328"/>
      <c r="D171" s="1328"/>
      <c r="E171" s="1328"/>
      <c r="F171" s="1328"/>
      <c r="G171" s="1328"/>
      <c r="H171" s="1328"/>
      <c r="I171" s="1328"/>
      <c r="J171" s="1329"/>
    </row>
    <row r="172" spans="1:10" ht="25.5">
      <c r="A172" s="1330"/>
      <c r="B172" s="1331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1254" t="s">
        <v>209</v>
      </c>
      <c r="B173" s="1255"/>
      <c r="C173" s="333"/>
      <c r="D173" s="228" t="s">
        <v>142</v>
      </c>
      <c r="E173" s="99">
        <f>'30'!F173</f>
        <v>8581</v>
      </c>
      <c r="F173" s="407">
        <f>8579+5</f>
        <v>8584</v>
      </c>
      <c r="G173" s="155">
        <f>F173-E173</f>
        <v>3</v>
      </c>
      <c r="H173" s="99">
        <f>G173+'30'!H173</f>
        <v>46</v>
      </c>
      <c r="I173" s="155"/>
      <c r="J173" s="178">
        <f>H173/DAY(B2)</f>
        <v>1.4838709677419355</v>
      </c>
    </row>
    <row r="174" spans="1:10" ht="25.5">
      <c r="A174" s="1254" t="s">
        <v>75</v>
      </c>
      <c r="B174" s="1255"/>
      <c r="C174" s="333"/>
      <c r="D174" s="228" t="s">
        <v>142</v>
      </c>
      <c r="E174" s="99">
        <f>'30'!F174</f>
        <v>41962</v>
      </c>
      <c r="F174" s="157">
        <v>41606</v>
      </c>
      <c r="G174" s="155">
        <f t="shared" ref="G174:G175" si="14">F174-E174</f>
        <v>-356</v>
      </c>
      <c r="H174" s="99">
        <f>G174+'30'!H174</f>
        <v>12</v>
      </c>
      <c r="I174" s="155"/>
      <c r="J174" s="178">
        <f>H174/DAY(B2)</f>
        <v>0.38709677419354838</v>
      </c>
    </row>
    <row r="175" spans="1:10" ht="25.5">
      <c r="A175" s="1254" t="s">
        <v>76</v>
      </c>
      <c r="B175" s="1324"/>
      <c r="C175" s="1255"/>
      <c r="D175" s="228" t="s">
        <v>142</v>
      </c>
      <c r="E175" s="99">
        <f>'30'!F175</f>
        <v>24697</v>
      </c>
      <c r="F175" s="155">
        <v>24367</v>
      </c>
      <c r="G175" s="155">
        <f t="shared" si="14"/>
        <v>-330</v>
      </c>
      <c r="H175" s="99">
        <f>G175+'30'!H175</f>
        <v>14</v>
      </c>
      <c r="I175" s="155"/>
      <c r="J175" s="178">
        <f>H175/DAY(B2)</f>
        <v>0.45161290322580644</v>
      </c>
    </row>
    <row r="176" spans="1:10" ht="25.5">
      <c r="A176" s="1261" t="s">
        <v>196</v>
      </c>
      <c r="B176" s="1365"/>
      <c r="C176" s="1262"/>
      <c r="D176" s="228" t="s">
        <v>142</v>
      </c>
      <c r="E176" s="99">
        <f>'30'!F176</f>
        <v>0</v>
      </c>
      <c r="F176" s="155"/>
      <c r="G176" s="155">
        <f>SUM(G173:G175)</f>
        <v>-683</v>
      </c>
      <c r="H176" s="99">
        <f>G176+'30'!H176</f>
        <v>72</v>
      </c>
      <c r="I176" s="155"/>
      <c r="J176" s="178">
        <f>H176/DAY(B2)</f>
        <v>2.3225806451612905</v>
      </c>
    </row>
    <row r="177" spans="1:10" ht="25.5">
      <c r="A177" s="1254" t="s">
        <v>77</v>
      </c>
      <c r="B177" s="1255"/>
      <c r="C177" s="333"/>
      <c r="D177" s="228" t="s">
        <v>142</v>
      </c>
      <c r="E177" s="99">
        <f>'30'!F177</f>
        <v>0</v>
      </c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5.5">
      <c r="A178" s="1254" t="s">
        <v>210</v>
      </c>
      <c r="B178" s="1255"/>
      <c r="C178" s="333"/>
      <c r="D178" s="228" t="s">
        <v>142</v>
      </c>
      <c r="E178" s="99">
        <f>'30'!F178</f>
        <v>102114</v>
      </c>
      <c r="F178" s="155">
        <v>100084</v>
      </c>
      <c r="G178" s="155">
        <f>F178-E178</f>
        <v>-2030</v>
      </c>
      <c r="H178" s="99">
        <f>G178+'30'!H178</f>
        <v>109</v>
      </c>
      <c r="I178" s="155"/>
      <c r="J178" s="178">
        <f>H178/DAY(B2)</f>
        <v>3.5161290322580645</v>
      </c>
    </row>
    <row r="179" spans="1:10" ht="25.5">
      <c r="A179" s="1254" t="s">
        <v>211</v>
      </c>
      <c r="B179" s="1255"/>
      <c r="C179" s="333"/>
      <c r="D179" s="228" t="s">
        <v>142</v>
      </c>
      <c r="E179" s="99">
        <f>'30'!F179</f>
        <v>37501</v>
      </c>
      <c r="F179" s="157">
        <v>37295</v>
      </c>
      <c r="G179" s="155">
        <f t="shared" ref="G179:G180" si="15">F179-E179</f>
        <v>-206</v>
      </c>
      <c r="H179" s="99">
        <f>G179+'30'!H179</f>
        <v>46</v>
      </c>
      <c r="I179" s="155"/>
      <c r="J179" s="178">
        <f>H179/DAY(B2)</f>
        <v>1.4838709677419355</v>
      </c>
    </row>
    <row r="180" spans="1:10" ht="25.5">
      <c r="A180" s="1254" t="s">
        <v>212</v>
      </c>
      <c r="B180" s="1255"/>
      <c r="C180" s="333"/>
      <c r="D180" s="228" t="s">
        <v>142</v>
      </c>
      <c r="E180" s="99">
        <f>'30'!F180</f>
        <v>7231</v>
      </c>
      <c r="F180" s="157">
        <v>7191</v>
      </c>
      <c r="G180" s="155">
        <f t="shared" si="15"/>
        <v>-40</v>
      </c>
      <c r="H180" s="99">
        <f>G180+'30'!H180</f>
        <v>195</v>
      </c>
      <c r="I180" s="155"/>
      <c r="J180" s="178">
        <f>H180/DAY(B2)</f>
        <v>6.290322580645161</v>
      </c>
    </row>
    <row r="181" spans="1:10" ht="25.5">
      <c r="A181" s="1325" t="s">
        <v>108</v>
      </c>
      <c r="B181" s="1326"/>
      <c r="C181" s="384"/>
      <c r="D181" s="228" t="s">
        <v>142</v>
      </c>
      <c r="E181" s="99">
        <f>'30'!F181</f>
        <v>0</v>
      </c>
      <c r="F181" s="157"/>
      <c r="G181" s="155">
        <f>SUM(G178:G180)</f>
        <v>-2276</v>
      </c>
      <c r="H181" s="99">
        <f>G181+'30'!H181</f>
        <v>350</v>
      </c>
      <c r="I181" s="155"/>
      <c r="J181" s="178">
        <f>H181/DAY(B2)</f>
        <v>11.290322580645162</v>
      </c>
    </row>
    <row r="182" spans="1:10" ht="25.5">
      <c r="A182" s="1254" t="s">
        <v>213</v>
      </c>
      <c r="B182" s="1255"/>
      <c r="C182" s="333"/>
      <c r="D182" s="228" t="s">
        <v>142</v>
      </c>
      <c r="E182" s="99">
        <f>'30'!F182</f>
        <v>0</v>
      </c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5.5">
      <c r="A183" s="1254" t="s">
        <v>214</v>
      </c>
      <c r="B183" s="1255"/>
      <c r="C183" s="334"/>
      <c r="D183" s="228" t="s">
        <v>142</v>
      </c>
      <c r="E183" s="99">
        <f>'30'!F183</f>
        <v>17848</v>
      </c>
      <c r="F183" s="157">
        <v>17682</v>
      </c>
      <c r="G183" s="157">
        <f>F183-E183</f>
        <v>-166</v>
      </c>
      <c r="H183" s="99">
        <f>G183+'30'!H183</f>
        <v>5</v>
      </c>
      <c r="I183" s="155"/>
      <c r="J183" s="178">
        <f>H183/DAY(B2)</f>
        <v>0.16129032258064516</v>
      </c>
    </row>
    <row r="184" spans="1:10" ht="25.5">
      <c r="A184" s="1254" t="s">
        <v>215</v>
      </c>
      <c r="B184" s="1255"/>
      <c r="C184" s="334"/>
      <c r="D184" s="228" t="s">
        <v>142</v>
      </c>
      <c r="E184" s="99">
        <f>'30'!F184</f>
        <v>12349</v>
      </c>
      <c r="F184" s="157">
        <v>12154</v>
      </c>
      <c r="G184" s="157">
        <f t="shared" ref="G184:G185" si="16">F184-E184</f>
        <v>-195</v>
      </c>
      <c r="H184" s="99">
        <f>G184+'30'!H184</f>
        <v>7</v>
      </c>
      <c r="I184" s="155"/>
      <c r="J184" s="178">
        <f>H184/DAY(B2)</f>
        <v>0.22580645161290322</v>
      </c>
    </row>
    <row r="185" spans="1:10" ht="25.5">
      <c r="A185" s="1254" t="s">
        <v>216</v>
      </c>
      <c r="B185" s="1255"/>
      <c r="C185" s="334"/>
      <c r="D185" s="228" t="s">
        <v>142</v>
      </c>
      <c r="E185" s="157"/>
      <c r="F185" s="157"/>
      <c r="G185" s="157">
        <f t="shared" si="16"/>
        <v>0</v>
      </c>
      <c r="H185" s="99">
        <f>G185+'30'!H185</f>
        <v>12106</v>
      </c>
      <c r="I185" s="155"/>
      <c r="J185" s="178">
        <f>H185/DAY(B2)</f>
        <v>390.51612903225805</v>
      </c>
    </row>
    <row r="186" spans="1:10" ht="25.5">
      <c r="A186" s="1261" t="s">
        <v>196</v>
      </c>
      <c r="B186" s="1262"/>
      <c r="C186" s="383"/>
      <c r="D186" s="228" t="s">
        <v>142</v>
      </c>
      <c r="E186" s="157"/>
      <c r="F186" s="157"/>
      <c r="G186" s="157">
        <f>SUM(G183:G185)</f>
        <v>-361</v>
      </c>
      <c r="H186" s="99">
        <f>G186+'30'!H186</f>
        <v>12118</v>
      </c>
      <c r="I186" s="157"/>
      <c r="J186" s="178">
        <f>H186/DAY(B2)</f>
        <v>390.90322580645159</v>
      </c>
    </row>
    <row r="187" spans="1:10" ht="25.5">
      <c r="A187" s="1250" t="s">
        <v>217</v>
      </c>
      <c r="B187" s="1251"/>
      <c r="C187" s="333"/>
      <c r="D187" s="230" t="s">
        <v>142</v>
      </c>
      <c r="E187" s="159"/>
      <c r="F187" s="159"/>
      <c r="G187" s="159">
        <f>G62+G19</f>
        <v>-4142</v>
      </c>
      <c r="H187" s="99">
        <f>G187+'30'!H187</f>
        <v>-2</v>
      </c>
      <c r="I187" s="157"/>
      <c r="J187" s="179">
        <f>H187/DAY(B2)</f>
        <v>-6.4516129032258063E-2</v>
      </c>
    </row>
    <row r="188" spans="1:10" ht="25.5">
      <c r="A188" s="1250" t="s">
        <v>218</v>
      </c>
      <c r="B188" s="1251"/>
      <c r="C188" s="333"/>
      <c r="D188" s="230" t="s">
        <v>142</v>
      </c>
      <c r="E188" s="159"/>
      <c r="F188" s="159"/>
      <c r="G188" s="159">
        <f>G65+G66+G67+G69+G70</f>
        <v>-4179</v>
      </c>
      <c r="H188" s="99">
        <f>G188+'30'!H188</f>
        <v>-1911</v>
      </c>
      <c r="I188" s="157"/>
      <c r="J188" s="179">
        <f>H188/DAY(B2)</f>
        <v>-61.645161290322584</v>
      </c>
    </row>
    <row r="189" spans="1:10" ht="25.5">
      <c r="A189" s="1250" t="s">
        <v>219</v>
      </c>
      <c r="B189" s="1251"/>
      <c r="C189" s="333"/>
      <c r="D189" s="230" t="s">
        <v>142</v>
      </c>
      <c r="E189" s="157"/>
      <c r="F189" s="157"/>
      <c r="G189" s="157">
        <f>G181</f>
        <v>-2276</v>
      </c>
      <c r="H189" s="99">
        <f>G189+'30'!H189</f>
        <v>-1606</v>
      </c>
      <c r="I189" s="157"/>
      <c r="J189" s="179">
        <f>H189/DAY(B2)</f>
        <v>-51.806451612903224</v>
      </c>
    </row>
    <row r="190" spans="1:10" ht="25.5">
      <c r="A190" s="1252"/>
      <c r="B190" s="1253"/>
      <c r="C190" s="382"/>
      <c r="D190" s="379"/>
      <c r="E190" s="398"/>
      <c r="F190" s="398"/>
      <c r="G190" s="398"/>
      <c r="H190" s="380"/>
      <c r="I190" s="398"/>
      <c r="J190" s="50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271" ht="26.25"/>
    <row r="272" ht="26.25"/>
    <row r="273" ht="26.25"/>
    <row r="274" ht="26.25"/>
    <row r="275" ht="26.25"/>
    <row r="276" ht="26.25"/>
    <row r="277" ht="26.25"/>
    <row r="278" ht="26.25"/>
    <row r="279" ht="26.25"/>
    <row r="280" ht="26.25"/>
    <row r="281" ht="26.25"/>
    <row r="282" ht="26.25"/>
    <row r="283" ht="26.25"/>
    <row r="284" ht="26.25"/>
    <row r="285" ht="26.25"/>
    <row r="286" ht="26.25"/>
    <row r="287" ht="26.25"/>
    <row r="288" ht="26.25"/>
    <row r="289" ht="26.25"/>
    <row r="290" ht="26.25"/>
    <row r="291" ht="26.25"/>
    <row r="292" ht="26.25"/>
    <row r="293" ht="26.25"/>
    <row r="294" ht="26.25"/>
    <row r="295" ht="26.25"/>
    <row r="296" ht="26.25"/>
    <row r="297" ht="26.25"/>
    <row r="298" ht="26.25"/>
    <row r="299" ht="26.25"/>
    <row r="300" ht="26.25"/>
    <row r="301" ht="26.25"/>
    <row r="302" ht="26.25"/>
    <row r="303" ht="26.25"/>
    <row r="304" ht="26.25"/>
    <row r="305" ht="26.25"/>
    <row r="306" ht="26.25"/>
    <row r="307" ht="26.25"/>
    <row r="308" ht="26.25"/>
    <row r="309" ht="26.25"/>
    <row r="310" ht="26.25"/>
    <row r="311" ht="26.25"/>
    <row r="312" ht="26.25"/>
    <row r="313" ht="26.25"/>
    <row r="314" ht="26.25"/>
    <row r="315" ht="26.25"/>
    <row r="316" ht="26.25"/>
    <row r="317" ht="26.25"/>
    <row r="318" ht="26.25"/>
    <row r="319" ht="26.25"/>
    <row r="320" ht="26.25"/>
  </sheetData>
  <mergeCells count="122"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026"/>
      <c r="B1" s="1026"/>
      <c r="C1" s="1026"/>
      <c r="D1" s="1026"/>
      <c r="E1" s="1026"/>
      <c r="F1" s="1026"/>
      <c r="G1" s="1026"/>
      <c r="H1" s="1026"/>
      <c r="I1" s="1026"/>
      <c r="J1" s="1026"/>
      <c r="K1" s="1026"/>
      <c r="L1" s="1026"/>
      <c r="M1" s="1026"/>
      <c r="N1" s="1026"/>
      <c r="O1" s="1026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1028" t="s">
        <v>6</v>
      </c>
      <c r="F2" s="1028"/>
      <c r="G2" s="1028"/>
      <c r="H2" s="1034" t="s">
        <v>14</v>
      </c>
      <c r="I2" s="1034"/>
      <c r="J2" s="1034"/>
      <c r="K2" s="264" t="s">
        <v>15</v>
      </c>
      <c r="L2" s="1034" t="s">
        <v>16</v>
      </c>
      <c r="M2" s="1034"/>
      <c r="N2" s="1034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75049</v>
      </c>
      <c r="E4" s="19">
        <f>'1'!G97</f>
        <v>0.28069205245694423</v>
      </c>
      <c r="F4" s="19">
        <f>'1'!F142</f>
        <v>41908</v>
      </c>
      <c r="G4" s="21">
        <f>E4*F4</f>
        <v>11763.24253436562</v>
      </c>
      <c r="H4" s="19">
        <f>'1'!G68</f>
        <v>26</v>
      </c>
      <c r="I4" s="19">
        <f>'1'!G69</f>
        <v>5</v>
      </c>
      <c r="J4" s="19">
        <f>'1'!G70</f>
        <v>14</v>
      </c>
      <c r="K4" s="23">
        <f>H4+I4</f>
        <v>31</v>
      </c>
      <c r="L4" s="19">
        <f>'1'!G71</f>
        <v>197</v>
      </c>
      <c r="M4" s="19">
        <f>'1'!G72</f>
        <v>0</v>
      </c>
      <c r="N4" s="19">
        <v>0</v>
      </c>
      <c r="O4" s="23">
        <f>L4+M4+N4</f>
        <v>197</v>
      </c>
    </row>
    <row r="5" spans="1:15">
      <c r="A5" s="16">
        <v>2</v>
      </c>
      <c r="B5" s="26">
        <v>2</v>
      </c>
      <c r="C5" s="26"/>
      <c r="D5" s="19">
        <f>'2'!F8</f>
        <v>100718</v>
      </c>
      <c r="E5" s="19">
        <f>'2'!G96</f>
        <v>6160.7999999999593</v>
      </c>
      <c r="F5" s="19">
        <f>'2'!F123</f>
        <v>50383</v>
      </c>
      <c r="G5" s="21">
        <f t="shared" ref="G5:G18" si="0">E5*F5</f>
        <v>310399586.39999795</v>
      </c>
      <c r="H5" s="19">
        <f>'2'!G68</f>
        <v>15</v>
      </c>
      <c r="I5" s="19">
        <f>'2'!G69</f>
        <v>4</v>
      </c>
      <c r="J5" s="19">
        <f>'2'!G70</f>
        <v>8</v>
      </c>
      <c r="K5" s="23">
        <f t="shared" ref="K5:K18" si="1">H5+I5</f>
        <v>19</v>
      </c>
      <c r="L5" s="19">
        <f>'2'!G71</f>
        <v>169</v>
      </c>
      <c r="M5" s="19">
        <f>'2'!G72</f>
        <v>0</v>
      </c>
      <c r="N5" s="19">
        <v>0</v>
      </c>
      <c r="O5" s="23">
        <f t="shared" ref="O5:O18" si="2">L5+M5+N5</f>
        <v>169</v>
      </c>
    </row>
    <row r="6" spans="1:15">
      <c r="A6" s="16">
        <v>3</v>
      </c>
      <c r="B6" s="26">
        <v>3</v>
      </c>
      <c r="C6" s="26"/>
      <c r="D6" s="19">
        <f>'4'!F8</f>
        <v>149953</v>
      </c>
      <c r="E6" s="19">
        <f>'3'!G96</f>
        <v>6605.8800000000338</v>
      </c>
      <c r="F6" s="19">
        <f>'3'!F123</f>
        <v>50696</v>
      </c>
      <c r="G6" s="21">
        <f t="shared" si="0"/>
        <v>334891692.48000169</v>
      </c>
      <c r="H6" s="19">
        <f>'4'!G68</f>
        <v>38</v>
      </c>
      <c r="I6" s="19">
        <f>'4'!G69</f>
        <v>3</v>
      </c>
      <c r="J6" s="19">
        <f>'4'!G70</f>
        <v>8</v>
      </c>
      <c r="K6" s="23">
        <f t="shared" si="1"/>
        <v>41</v>
      </c>
      <c r="L6" s="19">
        <f>'4'!G71</f>
        <v>163</v>
      </c>
      <c r="M6" s="19">
        <f>'4'!G72</f>
        <v>0</v>
      </c>
      <c r="N6" s="19">
        <v>0</v>
      </c>
      <c r="O6" s="23">
        <f t="shared" si="2"/>
        <v>163</v>
      </c>
    </row>
    <row r="7" spans="1:15">
      <c r="A7" s="16">
        <v>4</v>
      </c>
      <c r="B7" s="27">
        <v>4</v>
      </c>
      <c r="C7" s="27"/>
      <c r="D7" s="19">
        <f>'3'!F8</f>
        <v>124314</v>
      </c>
      <c r="E7" s="19">
        <f>'4'!G96</f>
        <v>7399.4499999999534</v>
      </c>
      <c r="F7" s="19">
        <f>'1'!F142</f>
        <v>41908</v>
      </c>
      <c r="G7" s="21">
        <f t="shared" si="0"/>
        <v>310096150.59999806</v>
      </c>
      <c r="H7" s="19">
        <f>'3'!G68</f>
        <v>24</v>
      </c>
      <c r="I7" s="19">
        <f>'3'!G69</f>
        <v>1</v>
      </c>
      <c r="J7" s="19">
        <f>'3'!G70</f>
        <v>13</v>
      </c>
      <c r="K7" s="23">
        <f t="shared" si="1"/>
        <v>25</v>
      </c>
      <c r="L7" s="19">
        <f>'3'!G71</f>
        <v>165</v>
      </c>
      <c r="M7" s="19">
        <f>'3'!G72</f>
        <v>0</v>
      </c>
      <c r="N7" s="19">
        <v>0</v>
      </c>
      <c r="O7" s="23">
        <f t="shared" si="2"/>
        <v>165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41908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200297</v>
      </c>
      <c r="E9" s="19">
        <f>'6'!G96</f>
        <v>5349.1300000000629</v>
      </c>
      <c r="F9" s="19">
        <f>'1'!F142</f>
        <v>41908</v>
      </c>
      <c r="G9" s="21">
        <f t="shared" si="0"/>
        <v>224171340.04000264</v>
      </c>
      <c r="H9" s="19">
        <f>'6'!G68</f>
        <v>37</v>
      </c>
      <c r="I9" s="19">
        <f>'6'!G69</f>
        <v>4</v>
      </c>
      <c r="J9" s="19">
        <f>'6'!G70</f>
        <v>7</v>
      </c>
      <c r="K9" s="23">
        <f t="shared" si="1"/>
        <v>41</v>
      </c>
      <c r="L9" s="19">
        <f>'6'!G71</f>
        <v>166</v>
      </c>
      <c r="M9" s="19">
        <f>'6'!G72</f>
        <v>0</v>
      </c>
      <c r="N9" s="19">
        <v>0</v>
      </c>
      <c r="O9" s="23">
        <f t="shared" si="2"/>
        <v>166</v>
      </c>
    </row>
    <row r="10" spans="1:15">
      <c r="A10" s="16">
        <v>7</v>
      </c>
      <c r="B10" s="26">
        <v>7</v>
      </c>
      <c r="C10" s="27"/>
      <c r="D10" s="19">
        <f>'7'!F8</f>
        <v>225831</v>
      </c>
      <c r="E10" s="19">
        <f>'7'!G96</f>
        <v>5136</v>
      </c>
      <c r="F10" s="19">
        <f>'1'!F142</f>
        <v>41908</v>
      </c>
      <c r="G10" s="21">
        <f t="shared" si="0"/>
        <v>215239488</v>
      </c>
      <c r="H10" s="19">
        <f>'7'!G68</f>
        <v>16</v>
      </c>
      <c r="I10" s="19">
        <f>'7'!G69</f>
        <v>1</v>
      </c>
      <c r="J10" s="19">
        <f>'7'!G70</f>
        <v>8</v>
      </c>
      <c r="K10" s="23">
        <f t="shared" si="1"/>
        <v>17</v>
      </c>
      <c r="L10" s="19">
        <f>'7'!G71</f>
        <v>165</v>
      </c>
      <c r="M10" s="19">
        <f>'7'!G72</f>
        <v>0</v>
      </c>
      <c r="N10" s="19">
        <v>0</v>
      </c>
      <c r="O10" s="23">
        <f t="shared" si="2"/>
        <v>165</v>
      </c>
    </row>
    <row r="11" spans="1:15">
      <c r="A11" s="16">
        <v>8</v>
      </c>
      <c r="B11" s="26">
        <v>8</v>
      </c>
      <c r="C11" s="18"/>
      <c r="D11" s="19">
        <f>'8'!F8</f>
        <v>250900</v>
      </c>
      <c r="E11" s="19">
        <f>'8'!G96</f>
        <v>7147.6300000000047</v>
      </c>
      <c r="F11" s="19">
        <f>'1'!F142</f>
        <v>41908</v>
      </c>
      <c r="G11" s="21">
        <f t="shared" si="0"/>
        <v>299542878.0400002</v>
      </c>
      <c r="H11" s="19">
        <f>'8'!G68</f>
        <v>25</v>
      </c>
      <c r="I11" s="19">
        <f>'8'!G69</f>
        <v>4</v>
      </c>
      <c r="J11" s="19">
        <f>'8'!G70</f>
        <v>9</v>
      </c>
      <c r="K11" s="23">
        <f t="shared" si="1"/>
        <v>29</v>
      </c>
      <c r="L11" s="19">
        <f>'8'!G71</f>
        <v>201</v>
      </c>
      <c r="M11" s="19">
        <f>'8'!G72</f>
        <v>0</v>
      </c>
      <c r="N11" s="19">
        <v>0</v>
      </c>
      <c r="O11" s="23">
        <f t="shared" si="2"/>
        <v>201</v>
      </c>
    </row>
    <row r="12" spans="1:15">
      <c r="A12" s="16">
        <v>9</v>
      </c>
      <c r="B12" s="27">
        <v>9</v>
      </c>
      <c r="C12" s="26"/>
      <c r="D12" s="19">
        <f>'9'!F8</f>
        <v>276753.95</v>
      </c>
      <c r="E12" s="19">
        <f>'9'!G96</f>
        <v>6669.6500000000524</v>
      </c>
      <c r="F12" s="19">
        <f>'1'!F142</f>
        <v>41908</v>
      </c>
      <c r="G12" s="21">
        <f t="shared" si="0"/>
        <v>279511692.20000219</v>
      </c>
      <c r="H12" s="19">
        <f>'9'!G68</f>
        <v>32</v>
      </c>
      <c r="I12" s="19">
        <f>'9'!G69</f>
        <v>6</v>
      </c>
      <c r="J12" s="19">
        <f>'9'!G70</f>
        <v>6</v>
      </c>
      <c r="K12" s="23">
        <f t="shared" si="1"/>
        <v>38</v>
      </c>
      <c r="L12" s="19">
        <f>'9'!G71</f>
        <v>178</v>
      </c>
      <c r="M12" s="19">
        <f>'9'!G72</f>
        <v>0</v>
      </c>
      <c r="N12" s="19">
        <v>0</v>
      </c>
      <c r="O12" s="23">
        <f t="shared" si="2"/>
        <v>178</v>
      </c>
    </row>
    <row r="13" spans="1:15">
      <c r="A13" s="16">
        <v>10</v>
      </c>
      <c r="B13" s="27">
        <v>10</v>
      </c>
      <c r="C13" s="26"/>
      <c r="D13" s="19">
        <f>'10'!F8</f>
        <v>302445.96999999997</v>
      </c>
      <c r="E13" s="19">
        <f>'10'!G96</f>
        <v>5322.5899999999383</v>
      </c>
      <c r="F13" s="19">
        <f>'1'!F142</f>
        <v>41908</v>
      </c>
      <c r="G13" s="21">
        <f t="shared" si="0"/>
        <v>223059101.71999741</v>
      </c>
      <c r="H13" s="19">
        <f>'10'!G68</f>
        <v>49</v>
      </c>
      <c r="I13" s="19">
        <f>'10'!G69</f>
        <v>3</v>
      </c>
      <c r="J13" s="19">
        <f>'10'!G70</f>
        <v>7</v>
      </c>
      <c r="K13" s="23">
        <f t="shared" si="1"/>
        <v>52</v>
      </c>
      <c r="L13" s="19">
        <f>'10'!G71</f>
        <v>191</v>
      </c>
      <c r="M13" s="19">
        <f>'10'!G72</f>
        <v>0</v>
      </c>
      <c r="N13" s="19">
        <v>0</v>
      </c>
      <c r="O13" s="23">
        <f t="shared" si="2"/>
        <v>191</v>
      </c>
    </row>
    <row r="14" spans="1:15">
      <c r="A14" s="16">
        <v>11</v>
      </c>
      <c r="B14" s="17">
        <v>11</v>
      </c>
      <c r="C14" s="27"/>
      <c r="D14" s="19">
        <f>'11'!F8</f>
        <v>327698.87</v>
      </c>
      <c r="E14" s="19">
        <f>'11'!G96</f>
        <v>5153.3700000000827</v>
      </c>
      <c r="F14" s="19">
        <f>'1'!F142</f>
        <v>41908</v>
      </c>
      <c r="G14" s="21">
        <f t="shared" si="0"/>
        <v>215967429.96000347</v>
      </c>
      <c r="H14" s="19">
        <f>'11'!G68</f>
        <v>25</v>
      </c>
      <c r="I14" s="19">
        <f>'11'!G69</f>
        <v>4</v>
      </c>
      <c r="J14" s="19">
        <f>'11'!G70</f>
        <v>13</v>
      </c>
      <c r="K14" s="23">
        <f t="shared" si="1"/>
        <v>29</v>
      </c>
      <c r="L14" s="19">
        <f>'11'!G71</f>
        <v>170</v>
      </c>
      <c r="M14" s="19">
        <f>'11'!G72</f>
        <v>0</v>
      </c>
      <c r="N14" s="19">
        <v>0</v>
      </c>
      <c r="O14" s="23">
        <f t="shared" si="2"/>
        <v>170</v>
      </c>
    </row>
    <row r="15" spans="1:15">
      <c r="A15" s="16">
        <v>12</v>
      </c>
      <c r="B15" s="26">
        <v>12</v>
      </c>
      <c r="C15" s="27"/>
      <c r="D15" s="19">
        <f>'12'!F8</f>
        <v>352597.07</v>
      </c>
      <c r="E15" s="19">
        <f>'12'!G96</f>
        <v>4875.7099999999627</v>
      </c>
      <c r="F15" s="19">
        <f>'1'!F142</f>
        <v>41908</v>
      </c>
      <c r="G15" s="20">
        <f t="shared" si="0"/>
        <v>204331254.67999843</v>
      </c>
      <c r="H15" s="19">
        <f>'12'!G68</f>
        <v>43</v>
      </c>
      <c r="I15" s="19">
        <f>'12'!G69</f>
        <v>6</v>
      </c>
      <c r="J15" s="19">
        <f>'12'!G70</f>
        <v>7</v>
      </c>
      <c r="K15" s="23">
        <f t="shared" si="1"/>
        <v>49</v>
      </c>
      <c r="L15" s="19">
        <f>'12'!G71</f>
        <v>202</v>
      </c>
      <c r="M15" s="19">
        <f>'12'!G72</f>
        <v>0</v>
      </c>
      <c r="N15" s="19">
        <v>0</v>
      </c>
      <c r="O15" s="23">
        <f t="shared" si="2"/>
        <v>202</v>
      </c>
    </row>
    <row r="16" spans="1:15">
      <c r="A16" s="16">
        <v>13</v>
      </c>
      <c r="B16" s="26">
        <v>13</v>
      </c>
      <c r="C16" s="26"/>
      <c r="D16" s="19">
        <f>'13'!F8</f>
        <v>377411</v>
      </c>
      <c r="E16" s="19">
        <f>'13'!G96</f>
        <v>4786.9599999999919</v>
      </c>
      <c r="F16" s="19">
        <f>'1'!F142</f>
        <v>41908</v>
      </c>
      <c r="G16" s="20">
        <f t="shared" si="0"/>
        <v>200611919.67999965</v>
      </c>
      <c r="H16" s="19">
        <f>'13'!G68</f>
        <v>30</v>
      </c>
      <c r="I16" s="19">
        <f>'13'!G69</f>
        <v>2</v>
      </c>
      <c r="J16" s="19">
        <f>'13'!G70</f>
        <v>12</v>
      </c>
      <c r="K16" s="23">
        <f t="shared" si="1"/>
        <v>32</v>
      </c>
      <c r="L16" s="19">
        <f>'13'!G71</f>
        <v>185</v>
      </c>
      <c r="M16" s="19">
        <f>'13'!G72</f>
        <v>0</v>
      </c>
      <c r="N16" s="19">
        <v>0</v>
      </c>
      <c r="O16" s="23">
        <f t="shared" si="2"/>
        <v>185</v>
      </c>
    </row>
    <row r="17" spans="1:15">
      <c r="A17" s="16">
        <v>14</v>
      </c>
      <c r="B17" s="17">
        <v>14</v>
      </c>
      <c r="C17" s="27"/>
      <c r="D17" s="19">
        <f>'14'!F8</f>
        <v>403304</v>
      </c>
      <c r="E17" s="19">
        <f>'14'!G96</f>
        <v>5095.0899999999674</v>
      </c>
      <c r="F17" s="19">
        <f>'1'!F142</f>
        <v>41908</v>
      </c>
      <c r="G17" s="20">
        <f t="shared" si="0"/>
        <v>213525031.71999863</v>
      </c>
      <c r="H17" s="19">
        <f>'14'!G68</f>
        <v>38</v>
      </c>
      <c r="I17" s="19">
        <f>'14'!G69</f>
        <v>2</v>
      </c>
      <c r="J17" s="19">
        <f>'14'!G71</f>
        <v>198</v>
      </c>
      <c r="K17" s="23">
        <f t="shared" si="1"/>
        <v>40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429122</v>
      </c>
      <c r="E18" s="19">
        <f>'15'!G96</f>
        <v>5793.4500000000116</v>
      </c>
      <c r="F18" s="19">
        <f>'1'!F142</f>
        <v>41908</v>
      </c>
      <c r="G18" s="20">
        <f t="shared" si="0"/>
        <v>242791902.6000005</v>
      </c>
      <c r="H18" s="19">
        <f>'15'!G68</f>
        <v>41</v>
      </c>
      <c r="I18" s="19">
        <f>'15'!G69</f>
        <v>5</v>
      </c>
      <c r="J18" s="19">
        <f>'15'!G71</f>
        <v>231</v>
      </c>
      <c r="K18" s="23">
        <f t="shared" si="1"/>
        <v>46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topLeftCell="A91" zoomScale="50" zoomScaleNormal="50" workbookViewId="0">
      <selection activeCell="Q117" sqref="Q117:R120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1316" t="s">
        <v>115</v>
      </c>
      <c r="B1" s="1317"/>
      <c r="C1" s="1317"/>
      <c r="D1" s="1317"/>
      <c r="E1" s="1317"/>
      <c r="F1" s="1317"/>
      <c r="G1" s="1317"/>
      <c r="H1" s="1317"/>
      <c r="I1" s="1317"/>
      <c r="J1" s="1318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1322" t="s">
        <v>119</v>
      </c>
      <c r="F3" s="1323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1319" t="s">
        <v>128</v>
      </c>
      <c r="B6" s="1320"/>
      <c r="C6" s="1321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758506</v>
      </c>
      <c r="I7" s="113">
        <f>'1'!I7</f>
        <v>12000</v>
      </c>
      <c r="J7" s="175">
        <f>H7/DAY(B2)</f>
        <v>24467.935483870966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766857</v>
      </c>
      <c r="I8" s="116"/>
      <c r="J8" s="175">
        <f>H8/DAY(B2)</f>
        <v>24737.322580645163</v>
      </c>
      <c r="K8" s="172">
        <v>1715917</v>
      </c>
      <c r="L8" s="76">
        <v>1728480</v>
      </c>
      <c r="M8" s="87">
        <f>L8-K8</f>
        <v>12563</v>
      </c>
      <c r="N8" s="87"/>
      <c r="O8" s="71"/>
      <c r="Q8" s="496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216338.29999999981</v>
      </c>
      <c r="I9" s="124"/>
      <c r="J9" s="175">
        <f>H9/DAY(B2)</f>
        <v>6978.6548387096718</v>
      </c>
      <c r="K9" s="79">
        <f>K8-100</f>
        <v>1715817</v>
      </c>
      <c r="L9" s="66"/>
      <c r="N9" s="87"/>
      <c r="O9" s="71"/>
      <c r="Q9" s="497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521896.70000000019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495"/>
      <c r="C14" s="495"/>
      <c r="D14" s="151"/>
      <c r="E14" s="95"/>
      <c r="F14" s="95"/>
      <c r="G14" s="119">
        <f>G9+G10+G11+G12</f>
        <v>0</v>
      </c>
      <c r="H14" s="99">
        <f>G14+'30'!H13</f>
        <v>741219.19999999972</v>
      </c>
      <c r="I14" s="120">
        <f>G7-G14</f>
        <v>0</v>
      </c>
      <c r="J14" s="175">
        <f>H14/DAY(B2)</f>
        <v>23910.296774193539</v>
      </c>
      <c r="K14" s="79"/>
      <c r="L14" s="66"/>
      <c r="N14" s="87"/>
      <c r="O14" s="71"/>
    </row>
    <row r="15" spans="1:17" ht="33" customHeight="1">
      <c r="A15" s="1308" t="s">
        <v>137</v>
      </c>
      <c r="B15" s="1309"/>
      <c r="C15" s="1310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30430.399999999907</v>
      </c>
      <c r="I16" s="113">
        <f>'1'!I15</f>
        <v>800</v>
      </c>
      <c r="J16" s="175">
        <f>H16/DAY(B2)</f>
        <v>981.62580645160995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-181.62580645160995</v>
      </c>
      <c r="J17" s="176"/>
      <c r="K17" s="79"/>
      <c r="L17" s="66"/>
      <c r="N17" s="87"/>
      <c r="O17" s="71"/>
    </row>
    <row r="18" spans="1:15" ht="33" customHeight="1">
      <c r="A18" s="1308" t="s">
        <v>140</v>
      </c>
      <c r="B18" s="1309"/>
      <c r="C18" s="1310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1281" t="s">
        <v>141</v>
      </c>
      <c r="B19" s="1282"/>
      <c r="C19" s="1283"/>
      <c r="D19" s="151" t="s">
        <v>142</v>
      </c>
      <c r="E19" s="95">
        <f>'30'!F18</f>
        <v>27</v>
      </c>
      <c r="F19" s="122">
        <v>14</v>
      </c>
      <c r="G19" s="119">
        <f>F19*10</f>
        <v>140</v>
      </c>
      <c r="H19" s="99">
        <f>G19+'30'!H18</f>
        <v>5480</v>
      </c>
      <c r="I19" s="113">
        <f>'1'!I18</f>
        <v>65</v>
      </c>
      <c r="J19" s="175">
        <f>H19/DAY(B2)</f>
        <v>176.7741935483871</v>
      </c>
      <c r="K19" s="79"/>
      <c r="L19" s="66"/>
      <c r="N19" s="87"/>
      <c r="O19" s="71"/>
    </row>
    <row r="20" spans="1:15" ht="33" customHeight="1">
      <c r="A20" s="1281" t="s">
        <v>69</v>
      </c>
      <c r="B20" s="1282"/>
      <c r="C20" s="1283"/>
      <c r="D20" s="151" t="s">
        <v>142</v>
      </c>
      <c r="E20" s="95">
        <f>'30'!F19</f>
        <v>165441</v>
      </c>
      <c r="F20" s="122">
        <v>145338</v>
      </c>
      <c r="G20" s="112">
        <f t="shared" ref="G20" si="0">F20-E20</f>
        <v>-20103</v>
      </c>
      <c r="H20" s="99">
        <f>G20+'30'!H19</f>
        <v>-18555</v>
      </c>
      <c r="I20" s="335"/>
      <c r="J20" s="175">
        <f>H20/DAY(B2)</f>
        <v>-598.54838709677415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-19963</v>
      </c>
      <c r="H21" s="99">
        <f>G21+'30'!H20</f>
        <v>-13075</v>
      </c>
      <c r="I21" s="336">
        <f>I19-J21</f>
        <v>486.77419354838707</v>
      </c>
      <c r="J21" s="175">
        <f>H21/DAY(B2)</f>
        <v>-421.77419354838707</v>
      </c>
      <c r="K21" s="79"/>
      <c r="L21" s="66"/>
      <c r="N21" s="87"/>
      <c r="O21" s="71"/>
    </row>
    <row r="22" spans="1:15" ht="33" customHeight="1">
      <c r="A22" s="1308" t="s">
        <v>144</v>
      </c>
      <c r="B22" s="1309"/>
      <c r="C22" s="1310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>
      <c r="A26" s="1311" t="s">
        <v>149</v>
      </c>
      <c r="B26" s="1312"/>
      <c r="C26" s="1313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7029224.1699999999</v>
      </c>
      <c r="I28" s="138"/>
      <c r="J28" s="175">
        <f>H28/DAY(B2)</f>
        <v>226749.16677419355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2141776.0999999936</v>
      </c>
      <c r="I29" s="140"/>
      <c r="J29" s="175">
        <f>H29/DAY(B2)</f>
        <v>69089.551612903015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-20103</v>
      </c>
      <c r="F31" s="136">
        <v>146</v>
      </c>
      <c r="G31" s="137">
        <f>E31*F31</f>
        <v>-2935038</v>
      </c>
      <c r="H31" s="99">
        <f>G31+'30'!H30</f>
        <v>-2701290</v>
      </c>
      <c r="I31" s="140"/>
      <c r="J31" s="175">
        <f>H31/DAY(B2)</f>
        <v>-87138.387096774197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444500</v>
      </c>
      <c r="I32" s="140"/>
      <c r="J32" s="175">
        <f>H32/DAY(B2)</f>
        <v>14338.709677419354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-2884890</v>
      </c>
      <c r="H33" s="99">
        <f>G33+'30'!H32</f>
        <v>6914210.2699999958</v>
      </c>
      <c r="I33" s="144"/>
      <c r="J33" s="175">
        <f>H33/DAY(B2)</f>
        <v>223039.04096774181</v>
      </c>
      <c r="K33" s="63"/>
      <c r="L33" s="89"/>
      <c r="N33" s="87"/>
      <c r="O33" s="71"/>
    </row>
    <row r="34" spans="1:15" ht="33" customHeight="1">
      <c r="A34" s="1314" t="s">
        <v>331</v>
      </c>
      <c r="B34" s="1315"/>
      <c r="C34" s="1315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0</v>
      </c>
      <c r="I36" s="95"/>
      <c r="J36" s="175">
        <f>H36/DAY(B2)</f>
        <v>0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28333.950000000012</v>
      </c>
      <c r="I37" s="95"/>
      <c r="J37" s="175">
        <f>H37/DAY(B2)</f>
        <v>913.99838709677454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1163</v>
      </c>
      <c r="I38" s="95"/>
      <c r="J38" s="175">
        <f>H38/DAY(B2)</f>
        <v>37.516129032258064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69629.5</v>
      </c>
      <c r="I39" s="95"/>
      <c r="J39" s="175">
        <f>H39/DAY(B2)</f>
        <v>2246.1129032258063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3886</v>
      </c>
      <c r="I40" s="95"/>
      <c r="J40" s="175">
        <f>H40/DAY(B2)</f>
        <v>125.35483870967742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25086.76999999999</v>
      </c>
      <c r="I41" s="95"/>
      <c r="J41" s="175">
        <f>H41/DAY(B2)</f>
        <v>809.25064516128998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99138.93</v>
      </c>
      <c r="I42" s="95"/>
      <c r="J42" s="175">
        <f>H42/DAY(B2)</f>
        <v>3198.0299999999997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30673.449999999953</v>
      </c>
      <c r="I43" s="95"/>
      <c r="J43" s="175">
        <f>H43/DAY(B2)</f>
        <v>989.46612903225662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2495</v>
      </c>
      <c r="I44" s="95"/>
      <c r="J44" s="175">
        <f>H44/DAY(B2)</f>
        <v>80.483870967741936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260406.59999999995</v>
      </c>
      <c r="I48" s="95"/>
      <c r="J48" s="175">
        <f>H48/DAY(B2)</f>
        <v>8400.2129032258053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720287</v>
      </c>
      <c r="F50" s="145">
        <v>419822</v>
      </c>
      <c r="G50" s="112">
        <f t="shared" ref="G50:G59" si="3">F50-E50</f>
        <v>-300465</v>
      </c>
      <c r="H50" s="99">
        <f>G50+'30'!H49</f>
        <v>-189795.58999999997</v>
      </c>
      <c r="I50" s="95"/>
      <c r="J50" s="175">
        <f>H50/DAY(B2)</f>
        <v>-6122.4383870967731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365771</v>
      </c>
      <c r="F51" s="145">
        <v>607298</v>
      </c>
      <c r="G51" s="112">
        <f t="shared" si="3"/>
        <v>241527</v>
      </c>
      <c r="H51" s="99">
        <f>G51+'30'!H50</f>
        <v>490013.37</v>
      </c>
      <c r="I51" s="95"/>
      <c r="J51" s="175">
        <f>H51/DAY(B2)</f>
        <v>15806.882903225805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71727</v>
      </c>
      <c r="F52" s="145">
        <v>144640</v>
      </c>
      <c r="G52" s="112">
        <f t="shared" si="3"/>
        <v>72913</v>
      </c>
      <c r="H52" s="99">
        <f>G52+'30'!H51</f>
        <v>103778.73999999999</v>
      </c>
      <c r="I52" s="95"/>
      <c r="J52" s="175">
        <f>H52/DAY(B2)</f>
        <v>3347.7012903225805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10</v>
      </c>
      <c r="F53" s="145">
        <v>539606</v>
      </c>
      <c r="G53" s="112">
        <f t="shared" si="3"/>
        <v>539596</v>
      </c>
      <c r="H53" s="99">
        <f>G53+'30'!H52</f>
        <v>539596</v>
      </c>
      <c r="I53" s="95"/>
      <c r="J53" s="175">
        <f>H53/DAY(B2)</f>
        <v>17406.322580645163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294101</v>
      </c>
      <c r="F54" s="145">
        <v>434232</v>
      </c>
      <c r="G54" s="112">
        <f t="shared" si="3"/>
        <v>140131</v>
      </c>
      <c r="H54" s="99">
        <f>G54+'30'!H53</f>
        <v>266957.31</v>
      </c>
      <c r="I54" s="95"/>
      <c r="J54" s="175">
        <f>H54/DAY(B2)</f>
        <v>8611.5261290322578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101387</v>
      </c>
      <c r="F55" s="145">
        <v>14967</v>
      </c>
      <c r="G55" s="112">
        <f t="shared" si="3"/>
        <v>-86420</v>
      </c>
      <c r="H55" s="99">
        <f>G55+'30'!H54</f>
        <v>-80761.09</v>
      </c>
      <c r="I55" s="95"/>
      <c r="J55" s="175">
        <f>H55/DAY(B2)</f>
        <v>-2605.1964516129033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494483</v>
      </c>
      <c r="F56" s="145">
        <v>306268.99</v>
      </c>
      <c r="G56" s="112">
        <f t="shared" si="3"/>
        <v>-188214.01</v>
      </c>
      <c r="H56" s="99">
        <f>G56+'30'!H55</f>
        <v>-136900.76</v>
      </c>
      <c r="I56" s="95"/>
      <c r="J56" s="175">
        <f>H56/DAY(B2)</f>
        <v>-4416.1535483870966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149719</v>
      </c>
      <c r="F57" s="145">
        <v>661019</v>
      </c>
      <c r="G57" s="112">
        <f t="shared" si="3"/>
        <v>511300</v>
      </c>
      <c r="H57" s="99">
        <f>G57+'30'!H56</f>
        <v>534971.31000000006</v>
      </c>
      <c r="I57" s="95"/>
      <c r="J57" s="175">
        <f>H57/DAY(B2)</f>
        <v>17257.139032258066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409078</v>
      </c>
      <c r="F58" s="145">
        <v>7711</v>
      </c>
      <c r="G58" s="112">
        <f t="shared" si="3"/>
        <v>-401367</v>
      </c>
      <c r="H58" s="99">
        <f>G58+'30'!H57</f>
        <v>-314539.93</v>
      </c>
      <c r="I58" s="95"/>
      <c r="J58" s="175">
        <f>H58/DAY(B2)</f>
        <v>-10146.449354838709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64151</v>
      </c>
      <c r="F59" s="145">
        <v>66014</v>
      </c>
      <c r="G59" s="112">
        <f t="shared" si="3"/>
        <v>1863</v>
      </c>
      <c r="H59" s="99">
        <f>G59+'30'!H58</f>
        <v>9253</v>
      </c>
      <c r="I59" s="95"/>
      <c r="J59" s="175">
        <f>H59/DAY(B2)</f>
        <v>298.48387096774195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530863.99</v>
      </c>
      <c r="H60" s="99">
        <f>G60+'30'!H59</f>
        <v>1019124.1</v>
      </c>
      <c r="I60" s="95">
        <f>G7-G61</f>
        <v>-545726.99</v>
      </c>
      <c r="J60" s="175">
        <f>H60/DAY(B2)</f>
        <v>32874.970967741938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545726.99</v>
      </c>
      <c r="H61" s="99">
        <f>G61+'30'!H60</f>
        <v>1279530.6999999997</v>
      </c>
      <c r="I61" s="95">
        <f>G14-G61</f>
        <v>-545726.99</v>
      </c>
      <c r="J61" s="175">
        <f>H61/DAY(B2)</f>
        <v>41275.183870967732</v>
      </c>
      <c r="K61" s="79"/>
      <c r="L61" s="66"/>
      <c r="N61" s="87"/>
      <c r="O61" s="71"/>
    </row>
    <row r="62" spans="1:15" s="68" customFormat="1" ht="33" customHeight="1">
      <c r="A62" s="1278" t="s">
        <v>332</v>
      </c>
      <c r="B62" s="1279"/>
      <c r="C62" s="1280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1281" t="s">
        <v>198</v>
      </c>
      <c r="B63" s="1282"/>
      <c r="C63" s="1283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1281" t="s">
        <v>199</v>
      </c>
      <c r="B64" s="1282"/>
      <c r="C64" s="1283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395155.48000000004</v>
      </c>
      <c r="I64" s="118"/>
      <c r="J64" s="175">
        <f>H64/DAY(B2)</f>
        <v>12746.950967741937</v>
      </c>
      <c r="K64" s="69"/>
      <c r="L64" s="66"/>
      <c r="N64" s="87"/>
      <c r="O64" s="71"/>
    </row>
    <row r="65" spans="1:15" ht="33" customHeight="1">
      <c r="A65" s="1284" t="s">
        <v>200</v>
      </c>
      <c r="B65" s="1285"/>
      <c r="C65" s="1286"/>
      <c r="D65" s="151"/>
      <c r="E65" s="122"/>
      <c r="F65" s="122"/>
      <c r="G65" s="112">
        <f>G63+G64</f>
        <v>451111</v>
      </c>
      <c r="H65" s="99">
        <f>G65+'30'!H95</f>
        <v>451118.819644414</v>
      </c>
      <c r="I65" s="118"/>
      <c r="J65" s="175">
        <f>H65/DAY(B2)</f>
        <v>14552.219988529485</v>
      </c>
      <c r="K65" s="69"/>
      <c r="L65" s="66"/>
      <c r="N65" s="87"/>
      <c r="O65" s="71"/>
    </row>
    <row r="66" spans="1:15" ht="33" customHeight="1">
      <c r="A66" s="1281" t="s">
        <v>201</v>
      </c>
      <c r="B66" s="1282"/>
      <c r="C66" s="1283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621210.93999999994</v>
      </c>
      <c r="I66" s="118"/>
      <c r="J66" s="175">
        <f>H66/DAY(B2)</f>
        <v>20039.062580645161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104643.90827068793</v>
      </c>
      <c r="I67" s="118"/>
      <c r="J67" s="175">
        <f>H67/DAY(B2)</f>
        <v>3375.6099442157397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227196.31</v>
      </c>
      <c r="I68" s="118"/>
      <c r="J68" s="175">
        <f>H68/DAY(B2)</f>
        <v>7328.9132258064519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152140.02583300395</v>
      </c>
      <c r="I69" s="118"/>
      <c r="J69" s="175">
        <f>H69/DAY(B2)</f>
        <v>4907.7427688065791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76606.5</v>
      </c>
      <c r="I70" s="118"/>
      <c r="J70" s="175">
        <f>H70/DAY(B2)</f>
        <v>2471.1774193548385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6375.6909396351575</v>
      </c>
      <c r="I71" s="118"/>
      <c r="J71" s="175">
        <f>H71/DAY(B2)</f>
        <v>205.66744966565025</v>
      </c>
      <c r="K71" s="69"/>
      <c r="L71" s="66"/>
      <c r="N71" s="87"/>
      <c r="O71" s="71"/>
    </row>
    <row r="72" spans="1:15" ht="33" customHeight="1">
      <c r="A72" s="1284" t="s">
        <v>208</v>
      </c>
      <c r="B72" s="1285"/>
      <c r="C72" s="1286"/>
      <c r="D72" s="152"/>
      <c r="E72" s="152"/>
      <c r="F72" s="152"/>
      <c r="G72" s="153">
        <f>SUM(G66:G71)</f>
        <v>793178</v>
      </c>
      <c r="H72" s="99">
        <f>G72+'30'!H102</f>
        <v>865882.06</v>
      </c>
      <c r="I72" s="154"/>
      <c r="J72" s="175">
        <f>H72/DAY(B2)</f>
        <v>27931.67935483871</v>
      </c>
      <c r="K72" s="69"/>
      <c r="L72" s="66"/>
      <c r="N72" s="87"/>
      <c r="O72" s="71"/>
    </row>
    <row r="73" spans="1:15" s="88" customFormat="1" ht="33" customHeight="1">
      <c r="A73" s="1287"/>
      <c r="B73" s="1268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1295" t="s">
        <v>333</v>
      </c>
      <c r="B74" s="1296"/>
      <c r="C74" s="1297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1281" t="s">
        <v>220</v>
      </c>
      <c r="B75" s="1282"/>
      <c r="C75" s="1283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1281" t="s">
        <v>221</v>
      </c>
      <c r="B76" s="1282"/>
      <c r="C76" s="1283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1288" t="s">
        <v>222</v>
      </c>
      <c r="B77" s="1289"/>
      <c r="C77" s="1290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1288" t="s">
        <v>223</v>
      </c>
      <c r="B78" s="1289"/>
      <c r="C78" s="1290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1288" t="s">
        <v>224</v>
      </c>
      <c r="B79" s="1289"/>
      <c r="C79" s="1290"/>
      <c r="D79" s="151" t="s">
        <v>139</v>
      </c>
      <c r="E79" s="95">
        <f>'30'!F128</f>
        <v>154815</v>
      </c>
      <c r="F79" s="232">
        <v>9180</v>
      </c>
      <c r="G79" s="112">
        <f t="shared" si="6"/>
        <v>-145635</v>
      </c>
      <c r="H79" s="99">
        <f>G79+'30'!H128</f>
        <v>-132275.1</v>
      </c>
      <c r="I79" s="118"/>
      <c r="J79" s="175">
        <f>H79/DAY(B2)</f>
        <v>-4266.9387096774199</v>
      </c>
      <c r="K79" s="69"/>
      <c r="L79" s="66"/>
      <c r="N79" s="87"/>
      <c r="O79" s="71"/>
    </row>
    <row r="80" spans="1:15" s="57" customFormat="1" ht="33" customHeight="1">
      <c r="A80" s="1288" t="s">
        <v>225</v>
      </c>
      <c r="B80" s="1289"/>
      <c r="C80" s="1290"/>
      <c r="D80" s="151"/>
      <c r="E80" s="117"/>
      <c r="F80" s="117"/>
      <c r="G80" s="112">
        <f>G16-SUM(G75:G79)</f>
        <v>-972257.39999999991</v>
      </c>
      <c r="H80" s="99">
        <f>G80+'30'!H129</f>
        <v>-966639.79999999993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1284" t="s">
        <v>329</v>
      </c>
      <c r="B81" s="1285"/>
      <c r="C81" s="1286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1302" t="s">
        <v>226</v>
      </c>
      <c r="B82" s="1303"/>
      <c r="C82" s="1304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60308</v>
      </c>
      <c r="F83" s="122"/>
      <c r="G83" s="112">
        <f t="shared" ref="G83:G93" si="7">F83-E83</f>
        <v>-60308</v>
      </c>
      <c r="H83" s="99">
        <f>G83+'30'!H131</f>
        <v>-53847.7</v>
      </c>
      <c r="I83" s="118"/>
      <c r="J83" s="175">
        <f>H83/DAY(B2)</f>
        <v>-1737.0225806451613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146985</v>
      </c>
      <c r="F84" s="122"/>
      <c r="G84" s="112">
        <f t="shared" si="7"/>
        <v>-146985</v>
      </c>
      <c r="H84" s="99">
        <f>G84+'30'!H132</f>
        <v>-140529.20000000001</v>
      </c>
      <c r="I84" s="118"/>
      <c r="J84" s="175">
        <f>H84/DAY(B2)</f>
        <v>-4533.2000000000007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265945</v>
      </c>
      <c r="F85" s="164">
        <v>40922</v>
      </c>
      <c r="G85" s="112">
        <f t="shared" si="7"/>
        <v>-225023</v>
      </c>
      <c r="H85" s="99">
        <f>G85+'30'!H133</f>
        <v>-199107</v>
      </c>
      <c r="I85" s="118"/>
      <c r="J85" s="175">
        <f>H85/DAY(B2)</f>
        <v>-6422.8064516129034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63662</v>
      </c>
      <c r="F86" s="164">
        <v>856</v>
      </c>
      <c r="G86" s="112">
        <f t="shared" si="7"/>
        <v>-62806</v>
      </c>
      <c r="H86" s="99">
        <f>G86+'30'!H134</f>
        <v>-55047.15</v>
      </c>
      <c r="I86" s="118">
        <f>G83+G84+G85+G86</f>
        <v>-495122</v>
      </c>
      <c r="J86" s="175">
        <f>H86/DAY(B2)</f>
        <v>-1775.7145161290323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73610.080000000031</v>
      </c>
      <c r="I87" s="118"/>
      <c r="J87" s="175">
        <f>H87/DAY(B2)</f>
        <v>2374.5187096774202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898205</v>
      </c>
      <c r="F90" s="164">
        <v>25132.959999999999</v>
      </c>
      <c r="G90" s="112">
        <f t="shared" si="7"/>
        <v>-873072.04</v>
      </c>
      <c r="H90" s="99">
        <f>G90+'30'!H138</f>
        <v>-869802.04</v>
      </c>
      <c r="I90" s="118"/>
      <c r="J90" s="175">
        <f>H90/DAY(B2)</f>
        <v>-28058.130322580648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918204</v>
      </c>
      <c r="F91" s="164">
        <v>70524.55</v>
      </c>
      <c r="G91" s="112">
        <f t="shared" si="7"/>
        <v>-847679.45</v>
      </c>
      <c r="H91" s="99">
        <f>G91+'30'!H139</f>
        <v>-843074.45</v>
      </c>
      <c r="I91" s="118">
        <f>G90+G91</f>
        <v>-1720751.49</v>
      </c>
      <c r="J91" s="175">
        <f>H91/DAY(B2)</f>
        <v>-27195.949999999997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2343</v>
      </c>
      <c r="F92" s="122">
        <v>2627.98</v>
      </c>
      <c r="G92" s="112">
        <f t="shared" si="7"/>
        <v>284.98</v>
      </c>
      <c r="H92" s="99">
        <f>G92+'30'!H140</f>
        <v>1120.22</v>
      </c>
      <c r="I92" s="165"/>
      <c r="J92" s="175">
        <f>H92/DAY(B2)</f>
        <v>36.136129032258069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103774</v>
      </c>
      <c r="F93" s="122">
        <v>4754</v>
      </c>
      <c r="G93" s="112">
        <f t="shared" si="7"/>
        <v>-99020</v>
      </c>
      <c r="H93" s="99">
        <f>G93+'30'!H141</f>
        <v>-91859</v>
      </c>
      <c r="I93" s="165"/>
      <c r="J93" s="175">
        <f>H93/DAY(B2)</f>
        <v>-2963.1935483870966</v>
      </c>
      <c r="O93" s="71"/>
    </row>
    <row r="94" spans="1:15" ht="33" customHeight="1">
      <c r="A94" s="1305" t="s">
        <v>239</v>
      </c>
      <c r="B94" s="1306"/>
      <c r="C94" s="1307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1281" t="s">
        <v>240</v>
      </c>
      <c r="B95" s="1282"/>
      <c r="C95" s="1283"/>
      <c r="D95" s="151" t="s">
        <v>130</v>
      </c>
      <c r="E95" s="151"/>
      <c r="F95" s="151"/>
      <c r="G95" s="99">
        <f>G36+G44+G50+G58</f>
        <v>-699337</v>
      </c>
      <c r="H95" s="99">
        <f>G95+'30'!H143</f>
        <v>-698513</v>
      </c>
      <c r="I95" s="118"/>
      <c r="J95" s="175">
        <f>H95/DAY(B2)</f>
        <v>-22532.677419354837</v>
      </c>
      <c r="K95" s="69"/>
      <c r="L95" s="66"/>
      <c r="O95" s="71"/>
    </row>
    <row r="96" spans="1:15" ht="33" customHeight="1">
      <c r="A96" s="1281" t="s">
        <v>241</v>
      </c>
      <c r="B96" s="1282"/>
      <c r="C96" s="1283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1281" t="s">
        <v>242</v>
      </c>
      <c r="B97" s="1282"/>
      <c r="C97" s="1283"/>
      <c r="D97" s="151" t="s">
        <v>130</v>
      </c>
      <c r="E97" s="95"/>
      <c r="F97" s="95"/>
      <c r="G97" s="99">
        <f>G42+G43+G56+G57</f>
        <v>327690.99</v>
      </c>
      <c r="H97" s="99">
        <f>G97+'30'!H145</f>
        <v>333596.78999999998</v>
      </c>
      <c r="I97" s="118"/>
      <c r="J97" s="175">
        <f>H97/DAY(B2)</f>
        <v>10761.186774193548</v>
      </c>
      <c r="K97" s="69"/>
      <c r="L97" s="66"/>
      <c r="O97" s="71"/>
    </row>
    <row r="98" spans="1:15" ht="33" customHeight="1">
      <c r="A98" s="1281" t="s">
        <v>243</v>
      </c>
      <c r="B98" s="1282"/>
      <c r="C98" s="1283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1281" t="s">
        <v>244</v>
      </c>
      <c r="B99" s="1282"/>
      <c r="C99" s="1283"/>
      <c r="D99" s="151" t="s">
        <v>130</v>
      </c>
      <c r="E99" s="95"/>
      <c r="F99" s="95"/>
      <c r="G99" s="99">
        <f>G40+G54</f>
        <v>144017</v>
      </c>
      <c r="H99" s="99">
        <f>G99+'30'!H147</f>
        <v>155867.45999999996</v>
      </c>
      <c r="I99" s="168"/>
      <c r="J99" s="175">
        <f>H99/DAY(B2)</f>
        <v>5027.9825806451599</v>
      </c>
      <c r="K99" s="69"/>
      <c r="L99" s="66"/>
      <c r="O99" s="71"/>
    </row>
    <row r="100" spans="1:15" ht="33" customHeight="1">
      <c r="A100" s="1281" t="s">
        <v>245</v>
      </c>
      <c r="B100" s="1282"/>
      <c r="C100" s="1283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1281" t="s">
        <v>246</v>
      </c>
      <c r="B101" s="1282"/>
      <c r="C101" s="1283"/>
      <c r="D101" s="151" t="s">
        <v>180</v>
      </c>
      <c r="E101" s="95"/>
      <c r="F101" s="95"/>
      <c r="G101" s="99">
        <f>G39+G53</f>
        <v>541264</v>
      </c>
      <c r="H101" s="99">
        <f>G101+'30'!H149</f>
        <v>553434.32000000007</v>
      </c>
      <c r="I101" s="118"/>
      <c r="J101" s="175">
        <f>H101/DAY(B2)</f>
        <v>17852.72</v>
      </c>
      <c r="K101" s="70"/>
      <c r="O101" s="71"/>
    </row>
    <row r="102" spans="1:15" ht="33" customHeight="1">
      <c r="A102" s="1281" t="s">
        <v>247</v>
      </c>
      <c r="B102" s="1282"/>
      <c r="C102" s="1283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1281" t="s">
        <v>248</v>
      </c>
      <c r="B103" s="1282"/>
      <c r="C103" s="1283"/>
      <c r="D103" s="151" t="s">
        <v>180</v>
      </c>
      <c r="E103" s="95"/>
      <c r="F103" s="95"/>
      <c r="G103" s="99">
        <f>G37+G51</f>
        <v>242195</v>
      </c>
      <c r="H103" s="99">
        <f>G103+'30'!H156</f>
        <v>248432</v>
      </c>
      <c r="I103" s="168"/>
      <c r="J103" s="175">
        <f>H103/DAY(B2)</f>
        <v>8013.9354838709678</v>
      </c>
      <c r="O103" s="71"/>
    </row>
    <row r="104" spans="1:15" ht="33" customHeight="1">
      <c r="A104" s="1281" t="s">
        <v>249</v>
      </c>
      <c r="B104" s="1282"/>
      <c r="C104" s="1283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1281" t="s">
        <v>250</v>
      </c>
      <c r="B105" s="1282"/>
      <c r="C105" s="1283"/>
      <c r="D105" s="151" t="s">
        <v>180</v>
      </c>
      <c r="E105" s="95"/>
      <c r="F105" s="95"/>
      <c r="G105" s="99">
        <f>G38+G52</f>
        <v>74076</v>
      </c>
      <c r="H105" s="99">
        <f>G105+'30'!H161</f>
        <v>76835.280000000028</v>
      </c>
      <c r="I105" s="118"/>
      <c r="J105" s="175">
        <f>H105/DAY(B2)</f>
        <v>2478.5574193548396</v>
      </c>
      <c r="O105" s="71"/>
    </row>
    <row r="106" spans="1:15" ht="33" customHeight="1" thickBot="1">
      <c r="A106" s="1298" t="s">
        <v>251</v>
      </c>
      <c r="B106" s="1299"/>
      <c r="C106" s="1300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1301" t="s">
        <v>324</v>
      </c>
      <c r="B109" s="1301"/>
      <c r="C109" s="1301"/>
      <c r="D109" s="1301"/>
      <c r="E109" s="1301"/>
      <c r="F109" s="1301"/>
      <c r="G109" s="1301"/>
      <c r="H109" s="1301"/>
      <c r="I109" s="1301"/>
      <c r="J109" s="1301"/>
    </row>
    <row r="110" spans="1:15" ht="33" customHeight="1">
      <c r="A110" s="1291"/>
      <c r="B110" s="1291"/>
    </row>
    <row r="111" spans="1:15" ht="33" customHeight="1">
      <c r="A111" s="1292" t="s">
        <v>165</v>
      </c>
      <c r="B111" s="1293"/>
      <c r="C111" s="1293"/>
      <c r="D111" s="1293"/>
      <c r="E111" s="1293"/>
      <c r="F111" s="1293"/>
      <c r="G111" s="1293"/>
      <c r="H111" s="1293"/>
      <c r="I111" s="1293"/>
      <c r="J111" s="1294"/>
    </row>
    <row r="112" spans="1:15" ht="33" customHeight="1">
      <c r="A112" s="1270"/>
      <c r="B112" s="1271"/>
      <c r="C112" s="1272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1266" t="s">
        <v>252</v>
      </c>
      <c r="B113" s="1267"/>
      <c r="C113" s="1268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1266" t="s">
        <v>253</v>
      </c>
      <c r="B114" s="1267"/>
      <c r="C114" s="1268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1266" t="s">
        <v>254</v>
      </c>
      <c r="B115" s="1267"/>
      <c r="C115" s="1268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1266" t="s">
        <v>255</v>
      </c>
      <c r="B116" s="1267"/>
      <c r="C116" s="1268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1275" t="s">
        <v>96</v>
      </c>
      <c r="B117" s="1276"/>
      <c r="C117" s="1277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44976</v>
      </c>
      <c r="I117" s="165"/>
      <c r="J117" s="328" t="e">
        <f t="shared" si="9"/>
        <v>#DIV/0!</v>
      </c>
      <c r="Q117" s="1266"/>
      <c r="R117" s="1268"/>
    </row>
    <row r="118" spans="1:18" ht="33" customHeight="1">
      <c r="A118" s="1275" t="s">
        <v>184</v>
      </c>
      <c r="B118" s="1276"/>
      <c r="C118" s="1277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45301</v>
      </c>
      <c r="I118" s="165"/>
      <c r="J118" s="328" t="e">
        <f t="shared" si="9"/>
        <v>#DIV/0!</v>
      </c>
      <c r="Q118" s="1266"/>
      <c r="R118" s="1268"/>
    </row>
    <row r="119" spans="1:18" ht="33" customHeight="1">
      <c r="A119" s="1269" t="s">
        <v>97</v>
      </c>
      <c r="B119" s="1269"/>
      <c r="C119" s="1269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45277</v>
      </c>
      <c r="I119" s="165"/>
      <c r="J119" s="328" t="e">
        <f t="shared" si="9"/>
        <v>#DIV/0!</v>
      </c>
      <c r="Q119" s="1266"/>
      <c r="R119" s="1268"/>
    </row>
    <row r="120" spans="1:18" ht="33" customHeight="1">
      <c r="A120" s="1269" t="s">
        <v>98</v>
      </c>
      <c r="B120" s="1269"/>
      <c r="C120" s="1269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45688</v>
      </c>
      <c r="I120" s="165"/>
      <c r="J120" s="328" t="e">
        <f t="shared" si="9"/>
        <v>#DIV/0!</v>
      </c>
    </row>
    <row r="121" spans="1:18" ht="33" customHeight="1">
      <c r="A121" s="1269" t="s">
        <v>99</v>
      </c>
      <c r="B121" s="1269"/>
      <c r="C121" s="1269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1269" t="s">
        <v>100</v>
      </c>
      <c r="B122" s="1269"/>
      <c r="C122" s="1269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47072</v>
      </c>
      <c r="I122" s="165"/>
      <c r="J122" s="328" t="e">
        <f t="shared" si="9"/>
        <v>#DIV/0!</v>
      </c>
    </row>
    <row r="123" spans="1:18" ht="33" customHeight="1">
      <c r="A123" s="1269" t="s">
        <v>101</v>
      </c>
      <c r="B123" s="1269"/>
      <c r="C123" s="1269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45185</v>
      </c>
      <c r="I123" s="165"/>
      <c r="J123" s="328" t="e">
        <f t="shared" si="9"/>
        <v>#DIV/0!</v>
      </c>
    </row>
    <row r="124" spans="1:18" ht="33" customHeight="1">
      <c r="A124" s="1269" t="s">
        <v>102</v>
      </c>
      <c r="B124" s="1269"/>
      <c r="C124" s="1269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45168</v>
      </c>
      <c r="I124" s="165"/>
      <c r="J124" s="328" t="e">
        <f t="shared" si="9"/>
        <v>#DIV/0!</v>
      </c>
    </row>
    <row r="125" spans="1:18" ht="33" customHeight="1">
      <c r="A125" s="1270"/>
      <c r="B125" s="1271"/>
      <c r="C125" s="1272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1274"/>
      <c r="B126" s="1274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1273" t="s">
        <v>317</v>
      </c>
      <c r="B127" s="1273"/>
      <c r="C127" s="1273"/>
      <c r="D127" s="1273"/>
      <c r="E127" s="1273"/>
      <c r="F127" s="1273"/>
      <c r="G127" s="1273"/>
      <c r="H127" s="1273"/>
      <c r="I127" s="1273"/>
      <c r="J127" s="1273"/>
    </row>
    <row r="128" spans="1:18" ht="33" customHeight="1">
      <c r="A128" s="1274"/>
      <c r="B128" s="1274"/>
      <c r="C128" s="245"/>
      <c r="D128" s="307"/>
      <c r="E128" s="308"/>
      <c r="F128" s="308"/>
      <c r="G128" s="309"/>
      <c r="H128" s="99">
        <f>G128+'30'!H184</f>
        <v>202</v>
      </c>
      <c r="I128" s="165"/>
      <c r="J128" s="328" t="e">
        <f t="shared" ref="J128:J136" si="10">H128/DAY(B47)</f>
        <v>#DIV/0!</v>
      </c>
    </row>
    <row r="129" spans="1:15" ht="33" customHeight="1">
      <c r="A129" s="1266" t="s">
        <v>318</v>
      </c>
      <c r="B129" s="1267"/>
      <c r="C129" s="1268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12106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12479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4140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1266" t="s">
        <v>321</v>
      </c>
      <c r="B132" s="1267"/>
      <c r="C132" s="1268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2268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1266" t="s">
        <v>322</v>
      </c>
      <c r="B133" s="1267"/>
      <c r="C133" s="1268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670</v>
      </c>
      <c r="I133" s="165"/>
      <c r="J133" s="328" t="e">
        <f t="shared" si="10"/>
        <v>#DIV/0!</v>
      </c>
    </row>
    <row r="134" spans="1:15" ht="33" customHeight="1">
      <c r="A134" s="1266" t="s">
        <v>323</v>
      </c>
      <c r="B134" s="1267"/>
      <c r="C134" s="1268"/>
      <c r="D134" s="151" t="s">
        <v>183</v>
      </c>
      <c r="E134" s="95">
        <f>'30'!F190</f>
        <v>0</v>
      </c>
      <c r="F134" s="165"/>
      <c r="G134" s="112">
        <f t="shared" si="11"/>
        <v>0</v>
      </c>
      <c r="H134" s="99">
        <f>G134+'30'!H190</f>
        <v>0</v>
      </c>
      <c r="I134" s="165"/>
      <c r="J134" s="328" t="e">
        <f t="shared" si="10"/>
        <v>#DIV/0!</v>
      </c>
    </row>
    <row r="135" spans="1:15" ht="33" customHeight="1">
      <c r="A135" s="1270"/>
      <c r="B135" s="1271"/>
      <c r="C135" s="1272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1270"/>
      <c r="B136" s="1271"/>
      <c r="C136" s="1272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1260" t="s">
        <v>325</v>
      </c>
      <c r="B137" s="1260"/>
      <c r="C137" s="1260"/>
      <c r="D137" s="1260"/>
      <c r="E137" s="1260"/>
      <c r="F137" s="1260"/>
      <c r="G137" s="1260"/>
      <c r="H137" s="1260"/>
      <c r="I137" s="1260"/>
      <c r="J137" s="1260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1269" t="s">
        <v>185</v>
      </c>
      <c r="B139" s="1269"/>
      <c r="C139" s="1269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1269" t="s">
        <v>186</v>
      </c>
      <c r="B140" s="1269"/>
      <c r="C140" s="1269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1269" t="s">
        <v>187</v>
      </c>
      <c r="B141" s="1269"/>
      <c r="C141" s="1269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1256" t="s">
        <v>188</v>
      </c>
      <c r="B142" s="1256"/>
      <c r="C142" s="1256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1256" t="s">
        <v>189</v>
      </c>
      <c r="B143" s="1256"/>
      <c r="C143" s="1256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1269" t="s">
        <v>190</v>
      </c>
      <c r="B144" s="1269"/>
      <c r="C144" s="1269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1332" t="s">
        <v>191</v>
      </c>
      <c r="B145" s="1289"/>
      <c r="C145" s="1290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1256" t="s">
        <v>90</v>
      </c>
      <c r="B146" s="1256"/>
      <c r="C146" s="1256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1256" t="s">
        <v>192</v>
      </c>
      <c r="B147" s="1256"/>
      <c r="C147" s="1256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1256" t="s">
        <v>193</v>
      </c>
      <c r="B148" s="1256"/>
      <c r="C148" s="1256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1256" t="s">
        <v>91</v>
      </c>
      <c r="B149" s="1256"/>
      <c r="C149" s="1256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1256" t="s">
        <v>194</v>
      </c>
      <c r="B150" s="1256"/>
      <c r="C150" s="1256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1260" t="s">
        <v>326</v>
      </c>
      <c r="B153" s="1260"/>
      <c r="C153" s="1260"/>
      <c r="D153" s="1260"/>
      <c r="E153" s="1260"/>
      <c r="F153" s="1260"/>
      <c r="G153" s="1260"/>
      <c r="H153" s="1260"/>
      <c r="I153" s="1260"/>
      <c r="J153" s="1260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1274" t="s">
        <v>328</v>
      </c>
      <c r="B159" s="1274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1274" t="s">
        <v>327</v>
      </c>
      <c r="B160" s="1274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1274" t="s">
        <v>328</v>
      </c>
      <c r="B161" s="1274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1327" t="s">
        <v>330</v>
      </c>
      <c r="B164" s="1328"/>
      <c r="C164" s="1328"/>
      <c r="D164" s="1328"/>
      <c r="E164" s="1328"/>
      <c r="F164" s="1328"/>
      <c r="G164" s="1328"/>
      <c r="H164" s="1328"/>
      <c r="I164" s="1328"/>
      <c r="J164" s="1329"/>
    </row>
    <row r="165" spans="1:10" ht="33" customHeight="1">
      <c r="A165" s="1330"/>
      <c r="B165" s="1331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1254" t="s">
        <v>209</v>
      </c>
      <c r="B166" s="1255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1254" t="s">
        <v>75</v>
      </c>
      <c r="B167" s="1255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1254" t="s">
        <v>76</v>
      </c>
      <c r="B168" s="1324"/>
      <c r="C168" s="1255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1254" t="s">
        <v>196</v>
      </c>
      <c r="B169" s="1255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1254" t="s">
        <v>77</v>
      </c>
      <c r="B170" s="1255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1254" t="s">
        <v>210</v>
      </c>
      <c r="B171" s="1255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1254" t="s">
        <v>211</v>
      </c>
      <c r="B172" s="1255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1254" t="s">
        <v>212</v>
      </c>
      <c r="B173" s="1255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1250" t="s">
        <v>108</v>
      </c>
      <c r="B174" s="1251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1254" t="s">
        <v>213</v>
      </c>
      <c r="B175" s="1255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1254" t="s">
        <v>214</v>
      </c>
      <c r="B176" s="1255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1254" t="s">
        <v>215</v>
      </c>
      <c r="B177" s="1255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1254" t="s">
        <v>216</v>
      </c>
      <c r="B178" s="1255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1254" t="s">
        <v>196</v>
      </c>
      <c r="B179" s="1255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1250" t="s">
        <v>217</v>
      </c>
      <c r="B180" s="1251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1250" t="s">
        <v>218</v>
      </c>
      <c r="B181" s="1251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1250" t="s">
        <v>219</v>
      </c>
      <c r="B182" s="1251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1250"/>
      <c r="B183" s="1251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</mergeCells>
  <pageMargins left="0.7" right="0.7" top="0.75" bottom="0.75" header="0.3" footer="0.3"/>
  <pageSetup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28</vt:i4>
      </vt:variant>
    </vt:vector>
  </HeadingPairs>
  <TitlesOfParts>
    <vt:vector size="70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Sheet4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 Appa</cp:lastModifiedBy>
  <cp:revision/>
  <cp:lastPrinted>2022-10-13T02:08:25Z</cp:lastPrinted>
  <dcterms:created xsi:type="dcterms:W3CDTF">2013-11-14T06:06:34Z</dcterms:created>
  <dcterms:modified xsi:type="dcterms:W3CDTF">2022-10-26T04:10:13Z</dcterms:modified>
</cp:coreProperties>
</file>