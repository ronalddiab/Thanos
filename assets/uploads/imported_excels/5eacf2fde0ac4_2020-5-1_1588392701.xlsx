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320" yWindow="30" windowWidth="15495" windowHeight="11295" tabRatio="584" firstSheet="2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18" sheetId="74" r:id="rId15"/>
    <sheet name="Utility Cost " sheetId="77" r:id="rId16"/>
    <sheet name="MDB" sheetId="78" r:id="rId17"/>
    <sheet name="Sheet6" sheetId="84" r:id="rId18"/>
    <sheet name="Sheet2" sheetId="83" state="hidden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2018'!$A$38:$AJ$92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B24" i="3"/>
  <c r="B23"/>
  <c r="AE25" i="1"/>
  <c r="J17" i="3"/>
  <c r="B17"/>
  <c r="AU18" i="5"/>
  <c r="L10" i="3" l="1"/>
  <c r="M7" i="1"/>
  <c r="D10" i="73" l="1"/>
  <c r="AB7" i="2"/>
  <c r="AC6"/>
  <c r="I7" i="79"/>
  <c r="I8"/>
  <c r="I6"/>
  <c r="D7" i="73"/>
  <c r="D8"/>
  <c r="D9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6"/>
  <c r="AP6" i="5"/>
  <c r="W9" i="76"/>
  <c r="V26" s="1"/>
  <c r="V27"/>
  <c r="V28"/>
  <c r="N11" i="74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E2" i="2" l="1"/>
  <c r="F2"/>
  <c r="G2"/>
  <c r="H2"/>
  <c r="I2"/>
  <c r="J2"/>
  <c r="K2"/>
  <c r="L2"/>
  <c r="M2"/>
  <c r="N2"/>
  <c r="O2"/>
  <c r="P2"/>
  <c r="Q2"/>
  <c r="R2"/>
  <c r="S2"/>
  <c r="T2"/>
  <c r="V2"/>
  <c r="W2"/>
  <c r="X2"/>
  <c r="Y2"/>
  <c r="Z2"/>
  <c r="AA2"/>
  <c r="AB2"/>
  <c r="AC2"/>
  <c r="AD2"/>
  <c r="AE2"/>
  <c r="AF2"/>
  <c r="AG2"/>
  <c r="AH2"/>
  <c r="AI2"/>
  <c r="D2"/>
  <c r="B2"/>
  <c r="A2"/>
  <c r="AB20" i="76" l="1"/>
  <c r="AB19"/>
  <c r="AB18"/>
  <c r="AA17"/>
  <c r="Z17"/>
  <c r="Y13"/>
  <c r="Y16"/>
  <c r="Y15"/>
  <c r="Y14"/>
  <c r="X14"/>
  <c r="X15"/>
  <c r="X16"/>
  <c r="W16"/>
  <c r="W15"/>
  <c r="W14"/>
  <c r="W13"/>
  <c r="AB17"/>
  <c r="AB14"/>
  <c r="AB13"/>
  <c r="AC16"/>
  <c r="AC15"/>
  <c r="AC14"/>
  <c r="AC13"/>
  <c r="AC12"/>
  <c r="AC11"/>
  <c r="AC10"/>
  <c r="AC9"/>
  <c r="AB12"/>
  <c r="AB11"/>
  <c r="AB10"/>
  <c r="AB9"/>
  <c r="AA12"/>
  <c r="AA11"/>
  <c r="AA10"/>
  <c r="AA9"/>
  <c r="Z11"/>
  <c r="Z10"/>
  <c r="Z9"/>
  <c r="Y9"/>
  <c r="Y11"/>
  <c r="Y10"/>
  <c r="X11"/>
  <c r="X10"/>
  <c r="X9"/>
  <c r="W11"/>
  <c r="W10"/>
  <c r="V11"/>
  <c r="V10"/>
  <c r="V9"/>
  <c r="T3"/>
  <c r="S3"/>
  <c r="R3"/>
  <c r="Q3"/>
  <c r="P3"/>
  <c r="O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BH5" i="7"/>
  <c r="BG5"/>
  <c r="BF5"/>
  <c r="BE5"/>
  <c r="BD5"/>
  <c r="BC5"/>
  <c r="BB5"/>
  <c r="BA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C19" i="77" l="1"/>
  <c r="C15"/>
  <c r="C14"/>
  <c r="C16"/>
  <c r="C17"/>
  <c r="C18"/>
  <c r="D18" l="1"/>
  <c r="D17"/>
  <c r="H10" l="1"/>
  <c r="H9"/>
  <c r="H8"/>
  <c r="H7"/>
  <c r="I12" l="1"/>
  <c r="H12"/>
  <c r="I6" l="1"/>
  <c r="R22" i="3"/>
  <c r="I9" i="79" l="1"/>
  <c r="AR17" i="1"/>
  <c r="AR24" s="1"/>
  <c r="AR28" s="1"/>
  <c r="AR29" s="1"/>
  <c r="AP7"/>
  <c r="AP11" s="1"/>
  <c r="AP17" s="1"/>
  <c r="AP24" s="1"/>
  <c r="AP29" s="1"/>
  <c r="AP30" s="1"/>
  <c r="AN7"/>
  <c r="AN11" s="1"/>
  <c r="AE5"/>
  <c r="AE6" s="1"/>
  <c r="AE7" s="1"/>
  <c r="AE8" s="1"/>
  <c r="AE9" s="1"/>
  <c r="AE13" s="1"/>
  <c r="AE14" s="1"/>
  <c r="AE15" s="1"/>
  <c r="AE16" s="1"/>
  <c r="AE17" s="1"/>
  <c r="AE20" s="1"/>
  <c r="AE21" s="1"/>
  <c r="AE22" s="1"/>
  <c r="AE23" s="1"/>
  <c r="AE24" s="1"/>
  <c r="AE27" s="1"/>
  <c r="AE28" s="1"/>
  <c r="AE29" s="1"/>
  <c r="AE30" s="1"/>
  <c r="AE34" s="1"/>
  <c r="AC5"/>
  <c r="AC6" s="1"/>
  <c r="AC7" s="1"/>
  <c r="AC8" s="1"/>
  <c r="AC9" s="1"/>
  <c r="AC13" s="1"/>
  <c r="AC14" s="1"/>
  <c r="AC15" s="1"/>
  <c r="AC16" s="1"/>
  <c r="AC17" s="1"/>
  <c r="AC20" s="1"/>
  <c r="AC21" s="1"/>
  <c r="AC22" s="1"/>
  <c r="AC23" s="1"/>
  <c r="AC24" s="1"/>
  <c r="AC27" s="1"/>
  <c r="AC28" s="1"/>
  <c r="AC29" s="1"/>
  <c r="AC30" s="1"/>
  <c r="AC34" s="1"/>
  <c r="Z5"/>
  <c r="Z6" s="1"/>
  <c r="Z7" s="1"/>
  <c r="Z8" s="1"/>
  <c r="Z9" s="1"/>
  <c r="Z14" s="1"/>
  <c r="Z15" s="1"/>
  <c r="Z16" s="1"/>
  <c r="Z17" s="1"/>
  <c r="Z20" s="1"/>
  <c r="Z21" s="1"/>
  <c r="Z22" s="1"/>
  <c r="Z23" s="1"/>
  <c r="Z24" s="1"/>
  <c r="Z28" s="1"/>
  <c r="Z29" s="1"/>
  <c r="Z30" s="1"/>
  <c r="Z34" s="1"/>
  <c r="X5"/>
  <c r="X6" s="1"/>
  <c r="X7" s="1"/>
  <c r="X9" s="1"/>
  <c r="X14" s="1"/>
  <c r="X15" s="1"/>
  <c r="X16" s="1"/>
  <c r="X17" s="1"/>
  <c r="X20" s="1"/>
  <c r="X21" s="1"/>
  <c r="X22" s="1"/>
  <c r="X23" s="1"/>
  <c r="X28" s="1"/>
  <c r="X29" s="1"/>
  <c r="X30" s="1"/>
  <c r="X34" s="1"/>
  <c r="Q5"/>
  <c r="Q14" s="1"/>
  <c r="Q17" s="1"/>
  <c r="Q22" s="1"/>
  <c r="Q28" s="1"/>
  <c r="Q34" s="1"/>
  <c r="P5"/>
  <c r="P14" s="1"/>
  <c r="P17" s="1"/>
  <c r="P25" s="1"/>
  <c r="P28" s="1"/>
  <c r="P34" s="1"/>
  <c r="M9"/>
  <c r="M13" s="1"/>
  <c r="M16" s="1"/>
  <c r="M21" s="1"/>
  <c r="M24" s="1"/>
  <c r="M27" s="1"/>
  <c r="M30" s="1"/>
  <c r="K7"/>
  <c r="K9" s="1"/>
  <c r="K13" s="1"/>
  <c r="K16" s="1"/>
  <c r="K21" s="1"/>
  <c r="K27" s="1"/>
  <c r="K30" s="1"/>
  <c r="L34" s="1"/>
  <c r="H6"/>
  <c r="H9" s="1"/>
  <c r="H15" s="1"/>
  <c r="H20" s="1"/>
  <c r="H29" s="1"/>
  <c r="F9"/>
  <c r="F15" s="1"/>
  <c r="F29" s="1"/>
  <c r="AT15" i="5"/>
  <c r="AT17" s="1"/>
  <c r="AT24" s="1"/>
  <c r="AT35" s="1"/>
  <c r="AG6"/>
  <c r="AG9" s="1"/>
  <c r="AG15" s="1"/>
  <c r="AG17" s="1"/>
  <c r="AG18" s="1"/>
  <c r="AG22" s="1"/>
  <c r="AG24" s="1"/>
  <c r="AG31" s="1"/>
  <c r="AE6"/>
  <c r="AE9" s="1"/>
  <c r="AE11" s="1"/>
  <c r="AE15" s="1"/>
  <c r="AE16" s="1"/>
  <c r="AE17" s="1"/>
  <c r="AE18" s="1"/>
  <c r="AE21" s="1"/>
  <c r="AE22" s="1"/>
  <c r="AE23" s="1"/>
  <c r="AE24" s="1"/>
  <c r="AE29" s="1"/>
  <c r="AE30" s="1"/>
  <c r="AE31" s="1"/>
  <c r="AE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B10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Z6"/>
  <c r="Z15" s="1"/>
  <c r="Z17" s="1"/>
  <c r="Z18" s="1"/>
  <c r="Z23" s="1"/>
  <c r="Z25" s="1"/>
  <c r="Z29" s="1"/>
  <c r="Z35" s="1"/>
  <c r="X10"/>
  <c r="X15" s="1"/>
  <c r="X16" s="1"/>
  <c r="X17" s="1"/>
  <c r="X21" s="1"/>
  <c r="X22" s="1"/>
  <c r="X25" s="1"/>
  <c r="X30" s="1"/>
  <c r="X35" s="1"/>
  <c r="V6"/>
  <c r="V7" s="1"/>
  <c r="V8" s="1"/>
  <c r="V9" s="1"/>
  <c r="V10" s="1"/>
  <c r="V11" s="1"/>
  <c r="V12" s="1"/>
  <c r="V15" s="1"/>
  <c r="V16" s="1"/>
  <c r="V17" s="1"/>
  <c r="V18" s="1"/>
  <c r="V21" s="1"/>
  <c r="V24" s="1"/>
  <c r="V25" s="1"/>
  <c r="V29" s="1"/>
  <c r="V30" s="1"/>
  <c r="V31" s="1"/>
  <c r="V33" s="1"/>
  <c r="V35" s="1"/>
  <c r="T29"/>
  <c r="T31" s="1"/>
  <c r="G9"/>
  <c r="G15" s="1"/>
  <c r="G16" s="1"/>
  <c r="G17" s="1"/>
  <c r="G35" s="1"/>
  <c r="B6"/>
  <c r="D40" i="74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10" i="79" l="1"/>
  <c r="AR30" i="1"/>
  <c r="AS29"/>
  <c r="AD11" i="76"/>
  <c r="AD10"/>
  <c r="AD9"/>
  <c r="G5" i="79"/>
  <c r="F5"/>
  <c r="E5"/>
  <c r="D5"/>
  <c r="C5"/>
  <c r="B5"/>
  <c r="W26" i="76"/>
  <c r="W27"/>
  <c r="W28"/>
  <c r="T22" i="3"/>
  <c r="L3"/>
  <c r="L4" s="1"/>
  <c r="L5" s="1"/>
  <c r="L6" s="1"/>
  <c r="L7" s="1"/>
  <c r="L11" s="1"/>
  <c r="L12" s="1"/>
  <c r="L13" s="1"/>
  <c r="L14" s="1"/>
  <c r="L15" s="1"/>
  <c r="L18" s="1"/>
  <c r="L19" s="1"/>
  <c r="L20" s="1"/>
  <c r="L21" s="1"/>
  <c r="L22" s="1"/>
  <c r="L23" s="1"/>
  <c r="L24" s="1"/>
  <c r="L25" s="1"/>
  <c r="L26" s="1"/>
  <c r="L27" s="1"/>
  <c r="L28" s="1"/>
  <c r="L30" s="1"/>
  <c r="L32" s="1"/>
  <c r="J3"/>
  <c r="J4" s="1"/>
  <c r="J5" s="1"/>
  <c r="J6" s="1"/>
  <c r="J7" s="1"/>
  <c r="J11" s="1"/>
  <c r="J12" s="1"/>
  <c r="J13" s="1"/>
  <c r="J14" s="1"/>
  <c r="J15" s="1"/>
  <c r="J18" s="1"/>
  <c r="J19" s="1"/>
  <c r="J20" s="1"/>
  <c r="J21" s="1"/>
  <c r="J22" s="1"/>
  <c r="J23" s="1"/>
  <c r="J24" s="1"/>
  <c r="J25" s="1"/>
  <c r="J26" s="1"/>
  <c r="J27" s="1"/>
  <c r="J28" s="1"/>
  <c r="J32" s="1"/>
  <c r="D3"/>
  <c r="D4" s="1"/>
  <c r="D5" s="1"/>
  <c r="D6" s="1"/>
  <c r="D7" s="1"/>
  <c r="D11" s="1"/>
  <c r="D12" s="1"/>
  <c r="D13" s="1"/>
  <c r="D14" s="1"/>
  <c r="D15" s="1"/>
  <c r="D18" s="1"/>
  <c r="D19" s="1"/>
  <c r="D20" s="1"/>
  <c r="D21" s="1"/>
  <c r="D22" s="1"/>
  <c r="D23" s="1"/>
  <c r="D24" s="1"/>
  <c r="D25" s="1"/>
  <c r="D26" s="1"/>
  <c r="D27" s="1"/>
  <c r="D28" s="1"/>
  <c r="D32" s="1"/>
  <c r="B4"/>
  <c r="B5" s="1"/>
  <c r="B6" s="1"/>
  <c r="B7" s="1"/>
  <c r="B11" s="1"/>
  <c r="B12" s="1"/>
  <c r="B13" s="1"/>
  <c r="B14" s="1"/>
  <c r="B15" s="1"/>
  <c r="B18" s="1"/>
  <c r="B19" s="1"/>
  <c r="B20" s="1"/>
  <c r="B21" s="1"/>
  <c r="B22" s="1"/>
  <c r="B25" s="1"/>
  <c r="B26" s="1"/>
  <c r="B27" s="1"/>
  <c r="B28" s="1"/>
  <c r="B32" s="1"/>
  <c r="AP5" i="7"/>
  <c r="AC3" i="2"/>
  <c r="AC4" s="1"/>
  <c r="AC5" s="1"/>
  <c r="AC19" s="1"/>
  <c r="AC20" s="1"/>
  <c r="AC21" s="1"/>
  <c r="AC22" s="1"/>
  <c r="AC25" s="1"/>
  <c r="AC26" s="1"/>
  <c r="AC27" s="1"/>
  <c r="AC28" s="1"/>
  <c r="AC32" s="1"/>
  <c r="AA3"/>
  <c r="AA4" s="1"/>
  <c r="AA5" s="1"/>
  <c r="AA6" s="1"/>
  <c r="AA15" s="1"/>
  <c r="AA19" s="1"/>
  <c r="AA20" s="1"/>
  <c r="AA21" s="1"/>
  <c r="AA22" s="1"/>
  <c r="AA25" s="1"/>
  <c r="AA26" s="1"/>
  <c r="AA27" s="1"/>
  <c r="AA28" s="1"/>
  <c r="AA32" s="1"/>
  <c r="Y4"/>
  <c r="Y5" s="1"/>
  <c r="Y6" s="1"/>
  <c r="Y11" s="1"/>
  <c r="Y12" s="1"/>
  <c r="Y13" s="1"/>
  <c r="Y14" s="1"/>
  <c r="Y15" s="1"/>
  <c r="Y18" s="1"/>
  <c r="Y19" s="1"/>
  <c r="Y20" s="1"/>
  <c r="Y21" s="1"/>
  <c r="Y22" s="1"/>
  <c r="Y25" s="1"/>
  <c r="Y26" s="1"/>
  <c r="Y27" s="1"/>
  <c r="Y28" s="1"/>
  <c r="Y32" s="1"/>
  <c r="W4"/>
  <c r="W5" s="1"/>
  <c r="W6" s="1"/>
  <c r="W11" s="1"/>
  <c r="W12" s="1"/>
  <c r="W13" s="1"/>
  <c r="W14" s="1"/>
  <c r="W15" s="1"/>
  <c r="W20" s="1"/>
  <c r="W21" s="1"/>
  <c r="W22" s="1"/>
  <c r="W25" s="1"/>
  <c r="W26" s="1"/>
  <c r="W27" s="1"/>
  <c r="W28" s="1"/>
  <c r="W32" s="1"/>
  <c r="U11"/>
  <c r="U12" s="1"/>
  <c r="U13" s="1"/>
  <c r="U14" s="1"/>
  <c r="U15" s="1"/>
  <c r="S11"/>
  <c r="S12" s="1"/>
  <c r="S13" s="1"/>
  <c r="S14" s="1"/>
  <c r="S15" s="1"/>
  <c r="I11" i="79" l="1"/>
  <c r="U24" i="3"/>
  <c r="D22" i="1"/>
  <c r="E22" s="1"/>
  <c r="D21"/>
  <c r="E21" s="1"/>
  <c r="E26" i="2"/>
  <c r="I12" i="79" l="1"/>
  <c r="Q3" i="2"/>
  <c r="Q19"/>
  <c r="U25" i="3"/>
  <c r="V16" i="76"/>
  <c r="V15"/>
  <c r="V14"/>
  <c r="V13"/>
  <c r="V12"/>
  <c r="O5" i="79"/>
  <c r="I5"/>
  <c r="M6" i="5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B10"/>
  <c r="B14" s="1"/>
  <c r="B18" s="1"/>
  <c r="B21" s="1"/>
  <c r="B23" s="1"/>
  <c r="B24" s="1"/>
  <c r="B25" s="1"/>
  <c r="B28" s="1"/>
  <c r="B29" s="1"/>
  <c r="B31" s="1"/>
  <c r="B35" s="1"/>
  <c r="K13" i="73"/>
  <c r="O6" i="5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I13" i="79" l="1"/>
  <c r="D23" i="1"/>
  <c r="E23" s="1"/>
  <c r="E23" i="3"/>
  <c r="U16"/>
  <c r="I14" i="79" l="1"/>
  <c r="D24" i="1"/>
  <c r="E24" s="1"/>
  <c r="E24" i="3"/>
  <c r="U17"/>
  <c r="I15" i="79" l="1"/>
  <c r="D25" i="1"/>
  <c r="E25" s="1"/>
  <c r="E25" i="3"/>
  <c r="U18"/>
  <c r="I16" i="79" l="1"/>
  <c r="D27" i="1"/>
  <c r="E27" s="1"/>
  <c r="D26"/>
  <c r="E26" s="1"/>
  <c r="U19" i="3"/>
  <c r="E26"/>
  <c r="I17" i="79" l="1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O18" i="79"/>
  <c r="J5"/>
  <c r="I18" l="1"/>
  <c r="D29" i="1"/>
  <c r="E29" s="1"/>
  <c r="D28"/>
  <c r="E28" s="1"/>
  <c r="W43" i="74"/>
  <c r="S43"/>
  <c r="R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N43" s="1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J43" s="1"/>
  <c r="L14"/>
  <c r="L13"/>
  <c r="L12"/>
  <c r="L11"/>
  <c r="L10"/>
  <c r="A10" i="3"/>
  <c r="A11"/>
  <c r="A12"/>
  <c r="A13"/>
  <c r="N5" i="79"/>
  <c r="I19" l="1"/>
  <c r="O43" i="74"/>
  <c r="X13" i="76"/>
  <c r="A3"/>
  <c r="A5" i="7"/>
  <c r="H21" i="79" l="1"/>
  <c r="I20"/>
  <c r="D30" i="1"/>
  <c r="E30" s="1"/>
  <c r="AB19" i="74"/>
  <c r="AB18"/>
  <c r="AB17"/>
  <c r="AB16"/>
  <c r="AB15"/>
  <c r="AB14"/>
  <c r="AB13"/>
  <c r="AB12"/>
  <c r="B14" i="77" s="1"/>
  <c r="AB11" i="74"/>
  <c r="AB10"/>
  <c r="AA19"/>
  <c r="AA18"/>
  <c r="AA17"/>
  <c r="AA16"/>
  <c r="AA15"/>
  <c r="AA14"/>
  <c r="AA13"/>
  <c r="AA12"/>
  <c r="B15" i="77" s="1"/>
  <c r="AA11" i="74"/>
  <c r="AA10"/>
  <c r="H22" i="79" l="1"/>
  <c r="I21"/>
  <c r="D31" i="1"/>
  <c r="E31" s="1"/>
  <c r="W17" i="76"/>
  <c r="Y12"/>
  <c r="H23" i="79" l="1"/>
  <c r="I22"/>
  <c r="AT36" i="5"/>
  <c r="A2" i="3"/>
  <c r="A5" i="73"/>
  <c r="I23" i="79" l="1"/>
  <c r="N7" i="1"/>
  <c r="C6" i="77"/>
  <c r="AB15" i="76"/>
  <c r="AB16"/>
  <c r="W12"/>
  <c r="I24" i="79" l="1"/>
  <c r="AS36" i="7"/>
  <c r="AU36" s="1"/>
  <c r="B6"/>
  <c r="F37" i="5"/>
  <c r="F38"/>
  <c r="F36"/>
  <c r="B38"/>
  <c r="AH7"/>
  <c r="AH6"/>
  <c r="AF6"/>
  <c r="I25" i="79" l="1"/>
  <c r="AI6" i="5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AM6"/>
  <c r="BA23" i="7"/>
  <c r="BA24"/>
  <c r="BA25"/>
  <c r="BA26"/>
  <c r="BA27"/>
  <c r="BA28"/>
  <c r="BA29"/>
  <c r="BA30"/>
  <c r="BA31"/>
  <c r="BA32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6" i="79" l="1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AC28" i="76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6" i="73"/>
  <c r="W30" i="76" s="1"/>
  <c r="J9" i="63"/>
  <c r="K9" i="73"/>
  <c r="G9"/>
  <c r="C6" i="76"/>
  <c r="K4"/>
  <c r="N4" s="1"/>
  <c r="K3" i="3"/>
  <c r="C6" i="5"/>
  <c r="E6" s="1"/>
  <c r="AS35" i="1"/>
  <c r="AW37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6" i="7"/>
  <c r="B8" i="77" s="1"/>
  <c r="J11" i="63"/>
  <c r="D7" i="77"/>
  <c r="P33" i="3"/>
  <c r="F2" i="63"/>
  <c r="AK37" i="5"/>
  <c r="AU6"/>
  <c r="AZ6" s="1"/>
  <c r="BC6" s="1"/>
  <c r="AV35" i="1"/>
  <c r="AV38" s="1"/>
  <c r="BA6" i="5"/>
  <c r="BA7"/>
  <c r="BA8"/>
  <c r="BA9"/>
  <c r="BA10"/>
  <c r="BA13"/>
  <c r="AA5" i="76"/>
  <c r="A34" i="65"/>
  <c r="K6" i="73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7" i="1"/>
  <c r="AH36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S4"/>
  <c r="M4"/>
  <c r="C4"/>
  <c r="F4" s="1"/>
  <c r="C3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 s="1"/>
  <c r="H9" s="1"/>
  <c r="H10" s="1"/>
  <c r="H11" s="1"/>
  <c r="AF8" i="1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S12" i="3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V7" i="3" l="1"/>
  <c r="I27" i="79"/>
  <c r="V5" i="3"/>
  <c r="H12"/>
  <c r="I11"/>
  <c r="AZ9" i="5"/>
  <c r="BC9" s="1"/>
  <c r="J10" i="1"/>
  <c r="D12" i="5"/>
  <c r="E12"/>
  <c r="B26" i="2"/>
  <c r="O25" i="81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7" i="7"/>
  <c r="X58" i="74"/>
  <c r="X51"/>
  <c r="A28" i="65"/>
  <c r="B31" i="2"/>
  <c r="B25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7"/>
  <c r="X66" i="74"/>
  <c r="AM23" i="5"/>
  <c r="P64" i="74"/>
  <c r="X63"/>
  <c r="P62"/>
  <c r="X62"/>
  <c r="P61"/>
  <c r="X61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6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15" i="82" l="1"/>
  <c r="L30"/>
  <c r="O31" i="2"/>
  <c r="L28" i="82"/>
  <c r="O29" i="2"/>
  <c r="O29" i="81"/>
  <c r="O30" i="2"/>
  <c r="L25" i="82"/>
  <c r="I28" i="79"/>
  <c r="O17" i="81"/>
  <c r="U6" i="1"/>
  <c r="H13" i="3"/>
  <c r="I12"/>
  <c r="BC10" i="5"/>
  <c r="L26" i="82"/>
  <c r="L22"/>
  <c r="O11" i="81"/>
  <c r="O10"/>
  <c r="O11" i="2"/>
  <c r="AB4" i="3"/>
  <c r="F17" i="77"/>
  <c r="E17"/>
  <c r="C6" i="63"/>
  <c r="R7" i="2"/>
  <c r="O28" i="8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P7"/>
  <c r="Y4" i="3"/>
  <c r="X5"/>
  <c r="AE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I29" i="79" l="1"/>
  <c r="H14" i="3"/>
  <c r="I13"/>
  <c r="F5"/>
  <c r="AB5" s="1"/>
  <c r="J11" i="65"/>
  <c r="BF6" i="5"/>
  <c r="BG6" s="1"/>
  <c r="G6" i="65" s="1"/>
  <c r="AF7" i="7"/>
  <c r="AG7" s="1"/>
  <c r="AF14" i="5"/>
  <c r="AI14" s="1"/>
  <c r="AJ5" i="1"/>
  <c r="AK5" s="1"/>
  <c r="P6" i="3"/>
  <c r="Q5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I7"/>
  <c r="C7"/>
  <c r="Z6"/>
  <c r="AK6" s="1"/>
  <c r="AK5"/>
  <c r="AU13" i="5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AB23" i="74"/>
  <c r="D12" i="65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I30" i="79" l="1"/>
  <c r="H15" i="3"/>
  <c r="I14"/>
  <c r="F6"/>
  <c r="AB6" s="1"/>
  <c r="AH7" i="7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H32" i="79" l="1"/>
  <c r="I31"/>
  <c r="H16" i="3"/>
  <c r="H17" s="1"/>
  <c r="I15"/>
  <c r="AJ7" i="7"/>
  <c r="AK7" s="1"/>
  <c r="F7" i="3"/>
  <c r="AB7" s="1"/>
  <c r="AO6" i="7"/>
  <c r="AN6" s="1"/>
  <c r="AF17" i="5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32" i="79" l="1"/>
  <c r="I16" i="3"/>
  <c r="K18" i="5"/>
  <c r="AL7" i="7"/>
  <c r="AM7" s="1"/>
  <c r="AO7" s="1"/>
  <c r="AN7" s="1"/>
  <c r="F8" i="3"/>
  <c r="AB8" s="1"/>
  <c r="P9"/>
  <c r="Q8"/>
  <c r="J7" i="81"/>
  <c r="AX11" i="1"/>
  <c r="AO9" i="7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33" i="79" l="1"/>
  <c r="H18" i="3"/>
  <c r="I17"/>
  <c r="AN14" i="7"/>
  <c r="AN12"/>
  <c r="AN13"/>
  <c r="AN10"/>
  <c r="AN9"/>
  <c r="Q9" i="3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Z17" s="1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F10" i="3" l="1"/>
  <c r="AB10" s="1"/>
  <c r="I35" i="79"/>
  <c r="I34"/>
  <c r="H19" i="3"/>
  <c r="I18"/>
  <c r="AN11" i="7"/>
  <c r="AN8"/>
  <c r="F11" i="3"/>
  <c r="AB11" s="1"/>
  <c r="Q10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Z17" i="5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20" i="3" l="1"/>
  <c r="I19"/>
  <c r="AN15" i="7"/>
  <c r="Q11" i="3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H21" i="3" l="1"/>
  <c r="I20"/>
  <c r="AN16" i="7"/>
  <c r="Q12" i="3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H22" i="3" l="1"/>
  <c r="I21"/>
  <c r="AN17" i="7"/>
  <c r="Q13" i="3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Y13" i="3"/>
  <c r="I11" i="63"/>
  <c r="BF15" i="5"/>
  <c r="BG15" s="1"/>
  <c r="G15" i="65" s="1"/>
  <c r="AT24" i="1"/>
  <c r="AU24" s="1"/>
  <c r="I21" i="81" s="1"/>
  <c r="Y8" i="7"/>
  <c r="X7"/>
  <c r="Y13"/>
  <c r="Y10"/>
  <c r="H26" i="5"/>
  <c r="C23" i="3"/>
  <c r="F23" s="1"/>
  <c r="Y25" i="5"/>
  <c r="J21" i="82" s="1"/>
  <c r="AO25" i="1"/>
  <c r="AA25"/>
  <c r="Y25"/>
  <c r="AB25" s="1"/>
  <c r="L26"/>
  <c r="AO18" i="7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Q7" i="7"/>
  <c r="X12"/>
  <c r="Y6"/>
  <c r="H23" i="3" l="1"/>
  <c r="I22"/>
  <c r="X13" i="7"/>
  <c r="AR13"/>
  <c r="AS14" s="1"/>
  <c r="AX14" s="1"/>
  <c r="X10"/>
  <c r="AR10"/>
  <c r="BC10" s="1"/>
  <c r="AN18"/>
  <c r="AR8"/>
  <c r="BC8" s="1"/>
  <c r="Q14" i="3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Y14" i="3"/>
  <c r="AJ14" i="1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AS15" i="7"/>
  <c r="AX15" s="1"/>
  <c r="AQ15"/>
  <c r="BC15"/>
  <c r="X6"/>
  <c r="AR6"/>
  <c r="AQ6" s="1"/>
  <c r="AQ9"/>
  <c r="AS12"/>
  <c r="AX12" s="1"/>
  <c r="AQ12"/>
  <c r="AQ11"/>
  <c r="BC12"/>
  <c r="AQ8" l="1"/>
  <c r="H24" i="3"/>
  <c r="I23"/>
  <c r="AS9" i="7"/>
  <c r="AX9" s="1"/>
  <c r="Q7" i="76" s="1"/>
  <c r="BC9" i="7"/>
  <c r="AS8"/>
  <c r="AX8" s="1"/>
  <c r="Q6" i="76" s="1"/>
  <c r="AN19" i="7"/>
  <c r="Q15" i="3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Y15" i="3"/>
  <c r="N17" i="1"/>
  <c r="V17" s="1"/>
  <c r="AS19" i="5"/>
  <c r="AY18"/>
  <c r="BB18" s="1"/>
  <c r="BE18" s="1"/>
  <c r="H28"/>
  <c r="AT26" i="1"/>
  <c r="AU26" s="1"/>
  <c r="I23" i="81" s="1"/>
  <c r="AO20" i="7"/>
  <c r="Y16"/>
  <c r="C25" i="3"/>
  <c r="F25" s="1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AY15" i="7"/>
  <c r="Q13" i="76"/>
  <c r="BC6" i="7"/>
  <c r="AS6"/>
  <c r="AS7"/>
  <c r="AX7" s="1"/>
  <c r="AY12"/>
  <c r="Q10" i="76"/>
  <c r="AY8" i="7" l="1"/>
  <c r="H25" i="3"/>
  <c r="I24"/>
  <c r="AY9" i="7"/>
  <c r="AN20"/>
  <c r="X16"/>
  <c r="AR16"/>
  <c r="AS16" s="1"/>
  <c r="AX16" s="1"/>
  <c r="AL26" i="5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Y16" i="3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AX6" i="7"/>
  <c r="Q4" i="76" s="1"/>
  <c r="AY7" i="7"/>
  <c r="Q5" i="76"/>
  <c r="H26" i="3" l="1"/>
  <c r="I25"/>
  <c r="AN21" i="7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Y17" i="3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AY6" i="7"/>
  <c r="H27" i="3" l="1"/>
  <c r="I26"/>
  <c r="X18" i="7"/>
  <c r="AR18"/>
  <c r="AQ18" s="1"/>
  <c r="AN22"/>
  <c r="Q19" i="3"/>
  <c r="P20"/>
  <c r="AX21" i="1"/>
  <c r="J17" i="81"/>
  <c r="H18"/>
  <c r="AU26" i="5"/>
  <c r="AZ25"/>
  <c r="BC25" s="1"/>
  <c r="AA25" i="3"/>
  <c r="V25"/>
  <c r="AB24"/>
  <c r="Q20" i="5"/>
  <c r="M16" i="81" s="1"/>
  <c r="Y18" i="3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H28" i="3" l="1"/>
  <c r="I27"/>
  <c r="AN23" i="7"/>
  <c r="Q20" i="3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Y19" i="3"/>
  <c r="G16" i="81"/>
  <c r="AJ19" i="1"/>
  <c r="AK19" s="1"/>
  <c r="N22" i="5"/>
  <c r="AS23"/>
  <c r="AY22"/>
  <c r="I17" i="63"/>
  <c r="BF21" i="5"/>
  <c r="BG21" s="1"/>
  <c r="G21" i="65" s="1"/>
  <c r="AO24" i="7"/>
  <c r="H32" i="5"/>
  <c r="AT30" i="1"/>
  <c r="AU30" s="1"/>
  <c r="I27" i="81" s="1"/>
  <c r="E30" i="3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B31"/>
  <c r="I27"/>
  <c r="J27"/>
  <c r="M25"/>
  <c r="N25"/>
  <c r="Q23"/>
  <c r="R23"/>
  <c r="S22"/>
  <c r="T22"/>
  <c r="K26"/>
  <c r="L26"/>
  <c r="Q15" i="76"/>
  <c r="AY17" i="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H29" i="3" l="1"/>
  <c r="I28"/>
  <c r="BB22" i="5"/>
  <c r="BE22" s="1"/>
  <c r="BF22" s="1"/>
  <c r="BG22" s="1"/>
  <c r="G22" i="65" s="1"/>
  <c r="AN24" i="7"/>
  <c r="X20"/>
  <c r="AR20"/>
  <c r="AS20" s="1"/>
  <c r="AX20" s="1"/>
  <c r="Q21" i="3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Y20" i="3"/>
  <c r="Y21" s="1"/>
  <c r="AT31" i="1"/>
  <c r="AU31" s="1"/>
  <c r="H33" i="5"/>
  <c r="E31" i="3"/>
  <c r="AH25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H30" i="3" l="1"/>
  <c r="I29"/>
  <c r="I18" i="63"/>
  <c r="AN25" i="7"/>
  <c r="AS21"/>
  <c r="AX21" s="1"/>
  <c r="Q22" i="3"/>
  <c r="P23"/>
  <c r="P24" s="1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Y22" i="3"/>
  <c r="Y22" i="7"/>
  <c r="H34" i="5"/>
  <c r="AT32" i="1"/>
  <c r="AU32" s="1"/>
  <c r="I29" i="81" s="1"/>
  <c r="E32" i="3"/>
  <c r="C31"/>
  <c r="F31" s="1"/>
  <c r="Y33" i="5"/>
  <c r="J29" i="82" s="1"/>
  <c r="AO33" i="1"/>
  <c r="AA33"/>
  <c r="Y33"/>
  <c r="AB33" s="1"/>
  <c r="X21" i="7"/>
  <c r="V31" i="2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H31" i="3" l="1"/>
  <c r="I30"/>
  <c r="AN26" i="7"/>
  <c r="AR22"/>
  <c r="AQ22" s="1"/>
  <c r="Q23" i="3"/>
  <c r="T33" i="1"/>
  <c r="AA29" i="3"/>
  <c r="V29"/>
  <c r="AX25" i="1"/>
  <c r="J21" i="81"/>
  <c r="H22"/>
  <c r="AB28" i="3"/>
  <c r="AU30" i="5"/>
  <c r="AZ29"/>
  <c r="BC29" s="1"/>
  <c r="Q24"/>
  <c r="M20" i="81" s="1"/>
  <c r="Y23" i="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V32" i="2"/>
  <c r="K33" i="76"/>
  <c r="N33" s="1"/>
  <c r="I32"/>
  <c r="M32" s="1"/>
  <c r="G32"/>
  <c r="D31"/>
  <c r="E31" s="1"/>
  <c r="L31"/>
  <c r="C31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S29" i="76"/>
  <c r="H32" i="3" l="1"/>
  <c r="I32" s="1"/>
  <c r="I31"/>
  <c r="BC22" i="7"/>
  <c r="AS22"/>
  <c r="AX22" s="1"/>
  <c r="AN27"/>
  <c r="AR23"/>
  <c r="BC23" s="1"/>
  <c r="Q24" i="3"/>
  <c r="P25"/>
  <c r="T34" i="1"/>
  <c r="AB29" i="3"/>
  <c r="H36" i="5"/>
  <c r="B7" i="77" s="1"/>
  <c r="J22" i="81"/>
  <c r="AX26" i="1"/>
  <c r="H23" i="81"/>
  <c r="AU31" i="5"/>
  <c r="AZ30"/>
  <c r="BC30" s="1"/>
  <c r="AA30" i="3"/>
  <c r="V30"/>
  <c r="P26" i="5"/>
  <c r="Q25"/>
  <c r="M21" i="81" s="1"/>
  <c r="Y24" i="3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Y24" i="7"/>
  <c r="AT34" i="1"/>
  <c r="AU34" s="1"/>
  <c r="Y35" i="5"/>
  <c r="J31" i="82" s="1"/>
  <c r="X23" i="7"/>
  <c r="AA26" i="76"/>
  <c r="N34"/>
  <c r="N35" s="1"/>
  <c r="I33"/>
  <c r="M33" s="1"/>
  <c r="L32"/>
  <c r="D32"/>
  <c r="E32" s="1"/>
  <c r="G33"/>
  <c r="C32"/>
  <c r="U31" i="3"/>
  <c r="S34"/>
  <c r="Z30"/>
  <c r="AE30" s="1"/>
  <c r="AF30" s="1"/>
  <c r="AG30" s="1"/>
  <c r="N30"/>
  <c r="K31"/>
  <c r="AC29"/>
  <c r="AH29" s="1"/>
  <c r="F29" i="63"/>
  <c r="AK29" i="3"/>
  <c r="BA35" i="5"/>
  <c r="BD35" s="1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C34" i="65" s="1"/>
  <c r="AM33" i="1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S30" i="76"/>
  <c r="E28" i="81"/>
  <c r="R29" i="2"/>
  <c r="N30"/>
  <c r="H29" i="82"/>
  <c r="E31" i="2"/>
  <c r="J30" i="65"/>
  <c r="AI28" i="2"/>
  <c r="AQ23" i="7" l="1"/>
  <c r="AS23"/>
  <c r="AX23" s="1"/>
  <c r="Q21" i="76" s="1"/>
  <c r="X24" i="7"/>
  <c r="AR24"/>
  <c r="BC24" s="1"/>
  <c r="AN28"/>
  <c r="AB26" i="76"/>
  <c r="Q25" i="3"/>
  <c r="P26"/>
  <c r="AA31"/>
  <c r="V31"/>
  <c r="J23" i="81"/>
  <c r="AX27" i="1"/>
  <c r="H24" i="81"/>
  <c r="AU32" i="5"/>
  <c r="AZ31"/>
  <c r="BC31" s="1"/>
  <c r="Q26"/>
  <c r="M22" i="81" s="1"/>
  <c r="AB30" i="3"/>
  <c r="U36" i="5"/>
  <c r="I22" i="63"/>
  <c r="BG26" i="5"/>
  <c r="G26" i="65" s="1"/>
  <c r="P27" i="5"/>
  <c r="Y25" i="3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I31" i="81"/>
  <c r="AO29" i="7"/>
  <c r="AN29" s="1"/>
  <c r="Y25"/>
  <c r="AR25" s="1"/>
  <c r="C34" i="3"/>
  <c r="Y36" i="5"/>
  <c r="M34" i="76"/>
  <c r="M35" s="1"/>
  <c r="AA27"/>
  <c r="AA28"/>
  <c r="D33"/>
  <c r="E33" s="1"/>
  <c r="L33"/>
  <c r="C33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8" s="1"/>
  <c r="I35"/>
  <c r="C36"/>
  <c r="K30" i="81"/>
  <c r="J34" i="5"/>
  <c r="L30" i="81" s="1"/>
  <c r="AM34" i="1"/>
  <c r="F35" i="75" s="1"/>
  <c r="G35" s="1"/>
  <c r="AG34" i="1"/>
  <c r="AL34"/>
  <c r="D35" i="75" s="1"/>
  <c r="E35" s="1"/>
  <c r="J34" i="1"/>
  <c r="J35" s="1"/>
  <c r="J1" s="1"/>
  <c r="O23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Q20" i="76"/>
  <c r="P29" i="7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H30" i="82"/>
  <c r="E32" i="2"/>
  <c r="AG32" l="1"/>
  <c r="AY23" i="7"/>
  <c r="O34" i="1"/>
  <c r="O16"/>
  <c r="O5"/>
  <c r="O14"/>
  <c r="O15"/>
  <c r="O6"/>
  <c r="O17"/>
  <c r="O18"/>
  <c r="O9"/>
  <c r="O19"/>
  <c r="O20"/>
  <c r="O10"/>
  <c r="O11"/>
  <c r="O21"/>
  <c r="O13"/>
  <c r="O22"/>
  <c r="O12"/>
  <c r="O24"/>
  <c r="O25"/>
  <c r="O26"/>
  <c r="O27"/>
  <c r="O28"/>
  <c r="O29"/>
  <c r="O30"/>
  <c r="O31"/>
  <c r="O32"/>
  <c r="O33"/>
  <c r="AB27" i="76"/>
  <c r="A35"/>
  <c r="AB31" i="3"/>
  <c r="Q26"/>
  <c r="P27"/>
  <c r="I36" i="5"/>
  <c r="G38" s="1"/>
  <c r="J24" i="81"/>
  <c r="AX28" i="1"/>
  <c r="E37" i="5"/>
  <c r="H25" i="81"/>
  <c r="AU33" i="5"/>
  <c r="AZ32"/>
  <c r="BC32" s="1"/>
  <c r="AA32" i="3"/>
  <c r="V32"/>
  <c r="X25" i="7"/>
  <c r="N28" i="5"/>
  <c r="P28"/>
  <c r="Y26" i="3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5" i="1"/>
  <c r="AU37" s="1"/>
  <c r="BC25" i="7"/>
  <c r="Y26"/>
  <c r="AQ24"/>
  <c r="AS24"/>
  <c r="AO30"/>
  <c r="AB28" i="76"/>
  <c r="AA29"/>
  <c r="L34"/>
  <c r="L35" s="1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7" i="5"/>
  <c r="H38" s="1"/>
  <c r="D36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AI30"/>
  <c r="J32" i="65"/>
  <c r="R31" i="2"/>
  <c r="E30" i="81"/>
  <c r="C30" i="63"/>
  <c r="D30" s="1"/>
  <c r="S32" i="76"/>
  <c r="F4" i="77" l="1"/>
  <c r="E8" s="1"/>
  <c r="I35" i="76"/>
  <c r="K34"/>
  <c r="C35"/>
  <c r="G35"/>
  <c r="X26" i="7"/>
  <c r="AR26"/>
  <c r="BC26" s="1"/>
  <c r="AN30"/>
  <c r="Q27" i="3"/>
  <c r="P28"/>
  <c r="I37" i="5"/>
  <c r="J25" i="81"/>
  <c r="AX29" i="1"/>
  <c r="H26" i="81"/>
  <c r="AU34" i="5"/>
  <c r="AZ33"/>
  <c r="BC33" s="1"/>
  <c r="AB32" i="3"/>
  <c r="D37" i="73"/>
  <c r="B16" i="77" s="1"/>
  <c r="AC30" i="76"/>
  <c r="AL36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Y27" i="3"/>
  <c r="N28" i="1"/>
  <c r="V28" s="1"/>
  <c r="P29" i="5"/>
  <c r="AS30"/>
  <c r="AY29"/>
  <c r="BB29" s="1"/>
  <c r="BE29" s="1"/>
  <c r="Q28"/>
  <c r="M24" i="81" s="1"/>
  <c r="AE28" i="76"/>
  <c r="AF28" s="1"/>
  <c r="AB30"/>
  <c r="AH31" i="3"/>
  <c r="AK32"/>
  <c r="AC32"/>
  <c r="K34"/>
  <c r="U33" s="1"/>
  <c r="W31" i="76" s="1"/>
  <c r="AE32" i="3"/>
  <c r="AF32" s="1"/>
  <c r="AG32" s="1"/>
  <c r="AJ36" i="5"/>
  <c r="Z37" s="1"/>
  <c r="D6" i="77"/>
  <c r="G6"/>
  <c r="AJ38" i="5"/>
  <c r="AM38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S33" i="76"/>
  <c r="R32" i="2"/>
  <c r="AI32" s="1"/>
  <c r="E31" i="81"/>
  <c r="C31" i="63"/>
  <c r="D31" s="1"/>
  <c r="J33" i="65"/>
  <c r="AI31" i="2"/>
  <c r="Q28" i="3" l="1"/>
  <c r="P29"/>
  <c r="E16" i="77"/>
  <c r="X31" i="76"/>
  <c r="W38"/>
  <c r="AX30" i="1"/>
  <c r="J26" i="81"/>
  <c r="H27"/>
  <c r="AU35" i="5"/>
  <c r="AZ34"/>
  <c r="BC34" s="1"/>
  <c r="AC31" i="76"/>
  <c r="E6" i="77"/>
  <c r="F7"/>
  <c r="G36" i="76"/>
  <c r="AD28" s="1"/>
  <c r="K36"/>
  <c r="AD26" s="1"/>
  <c r="I36"/>
  <c r="AD27" s="1"/>
  <c r="E9" i="77"/>
  <c r="G9" s="1"/>
  <c r="AY24" i="7"/>
  <c r="Y28" i="3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8" i="5"/>
  <c r="W41" i="76"/>
  <c r="W39"/>
  <c r="G8" i="77"/>
  <c r="F8"/>
  <c r="Z33" i="3"/>
  <c r="B18" i="77" s="1"/>
  <c r="AH32" i="3"/>
  <c r="AG35" i="7"/>
  <c r="AH35"/>
  <c r="AK33"/>
  <c r="AL33"/>
  <c r="AM33" s="1"/>
  <c r="AJ34"/>
  <c r="AI34"/>
  <c r="AO32"/>
  <c r="AN32" s="1"/>
  <c r="Y28"/>
  <c r="AR28" s="1"/>
  <c r="X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S34" i="76"/>
  <c r="C36" l="1"/>
  <c r="P30" i="3"/>
  <c r="Q29"/>
  <c r="W40" i="76"/>
  <c r="W42" s="1"/>
  <c r="F18" i="77"/>
  <c r="E18"/>
  <c r="B19"/>
  <c r="Y31" i="76"/>
  <c r="O5"/>
  <c r="P5" s="1"/>
  <c r="R5" s="1"/>
  <c r="T5" s="1"/>
  <c r="F3" i="81" s="1"/>
  <c r="J27"/>
  <c r="AX31" i="1"/>
  <c r="H28" i="81"/>
  <c r="F6" i="77"/>
  <c r="AZ35" i="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17" i="76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AX26" i="7"/>
  <c r="AY26" s="1"/>
  <c r="AJ27" i="1"/>
  <c r="AK27" s="1"/>
  <c r="G24" i="81"/>
  <c r="Y29" i="3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AJ35"/>
  <c r="AI35"/>
  <c r="AK34"/>
  <c r="AL34"/>
  <c r="AM34" s="1"/>
  <c r="X28"/>
  <c r="AQ28"/>
  <c r="AS28"/>
  <c r="AX28" s="1"/>
  <c r="U30"/>
  <c r="V30"/>
  <c r="W30" s="1"/>
  <c r="Y29"/>
  <c r="AR29" s="1"/>
  <c r="AQ27"/>
  <c r="BC28"/>
  <c r="AS27"/>
  <c r="AX27" s="1"/>
  <c r="BC27"/>
  <c r="P33"/>
  <c r="O33"/>
  <c r="M34"/>
  <c r="N34"/>
  <c r="Q32"/>
  <c r="R32"/>
  <c r="K35"/>
  <c r="L35"/>
  <c r="S31"/>
  <c r="T31"/>
  <c r="P31" i="3" l="1"/>
  <c r="Q30"/>
  <c r="D10" i="77"/>
  <c r="E10" s="1"/>
  <c r="E12" s="1"/>
  <c r="P34" i="76"/>
  <c r="AX32" i="1"/>
  <c r="J28" i="81"/>
  <c r="H29"/>
  <c r="Q31" i="5"/>
  <c r="M27" i="81" s="1"/>
  <c r="AB36" i="76"/>
  <c r="AB38" s="1"/>
  <c r="Z39" s="1"/>
  <c r="AB34"/>
  <c r="AA40"/>
  <c r="AB40" s="1"/>
  <c r="AB41" s="1"/>
  <c r="O34"/>
  <c r="O35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Y30" i="3"/>
  <c r="AS33" i="5"/>
  <c r="AY32"/>
  <c r="BB32" s="1"/>
  <c r="BE32" s="1"/>
  <c r="Y30" i="7"/>
  <c r="AR30" s="1"/>
  <c r="AO34"/>
  <c r="AN34" s="1"/>
  <c r="R4" i="76"/>
  <c r="AK35" i="7"/>
  <c r="AL35"/>
  <c r="AM35" s="1"/>
  <c r="Q33"/>
  <c r="R33"/>
  <c r="O34"/>
  <c r="P34"/>
  <c r="T32"/>
  <c r="S32"/>
  <c r="U31"/>
  <c r="V31"/>
  <c r="W31" s="1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T4" i="76" l="1"/>
  <c r="F2" i="81" s="1"/>
  <c r="P32" i="3"/>
  <c r="Q32" s="1"/>
  <c r="Q31"/>
  <c r="X30" i="7"/>
  <c r="AQ30"/>
  <c r="G10" i="77"/>
  <c r="G12" s="1"/>
  <c r="H14" s="1"/>
  <c r="AB35" i="76"/>
  <c r="F10" i="77"/>
  <c r="F12" s="1"/>
  <c r="J29" i="81"/>
  <c r="AX33" i="1"/>
  <c r="H30" i="81"/>
  <c r="Q32" i="5"/>
  <c r="M28" i="81" s="1"/>
  <c r="AA41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Y31" i="3"/>
  <c r="AS34" i="5"/>
  <c r="AY33"/>
  <c r="BB33" s="1"/>
  <c r="BE33" s="1"/>
  <c r="G26" i="81"/>
  <c r="AJ29" i="1"/>
  <c r="AK29" s="1"/>
  <c r="Y31" i="7"/>
  <c r="AR31" s="1"/>
  <c r="P35"/>
  <c r="O35"/>
  <c r="Q34"/>
  <c r="R34"/>
  <c r="T33"/>
  <c r="S33"/>
  <c r="AS29"/>
  <c r="AX29" s="1"/>
  <c r="AQ29"/>
  <c r="BC29"/>
  <c r="V32"/>
  <c r="W32" s="1"/>
  <c r="U32"/>
  <c r="AS30" l="1"/>
  <c r="AX30" s="1"/>
  <c r="Q28" i="76" s="1"/>
  <c r="R28" s="1"/>
  <c r="T28" s="1"/>
  <c r="F26" i="81" s="1"/>
  <c r="I14" i="77"/>
  <c r="AS31" i="7"/>
  <c r="AX31" s="1"/>
  <c r="AY31" s="1"/>
  <c r="J30" i="81"/>
  <c r="AX34" i="1"/>
  <c r="H31" i="81"/>
  <c r="Q27" i="76"/>
  <c r="R27" s="1"/>
  <c r="T27" s="1"/>
  <c r="F25" i="81" s="1"/>
  <c r="Q33" i="5"/>
  <c r="M29" i="81" s="1"/>
  <c r="AI32" i="1"/>
  <c r="AW33" i="7" s="1"/>
  <c r="B32" i="65"/>
  <c r="E32" s="1"/>
  <c r="Y32" i="3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BC30" i="7"/>
  <c r="Y32"/>
  <c r="AR32" s="1"/>
  <c r="BC31"/>
  <c r="X31"/>
  <c r="T34"/>
  <c r="S34"/>
  <c r="AQ31"/>
  <c r="U33"/>
  <c r="V33"/>
  <c r="W33" s="1"/>
  <c r="R35"/>
  <c r="Q35"/>
  <c r="X32" l="1"/>
  <c r="BC32"/>
  <c r="J31" i="81"/>
  <c r="AY29" i="7"/>
  <c r="AJ32" i="1"/>
  <c r="AK32" s="1"/>
  <c r="G29" i="81"/>
  <c r="N34" i="1"/>
  <c r="V34" s="1"/>
  <c r="AY35" i="5"/>
  <c r="BB35" s="1"/>
  <c r="BE35" s="1"/>
  <c r="N35"/>
  <c r="Q34"/>
  <c r="M30" i="81" s="1"/>
  <c r="AI33" i="1"/>
  <c r="B33" i="65"/>
  <c r="E33" s="1"/>
  <c r="I30" i="63"/>
  <c r="BF34" i="5"/>
  <c r="BG34" s="1"/>
  <c r="G34" i="65" s="1"/>
  <c r="P35" i="5"/>
  <c r="G28" i="81"/>
  <c r="AJ31" i="1"/>
  <c r="AK31" s="1"/>
  <c r="AY30" i="7"/>
  <c r="Q29" i="76"/>
  <c r="R29" s="1"/>
  <c r="T29" s="1"/>
  <c r="F27" i="81" s="1"/>
  <c r="Y33" i="7"/>
  <c r="AR33" s="1"/>
  <c r="V34"/>
  <c r="W34" s="1"/>
  <c r="U34"/>
  <c r="T35"/>
  <c r="S35"/>
  <c r="Q35" i="5" l="1"/>
  <c r="Q36" s="1"/>
  <c r="O37" s="1"/>
  <c r="AI34" i="1"/>
  <c r="AW35" i="7" s="1"/>
  <c r="B34" i="65"/>
  <c r="E34" s="1"/>
  <c r="AW34" i="7"/>
  <c r="I31" i="63"/>
  <c r="BF35" i="5"/>
  <c r="BG35" s="1"/>
  <c r="AS32" i="7"/>
  <c r="AQ32"/>
  <c r="X33"/>
  <c r="Y34"/>
  <c r="AR34" s="1"/>
  <c r="AS33"/>
  <c r="AX33" s="1"/>
  <c r="AQ33"/>
  <c r="U35"/>
  <c r="V35"/>
  <c r="W35" s="1"/>
  <c r="BC33"/>
  <c r="AX32" l="1"/>
  <c r="AY32" s="1"/>
  <c r="M31" i="81"/>
  <c r="Y35" i="7"/>
  <c r="AI36" i="1"/>
  <c r="AJ34"/>
  <c r="AK34" s="1"/>
  <c r="G31" i="81"/>
  <c r="AJ33" i="1"/>
  <c r="AK33" s="1"/>
  <c r="G30" i="81"/>
  <c r="X34" i="7"/>
  <c r="AQ34"/>
  <c r="AS34"/>
  <c r="AX34" s="1"/>
  <c r="AY33"/>
  <c r="Q31" i="76"/>
  <c r="R31" s="1"/>
  <c r="T31" s="1"/>
  <c r="F29" i="81" s="1"/>
  <c r="BC34" i="7"/>
  <c r="AR35" l="1"/>
  <c r="BC35" s="1"/>
  <c r="Q30" i="76"/>
  <c r="R30" s="1"/>
  <c r="T30" s="1"/>
  <c r="F28" i="81" s="1"/>
  <c r="X35" i="7"/>
  <c r="Q32" i="76"/>
  <c r="R32" s="1"/>
  <c r="T32" s="1"/>
  <c r="F30" i="81" s="1"/>
  <c r="AY34" i="7"/>
  <c r="AQ35" l="1"/>
  <c r="AS35"/>
  <c r="AX35" s="1"/>
  <c r="Q33" i="76" s="1"/>
  <c r="R33" s="1"/>
  <c r="T33" s="1"/>
  <c r="F31" i="81" s="1"/>
  <c r="AS39" i="7" l="1"/>
  <c r="AY35"/>
  <c r="AY36" s="1"/>
  <c r="Q34" i="76" l="1"/>
  <c r="AX36" i="7"/>
  <c r="Z40" i="76" s="1"/>
  <c r="Z41" s="1"/>
  <c r="Z43" s="1"/>
  <c r="R34" l="1"/>
  <c r="K11" i="5" l="1"/>
  <c r="K34"/>
  <c r="M23" i="79"/>
  <c r="O23" s="1"/>
  <c r="K23" i="5"/>
  <c r="K28"/>
  <c r="M24" i="79"/>
  <c r="O24" s="1"/>
  <c r="K24" i="5"/>
  <c r="K35"/>
  <c r="K15"/>
  <c r="K32"/>
  <c r="K10"/>
  <c r="M28" i="79"/>
  <c r="O28" s="1"/>
  <c r="M11"/>
  <c r="O11" s="1"/>
  <c r="K21" i="5"/>
  <c r="K27"/>
  <c r="K33"/>
  <c r="K20"/>
  <c r="K22"/>
  <c r="M16" i="79"/>
  <c r="O16" s="1"/>
  <c r="K16" i="5"/>
  <c r="M15" i="79"/>
  <c r="K31" i="5"/>
  <c r="K17"/>
  <c r="M13" i="79"/>
  <c r="O13" s="1"/>
  <c r="K13" i="5"/>
  <c r="M34" i="79"/>
  <c r="O34" s="1"/>
  <c r="M7"/>
  <c r="O7" s="1"/>
  <c r="K7" i="5"/>
  <c r="M30" i="79"/>
  <c r="O30" s="1"/>
  <c r="K30" i="5"/>
  <c r="M9" i="79"/>
  <c r="K9" i="5"/>
  <c r="M8" i="79"/>
  <c r="K8" i="5"/>
  <c r="M32" i="79"/>
  <c r="O32" s="1"/>
  <c r="M10"/>
  <c r="O10" s="1"/>
  <c r="M25"/>
  <c r="O25" s="1"/>
  <c r="K25" i="5"/>
  <c r="M29" i="79"/>
  <c r="O29" s="1"/>
  <c r="K29" i="5"/>
  <c r="K14"/>
  <c r="M26" i="79"/>
  <c r="O26" s="1"/>
  <c r="K26" i="5"/>
  <c r="M21" i="79"/>
  <c r="O21" s="1"/>
  <c r="M27"/>
  <c r="O27" s="1"/>
  <c r="M33"/>
  <c r="O33" s="1"/>
  <c r="K12" i="5"/>
  <c r="M20" i="79"/>
  <c r="O20" s="1"/>
  <c r="M14"/>
  <c r="O14" s="1"/>
  <c r="M12"/>
  <c r="O12" s="1"/>
  <c r="M35"/>
  <c r="O35" s="1"/>
  <c r="M31"/>
  <c r="O31" s="1"/>
  <c r="M17"/>
  <c r="O17" s="1"/>
  <c r="M22"/>
  <c r="O22" s="1"/>
  <c r="M19"/>
  <c r="O19" s="1"/>
  <c r="K19" i="5"/>
  <c r="L19" s="1"/>
  <c r="L12" l="1"/>
  <c r="AK12" s="1"/>
  <c r="L11"/>
  <c r="H8" i="63" s="1"/>
  <c r="O9" i="79"/>
  <c r="L13" i="5"/>
  <c r="AK13" s="1"/>
  <c r="L16"/>
  <c r="AK16" s="1"/>
  <c r="L15"/>
  <c r="F15" i="65" s="1"/>
  <c r="O15" i="79"/>
  <c r="L31" i="5"/>
  <c r="F31" i="65" s="1"/>
  <c r="L10" i="5"/>
  <c r="AK10" s="1"/>
  <c r="L8"/>
  <c r="H5" i="63" s="1"/>
  <c r="L21" i="5"/>
  <c r="H18" i="63" s="1"/>
  <c r="L25" i="5"/>
  <c r="H22" i="63" s="1"/>
  <c r="L14" i="5"/>
  <c r="F14" i="65" s="1"/>
  <c r="L17" i="5"/>
  <c r="H14" i="63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AK22" s="1"/>
  <c r="L32"/>
  <c r="AK32" s="1"/>
  <c r="L28"/>
  <c r="H25" i="63" s="1"/>
  <c r="L27" i="5"/>
  <c r="AK27" s="1"/>
  <c r="H19" i="63"/>
  <c r="F19" i="65"/>
  <c r="H16" i="63"/>
  <c r="AK19" i="5"/>
  <c r="L26"/>
  <c r="L9"/>
  <c r="L20"/>
  <c r="L18"/>
  <c r="F13" i="65"/>
  <c r="O8" i="79"/>
  <c r="L33" i="5"/>
  <c r="H11" i="63" l="1"/>
  <c r="AK14" i="5"/>
  <c r="F12" i="65"/>
  <c r="H9" i="63"/>
  <c r="F16" i="65"/>
  <c r="F22"/>
  <c r="AK15" i="5"/>
  <c r="H12" i="63"/>
  <c r="F11" i="65"/>
  <c r="H10" i="63"/>
  <c r="H13"/>
  <c r="AK11" i="5"/>
  <c r="H28" i="63"/>
  <c r="AK31" i="5"/>
  <c r="AK8"/>
  <c r="H20" i="63"/>
  <c r="F27" i="65"/>
  <c r="F23"/>
  <c r="AK21" i="5"/>
  <c r="F8" i="65"/>
  <c r="F21"/>
  <c r="F17"/>
  <c r="H7" i="63"/>
  <c r="AK17" i="5"/>
  <c r="F10" i="65"/>
  <c r="AK25" i="5"/>
  <c r="AK29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33" i="5"/>
  <c r="AK26"/>
  <c r="F26" i="65"/>
  <c r="H23" i="63"/>
  <c r="AK9" i="5"/>
  <c r="H6" i="63"/>
  <c r="F9" i="65"/>
  <c r="F20"/>
  <c r="AK20" i="5"/>
  <c r="H17" i="63"/>
  <c r="H15"/>
  <c r="F18" i="65"/>
  <c r="AK18" i="5"/>
  <c r="K6"/>
  <c r="L7" s="1"/>
  <c r="M6" i="79"/>
  <c r="O6" s="1"/>
  <c r="F7" i="65" l="1"/>
  <c r="AK7" i="5"/>
  <c r="H4" i="63"/>
  <c r="L36" i="5"/>
  <c r="AK36" s="1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ahmad.ghazalah</author>
    <author>hussein.saleh</author>
  </authors>
  <commentList>
    <comment ref="B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<sst xmlns="http://schemas.openxmlformats.org/spreadsheetml/2006/main" count="659" uniqueCount="416">
  <si>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</si>
  <si>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</si>
  <si>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</si>
  <si>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</si>
  <si>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</si>
  <si>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</si>
  <si>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</si>
  <si>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</si>
  <si>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</si>
  <si>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</si>
  <si>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</si>
  <si>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</si>
  <si>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</si>
  <si>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</si>
  <si>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</si>
  <si>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</si>
  <si>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</si>
  <si>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</si>
  <si>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</si>
  <si>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</si>
  <si>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</si>
  <si>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</si>
  <si>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</si>
  <si>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</si>
  <si>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</si>
  <si>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</si>
  <si>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</si>
  <si>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</si>
  <si>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</si>
  <si>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</si>
  <si>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</si>
  <si>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</si>
  <si>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</si>
  <si>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</si>
  <si>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</si>
  <si>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</si>
  <si>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</si>
  <si>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</si>
  <si>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</si>
  <si>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</si>
  <si>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</si>
  <si>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</si>
  <si>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</si>
  <si>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</si>
  <si>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</si>
  <si>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</si>
  <si>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</si>
  <si>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</si>
  <si>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</si>
  <si>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</si>
  <si>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</si>
  <si>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</si>
  <si>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</si>
  <si>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</si>
  <si>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</si>
  <si>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</si>
  <si>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</si>
  <si>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</si>
  <si>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</si>
  <si>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</si>
  <si>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</si>
  <si>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</si>
  <si>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</si>
  <si>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</si>
  <si>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</si>
  <si>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</si>
  <si>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</si>
  <si>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</si>
  <si>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</si>
  <si>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</si>
  <si>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</si>
  <si>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</si>
  <si>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</si>
  <si>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</si>
  <si>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</si>
  <si>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</si>
  <si>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</si>
  <si>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</si>
  <si>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</si>
  <si>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</si>
  <si>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</si>
  <si>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</si>
  <si>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</si>
  <si>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</si>
  <si>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</si>
  <si>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</si>
  <si>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</si>
  <si>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</si>
  <si>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</si>
  <si>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</si>
  <si>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</si>
  <si>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</si>
  <si>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</si>
  <si>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</si>
  <si>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</si>
  <si>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</si>
  <si>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</si>
  <si>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</si>
  <si>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</si>
  <si>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</si>
  <si>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</si>
  <si>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</si>
  <si>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</si>
  <si>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</si>
  <si>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</si>
  <si>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</si>
  <si>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</si>
  <si>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</si>
  <si>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</si>
  <si>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</si>
  <si>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</si>
  <si>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</si>
  <si>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</si>
  <si>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</si>
  <si>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</si>
  <si>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</si>
  <si>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</si>
  <si>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</si>
  <si>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</si>
  <si>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</si>
  <si>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</si>
  <si>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</si>
  <si>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</si>
  <si>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</si>
  <si>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</si>
  <si>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</si>
  <si>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</si>
  <si>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</si>
  <si>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</si>
  <si>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</si>
  <si>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</si>
  <si>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</si>
  <si>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</si>
  <si>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</si>
  <si>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</si>
  <si>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</si>
  <si>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</si>
  <si>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</si>
  <si>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</si>
  <si>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</si>
  <si>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</si>
  <si>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</si>
  <si>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</si>
  <si>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</si>
  <si>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</si>
  <si>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</si>
  <si>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</si>
  <si>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</si>
  <si>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</si>
  <si>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</si>
  <si>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</si>
  <si>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</si>
  <si>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</si>
  <si>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</si>
  <si>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</si>
  <si>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</si>
  <si>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</si>
  <si>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</si>
  <si>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</si>
  <si>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</si>
  <si>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</si>
  <si>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</si>
  <si>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</si>
  <si>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</si>
  <si>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</si>
  <si>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</si>
  <si>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</si>
  <si>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</si>
  <si>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</si>
  <si>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</si>
  <si>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</si>
  <si>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</si>
  <si>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</si>
  <si>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</si>
  <si>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</si>
  <si>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</si>
  <si>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</si>
  <si>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</si>
  <si>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</si>
  <si>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</si>
  <si>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</si>
  <si>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</si>
  <si>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</si>
  <si>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</si>
  <si>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</si>
  <si>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</si>
  <si>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</si>
  <si>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</si>
  <si>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</si>
  <si>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</si>
  <si>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</si>
  <si>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</si>
  <si>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</si>
  <si>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</si>
  <si>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</si>
  <si>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</si>
  <si>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</si>
  <si>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</si>
  <si>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</si>
  <si>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</si>
  <si>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</si>
  <si>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</si>
  <si>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</si>
  <si>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</si>
  <si>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</si>
  <si>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</si>
  <si>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</si>
  <si>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</si>
  <si>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</si>
  <si>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</si>
  <si>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</si>
  <si>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</si>
  <si>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</si>
  <si>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</si>
  <si>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</si>
  <si>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</si>
  <si>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</si>
  <si>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</si>
  <si>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</si>
  <si>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</si>
  <si>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</si>
  <si>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</si>
  <si>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</si>
  <si>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</si>
  <si>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</si>
  <si>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</si>
  <si>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</si>
  <si>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</si>
  <si>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</si>
  <si>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</si>
  <si>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</si>
  <si>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</si>
  <si>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</si>
  <si>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</si>
  <si>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</si>
  <si>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</si>
  <si>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</si>
  <si>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</si>
  <si>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</si>
  <si>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</si>
  <si>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</si>
  <si>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</si>
  <si>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</si>
  <si>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</si>
  <si>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</si>
  <si>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</si>
  <si>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</si>
  <si>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</si>
  <si>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</si>
  <si>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</si>
  <si>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</si>
  <si>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</si>
  <si>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</si>
  <si>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</si>
  <si>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</si>
  <si>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</si>
  <si>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</si>
  <si>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</si>
  <si>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</si>
  <si>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</si>
  <si>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</si>
  <si>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</si>
  <si>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</si>
  <si>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</si>
  <si>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</si>
  <si>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</si>
  <si>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</si>
  <si>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</si>
  <si>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</si>
  <si>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</si>
  <si>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</si>
  <si>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</si>
  <si>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</si>
  <si>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</si>
  <si>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</si>
  <si>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</si>
  <si>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</si>
  <si>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</si>
  <si>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</si>
  <si>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</si>
  <si>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</si>
  <si>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</si>
  <si>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</si>
  <si>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</si>
  <si>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</si>
  <si>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</si>
  <si>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</si>
  <si>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</si>
  <si>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</si>
  <si>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</si>
  <si>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</si>
  <si>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</si>
  <si>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</si>
  <si>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</si>
  <si>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</si>
  <si>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</si>
  <si>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</si>
  <si>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</si>
  <si>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</si>
  <si>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</si>
  <si>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</si>
  <si>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</si>
  <si>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</si>
  <si>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</si>
  <si>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</si>
  <si>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</si>
  <si>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</si>
  <si>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</si>
  <si>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</si>
  <si>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</si>
  <si>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</si>
  <si>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</si>
  <si>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</si>
  <si>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</si>
  <si>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</si>
  <si>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</si>
  <si>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</si>
  <si>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</si>
  <si>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</si>
  <si>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</si>
  <si>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</si>
  <si>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</si>
  <si>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</si>
  <si>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</si>
  <si>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</si>
  <si>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</si>
  <si>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</si>
  <si>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</si>
  <si>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</si>
  <si>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</si>
  <si>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</si>
  <si>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</si>
  <si>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</si>
  <si>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</si>
  <si>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</si>
  <si>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</si>
  <si>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</si>
  <si>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</si>
  <si>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</si>
  <si>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</si>
  <si>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</si>
  <si>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</si>
  <si>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</si>
  <si>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</si>
  <si>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</si>
  <si>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</si>
  <si>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</si>
  <si>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</si>
  <si>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</si>
  <si>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</si>
  <si>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</si>
  <si>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</si>
  <si>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</si>
  <si>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</si>
  <si>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</si>
  <si>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</si>
  <si>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</si>
  <si>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</si>
  <si>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</si>
  <si>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</si>
  <si>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</si>
  <si>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</si>
  <si>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</si>
  <si>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</si>
  <si>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</si>
  <si>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</si>
  <si>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</si>
  <si>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</si>
  <si>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</si>
  <si>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</si>
  <si>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</si>
  <si>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</si>
  <si>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</si>
  <si>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</si>
  <si>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</si>
  <si>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</si>
  <si>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</si>
  <si>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</si>
  <si>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</si>
  <si>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</si>
  <si>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</si>
  <si>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</si>
  <si>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</si>
  <si>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</si>
  <si>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</si>
  <si>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</si>
  <si>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</si>
  <si>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</si>
  <si>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</si>
  <si>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</si>
  <si>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</si>
  <si>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</si>
  <si>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</si>
  <si>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</si>
  <si>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</si>
  <si>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</si>
  <si>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</si>
  <si>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</si>
  <si>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</si>
  <si>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</si>
  <si>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</si>
  <si>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</si>
  <si>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</si>
  <si>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</si>
  <si>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</si>
  <si>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</si>
  <si>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</si>
  <si>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</si>
  <si>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</si>
  <si>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</si>
  <si>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</si>
  <si>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</si>
  <si>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</si>
  <si>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</si>
  <si>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</si>
  <si>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….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</si>
</sst>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0.00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8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0" fontId="0" fillId="0" borderId="1" xfId="0" applyBorder="1" applyAlignment="1">
      <alignment horizontal="center" vertical="center"/>
    </xf>
    <xf numFmtId="16" fontId="0" fillId="28" borderId="1" xfId="0" applyNumberFormat="1" applyFill="1" applyBorder="1" applyAlignment="1">
      <alignment horizontal="center"/>
    </xf>
    <xf numFmtId="2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67" fontId="23" fillId="25" borderId="1" xfId="1" applyNumberFormat="1" applyFont="1" applyFill="1" applyBorder="1"/>
    <xf numFmtId="182" fontId="0" fillId="24" borderId="1" xfId="0" applyNumberFormat="1" applyFill="1" applyBorder="1"/>
    <xf numFmtId="183" fontId="0" fillId="24" borderId="1" xfId="0" applyNumberFormat="1" applyFill="1" applyBorder="1"/>
    <xf numFmtId="167" fontId="18" fillId="5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8109</c:v>
                </c:pt>
                <c:pt idx="1">
                  <c:v>7662.2000000001863</c:v>
                </c:pt>
                <c:pt idx="2">
                  <c:v>7437.5999999996275</c:v>
                </c:pt>
                <c:pt idx="3">
                  <c:v>8665.2000000001863</c:v>
                </c:pt>
                <c:pt idx="4">
                  <c:v>7670.3999999999069</c:v>
                </c:pt>
                <c:pt idx="5">
                  <c:v>8538.8000000002794</c:v>
                </c:pt>
                <c:pt idx="6">
                  <c:v>10057.799999999814</c:v>
                </c:pt>
                <c:pt idx="7">
                  <c:v>7909.3999999999069</c:v>
                </c:pt>
                <c:pt idx="8">
                  <c:v>10815.600000000093</c:v>
                </c:pt>
                <c:pt idx="9">
                  <c:v>9103</c:v>
                </c:pt>
                <c:pt idx="10">
                  <c:v>8022.6000000000931</c:v>
                </c:pt>
                <c:pt idx="11">
                  <c:v>8603.3999999999069</c:v>
                </c:pt>
                <c:pt idx="12">
                  <c:v>8743</c:v>
                </c:pt>
                <c:pt idx="13">
                  <c:v>8764</c:v>
                </c:pt>
                <c:pt idx="14">
                  <c:v>8688.3999999999069</c:v>
                </c:pt>
                <c:pt idx="15">
                  <c:v>9282</c:v>
                </c:pt>
                <c:pt idx="16">
                  <c:v>10771.600000000093</c:v>
                </c:pt>
                <c:pt idx="17">
                  <c:v>8246</c:v>
                </c:pt>
                <c:pt idx="18">
                  <c:v>9623</c:v>
                </c:pt>
                <c:pt idx="19">
                  <c:v>9050</c:v>
                </c:pt>
                <c:pt idx="20">
                  <c:v>9698</c:v>
                </c:pt>
                <c:pt idx="21">
                  <c:v>8454</c:v>
                </c:pt>
                <c:pt idx="22">
                  <c:v>9840</c:v>
                </c:pt>
                <c:pt idx="23">
                  <c:v>8387</c:v>
                </c:pt>
                <c:pt idx="24">
                  <c:v>10222.399999999907</c:v>
                </c:pt>
                <c:pt idx="25">
                  <c:v>9169.6000000000931</c:v>
                </c:pt>
                <c:pt idx="26">
                  <c:v>8400</c:v>
                </c:pt>
                <c:pt idx="27">
                  <c:v>9650</c:v>
                </c:pt>
                <c:pt idx="28">
                  <c:v>8764</c:v>
                </c:pt>
                <c:pt idx="29">
                  <c:v>9068.3999999999069</c:v>
                </c:pt>
                <c:pt idx="30">
                  <c:v>10173.200000000186</c:v>
                </c:pt>
              </c:numCache>
            </c:numRef>
          </c:val>
        </c:ser>
        <c:marker val="1"/>
        <c:axId val="94706688"/>
        <c:axId val="94905088"/>
      </c:lineChart>
      <c:catAx>
        <c:axId val="9470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05088"/>
        <c:crosses val="autoZero"/>
        <c:auto val="1"/>
        <c:lblAlgn val="ctr"/>
        <c:lblOffset val="100"/>
      </c:catAx>
      <c:valAx>
        <c:axId val="949050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0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3501"/>
          <c:w val="0.11899800868449698"/>
          <c:h val="4.49826989619427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3736</c:v>
                </c:pt>
                <c:pt idx="1">
                  <c:v>3231</c:v>
                </c:pt>
                <c:pt idx="2">
                  <c:v>3076</c:v>
                </c:pt>
                <c:pt idx="3">
                  <c:v>3713</c:v>
                </c:pt>
                <c:pt idx="4">
                  <c:v>3329</c:v>
                </c:pt>
                <c:pt idx="5">
                  <c:v>3583</c:v>
                </c:pt>
                <c:pt idx="6">
                  <c:v>4314</c:v>
                </c:pt>
                <c:pt idx="7">
                  <c:v>3457</c:v>
                </c:pt>
                <c:pt idx="8">
                  <c:v>4738</c:v>
                </c:pt>
                <c:pt idx="9">
                  <c:v>3677</c:v>
                </c:pt>
                <c:pt idx="10">
                  <c:v>3389</c:v>
                </c:pt>
                <c:pt idx="11">
                  <c:v>3491</c:v>
                </c:pt>
                <c:pt idx="12">
                  <c:v>4297</c:v>
                </c:pt>
                <c:pt idx="13">
                  <c:v>3874</c:v>
                </c:pt>
                <c:pt idx="14">
                  <c:v>3700</c:v>
                </c:pt>
                <c:pt idx="15">
                  <c:v>3922</c:v>
                </c:pt>
                <c:pt idx="16">
                  <c:v>5304</c:v>
                </c:pt>
                <c:pt idx="17">
                  <c:v>3355</c:v>
                </c:pt>
                <c:pt idx="18">
                  <c:v>4155</c:v>
                </c:pt>
                <c:pt idx="19">
                  <c:v>4524</c:v>
                </c:pt>
                <c:pt idx="20">
                  <c:v>5033</c:v>
                </c:pt>
                <c:pt idx="21">
                  <c:v>3563</c:v>
                </c:pt>
                <c:pt idx="22">
                  <c:v>4087</c:v>
                </c:pt>
                <c:pt idx="23">
                  <c:v>3372</c:v>
                </c:pt>
                <c:pt idx="24">
                  <c:v>4785</c:v>
                </c:pt>
                <c:pt idx="25">
                  <c:v>3937</c:v>
                </c:pt>
                <c:pt idx="26">
                  <c:v>3441</c:v>
                </c:pt>
                <c:pt idx="27">
                  <c:v>3962</c:v>
                </c:pt>
                <c:pt idx="28">
                  <c:v>4063</c:v>
                </c:pt>
                <c:pt idx="29">
                  <c:v>4071</c:v>
                </c:pt>
                <c:pt idx="30">
                  <c:v>4393</c:v>
                </c:pt>
              </c:numCache>
            </c:numRef>
          </c:val>
        </c:ser>
        <c:marker val="1"/>
        <c:axId val="94941952"/>
        <c:axId val="94943488"/>
      </c:lineChart>
      <c:catAx>
        <c:axId val="9494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43488"/>
        <c:crosses val="autoZero"/>
        <c:auto val="1"/>
        <c:lblAlgn val="ctr"/>
        <c:lblOffset val="100"/>
      </c:catAx>
      <c:valAx>
        <c:axId val="94943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4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322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1.7399999999999999E-2</c:v>
                </c:pt>
                <c:pt idx="1">
                  <c:v>8.6999999999999994E-3</c:v>
                </c:pt>
                <c:pt idx="2">
                  <c:v>8.6999999999999994E-3</c:v>
                </c:pt>
                <c:pt idx="3">
                  <c:v>1.2999999999999999E-2</c:v>
                </c:pt>
                <c:pt idx="4">
                  <c:v>3.04E-2</c:v>
                </c:pt>
                <c:pt idx="5">
                  <c:v>8.6999999999999994E-3</c:v>
                </c:pt>
                <c:pt idx="6">
                  <c:v>8.6999999999999994E-3</c:v>
                </c:pt>
                <c:pt idx="7">
                  <c:v>4.7800000000000002E-2</c:v>
                </c:pt>
                <c:pt idx="8">
                  <c:v>2.1700000000000001E-2</c:v>
                </c:pt>
                <c:pt idx="9">
                  <c:v>8.6999999999999994E-3</c:v>
                </c:pt>
                <c:pt idx="10">
                  <c:v>1.7399999999999999E-2</c:v>
                </c:pt>
                <c:pt idx="11">
                  <c:v>1.2999999999999999E-2</c:v>
                </c:pt>
                <c:pt idx="12">
                  <c:v>3.4799999999999998E-2</c:v>
                </c:pt>
                <c:pt idx="13">
                  <c:v>2.1700000000000001E-2</c:v>
                </c:pt>
                <c:pt idx="14">
                  <c:v>1.2999999999999999E-2</c:v>
                </c:pt>
                <c:pt idx="15">
                  <c:v>0.01</c:v>
                </c:pt>
                <c:pt idx="16">
                  <c:v>8.6999999999999994E-3</c:v>
                </c:pt>
                <c:pt idx="17">
                  <c:v>1.2999999999999999E-2</c:v>
                </c:pt>
                <c:pt idx="18">
                  <c:v>2.1700000000000001E-2</c:v>
                </c:pt>
                <c:pt idx="19">
                  <c:v>8.6999999999999994E-3</c:v>
                </c:pt>
                <c:pt idx="20">
                  <c:v>8.6999999999999994E-3</c:v>
                </c:pt>
                <c:pt idx="21">
                  <c:v>8.6999999999999994E-3</c:v>
                </c:pt>
                <c:pt idx="22">
                  <c:v>8.6999999999999994E-3</c:v>
                </c:pt>
                <c:pt idx="23">
                  <c:v>8.6999999999999994E-3</c:v>
                </c:pt>
                <c:pt idx="24">
                  <c:v>1.7399999999999999E-2</c:v>
                </c:pt>
                <c:pt idx="25">
                  <c:v>3.4799999999999998E-2</c:v>
                </c:pt>
                <c:pt idx="26">
                  <c:v>8.6999999999999994E-3</c:v>
                </c:pt>
                <c:pt idx="27">
                  <c:v>1.7399999999999999E-2</c:v>
                </c:pt>
                <c:pt idx="28">
                  <c:v>1.7399999999999999E-2</c:v>
                </c:pt>
                <c:pt idx="29">
                  <c:v>1.2999999999999999E-2</c:v>
                </c:pt>
              </c:numCache>
            </c:numRef>
          </c:val>
        </c:ser>
        <c:marker val="1"/>
        <c:axId val="96012160"/>
        <c:axId val="96013696"/>
      </c:lineChart>
      <c:catAx>
        <c:axId val="9601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13696"/>
        <c:crosses val="autoZero"/>
        <c:auto val="1"/>
        <c:lblAlgn val="ctr"/>
        <c:lblOffset val="100"/>
      </c:catAx>
      <c:valAx>
        <c:axId val="960136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1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2595"/>
          <c:y val="0.62975887529633501"/>
          <c:w val="7.9124755870162669E-2"/>
          <c:h val="4.49826989619427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4.0019999999999998</c:v>
                </c:pt>
                <c:pt idx="1">
                  <c:v>2.0009999999999999</c:v>
                </c:pt>
                <c:pt idx="2">
                  <c:v>2.0009999999999999</c:v>
                </c:pt>
                <c:pt idx="3">
                  <c:v>2.9899999999999998</c:v>
                </c:pt>
                <c:pt idx="4">
                  <c:v>6.992</c:v>
                </c:pt>
                <c:pt idx="5">
                  <c:v>2.0009999999999999</c:v>
                </c:pt>
                <c:pt idx="6">
                  <c:v>2.0009999999999999</c:v>
                </c:pt>
                <c:pt idx="7">
                  <c:v>10.994</c:v>
                </c:pt>
                <c:pt idx="8">
                  <c:v>4.9910000000000005</c:v>
                </c:pt>
                <c:pt idx="9">
                  <c:v>2.0009999999999999</c:v>
                </c:pt>
                <c:pt idx="10">
                  <c:v>4.0019999999999998</c:v>
                </c:pt>
                <c:pt idx="11">
                  <c:v>2.9899999999999998</c:v>
                </c:pt>
                <c:pt idx="12">
                  <c:v>8.0039999999999996</c:v>
                </c:pt>
                <c:pt idx="13">
                  <c:v>4.9910000000000005</c:v>
                </c:pt>
                <c:pt idx="14">
                  <c:v>2.9899999999999998</c:v>
                </c:pt>
                <c:pt idx="15">
                  <c:v>2.3000000000000003</c:v>
                </c:pt>
                <c:pt idx="16">
                  <c:v>2.0009999999999999</c:v>
                </c:pt>
                <c:pt idx="17">
                  <c:v>2.9899999999999998</c:v>
                </c:pt>
                <c:pt idx="18">
                  <c:v>4.9910000000000005</c:v>
                </c:pt>
                <c:pt idx="19">
                  <c:v>2.0009999999999999</c:v>
                </c:pt>
                <c:pt idx="20">
                  <c:v>2.0009999999999999</c:v>
                </c:pt>
                <c:pt idx="21">
                  <c:v>2.0009999999999999</c:v>
                </c:pt>
                <c:pt idx="22">
                  <c:v>2.0009999999999999</c:v>
                </c:pt>
                <c:pt idx="23">
                  <c:v>2.0009999999999999</c:v>
                </c:pt>
                <c:pt idx="24">
                  <c:v>4.0019999999999998</c:v>
                </c:pt>
                <c:pt idx="25">
                  <c:v>8.0039999999999996</c:v>
                </c:pt>
                <c:pt idx="26">
                  <c:v>2.0009999999999999</c:v>
                </c:pt>
                <c:pt idx="27">
                  <c:v>4.0019999999999998</c:v>
                </c:pt>
                <c:pt idx="28">
                  <c:v>4.0019999999999998</c:v>
                </c:pt>
                <c:pt idx="29">
                  <c:v>2.9899999999999998</c:v>
                </c:pt>
              </c:numCache>
            </c:numRef>
          </c:val>
        </c:ser>
        <c:marker val="1"/>
        <c:axId val="96050176"/>
        <c:axId val="96060160"/>
      </c:lineChart>
      <c:catAx>
        <c:axId val="9605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60160"/>
        <c:crosses val="autoZero"/>
        <c:auto val="1"/>
        <c:lblAlgn val="ctr"/>
        <c:lblOffset val="100"/>
      </c:catAx>
      <c:valAx>
        <c:axId val="960601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5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7538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246</c:v>
                </c:pt>
                <c:pt idx="1">
                  <c:v>308</c:v>
                </c:pt>
                <c:pt idx="2">
                  <c:v>259.5</c:v>
                </c:pt>
                <c:pt idx="3">
                  <c:v>243</c:v>
                </c:pt>
                <c:pt idx="4">
                  <c:v>213.44444444444446</c:v>
                </c:pt>
                <c:pt idx="5">
                  <c:v>0</c:v>
                </c:pt>
                <c:pt idx="6">
                  <c:v>310</c:v>
                </c:pt>
                <c:pt idx="7">
                  <c:v>255.75</c:v>
                </c:pt>
                <c:pt idx="8">
                  <c:v>375.5</c:v>
                </c:pt>
                <c:pt idx="9">
                  <c:v>213</c:v>
                </c:pt>
                <c:pt idx="10">
                  <c:v>308</c:v>
                </c:pt>
                <c:pt idx="11">
                  <c:v>236</c:v>
                </c:pt>
                <c:pt idx="12">
                  <c:v>0</c:v>
                </c:pt>
                <c:pt idx="13">
                  <c:v>237</c:v>
                </c:pt>
                <c:pt idx="14">
                  <c:v>205.33333333333334</c:v>
                </c:pt>
                <c:pt idx="15">
                  <c:v>258.66666666666669</c:v>
                </c:pt>
                <c:pt idx="16">
                  <c:v>274</c:v>
                </c:pt>
                <c:pt idx="17">
                  <c:v>162.66666666666666</c:v>
                </c:pt>
                <c:pt idx="18">
                  <c:v>367.5</c:v>
                </c:pt>
                <c:pt idx="19">
                  <c:v>222.75</c:v>
                </c:pt>
                <c:pt idx="20">
                  <c:v>196.33333333333334</c:v>
                </c:pt>
                <c:pt idx="21">
                  <c:v>288</c:v>
                </c:pt>
                <c:pt idx="22">
                  <c:v>152</c:v>
                </c:pt>
                <c:pt idx="23">
                  <c:v>251</c:v>
                </c:pt>
                <c:pt idx="24">
                  <c:v>209.66666666666666</c:v>
                </c:pt>
                <c:pt idx="25">
                  <c:v>225.5</c:v>
                </c:pt>
                <c:pt idx="26">
                  <c:v>164.66666666666666</c:v>
                </c:pt>
                <c:pt idx="27">
                  <c:v>146</c:v>
                </c:pt>
                <c:pt idx="28">
                  <c:v>340.5</c:v>
                </c:pt>
                <c:pt idx="29">
                  <c:v>180.5</c:v>
                </c:pt>
              </c:numCache>
            </c:numRef>
          </c:val>
        </c:ser>
        <c:marker val="1"/>
        <c:axId val="95957376"/>
        <c:axId val="95958912"/>
      </c:lineChart>
      <c:catAx>
        <c:axId val="9595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58912"/>
        <c:crosses val="autoZero"/>
        <c:auto val="1"/>
        <c:lblAlgn val="ctr"/>
        <c:lblOffset val="100"/>
      </c:catAx>
      <c:valAx>
        <c:axId val="959589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5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645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709</c:v>
                </c:pt>
                <c:pt idx="4">
                  <c:v>2</c:v>
                </c:pt>
                <c:pt idx="5">
                  <c:v>21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</c:v>
                </c:pt>
                <c:pt idx="19">
                  <c:v>4</c:v>
                </c:pt>
                <c:pt idx="20">
                  <c:v>2</c:v>
                </c:pt>
                <c:pt idx="21">
                  <c:v>11</c:v>
                </c:pt>
                <c:pt idx="22">
                  <c:v>5</c:v>
                </c:pt>
                <c:pt idx="23">
                  <c:v>2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2</c:v>
                </c:pt>
                <c:pt idx="28">
                  <c:v>11</c:v>
                </c:pt>
                <c:pt idx="29">
                  <c:v>1</c:v>
                </c:pt>
              </c:numCache>
            </c:numRef>
          </c:val>
        </c:ser>
        <c:marker val="1"/>
        <c:axId val="96413568"/>
        <c:axId val="96415104"/>
      </c:lineChart>
      <c:catAx>
        <c:axId val="9641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15104"/>
        <c:crosses val="autoZero"/>
        <c:auto val="1"/>
        <c:lblAlgn val="ctr"/>
        <c:lblOffset val="100"/>
      </c:catAx>
      <c:valAx>
        <c:axId val="96415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1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447488"/>
        <c:axId val="96449280"/>
      </c:lineChart>
      <c:catAx>
        <c:axId val="9644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49280"/>
        <c:crosses val="autoZero"/>
        <c:auto val="1"/>
        <c:lblAlgn val="ctr"/>
        <c:lblOffset val="100"/>
      </c:catAx>
      <c:valAx>
        <c:axId val="96449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4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107</c:v>
                </c:pt>
                <c:pt idx="1">
                  <c:v>0</c:v>
                </c:pt>
                <c:pt idx="2">
                  <c:v>300</c:v>
                </c:pt>
                <c:pt idx="3">
                  <c:v>0</c:v>
                </c:pt>
                <c:pt idx="4">
                  <c:v>166</c:v>
                </c:pt>
                <c:pt idx="5">
                  <c:v>19</c:v>
                </c:pt>
                <c:pt idx="6">
                  <c:v>0</c:v>
                </c:pt>
                <c:pt idx="7">
                  <c:v>29</c:v>
                </c:pt>
                <c:pt idx="8">
                  <c:v>287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</c:v>
                </c:pt>
                <c:pt idx="13">
                  <c:v>0</c:v>
                </c:pt>
                <c:pt idx="14">
                  <c:v>19</c:v>
                </c:pt>
                <c:pt idx="15">
                  <c:v>50</c:v>
                </c:pt>
                <c:pt idx="16">
                  <c:v>254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354304"/>
        <c:axId val="96355840"/>
      </c:lineChart>
      <c:catAx>
        <c:axId val="9635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55840"/>
        <c:crosses val="autoZero"/>
        <c:auto val="1"/>
        <c:lblAlgn val="ctr"/>
        <c:lblOffset val="100"/>
      </c:catAx>
      <c:valAx>
        <c:axId val="96355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5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16.5</c:v>
                </c:pt>
                <c:pt idx="1">
                  <c:v>17</c:v>
                </c:pt>
                <c:pt idx="2">
                  <c:v>17</c:v>
                </c:pt>
                <c:pt idx="3">
                  <c:v>18.5</c:v>
                </c:pt>
                <c:pt idx="4">
                  <c:v>25.5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16.5</c:v>
                </c:pt>
                <c:pt idx="9">
                  <c:v>14.5</c:v>
                </c:pt>
                <c:pt idx="10">
                  <c:v>15.5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18</c:v>
                </c:pt>
                <c:pt idx="15">
                  <c:v>17.5</c:v>
                </c:pt>
                <c:pt idx="16">
                  <c:v>19.5</c:v>
                </c:pt>
                <c:pt idx="17">
                  <c:v>20.5</c:v>
                </c:pt>
                <c:pt idx="18">
                  <c:v>20.5</c:v>
                </c:pt>
                <c:pt idx="19">
                  <c:v>20.5</c:v>
                </c:pt>
                <c:pt idx="20">
                  <c:v>21</c:v>
                </c:pt>
                <c:pt idx="21">
                  <c:v>21.5</c:v>
                </c:pt>
                <c:pt idx="22">
                  <c:v>19</c:v>
                </c:pt>
                <c:pt idx="23">
                  <c:v>19.5</c:v>
                </c:pt>
                <c:pt idx="24">
                  <c:v>18</c:v>
                </c:pt>
                <c:pt idx="25">
                  <c:v>19</c:v>
                </c:pt>
                <c:pt idx="26">
                  <c:v>18</c:v>
                </c:pt>
                <c:pt idx="27">
                  <c:v>18.5</c:v>
                </c:pt>
                <c:pt idx="28">
                  <c:v>19</c:v>
                </c:pt>
                <c:pt idx="29">
                  <c:v>21</c:v>
                </c:pt>
              </c:numCache>
            </c:numRef>
          </c:val>
        </c:ser>
        <c:marker val="1"/>
        <c:axId val="96388224"/>
        <c:axId val="96389760"/>
      </c:lineChart>
      <c:catAx>
        <c:axId val="96388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89760"/>
        <c:crosses val="autoZero"/>
        <c:auto val="1"/>
        <c:lblAlgn val="ctr"/>
        <c:lblOffset val="100"/>
      </c:catAx>
      <c:valAx>
        <c:axId val="963897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88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8711"/>
          <c:w val="0.1272403315177151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4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</c:ser>
        <c:marker val="1"/>
        <c:axId val="96672000"/>
        <c:axId val="96673792"/>
      </c:lineChart>
      <c:catAx>
        <c:axId val="9667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73792"/>
        <c:crosses val="autoZero"/>
        <c:auto val="1"/>
        <c:lblAlgn val="ctr"/>
        <c:lblOffset val="100"/>
      </c:catAx>
      <c:valAx>
        <c:axId val="96673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7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197</c:v>
                </c:pt>
                <c:pt idx="1">
                  <c:v>267</c:v>
                </c:pt>
                <c:pt idx="2">
                  <c:v>307</c:v>
                </c:pt>
                <c:pt idx="3">
                  <c:v>351</c:v>
                </c:pt>
                <c:pt idx="4">
                  <c:v>271</c:v>
                </c:pt>
                <c:pt idx="5">
                  <c:v>252</c:v>
                </c:pt>
                <c:pt idx="6">
                  <c:v>444</c:v>
                </c:pt>
                <c:pt idx="7">
                  <c:v>164</c:v>
                </c:pt>
                <c:pt idx="8">
                  <c:v>305</c:v>
                </c:pt>
                <c:pt idx="9">
                  <c:v>615.70000000001164</c:v>
                </c:pt>
                <c:pt idx="10">
                  <c:v>426</c:v>
                </c:pt>
                <c:pt idx="11">
                  <c:v>194</c:v>
                </c:pt>
                <c:pt idx="12">
                  <c:v>308</c:v>
                </c:pt>
                <c:pt idx="13">
                  <c:v>411</c:v>
                </c:pt>
                <c:pt idx="14">
                  <c:v>235</c:v>
                </c:pt>
                <c:pt idx="15">
                  <c:v>537</c:v>
                </c:pt>
                <c:pt idx="16">
                  <c:v>340</c:v>
                </c:pt>
                <c:pt idx="17">
                  <c:v>247</c:v>
                </c:pt>
                <c:pt idx="18">
                  <c:v>295</c:v>
                </c:pt>
                <c:pt idx="19">
                  <c:v>323</c:v>
                </c:pt>
                <c:pt idx="20">
                  <c:v>366</c:v>
                </c:pt>
                <c:pt idx="21">
                  <c:v>225</c:v>
                </c:pt>
                <c:pt idx="22">
                  <c:v>345</c:v>
                </c:pt>
                <c:pt idx="23">
                  <c:v>456</c:v>
                </c:pt>
                <c:pt idx="24">
                  <c:v>319</c:v>
                </c:pt>
                <c:pt idx="25">
                  <c:v>337</c:v>
                </c:pt>
                <c:pt idx="26">
                  <c:v>277</c:v>
                </c:pt>
                <c:pt idx="27">
                  <c:v>322</c:v>
                </c:pt>
                <c:pt idx="28">
                  <c:v>230</c:v>
                </c:pt>
                <c:pt idx="29">
                  <c:v>302.80000000001746</c:v>
                </c:pt>
                <c:pt idx="30">
                  <c:v>281</c:v>
                </c:pt>
              </c:numCache>
            </c:numRef>
          </c:val>
        </c:ser>
        <c:marker val="1"/>
        <c:axId val="96738688"/>
        <c:axId val="96752768"/>
      </c:lineChart>
      <c:catAx>
        <c:axId val="9673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52768"/>
        <c:crosses val="autoZero"/>
        <c:auto val="1"/>
        <c:lblAlgn val="ctr"/>
        <c:lblOffset val="100"/>
      </c:catAx>
      <c:valAx>
        <c:axId val="96752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38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8711"/>
          <c:w val="0.1354168853893403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60</c:v>
                </c:pt>
                <c:pt idx="1">
                  <c:v>180</c:v>
                </c:pt>
                <c:pt idx="2">
                  <c:v>60</c:v>
                </c:pt>
                <c:pt idx="3">
                  <c:v>120</c:v>
                </c:pt>
                <c:pt idx="4">
                  <c:v>30</c:v>
                </c:pt>
                <c:pt idx="5">
                  <c:v>60</c:v>
                </c:pt>
                <c:pt idx="6">
                  <c:v>30</c:v>
                </c:pt>
                <c:pt idx="7">
                  <c:v>120</c:v>
                </c:pt>
                <c:pt idx="8">
                  <c:v>310</c:v>
                </c:pt>
                <c:pt idx="9">
                  <c:v>90</c:v>
                </c:pt>
                <c:pt idx="10">
                  <c:v>60</c:v>
                </c:pt>
                <c:pt idx="11">
                  <c:v>120</c:v>
                </c:pt>
                <c:pt idx="12">
                  <c:v>60</c:v>
                </c:pt>
                <c:pt idx="13">
                  <c:v>60</c:v>
                </c:pt>
                <c:pt idx="14">
                  <c:v>90</c:v>
                </c:pt>
                <c:pt idx="15">
                  <c:v>220</c:v>
                </c:pt>
                <c:pt idx="16">
                  <c:v>60</c:v>
                </c:pt>
                <c:pt idx="17">
                  <c:v>120</c:v>
                </c:pt>
                <c:pt idx="18">
                  <c:v>90</c:v>
                </c:pt>
                <c:pt idx="19">
                  <c:v>60</c:v>
                </c:pt>
                <c:pt idx="20">
                  <c:v>30</c:v>
                </c:pt>
                <c:pt idx="21">
                  <c:v>150</c:v>
                </c:pt>
                <c:pt idx="22">
                  <c:v>180</c:v>
                </c:pt>
                <c:pt idx="23">
                  <c:v>90</c:v>
                </c:pt>
                <c:pt idx="24">
                  <c:v>30</c:v>
                </c:pt>
                <c:pt idx="25">
                  <c:v>30</c:v>
                </c:pt>
                <c:pt idx="26">
                  <c:v>60</c:v>
                </c:pt>
                <c:pt idx="27">
                  <c:v>60</c:v>
                </c:pt>
                <c:pt idx="28">
                  <c:v>150</c:v>
                </c:pt>
                <c:pt idx="29">
                  <c:v>440</c:v>
                </c:pt>
              </c:numCache>
            </c:numRef>
          </c:val>
        </c:ser>
        <c:marker val="1"/>
        <c:axId val="96469760"/>
        <c:axId val="96471296"/>
      </c:lineChart>
      <c:catAx>
        <c:axId val="9646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71296"/>
        <c:crosses val="autoZero"/>
        <c:auto val="1"/>
        <c:lblAlgn val="ctr"/>
        <c:lblOffset val="100"/>
      </c:catAx>
      <c:valAx>
        <c:axId val="964712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6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871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8109</c:v>
                </c:pt>
                <c:pt idx="1">
                  <c:v>7662.2000000001863</c:v>
                </c:pt>
                <c:pt idx="2">
                  <c:v>7437.5999999996275</c:v>
                </c:pt>
                <c:pt idx="3">
                  <c:v>8665.2000000001863</c:v>
                </c:pt>
                <c:pt idx="4">
                  <c:v>7670.3999999999069</c:v>
                </c:pt>
                <c:pt idx="5">
                  <c:v>8538.8000000002794</c:v>
                </c:pt>
                <c:pt idx="6">
                  <c:v>10057.799999999814</c:v>
                </c:pt>
                <c:pt idx="7">
                  <c:v>7909.3999999999069</c:v>
                </c:pt>
                <c:pt idx="8">
                  <c:v>10815.600000000093</c:v>
                </c:pt>
                <c:pt idx="9">
                  <c:v>9103</c:v>
                </c:pt>
                <c:pt idx="10">
                  <c:v>8022.6000000000931</c:v>
                </c:pt>
                <c:pt idx="11">
                  <c:v>8603.3999999999069</c:v>
                </c:pt>
                <c:pt idx="12">
                  <c:v>8743</c:v>
                </c:pt>
                <c:pt idx="13">
                  <c:v>8764</c:v>
                </c:pt>
                <c:pt idx="14">
                  <c:v>8688.3999999999069</c:v>
                </c:pt>
                <c:pt idx="15">
                  <c:v>9282</c:v>
                </c:pt>
                <c:pt idx="16">
                  <c:v>10771.600000000093</c:v>
                </c:pt>
                <c:pt idx="17">
                  <c:v>8246</c:v>
                </c:pt>
                <c:pt idx="18">
                  <c:v>9623</c:v>
                </c:pt>
                <c:pt idx="19">
                  <c:v>9050</c:v>
                </c:pt>
                <c:pt idx="20">
                  <c:v>9698</c:v>
                </c:pt>
                <c:pt idx="21">
                  <c:v>8454</c:v>
                </c:pt>
                <c:pt idx="22">
                  <c:v>9840</c:v>
                </c:pt>
                <c:pt idx="23">
                  <c:v>8387</c:v>
                </c:pt>
                <c:pt idx="24">
                  <c:v>10222.399999999907</c:v>
                </c:pt>
                <c:pt idx="25">
                  <c:v>9169.6000000000931</c:v>
                </c:pt>
                <c:pt idx="26">
                  <c:v>8400</c:v>
                </c:pt>
                <c:pt idx="27">
                  <c:v>9650</c:v>
                </c:pt>
                <c:pt idx="28">
                  <c:v>8764</c:v>
                </c:pt>
                <c:pt idx="29">
                  <c:v>9068.3999999999069</c:v>
                </c:pt>
                <c:pt idx="30">
                  <c:v>10173.200000000186</c:v>
                </c:pt>
              </c:numCache>
            </c:numRef>
          </c:val>
        </c:ser>
        <c:marker val="1"/>
        <c:axId val="96491776"/>
        <c:axId val="96509952"/>
      </c:lineChart>
      <c:catAx>
        <c:axId val="9649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09952"/>
        <c:crosses val="autoZero"/>
        <c:auto val="1"/>
        <c:lblAlgn val="ctr"/>
        <c:lblOffset val="100"/>
      </c:catAx>
      <c:valAx>
        <c:axId val="96509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9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3501"/>
          <c:w val="0.12291688538932598"/>
          <c:h val="4.498269896194274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3736</c:v>
                </c:pt>
                <c:pt idx="1">
                  <c:v>3231</c:v>
                </c:pt>
                <c:pt idx="2">
                  <c:v>3076</c:v>
                </c:pt>
                <c:pt idx="3">
                  <c:v>3713</c:v>
                </c:pt>
                <c:pt idx="4">
                  <c:v>3329</c:v>
                </c:pt>
                <c:pt idx="5">
                  <c:v>3583</c:v>
                </c:pt>
                <c:pt idx="6">
                  <c:v>4314</c:v>
                </c:pt>
                <c:pt idx="7">
                  <c:v>3457</c:v>
                </c:pt>
                <c:pt idx="8">
                  <c:v>4738</c:v>
                </c:pt>
                <c:pt idx="9">
                  <c:v>3677</c:v>
                </c:pt>
                <c:pt idx="10">
                  <c:v>3389</c:v>
                </c:pt>
                <c:pt idx="11">
                  <c:v>3491</c:v>
                </c:pt>
                <c:pt idx="12">
                  <c:v>4297</c:v>
                </c:pt>
                <c:pt idx="13">
                  <c:v>3874</c:v>
                </c:pt>
                <c:pt idx="14">
                  <c:v>3700</c:v>
                </c:pt>
                <c:pt idx="15">
                  <c:v>3922</c:v>
                </c:pt>
                <c:pt idx="16">
                  <c:v>5304</c:v>
                </c:pt>
                <c:pt idx="17">
                  <c:v>3355</c:v>
                </c:pt>
                <c:pt idx="18">
                  <c:v>4155</c:v>
                </c:pt>
                <c:pt idx="19">
                  <c:v>4524</c:v>
                </c:pt>
                <c:pt idx="20">
                  <c:v>5033</c:v>
                </c:pt>
                <c:pt idx="21">
                  <c:v>3563</c:v>
                </c:pt>
                <c:pt idx="22">
                  <c:v>4087</c:v>
                </c:pt>
                <c:pt idx="23">
                  <c:v>3372</c:v>
                </c:pt>
                <c:pt idx="24">
                  <c:v>4785</c:v>
                </c:pt>
                <c:pt idx="25">
                  <c:v>3937</c:v>
                </c:pt>
                <c:pt idx="26">
                  <c:v>3441</c:v>
                </c:pt>
                <c:pt idx="27">
                  <c:v>3962</c:v>
                </c:pt>
                <c:pt idx="28">
                  <c:v>4063</c:v>
                </c:pt>
                <c:pt idx="29">
                  <c:v>4071</c:v>
                </c:pt>
                <c:pt idx="30">
                  <c:v>4393</c:v>
                </c:pt>
              </c:numCache>
            </c:numRef>
          </c:val>
        </c:ser>
        <c:marker val="1"/>
        <c:axId val="96161152"/>
        <c:axId val="96162944"/>
      </c:lineChart>
      <c:catAx>
        <c:axId val="9616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62944"/>
        <c:crosses val="autoZero"/>
        <c:auto val="1"/>
        <c:lblAlgn val="ctr"/>
        <c:lblOffset val="100"/>
      </c:catAx>
      <c:valAx>
        <c:axId val="96162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6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8711"/>
          <c:w val="0.1354168853893403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3.5</c:v>
                </c:pt>
                <c:pt idx="4">
                  <c:v>2.5</c:v>
                </c:pt>
                <c:pt idx="5">
                  <c:v>3</c:v>
                </c:pt>
                <c:pt idx="6">
                  <c:v>3.4799999999995634</c:v>
                </c:pt>
                <c:pt idx="7">
                  <c:v>3.5200000000004366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4.8999999999996362</c:v>
                </c:pt>
                <c:pt idx="14">
                  <c:v>2.6000000000003638</c:v>
                </c:pt>
                <c:pt idx="15">
                  <c:v>1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3.25</c:v>
                </c:pt>
                <c:pt idx="21">
                  <c:v>2.75</c:v>
                </c:pt>
                <c:pt idx="22">
                  <c:v>3</c:v>
                </c:pt>
                <c:pt idx="23">
                  <c:v>2.2600000000002183</c:v>
                </c:pt>
                <c:pt idx="24">
                  <c:v>3.0499999999992724</c:v>
                </c:pt>
                <c:pt idx="25">
                  <c:v>2.6900000000005093</c:v>
                </c:pt>
                <c:pt idx="26">
                  <c:v>3.5</c:v>
                </c:pt>
                <c:pt idx="27">
                  <c:v>2.4200000000000728</c:v>
                </c:pt>
                <c:pt idx="28">
                  <c:v>3.2199999999993452</c:v>
                </c:pt>
                <c:pt idx="29">
                  <c:v>2.8700000000008004</c:v>
                </c:pt>
              </c:numCache>
            </c:numRef>
          </c:val>
        </c:ser>
        <c:marker val="1"/>
        <c:axId val="96797440"/>
        <c:axId val="96798976"/>
      </c:lineChart>
      <c:catAx>
        <c:axId val="96797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98976"/>
        <c:crosses val="autoZero"/>
        <c:auto val="1"/>
        <c:lblAlgn val="ctr"/>
        <c:lblOffset val="100"/>
      </c:catAx>
      <c:valAx>
        <c:axId val="967989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97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8276"/>
          <c:y val="0.54325368498487869"/>
          <c:w val="0.11458355205599259"/>
          <c:h val="4.498269896194229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-1533.3870967741823</c:v>
                </c:pt>
                <c:pt idx="1">
                  <c:v>-1226.7096774193342</c:v>
                </c:pt>
                <c:pt idx="2">
                  <c:v>-683.35483870968164</c:v>
                </c:pt>
                <c:pt idx="3">
                  <c:v>-613.3548387096962</c:v>
                </c:pt>
                <c:pt idx="4">
                  <c:v>-1156.7096774193487</c:v>
                </c:pt>
                <c:pt idx="5">
                  <c:v>-613.35483870966709</c:v>
                </c:pt>
                <c:pt idx="6">
                  <c:v>-306.6774193548481</c:v>
                </c:pt>
                <c:pt idx="7">
                  <c:v>-920.03225806450064</c:v>
                </c:pt>
                <c:pt idx="8">
                  <c:v>-1226.7096774193778</c:v>
                </c:pt>
                <c:pt idx="9">
                  <c:v>-1156.7096774193633</c:v>
                </c:pt>
                <c:pt idx="10">
                  <c:v>-683.35483870966709</c:v>
                </c:pt>
                <c:pt idx="11">
                  <c:v>-850.03225806451519</c:v>
                </c:pt>
                <c:pt idx="12">
                  <c:v>-1226.7096774193415</c:v>
                </c:pt>
                <c:pt idx="13">
                  <c:v>-655.35483870967437</c:v>
                </c:pt>
                <c:pt idx="14">
                  <c:v>-517.64516129031836</c:v>
                </c:pt>
                <c:pt idx="15">
                  <c:v>-613.35483870968164</c:v>
                </c:pt>
                <c:pt idx="16">
                  <c:v>-920.03225806452974</c:v>
                </c:pt>
                <c:pt idx="17">
                  <c:v>-920.03225806451519</c:v>
                </c:pt>
                <c:pt idx="18">
                  <c:v>-613.35483870966709</c:v>
                </c:pt>
                <c:pt idx="19">
                  <c:v>-543.35483870968164</c:v>
                </c:pt>
                <c:pt idx="20">
                  <c:v>-683.35483870966709</c:v>
                </c:pt>
                <c:pt idx="21">
                  <c:v>-920.03225806451519</c:v>
                </c:pt>
                <c:pt idx="22">
                  <c:v>-1533.3870967742259</c:v>
                </c:pt>
                <c:pt idx="23">
                  <c:v>-613.35483870966709</c:v>
                </c:pt>
                <c:pt idx="24">
                  <c:v>-1025.0322580645152</c:v>
                </c:pt>
                <c:pt idx="25">
                  <c:v>-815.03225806448609</c:v>
                </c:pt>
                <c:pt idx="26">
                  <c:v>-1226.7096774193633</c:v>
                </c:pt>
                <c:pt idx="27">
                  <c:v>-613.3548387096962</c:v>
                </c:pt>
                <c:pt idx="28">
                  <c:v>168.77419354839367</c:v>
                </c:pt>
                <c:pt idx="29">
                  <c:v>-801.69354838709114</c:v>
                </c:pt>
              </c:numCache>
            </c:numRef>
          </c:val>
        </c:ser>
        <c:marker val="1"/>
        <c:axId val="96835456"/>
        <c:axId val="96836992"/>
      </c:lineChart>
      <c:catAx>
        <c:axId val="9683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36992"/>
        <c:crosses val="autoZero"/>
        <c:auto val="1"/>
        <c:lblAlgn val="ctr"/>
        <c:lblOffset val="100"/>
      </c:catAx>
      <c:valAx>
        <c:axId val="96836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3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848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709</c:v>
                </c:pt>
                <c:pt idx="4">
                  <c:v>2</c:v>
                </c:pt>
                <c:pt idx="5">
                  <c:v>21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</c:v>
                </c:pt>
                <c:pt idx="19">
                  <c:v>4</c:v>
                </c:pt>
                <c:pt idx="20">
                  <c:v>2</c:v>
                </c:pt>
                <c:pt idx="21">
                  <c:v>11</c:v>
                </c:pt>
                <c:pt idx="22">
                  <c:v>5</c:v>
                </c:pt>
                <c:pt idx="23">
                  <c:v>2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2</c:v>
                </c:pt>
                <c:pt idx="28">
                  <c:v>11</c:v>
                </c:pt>
                <c:pt idx="29">
                  <c:v>1</c:v>
                </c:pt>
              </c:numCache>
            </c:numRef>
          </c:val>
        </c:ser>
        <c:marker val="1"/>
        <c:axId val="96853376"/>
        <c:axId val="96945280"/>
      </c:lineChart>
      <c:catAx>
        <c:axId val="96853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45280"/>
        <c:crosses val="autoZero"/>
        <c:auto val="1"/>
        <c:lblAlgn val="ctr"/>
        <c:lblOffset val="100"/>
      </c:catAx>
      <c:valAx>
        <c:axId val="96945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5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2502"/>
          <c:y val="0.62975887529633501"/>
          <c:w val="0.13541688538934074"/>
          <c:h val="4.498269896194274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1.7399999999999999E-2</c:v>
                </c:pt>
                <c:pt idx="1">
                  <c:v>8.6999999999999994E-3</c:v>
                </c:pt>
                <c:pt idx="2">
                  <c:v>8.6999999999999994E-3</c:v>
                </c:pt>
                <c:pt idx="3">
                  <c:v>1.2999999999999999E-2</c:v>
                </c:pt>
                <c:pt idx="4">
                  <c:v>3.04E-2</c:v>
                </c:pt>
                <c:pt idx="5">
                  <c:v>8.6999999999999994E-3</c:v>
                </c:pt>
                <c:pt idx="6">
                  <c:v>8.6999999999999994E-3</c:v>
                </c:pt>
                <c:pt idx="7">
                  <c:v>4.7800000000000002E-2</c:v>
                </c:pt>
                <c:pt idx="8">
                  <c:v>2.1700000000000001E-2</c:v>
                </c:pt>
                <c:pt idx="9">
                  <c:v>8.6999999999999994E-3</c:v>
                </c:pt>
                <c:pt idx="10">
                  <c:v>1.7399999999999999E-2</c:v>
                </c:pt>
                <c:pt idx="11">
                  <c:v>1.2999999999999999E-2</c:v>
                </c:pt>
                <c:pt idx="12">
                  <c:v>3.4799999999999998E-2</c:v>
                </c:pt>
                <c:pt idx="13">
                  <c:v>2.1700000000000001E-2</c:v>
                </c:pt>
                <c:pt idx="14">
                  <c:v>1.2999999999999999E-2</c:v>
                </c:pt>
                <c:pt idx="15">
                  <c:v>0.01</c:v>
                </c:pt>
                <c:pt idx="16">
                  <c:v>8.6999999999999994E-3</c:v>
                </c:pt>
                <c:pt idx="17">
                  <c:v>1.2999999999999999E-2</c:v>
                </c:pt>
                <c:pt idx="18">
                  <c:v>2.1700000000000001E-2</c:v>
                </c:pt>
                <c:pt idx="19">
                  <c:v>8.6999999999999994E-3</c:v>
                </c:pt>
                <c:pt idx="20">
                  <c:v>8.6999999999999994E-3</c:v>
                </c:pt>
                <c:pt idx="21">
                  <c:v>8.6999999999999994E-3</c:v>
                </c:pt>
                <c:pt idx="22">
                  <c:v>8.6999999999999994E-3</c:v>
                </c:pt>
                <c:pt idx="23">
                  <c:v>8.6999999999999994E-3</c:v>
                </c:pt>
                <c:pt idx="24">
                  <c:v>1.7399999999999999E-2</c:v>
                </c:pt>
                <c:pt idx="25">
                  <c:v>3.4799999999999998E-2</c:v>
                </c:pt>
                <c:pt idx="26">
                  <c:v>8.6999999999999994E-3</c:v>
                </c:pt>
                <c:pt idx="27">
                  <c:v>1.7399999999999999E-2</c:v>
                </c:pt>
                <c:pt idx="28">
                  <c:v>1.7399999999999999E-2</c:v>
                </c:pt>
                <c:pt idx="29">
                  <c:v>1.2999999999999999E-2</c:v>
                </c:pt>
              </c:numCache>
            </c:numRef>
          </c:val>
        </c:ser>
        <c:marker val="1"/>
        <c:axId val="96969472"/>
        <c:axId val="96971008"/>
      </c:lineChart>
      <c:catAx>
        <c:axId val="9696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71008"/>
        <c:crosses val="autoZero"/>
        <c:auto val="1"/>
        <c:lblAlgn val="ctr"/>
        <c:lblOffset val="100"/>
      </c:catAx>
      <c:valAx>
        <c:axId val="969710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6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3501"/>
          <c:w val="9.730870597697025E-2"/>
          <c:h val="4.498269896194274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32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4.0019999999999998</c:v>
                </c:pt>
                <c:pt idx="1">
                  <c:v>2.0009999999999999</c:v>
                </c:pt>
                <c:pt idx="2">
                  <c:v>2.0009999999999999</c:v>
                </c:pt>
                <c:pt idx="3">
                  <c:v>2.9899999999999998</c:v>
                </c:pt>
                <c:pt idx="4">
                  <c:v>6.992</c:v>
                </c:pt>
                <c:pt idx="5">
                  <c:v>2.0009999999999999</c:v>
                </c:pt>
                <c:pt idx="6">
                  <c:v>2.0009999999999999</c:v>
                </c:pt>
                <c:pt idx="7">
                  <c:v>10.994</c:v>
                </c:pt>
                <c:pt idx="8">
                  <c:v>4.9910000000000005</c:v>
                </c:pt>
                <c:pt idx="9">
                  <c:v>2.0009999999999999</c:v>
                </c:pt>
                <c:pt idx="10">
                  <c:v>4.0019999999999998</c:v>
                </c:pt>
                <c:pt idx="11">
                  <c:v>2.9899999999999998</c:v>
                </c:pt>
                <c:pt idx="12">
                  <c:v>8.0039999999999996</c:v>
                </c:pt>
                <c:pt idx="13">
                  <c:v>4.9910000000000005</c:v>
                </c:pt>
                <c:pt idx="14">
                  <c:v>2.9899999999999998</c:v>
                </c:pt>
                <c:pt idx="15">
                  <c:v>2.3000000000000003</c:v>
                </c:pt>
                <c:pt idx="16">
                  <c:v>2.0009999999999999</c:v>
                </c:pt>
                <c:pt idx="17">
                  <c:v>2.9899999999999998</c:v>
                </c:pt>
                <c:pt idx="18">
                  <c:v>4.9910000000000005</c:v>
                </c:pt>
                <c:pt idx="19">
                  <c:v>2.0009999999999999</c:v>
                </c:pt>
                <c:pt idx="20">
                  <c:v>2.0009999999999999</c:v>
                </c:pt>
                <c:pt idx="21">
                  <c:v>2.0009999999999999</c:v>
                </c:pt>
                <c:pt idx="22">
                  <c:v>2.0009999999999999</c:v>
                </c:pt>
                <c:pt idx="23">
                  <c:v>2.0009999999999999</c:v>
                </c:pt>
                <c:pt idx="24">
                  <c:v>4.0019999999999998</c:v>
                </c:pt>
                <c:pt idx="25">
                  <c:v>8.0039999999999996</c:v>
                </c:pt>
                <c:pt idx="26">
                  <c:v>2.0009999999999999</c:v>
                </c:pt>
                <c:pt idx="27">
                  <c:v>4.0019999999999998</c:v>
                </c:pt>
                <c:pt idx="28">
                  <c:v>4.0019999999999998</c:v>
                </c:pt>
                <c:pt idx="29">
                  <c:v>2.9899999999999998</c:v>
                </c:pt>
              </c:numCache>
            </c:numRef>
          </c:val>
        </c:ser>
        <c:marker val="1"/>
        <c:axId val="96888704"/>
        <c:axId val="96890240"/>
      </c:lineChart>
      <c:catAx>
        <c:axId val="9688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90240"/>
        <c:crosses val="autoZero"/>
        <c:auto val="1"/>
        <c:lblAlgn val="ctr"/>
        <c:lblOffset val="100"/>
      </c:catAx>
      <c:valAx>
        <c:axId val="968902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8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274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906240"/>
        <c:axId val="96912128"/>
      </c:lineChart>
      <c:catAx>
        <c:axId val="9690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12128"/>
        <c:crosses val="autoZero"/>
        <c:auto val="1"/>
        <c:lblAlgn val="ctr"/>
        <c:lblOffset val="100"/>
      </c:catAx>
      <c:valAx>
        <c:axId val="96912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0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3246"/>
          <c:y val="0.62975887529633501"/>
          <c:w val="0.13250539334757044"/>
          <c:h val="4.498269896194274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107</c:v>
                </c:pt>
                <c:pt idx="1">
                  <c:v>0</c:v>
                </c:pt>
                <c:pt idx="2">
                  <c:v>300</c:v>
                </c:pt>
                <c:pt idx="3">
                  <c:v>0</c:v>
                </c:pt>
                <c:pt idx="4">
                  <c:v>166</c:v>
                </c:pt>
                <c:pt idx="5">
                  <c:v>19</c:v>
                </c:pt>
                <c:pt idx="6">
                  <c:v>0</c:v>
                </c:pt>
                <c:pt idx="7">
                  <c:v>29</c:v>
                </c:pt>
                <c:pt idx="8">
                  <c:v>287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</c:v>
                </c:pt>
                <c:pt idx="13">
                  <c:v>0</c:v>
                </c:pt>
                <c:pt idx="14">
                  <c:v>19</c:v>
                </c:pt>
                <c:pt idx="15">
                  <c:v>50</c:v>
                </c:pt>
                <c:pt idx="16">
                  <c:v>254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005952"/>
        <c:axId val="97007488"/>
      </c:lineChart>
      <c:catAx>
        <c:axId val="9700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07488"/>
        <c:crosses val="autoZero"/>
        <c:auto val="1"/>
        <c:lblAlgn val="ctr"/>
        <c:lblOffset val="100"/>
      </c:catAx>
      <c:valAx>
        <c:axId val="97007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0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871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16.5</c:v>
                </c:pt>
                <c:pt idx="1">
                  <c:v>17</c:v>
                </c:pt>
                <c:pt idx="2">
                  <c:v>17</c:v>
                </c:pt>
                <c:pt idx="3">
                  <c:v>18.5</c:v>
                </c:pt>
                <c:pt idx="4">
                  <c:v>25.5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16.5</c:v>
                </c:pt>
                <c:pt idx="9">
                  <c:v>14.5</c:v>
                </c:pt>
                <c:pt idx="10">
                  <c:v>15.5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18</c:v>
                </c:pt>
                <c:pt idx="15">
                  <c:v>17.5</c:v>
                </c:pt>
                <c:pt idx="16">
                  <c:v>19.5</c:v>
                </c:pt>
                <c:pt idx="17">
                  <c:v>20.5</c:v>
                </c:pt>
                <c:pt idx="18">
                  <c:v>20.5</c:v>
                </c:pt>
                <c:pt idx="19">
                  <c:v>20.5</c:v>
                </c:pt>
                <c:pt idx="20">
                  <c:v>21</c:v>
                </c:pt>
                <c:pt idx="21">
                  <c:v>21.5</c:v>
                </c:pt>
                <c:pt idx="22">
                  <c:v>19</c:v>
                </c:pt>
                <c:pt idx="23">
                  <c:v>19.5</c:v>
                </c:pt>
                <c:pt idx="24">
                  <c:v>18</c:v>
                </c:pt>
                <c:pt idx="25">
                  <c:v>19</c:v>
                </c:pt>
                <c:pt idx="26">
                  <c:v>18</c:v>
                </c:pt>
                <c:pt idx="27">
                  <c:v>18.5</c:v>
                </c:pt>
                <c:pt idx="28">
                  <c:v>19</c:v>
                </c:pt>
                <c:pt idx="29">
                  <c:v>21</c:v>
                </c:pt>
              </c:numCache>
            </c:numRef>
          </c:val>
        </c:ser>
        <c:marker val="1"/>
        <c:axId val="97039872"/>
        <c:axId val="97041408"/>
      </c:lineChart>
      <c:catAx>
        <c:axId val="97039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41408"/>
        <c:crosses val="autoZero"/>
        <c:auto val="1"/>
        <c:lblAlgn val="ctr"/>
        <c:lblOffset val="100"/>
      </c:catAx>
      <c:valAx>
        <c:axId val="97041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3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7538"/>
          <c:w val="0.1234311819809218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7086848"/>
        <c:axId val="97092736"/>
      </c:lineChart>
      <c:catAx>
        <c:axId val="9708684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92736"/>
        <c:crosses val="autoZero"/>
        <c:auto val="1"/>
        <c:lblAlgn val="ctr"/>
        <c:lblOffset val="100"/>
      </c:catAx>
      <c:valAx>
        <c:axId val="970927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8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2121"/>
          <c:y val="0.45486256926220459"/>
          <c:w val="0.1569039853282063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246</c:v>
                </c:pt>
                <c:pt idx="1">
                  <c:v>308</c:v>
                </c:pt>
                <c:pt idx="2">
                  <c:v>259.5</c:v>
                </c:pt>
                <c:pt idx="3">
                  <c:v>243</c:v>
                </c:pt>
                <c:pt idx="4">
                  <c:v>213.44444444444446</c:v>
                </c:pt>
                <c:pt idx="5">
                  <c:v>0</c:v>
                </c:pt>
                <c:pt idx="6">
                  <c:v>310</c:v>
                </c:pt>
                <c:pt idx="7">
                  <c:v>255.75</c:v>
                </c:pt>
                <c:pt idx="8">
                  <c:v>375.5</c:v>
                </c:pt>
                <c:pt idx="9">
                  <c:v>213</c:v>
                </c:pt>
                <c:pt idx="10">
                  <c:v>308</c:v>
                </c:pt>
                <c:pt idx="11">
                  <c:v>236</c:v>
                </c:pt>
                <c:pt idx="12">
                  <c:v>0</c:v>
                </c:pt>
                <c:pt idx="13">
                  <c:v>237</c:v>
                </c:pt>
                <c:pt idx="14">
                  <c:v>205.33333333333334</c:v>
                </c:pt>
                <c:pt idx="15">
                  <c:v>258.66666666666669</c:v>
                </c:pt>
                <c:pt idx="16">
                  <c:v>274</c:v>
                </c:pt>
                <c:pt idx="17">
                  <c:v>162.66666666666666</c:v>
                </c:pt>
                <c:pt idx="18">
                  <c:v>367.5</c:v>
                </c:pt>
                <c:pt idx="19">
                  <c:v>222.75</c:v>
                </c:pt>
                <c:pt idx="20">
                  <c:v>196.33333333333334</c:v>
                </c:pt>
                <c:pt idx="21">
                  <c:v>288</c:v>
                </c:pt>
                <c:pt idx="22">
                  <c:v>152</c:v>
                </c:pt>
                <c:pt idx="23">
                  <c:v>251</c:v>
                </c:pt>
                <c:pt idx="24">
                  <c:v>209.66666666666666</c:v>
                </c:pt>
                <c:pt idx="25">
                  <c:v>225.5</c:v>
                </c:pt>
                <c:pt idx="26">
                  <c:v>164.66666666666666</c:v>
                </c:pt>
                <c:pt idx="27">
                  <c:v>146</c:v>
                </c:pt>
                <c:pt idx="28">
                  <c:v>340.5</c:v>
                </c:pt>
                <c:pt idx="29">
                  <c:v>180.5</c:v>
                </c:pt>
              </c:numCache>
            </c:numRef>
          </c:val>
        </c:ser>
        <c:marker val="1"/>
        <c:axId val="97194368"/>
        <c:axId val="97195904"/>
      </c:lineChart>
      <c:catAx>
        <c:axId val="9719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95904"/>
        <c:crosses val="autoZero"/>
        <c:auto val="1"/>
        <c:lblAlgn val="ctr"/>
        <c:lblOffset val="100"/>
      </c:catAx>
      <c:valAx>
        <c:axId val="971959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9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3501"/>
          <c:w val="0.14853578449138727"/>
          <c:h val="4.498269896194294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16.5</c:v>
                </c:pt>
                <c:pt idx="1">
                  <c:v>17</c:v>
                </c:pt>
                <c:pt idx="2">
                  <c:v>17</c:v>
                </c:pt>
                <c:pt idx="3">
                  <c:v>18.5</c:v>
                </c:pt>
                <c:pt idx="4">
                  <c:v>25.5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16.5</c:v>
                </c:pt>
                <c:pt idx="9">
                  <c:v>14.5</c:v>
                </c:pt>
                <c:pt idx="10">
                  <c:v>15.5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18</c:v>
                </c:pt>
                <c:pt idx="15">
                  <c:v>17.5</c:v>
                </c:pt>
                <c:pt idx="16">
                  <c:v>19.5</c:v>
                </c:pt>
                <c:pt idx="17">
                  <c:v>20.5</c:v>
                </c:pt>
                <c:pt idx="18">
                  <c:v>20.5</c:v>
                </c:pt>
                <c:pt idx="19">
                  <c:v>20.5</c:v>
                </c:pt>
                <c:pt idx="20">
                  <c:v>21</c:v>
                </c:pt>
                <c:pt idx="21">
                  <c:v>21.5</c:v>
                </c:pt>
                <c:pt idx="22">
                  <c:v>19</c:v>
                </c:pt>
                <c:pt idx="23">
                  <c:v>19.5</c:v>
                </c:pt>
                <c:pt idx="24">
                  <c:v>18</c:v>
                </c:pt>
                <c:pt idx="25">
                  <c:v>19</c:v>
                </c:pt>
                <c:pt idx="26">
                  <c:v>18</c:v>
                </c:pt>
                <c:pt idx="27">
                  <c:v>18.5</c:v>
                </c:pt>
                <c:pt idx="28">
                  <c:v>19</c:v>
                </c:pt>
                <c:pt idx="29">
                  <c:v>21</c:v>
                </c:pt>
              </c:numCache>
            </c:numRef>
          </c:val>
        </c:ser>
        <c:marker val="1"/>
        <c:axId val="95393664"/>
        <c:axId val="95395200"/>
      </c:lineChart>
      <c:catAx>
        <c:axId val="9539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95200"/>
        <c:crosses val="autoZero"/>
        <c:auto val="1"/>
        <c:lblAlgn val="ctr"/>
        <c:lblOffset val="100"/>
      </c:catAx>
      <c:valAx>
        <c:axId val="95395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9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8291"/>
          <c:y val="0.62975887529633501"/>
          <c:w val="0.12164948453608219"/>
          <c:h val="4.498269896194294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067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3.5</c:v>
                </c:pt>
                <c:pt idx="4">
                  <c:v>2.5</c:v>
                </c:pt>
                <c:pt idx="5">
                  <c:v>3</c:v>
                </c:pt>
                <c:pt idx="6">
                  <c:v>3.4799999999995634</c:v>
                </c:pt>
                <c:pt idx="7">
                  <c:v>3.5200000000004366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4.8999999999996362</c:v>
                </c:pt>
                <c:pt idx="14">
                  <c:v>2.6000000000003638</c:v>
                </c:pt>
                <c:pt idx="15">
                  <c:v>1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3.25</c:v>
                </c:pt>
                <c:pt idx="21">
                  <c:v>2.75</c:v>
                </c:pt>
                <c:pt idx="22">
                  <c:v>3</c:v>
                </c:pt>
                <c:pt idx="23">
                  <c:v>2.2600000000002183</c:v>
                </c:pt>
                <c:pt idx="24">
                  <c:v>3.0499999999992724</c:v>
                </c:pt>
                <c:pt idx="25">
                  <c:v>2.6900000000005093</c:v>
                </c:pt>
                <c:pt idx="26">
                  <c:v>3.5</c:v>
                </c:pt>
                <c:pt idx="27">
                  <c:v>2.4200000000000728</c:v>
                </c:pt>
                <c:pt idx="28">
                  <c:v>3.2199999999993452</c:v>
                </c:pt>
                <c:pt idx="29">
                  <c:v>2.8700000000008004</c:v>
                </c:pt>
              </c:numCache>
            </c:numRef>
          </c:val>
        </c:ser>
        <c:marker val="1"/>
        <c:axId val="97808384"/>
        <c:axId val="97809920"/>
      </c:lineChart>
      <c:catAx>
        <c:axId val="97808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09920"/>
        <c:crosses val="autoZero"/>
        <c:auto val="1"/>
        <c:lblAlgn val="ctr"/>
        <c:lblOffset val="100"/>
      </c:catAx>
      <c:valAx>
        <c:axId val="978099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08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3736</c:v>
                </c:pt>
                <c:pt idx="1">
                  <c:v>3231</c:v>
                </c:pt>
                <c:pt idx="2">
                  <c:v>3076</c:v>
                </c:pt>
                <c:pt idx="3">
                  <c:v>3713</c:v>
                </c:pt>
                <c:pt idx="4">
                  <c:v>3329</c:v>
                </c:pt>
                <c:pt idx="5">
                  <c:v>3583</c:v>
                </c:pt>
                <c:pt idx="6">
                  <c:v>4314</c:v>
                </c:pt>
                <c:pt idx="7">
                  <c:v>3457</c:v>
                </c:pt>
                <c:pt idx="8">
                  <c:v>4738</c:v>
                </c:pt>
                <c:pt idx="9">
                  <c:v>3677</c:v>
                </c:pt>
                <c:pt idx="10">
                  <c:v>3389</c:v>
                </c:pt>
                <c:pt idx="11">
                  <c:v>3491</c:v>
                </c:pt>
                <c:pt idx="12">
                  <c:v>4297</c:v>
                </c:pt>
                <c:pt idx="13">
                  <c:v>3874</c:v>
                </c:pt>
                <c:pt idx="14">
                  <c:v>3700</c:v>
                </c:pt>
                <c:pt idx="15">
                  <c:v>3922</c:v>
                </c:pt>
                <c:pt idx="16">
                  <c:v>5304</c:v>
                </c:pt>
                <c:pt idx="17">
                  <c:v>3355</c:v>
                </c:pt>
                <c:pt idx="18">
                  <c:v>4155</c:v>
                </c:pt>
                <c:pt idx="19">
                  <c:v>4524</c:v>
                </c:pt>
                <c:pt idx="20">
                  <c:v>5033</c:v>
                </c:pt>
                <c:pt idx="21">
                  <c:v>3563</c:v>
                </c:pt>
                <c:pt idx="22">
                  <c:v>4087</c:v>
                </c:pt>
                <c:pt idx="23">
                  <c:v>3372</c:v>
                </c:pt>
                <c:pt idx="24">
                  <c:v>4785</c:v>
                </c:pt>
                <c:pt idx="25">
                  <c:v>3937</c:v>
                </c:pt>
                <c:pt idx="26">
                  <c:v>3441</c:v>
                </c:pt>
                <c:pt idx="27">
                  <c:v>3962</c:v>
                </c:pt>
                <c:pt idx="28">
                  <c:v>4063</c:v>
                </c:pt>
                <c:pt idx="29">
                  <c:v>4071</c:v>
                </c:pt>
                <c:pt idx="30">
                  <c:v>4393</c:v>
                </c:pt>
              </c:numCache>
            </c:numRef>
          </c:val>
        </c:ser>
        <c:marker val="1"/>
        <c:axId val="97907840"/>
        <c:axId val="97909376"/>
      </c:lineChart>
      <c:catAx>
        <c:axId val="9790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09376"/>
        <c:crosses val="autoZero"/>
        <c:auto val="1"/>
        <c:lblAlgn val="ctr"/>
        <c:lblOffset val="100"/>
      </c:catAx>
      <c:valAx>
        <c:axId val="97909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0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891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8082176"/>
        <c:axId val="98083968"/>
      </c:lineChart>
      <c:catAx>
        <c:axId val="980821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83968"/>
        <c:crosses val="autoZero"/>
        <c:auto val="1"/>
        <c:lblAlgn val="ctr"/>
        <c:lblOffset val="100"/>
      </c:catAx>
      <c:valAx>
        <c:axId val="980839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82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045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Downloads\MARCH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Local\Packages\microsoft.windowscommunicationsapps_8wekyb3d8bbwe\LocalState\Files\S0\3\Attachments\FEB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Local\Packages\microsoft.windowscommunicationsapps_8wekyb3d8bbwe\LocalState\Files\S0\3\Attachments\FEB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Budget%202020%20forecast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Apri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>
        <row r="33">
          <cell r="A33">
            <v>8.6999999999999994E-3</v>
          </cell>
          <cell r="B33">
            <v>2.0009999999999999</v>
          </cell>
          <cell r="D33">
            <v>31561298</v>
          </cell>
          <cell r="E33">
            <v>2012</v>
          </cell>
          <cell r="F33">
            <v>3605675</v>
          </cell>
          <cell r="G33">
            <v>1309</v>
          </cell>
          <cell r="H33">
            <v>17390434</v>
          </cell>
          <cell r="I33">
            <v>1104</v>
          </cell>
          <cell r="J33">
            <v>28361182</v>
          </cell>
          <cell r="K33">
            <v>772</v>
          </cell>
          <cell r="L33">
            <v>22851438</v>
          </cell>
          <cell r="M33">
            <v>2912</v>
          </cell>
          <cell r="N33">
            <v>8109</v>
          </cell>
          <cell r="O33">
            <v>4052.4737631184412</v>
          </cell>
          <cell r="P33">
            <v>15434.726000000001</v>
          </cell>
          <cell r="Q33">
            <v>0</v>
          </cell>
          <cell r="R33">
            <v>8109</v>
          </cell>
          <cell r="S33">
            <v>8409</v>
          </cell>
          <cell r="T33">
            <v>2</v>
          </cell>
          <cell r="V33">
            <v>319</v>
          </cell>
          <cell r="W33">
            <v>31845</v>
          </cell>
          <cell r="X33">
            <v>0</v>
          </cell>
          <cell r="Y33">
            <v>624440</v>
          </cell>
          <cell r="Z33">
            <v>0</v>
          </cell>
          <cell r="AA33">
            <v>35018</v>
          </cell>
          <cell r="AB33">
            <v>1</v>
          </cell>
          <cell r="AC33">
            <v>767207</v>
          </cell>
          <cell r="AD33">
            <v>174</v>
          </cell>
          <cell r="AE33">
            <v>3</v>
          </cell>
          <cell r="AF33">
            <v>493</v>
          </cell>
          <cell r="AG33">
            <v>164.33333333333334</v>
          </cell>
          <cell r="AI33">
            <v>-49692041</v>
          </cell>
        </row>
      </sheetData>
      <sheetData sheetId="3" refreshError="1">
        <row r="35">
          <cell r="B35">
            <v>252</v>
          </cell>
          <cell r="C35">
            <v>258</v>
          </cell>
          <cell r="D35">
            <v>-34</v>
          </cell>
          <cell r="E35">
            <v>-284.92</v>
          </cell>
          <cell r="F35">
            <v>1498</v>
          </cell>
          <cell r="G35">
            <v>1</v>
          </cell>
          <cell r="H35">
            <v>346077</v>
          </cell>
          <cell r="I35">
            <v>84</v>
          </cell>
          <cell r="J35">
            <v>84</v>
          </cell>
          <cell r="K35">
            <v>1879</v>
          </cell>
          <cell r="L35">
            <v>0</v>
          </cell>
          <cell r="M35">
            <v>137448</v>
          </cell>
          <cell r="N35">
            <v>0</v>
          </cell>
          <cell r="O35">
            <v>0</v>
          </cell>
          <cell r="P35">
            <v>1727</v>
          </cell>
          <cell r="Q35">
            <v>147146</v>
          </cell>
          <cell r="R35">
            <v>113</v>
          </cell>
          <cell r="S35">
            <v>2</v>
          </cell>
          <cell r="T35">
            <v>0</v>
          </cell>
          <cell r="U35">
            <v>3</v>
          </cell>
          <cell r="V35">
            <v>197</v>
          </cell>
          <cell r="X35">
            <v>2404</v>
          </cell>
          <cell r="Y35">
            <v>0</v>
          </cell>
          <cell r="Z35">
            <v>135129.29999999999</v>
          </cell>
          <cell r="AA35">
            <v>0</v>
          </cell>
          <cell r="AB35">
            <v>0</v>
          </cell>
          <cell r="AC35">
            <v>1824</v>
          </cell>
          <cell r="AD35">
            <v>0</v>
          </cell>
          <cell r="AE35">
            <v>358857.5</v>
          </cell>
          <cell r="AF35">
            <v>0</v>
          </cell>
          <cell r="AG35">
            <v>0</v>
          </cell>
          <cell r="AH35">
            <v>0</v>
          </cell>
          <cell r="AI35">
            <v>197</v>
          </cell>
          <cell r="AJ35">
            <v>197</v>
          </cell>
          <cell r="AK35">
            <v>0</v>
          </cell>
          <cell r="AL35">
            <v>3</v>
          </cell>
          <cell r="AM35">
            <v>0</v>
          </cell>
          <cell r="AN35">
            <v>72</v>
          </cell>
          <cell r="AO35">
            <v>2160</v>
          </cell>
          <cell r="AP35">
            <v>69</v>
          </cell>
          <cell r="AQ35">
            <v>2070</v>
          </cell>
          <cell r="AR35">
            <v>65</v>
          </cell>
          <cell r="AS35">
            <v>1950</v>
          </cell>
          <cell r="AT35">
            <v>6180</v>
          </cell>
          <cell r="AU35">
            <v>30</v>
          </cell>
          <cell r="AX35">
            <v>0.7</v>
          </cell>
        </row>
      </sheetData>
      <sheetData sheetId="4" refreshError="1">
        <row r="36">
          <cell r="B36">
            <v>108473</v>
          </cell>
          <cell r="C36">
            <v>0</v>
          </cell>
          <cell r="D36">
            <v>0</v>
          </cell>
          <cell r="E36">
            <v>241.93548387096774</v>
          </cell>
          <cell r="G36">
            <v>595093</v>
          </cell>
          <cell r="H36">
            <v>0</v>
          </cell>
          <cell r="I36">
            <v>0</v>
          </cell>
          <cell r="J36">
            <v>0</v>
          </cell>
          <cell r="K36">
            <v>5973</v>
          </cell>
          <cell r="L36">
            <v>5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4742</v>
          </cell>
          <cell r="U36">
            <v>1</v>
          </cell>
          <cell r="V36">
            <v>401</v>
          </cell>
          <cell r="W36">
            <v>0</v>
          </cell>
          <cell r="X36">
            <v>142300</v>
          </cell>
          <cell r="Y36">
            <v>0</v>
          </cell>
          <cell r="Z36">
            <v>93723</v>
          </cell>
          <cell r="AA36">
            <v>0</v>
          </cell>
          <cell r="AB36">
            <v>259</v>
          </cell>
          <cell r="AC36">
            <v>671</v>
          </cell>
          <cell r="AD36">
            <v>0</v>
          </cell>
          <cell r="AE36">
            <v>144.22999999999999</v>
          </cell>
          <cell r="AF36">
            <v>0</v>
          </cell>
          <cell r="AG36">
            <v>1467.64</v>
          </cell>
          <cell r="AH36">
            <v>0.20000000000004547</v>
          </cell>
          <cell r="AI36">
            <v>0.20000000000004547</v>
          </cell>
          <cell r="AJ36">
            <v>0</v>
          </cell>
          <cell r="AK36">
            <v>-5</v>
          </cell>
          <cell r="AL36">
            <v>0</v>
          </cell>
          <cell r="AM36">
            <v>24</v>
          </cell>
          <cell r="AN36">
            <v>0</v>
          </cell>
          <cell r="AP36">
            <v>41</v>
          </cell>
          <cell r="AS36">
            <v>0.9</v>
          </cell>
          <cell r="AT36">
            <v>105</v>
          </cell>
          <cell r="AU36">
            <v>1.1000000000000001</v>
          </cell>
          <cell r="AV36">
            <v>79</v>
          </cell>
          <cell r="AW36">
            <v>2.9</v>
          </cell>
          <cell r="AX36">
            <v>123</v>
          </cell>
          <cell r="AY36">
            <v>94.5</v>
          </cell>
          <cell r="AZ36">
            <v>86.9</v>
          </cell>
          <cell r="BA36">
            <v>356.7</v>
          </cell>
          <cell r="BB36">
            <v>-11.700000000000003</v>
          </cell>
          <cell r="BC36">
            <v>-9.9000000000000057</v>
          </cell>
          <cell r="BD36">
            <v>-14.5</v>
          </cell>
          <cell r="BE36">
            <v>-36.100000000000009</v>
          </cell>
          <cell r="BF36">
            <v>36.100000000000009</v>
          </cell>
          <cell r="BG36">
            <v>-36.100000000000009</v>
          </cell>
        </row>
      </sheetData>
      <sheetData sheetId="5" refreshError="1"/>
      <sheetData sheetId="6" refreshError="1">
        <row r="36">
          <cell r="B36">
            <v>30</v>
          </cell>
          <cell r="C36">
            <v>18</v>
          </cell>
          <cell r="D36">
            <v>24</v>
          </cell>
          <cell r="E36">
            <v>0.46</v>
          </cell>
          <cell r="F36">
            <v>8.6999999999999994E-3</v>
          </cell>
          <cell r="G36">
            <v>2.0009999999999999</v>
          </cell>
          <cell r="H36">
            <v>0</v>
          </cell>
          <cell r="J36">
            <v>41</v>
          </cell>
          <cell r="K36">
            <v>41</v>
          </cell>
        </row>
      </sheetData>
      <sheetData sheetId="7" refreshError="1">
        <row r="36">
          <cell r="B36">
            <v>252</v>
          </cell>
          <cell r="C36">
            <v>5422.0645161290322</v>
          </cell>
          <cell r="D36">
            <v>252</v>
          </cell>
          <cell r="E36">
            <v>5422.0645161290322</v>
          </cell>
          <cell r="F36">
            <v>252</v>
          </cell>
          <cell r="G36">
            <v>5422.0645161290322</v>
          </cell>
          <cell r="H36">
            <v>252</v>
          </cell>
          <cell r="I36">
            <v>5422.0645161290322</v>
          </cell>
          <cell r="J36">
            <v>252</v>
          </cell>
          <cell r="K36">
            <v>5422.0645161290322</v>
          </cell>
          <cell r="L36">
            <v>252</v>
          </cell>
          <cell r="M36">
            <v>5422.0645161290322</v>
          </cell>
          <cell r="N36">
            <v>252</v>
          </cell>
          <cell r="O36">
            <v>5422.0645161290322</v>
          </cell>
          <cell r="P36">
            <v>252</v>
          </cell>
          <cell r="Q36">
            <v>5422.0645161290322</v>
          </cell>
          <cell r="R36">
            <v>252</v>
          </cell>
          <cell r="S36">
            <v>5422.0645161290322</v>
          </cell>
          <cell r="T36">
            <v>252</v>
          </cell>
          <cell r="U36">
            <v>5422.0645161290322</v>
          </cell>
          <cell r="V36">
            <v>252</v>
          </cell>
          <cell r="W36">
            <v>5422.0645161290322</v>
          </cell>
          <cell r="X36">
            <v>0.81290322580645147</v>
          </cell>
          <cell r="Y36">
            <v>59642.709677419341</v>
          </cell>
          <cell r="Z36">
            <v>258</v>
          </cell>
          <cell r="AA36">
            <v>2580</v>
          </cell>
          <cell r="AB36">
            <v>258</v>
          </cell>
          <cell r="AC36">
            <v>2580</v>
          </cell>
          <cell r="AD36">
            <v>258</v>
          </cell>
          <cell r="AE36">
            <v>2580</v>
          </cell>
          <cell r="AF36">
            <v>258</v>
          </cell>
          <cell r="AG36">
            <v>2580</v>
          </cell>
          <cell r="AH36">
            <v>258</v>
          </cell>
          <cell r="AI36">
            <v>2580</v>
          </cell>
          <cell r="AJ36">
            <v>258</v>
          </cell>
          <cell r="AK36">
            <v>2580</v>
          </cell>
          <cell r="AL36">
            <v>258</v>
          </cell>
          <cell r="AM36">
            <v>2580</v>
          </cell>
          <cell r="AN36">
            <v>0.92142857142857137</v>
          </cell>
          <cell r="AO36">
            <v>18060</v>
          </cell>
          <cell r="AQ36">
            <v>0.83578261457910441</v>
          </cell>
          <cell r="AR36">
            <v>77702.709677419334</v>
          </cell>
          <cell r="AS36">
            <v>387.03225806450064</v>
          </cell>
          <cell r="AT36">
            <v>10040</v>
          </cell>
          <cell r="AU36">
            <v>0.38450000000000001</v>
          </cell>
          <cell r="AV36">
            <v>0.38450000000000001</v>
          </cell>
          <cell r="AW36">
            <v>-197</v>
          </cell>
          <cell r="AX36">
            <v>584.03225806450064</v>
          </cell>
          <cell r="AY36">
            <v>387.03225806450064</v>
          </cell>
          <cell r="AZ36">
            <v>8.6999999999999994E-3</v>
          </cell>
          <cell r="BA36">
            <v>24</v>
          </cell>
          <cell r="BB36">
            <v>0.46</v>
          </cell>
        </row>
      </sheetData>
      <sheetData sheetId="8" refreshError="1">
        <row r="33">
          <cell r="B33">
            <v>8623</v>
          </cell>
          <cell r="D33">
            <v>146464</v>
          </cell>
          <cell r="E33">
            <v>0</v>
          </cell>
          <cell r="F33">
            <v>0</v>
          </cell>
          <cell r="H33">
            <v>8497</v>
          </cell>
          <cell r="I33" t="str">
            <v>oil change</v>
          </cell>
          <cell r="J33">
            <v>10689</v>
          </cell>
          <cell r="K33">
            <v>0</v>
          </cell>
          <cell r="L33">
            <v>237072.3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11030</v>
          </cell>
          <cell r="S33">
            <v>2</v>
          </cell>
          <cell r="T33">
            <v>212917</v>
          </cell>
          <cell r="U33">
            <v>622</v>
          </cell>
          <cell r="V33">
            <v>311</v>
          </cell>
          <cell r="X33">
            <v>11529</v>
          </cell>
          <cell r="Y33" t="str">
            <v>ok</v>
          </cell>
          <cell r="Z33">
            <v>4</v>
          </cell>
          <cell r="AA33">
            <v>622</v>
          </cell>
          <cell r="AB33">
            <v>311</v>
          </cell>
          <cell r="AC33">
            <v>155.5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155.5</v>
          </cell>
        </row>
      </sheetData>
      <sheetData sheetId="9" refreshError="1"/>
      <sheetData sheetId="10" refreshError="1"/>
      <sheetData sheetId="11" refreshError="1"/>
      <sheetData sheetId="12" refreshError="1">
        <row r="26">
          <cell r="V26">
            <v>17197272</v>
          </cell>
          <cell r="W26">
            <v>17242851</v>
          </cell>
          <cell r="X26" t="str">
            <v>Night</v>
          </cell>
          <cell r="Y26">
            <v>80</v>
          </cell>
          <cell r="Z26">
            <v>1</v>
          </cell>
          <cell r="AA26">
            <v>45579</v>
          </cell>
          <cell r="AB26">
            <v>3646320</v>
          </cell>
          <cell r="AC26">
            <v>1033333</v>
          </cell>
        </row>
        <row r="27">
          <cell r="V27">
            <v>24415638</v>
          </cell>
          <cell r="W27">
            <v>24476792</v>
          </cell>
          <cell r="X27" t="str">
            <v>day</v>
          </cell>
          <cell r="Y27">
            <v>112</v>
          </cell>
          <cell r="Z27">
            <v>1</v>
          </cell>
          <cell r="AA27">
            <v>61154</v>
          </cell>
          <cell r="AB27">
            <v>6849248</v>
          </cell>
          <cell r="AC27">
            <v>6200000</v>
          </cell>
        </row>
        <row r="28">
          <cell r="V28">
            <v>7969132</v>
          </cell>
          <cell r="W28">
            <v>7990092</v>
          </cell>
          <cell r="X28" t="str">
            <v>Peak</v>
          </cell>
          <cell r="Y28">
            <v>320</v>
          </cell>
          <cell r="Z28">
            <v>1</v>
          </cell>
          <cell r="AA28">
            <v>20960</v>
          </cell>
          <cell r="AB28">
            <v>6707200</v>
          </cell>
          <cell r="AC28">
            <v>1000</v>
          </cell>
        </row>
        <row r="29">
          <cell r="AA29">
            <v>127693</v>
          </cell>
        </row>
        <row r="30">
          <cell r="W30">
            <v>5.3454838709677405E-2</v>
          </cell>
          <cell r="Y30" t="str">
            <v>Per G</v>
          </cell>
          <cell r="AB30">
            <v>17202768</v>
          </cell>
          <cell r="AC30">
            <v>7234333</v>
          </cell>
        </row>
        <row r="31">
          <cell r="W31">
            <v>117.48999999999978</v>
          </cell>
          <cell r="X31">
            <v>3.7899999999999929</v>
          </cell>
          <cell r="Y31">
            <v>1.8949999999999965</v>
          </cell>
          <cell r="AB31">
            <v>24437101</v>
          </cell>
          <cell r="AC31">
            <v>7234333</v>
          </cell>
        </row>
        <row r="32">
          <cell r="W32">
            <v>-549.00000000000011</v>
          </cell>
        </row>
        <row r="33">
          <cell r="W33">
            <v>0</v>
          </cell>
        </row>
        <row r="34">
          <cell r="B34">
            <v>49709734</v>
          </cell>
          <cell r="C34">
            <v>3736</v>
          </cell>
          <cell r="D34">
            <v>3737</v>
          </cell>
          <cell r="E34">
            <v>49709735</v>
          </cell>
          <cell r="F34">
            <v>7990092</v>
          </cell>
          <cell r="G34">
            <v>622</v>
          </cell>
          <cell r="H34">
            <v>24476792</v>
          </cell>
          <cell r="I34">
            <v>2121</v>
          </cell>
          <cell r="J34">
            <v>17242851</v>
          </cell>
          <cell r="K34">
            <v>994</v>
          </cell>
          <cell r="L34">
            <v>132.03316749585406</v>
          </cell>
          <cell r="M34">
            <v>157.58009950248757</v>
          </cell>
          <cell r="N34">
            <v>52.749585406301826</v>
          </cell>
          <cell r="O34">
            <v>154.80303857058792</v>
          </cell>
          <cell r="P34">
            <v>497.16589097523138</v>
          </cell>
          <cell r="Q34">
            <v>-261.54911290321883</v>
          </cell>
          <cell r="R34">
            <v>235.61677807201255</v>
          </cell>
          <cell r="S34">
            <v>8109</v>
          </cell>
          <cell r="T34">
            <v>2.9056206446172468E-2</v>
          </cell>
        </row>
        <row r="35">
          <cell r="Z35" t="str">
            <v xml:space="preserve">VAT </v>
          </cell>
          <cell r="AA35">
            <v>0.11</v>
          </cell>
        </row>
        <row r="36">
          <cell r="AB36">
            <v>27125182.109999999</v>
          </cell>
        </row>
        <row r="37">
          <cell r="AB37">
            <v>16210.348922056384</v>
          </cell>
        </row>
      </sheetData>
      <sheetData sheetId="13" refreshError="1"/>
      <sheetData sheetId="14" refreshError="1">
        <row r="10">
          <cell r="J10">
            <v>17</v>
          </cell>
          <cell r="K10">
            <v>10</v>
          </cell>
        </row>
        <row r="11">
          <cell r="J11">
            <v>18</v>
          </cell>
          <cell r="K11">
            <v>11</v>
          </cell>
        </row>
        <row r="12">
          <cell r="J12">
            <v>19</v>
          </cell>
          <cell r="K12">
            <v>12</v>
          </cell>
        </row>
        <row r="13">
          <cell r="J13">
            <v>19</v>
          </cell>
          <cell r="K13">
            <v>12</v>
          </cell>
        </row>
        <row r="14">
          <cell r="J14">
            <v>19</v>
          </cell>
          <cell r="K14">
            <v>14</v>
          </cell>
        </row>
        <row r="15">
          <cell r="J15">
            <v>18</v>
          </cell>
          <cell r="K15">
            <v>12</v>
          </cell>
        </row>
        <row r="16">
          <cell r="J16">
            <v>18</v>
          </cell>
          <cell r="K16">
            <v>12</v>
          </cell>
        </row>
        <row r="17">
          <cell r="J17">
            <v>19</v>
          </cell>
          <cell r="K17">
            <v>13</v>
          </cell>
        </row>
        <row r="18">
          <cell r="J18">
            <v>20</v>
          </cell>
          <cell r="K18">
            <v>14</v>
          </cell>
        </row>
        <row r="19">
          <cell r="J19">
            <v>19</v>
          </cell>
          <cell r="K19">
            <v>16</v>
          </cell>
        </row>
        <row r="20">
          <cell r="J20">
            <v>18</v>
          </cell>
          <cell r="K20">
            <v>14</v>
          </cell>
        </row>
        <row r="21">
          <cell r="J21">
            <v>27</v>
          </cell>
          <cell r="K21">
            <v>16</v>
          </cell>
        </row>
        <row r="22">
          <cell r="J22">
            <v>26</v>
          </cell>
          <cell r="K22">
            <v>15</v>
          </cell>
        </row>
        <row r="23">
          <cell r="J23">
            <v>19</v>
          </cell>
          <cell r="K23">
            <v>15</v>
          </cell>
        </row>
        <row r="24">
          <cell r="J24">
            <v>19</v>
          </cell>
          <cell r="K24">
            <v>15</v>
          </cell>
        </row>
        <row r="25">
          <cell r="J25">
            <v>18</v>
          </cell>
          <cell r="K25">
            <v>11</v>
          </cell>
        </row>
        <row r="26">
          <cell r="J26">
            <v>19</v>
          </cell>
          <cell r="K26">
            <v>12</v>
          </cell>
        </row>
        <row r="27">
          <cell r="J27">
            <v>15</v>
          </cell>
          <cell r="K27">
            <v>13</v>
          </cell>
        </row>
        <row r="28">
          <cell r="J28">
            <v>17</v>
          </cell>
          <cell r="K28">
            <v>14</v>
          </cell>
        </row>
        <row r="29">
          <cell r="J29">
            <v>16</v>
          </cell>
          <cell r="K29">
            <v>13</v>
          </cell>
        </row>
        <row r="30">
          <cell r="J30">
            <v>17</v>
          </cell>
          <cell r="K30">
            <v>14</v>
          </cell>
        </row>
        <row r="31">
          <cell r="J31">
            <v>19</v>
          </cell>
          <cell r="K31">
            <v>14</v>
          </cell>
        </row>
        <row r="32">
          <cell r="J32">
            <v>21</v>
          </cell>
          <cell r="K32">
            <v>14</v>
          </cell>
        </row>
        <row r="33">
          <cell r="J33">
            <v>22</v>
          </cell>
          <cell r="K33">
            <v>15</v>
          </cell>
        </row>
        <row r="34">
          <cell r="J34">
            <v>21</v>
          </cell>
          <cell r="K34">
            <v>15</v>
          </cell>
        </row>
        <row r="35">
          <cell r="J35">
            <v>21</v>
          </cell>
          <cell r="K35">
            <v>15</v>
          </cell>
        </row>
        <row r="36">
          <cell r="J36">
            <v>18</v>
          </cell>
          <cell r="K36">
            <v>13</v>
          </cell>
        </row>
        <row r="37">
          <cell r="J37">
            <v>17</v>
          </cell>
          <cell r="K37">
            <v>13</v>
          </cell>
        </row>
        <row r="38">
          <cell r="J38">
            <v>20</v>
          </cell>
          <cell r="K38">
            <v>16</v>
          </cell>
        </row>
        <row r="39">
          <cell r="J39">
            <v>20</v>
          </cell>
          <cell r="K39">
            <v>17</v>
          </cell>
        </row>
        <row r="40">
          <cell r="J40">
            <v>30</v>
          </cell>
          <cell r="K40">
            <v>18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1">
          <cell r="D31">
            <v>31482720</v>
          </cell>
        </row>
      </sheetData>
      <sheetData sheetId="3">
        <row r="33">
          <cell r="B33">
            <v>233.3</v>
          </cell>
        </row>
      </sheetData>
      <sheetData sheetId="4">
        <row r="34">
          <cell r="B34">
            <v>108473</v>
          </cell>
        </row>
      </sheetData>
      <sheetData sheetId="5"/>
      <sheetData sheetId="6">
        <row r="34">
          <cell r="B34">
            <v>18</v>
          </cell>
        </row>
      </sheetData>
      <sheetData sheetId="7">
        <row r="34">
          <cell r="B34">
            <v>233.3</v>
          </cell>
        </row>
      </sheetData>
      <sheetData sheetId="8">
        <row r="31">
          <cell r="B31">
            <v>8543</v>
          </cell>
        </row>
      </sheetData>
      <sheetData sheetId="9"/>
      <sheetData sheetId="10"/>
      <sheetData sheetId="11"/>
      <sheetData sheetId="12">
        <row r="26">
          <cell r="V26">
            <v>17141733</v>
          </cell>
          <cell r="AD26">
            <v>0.35885325131810192</v>
          </cell>
        </row>
        <row r="27">
          <cell r="AD27">
            <v>0.48316835521554841</v>
          </cell>
        </row>
        <row r="28">
          <cell r="AD28">
            <v>0.157984854750336</v>
          </cell>
        </row>
      </sheetData>
      <sheetData sheetId="13">
        <row r="10">
          <cell r="B10">
            <v>16</v>
          </cell>
          <cell r="C10">
            <v>11</v>
          </cell>
          <cell r="D10">
            <v>-4.8000000000000007</v>
          </cell>
          <cell r="F10">
            <v>17</v>
          </cell>
          <cell r="G10">
            <v>12</v>
          </cell>
          <cell r="H10">
            <v>-3.8000000000000007</v>
          </cell>
        </row>
        <row r="11">
          <cell r="B11">
            <v>17</v>
          </cell>
          <cell r="C11">
            <v>12</v>
          </cell>
          <cell r="D11">
            <v>-3.8000000000000007</v>
          </cell>
          <cell r="F11">
            <v>17</v>
          </cell>
          <cell r="G11">
            <v>11</v>
          </cell>
          <cell r="H11">
            <v>-4.3000000000000007</v>
          </cell>
        </row>
        <row r="12">
          <cell r="B12">
            <v>16</v>
          </cell>
          <cell r="C12">
            <v>12</v>
          </cell>
          <cell r="D12">
            <v>-4.3000000000000007</v>
          </cell>
          <cell r="F12">
            <v>16</v>
          </cell>
          <cell r="G12">
            <v>10</v>
          </cell>
          <cell r="H12">
            <v>-5.3000000000000007</v>
          </cell>
        </row>
        <row r="13">
          <cell r="B13">
            <v>15</v>
          </cell>
          <cell r="C13">
            <v>11</v>
          </cell>
          <cell r="D13">
            <v>-5.3000000000000007</v>
          </cell>
          <cell r="F13">
            <v>17</v>
          </cell>
          <cell r="G13">
            <v>13</v>
          </cell>
          <cell r="H13">
            <v>-3.3000000000000007</v>
          </cell>
        </row>
        <row r="14">
          <cell r="B14">
            <v>15</v>
          </cell>
          <cell r="C14">
            <v>11</v>
          </cell>
          <cell r="D14">
            <v>-5.3000000000000007</v>
          </cell>
          <cell r="F14">
            <v>20</v>
          </cell>
          <cell r="G14">
            <v>15</v>
          </cell>
          <cell r="H14">
            <v>-0.80000000000000071</v>
          </cell>
        </row>
        <row r="15">
          <cell r="B15">
            <v>16</v>
          </cell>
          <cell r="C15">
            <v>12</v>
          </cell>
          <cell r="D15">
            <v>-4.3000000000000007</v>
          </cell>
          <cell r="F15">
            <v>22</v>
          </cell>
          <cell r="G15">
            <v>16</v>
          </cell>
          <cell r="H15">
            <v>0.69999999999999929</v>
          </cell>
        </row>
        <row r="16">
          <cell r="B16">
            <v>16</v>
          </cell>
          <cell r="C16">
            <v>12</v>
          </cell>
          <cell r="D16">
            <v>-4.3000000000000007</v>
          </cell>
          <cell r="F16">
            <v>16</v>
          </cell>
          <cell r="G16">
            <v>10</v>
          </cell>
          <cell r="H16">
            <v>-5.3000000000000007</v>
          </cell>
        </row>
        <row r="17">
          <cell r="B17">
            <v>14</v>
          </cell>
          <cell r="C17">
            <v>11</v>
          </cell>
          <cell r="D17">
            <v>-5.8000000000000007</v>
          </cell>
          <cell r="F17">
            <v>14</v>
          </cell>
          <cell r="G17">
            <v>9</v>
          </cell>
          <cell r="H17">
            <v>-6.8000000000000007</v>
          </cell>
        </row>
        <row r="18">
          <cell r="B18">
            <v>14</v>
          </cell>
          <cell r="C18">
            <v>11</v>
          </cell>
          <cell r="D18">
            <v>-5.8000000000000007</v>
          </cell>
          <cell r="F18">
            <v>9</v>
          </cell>
          <cell r="G18">
            <v>8</v>
          </cell>
          <cell r="H18">
            <v>-9.8000000000000007</v>
          </cell>
        </row>
        <row r="19">
          <cell r="B19">
            <v>17</v>
          </cell>
          <cell r="C19">
            <v>12</v>
          </cell>
          <cell r="D19">
            <v>-3.8000000000000007</v>
          </cell>
          <cell r="F19">
            <v>10</v>
          </cell>
          <cell r="G19">
            <v>7</v>
          </cell>
          <cell r="H19">
            <v>-9.8000000000000007</v>
          </cell>
        </row>
        <row r="20">
          <cell r="B20">
            <v>17</v>
          </cell>
          <cell r="C20">
            <v>13</v>
          </cell>
          <cell r="D20">
            <v>-3.3000000000000007</v>
          </cell>
          <cell r="F20">
            <v>14</v>
          </cell>
          <cell r="G20">
            <v>8</v>
          </cell>
          <cell r="H20">
            <v>-7.3000000000000007</v>
          </cell>
        </row>
        <row r="21">
          <cell r="B21">
            <v>16</v>
          </cell>
          <cell r="C21">
            <v>12</v>
          </cell>
          <cell r="D21">
            <v>-4.3000000000000007</v>
          </cell>
          <cell r="F21">
            <v>16</v>
          </cell>
          <cell r="G21">
            <v>13</v>
          </cell>
          <cell r="H21">
            <v>-3.8000000000000007</v>
          </cell>
        </row>
        <row r="22">
          <cell r="B22">
            <v>17</v>
          </cell>
          <cell r="C22">
            <v>13</v>
          </cell>
          <cell r="D22">
            <v>-3.3000000000000007</v>
          </cell>
          <cell r="F22">
            <v>17</v>
          </cell>
          <cell r="G22">
            <v>14</v>
          </cell>
          <cell r="H22">
            <v>-2.8000000000000007</v>
          </cell>
        </row>
        <row r="23">
          <cell r="B23">
            <v>16</v>
          </cell>
          <cell r="C23">
            <v>12</v>
          </cell>
          <cell r="D23">
            <v>-4.3000000000000007</v>
          </cell>
          <cell r="F23">
            <v>17</v>
          </cell>
          <cell r="G23">
            <v>11</v>
          </cell>
          <cell r="H23">
            <v>-4.3000000000000007</v>
          </cell>
        </row>
        <row r="24">
          <cell r="B24">
            <v>17</v>
          </cell>
          <cell r="C24">
            <v>13</v>
          </cell>
          <cell r="D24">
            <v>-3.3000000000000007</v>
          </cell>
          <cell r="F24">
            <v>17</v>
          </cell>
          <cell r="G24">
            <v>12</v>
          </cell>
          <cell r="H24">
            <v>-3.8000000000000007</v>
          </cell>
        </row>
        <row r="25">
          <cell r="B25">
            <v>19</v>
          </cell>
          <cell r="C25">
            <v>13</v>
          </cell>
          <cell r="D25">
            <v>-2.3000000000000007</v>
          </cell>
          <cell r="F25">
            <v>17</v>
          </cell>
          <cell r="G25">
            <v>11</v>
          </cell>
          <cell r="H25">
            <v>-4.3000000000000007</v>
          </cell>
        </row>
        <row r="26">
          <cell r="B26">
            <v>20</v>
          </cell>
          <cell r="C26">
            <v>13</v>
          </cell>
          <cell r="D26">
            <v>-1.8000000000000007</v>
          </cell>
          <cell r="F26">
            <v>16</v>
          </cell>
          <cell r="G26">
            <v>12</v>
          </cell>
          <cell r="H26">
            <v>-4.3000000000000007</v>
          </cell>
        </row>
        <row r="27">
          <cell r="B27">
            <v>14</v>
          </cell>
          <cell r="C27">
            <v>13</v>
          </cell>
          <cell r="D27">
            <v>-4.8000000000000007</v>
          </cell>
          <cell r="F27">
            <v>17</v>
          </cell>
          <cell r="G27">
            <v>11</v>
          </cell>
          <cell r="H27">
            <v>-4.3000000000000007</v>
          </cell>
        </row>
        <row r="28">
          <cell r="B28">
            <v>15</v>
          </cell>
          <cell r="C28">
            <v>13</v>
          </cell>
          <cell r="D28">
            <v>-4.3000000000000007</v>
          </cell>
          <cell r="F28">
            <v>17</v>
          </cell>
          <cell r="G28">
            <v>14</v>
          </cell>
          <cell r="H28">
            <v>-2.8000000000000007</v>
          </cell>
        </row>
        <row r="29">
          <cell r="B29">
            <v>15</v>
          </cell>
          <cell r="C29">
            <v>10</v>
          </cell>
          <cell r="D29">
            <v>-5.8000000000000007</v>
          </cell>
          <cell r="F29">
            <v>17</v>
          </cell>
          <cell r="G29">
            <v>14</v>
          </cell>
          <cell r="H29">
            <v>-2.8000000000000007</v>
          </cell>
        </row>
        <row r="30">
          <cell r="B30">
            <v>13</v>
          </cell>
          <cell r="C30">
            <v>9</v>
          </cell>
          <cell r="D30">
            <v>-7.3000000000000007</v>
          </cell>
          <cell r="F30">
            <v>16</v>
          </cell>
          <cell r="G30">
            <v>12</v>
          </cell>
          <cell r="H30">
            <v>-4.3000000000000007</v>
          </cell>
        </row>
        <row r="31">
          <cell r="B31">
            <v>14</v>
          </cell>
          <cell r="C31">
            <v>10</v>
          </cell>
          <cell r="D31">
            <v>-6.3000000000000007</v>
          </cell>
          <cell r="F31">
            <v>17</v>
          </cell>
          <cell r="G31">
            <v>12</v>
          </cell>
          <cell r="H31">
            <v>-3.8000000000000007</v>
          </cell>
        </row>
        <row r="32">
          <cell r="B32">
            <v>13</v>
          </cell>
          <cell r="C32">
            <v>7</v>
          </cell>
          <cell r="D32">
            <v>-8.3000000000000007</v>
          </cell>
          <cell r="F32">
            <v>16</v>
          </cell>
          <cell r="G32">
            <v>14</v>
          </cell>
          <cell r="H32">
            <v>-3.3000000000000007</v>
          </cell>
        </row>
        <row r="33">
          <cell r="B33">
            <v>14</v>
          </cell>
          <cell r="C33">
            <v>8</v>
          </cell>
          <cell r="D33">
            <v>-7.3000000000000007</v>
          </cell>
          <cell r="F33">
            <v>17</v>
          </cell>
          <cell r="G33">
            <v>13</v>
          </cell>
          <cell r="H33">
            <v>-3.3000000000000007</v>
          </cell>
        </row>
        <row r="34">
          <cell r="B34">
            <v>16</v>
          </cell>
          <cell r="C34">
            <v>10</v>
          </cell>
          <cell r="D34">
            <v>-5.3000000000000007</v>
          </cell>
          <cell r="F34">
            <v>17</v>
          </cell>
          <cell r="G34">
            <v>13</v>
          </cell>
          <cell r="H34">
            <v>-3.3000000000000007</v>
          </cell>
        </row>
        <row r="35">
          <cell r="B35">
            <v>15</v>
          </cell>
          <cell r="C35">
            <v>9</v>
          </cell>
          <cell r="D35">
            <v>-6.3000000000000007</v>
          </cell>
          <cell r="F35">
            <v>18</v>
          </cell>
          <cell r="G35">
            <v>14</v>
          </cell>
          <cell r="H35">
            <v>-2.3000000000000007</v>
          </cell>
        </row>
        <row r="36">
          <cell r="B36">
            <v>17</v>
          </cell>
          <cell r="C36">
            <v>11</v>
          </cell>
          <cell r="D36">
            <v>-4.3000000000000007</v>
          </cell>
          <cell r="F36">
            <v>19</v>
          </cell>
          <cell r="G36">
            <v>13</v>
          </cell>
          <cell r="H36">
            <v>-2.3000000000000007</v>
          </cell>
        </row>
        <row r="37">
          <cell r="B37">
            <v>16</v>
          </cell>
          <cell r="C37">
            <v>10</v>
          </cell>
          <cell r="D37">
            <v>-5.3000000000000007</v>
          </cell>
          <cell r="F37">
            <v>19</v>
          </cell>
          <cell r="G37">
            <v>14</v>
          </cell>
          <cell r="H37">
            <v>-1.8000000000000007</v>
          </cell>
        </row>
        <row r="38">
          <cell r="B38">
            <v>16</v>
          </cell>
          <cell r="C38">
            <v>10</v>
          </cell>
          <cell r="D38">
            <v>-5.3000000000000007</v>
          </cell>
          <cell r="F38">
            <v>18</v>
          </cell>
          <cell r="G38">
            <v>13</v>
          </cell>
          <cell r="H38">
            <v>-2.8000000000000007</v>
          </cell>
        </row>
        <row r="39">
          <cell r="B39">
            <v>16</v>
          </cell>
          <cell r="C39">
            <v>11</v>
          </cell>
          <cell r="D39">
            <v>-4.8000000000000007</v>
          </cell>
          <cell r="H39">
            <v>-18.3</v>
          </cell>
        </row>
        <row r="40">
          <cell r="B40">
            <v>17</v>
          </cell>
          <cell r="C40">
            <v>13</v>
          </cell>
          <cell r="D40">
            <v>-3.3000000000000007</v>
          </cell>
          <cell r="H40">
            <v>-18.3</v>
          </cell>
        </row>
      </sheetData>
      <sheetData sheetId="14"/>
      <sheetData sheetId="15"/>
      <sheetData sheetId="16">
        <row r="34">
          <cell r="B34">
            <v>1.5</v>
          </cell>
          <cell r="C34">
            <v>7.6</v>
          </cell>
          <cell r="D34">
            <v>19</v>
          </cell>
          <cell r="E34">
            <v>2</v>
          </cell>
          <cell r="F34">
            <v>8</v>
          </cell>
          <cell r="G34">
            <v>19</v>
          </cell>
        </row>
      </sheetData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</row>
        <row r="32">
          <cell r="AB32">
            <v>0</v>
          </cell>
        </row>
        <row r="33">
          <cell r="AB33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heet3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17141733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>
        <row r="34">
          <cell r="H34">
            <v>5916</v>
          </cell>
          <cell r="I34">
            <v>0</v>
          </cell>
          <cell r="O34">
            <v>5916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E12">
            <v>21838.59</v>
          </cell>
        </row>
        <row r="13">
          <cell r="E13">
            <v>4200</v>
          </cell>
        </row>
        <row r="14">
          <cell r="E14">
            <v>30305.000000000004</v>
          </cell>
        </row>
        <row r="15">
          <cell r="E15">
            <v>7500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B5">
            <v>73621</v>
          </cell>
        </row>
      </sheetData>
      <sheetData sheetId="5" refreshError="1"/>
      <sheetData sheetId="6" refreshError="1"/>
      <sheetData sheetId="7" refreshError="1"/>
      <sheetData sheetId="8">
        <row r="33">
          <cell r="Z33">
            <v>100</v>
          </cell>
        </row>
      </sheetData>
      <sheetData sheetId="9" refreshError="1"/>
      <sheetData sheetId="10" refreshError="1"/>
      <sheetData sheetId="11" refreshError="1"/>
      <sheetData sheetId="12">
        <row r="29">
          <cell r="AA29">
            <v>325601</v>
          </cell>
        </row>
      </sheetData>
      <sheetData sheetId="13" refreshError="1"/>
      <sheetData sheetId="14" refreshError="1"/>
      <sheetData sheetId="15">
        <row r="8">
          <cell r="C8">
            <v>68173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</sheetData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E60">
            <v>156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A27" sqref="A27:XFD27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3" bestFit="1" customWidth="1"/>
    <col min="13" max="13" width="12.140625" style="303" customWidth="1"/>
    <col min="14" max="14" width="12.140625" style="525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0" t="s">
        <v>363</v>
      </c>
      <c r="M1" s="522" t="s">
        <v>404</v>
      </c>
      <c r="N1" s="523" t="s">
        <v>405</v>
      </c>
      <c r="O1" s="281" t="s">
        <v>347</v>
      </c>
    </row>
    <row r="2" spans="1:15">
      <c r="A2" t="s">
        <v>348</v>
      </c>
      <c r="B2">
        <v>1</v>
      </c>
      <c r="C2">
        <v>4</v>
      </c>
      <c r="D2">
        <v>2020</v>
      </c>
      <c r="E2" s="207">
        <f>ELEC!N3</f>
        <v>7662.2000000001863</v>
      </c>
      <c r="F2" s="345">
        <f>SUM('EDl log'!T4)</f>
        <v>0.10830398729705508</v>
      </c>
      <c r="G2" s="207">
        <f>-tanks!AW6</f>
        <v>267</v>
      </c>
      <c r="H2" s="345">
        <f>SUM(tanks!AV6)</f>
        <v>0.38450000000000001</v>
      </c>
      <c r="I2" s="10">
        <f>('B5'!AU5)*0.51</f>
        <v>30.6</v>
      </c>
      <c r="J2" s="324">
        <f>'B5'!AX5/0.51</f>
        <v>1.3725490196078429</v>
      </c>
      <c r="K2" s="207">
        <f>WATER!I6</f>
        <v>107</v>
      </c>
      <c r="L2" s="346">
        <f>SUM(WATER!J6)</f>
        <v>2.3364485981308412</v>
      </c>
      <c r="M2" s="346">
        <f>WATER!Q6</f>
        <v>0</v>
      </c>
      <c r="N2" s="524">
        <v>0.6</v>
      </c>
      <c r="O2" s="10">
        <f>ELEC!B3</f>
        <v>4.0019999999999998</v>
      </c>
    </row>
    <row r="3" spans="1:15">
      <c r="A3" t="s">
        <v>348</v>
      </c>
      <c r="B3">
        <f>B2+1</f>
        <v>2</v>
      </c>
      <c r="C3">
        <v>4</v>
      </c>
      <c r="D3">
        <v>2020</v>
      </c>
      <c r="E3" s="207">
        <f>ELEC!N4</f>
        <v>7437.5999999996275</v>
      </c>
      <c r="F3" s="345">
        <f>SUM('EDl log'!T5)</f>
        <v>9.3088555985782903E-2</v>
      </c>
      <c r="G3" s="207">
        <f>-tanks!AW7</f>
        <v>307</v>
      </c>
      <c r="H3" s="345">
        <f>SUM(tanks!AV7)</f>
        <v>0.38450000000000001</v>
      </c>
      <c r="I3" s="10">
        <f>('B5'!AU6)*0.51</f>
        <v>91.8</v>
      </c>
      <c r="J3" s="324">
        <f>'B5'!AX6/0.51</f>
        <v>1.3725490196078429</v>
      </c>
      <c r="K3" s="207">
        <f>WATER!I7</f>
        <v>0</v>
      </c>
      <c r="L3" s="346">
        <f>SUM(WATER!J7)</f>
        <v>0</v>
      </c>
      <c r="M3" s="346">
        <f>WATER!Q7</f>
        <v>0</v>
      </c>
      <c r="N3" s="524">
        <v>0.6</v>
      </c>
      <c r="O3" s="10">
        <f>ELEC!B4</f>
        <v>2.0009999999999999</v>
      </c>
    </row>
    <row r="4" spans="1:15">
      <c r="A4" t="s">
        <v>348</v>
      </c>
      <c r="B4">
        <f t="shared" ref="B4:B31" si="0">B3+1</f>
        <v>3</v>
      </c>
      <c r="C4">
        <v>4</v>
      </c>
      <c r="D4">
        <v>2020</v>
      </c>
      <c r="E4" s="207">
        <f>ELEC!N5</f>
        <v>8665.2000000001863</v>
      </c>
      <c r="F4" s="345">
        <f>SUM('EDl log'!T6)</f>
        <v>6.9733050541285355E-2</v>
      </c>
      <c r="G4" s="207">
        <f>-tanks!AW8</f>
        <v>351</v>
      </c>
      <c r="H4" s="345">
        <f>SUM(tanks!AV8)</f>
        <v>0.38450000000000001</v>
      </c>
      <c r="I4" s="10">
        <f>('B5'!AU7)*0.51</f>
        <v>30.6</v>
      </c>
      <c r="J4" s="324">
        <f>'B5'!AX7/0.51</f>
        <v>1.3725490196078429</v>
      </c>
      <c r="K4" s="207">
        <f>WATER!I8</f>
        <v>300</v>
      </c>
      <c r="L4" s="346">
        <f>SUM(WATER!J8)</f>
        <v>0.83333333333333337</v>
      </c>
      <c r="M4" s="346">
        <f>WATER!Q8</f>
        <v>0</v>
      </c>
      <c r="N4" s="524">
        <v>0.6</v>
      </c>
      <c r="O4" s="10">
        <f>ELEC!B5</f>
        <v>2.0009999999999999</v>
      </c>
    </row>
    <row r="5" spans="1:15">
      <c r="A5" t="s">
        <v>348</v>
      </c>
      <c r="B5">
        <f t="shared" si="0"/>
        <v>4</v>
      </c>
      <c r="C5">
        <v>4</v>
      </c>
      <c r="D5">
        <v>2020</v>
      </c>
      <c r="E5" s="207">
        <f>ELEC!N6</f>
        <v>7670.3999999999069</v>
      </c>
      <c r="F5" s="345">
        <f>SUM('EDl log'!T7)</f>
        <v>7.159230859155781E-2</v>
      </c>
      <c r="G5" s="207">
        <f>-tanks!AW9</f>
        <v>271</v>
      </c>
      <c r="H5" s="345">
        <f>SUM(tanks!AV9)</f>
        <v>0.38450000000000001</v>
      </c>
      <c r="I5" s="10">
        <f>('B5'!AU8)*0.51</f>
        <v>61.2</v>
      </c>
      <c r="J5" s="324">
        <f>'B5'!AX8/0.51</f>
        <v>1.3725490196078429</v>
      </c>
      <c r="K5" s="207">
        <f>WATER!I9</f>
        <v>0</v>
      </c>
      <c r="L5" s="346">
        <f>SUM(WATER!J9)</f>
        <v>0</v>
      </c>
      <c r="M5" s="346">
        <f>WATER!Q9</f>
        <v>0</v>
      </c>
      <c r="N5" s="524">
        <v>0.6</v>
      </c>
      <c r="O5" s="10">
        <f>ELEC!B6</f>
        <v>2.9899999999999998</v>
      </c>
    </row>
    <row r="6" spans="1:15">
      <c r="A6" t="s">
        <v>348</v>
      </c>
      <c r="B6">
        <f t="shared" si="0"/>
        <v>5</v>
      </c>
      <c r="C6">
        <v>4</v>
      </c>
      <c r="D6">
        <v>2020</v>
      </c>
      <c r="E6" s="207">
        <f>ELEC!N7</f>
        <v>8538.8000000002794</v>
      </c>
      <c r="F6" s="345">
        <f>SUM('EDl log'!T8)</f>
        <v>8.6834101230776756E-2</v>
      </c>
      <c r="G6" s="207">
        <f>-tanks!AW10</f>
        <v>252</v>
      </c>
      <c r="H6" s="345">
        <f>SUM(tanks!AV10)</f>
        <v>0.38450000000000001</v>
      </c>
      <c r="I6" s="10">
        <f>('B5'!AU9)*0.51</f>
        <v>15.3</v>
      </c>
      <c r="J6" s="324">
        <f>'B5'!AX9/0.51</f>
        <v>1.3725490196078429</v>
      </c>
      <c r="K6" s="207">
        <f>WATER!I10</f>
        <v>166</v>
      </c>
      <c r="L6" s="346">
        <f>SUM(WATER!J10)</f>
        <v>1.5060240963855422</v>
      </c>
      <c r="M6" s="346">
        <f>WATER!Q10</f>
        <v>0</v>
      </c>
      <c r="N6" s="524">
        <v>0.6</v>
      </c>
      <c r="O6" s="10">
        <f>ELEC!B7</f>
        <v>6.992</v>
      </c>
    </row>
    <row r="7" spans="1:15">
      <c r="A7" t="s">
        <v>348</v>
      </c>
      <c r="B7">
        <f t="shared" si="0"/>
        <v>6</v>
      </c>
      <c r="C7">
        <v>4</v>
      </c>
      <c r="D7">
        <v>2020</v>
      </c>
      <c r="E7" s="207">
        <f>ELEC!N8</f>
        <v>10057.799999999814</v>
      </c>
      <c r="F7" s="345">
        <f>SUM('EDl log'!T9)</f>
        <v>5.7249516672137547E-2</v>
      </c>
      <c r="G7" s="207">
        <f>-tanks!AW11</f>
        <v>444</v>
      </c>
      <c r="H7" s="345">
        <f>SUM(tanks!AV11)</f>
        <v>0.38450000000000001</v>
      </c>
      <c r="I7" s="10">
        <f>('B5'!AU10)*0.51</f>
        <v>30.6</v>
      </c>
      <c r="J7" s="324">
        <f>'B5'!AX10/0.51</f>
        <v>1.3725490196078429</v>
      </c>
      <c r="K7" s="207">
        <f>WATER!I11</f>
        <v>19</v>
      </c>
      <c r="L7" s="346">
        <f>SUM(WATER!J11)</f>
        <v>13.157894736842104</v>
      </c>
      <c r="M7" s="346">
        <f>WATER!Q11</f>
        <v>0</v>
      </c>
      <c r="N7" s="524">
        <v>0.6</v>
      </c>
      <c r="O7" s="10">
        <f>ELEC!B8</f>
        <v>2.0009999999999999</v>
      </c>
    </row>
    <row r="8" spans="1:15">
      <c r="A8" t="s">
        <v>348</v>
      </c>
      <c r="B8">
        <f t="shared" si="0"/>
        <v>7</v>
      </c>
      <c r="C8">
        <v>4</v>
      </c>
      <c r="D8">
        <v>2020</v>
      </c>
      <c r="E8" s="207">
        <f>ELEC!N9</f>
        <v>7909.3999999999069</v>
      </c>
      <c r="F8" s="345">
        <f>SUM('EDl log'!T10)</f>
        <v>6.333228443431034E-2</v>
      </c>
      <c r="G8" s="207">
        <f>-tanks!AW12</f>
        <v>164</v>
      </c>
      <c r="H8" s="345">
        <f>SUM(tanks!AV12)</f>
        <v>0.38450000000000001</v>
      </c>
      <c r="I8" s="10">
        <f>('B5'!AU11)*0.51</f>
        <v>15.3</v>
      </c>
      <c r="J8" s="324">
        <f>'B5'!AX11/0.51</f>
        <v>1.3725490196078429</v>
      </c>
      <c r="K8" s="207">
        <f>WATER!I12</f>
        <v>0</v>
      </c>
      <c r="L8" s="346">
        <f>SUM(WATER!J12)</f>
        <v>0</v>
      </c>
      <c r="M8" s="346">
        <f>WATER!Q12</f>
        <v>0</v>
      </c>
      <c r="N8" s="524">
        <v>0.6</v>
      </c>
      <c r="O8" s="10">
        <f>ELEC!B9</f>
        <v>2.0009999999999999</v>
      </c>
    </row>
    <row r="9" spans="1:15">
      <c r="A9" t="s">
        <v>348</v>
      </c>
      <c r="B9">
        <f t="shared" si="0"/>
        <v>8</v>
      </c>
      <c r="C9">
        <v>4</v>
      </c>
      <c r="D9">
        <v>2020</v>
      </c>
      <c r="E9" s="207">
        <f>ELEC!N10</f>
        <v>10815.600000000093</v>
      </c>
      <c r="F9" s="345">
        <f>SUM('EDl log'!T11)</f>
        <v>6.8925058370308517E-2</v>
      </c>
      <c r="G9" s="207">
        <f>-tanks!AW13</f>
        <v>305</v>
      </c>
      <c r="H9" s="345">
        <f>SUM(tanks!AV13)</f>
        <v>0.38450000000000001</v>
      </c>
      <c r="I9" s="10">
        <f>('B5'!AU12)*0.51</f>
        <v>61.2</v>
      </c>
      <c r="J9" s="324">
        <f>'B5'!AX12/0.51</f>
        <v>1.3725490196078429</v>
      </c>
      <c r="K9" s="207">
        <f>WATER!I13</f>
        <v>29</v>
      </c>
      <c r="L9" s="346">
        <f>SUM(WATER!J13)</f>
        <v>8.6206896551724146</v>
      </c>
      <c r="M9" s="346">
        <f>WATER!Q13</f>
        <v>0</v>
      </c>
      <c r="N9" s="524">
        <v>0.6</v>
      </c>
      <c r="O9" s="10">
        <f>ELEC!B10</f>
        <v>10.994</v>
      </c>
    </row>
    <row r="10" spans="1:15">
      <c r="A10" t="s">
        <v>348</v>
      </c>
      <c r="B10">
        <f t="shared" si="0"/>
        <v>9</v>
      </c>
      <c r="C10">
        <v>4</v>
      </c>
      <c r="D10">
        <v>2020</v>
      </c>
      <c r="E10" s="207">
        <f>ELEC!N11</f>
        <v>9103</v>
      </c>
      <c r="F10" s="345">
        <f>SUM('EDl log'!T12)</f>
        <v>7.3464034419347471E-2</v>
      </c>
      <c r="G10" s="207">
        <f>-tanks!AW14</f>
        <v>615.70000000001164</v>
      </c>
      <c r="H10" s="345">
        <f>SUM(tanks!AV14)</f>
        <v>0.38450000000000001</v>
      </c>
      <c r="I10" s="10">
        <f>('B5'!AU13)*0.51</f>
        <v>158.1</v>
      </c>
      <c r="J10" s="324">
        <f>'B5'!AX13/0.51</f>
        <v>1.3725490196078429</v>
      </c>
      <c r="K10" s="207">
        <f>WATER!I14</f>
        <v>287</v>
      </c>
      <c r="L10" s="346">
        <f>SUM(WATER!J14)</f>
        <v>0.87108013937282225</v>
      </c>
      <c r="M10" s="346">
        <f>WATER!Q14</f>
        <v>0</v>
      </c>
      <c r="N10" s="524">
        <v>0.6</v>
      </c>
      <c r="O10" s="10">
        <f>ELEC!B11</f>
        <v>4.9910000000000005</v>
      </c>
    </row>
    <row r="11" spans="1:15">
      <c r="A11" t="s">
        <v>348</v>
      </c>
      <c r="B11">
        <f t="shared" si="0"/>
        <v>10</v>
      </c>
      <c r="C11">
        <v>4</v>
      </c>
      <c r="D11">
        <v>2020</v>
      </c>
      <c r="E11" s="207">
        <f>ELEC!N12</f>
        <v>8022.6000000000931</v>
      </c>
      <c r="F11" s="345">
        <f>SUM('EDl log'!T13)</f>
        <v>8.2986373969778066E-2</v>
      </c>
      <c r="G11" s="207">
        <f>-tanks!AW15</f>
        <v>426</v>
      </c>
      <c r="H11" s="345">
        <f>SUM(tanks!AV15)</f>
        <v>0.38450000000000001</v>
      </c>
      <c r="I11" s="10">
        <f>('B5'!AU14)*0.51</f>
        <v>45.9</v>
      </c>
      <c r="J11" s="324">
        <f>'B5'!AX14/0.51</f>
        <v>1.3725490196078429</v>
      </c>
      <c r="K11" s="207">
        <f>WATER!I15</f>
        <v>0</v>
      </c>
      <c r="L11" s="346">
        <f>SUM(WATER!J15)</f>
        <v>0</v>
      </c>
      <c r="M11" s="346">
        <f>WATER!Q15</f>
        <v>0</v>
      </c>
      <c r="N11" s="524">
        <v>0.6</v>
      </c>
      <c r="O11" s="10">
        <f>ELEC!B12</f>
        <v>2.0009999999999999</v>
      </c>
    </row>
    <row r="12" spans="1:15">
      <c r="A12" t="s">
        <v>348</v>
      </c>
      <c r="B12">
        <f t="shared" si="0"/>
        <v>11</v>
      </c>
      <c r="C12">
        <v>4</v>
      </c>
      <c r="D12">
        <v>2020</v>
      </c>
      <c r="E12" s="207">
        <f>ELEC!N13</f>
        <v>8603.3999999999069</v>
      </c>
      <c r="F12" s="345">
        <f>SUM('EDl log'!T14)</f>
        <v>6.7763691017402053E-2</v>
      </c>
      <c r="G12" s="207">
        <f>-tanks!AW16</f>
        <v>194</v>
      </c>
      <c r="H12" s="345">
        <f>SUM(tanks!AV16)</f>
        <v>0.38450000000000001</v>
      </c>
      <c r="I12" s="10">
        <f>('B5'!AU15)*0.51</f>
        <v>30.6</v>
      </c>
      <c r="J12" s="324">
        <f>'B5'!AX15/0.51</f>
        <v>1.3725490196078429</v>
      </c>
      <c r="K12" s="207">
        <f>WATER!I16</f>
        <v>0</v>
      </c>
      <c r="L12" s="346">
        <f>SUM(WATER!J16)</f>
        <v>0</v>
      </c>
      <c r="M12" s="346">
        <f>WATER!Q16</f>
        <v>0</v>
      </c>
      <c r="N12" s="524">
        <v>0.6</v>
      </c>
      <c r="O12" s="10">
        <f>ELEC!B13</f>
        <v>4.0019999999999998</v>
      </c>
    </row>
    <row r="13" spans="1:15">
      <c r="A13" t="s">
        <v>348</v>
      </c>
      <c r="B13">
        <f t="shared" si="0"/>
        <v>12</v>
      </c>
      <c r="C13">
        <v>4</v>
      </c>
      <c r="D13">
        <v>2020</v>
      </c>
      <c r="E13" s="207">
        <f>ELEC!N14</f>
        <v>8743</v>
      </c>
      <c r="F13" s="345">
        <f>SUM('EDl log'!T15)</f>
        <v>7.9652110986753219E-2</v>
      </c>
      <c r="G13" s="207">
        <f>-tanks!AW17</f>
        <v>308</v>
      </c>
      <c r="H13" s="345">
        <f>SUM(tanks!AV17)</f>
        <v>0.38450000000000001</v>
      </c>
      <c r="I13" s="10">
        <f>('B5'!AU16)*0.51</f>
        <v>61.2</v>
      </c>
      <c r="J13" s="324">
        <f>'B5'!AX16/0.51</f>
        <v>1.3725490196078429</v>
      </c>
      <c r="K13" s="207">
        <f>WATER!I17</f>
        <v>0</v>
      </c>
      <c r="L13" s="346">
        <f>SUM(WATER!J17)</f>
        <v>0</v>
      </c>
      <c r="M13" s="346">
        <f>WATER!Q17</f>
        <v>0</v>
      </c>
      <c r="N13" s="524">
        <v>0.6</v>
      </c>
      <c r="O13" s="10">
        <f>ELEC!B14</f>
        <v>2.9899999999999998</v>
      </c>
    </row>
    <row r="14" spans="1:15">
      <c r="A14" t="s">
        <v>348</v>
      </c>
      <c r="B14">
        <f t="shared" si="0"/>
        <v>13</v>
      </c>
      <c r="C14">
        <v>4</v>
      </c>
      <c r="D14">
        <v>2020</v>
      </c>
      <c r="E14" s="207">
        <f>ELEC!N15</f>
        <v>8764</v>
      </c>
      <c r="F14" s="345">
        <f>SUM('EDl log'!T16)</f>
        <v>8.3829721444484445E-2</v>
      </c>
      <c r="G14" s="207">
        <f>-tanks!AW18</f>
        <v>411</v>
      </c>
      <c r="H14" s="345">
        <f>SUM(tanks!AV18)</f>
        <v>0.38450000000000001</v>
      </c>
      <c r="I14" s="10">
        <f>('B5'!AU17)*0.51</f>
        <v>30.6</v>
      </c>
      <c r="J14" s="324">
        <f>'B5'!AX17/0.51</f>
        <v>1.3725490196078429</v>
      </c>
      <c r="K14" s="207">
        <f>WATER!I18</f>
        <v>45</v>
      </c>
      <c r="L14" s="346">
        <f>SUM(WATER!J18)</f>
        <v>5.5555555555555554</v>
      </c>
      <c r="M14" s="346">
        <f>WATER!Q18</f>
        <v>0</v>
      </c>
      <c r="N14" s="524">
        <v>0.6</v>
      </c>
      <c r="O14" s="10">
        <f>ELEC!B15</f>
        <v>8.0039999999999996</v>
      </c>
    </row>
    <row r="15" spans="1:15">
      <c r="A15" t="s">
        <v>348</v>
      </c>
      <c r="B15">
        <f t="shared" si="0"/>
        <v>14</v>
      </c>
      <c r="C15">
        <v>4</v>
      </c>
      <c r="D15">
        <v>2020</v>
      </c>
      <c r="E15" s="207">
        <f>ELEC!N16</f>
        <v>8688.3999999999069</v>
      </c>
      <c r="F15" s="345">
        <f>SUM('EDl log'!T17)</f>
        <v>6.9927488202158827E-2</v>
      </c>
      <c r="G15" s="207">
        <f>-tanks!AW19</f>
        <v>235</v>
      </c>
      <c r="H15" s="345">
        <f>SUM(tanks!AV19)</f>
        <v>0.38450000000000001</v>
      </c>
      <c r="I15" s="10">
        <f>('B5'!AU18)*0.51</f>
        <v>30.6</v>
      </c>
      <c r="J15" s="324">
        <f>'B5'!AX18/0.51</f>
        <v>1.3725490196078429</v>
      </c>
      <c r="K15" s="207">
        <f>WATER!I19</f>
        <v>0</v>
      </c>
      <c r="L15" s="346">
        <f>SUM(WATER!J19)</f>
        <v>0</v>
      </c>
      <c r="M15" s="346">
        <f>WATER!Q19</f>
        <v>0</v>
      </c>
      <c r="N15" s="524">
        <v>0.6</v>
      </c>
      <c r="O15" s="10">
        <f>ELEC!B16</f>
        <v>4.9910000000000005</v>
      </c>
    </row>
    <row r="16" spans="1:15">
      <c r="A16" t="s">
        <v>348</v>
      </c>
      <c r="B16">
        <f t="shared" si="0"/>
        <v>15</v>
      </c>
      <c r="C16">
        <v>4</v>
      </c>
      <c r="D16">
        <v>2020</v>
      </c>
      <c r="E16" s="207">
        <f>ELEC!N17</f>
        <v>9282</v>
      </c>
      <c r="F16" s="345">
        <f>SUM('EDl log'!T18)</f>
        <v>5.1187829420072717E-2</v>
      </c>
      <c r="G16" s="207">
        <f>-tanks!AW20</f>
        <v>537</v>
      </c>
      <c r="H16" s="345">
        <f>SUM(tanks!AV20)</f>
        <v>0.32666699999999999</v>
      </c>
      <c r="I16" s="10">
        <f>('B5'!AU19)*0.51</f>
        <v>45.9</v>
      </c>
      <c r="J16" s="324">
        <f>'B5'!AX19/0.51</f>
        <v>1.3725490196078429</v>
      </c>
      <c r="K16" s="207">
        <f>WATER!I20</f>
        <v>19</v>
      </c>
      <c r="L16" s="346">
        <f>SUM(WATER!J20)</f>
        <v>13.157894736842104</v>
      </c>
      <c r="M16" s="346">
        <f>WATER!Q20</f>
        <v>0</v>
      </c>
      <c r="N16" s="524">
        <v>0.6</v>
      </c>
      <c r="O16" s="10">
        <f>ELEC!B17</f>
        <v>2.9899999999999998</v>
      </c>
    </row>
    <row r="17" spans="1:15">
      <c r="A17" t="s">
        <v>348</v>
      </c>
      <c r="B17">
        <f t="shared" si="0"/>
        <v>16</v>
      </c>
      <c r="C17">
        <v>4</v>
      </c>
      <c r="D17">
        <v>2020</v>
      </c>
      <c r="E17" s="207">
        <f>ELEC!N18</f>
        <v>10771.600000000093</v>
      </c>
      <c r="F17" s="345">
        <f>SUM('EDl log'!T19)</f>
        <v>6.891551382696888E-2</v>
      </c>
      <c r="G17" s="207">
        <f>-tanks!AW21</f>
        <v>340</v>
      </c>
      <c r="H17" s="345">
        <f>SUM(tanks!AV21)</f>
        <v>0.32666699999999999</v>
      </c>
      <c r="I17" s="10">
        <f>('B5'!AU20)*0.51</f>
        <v>112.2</v>
      </c>
      <c r="J17" s="324">
        <f>'B5'!AX20/0.51</f>
        <v>1.3725490196078429</v>
      </c>
      <c r="K17" s="207">
        <f>WATER!I21</f>
        <v>50</v>
      </c>
      <c r="L17" s="346">
        <f>SUM(WATER!J21)</f>
        <v>5</v>
      </c>
      <c r="M17" s="346">
        <f>WATER!Q21</f>
        <v>0</v>
      </c>
      <c r="N17" s="524">
        <v>0.6</v>
      </c>
      <c r="O17" s="10">
        <f>ELEC!B18</f>
        <v>2.3000000000000003</v>
      </c>
    </row>
    <row r="18" spans="1:15">
      <c r="A18" t="s">
        <v>348</v>
      </c>
      <c r="B18">
        <f t="shared" si="0"/>
        <v>17</v>
      </c>
      <c r="C18">
        <v>4</v>
      </c>
      <c r="D18">
        <v>2020</v>
      </c>
      <c r="E18" s="207">
        <f>ELEC!N19</f>
        <v>8246</v>
      </c>
      <c r="F18" s="345">
        <f>SUM('EDl log'!T20)</f>
        <v>7.3363847791297426E-2</v>
      </c>
      <c r="G18" s="207">
        <f>-tanks!AW22</f>
        <v>247</v>
      </c>
      <c r="H18" s="345">
        <f>SUM(tanks!AV22)</f>
        <v>0.32666699999999999</v>
      </c>
      <c r="I18" s="10">
        <f>('B5'!AU21)*0.51</f>
        <v>30.6</v>
      </c>
      <c r="J18" s="324">
        <f>'B5'!AX21/0.51</f>
        <v>1.3725490196078429</v>
      </c>
      <c r="K18" s="207">
        <f>WATER!I22</f>
        <v>254</v>
      </c>
      <c r="L18" s="346">
        <f>SUM(WATER!J22)</f>
        <v>0.98425196850393704</v>
      </c>
      <c r="M18" s="346">
        <f>WATER!Q22</f>
        <v>0</v>
      </c>
      <c r="N18" s="524">
        <v>0.6</v>
      </c>
      <c r="O18" s="10">
        <f>ELEC!B19</f>
        <v>2.0009999999999999</v>
      </c>
    </row>
    <row r="19" spans="1:15">
      <c r="A19" t="s">
        <v>348</v>
      </c>
      <c r="B19">
        <f t="shared" si="0"/>
        <v>18</v>
      </c>
      <c r="C19">
        <v>4</v>
      </c>
      <c r="D19">
        <v>2020</v>
      </c>
      <c r="E19" s="207">
        <f>ELEC!N20</f>
        <v>9623</v>
      </c>
      <c r="F19" s="345">
        <f>SUM('EDl log'!T21)</f>
        <v>7.2203511069627024E-2</v>
      </c>
      <c r="G19" s="207">
        <f>-tanks!AW23</f>
        <v>295</v>
      </c>
      <c r="H19" s="345">
        <f>SUM(tanks!AV23)</f>
        <v>0.32666699999999999</v>
      </c>
      <c r="I19" s="10">
        <f>('B5'!AU22)*0.51</f>
        <v>61.2</v>
      </c>
      <c r="J19" s="324">
        <f>'B5'!AX22/0.51</f>
        <v>1.3725490196078429</v>
      </c>
      <c r="K19" s="207">
        <f>WATER!I23</f>
        <v>0</v>
      </c>
      <c r="L19" s="346">
        <f>SUM(WATER!J23)</f>
        <v>0</v>
      </c>
      <c r="M19" s="346">
        <f>WATER!Q23</f>
        <v>0</v>
      </c>
      <c r="N19" s="524">
        <v>0.6</v>
      </c>
      <c r="O19" s="10">
        <f>ELEC!B20</f>
        <v>2.9899999999999998</v>
      </c>
    </row>
    <row r="20" spans="1:15">
      <c r="A20" t="s">
        <v>348</v>
      </c>
      <c r="B20">
        <f t="shared" si="0"/>
        <v>19</v>
      </c>
      <c r="C20">
        <v>4</v>
      </c>
      <c r="D20">
        <v>2020</v>
      </c>
      <c r="E20" s="207">
        <f>ELEC!N21</f>
        <v>9050</v>
      </c>
      <c r="F20" s="345">
        <f>SUM('EDl log'!T22)</f>
        <v>7.2132005533632707E-2</v>
      </c>
      <c r="G20" s="207">
        <f>-tanks!AW24</f>
        <v>323</v>
      </c>
      <c r="H20" s="345">
        <f>SUM(tanks!AV24)</f>
        <v>0.32666699999999999</v>
      </c>
      <c r="I20" s="10">
        <f>('B5'!AU23)*0.51</f>
        <v>45.9</v>
      </c>
      <c r="J20" s="324">
        <f>'B5'!AX23/0.51</f>
        <v>1.3725490196078429</v>
      </c>
      <c r="K20" s="207">
        <f>WATER!I24</f>
        <v>0</v>
      </c>
      <c r="L20" s="346">
        <f>SUM(WATER!J24)</f>
        <v>0</v>
      </c>
      <c r="M20" s="346">
        <f>WATER!Q24</f>
        <v>0</v>
      </c>
      <c r="N20" s="524">
        <v>0.6</v>
      </c>
      <c r="O20" s="10">
        <f>ELEC!B21</f>
        <v>4.9910000000000005</v>
      </c>
    </row>
    <row r="21" spans="1:15">
      <c r="A21" t="s">
        <v>348</v>
      </c>
      <c r="B21">
        <f t="shared" si="0"/>
        <v>20</v>
      </c>
      <c r="C21">
        <v>4</v>
      </c>
      <c r="D21">
        <v>2020</v>
      </c>
      <c r="E21" s="207">
        <f>ELEC!N22</f>
        <v>9698</v>
      </c>
      <c r="F21" s="345">
        <f>SUM('EDl log'!T23)</f>
        <v>6.780937798143509E-2</v>
      </c>
      <c r="G21" s="207">
        <f>-tanks!AW25</f>
        <v>366</v>
      </c>
      <c r="H21" s="345">
        <f>SUM(tanks!AV25)</f>
        <v>0.32666699999999999</v>
      </c>
      <c r="I21" s="10">
        <f>('B5'!AU24)*0.51</f>
        <v>30.6</v>
      </c>
      <c r="J21" s="324">
        <f>'B5'!AX24/0.51</f>
        <v>1.3725490196078429</v>
      </c>
      <c r="K21" s="207">
        <f>WATER!I25</f>
        <v>0</v>
      </c>
      <c r="L21" s="346">
        <f>SUM(WATER!J25)</f>
        <v>0</v>
      </c>
      <c r="M21" s="346">
        <f>WATER!Q25</f>
        <v>0</v>
      </c>
      <c r="N21" s="524">
        <v>0.6</v>
      </c>
      <c r="O21" s="10">
        <f>ELEC!B22</f>
        <v>2.0009999999999999</v>
      </c>
    </row>
    <row r="22" spans="1:15">
      <c r="A22" t="s">
        <v>348</v>
      </c>
      <c r="B22">
        <f t="shared" si="0"/>
        <v>21</v>
      </c>
      <c r="C22">
        <v>4</v>
      </c>
      <c r="D22">
        <v>2020</v>
      </c>
      <c r="E22" s="207">
        <f>ELEC!N23</f>
        <v>8454</v>
      </c>
      <c r="F22" s="345">
        <f>SUM('EDl log'!T24)</f>
        <v>7.0598564405686973E-2</v>
      </c>
      <c r="G22" s="207">
        <f>-tanks!AW26</f>
        <v>225</v>
      </c>
      <c r="H22" s="345">
        <f>SUM(tanks!AV26)</f>
        <v>0.32666699999999999</v>
      </c>
      <c r="I22" s="10">
        <f>('B5'!AU25)*0.51</f>
        <v>15.3</v>
      </c>
      <c r="J22" s="324">
        <f>'B5'!AX25/0.51</f>
        <v>1.3725490196078429</v>
      </c>
      <c r="K22" s="207">
        <f>WATER!I26</f>
        <v>0</v>
      </c>
      <c r="L22" s="346">
        <f>SUM(WATER!J26)</f>
        <v>0</v>
      </c>
      <c r="M22" s="346">
        <f>WATER!Q26</f>
        <v>0</v>
      </c>
      <c r="N22" s="524">
        <v>0.6</v>
      </c>
      <c r="O22" s="10">
        <f>ELEC!B23</f>
        <v>2.0009999999999999</v>
      </c>
    </row>
    <row r="23" spans="1:15">
      <c r="A23" t="s">
        <v>348</v>
      </c>
      <c r="B23">
        <f t="shared" si="0"/>
        <v>22</v>
      </c>
      <c r="C23">
        <v>4</v>
      </c>
      <c r="D23">
        <v>2020</v>
      </c>
      <c r="E23" s="207">
        <f>ELEC!N24</f>
        <v>9840</v>
      </c>
      <c r="F23" s="345">
        <f>SUM('EDl log'!T25)</f>
        <v>7.0337888866959505E-2</v>
      </c>
      <c r="G23" s="207">
        <f>-tanks!AW27</f>
        <v>345</v>
      </c>
      <c r="H23" s="345">
        <f>SUM(tanks!AV27)</f>
        <v>0.32666699999999999</v>
      </c>
      <c r="I23" s="10">
        <f>('B5'!AU26)*0.51</f>
        <v>76.5</v>
      </c>
      <c r="J23" s="324">
        <f>'B5'!AX26/0.51</f>
        <v>1.3725490196078429</v>
      </c>
      <c r="K23" s="207">
        <f>WATER!I27</f>
        <v>0</v>
      </c>
      <c r="L23" s="346">
        <f>SUM(WATER!J27)</f>
        <v>0</v>
      </c>
      <c r="M23" s="346">
        <f>WATER!Q27</f>
        <v>0</v>
      </c>
      <c r="N23" s="524">
        <v>0.6</v>
      </c>
      <c r="O23" s="10">
        <f>ELEC!B24</f>
        <v>2.0009999999999999</v>
      </c>
    </row>
    <row r="24" spans="1:15">
      <c r="A24" t="s">
        <v>348</v>
      </c>
      <c r="B24">
        <f t="shared" si="0"/>
        <v>23</v>
      </c>
      <c r="C24">
        <v>4</v>
      </c>
      <c r="D24">
        <v>2020</v>
      </c>
      <c r="E24" s="207">
        <f>ELEC!N25</f>
        <v>8387</v>
      </c>
      <c r="F24" s="345">
        <f>SUM('EDl log'!T26)</f>
        <v>9.3220413634783034E-2</v>
      </c>
      <c r="G24" s="207">
        <f>-tanks!AW28</f>
        <v>456</v>
      </c>
      <c r="H24" s="345">
        <f>SUM(tanks!AV28)</f>
        <v>0.32666699999999999</v>
      </c>
      <c r="I24" s="10">
        <f>('B5'!AU27)*0.51</f>
        <v>91.8</v>
      </c>
      <c r="J24" s="324">
        <f>'B5'!AX27/0.51</f>
        <v>1.3725490196078429</v>
      </c>
      <c r="K24" s="207">
        <f>WATER!I28</f>
        <v>63</v>
      </c>
      <c r="L24" s="346">
        <f>SUM(WATER!J28)</f>
        <v>3.9682539682539684</v>
      </c>
      <c r="M24" s="346">
        <f>WATER!Q28</f>
        <v>0</v>
      </c>
      <c r="N24" s="524">
        <v>0.6</v>
      </c>
      <c r="O24" s="10">
        <f>ELEC!B25</f>
        <v>2.0009999999999999</v>
      </c>
    </row>
    <row r="25" spans="1:15">
      <c r="A25" t="s">
        <v>348</v>
      </c>
      <c r="B25">
        <f t="shared" si="0"/>
        <v>24</v>
      </c>
      <c r="C25">
        <v>4</v>
      </c>
      <c r="D25">
        <v>2020</v>
      </c>
      <c r="E25" s="207">
        <f>ELEC!N26</f>
        <v>10222.399999999907</v>
      </c>
      <c r="F25" s="345">
        <f>SUM('EDl log'!T27)</f>
        <v>6.6762310428324048E-2</v>
      </c>
      <c r="G25" s="207">
        <f>-tanks!AW29</f>
        <v>319</v>
      </c>
      <c r="H25" s="345">
        <f>SUM(tanks!AV29)</f>
        <v>0.32666699999999999</v>
      </c>
      <c r="I25" s="10">
        <f>('B5'!AU28)*0.51</f>
        <v>45.9</v>
      </c>
      <c r="J25" s="324">
        <f>'B5'!AX28/0.51</f>
        <v>1.3725490196078429</v>
      </c>
      <c r="K25" s="207">
        <f>WATER!I29</f>
        <v>0</v>
      </c>
      <c r="L25" s="346">
        <f>SUM(WATER!J29)</f>
        <v>0</v>
      </c>
      <c r="M25" s="346">
        <f>WATER!Q29</f>
        <v>0</v>
      </c>
      <c r="N25" s="524">
        <v>0.6</v>
      </c>
      <c r="O25" s="10">
        <f>ELEC!B26</f>
        <v>2.0009999999999999</v>
      </c>
    </row>
    <row r="26" spans="1:15">
      <c r="A26" t="s">
        <v>348</v>
      </c>
      <c r="B26">
        <f>B25+1</f>
        <v>25</v>
      </c>
      <c r="C26">
        <v>4</v>
      </c>
      <c r="D26">
        <v>2020</v>
      </c>
      <c r="E26" s="207">
        <f>ELEC!N27</f>
        <v>9169.6000000000931</v>
      </c>
      <c r="F26" s="345">
        <f>SUM('EDl log'!T28)</f>
        <v>7.6327414161231816E-2</v>
      </c>
      <c r="G26" s="207">
        <f>-tanks!AW30</f>
        <v>337</v>
      </c>
      <c r="H26" s="345">
        <f>SUM(tanks!AV30)</f>
        <v>0.32666699999999999</v>
      </c>
      <c r="I26" s="10">
        <f>('B5'!AU29)*0.51</f>
        <v>15.3</v>
      </c>
      <c r="J26" s="324">
        <f>'B5'!AX29/0.51</f>
        <v>1.3725490196078429</v>
      </c>
      <c r="K26" s="207">
        <f>WATER!I30</f>
        <v>0</v>
      </c>
      <c r="L26" s="346">
        <f>SUM(WATER!J30)</f>
        <v>0</v>
      </c>
      <c r="M26" s="346">
        <f>WATER!Q30</f>
        <v>0</v>
      </c>
      <c r="N26" s="524">
        <v>0.6</v>
      </c>
      <c r="O26" s="10">
        <f>ELEC!B27</f>
        <v>4.0019999999999998</v>
      </c>
    </row>
    <row r="27" spans="1:15">
      <c r="A27" t="s">
        <v>348</v>
      </c>
      <c r="B27">
        <f t="shared" si="0"/>
        <v>26</v>
      </c>
      <c r="C27">
        <v>4</v>
      </c>
      <c r="D27">
        <v>2020</v>
      </c>
      <c r="E27" s="207">
        <f>ELEC!N28</f>
        <v>8400</v>
      </c>
      <c r="F27" s="345">
        <f>SUM('EDl log'!T29)</f>
        <v>7.3748988121175127E-2</v>
      </c>
      <c r="G27" s="207">
        <f>-tanks!AW31</f>
        <v>277</v>
      </c>
      <c r="H27" s="345">
        <f>SUM(tanks!AV31)</f>
        <v>0.32666699999999999</v>
      </c>
      <c r="I27" s="10">
        <f>('B5'!AU30)*0.51</f>
        <v>15.3</v>
      </c>
      <c r="J27" s="324">
        <f>'B5'!AX30/0.51</f>
        <v>1.3725490196078429</v>
      </c>
      <c r="K27" s="207">
        <f>WATER!I31</f>
        <v>0</v>
      </c>
      <c r="L27" s="346">
        <f>SUM(WATER!J31)</f>
        <v>0</v>
      </c>
      <c r="M27" s="346">
        <f>WATER!Q31</f>
        <v>0</v>
      </c>
      <c r="N27" s="524">
        <v>0.6</v>
      </c>
      <c r="O27" s="10">
        <f>ELEC!B28</f>
        <v>8.0039999999999996</v>
      </c>
    </row>
    <row r="28" spans="1:15">
      <c r="A28" t="s">
        <v>348</v>
      </c>
      <c r="B28">
        <f t="shared" si="0"/>
        <v>27</v>
      </c>
      <c r="C28">
        <v>4</v>
      </c>
      <c r="D28">
        <v>2020</v>
      </c>
      <c r="E28" s="207">
        <f>ELEC!N29</f>
        <v>9650</v>
      </c>
      <c r="F28" s="345">
        <f>SUM('EDl log'!T30)</f>
        <v>8.0313972662490546E-2</v>
      </c>
      <c r="G28" s="207">
        <f>-tanks!AW32</f>
        <v>322</v>
      </c>
      <c r="H28" s="345">
        <f>SUM(tanks!AV32)</f>
        <v>0.32666699999999999</v>
      </c>
      <c r="I28" s="10">
        <f>('B5'!AU31)*0.51</f>
        <v>30.6</v>
      </c>
      <c r="J28" s="324">
        <f>'B5'!AX31/0.51</f>
        <v>1.3725490196078429</v>
      </c>
      <c r="K28" s="207">
        <f>WATER!I32</f>
        <v>1</v>
      </c>
      <c r="L28" s="346">
        <f>SUM(WATER!J32)</f>
        <v>250</v>
      </c>
      <c r="M28" s="346">
        <f>WATER!Q32</f>
        <v>0</v>
      </c>
      <c r="N28" s="524">
        <v>0.6</v>
      </c>
      <c r="O28" s="10">
        <f>ELEC!B29</f>
        <v>2.0009999999999999</v>
      </c>
    </row>
    <row r="29" spans="1:15">
      <c r="A29" t="s">
        <v>348</v>
      </c>
      <c r="B29">
        <f t="shared" si="0"/>
        <v>28</v>
      </c>
      <c r="C29">
        <v>4</v>
      </c>
      <c r="D29">
        <v>2020</v>
      </c>
      <c r="E29" s="207">
        <f>ELEC!N30</f>
        <v>8764</v>
      </c>
      <c r="F29" s="345">
        <f>SUM('EDl log'!T31)</f>
        <v>7.2726806282063183E-2</v>
      </c>
      <c r="G29" s="207">
        <f>-tanks!AW33</f>
        <v>230</v>
      </c>
      <c r="H29" s="345">
        <f>SUM(tanks!AV33)</f>
        <v>0.32666699999999999</v>
      </c>
      <c r="I29" s="10">
        <f>('B5'!AU32)*0.51</f>
        <v>30.6</v>
      </c>
      <c r="J29" s="324">
        <f>'B5'!AX32/0.51</f>
        <v>1.3725490196078429</v>
      </c>
      <c r="K29" s="207">
        <f>WATER!I33</f>
        <v>0</v>
      </c>
      <c r="L29" s="346">
        <f>SUM(WATER!J33)</f>
        <v>0</v>
      </c>
      <c r="M29" s="346">
        <f>WATER!Q33</f>
        <v>0</v>
      </c>
      <c r="N29" s="524">
        <v>0.6</v>
      </c>
      <c r="O29" s="10">
        <f>ELEC!B30</f>
        <v>4.0019999999999998</v>
      </c>
    </row>
    <row r="30" spans="1:15">
      <c r="A30" t="s">
        <v>348</v>
      </c>
      <c r="B30">
        <f t="shared" si="0"/>
        <v>29</v>
      </c>
      <c r="C30">
        <v>4</v>
      </c>
      <c r="D30">
        <v>2020</v>
      </c>
      <c r="E30" s="207">
        <f>ELEC!N31</f>
        <v>9068.3999999999069</v>
      </c>
      <c r="F30" s="345">
        <f>SUM('EDl log'!T32)</f>
        <v>3.8606859056131905E-2</v>
      </c>
      <c r="G30" s="207">
        <f>-tanks!AW34</f>
        <v>302.80000000001746</v>
      </c>
      <c r="H30" s="345">
        <f>SUM(tanks!AV34)</f>
        <v>0.28399999999999997</v>
      </c>
      <c r="I30" s="10">
        <f>('B5'!AU33)*0.51</f>
        <v>76.5</v>
      </c>
      <c r="J30" s="324">
        <f>'B5'!AX33/0.51</f>
        <v>1.3725490196078429</v>
      </c>
      <c r="K30" s="207">
        <f>WATER!I34</f>
        <v>0</v>
      </c>
      <c r="L30" s="346">
        <f>SUM(WATER!J34)</f>
        <v>0</v>
      </c>
      <c r="M30" s="346">
        <f>WATER!Q34</f>
        <v>0</v>
      </c>
      <c r="N30" s="524">
        <v>0.6</v>
      </c>
      <c r="O30" s="10">
        <f>ELEC!B31</f>
        <v>4.0019999999999998</v>
      </c>
    </row>
    <row r="31" spans="1:15">
      <c r="A31" t="s">
        <v>348</v>
      </c>
      <c r="B31">
        <f t="shared" si="0"/>
        <v>30</v>
      </c>
      <c r="C31">
        <v>4</v>
      </c>
      <c r="D31">
        <v>2020</v>
      </c>
      <c r="E31" s="207">
        <f>ELEC!N32</f>
        <v>10173.200000000186</v>
      </c>
      <c r="F31" s="345">
        <f>SUM('EDl log'!T33)</f>
        <v>6.6615023647451851E-2</v>
      </c>
      <c r="G31" s="207">
        <f>-tanks!AW35</f>
        <v>281</v>
      </c>
      <c r="H31" s="345">
        <f>SUM(tanks!AV35)</f>
        <v>0.28399999999999997</v>
      </c>
      <c r="I31" s="10">
        <f>('B5'!AU34)*0.51</f>
        <v>224.4</v>
      </c>
      <c r="J31" s="324">
        <f>'B5'!AX34/0.51</f>
        <v>1.3725490196078429</v>
      </c>
      <c r="K31" s="207">
        <f>WATER!I35</f>
        <v>0</v>
      </c>
      <c r="L31" s="346">
        <f>SUM(WATER!J35)</f>
        <v>0</v>
      </c>
      <c r="M31" s="346">
        <f>WATER!Q35</f>
        <v>0</v>
      </c>
      <c r="N31" s="524">
        <v>0.6</v>
      </c>
      <c r="O31" s="10">
        <f>ELEC!B32</f>
        <v>2.9899999999999998</v>
      </c>
    </row>
    <row r="32" spans="1:15">
      <c r="E32" s="207"/>
      <c r="F32" s="345"/>
      <c r="G32" s="207"/>
      <c r="H32" s="345"/>
      <c r="I32" s="10"/>
      <c r="J32" s="324"/>
      <c r="K32" s="207"/>
      <c r="L32" s="346"/>
      <c r="M32" s="346"/>
      <c r="N32" s="524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E33" sqref="E3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4</v>
      </c>
      <c r="D2">
        <v>2020</v>
      </c>
      <c r="E2" s="207">
        <f>ELEC!M3</f>
        <v>2880</v>
      </c>
      <c r="F2" s="207">
        <f>ELEC!K3</f>
        <v>740</v>
      </c>
      <c r="G2" s="207">
        <f>ELEC!I3</f>
        <v>1112</v>
      </c>
      <c r="H2" s="207">
        <f>ELEC!E3</f>
        <v>1668</v>
      </c>
      <c r="I2" s="207">
        <f>ELEC!G3</f>
        <v>1262.2000000001863</v>
      </c>
      <c r="J2" s="207">
        <f>WATER!Y6</f>
        <v>99</v>
      </c>
      <c r="K2" s="207">
        <f>WATER!AJ6</f>
        <v>0</v>
      </c>
      <c r="L2" s="10">
        <f>ELEC!B3</f>
        <v>4.0019999999999998</v>
      </c>
      <c r="M2" s="10"/>
    </row>
    <row r="3" spans="1:13">
      <c r="A3" t="s">
        <v>348</v>
      </c>
      <c r="B3">
        <f>B2+1</f>
        <v>2</v>
      </c>
      <c r="C3">
        <v>4</v>
      </c>
      <c r="D3">
        <v>2020</v>
      </c>
      <c r="E3" s="207">
        <f>ELEC!M4</f>
        <v>2800</v>
      </c>
      <c r="F3" s="207">
        <f>ELEC!K4</f>
        <v>776</v>
      </c>
      <c r="G3" s="207">
        <f>ELEC!I4</f>
        <v>1056</v>
      </c>
      <c r="H3" s="207">
        <f>ELEC!E4</f>
        <v>1572</v>
      </c>
      <c r="I3" s="207">
        <f>ELEC!G4</f>
        <v>1233.5999999996275</v>
      </c>
      <c r="J3" s="207">
        <f>WATER!Y7</f>
        <v>72</v>
      </c>
      <c r="K3" s="207">
        <f>WATER!AJ7</f>
        <v>20</v>
      </c>
      <c r="L3" s="10">
        <f>ELEC!B4</f>
        <v>2.0009999999999999</v>
      </c>
      <c r="M3" s="10"/>
    </row>
    <row r="4" spans="1:13">
      <c r="A4" t="s">
        <v>348</v>
      </c>
      <c r="B4">
        <f t="shared" ref="B4:B31" si="0">B3+1</f>
        <v>3</v>
      </c>
      <c r="C4">
        <v>4</v>
      </c>
      <c r="D4">
        <v>2020</v>
      </c>
      <c r="E4" s="207">
        <f>ELEC!M5</f>
        <v>3270</v>
      </c>
      <c r="F4" s="207">
        <f>ELEC!K5</f>
        <v>918</v>
      </c>
      <c r="G4" s="207">
        <f>ELEC!I5</f>
        <v>1130</v>
      </c>
      <c r="H4" s="207">
        <f>ELEC!E5</f>
        <v>2056</v>
      </c>
      <c r="I4" s="207">
        <f>ELEC!G5</f>
        <v>1291.2000000001863</v>
      </c>
      <c r="J4" s="207">
        <f>WATER!Y8</f>
        <v>60</v>
      </c>
      <c r="K4" s="207">
        <f>WATER!AJ8</f>
        <v>34</v>
      </c>
      <c r="L4" s="10">
        <f>ELEC!B5</f>
        <v>2.0009999999999999</v>
      </c>
      <c r="M4" s="10"/>
    </row>
    <row r="5" spans="1:13">
      <c r="A5" t="s">
        <v>348</v>
      </c>
      <c r="B5">
        <f t="shared" si="0"/>
        <v>4</v>
      </c>
      <c r="C5">
        <v>4</v>
      </c>
      <c r="D5">
        <v>2020</v>
      </c>
      <c r="E5" s="207">
        <f>ELEC!M6</f>
        <v>2810</v>
      </c>
      <c r="F5" s="207">
        <f>ELEC!K6</f>
        <v>774</v>
      </c>
      <c r="G5" s="207">
        <f>ELEC!I6</f>
        <v>1112</v>
      </c>
      <c r="H5" s="207">
        <f>ELEC!E6</f>
        <v>1784</v>
      </c>
      <c r="I5" s="207">
        <f>ELEC!G6</f>
        <v>1190.3999999999069</v>
      </c>
      <c r="J5" s="207">
        <f>WATER!Y9</f>
        <v>10</v>
      </c>
      <c r="K5" s="207">
        <f>WATER!AJ9</f>
        <v>0</v>
      </c>
      <c r="L5" s="10">
        <f>ELEC!B6</f>
        <v>2.9899999999999998</v>
      </c>
      <c r="M5" s="10"/>
    </row>
    <row r="6" spans="1:13">
      <c r="A6" t="s">
        <v>348</v>
      </c>
      <c r="B6">
        <f t="shared" si="0"/>
        <v>5</v>
      </c>
      <c r="C6">
        <v>4</v>
      </c>
      <c r="D6">
        <v>2020</v>
      </c>
      <c r="E6" s="207">
        <f>ELEC!M7</f>
        <v>2492</v>
      </c>
      <c r="F6" s="207">
        <f>ELEC!K7</f>
        <v>888</v>
      </c>
      <c r="G6" s="207">
        <f>ELEC!I7</f>
        <v>1086</v>
      </c>
      <c r="H6" s="207">
        <f>ELEC!E7</f>
        <v>2924</v>
      </c>
      <c r="I6" s="207">
        <f>ELEC!G7</f>
        <v>1148.8000000002794</v>
      </c>
      <c r="J6" s="207">
        <f>WATER!Y10</f>
        <v>0</v>
      </c>
      <c r="K6" s="207">
        <f>WATER!AJ10</f>
        <v>70</v>
      </c>
      <c r="L6" s="10">
        <f>ELEC!B7</f>
        <v>6.992</v>
      </c>
      <c r="M6" s="10"/>
    </row>
    <row r="7" spans="1:13">
      <c r="A7" t="s">
        <v>348</v>
      </c>
      <c r="B7">
        <f t="shared" si="0"/>
        <v>6</v>
      </c>
      <c r="C7">
        <v>4</v>
      </c>
      <c r="D7">
        <v>2020</v>
      </c>
      <c r="E7" s="207">
        <f>ELEC!M8</f>
        <v>3192</v>
      </c>
      <c r="F7" s="207">
        <f>ELEC!K8</f>
        <v>1022</v>
      </c>
      <c r="G7" s="207">
        <f>ELEC!I8</f>
        <v>1192</v>
      </c>
      <c r="H7" s="207">
        <f>ELEC!E8</f>
        <v>3300</v>
      </c>
      <c r="I7" s="207">
        <f>ELEC!G8</f>
        <v>1351.7999999998137</v>
      </c>
      <c r="J7" s="207">
        <f>WATER!Y11</f>
        <v>4</v>
      </c>
      <c r="K7" s="207">
        <f>WATER!AJ11</f>
        <v>0</v>
      </c>
      <c r="L7" s="10">
        <f>ELEC!B8</f>
        <v>2.0009999999999999</v>
      </c>
      <c r="M7" s="10"/>
    </row>
    <row r="8" spans="1:13">
      <c r="A8" t="s">
        <v>348</v>
      </c>
      <c r="B8">
        <f t="shared" si="0"/>
        <v>7</v>
      </c>
      <c r="C8">
        <v>4</v>
      </c>
      <c r="D8">
        <v>2020</v>
      </c>
      <c r="E8" s="207">
        <f>ELEC!M9</f>
        <v>2542</v>
      </c>
      <c r="F8" s="207">
        <f>ELEC!K9</f>
        <v>832</v>
      </c>
      <c r="G8" s="207">
        <f>ELEC!I9</f>
        <v>1086</v>
      </c>
      <c r="H8" s="207">
        <f>ELEC!E9</f>
        <v>2178</v>
      </c>
      <c r="I8" s="207">
        <f>ELEC!G9</f>
        <v>1271.3999999999069</v>
      </c>
      <c r="J8" s="207">
        <f>WATER!Y12</f>
        <v>0</v>
      </c>
      <c r="K8" s="207">
        <f>WATER!AJ12</f>
        <v>37</v>
      </c>
      <c r="L8" s="10">
        <f>ELEC!B9</f>
        <v>2.0009999999999999</v>
      </c>
      <c r="M8" s="10"/>
    </row>
    <row r="9" spans="1:13">
      <c r="A9" t="s">
        <v>348</v>
      </c>
      <c r="B9">
        <f t="shared" si="0"/>
        <v>8</v>
      </c>
      <c r="C9">
        <v>4</v>
      </c>
      <c r="D9">
        <v>2020</v>
      </c>
      <c r="E9" s="207">
        <f>ELEC!M10</f>
        <v>2910</v>
      </c>
      <c r="F9" s="207">
        <f>ELEC!K10</f>
        <v>1174</v>
      </c>
      <c r="G9" s="207">
        <f>ELEC!I10</f>
        <v>1352</v>
      </c>
      <c r="H9" s="207">
        <f>ELEC!E10</f>
        <v>3866</v>
      </c>
      <c r="I9" s="207">
        <f>ELEC!G10</f>
        <v>1513.6000000000931</v>
      </c>
      <c r="J9" s="207">
        <f>WATER!Y13</f>
        <v>81</v>
      </c>
      <c r="K9" s="207">
        <f>WATER!AJ13</f>
        <v>0</v>
      </c>
      <c r="L9" s="10">
        <f>ELEC!B10</f>
        <v>10.994</v>
      </c>
      <c r="M9" s="10"/>
    </row>
    <row r="10" spans="1:13">
      <c r="A10" t="s">
        <v>348</v>
      </c>
      <c r="B10">
        <f t="shared" si="0"/>
        <v>9</v>
      </c>
      <c r="C10">
        <v>4</v>
      </c>
      <c r="D10">
        <v>2020</v>
      </c>
      <c r="E10" s="207">
        <f>ELEC!M11</f>
        <v>2356</v>
      </c>
      <c r="F10" s="207">
        <f>ELEC!K11</f>
        <v>972</v>
      </c>
      <c r="G10" s="207">
        <f>ELEC!I11</f>
        <v>1158</v>
      </c>
      <c r="H10" s="207">
        <f>ELEC!E11</f>
        <v>3330</v>
      </c>
      <c r="I10" s="207">
        <f>ELEC!G11</f>
        <v>1287</v>
      </c>
      <c r="J10" s="207">
        <f>WATER!Y14</f>
        <v>78</v>
      </c>
      <c r="K10" s="207">
        <f>WATER!AJ14</f>
        <v>24</v>
      </c>
      <c r="L10" s="10">
        <f>ELEC!B11</f>
        <v>4.9910000000000005</v>
      </c>
      <c r="M10" s="10"/>
    </row>
    <row r="11" spans="1:13">
      <c r="A11" t="s">
        <v>348</v>
      </c>
      <c r="B11">
        <f t="shared" si="0"/>
        <v>10</v>
      </c>
      <c r="C11">
        <v>4</v>
      </c>
      <c r="D11">
        <v>2020</v>
      </c>
      <c r="E11" s="207">
        <f>ELEC!M12</f>
        <v>2392</v>
      </c>
      <c r="F11" s="207">
        <f>ELEC!K12</f>
        <v>954</v>
      </c>
      <c r="G11" s="207">
        <f>ELEC!I12</f>
        <v>1200</v>
      </c>
      <c r="H11" s="207">
        <f>ELEC!E12</f>
        <v>2186</v>
      </c>
      <c r="I11" s="207">
        <f>ELEC!G12</f>
        <v>1290.6000000000931</v>
      </c>
      <c r="J11" s="207">
        <f>WATER!Y15</f>
        <v>0</v>
      </c>
      <c r="K11" s="207">
        <f>WATER!AJ15</f>
        <v>0</v>
      </c>
      <c r="L11" s="10">
        <f>ELEC!B12</f>
        <v>2.0009999999999999</v>
      </c>
      <c r="M11" s="10"/>
    </row>
    <row r="12" spans="1:13">
      <c r="A12" t="s">
        <v>348</v>
      </c>
      <c r="B12">
        <f t="shared" si="0"/>
        <v>11</v>
      </c>
      <c r="C12">
        <v>4</v>
      </c>
      <c r="D12">
        <v>2020</v>
      </c>
      <c r="E12" s="207">
        <f>ELEC!M13</f>
        <v>2612</v>
      </c>
      <c r="F12" s="207">
        <f>ELEC!K13</f>
        <v>978</v>
      </c>
      <c r="G12" s="207">
        <f>ELEC!I13</f>
        <v>1300</v>
      </c>
      <c r="H12" s="207">
        <f>ELEC!E13</f>
        <v>2336</v>
      </c>
      <c r="I12" s="207">
        <f>ELEC!G13</f>
        <v>1377.3999999999069</v>
      </c>
      <c r="J12" s="207">
        <f>WATER!Y16</f>
        <v>0</v>
      </c>
      <c r="K12" s="207">
        <f>WATER!AJ16</f>
        <v>5</v>
      </c>
      <c r="L12" s="10">
        <f>ELEC!B13</f>
        <v>4.0019999999999998</v>
      </c>
      <c r="M12" s="10"/>
    </row>
    <row r="13" spans="1:13">
      <c r="A13" t="s">
        <v>348</v>
      </c>
      <c r="B13">
        <f t="shared" si="0"/>
        <v>12</v>
      </c>
      <c r="C13">
        <v>4</v>
      </c>
      <c r="D13">
        <v>2020</v>
      </c>
      <c r="E13" s="207">
        <f>ELEC!M14</f>
        <v>2468</v>
      </c>
      <c r="F13" s="207">
        <f>ELEC!K14</f>
        <v>958</v>
      </c>
      <c r="G13" s="207">
        <f>ELEC!I14</f>
        <v>1268</v>
      </c>
      <c r="H13" s="207">
        <f>ELEC!E14</f>
        <v>2796</v>
      </c>
      <c r="I13" s="207">
        <f>ELEC!G14</f>
        <v>1253</v>
      </c>
      <c r="J13" s="207">
        <f>WATER!Y17</f>
        <v>0</v>
      </c>
      <c r="K13" s="207">
        <f>WATER!AJ17</f>
        <v>0</v>
      </c>
      <c r="L13" s="10">
        <f>ELEC!B14</f>
        <v>2.9899999999999998</v>
      </c>
      <c r="M13" s="10"/>
    </row>
    <row r="14" spans="1:13">
      <c r="A14" t="s">
        <v>348</v>
      </c>
      <c r="B14">
        <f t="shared" si="0"/>
        <v>13</v>
      </c>
      <c r="C14">
        <v>4</v>
      </c>
      <c r="D14">
        <v>2020</v>
      </c>
      <c r="E14" s="207">
        <f>ELEC!M15</f>
        <v>2532</v>
      </c>
      <c r="F14" s="207">
        <f>ELEC!K15</f>
        <v>924</v>
      </c>
      <c r="G14" s="207">
        <f>ELEC!I15</f>
        <v>1316</v>
      </c>
      <c r="H14" s="207">
        <f>ELEC!E15</f>
        <v>2660</v>
      </c>
      <c r="I14" s="207">
        <f>ELEC!G15</f>
        <v>1332</v>
      </c>
      <c r="J14" s="207">
        <f>WATER!Y18</f>
        <v>3</v>
      </c>
      <c r="K14" s="207">
        <f>WATER!AJ18</f>
        <v>0</v>
      </c>
      <c r="L14" s="10">
        <f>ELEC!B15</f>
        <v>8.0039999999999996</v>
      </c>
      <c r="M14" s="10"/>
    </row>
    <row r="15" spans="1:13">
      <c r="A15" t="s">
        <v>348</v>
      </c>
      <c r="B15">
        <f t="shared" si="0"/>
        <v>14</v>
      </c>
      <c r="C15">
        <v>4</v>
      </c>
      <c r="D15">
        <v>2020</v>
      </c>
      <c r="E15" s="207">
        <f>ELEC!M16</f>
        <v>2704</v>
      </c>
      <c r="F15" s="207">
        <f>ELEC!K16</f>
        <v>1010</v>
      </c>
      <c r="G15" s="207">
        <f>ELEC!I16</f>
        <v>1388</v>
      </c>
      <c r="H15" s="207">
        <f>ELEC!E16</f>
        <v>2100</v>
      </c>
      <c r="I15" s="207">
        <f>ELEC!G16</f>
        <v>1486.3999999999069</v>
      </c>
      <c r="J15" s="207">
        <f>WATER!Y19</f>
        <v>0</v>
      </c>
      <c r="K15" s="207">
        <f>WATER!AJ19</f>
        <v>40</v>
      </c>
      <c r="L15" s="10">
        <f>ELEC!B16</f>
        <v>4.9910000000000005</v>
      </c>
      <c r="M15" s="10"/>
    </row>
    <row r="16" spans="1:13">
      <c r="A16" t="s">
        <v>348</v>
      </c>
      <c r="B16">
        <f t="shared" si="0"/>
        <v>15</v>
      </c>
      <c r="C16">
        <v>4</v>
      </c>
      <c r="D16">
        <v>2020</v>
      </c>
      <c r="E16" s="207">
        <f>ELEC!M17</f>
        <v>2644</v>
      </c>
      <c r="F16" s="207">
        <f>ELEC!K17</f>
        <v>1024</v>
      </c>
      <c r="G16" s="207">
        <f>ELEC!I17</f>
        <v>1316</v>
      </c>
      <c r="H16" s="207">
        <f>ELEC!E17</f>
        <v>2914</v>
      </c>
      <c r="I16" s="207">
        <f>ELEC!G17</f>
        <v>1384</v>
      </c>
      <c r="J16" s="207">
        <f>WATER!Y20</f>
        <v>0</v>
      </c>
      <c r="K16" s="207">
        <f>WATER!AJ20</f>
        <v>0</v>
      </c>
      <c r="L16" s="10">
        <f>ELEC!B17</f>
        <v>2.9899999999999998</v>
      </c>
      <c r="M16" s="10"/>
    </row>
    <row r="17" spans="1:13">
      <c r="A17" t="s">
        <v>348</v>
      </c>
      <c r="B17">
        <f t="shared" si="0"/>
        <v>16</v>
      </c>
      <c r="C17">
        <v>4</v>
      </c>
      <c r="D17">
        <v>2020</v>
      </c>
      <c r="E17" s="207">
        <f>ELEC!M18</f>
        <v>3628</v>
      </c>
      <c r="F17" s="207">
        <f>ELEC!K18</f>
        <v>1214</v>
      </c>
      <c r="G17" s="207">
        <f>ELEC!I18</f>
        <v>1518</v>
      </c>
      <c r="H17" s="207">
        <f>ELEC!E18</f>
        <v>2730</v>
      </c>
      <c r="I17" s="207">
        <f>ELEC!G18</f>
        <v>1681.6000000000931</v>
      </c>
      <c r="J17" s="207">
        <f>WATER!Y21</f>
        <v>0</v>
      </c>
      <c r="K17" s="207">
        <f>WATER!AJ21</f>
        <v>11</v>
      </c>
      <c r="L17" s="10">
        <f>ELEC!B18</f>
        <v>2.3000000000000003</v>
      </c>
      <c r="M17" s="10"/>
    </row>
    <row r="18" spans="1:13">
      <c r="A18" t="s">
        <v>348</v>
      </c>
      <c r="B18">
        <f t="shared" si="0"/>
        <v>17</v>
      </c>
      <c r="C18">
        <v>4</v>
      </c>
      <c r="D18">
        <v>2020</v>
      </c>
      <c r="E18" s="207">
        <f>ELEC!M19</f>
        <v>3040</v>
      </c>
      <c r="F18" s="207">
        <f>ELEC!K19</f>
        <v>934</v>
      </c>
      <c r="G18" s="207">
        <f>ELEC!I19</f>
        <v>1094</v>
      </c>
      <c r="H18" s="207">
        <f>ELEC!E19</f>
        <v>1844</v>
      </c>
      <c r="I18" s="207">
        <f>ELEC!G19</f>
        <v>1334</v>
      </c>
      <c r="J18" s="207">
        <f>WATER!Y22</f>
        <v>0</v>
      </c>
      <c r="K18" s="207">
        <f>WATER!AJ22</f>
        <v>73</v>
      </c>
      <c r="L18" s="10">
        <f>ELEC!B19</f>
        <v>2.0009999999999999</v>
      </c>
      <c r="M18" s="10"/>
    </row>
    <row r="19" spans="1:13">
      <c r="A19" t="s">
        <v>348</v>
      </c>
      <c r="B19">
        <f t="shared" si="0"/>
        <v>18</v>
      </c>
      <c r="C19">
        <v>4</v>
      </c>
      <c r="D19">
        <v>2020</v>
      </c>
      <c r="E19" s="207">
        <f>ELEC!M20</f>
        <v>3420</v>
      </c>
      <c r="F19" s="207">
        <f>ELEC!K20</f>
        <v>1042</v>
      </c>
      <c r="G19" s="207">
        <f>ELEC!I20</f>
        <v>1304</v>
      </c>
      <c r="H19" s="207">
        <f>ELEC!E20</f>
        <v>2384</v>
      </c>
      <c r="I19" s="207">
        <f>ELEC!G20</f>
        <v>1473</v>
      </c>
      <c r="J19" s="207">
        <f>WATER!Y23</f>
        <v>0</v>
      </c>
      <c r="K19" s="207">
        <f>WATER!AJ23</f>
        <v>0</v>
      </c>
      <c r="L19" s="10">
        <f>ELEC!B20</f>
        <v>2.9899999999999998</v>
      </c>
      <c r="M19" s="10"/>
    </row>
    <row r="20" spans="1:13">
      <c r="A20" t="s">
        <v>348</v>
      </c>
      <c r="B20">
        <f t="shared" si="0"/>
        <v>19</v>
      </c>
      <c r="C20">
        <v>4</v>
      </c>
      <c r="D20">
        <v>2020</v>
      </c>
      <c r="E20" s="207">
        <f>ELEC!M21</f>
        <v>3312</v>
      </c>
      <c r="F20" s="207">
        <f>ELEC!K21</f>
        <v>1090</v>
      </c>
      <c r="G20" s="207">
        <f>ELEC!I21</f>
        <v>1146</v>
      </c>
      <c r="H20" s="207">
        <f>ELEC!E21</f>
        <v>2260</v>
      </c>
      <c r="I20" s="207">
        <f>ELEC!G21</f>
        <v>1242</v>
      </c>
      <c r="J20" s="207">
        <f>WATER!Y24</f>
        <v>5</v>
      </c>
      <c r="K20" s="207">
        <f>WATER!AJ24</f>
        <v>3</v>
      </c>
      <c r="L20" s="10">
        <f>ELEC!B21</f>
        <v>4.9910000000000005</v>
      </c>
      <c r="M20" s="10"/>
    </row>
    <row r="21" spans="1:13">
      <c r="A21" t="s">
        <v>348</v>
      </c>
      <c r="B21">
        <f t="shared" si="0"/>
        <v>20</v>
      </c>
      <c r="C21">
        <v>4</v>
      </c>
      <c r="D21">
        <v>2020</v>
      </c>
      <c r="E21" s="207">
        <f>ELEC!M22</f>
        <v>3696</v>
      </c>
      <c r="F21" s="207">
        <f>ELEC!K22</f>
        <v>1068</v>
      </c>
      <c r="G21" s="207">
        <f>ELEC!I22</f>
        <v>1266</v>
      </c>
      <c r="H21" s="207">
        <f>ELEC!E22</f>
        <v>2312</v>
      </c>
      <c r="I21" s="207">
        <f>ELEC!G22</f>
        <v>1356</v>
      </c>
      <c r="J21" s="207">
        <f>WATER!Y25</f>
        <v>0</v>
      </c>
      <c r="K21" s="207">
        <f>WATER!AJ25</f>
        <v>0</v>
      </c>
      <c r="L21" s="10">
        <f>ELEC!B22</f>
        <v>2.0009999999999999</v>
      </c>
      <c r="M21" s="10"/>
    </row>
    <row r="22" spans="1:13">
      <c r="A22" t="s">
        <v>348</v>
      </c>
      <c r="B22">
        <f t="shared" si="0"/>
        <v>21</v>
      </c>
      <c r="C22">
        <v>4</v>
      </c>
      <c r="D22">
        <v>2020</v>
      </c>
      <c r="E22" s="207">
        <f>ELEC!M23</f>
        <v>3128</v>
      </c>
      <c r="F22" s="207">
        <f>ELEC!K23</f>
        <v>976</v>
      </c>
      <c r="G22" s="207">
        <f>ELEC!I23</f>
        <v>1152</v>
      </c>
      <c r="H22" s="207">
        <f>ELEC!E23</f>
        <v>1880</v>
      </c>
      <c r="I22" s="207">
        <f>ELEC!G23</f>
        <v>1318</v>
      </c>
      <c r="J22" s="207">
        <f>WATER!Y26</f>
        <v>0</v>
      </c>
      <c r="K22" s="207">
        <f>WATER!AJ26</f>
        <v>0</v>
      </c>
      <c r="L22" s="10">
        <f>ELEC!B23</f>
        <v>2.0009999999999999</v>
      </c>
      <c r="M22" s="10"/>
    </row>
    <row r="23" spans="1:13">
      <c r="A23" t="s">
        <v>348</v>
      </c>
      <c r="B23">
        <f t="shared" si="0"/>
        <v>22</v>
      </c>
      <c r="C23">
        <v>4</v>
      </c>
      <c r="D23">
        <v>2020</v>
      </c>
      <c r="E23" s="207">
        <f>ELEC!M24</f>
        <v>3604</v>
      </c>
      <c r="F23" s="207">
        <f>ELEC!K24</f>
        <v>1096</v>
      </c>
      <c r="G23" s="207">
        <f>ELEC!I24</f>
        <v>1356</v>
      </c>
      <c r="H23" s="207">
        <f>ELEC!E24</f>
        <v>2212</v>
      </c>
      <c r="I23" s="207">
        <f>ELEC!G24</f>
        <v>1572</v>
      </c>
      <c r="J23" s="207">
        <f>WATER!Y27</f>
        <v>0</v>
      </c>
      <c r="K23" s="207">
        <f>WATER!AJ27</f>
        <v>44</v>
      </c>
      <c r="L23" s="10">
        <f>ELEC!B24</f>
        <v>2.0009999999999999</v>
      </c>
      <c r="M23" s="10"/>
    </row>
    <row r="24" spans="1:13">
      <c r="A24" t="s">
        <v>348</v>
      </c>
      <c r="B24">
        <f t="shared" si="0"/>
        <v>23</v>
      </c>
      <c r="C24">
        <v>4</v>
      </c>
      <c r="D24">
        <v>2020</v>
      </c>
      <c r="E24" s="207">
        <f>ELEC!M25</f>
        <v>3020</v>
      </c>
      <c r="F24" s="207">
        <f>ELEC!K25</f>
        <v>836</v>
      </c>
      <c r="G24" s="207">
        <f>ELEC!I25</f>
        <v>1126</v>
      </c>
      <c r="H24" s="207">
        <f>ELEC!E25</f>
        <v>2060</v>
      </c>
      <c r="I24" s="207">
        <f>ELEC!G25</f>
        <v>1345</v>
      </c>
      <c r="J24" s="207">
        <f>WATER!Y28</f>
        <v>106</v>
      </c>
      <c r="K24" s="207">
        <f>WATER!AJ28</f>
        <v>17</v>
      </c>
      <c r="L24" s="10">
        <f>ELEC!B25</f>
        <v>2.0009999999999999</v>
      </c>
      <c r="M24" s="10"/>
    </row>
    <row r="25" spans="1:13">
      <c r="A25" t="s">
        <v>348</v>
      </c>
      <c r="B25">
        <f t="shared" si="0"/>
        <v>24</v>
      </c>
      <c r="C25">
        <v>4</v>
      </c>
      <c r="D25">
        <v>2020</v>
      </c>
      <c r="E25" s="207">
        <f>ELEC!M26</f>
        <v>3822</v>
      </c>
      <c r="F25" s="207">
        <f>ELEC!K26</f>
        <v>1100</v>
      </c>
      <c r="G25" s="207">
        <f>ELEC!I26</f>
        <v>1206</v>
      </c>
      <c r="H25" s="207">
        <f>ELEC!E26</f>
        <v>2720</v>
      </c>
      <c r="I25" s="207">
        <f>ELEC!G26</f>
        <v>1374.3999999999069</v>
      </c>
      <c r="J25" s="207">
        <f>WATER!Y29</f>
        <v>2</v>
      </c>
      <c r="K25" s="207">
        <f>WATER!AJ29</f>
        <v>0</v>
      </c>
      <c r="L25" s="10">
        <f>ELEC!B26</f>
        <v>2.0009999999999999</v>
      </c>
      <c r="M25" s="10"/>
    </row>
    <row r="26" spans="1:13">
      <c r="A26" t="s">
        <v>348</v>
      </c>
      <c r="B26">
        <f>B25+1</f>
        <v>25</v>
      </c>
      <c r="C26">
        <v>4</v>
      </c>
      <c r="D26">
        <v>2020</v>
      </c>
      <c r="E26" s="207">
        <f>ELEC!M27</f>
        <v>3350</v>
      </c>
      <c r="F26" s="207">
        <f>ELEC!K27</f>
        <v>990</v>
      </c>
      <c r="G26" s="207">
        <f>ELEC!I27</f>
        <v>1192</v>
      </c>
      <c r="H26" s="207">
        <f>ELEC!E27</f>
        <v>2336</v>
      </c>
      <c r="I26" s="207">
        <f>ELEC!G27</f>
        <v>1301.6000000000931</v>
      </c>
      <c r="J26" s="207">
        <f>WATER!Y30</f>
        <v>0</v>
      </c>
      <c r="K26" s="207">
        <f>WATER!AJ30</f>
        <v>30</v>
      </c>
      <c r="L26" s="10">
        <f>ELEC!B27</f>
        <v>4.0019999999999998</v>
      </c>
      <c r="M26" s="10"/>
    </row>
    <row r="27" spans="1:13">
      <c r="A27" t="s">
        <v>348</v>
      </c>
      <c r="B27">
        <f t="shared" si="0"/>
        <v>26</v>
      </c>
      <c r="C27">
        <v>4</v>
      </c>
      <c r="D27">
        <v>2020</v>
      </c>
      <c r="E27" s="207">
        <f>ELEC!M28</f>
        <v>3016</v>
      </c>
      <c r="F27" s="207">
        <f>ELEC!K28</f>
        <v>926</v>
      </c>
      <c r="G27" s="207">
        <f>ELEC!I28</f>
        <v>1200</v>
      </c>
      <c r="H27" s="207">
        <f>ELEC!E28</f>
        <v>2012</v>
      </c>
      <c r="I27" s="207">
        <f>ELEC!G28</f>
        <v>1246</v>
      </c>
      <c r="J27" s="207">
        <f>WATER!Y31</f>
        <v>1</v>
      </c>
      <c r="K27" s="207">
        <f>WATER!AJ31</f>
        <v>9</v>
      </c>
      <c r="L27" s="10">
        <f>ELEC!B28</f>
        <v>8.0039999999999996</v>
      </c>
      <c r="M27" s="10"/>
    </row>
    <row r="28" spans="1:13">
      <c r="A28" t="s">
        <v>348</v>
      </c>
      <c r="B28">
        <f t="shared" si="0"/>
        <v>27</v>
      </c>
      <c r="C28">
        <v>4</v>
      </c>
      <c r="D28">
        <v>2020</v>
      </c>
      <c r="E28" s="207">
        <f>ELEC!M29</f>
        <v>3470</v>
      </c>
      <c r="F28" s="207">
        <f>ELEC!K29</f>
        <v>1030</v>
      </c>
      <c r="G28" s="207">
        <f>ELEC!I29</f>
        <v>1382</v>
      </c>
      <c r="H28" s="207">
        <f>ELEC!E29</f>
        <v>2280</v>
      </c>
      <c r="I28" s="207">
        <f>ELEC!G29</f>
        <v>1488</v>
      </c>
      <c r="J28" s="207">
        <f>WATER!Y32</f>
        <v>0</v>
      </c>
      <c r="K28" s="207">
        <f>WATER!AJ32</f>
        <v>0</v>
      </c>
      <c r="L28" s="10">
        <f>ELEC!B29</f>
        <v>2.0009999999999999</v>
      </c>
      <c r="M28" s="10"/>
    </row>
    <row r="29" spans="1:13">
      <c r="A29" t="s">
        <v>348</v>
      </c>
      <c r="B29">
        <f t="shared" si="0"/>
        <v>28</v>
      </c>
      <c r="C29">
        <v>4</v>
      </c>
      <c r="D29">
        <v>2020</v>
      </c>
      <c r="E29" s="207">
        <f>ELEC!M30</f>
        <v>2936</v>
      </c>
      <c r="F29" s="207">
        <f>ELEC!K30</f>
        <v>902</v>
      </c>
      <c r="G29" s="207">
        <f>ELEC!I30</f>
        <v>1278</v>
      </c>
      <c r="H29" s="207">
        <f>ELEC!E30</f>
        <v>2284</v>
      </c>
      <c r="I29" s="207">
        <f>ELEC!G30</f>
        <v>1364</v>
      </c>
      <c r="J29" s="207">
        <f>WATER!Y33</f>
        <v>40</v>
      </c>
      <c r="K29" s="207">
        <f>WATER!AJ33</f>
        <v>34</v>
      </c>
      <c r="L29" s="10">
        <f>ELEC!B30</f>
        <v>4.0019999999999998</v>
      </c>
      <c r="M29" s="10"/>
    </row>
    <row r="30" spans="1:13">
      <c r="A30" t="s">
        <v>348</v>
      </c>
      <c r="B30">
        <f t="shared" si="0"/>
        <v>29</v>
      </c>
      <c r="C30">
        <v>4</v>
      </c>
      <c r="D30">
        <v>2020</v>
      </c>
      <c r="E30" s="207">
        <f>ELEC!M31</f>
        <v>3196</v>
      </c>
      <c r="F30" s="207">
        <f>ELEC!K31</f>
        <v>996</v>
      </c>
      <c r="G30" s="207">
        <f>ELEC!I31</f>
        <v>1172</v>
      </c>
      <c r="H30" s="207">
        <f>ELEC!E31</f>
        <v>2432</v>
      </c>
      <c r="I30" s="207">
        <f>ELEC!G31</f>
        <v>1272.3999999999069</v>
      </c>
      <c r="J30" s="207">
        <f>WATER!Y34</f>
        <v>0</v>
      </c>
      <c r="K30" s="207">
        <f>WATER!AJ34</f>
        <v>0</v>
      </c>
      <c r="L30" s="10">
        <f>ELEC!B31</f>
        <v>4.0019999999999998</v>
      </c>
      <c r="M30" s="10"/>
    </row>
    <row r="31" spans="1:13">
      <c r="A31" t="s">
        <v>348</v>
      </c>
      <c r="B31">
        <f t="shared" si="0"/>
        <v>30</v>
      </c>
      <c r="C31">
        <v>4</v>
      </c>
      <c r="D31">
        <v>2020</v>
      </c>
      <c r="E31" s="207">
        <f>ELEC!M32</f>
        <v>3506</v>
      </c>
      <c r="F31" s="207">
        <f>ELEC!K32</f>
        <v>1094</v>
      </c>
      <c r="G31" s="207">
        <f>ELEC!I32</f>
        <v>1518</v>
      </c>
      <c r="H31" s="207">
        <f>ELEC!E32</f>
        <v>2376</v>
      </c>
      <c r="I31" s="207">
        <f>ELEC!G32</f>
        <v>1679.2000000001863</v>
      </c>
      <c r="J31" s="207">
        <f>WATER!Y35</f>
        <v>0</v>
      </c>
      <c r="K31" s="207">
        <f>WATER!AJ35</f>
        <v>0</v>
      </c>
      <c r="L31" s="10">
        <f>ELEC!B32</f>
        <v>2.9899999999999998</v>
      </c>
      <c r="M31" s="10"/>
    </row>
    <row r="32" spans="1:13">
      <c r="E32" s="207"/>
      <c r="F32" s="207"/>
      <c r="G32" s="207"/>
      <c r="H32" s="207"/>
      <c r="I32" s="207"/>
      <c r="J32" s="207"/>
      <c r="K32" s="207"/>
      <c r="L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2" activePane="bottomLeft" state="frozen"/>
      <selection activeCell="C1" sqref="C1"/>
      <selection pane="bottomLeft" activeCell="W32" sqref="W32"/>
    </sheetView>
  </sheetViews>
  <sheetFormatPr defaultRowHeight="15"/>
  <cols>
    <col min="1" max="1" width="7.7109375" style="489" bestFit="1" customWidth="1"/>
    <col min="2" max="2" width="10.28515625" style="498" bestFit="1" customWidth="1"/>
    <col min="3" max="3" width="11.5703125" style="489" customWidth="1"/>
    <col min="4" max="4" width="18" style="499" bestFit="1" customWidth="1"/>
    <col min="5" max="5" width="14.42578125" style="499" bestFit="1" customWidth="1"/>
    <col min="6" max="6" width="15.28515625" style="499" bestFit="1" customWidth="1"/>
    <col min="7" max="7" width="12" style="499" bestFit="1" customWidth="1"/>
    <col min="8" max="8" width="18" style="499" bestFit="1" customWidth="1"/>
    <col min="9" max="9" width="13" style="499" bestFit="1" customWidth="1"/>
    <col min="10" max="10" width="18" style="499" bestFit="1" customWidth="1"/>
    <col min="11" max="11" width="11.7109375" style="499" customWidth="1"/>
    <col min="12" max="12" width="18" style="499" bestFit="1" customWidth="1"/>
    <col min="13" max="13" width="12.5703125" style="499" bestFit="1" customWidth="1"/>
    <col min="14" max="14" width="15.42578125" style="489" bestFit="1" customWidth="1"/>
    <col min="15" max="15" width="13.140625" style="500" bestFit="1" customWidth="1"/>
    <col min="16" max="16" width="14.28515625" style="489" bestFit="1" customWidth="1"/>
    <col min="17" max="17" width="13.7109375" style="489" bestFit="1" customWidth="1"/>
    <col min="18" max="18" width="12.42578125" style="489" bestFit="1" customWidth="1"/>
    <col min="19" max="21" width="11.5703125" style="489" bestFit="1" customWidth="1"/>
    <col min="22" max="22" width="13.140625" style="489" bestFit="1" customWidth="1"/>
    <col min="23" max="25" width="11.5703125" style="489" bestFit="1" customWidth="1"/>
    <col min="26" max="26" width="13.140625" style="489" bestFit="1" customWidth="1"/>
    <col min="27" max="29" width="11.5703125" style="489" bestFit="1" customWidth="1"/>
    <col min="30" max="30" width="13.140625" style="489" bestFit="1" customWidth="1"/>
    <col min="31" max="32" width="11.5703125" style="489" bestFit="1" customWidth="1"/>
    <col min="33" max="33" width="14.42578125" style="489" bestFit="1" customWidth="1"/>
    <col min="34" max="34" width="9.140625" style="489"/>
    <col min="35" max="35" width="9.7109375" style="489" bestFit="1" customWidth="1"/>
    <col min="36" max="16384" width="9.140625" style="489"/>
  </cols>
  <sheetData>
    <row r="1" spans="1:115" s="473" customFormat="1" ht="18.75" customHeight="1">
      <c r="A1" s="473" t="s">
        <v>19</v>
      </c>
      <c r="B1" s="474" t="s">
        <v>155</v>
      </c>
      <c r="C1" s="475"/>
      <c r="D1" s="476" t="s">
        <v>20</v>
      </c>
      <c r="E1" s="476" t="s">
        <v>21</v>
      </c>
      <c r="F1" s="476" t="s">
        <v>22</v>
      </c>
      <c r="G1" s="476" t="s">
        <v>23</v>
      </c>
      <c r="H1" s="476" t="s">
        <v>24</v>
      </c>
      <c r="I1" s="476" t="s">
        <v>25</v>
      </c>
      <c r="J1" s="476" t="s">
        <v>26</v>
      </c>
      <c r="K1" s="476" t="s">
        <v>27</v>
      </c>
      <c r="L1" s="476" t="s">
        <v>28</v>
      </c>
      <c r="M1" s="476" t="s">
        <v>29</v>
      </c>
      <c r="N1" s="477" t="s">
        <v>30</v>
      </c>
      <c r="O1" s="478" t="s">
        <v>156</v>
      </c>
      <c r="P1" s="479" t="s">
        <v>329</v>
      </c>
      <c r="Q1" s="477" t="s">
        <v>31</v>
      </c>
      <c r="R1" s="477" t="s">
        <v>32</v>
      </c>
      <c r="S1" s="477" t="s">
        <v>364</v>
      </c>
      <c r="T1" s="477" t="s">
        <v>33</v>
      </c>
      <c r="U1" s="477" t="s">
        <v>34</v>
      </c>
      <c r="V1" s="477" t="s">
        <v>35</v>
      </c>
      <c r="W1" s="477" t="s">
        <v>36</v>
      </c>
      <c r="X1" s="477" t="s">
        <v>33</v>
      </c>
      <c r="Y1" s="477" t="s">
        <v>37</v>
      </c>
      <c r="Z1" s="477" t="s">
        <v>38</v>
      </c>
      <c r="AA1" s="477" t="s">
        <v>39</v>
      </c>
      <c r="AB1" s="477" t="s">
        <v>33</v>
      </c>
      <c r="AC1" s="477" t="s">
        <v>77</v>
      </c>
      <c r="AD1" s="477" t="s">
        <v>40</v>
      </c>
      <c r="AE1" s="477" t="s">
        <v>41</v>
      </c>
      <c r="AF1" s="477" t="s">
        <v>42</v>
      </c>
      <c r="AG1" s="473" t="s">
        <v>132</v>
      </c>
    </row>
    <row r="2" spans="1:115" s="472" customFormat="1">
      <c r="A2" s="528">
        <f>[1]ELEC!$A$33</f>
        <v>8.6999999999999994E-3</v>
      </c>
      <c r="B2" s="561">
        <f>[1]ELEC!$B$33</f>
        <v>2.0009999999999999</v>
      </c>
      <c r="C2" s="481">
        <v>43921</v>
      </c>
      <c r="D2" s="505">
        <f>[1]ELEC!D33</f>
        <v>31561298</v>
      </c>
      <c r="E2" s="505">
        <f>[1]ELEC!E33</f>
        <v>2012</v>
      </c>
      <c r="F2" s="505">
        <f>[1]ELEC!F33</f>
        <v>3605675</v>
      </c>
      <c r="G2" s="505">
        <f>[1]ELEC!G33</f>
        <v>1309</v>
      </c>
      <c r="H2" s="505">
        <f>[1]ELEC!H33</f>
        <v>17390434</v>
      </c>
      <c r="I2" s="505">
        <f>[1]ELEC!I33</f>
        <v>1104</v>
      </c>
      <c r="J2" s="505">
        <f>[1]ELEC!J33</f>
        <v>28361182</v>
      </c>
      <c r="K2" s="505">
        <f>[1]ELEC!K33</f>
        <v>772</v>
      </c>
      <c r="L2" s="505">
        <f>[1]ELEC!L33</f>
        <v>22851438</v>
      </c>
      <c r="M2" s="505">
        <f>[1]ELEC!M33</f>
        <v>2912</v>
      </c>
      <c r="N2" s="505">
        <f>[1]ELEC!N33</f>
        <v>8109</v>
      </c>
      <c r="O2" s="505">
        <f>[1]ELEC!O33</f>
        <v>4052.4737631184412</v>
      </c>
      <c r="P2" s="505">
        <f>[1]ELEC!P33</f>
        <v>15434.726000000001</v>
      </c>
      <c r="Q2" s="505">
        <f>[1]ELEC!Q33</f>
        <v>0</v>
      </c>
      <c r="R2" s="505">
        <f>[1]ELEC!R33</f>
        <v>8109</v>
      </c>
      <c r="S2" s="505">
        <f>[1]ELEC!S33</f>
        <v>8409</v>
      </c>
      <c r="T2" s="505">
        <f>[1]ELEC!T33</f>
        <v>2</v>
      </c>
      <c r="U2" s="505">
        <v>29956</v>
      </c>
      <c r="V2" s="505">
        <f>[1]ELEC!V33</f>
        <v>319</v>
      </c>
      <c r="W2" s="505">
        <f>[1]ELEC!W33</f>
        <v>31845</v>
      </c>
      <c r="X2" s="505">
        <f>[1]ELEC!X33</f>
        <v>0</v>
      </c>
      <c r="Y2" s="505">
        <f>[1]ELEC!Y33</f>
        <v>624440</v>
      </c>
      <c r="Z2" s="505">
        <f>[1]ELEC!Z33</f>
        <v>0</v>
      </c>
      <c r="AA2" s="505">
        <f>[1]ELEC!AA33</f>
        <v>35018</v>
      </c>
      <c r="AB2" s="505">
        <f>[1]ELEC!AB33</f>
        <v>1</v>
      </c>
      <c r="AC2" s="505">
        <f>[1]ELEC!AC33</f>
        <v>767207</v>
      </c>
      <c r="AD2" s="505">
        <f>[1]ELEC!AD33</f>
        <v>174</v>
      </c>
      <c r="AE2" s="505">
        <f>[1]ELEC!AE33</f>
        <v>3</v>
      </c>
      <c r="AF2" s="505">
        <f>[1]ELEC!AF33</f>
        <v>493</v>
      </c>
      <c r="AG2" s="505">
        <f>[1]ELEC!AG33</f>
        <v>164.33333333333334</v>
      </c>
      <c r="AH2" s="505">
        <f>[1]ELEC!AH33</f>
        <v>0</v>
      </c>
      <c r="AI2" s="505">
        <f>[1]ELEC!AI33</f>
        <v>-49692041</v>
      </c>
      <c r="AJ2" s="505"/>
      <c r="AK2" s="505"/>
      <c r="AL2" s="505"/>
      <c r="AM2" s="505"/>
      <c r="AN2" s="505"/>
      <c r="AO2" s="505"/>
      <c r="AP2" s="505"/>
      <c r="AQ2" s="505"/>
      <c r="AR2" s="505"/>
      <c r="AS2" s="505"/>
      <c r="AT2" s="505"/>
      <c r="AU2" s="505"/>
      <c r="AV2" s="505"/>
      <c r="AW2" s="505"/>
      <c r="AX2" s="505"/>
      <c r="AY2" s="505"/>
      <c r="AZ2" s="505"/>
      <c r="BA2" s="505"/>
      <c r="BB2" s="505"/>
      <c r="BC2" s="505"/>
      <c r="BD2" s="505"/>
      <c r="BE2" s="505"/>
      <c r="BF2" s="505"/>
      <c r="BG2" s="505"/>
      <c r="BH2" s="505"/>
      <c r="BI2" s="505"/>
      <c r="BJ2" s="505"/>
      <c r="BK2" s="505"/>
      <c r="BL2" s="505"/>
      <c r="BM2" s="505"/>
      <c r="BN2" s="505"/>
      <c r="BO2" s="505"/>
      <c r="BP2" s="505"/>
      <c r="BQ2" s="505"/>
      <c r="BR2" s="505"/>
      <c r="BS2" s="505"/>
      <c r="BT2" s="505"/>
      <c r="BU2" s="505"/>
      <c r="BV2" s="505"/>
      <c r="BW2" s="505"/>
      <c r="BX2" s="505"/>
      <c r="BY2" s="505"/>
      <c r="BZ2" s="505"/>
      <c r="CA2" s="505"/>
      <c r="CB2" s="505"/>
      <c r="CC2" s="505"/>
      <c r="CD2" s="505"/>
      <c r="CE2" s="505"/>
      <c r="CF2" s="505"/>
      <c r="CG2" s="505"/>
      <c r="CH2" s="505"/>
      <c r="CI2" s="505"/>
      <c r="CJ2" s="505"/>
      <c r="CK2" s="505"/>
      <c r="CL2" s="505"/>
      <c r="CM2" s="505"/>
      <c r="CN2" s="505"/>
      <c r="CO2" s="505"/>
      <c r="CP2" s="505"/>
      <c r="CQ2" s="505"/>
      <c r="CR2" s="505"/>
      <c r="CS2" s="505"/>
      <c r="CT2" s="505"/>
      <c r="CU2" s="505"/>
      <c r="CV2" s="505"/>
      <c r="CW2" s="505"/>
      <c r="CX2" s="505"/>
      <c r="CY2" s="505"/>
      <c r="CZ2" s="505"/>
      <c r="DA2" s="505"/>
      <c r="DB2" s="505"/>
      <c r="DC2" s="505"/>
      <c r="DD2" s="505"/>
      <c r="DE2" s="505"/>
      <c r="DF2" s="505"/>
      <c r="DG2" s="505"/>
      <c r="DH2" s="505"/>
      <c r="DI2" s="505"/>
      <c r="DJ2" s="505"/>
      <c r="DK2" s="505"/>
    </row>
    <row r="3" spans="1:115">
      <c r="A3" s="480">
        <f>'General information '!F6</f>
        <v>1.7399999999999999E-2</v>
      </c>
      <c r="B3" s="474">
        <f>SUM(230*A3)</f>
        <v>4.0019999999999998</v>
      </c>
      <c r="C3" s="481">
        <v>43922</v>
      </c>
      <c r="D3" s="468">
        <v>31562966</v>
      </c>
      <c r="E3" s="469">
        <f>D3-D2</f>
        <v>1668</v>
      </c>
      <c r="F3" s="468">
        <v>3606937.2</v>
      </c>
      <c r="G3" s="470">
        <f t="shared" ref="G3:G31" si="0">F3-F2</f>
        <v>1262.2000000001863</v>
      </c>
      <c r="H3" s="468">
        <v>17391546</v>
      </c>
      <c r="I3" s="470">
        <f>H3-H2</f>
        <v>1112</v>
      </c>
      <c r="J3" s="468">
        <v>28361922</v>
      </c>
      <c r="K3" s="470">
        <f>J3-J2</f>
        <v>740</v>
      </c>
      <c r="L3" s="468">
        <v>22854318</v>
      </c>
      <c r="M3" s="470">
        <f>L3-L2</f>
        <v>2880</v>
      </c>
      <c r="N3" s="471">
        <f>M3+K3+I3+G3+E3</f>
        <v>7662.2000000001863</v>
      </c>
      <c r="O3" s="482">
        <f t="shared" ref="O3:O9" si="1">IF(B3&gt;0,N3/B3,0)</f>
        <v>1914.5927036482226</v>
      </c>
      <c r="P3" s="468">
        <v>15437.156999999999</v>
      </c>
      <c r="Q3" s="491">
        <f t="shared" ref="Q3:Q12" si="2">(P3-P2)*1000</f>
        <v>2430.9999999986758</v>
      </c>
      <c r="R3" s="484">
        <f>+N3-Q3</f>
        <v>5231.2000000015105</v>
      </c>
      <c r="S3" s="468">
        <v>8410</v>
      </c>
      <c r="T3" s="485">
        <f t="shared" ref="T3:T32" si="3">S3-S2</f>
        <v>1</v>
      </c>
      <c r="U3" s="468">
        <v>30202</v>
      </c>
      <c r="V3" s="483">
        <f>U3-U2</f>
        <v>246</v>
      </c>
      <c r="W3" s="468">
        <v>31845</v>
      </c>
      <c r="X3" s="483">
        <f t="shared" ref="X3:X8" si="4">W3-W2</f>
        <v>0</v>
      </c>
      <c r="Y3" s="468">
        <v>624440</v>
      </c>
      <c r="Z3" s="483">
        <f>Y3-Y2</f>
        <v>0</v>
      </c>
      <c r="AA3" s="468">
        <f>AA2</f>
        <v>35018</v>
      </c>
      <c r="AB3" s="483">
        <f>AA3-AA2</f>
        <v>0</v>
      </c>
      <c r="AC3" s="468">
        <f>AC2</f>
        <v>767207</v>
      </c>
      <c r="AD3" s="486">
        <f>AC3-AC2</f>
        <v>0</v>
      </c>
      <c r="AE3" s="487">
        <f>AB3+X3+T3</f>
        <v>1</v>
      </c>
      <c r="AF3" s="468">
        <f>V3+Z3+AD3</f>
        <v>246</v>
      </c>
      <c r="AG3" s="488">
        <f t="shared" ref="AG3:AG9" si="5">IF(AE3&gt;0,AF3/AE3,0)</f>
        <v>246</v>
      </c>
    </row>
    <row r="4" spans="1:115">
      <c r="A4" s="480">
        <f>'General information '!F7</f>
        <v>8.6999999999999994E-3</v>
      </c>
      <c r="B4" s="474">
        <f t="shared" ref="B4:B31" si="6">SUM(230*A4)</f>
        <v>2.0009999999999999</v>
      </c>
      <c r="C4" s="481">
        <v>43923</v>
      </c>
      <c r="D4" s="468">
        <v>31564538</v>
      </c>
      <c r="E4" s="326">
        <f>D4-D3</f>
        <v>1572</v>
      </c>
      <c r="F4" s="468">
        <v>3608170.8</v>
      </c>
      <c r="G4" s="327">
        <f t="shared" si="0"/>
        <v>1233.5999999996275</v>
      </c>
      <c r="H4" s="468">
        <v>17392602</v>
      </c>
      <c r="I4" s="327">
        <f>H4-H3</f>
        <v>1056</v>
      </c>
      <c r="J4" s="468">
        <v>28362698</v>
      </c>
      <c r="K4" s="327">
        <f>J4-J3</f>
        <v>776</v>
      </c>
      <c r="L4" s="468">
        <v>22857118</v>
      </c>
      <c r="M4" s="327">
        <f>L4-L3</f>
        <v>2800</v>
      </c>
      <c r="N4" s="325">
        <f>M4+K4+I4+G4+E4</f>
        <v>7437.5999999996275</v>
      </c>
      <c r="O4" s="490">
        <f t="shared" si="1"/>
        <v>3716.9415292351964</v>
      </c>
      <c r="P4" s="468">
        <v>15438.737999999999</v>
      </c>
      <c r="Q4" s="491">
        <f t="shared" si="2"/>
        <v>1581.000000000131</v>
      </c>
      <c r="R4" s="472">
        <f>N4-Q4</f>
        <v>5856.5999999994965</v>
      </c>
      <c r="S4" s="468">
        <v>8411</v>
      </c>
      <c r="T4" s="492">
        <f t="shared" si="3"/>
        <v>1</v>
      </c>
      <c r="U4" s="468">
        <v>30510</v>
      </c>
      <c r="V4" s="472">
        <f>U4-U3</f>
        <v>308</v>
      </c>
      <c r="W4" s="468">
        <f t="shared" ref="S4:AC32" si="7">W3</f>
        <v>31845</v>
      </c>
      <c r="X4" s="472">
        <f t="shared" si="4"/>
        <v>0</v>
      </c>
      <c r="Y4" s="468">
        <f t="shared" si="7"/>
        <v>624440</v>
      </c>
      <c r="Z4" s="472">
        <f>Y4-Y3</f>
        <v>0</v>
      </c>
      <c r="AA4" s="468">
        <f t="shared" si="7"/>
        <v>35018</v>
      </c>
      <c r="AB4" s="493">
        <f>AA4-AA3</f>
        <v>0</v>
      </c>
      <c r="AC4" s="468">
        <f t="shared" si="7"/>
        <v>767207</v>
      </c>
      <c r="AD4" s="494">
        <f>AC4-AC3</f>
        <v>0</v>
      </c>
      <c r="AE4" s="495">
        <f t="shared" ref="AE4:AE32" si="8">AB4+X4+T4</f>
        <v>1</v>
      </c>
      <c r="AF4" s="496">
        <f t="shared" ref="AF4:AF31" si="9">V4+Z4+AD4</f>
        <v>308</v>
      </c>
      <c r="AG4" s="488">
        <f t="shared" si="5"/>
        <v>308</v>
      </c>
    </row>
    <row r="5" spans="1:115">
      <c r="A5" s="480">
        <f>'General information '!F8</f>
        <v>8.6999999999999994E-3</v>
      </c>
      <c r="B5" s="474">
        <f>SUM(230*A5)</f>
        <v>2.0009999999999999</v>
      </c>
      <c r="C5" s="481">
        <v>43924</v>
      </c>
      <c r="D5" s="468">
        <v>31566594</v>
      </c>
      <c r="E5" s="326">
        <f t="shared" ref="E5:E32" si="10">D5-D4</f>
        <v>2056</v>
      </c>
      <c r="F5" s="468">
        <v>3609462</v>
      </c>
      <c r="G5" s="327">
        <f t="shared" si="0"/>
        <v>1291.2000000001863</v>
      </c>
      <c r="H5" s="468">
        <v>17393732</v>
      </c>
      <c r="I5" s="327">
        <f t="shared" ref="I5:I31" si="11">H5-H4</f>
        <v>1130</v>
      </c>
      <c r="J5" s="468">
        <v>28363616</v>
      </c>
      <c r="K5" s="327">
        <f t="shared" ref="K5:K31" si="12">J5-J4</f>
        <v>918</v>
      </c>
      <c r="L5" s="468">
        <v>22860388</v>
      </c>
      <c r="M5" s="327">
        <f t="shared" ref="M5:M31" si="13">L5-L4</f>
        <v>3270</v>
      </c>
      <c r="N5" s="325">
        <f t="shared" ref="N5:N31" si="14">M5+K5+I5+G5+E5</f>
        <v>8665.2000000001863</v>
      </c>
      <c r="O5" s="490">
        <f t="shared" si="1"/>
        <v>4330.4347826087887</v>
      </c>
      <c r="P5" s="468">
        <v>15440</v>
      </c>
      <c r="Q5" s="491">
        <f>(P5-P4)*1000</f>
        <v>1262.0000000006257</v>
      </c>
      <c r="R5" s="472">
        <f>N5-Q5</f>
        <v>7403.1999999995605</v>
      </c>
      <c r="S5" s="468">
        <v>8413</v>
      </c>
      <c r="T5" s="492">
        <f t="shared" si="3"/>
        <v>2</v>
      </c>
      <c r="U5" s="468">
        <v>31029</v>
      </c>
      <c r="V5" s="472">
        <f t="shared" ref="V5:V32" si="15">U5-U4</f>
        <v>519</v>
      </c>
      <c r="W5" s="468">
        <f t="shared" si="7"/>
        <v>31845</v>
      </c>
      <c r="X5" s="472">
        <f t="shared" si="4"/>
        <v>0</v>
      </c>
      <c r="Y5" s="468">
        <f t="shared" si="7"/>
        <v>624440</v>
      </c>
      <c r="Z5" s="472">
        <f>Y5-Y4</f>
        <v>0</v>
      </c>
      <c r="AA5" s="468">
        <f t="shared" si="7"/>
        <v>35018</v>
      </c>
      <c r="AB5" s="472">
        <f t="shared" ref="AB5:AB32" si="16">AA5-AA4</f>
        <v>0</v>
      </c>
      <c r="AC5" s="468">
        <f t="shared" si="7"/>
        <v>767207</v>
      </c>
      <c r="AD5" s="472">
        <f t="shared" ref="AD5:AD16" si="17">AC5-AC4</f>
        <v>0</v>
      </c>
      <c r="AE5" s="495">
        <f t="shared" si="8"/>
        <v>2</v>
      </c>
      <c r="AF5" s="496">
        <f t="shared" si="9"/>
        <v>519</v>
      </c>
      <c r="AG5" s="488">
        <f t="shared" si="5"/>
        <v>259.5</v>
      </c>
      <c r="AI5" s="489">
        <f>R5-'EDl log'!B3</f>
        <v>-49702330.799999997</v>
      </c>
    </row>
    <row r="6" spans="1:115">
      <c r="A6" s="480">
        <f>'General information '!F9</f>
        <v>1.2999999999999999E-2</v>
      </c>
      <c r="B6" s="474">
        <f t="shared" si="6"/>
        <v>2.9899999999999998</v>
      </c>
      <c r="C6" s="481">
        <v>43925</v>
      </c>
      <c r="D6" s="468">
        <v>31568378</v>
      </c>
      <c r="E6" s="326">
        <f t="shared" si="10"/>
        <v>1784</v>
      </c>
      <c r="F6" s="468">
        <v>3610652.4</v>
      </c>
      <c r="G6" s="327">
        <f t="shared" si="0"/>
        <v>1190.3999999999069</v>
      </c>
      <c r="H6" s="468">
        <v>17394844</v>
      </c>
      <c r="I6" s="327">
        <f t="shared" si="11"/>
        <v>1112</v>
      </c>
      <c r="J6" s="468">
        <v>28364390</v>
      </c>
      <c r="K6" s="327">
        <f t="shared" si="12"/>
        <v>774</v>
      </c>
      <c r="L6" s="468">
        <v>22863198</v>
      </c>
      <c r="M6" s="327">
        <f t="shared" si="13"/>
        <v>2810</v>
      </c>
      <c r="N6" s="325">
        <f t="shared" si="14"/>
        <v>7670.3999999999069</v>
      </c>
      <c r="O6" s="490">
        <f t="shared" si="1"/>
        <v>2565.351170568531</v>
      </c>
      <c r="P6" s="468">
        <v>15441.642</v>
      </c>
      <c r="Q6" s="472">
        <f t="shared" si="2"/>
        <v>1641.9999999998254</v>
      </c>
      <c r="R6" s="472">
        <f t="shared" ref="R6:R31" si="18">N6-Q6</f>
        <v>6028.4000000000815</v>
      </c>
      <c r="S6" s="468">
        <v>8414</v>
      </c>
      <c r="T6" s="492">
        <f t="shared" si="3"/>
        <v>1</v>
      </c>
      <c r="U6" s="468">
        <v>31272</v>
      </c>
      <c r="V6" s="472">
        <f t="shared" si="15"/>
        <v>243</v>
      </c>
      <c r="W6" s="468">
        <f t="shared" si="7"/>
        <v>31845</v>
      </c>
      <c r="X6" s="472">
        <f t="shared" si="4"/>
        <v>0</v>
      </c>
      <c r="Y6" s="468">
        <f t="shared" si="7"/>
        <v>624440</v>
      </c>
      <c r="Z6" s="472">
        <f t="shared" ref="Z6:Z30" si="19">Y6-Y5</f>
        <v>0</v>
      </c>
      <c r="AA6" s="468">
        <f t="shared" si="7"/>
        <v>35018</v>
      </c>
      <c r="AB6" s="472">
        <f t="shared" si="16"/>
        <v>0</v>
      </c>
      <c r="AC6" s="468">
        <f t="shared" si="7"/>
        <v>767207</v>
      </c>
      <c r="AD6" s="472">
        <f t="shared" si="17"/>
        <v>0</v>
      </c>
      <c r="AE6" s="495">
        <f t="shared" si="8"/>
        <v>1</v>
      </c>
      <c r="AF6" s="496">
        <f t="shared" si="9"/>
        <v>243</v>
      </c>
      <c r="AG6" s="488">
        <f t="shared" si="5"/>
        <v>243</v>
      </c>
      <c r="AI6" s="489">
        <f>R6-'EDl log'!B4</f>
        <v>-49706936.600000001</v>
      </c>
    </row>
    <row r="7" spans="1:115">
      <c r="A7" s="480">
        <f>'General information '!F10</f>
        <v>3.04E-2</v>
      </c>
      <c r="B7" s="474">
        <f t="shared" si="6"/>
        <v>6.992</v>
      </c>
      <c r="C7" s="481">
        <v>43926</v>
      </c>
      <c r="D7" s="468">
        <v>31571302</v>
      </c>
      <c r="E7" s="326">
        <f t="shared" si="10"/>
        <v>2924</v>
      </c>
      <c r="F7" s="468">
        <v>3611801.2</v>
      </c>
      <c r="G7" s="327">
        <f t="shared" si="0"/>
        <v>1148.8000000002794</v>
      </c>
      <c r="H7" s="468">
        <v>17395930</v>
      </c>
      <c r="I7" s="327">
        <f t="shared" si="11"/>
        <v>1086</v>
      </c>
      <c r="J7" s="468">
        <v>28365278</v>
      </c>
      <c r="K7" s="327">
        <f t="shared" si="12"/>
        <v>888</v>
      </c>
      <c r="L7" s="468">
        <v>22865690</v>
      </c>
      <c r="M7" s="327">
        <f t="shared" si="13"/>
        <v>2492</v>
      </c>
      <c r="N7" s="325">
        <f t="shared" si="14"/>
        <v>8538.8000000002794</v>
      </c>
      <c r="O7" s="490">
        <f t="shared" si="1"/>
        <v>1221.2242562929462</v>
      </c>
      <c r="P7" s="468">
        <v>15443.333000000001</v>
      </c>
      <c r="Q7" s="472">
        <f t="shared" si="2"/>
        <v>1691.000000000713</v>
      </c>
      <c r="R7" s="472">
        <f t="shared" si="18"/>
        <v>6847.7999999995664</v>
      </c>
      <c r="S7" s="468">
        <v>8416</v>
      </c>
      <c r="T7" s="492">
        <f t="shared" si="3"/>
        <v>2</v>
      </c>
      <c r="U7" s="468">
        <v>31598</v>
      </c>
      <c r="V7" s="472">
        <f t="shared" si="15"/>
        <v>326</v>
      </c>
      <c r="W7" s="468">
        <v>31845</v>
      </c>
      <c r="X7" s="472">
        <f t="shared" si="4"/>
        <v>0</v>
      </c>
      <c r="Y7" s="468">
        <v>624440</v>
      </c>
      <c r="Z7" s="472">
        <f t="shared" si="19"/>
        <v>0</v>
      </c>
      <c r="AA7" s="468">
        <v>35025</v>
      </c>
      <c r="AB7" s="472">
        <f t="shared" si="16"/>
        <v>7</v>
      </c>
      <c r="AC7" s="468">
        <v>768802</v>
      </c>
      <c r="AD7" s="472">
        <f t="shared" si="17"/>
        <v>1595</v>
      </c>
      <c r="AE7" s="495">
        <f t="shared" si="8"/>
        <v>9</v>
      </c>
      <c r="AF7" s="496">
        <f t="shared" si="9"/>
        <v>1921</v>
      </c>
      <c r="AG7" s="488">
        <f t="shared" si="5"/>
        <v>213.44444444444446</v>
      </c>
      <c r="AI7" s="489">
        <f>R7-'EDl log'!B5</f>
        <v>-49709193.200000003</v>
      </c>
    </row>
    <row r="8" spans="1:115">
      <c r="A8" s="480">
        <f>'General information '!F11</f>
        <v>8.6999999999999994E-3</v>
      </c>
      <c r="B8" s="474">
        <f t="shared" si="6"/>
        <v>2.0009999999999999</v>
      </c>
      <c r="C8" s="481">
        <v>43927</v>
      </c>
      <c r="D8" s="468">
        <v>31574602</v>
      </c>
      <c r="E8" s="326">
        <f t="shared" si="10"/>
        <v>3300</v>
      </c>
      <c r="F8" s="468">
        <v>3613153</v>
      </c>
      <c r="G8" s="327">
        <f t="shared" si="0"/>
        <v>1351.7999999998137</v>
      </c>
      <c r="H8" s="468">
        <v>17397122</v>
      </c>
      <c r="I8" s="327">
        <f t="shared" si="11"/>
        <v>1192</v>
      </c>
      <c r="J8" s="468">
        <v>28366300</v>
      </c>
      <c r="K8" s="327">
        <f t="shared" si="12"/>
        <v>1022</v>
      </c>
      <c r="L8" s="468">
        <v>22868882</v>
      </c>
      <c r="M8" s="327">
        <f t="shared" si="13"/>
        <v>3192</v>
      </c>
      <c r="N8" s="325">
        <f t="shared" si="14"/>
        <v>10057.799999999814</v>
      </c>
      <c r="O8" s="490">
        <f t="shared" si="1"/>
        <v>5026.3868065966089</v>
      </c>
      <c r="P8" s="468">
        <v>15445.123</v>
      </c>
      <c r="Q8" s="472">
        <f t="shared" si="2"/>
        <v>1789.9999999990541</v>
      </c>
      <c r="R8" s="472">
        <f t="shared" si="18"/>
        <v>8267.8000000007596</v>
      </c>
      <c r="S8" s="468">
        <v>8416</v>
      </c>
      <c r="T8" s="492">
        <f t="shared" si="3"/>
        <v>0</v>
      </c>
      <c r="U8" s="468">
        <v>31598</v>
      </c>
      <c r="V8" s="472">
        <f t="shared" si="15"/>
        <v>0</v>
      </c>
      <c r="W8" s="468">
        <v>31845</v>
      </c>
      <c r="X8" s="472">
        <f t="shared" si="4"/>
        <v>0</v>
      </c>
      <c r="Y8" s="468">
        <v>624440</v>
      </c>
      <c r="Z8" s="472">
        <f t="shared" si="19"/>
        <v>0</v>
      </c>
      <c r="AA8" s="468">
        <v>35025</v>
      </c>
      <c r="AB8" s="472">
        <f t="shared" si="16"/>
        <v>0</v>
      </c>
      <c r="AC8" s="468">
        <v>768802</v>
      </c>
      <c r="AD8" s="472">
        <f t="shared" si="17"/>
        <v>0</v>
      </c>
      <c r="AE8" s="495">
        <f t="shared" si="8"/>
        <v>0</v>
      </c>
      <c r="AF8" s="496">
        <f t="shared" si="9"/>
        <v>0</v>
      </c>
      <c r="AG8" s="488">
        <f t="shared" si="5"/>
        <v>0</v>
      </c>
      <c r="AI8" s="489">
        <f>R8-'EDl log'!B6</f>
        <v>-49711486.199999996</v>
      </c>
    </row>
    <row r="9" spans="1:115">
      <c r="A9" s="480">
        <f>'General information '!F12</f>
        <v>8.6999999999999994E-3</v>
      </c>
      <c r="B9" s="474">
        <f t="shared" si="6"/>
        <v>2.0009999999999999</v>
      </c>
      <c r="C9" s="481">
        <v>43928</v>
      </c>
      <c r="D9" s="468">
        <v>31576780</v>
      </c>
      <c r="E9" s="326">
        <f t="shared" si="10"/>
        <v>2178</v>
      </c>
      <c r="F9" s="468">
        <v>3614424.4</v>
      </c>
      <c r="G9" s="327">
        <f t="shared" si="0"/>
        <v>1271.3999999999069</v>
      </c>
      <c r="H9" s="468">
        <v>17398208</v>
      </c>
      <c r="I9" s="327">
        <f t="shared" si="11"/>
        <v>1086</v>
      </c>
      <c r="J9" s="468">
        <v>28367132</v>
      </c>
      <c r="K9" s="327">
        <f t="shared" si="12"/>
        <v>832</v>
      </c>
      <c r="L9" s="468">
        <v>22871424</v>
      </c>
      <c r="M9" s="327">
        <f t="shared" si="13"/>
        <v>2542</v>
      </c>
      <c r="N9" s="325">
        <f t="shared" si="14"/>
        <v>7909.3999999999069</v>
      </c>
      <c r="O9" s="490">
        <f t="shared" si="1"/>
        <v>3952.7236381808634</v>
      </c>
      <c r="P9" s="468">
        <v>15446.522000000001</v>
      </c>
      <c r="Q9" s="472">
        <f t="shared" si="2"/>
        <v>1399.0000000012515</v>
      </c>
      <c r="R9" s="472">
        <f t="shared" si="18"/>
        <v>6510.3999999986554</v>
      </c>
      <c r="S9" s="468">
        <v>8416</v>
      </c>
      <c r="T9" s="492">
        <f t="shared" si="3"/>
        <v>0</v>
      </c>
      <c r="U9" s="468">
        <v>31598</v>
      </c>
      <c r="V9" s="472">
        <f t="shared" si="15"/>
        <v>0</v>
      </c>
      <c r="W9" s="468">
        <v>31845</v>
      </c>
      <c r="X9" s="472">
        <f t="shared" ref="X9:X32" si="20">W9-W8</f>
        <v>0</v>
      </c>
      <c r="Y9" s="468">
        <v>624440</v>
      </c>
      <c r="Z9" s="472">
        <f t="shared" si="19"/>
        <v>0</v>
      </c>
      <c r="AA9" s="468">
        <v>35026</v>
      </c>
      <c r="AB9" s="472">
        <f t="shared" si="16"/>
        <v>1</v>
      </c>
      <c r="AC9" s="468">
        <v>769112</v>
      </c>
      <c r="AD9" s="472">
        <f t="shared" si="17"/>
        <v>310</v>
      </c>
      <c r="AE9" s="495">
        <f t="shared" si="8"/>
        <v>1</v>
      </c>
      <c r="AF9" s="496">
        <f t="shared" si="9"/>
        <v>310</v>
      </c>
      <c r="AG9" s="488">
        <f t="shared" si="5"/>
        <v>310</v>
      </c>
      <c r="AI9" s="489">
        <f>R9-'EDl log'!B7</f>
        <v>-49716572.600000001</v>
      </c>
    </row>
    <row r="10" spans="1:115">
      <c r="A10" s="480">
        <f>'General information '!F13</f>
        <v>4.7800000000000002E-2</v>
      </c>
      <c r="B10" s="474">
        <f t="shared" si="6"/>
        <v>10.994</v>
      </c>
      <c r="C10" s="481">
        <v>43929</v>
      </c>
      <c r="D10" s="468">
        <v>31580646</v>
      </c>
      <c r="E10" s="326">
        <f t="shared" si="10"/>
        <v>3866</v>
      </c>
      <c r="F10" s="468">
        <v>3615938</v>
      </c>
      <c r="G10" s="327">
        <f t="shared" si="0"/>
        <v>1513.6000000000931</v>
      </c>
      <c r="H10" s="468">
        <v>17399560</v>
      </c>
      <c r="I10" s="327">
        <f t="shared" si="11"/>
        <v>1352</v>
      </c>
      <c r="J10" s="468">
        <v>28368306</v>
      </c>
      <c r="K10" s="327">
        <f t="shared" si="12"/>
        <v>1174</v>
      </c>
      <c r="L10" s="468">
        <v>22874334</v>
      </c>
      <c r="M10" s="327">
        <f t="shared" si="13"/>
        <v>2910</v>
      </c>
      <c r="N10" s="325">
        <f t="shared" si="14"/>
        <v>10815.600000000093</v>
      </c>
      <c r="O10" s="490">
        <f t="shared" ref="O10:O32" si="21">IF(B10&gt;0,N10/B10,0)</f>
        <v>983.77296707295739</v>
      </c>
      <c r="P10" s="468">
        <v>15448.133</v>
      </c>
      <c r="Q10" s="472">
        <f t="shared" si="2"/>
        <v>1610.9999999989668</v>
      </c>
      <c r="R10" s="472">
        <f t="shared" si="18"/>
        <v>9204.6000000011263</v>
      </c>
      <c r="S10" s="468">
        <v>8416</v>
      </c>
      <c r="T10" s="492">
        <f t="shared" si="3"/>
        <v>0</v>
      </c>
      <c r="U10" s="468">
        <v>31598</v>
      </c>
      <c r="V10" s="472">
        <f t="shared" si="15"/>
        <v>0</v>
      </c>
      <c r="W10" s="468">
        <v>31845</v>
      </c>
      <c r="X10" s="472">
        <f t="shared" si="20"/>
        <v>0</v>
      </c>
      <c r="Y10" s="468">
        <v>624440</v>
      </c>
      <c r="Z10" s="472">
        <f t="shared" si="19"/>
        <v>0</v>
      </c>
      <c r="AA10" s="468">
        <v>35030</v>
      </c>
      <c r="AB10" s="472">
        <f t="shared" si="16"/>
        <v>4</v>
      </c>
      <c r="AC10" s="468">
        <v>770135</v>
      </c>
      <c r="AD10" s="472">
        <f t="shared" si="17"/>
        <v>1023</v>
      </c>
      <c r="AE10" s="495">
        <f t="shared" si="8"/>
        <v>4</v>
      </c>
      <c r="AF10" s="496">
        <f t="shared" si="9"/>
        <v>1023</v>
      </c>
      <c r="AG10" s="488">
        <f t="shared" ref="AG10:AG32" si="22">IF(AE10&gt;0,AF10/AE10,0)</f>
        <v>255.75</v>
      </c>
      <c r="AI10" s="489">
        <f>R10-'EDl log'!B8</f>
        <v>-49717461.399999999</v>
      </c>
    </row>
    <row r="11" spans="1:115">
      <c r="A11" s="480">
        <f>'General information '!F14</f>
        <v>2.1700000000000001E-2</v>
      </c>
      <c r="B11" s="474">
        <f>SUM(230*A11)</f>
        <v>4.9910000000000005</v>
      </c>
      <c r="C11" s="481">
        <v>43930</v>
      </c>
      <c r="D11" s="468">
        <v>31583976</v>
      </c>
      <c r="E11" s="326">
        <f t="shared" si="10"/>
        <v>3330</v>
      </c>
      <c r="F11" s="468">
        <v>3617225</v>
      </c>
      <c r="G11" s="327">
        <f t="shared" si="0"/>
        <v>1287</v>
      </c>
      <c r="H11" s="468">
        <v>17400718</v>
      </c>
      <c r="I11" s="327">
        <f t="shared" si="11"/>
        <v>1158</v>
      </c>
      <c r="J11" s="468">
        <v>28369278</v>
      </c>
      <c r="K11" s="327">
        <f t="shared" si="12"/>
        <v>972</v>
      </c>
      <c r="L11" s="468">
        <v>22876690</v>
      </c>
      <c r="M11" s="327">
        <f t="shared" si="13"/>
        <v>2356</v>
      </c>
      <c r="N11" s="325">
        <f>M11+K11+I11+G11+E11</f>
        <v>9103</v>
      </c>
      <c r="O11" s="490">
        <f t="shared" si="21"/>
        <v>1823.8829893808854</v>
      </c>
      <c r="P11" s="573">
        <v>15450</v>
      </c>
      <c r="Q11" s="472">
        <f t="shared" si="2"/>
        <v>1867.0000000001892</v>
      </c>
      <c r="R11" s="472">
        <f t="shared" si="18"/>
        <v>7235.9999999998108</v>
      </c>
      <c r="S11" s="468">
        <f t="shared" si="7"/>
        <v>8416</v>
      </c>
      <c r="T11" s="492">
        <f t="shared" si="3"/>
        <v>0</v>
      </c>
      <c r="U11" s="468">
        <f t="shared" si="7"/>
        <v>31598</v>
      </c>
      <c r="V11" s="472">
        <f t="shared" si="15"/>
        <v>0</v>
      </c>
      <c r="W11" s="468">
        <f t="shared" si="7"/>
        <v>31845</v>
      </c>
      <c r="X11" s="472">
        <f t="shared" si="20"/>
        <v>0</v>
      </c>
      <c r="Y11" s="468">
        <f t="shared" si="7"/>
        <v>624440</v>
      </c>
      <c r="Z11" s="472">
        <f t="shared" si="19"/>
        <v>0</v>
      </c>
      <c r="AA11" s="468">
        <v>35032</v>
      </c>
      <c r="AB11" s="472">
        <f t="shared" si="16"/>
        <v>2</v>
      </c>
      <c r="AC11" s="468">
        <v>770886</v>
      </c>
      <c r="AD11" s="472">
        <f t="shared" si="17"/>
        <v>751</v>
      </c>
      <c r="AE11" s="495">
        <f t="shared" si="8"/>
        <v>2</v>
      </c>
      <c r="AF11" s="496">
        <f t="shared" si="9"/>
        <v>751</v>
      </c>
      <c r="AG11" s="488">
        <f t="shared" si="22"/>
        <v>375.5</v>
      </c>
      <c r="AI11" s="489">
        <f>R11-'EDl log'!B9</f>
        <v>-49723744</v>
      </c>
    </row>
    <row r="12" spans="1:115">
      <c r="A12" s="480">
        <f>'General information '!F15</f>
        <v>8.6999999999999994E-3</v>
      </c>
      <c r="B12" s="474">
        <f t="shared" si="6"/>
        <v>2.0009999999999999</v>
      </c>
      <c r="C12" s="481">
        <v>43931</v>
      </c>
      <c r="D12" s="468">
        <v>31586162</v>
      </c>
      <c r="E12" s="326">
        <f t="shared" si="10"/>
        <v>2186</v>
      </c>
      <c r="F12" s="468">
        <v>3618515.6</v>
      </c>
      <c r="G12" s="327">
        <f t="shared" si="0"/>
        <v>1290.6000000000931</v>
      </c>
      <c r="H12" s="468">
        <v>17401918</v>
      </c>
      <c r="I12" s="327">
        <f t="shared" si="11"/>
        <v>1200</v>
      </c>
      <c r="J12" s="468">
        <v>28370232</v>
      </c>
      <c r="K12" s="327">
        <f t="shared" si="12"/>
        <v>954</v>
      </c>
      <c r="L12" s="468">
        <v>22879082</v>
      </c>
      <c r="M12" s="327">
        <f t="shared" si="13"/>
        <v>2392</v>
      </c>
      <c r="N12" s="325">
        <f>M12+K12+I12+G12+E12</f>
        <v>8022.6000000000931</v>
      </c>
      <c r="O12" s="490">
        <f t="shared" si="21"/>
        <v>4009.2953523238848</v>
      </c>
      <c r="P12" s="573">
        <v>15451</v>
      </c>
      <c r="Q12" s="472">
        <f t="shared" si="2"/>
        <v>1000</v>
      </c>
      <c r="R12" s="472">
        <f t="shared" si="18"/>
        <v>7022.6000000000931</v>
      </c>
      <c r="S12" s="468">
        <f t="shared" si="7"/>
        <v>8416</v>
      </c>
      <c r="T12" s="492">
        <f t="shared" si="3"/>
        <v>0</v>
      </c>
      <c r="U12" s="468">
        <f t="shared" si="7"/>
        <v>31598</v>
      </c>
      <c r="V12" s="472">
        <f t="shared" si="15"/>
        <v>0</v>
      </c>
      <c r="W12" s="468">
        <f t="shared" si="7"/>
        <v>31845</v>
      </c>
      <c r="X12" s="472">
        <f t="shared" si="20"/>
        <v>0</v>
      </c>
      <c r="Y12" s="468">
        <f t="shared" si="7"/>
        <v>624440</v>
      </c>
      <c r="Z12" s="472">
        <f t="shared" si="19"/>
        <v>0</v>
      </c>
      <c r="AA12" s="468">
        <v>35034</v>
      </c>
      <c r="AB12" s="472">
        <f t="shared" si="16"/>
        <v>2</v>
      </c>
      <c r="AC12" s="468">
        <v>771312</v>
      </c>
      <c r="AD12" s="472">
        <f t="shared" si="17"/>
        <v>426</v>
      </c>
      <c r="AE12" s="495">
        <f t="shared" si="8"/>
        <v>2</v>
      </c>
      <c r="AF12" s="496">
        <f t="shared" si="9"/>
        <v>426</v>
      </c>
      <c r="AG12" s="488">
        <f t="shared" si="22"/>
        <v>213</v>
      </c>
      <c r="AI12" s="489">
        <f>R12-'EDl log'!B10</f>
        <v>-49727414.399999999</v>
      </c>
    </row>
    <row r="13" spans="1:115">
      <c r="A13" s="480">
        <f>'General information '!F16</f>
        <v>1.7399999999999999E-2</v>
      </c>
      <c r="B13" s="474">
        <f t="shared" si="6"/>
        <v>4.0019999999999998</v>
      </c>
      <c r="C13" s="481">
        <v>43932</v>
      </c>
      <c r="D13" s="468">
        <v>31588498</v>
      </c>
      <c r="E13" s="326">
        <f t="shared" si="10"/>
        <v>2336</v>
      </c>
      <c r="F13" s="468">
        <v>3619893</v>
      </c>
      <c r="G13" s="327">
        <f t="shared" si="0"/>
        <v>1377.3999999999069</v>
      </c>
      <c r="H13" s="468">
        <v>17403218</v>
      </c>
      <c r="I13" s="327">
        <f t="shared" si="11"/>
        <v>1300</v>
      </c>
      <c r="J13" s="468">
        <v>28371210</v>
      </c>
      <c r="K13" s="327">
        <f t="shared" si="12"/>
        <v>978</v>
      </c>
      <c r="L13" s="468">
        <v>22881694</v>
      </c>
      <c r="M13" s="327">
        <f t="shared" si="13"/>
        <v>2612</v>
      </c>
      <c r="N13" s="325">
        <f t="shared" si="14"/>
        <v>8603.3999999999069</v>
      </c>
      <c r="O13" s="490">
        <f t="shared" si="21"/>
        <v>2149.775112443755</v>
      </c>
      <c r="P13" s="573">
        <v>15453</v>
      </c>
      <c r="Q13" s="472">
        <f t="shared" ref="Q13:Q31" si="23">(P13-P12)*1000</f>
        <v>2000</v>
      </c>
      <c r="R13" s="472">
        <f t="shared" si="18"/>
        <v>6603.3999999999069</v>
      </c>
      <c r="S13" s="468">
        <f t="shared" si="7"/>
        <v>8416</v>
      </c>
      <c r="T13" s="492">
        <f t="shared" si="3"/>
        <v>0</v>
      </c>
      <c r="U13" s="468">
        <f t="shared" si="7"/>
        <v>31598</v>
      </c>
      <c r="V13" s="472">
        <f t="shared" si="15"/>
        <v>0</v>
      </c>
      <c r="W13" s="468">
        <f t="shared" si="7"/>
        <v>31845</v>
      </c>
      <c r="X13" s="472">
        <f t="shared" si="20"/>
        <v>0</v>
      </c>
      <c r="Y13" s="468">
        <f t="shared" si="7"/>
        <v>624440</v>
      </c>
      <c r="Z13" s="472">
        <f t="shared" si="19"/>
        <v>0</v>
      </c>
      <c r="AA13" s="468">
        <v>35035</v>
      </c>
      <c r="AB13" s="472">
        <f t="shared" si="16"/>
        <v>1</v>
      </c>
      <c r="AC13" s="468">
        <v>771620</v>
      </c>
      <c r="AD13" s="472">
        <f t="shared" si="17"/>
        <v>308</v>
      </c>
      <c r="AE13" s="495">
        <f t="shared" si="8"/>
        <v>1</v>
      </c>
      <c r="AF13" s="496">
        <f t="shared" si="9"/>
        <v>308</v>
      </c>
      <c r="AG13" s="488">
        <f t="shared" si="22"/>
        <v>308</v>
      </c>
      <c r="AI13" s="489">
        <f>R13-'EDl log'!B11</f>
        <v>-49732571.600000001</v>
      </c>
    </row>
    <row r="14" spans="1:115">
      <c r="A14" s="480">
        <f>'General information '!F17</f>
        <v>1.2999999999999999E-2</v>
      </c>
      <c r="B14" s="474">
        <f t="shared" si="6"/>
        <v>2.9899999999999998</v>
      </c>
      <c r="C14" s="481">
        <v>43933</v>
      </c>
      <c r="D14" s="468">
        <v>31591294</v>
      </c>
      <c r="E14" s="326">
        <f t="shared" si="10"/>
        <v>2796</v>
      </c>
      <c r="F14" s="468">
        <v>3621146</v>
      </c>
      <c r="G14" s="327">
        <f t="shared" si="0"/>
        <v>1253</v>
      </c>
      <c r="H14" s="468">
        <v>17404486</v>
      </c>
      <c r="I14" s="327">
        <f t="shared" si="11"/>
        <v>1268</v>
      </c>
      <c r="J14" s="468">
        <v>28372168</v>
      </c>
      <c r="K14" s="327">
        <f t="shared" si="12"/>
        <v>958</v>
      </c>
      <c r="L14" s="468">
        <v>22884162</v>
      </c>
      <c r="M14" s="327">
        <f t="shared" si="13"/>
        <v>2468</v>
      </c>
      <c r="N14" s="325">
        <f t="shared" si="14"/>
        <v>8743</v>
      </c>
      <c r="O14" s="490">
        <f t="shared" si="21"/>
        <v>2924.0802675585287</v>
      </c>
      <c r="P14" s="573">
        <v>15454</v>
      </c>
      <c r="Q14" s="472">
        <f t="shared" si="23"/>
        <v>1000</v>
      </c>
      <c r="R14" s="472">
        <f t="shared" si="18"/>
        <v>7743</v>
      </c>
      <c r="S14" s="468">
        <f t="shared" si="7"/>
        <v>8416</v>
      </c>
      <c r="T14" s="492">
        <f t="shared" si="3"/>
        <v>0</v>
      </c>
      <c r="U14" s="468">
        <f t="shared" si="7"/>
        <v>31598</v>
      </c>
      <c r="V14" s="472">
        <f t="shared" si="15"/>
        <v>0</v>
      </c>
      <c r="W14" s="468">
        <f t="shared" si="7"/>
        <v>31845</v>
      </c>
      <c r="X14" s="472">
        <f t="shared" si="20"/>
        <v>0</v>
      </c>
      <c r="Y14" s="468">
        <f t="shared" si="7"/>
        <v>624440</v>
      </c>
      <c r="Z14" s="472">
        <f t="shared" si="19"/>
        <v>0</v>
      </c>
      <c r="AA14" s="468">
        <v>35037</v>
      </c>
      <c r="AB14" s="472">
        <f t="shared" si="16"/>
        <v>2</v>
      </c>
      <c r="AC14" s="468">
        <v>772092</v>
      </c>
      <c r="AD14" s="472">
        <f t="shared" si="17"/>
        <v>472</v>
      </c>
      <c r="AE14" s="495">
        <f t="shared" si="8"/>
        <v>2</v>
      </c>
      <c r="AF14" s="496">
        <f t="shared" si="9"/>
        <v>472</v>
      </c>
      <c r="AG14" s="488">
        <f t="shared" si="22"/>
        <v>236</v>
      </c>
      <c r="AI14" s="489">
        <f>R14-'EDl log'!B12</f>
        <v>-49735109</v>
      </c>
    </row>
    <row r="15" spans="1:115">
      <c r="A15" s="480">
        <f>'General information '!F18</f>
        <v>3.4799999999999998E-2</v>
      </c>
      <c r="B15" s="474">
        <f t="shared" si="6"/>
        <v>8.0039999999999996</v>
      </c>
      <c r="C15" s="481">
        <v>43934</v>
      </c>
      <c r="D15" s="468">
        <v>31593954</v>
      </c>
      <c r="E15" s="326">
        <f t="shared" si="10"/>
        <v>2660</v>
      </c>
      <c r="F15" s="468">
        <v>3622478</v>
      </c>
      <c r="G15" s="327">
        <f t="shared" si="0"/>
        <v>1332</v>
      </c>
      <c r="H15" s="468">
        <v>17405802</v>
      </c>
      <c r="I15" s="327">
        <f t="shared" si="11"/>
        <v>1316</v>
      </c>
      <c r="J15" s="468">
        <v>28373092</v>
      </c>
      <c r="K15" s="327">
        <f t="shared" si="12"/>
        <v>924</v>
      </c>
      <c r="L15" s="468">
        <v>22886694</v>
      </c>
      <c r="M15" s="327">
        <f t="shared" si="13"/>
        <v>2532</v>
      </c>
      <c r="N15" s="325">
        <f t="shared" si="14"/>
        <v>8764</v>
      </c>
      <c r="O15" s="490">
        <f t="shared" si="21"/>
        <v>1094.952523738131</v>
      </c>
      <c r="P15" s="573">
        <v>15455</v>
      </c>
      <c r="Q15" s="472">
        <f>(P15-P14)*1000</f>
        <v>1000</v>
      </c>
      <c r="R15" s="472">
        <f t="shared" si="18"/>
        <v>7764</v>
      </c>
      <c r="S15" s="468">
        <f t="shared" si="7"/>
        <v>8416</v>
      </c>
      <c r="T15" s="492">
        <f t="shared" si="3"/>
        <v>0</v>
      </c>
      <c r="U15" s="468">
        <f t="shared" si="7"/>
        <v>31598</v>
      </c>
      <c r="V15" s="472">
        <f t="shared" si="15"/>
        <v>0</v>
      </c>
      <c r="W15" s="468">
        <f t="shared" si="7"/>
        <v>31845</v>
      </c>
      <c r="X15" s="472">
        <f t="shared" si="20"/>
        <v>0</v>
      </c>
      <c r="Y15" s="468">
        <f t="shared" si="7"/>
        <v>624440</v>
      </c>
      <c r="Z15" s="472">
        <f t="shared" si="19"/>
        <v>0</v>
      </c>
      <c r="AA15" s="468">
        <f t="shared" si="7"/>
        <v>35037</v>
      </c>
      <c r="AB15" s="472">
        <f t="shared" si="16"/>
        <v>0</v>
      </c>
      <c r="AC15" s="468">
        <v>772288</v>
      </c>
      <c r="AD15" s="472">
        <f t="shared" si="17"/>
        <v>196</v>
      </c>
      <c r="AE15" s="495">
        <f t="shared" si="8"/>
        <v>0</v>
      </c>
      <c r="AF15" s="496">
        <f t="shared" si="9"/>
        <v>196</v>
      </c>
      <c r="AG15" s="488">
        <f t="shared" si="22"/>
        <v>0</v>
      </c>
      <c r="AI15" s="489">
        <f>R15-'EDl log'!B13</f>
        <v>-49738477</v>
      </c>
    </row>
    <row r="16" spans="1:115">
      <c r="A16" s="480">
        <f>'General information '!F19</f>
        <v>2.1700000000000001E-2</v>
      </c>
      <c r="B16" s="474">
        <f t="shared" si="6"/>
        <v>4.9910000000000005</v>
      </c>
      <c r="C16" s="481">
        <v>43935</v>
      </c>
      <c r="D16" s="468">
        <v>31596054</v>
      </c>
      <c r="E16" s="326">
        <f t="shared" si="10"/>
        <v>2100</v>
      </c>
      <c r="F16" s="468">
        <v>3623964.4</v>
      </c>
      <c r="G16" s="327">
        <f t="shared" si="0"/>
        <v>1486.3999999999069</v>
      </c>
      <c r="H16" s="468">
        <v>17407190</v>
      </c>
      <c r="I16" s="327">
        <f t="shared" si="11"/>
        <v>1388</v>
      </c>
      <c r="J16" s="468">
        <v>28374102</v>
      </c>
      <c r="K16" s="327">
        <f t="shared" si="12"/>
        <v>1010</v>
      </c>
      <c r="L16" s="468">
        <v>22889398</v>
      </c>
      <c r="M16" s="327">
        <f t="shared" si="13"/>
        <v>2704</v>
      </c>
      <c r="N16" s="325">
        <f t="shared" si="14"/>
        <v>8688.3999999999069</v>
      </c>
      <c r="O16" s="490">
        <f t="shared" si="21"/>
        <v>1740.8134642356054</v>
      </c>
      <c r="P16" s="573">
        <v>15457.114</v>
      </c>
      <c r="Q16" s="472">
        <f>(P16-P15)*1000</f>
        <v>2113.999999999578</v>
      </c>
      <c r="R16" s="472">
        <f t="shared" si="18"/>
        <v>6574.4000000003289</v>
      </c>
      <c r="S16" s="468">
        <v>8416</v>
      </c>
      <c r="T16" s="492">
        <f t="shared" si="3"/>
        <v>0</v>
      </c>
      <c r="U16" s="468">
        <v>31598</v>
      </c>
      <c r="V16" s="472">
        <f t="shared" si="15"/>
        <v>0</v>
      </c>
      <c r="W16" s="468">
        <v>31845</v>
      </c>
      <c r="X16" s="472">
        <f>W16-W15</f>
        <v>0</v>
      </c>
      <c r="Y16" s="468">
        <v>624440</v>
      </c>
      <c r="Z16" s="472">
        <f>Y16-Y15</f>
        <v>0</v>
      </c>
      <c r="AA16" s="468">
        <v>35038</v>
      </c>
      <c r="AB16" s="472">
        <f>AA16-AA15</f>
        <v>1</v>
      </c>
      <c r="AC16" s="468">
        <v>772525</v>
      </c>
      <c r="AD16" s="472">
        <f t="shared" si="17"/>
        <v>237</v>
      </c>
      <c r="AE16" s="495">
        <f t="shared" si="8"/>
        <v>1</v>
      </c>
      <c r="AF16" s="496">
        <f t="shared" si="9"/>
        <v>237</v>
      </c>
      <c r="AG16" s="488">
        <f t="shared" si="22"/>
        <v>237</v>
      </c>
      <c r="AI16" s="489">
        <f>R16-'EDl log'!B14</f>
        <v>-49743157.600000001</v>
      </c>
    </row>
    <row r="17" spans="1:35">
      <c r="A17" s="480">
        <f>'General information '!F20</f>
        <v>1.2999999999999999E-2</v>
      </c>
      <c r="B17" s="474">
        <f t="shared" si="6"/>
        <v>2.9899999999999998</v>
      </c>
      <c r="C17" s="481">
        <v>43936</v>
      </c>
      <c r="D17" s="468">
        <v>31598968</v>
      </c>
      <c r="E17" s="326">
        <f t="shared" si="10"/>
        <v>2914</v>
      </c>
      <c r="F17" s="468">
        <v>3625348.4</v>
      </c>
      <c r="G17" s="327">
        <f t="shared" si="0"/>
        <v>1384</v>
      </c>
      <c r="H17" s="468">
        <v>17408506</v>
      </c>
      <c r="I17" s="327">
        <f t="shared" si="11"/>
        <v>1316</v>
      </c>
      <c r="J17" s="468">
        <v>28375126</v>
      </c>
      <c r="K17" s="327">
        <f t="shared" si="12"/>
        <v>1024</v>
      </c>
      <c r="L17" s="468">
        <v>22892042</v>
      </c>
      <c r="M17" s="327">
        <f t="shared" si="13"/>
        <v>2644</v>
      </c>
      <c r="N17" s="325">
        <f t="shared" si="14"/>
        <v>9282</v>
      </c>
      <c r="O17" s="490">
        <f t="shared" si="21"/>
        <v>3104.347826086957</v>
      </c>
      <c r="P17" s="573">
        <v>15458.864</v>
      </c>
      <c r="Q17" s="472">
        <f t="shared" si="23"/>
        <v>1750</v>
      </c>
      <c r="R17" s="472">
        <f t="shared" si="18"/>
        <v>7532</v>
      </c>
      <c r="S17" s="468">
        <v>8416</v>
      </c>
      <c r="T17" s="492">
        <f t="shared" si="3"/>
        <v>0</v>
      </c>
      <c r="U17" s="468">
        <v>31598</v>
      </c>
      <c r="V17" s="472">
        <f t="shared" si="15"/>
        <v>0</v>
      </c>
      <c r="W17" s="468">
        <v>31845</v>
      </c>
      <c r="X17" s="472">
        <f t="shared" si="20"/>
        <v>0</v>
      </c>
      <c r="Y17" s="468">
        <v>624440</v>
      </c>
      <c r="Z17" s="472">
        <f t="shared" si="19"/>
        <v>0</v>
      </c>
      <c r="AA17" s="468">
        <v>35041</v>
      </c>
      <c r="AB17" s="472">
        <f t="shared" si="16"/>
        <v>3</v>
      </c>
      <c r="AC17" s="468">
        <v>773141</v>
      </c>
      <c r="AD17" s="472">
        <f t="shared" ref="AD17:AD32" si="24">AC17-AC16</f>
        <v>616</v>
      </c>
      <c r="AE17" s="495">
        <f t="shared" si="8"/>
        <v>3</v>
      </c>
      <c r="AF17" s="496">
        <f t="shared" si="9"/>
        <v>616</v>
      </c>
      <c r="AG17" s="488">
        <f t="shared" si="22"/>
        <v>205.33333333333334</v>
      </c>
      <c r="AI17" s="489">
        <f>R17-'EDl log'!B15</f>
        <v>-49746497</v>
      </c>
    </row>
    <row r="18" spans="1:35">
      <c r="A18" s="480">
        <f>'General information '!F21</f>
        <v>0.01</v>
      </c>
      <c r="B18" s="474">
        <f t="shared" si="6"/>
        <v>2.3000000000000003</v>
      </c>
      <c r="C18" s="481">
        <v>43937</v>
      </c>
      <c r="D18" s="468">
        <v>31601698</v>
      </c>
      <c r="E18" s="326">
        <f t="shared" si="10"/>
        <v>2730</v>
      </c>
      <c r="F18" s="468">
        <v>3627030</v>
      </c>
      <c r="G18" s="327">
        <f t="shared" si="0"/>
        <v>1681.6000000000931</v>
      </c>
      <c r="H18" s="468">
        <v>17410024</v>
      </c>
      <c r="I18" s="327">
        <f t="shared" si="11"/>
        <v>1518</v>
      </c>
      <c r="J18" s="468">
        <v>28376340</v>
      </c>
      <c r="K18" s="327">
        <f t="shared" si="12"/>
        <v>1214</v>
      </c>
      <c r="L18" s="468">
        <v>22895670</v>
      </c>
      <c r="M18" s="327">
        <f t="shared" si="13"/>
        <v>3628</v>
      </c>
      <c r="N18" s="325">
        <f t="shared" si="14"/>
        <v>10771.600000000093</v>
      </c>
      <c r="O18" s="490">
        <f t="shared" si="21"/>
        <v>4683.304347826127</v>
      </c>
      <c r="P18" s="573">
        <v>15459.5</v>
      </c>
      <c r="Q18" s="472">
        <f t="shared" si="23"/>
        <v>636.00000000042201</v>
      </c>
      <c r="R18" s="472">
        <f t="shared" si="18"/>
        <v>10135.599999999671</v>
      </c>
      <c r="S18" s="468">
        <v>8418</v>
      </c>
      <c r="T18" s="492">
        <f t="shared" si="3"/>
        <v>2</v>
      </c>
      <c r="U18" s="468">
        <v>32172</v>
      </c>
      <c r="V18" s="472">
        <f t="shared" si="15"/>
        <v>574</v>
      </c>
      <c r="W18" s="468">
        <v>31845</v>
      </c>
      <c r="X18" s="472">
        <f t="shared" si="20"/>
        <v>0</v>
      </c>
      <c r="Y18" s="468">
        <f t="shared" si="7"/>
        <v>624440</v>
      </c>
      <c r="Z18" s="472">
        <f t="shared" si="19"/>
        <v>0</v>
      </c>
      <c r="AA18" s="468">
        <v>35042</v>
      </c>
      <c r="AB18" s="472">
        <f t="shared" si="16"/>
        <v>1</v>
      </c>
      <c r="AC18" s="468">
        <v>773343</v>
      </c>
      <c r="AD18" s="472">
        <f t="shared" si="24"/>
        <v>202</v>
      </c>
      <c r="AE18" s="495">
        <f t="shared" si="8"/>
        <v>3</v>
      </c>
      <c r="AF18" s="496">
        <f t="shared" si="9"/>
        <v>776</v>
      </c>
      <c r="AG18" s="488">
        <f t="shared" si="22"/>
        <v>258.66666666666669</v>
      </c>
      <c r="AI18" s="489">
        <f>R18-'EDl log'!B16</f>
        <v>-49747767.399999999</v>
      </c>
    </row>
    <row r="19" spans="1:35">
      <c r="A19" s="480">
        <f>'General information '!F22</f>
        <v>8.6999999999999994E-3</v>
      </c>
      <c r="B19" s="474">
        <f t="shared" si="6"/>
        <v>2.0009999999999999</v>
      </c>
      <c r="C19" s="481">
        <v>43938</v>
      </c>
      <c r="D19" s="468">
        <v>31603542</v>
      </c>
      <c r="E19" s="326">
        <f t="shared" si="10"/>
        <v>1844</v>
      </c>
      <c r="F19" s="468">
        <v>3628364</v>
      </c>
      <c r="G19" s="327">
        <f t="shared" si="0"/>
        <v>1334</v>
      </c>
      <c r="H19" s="468">
        <v>17411118</v>
      </c>
      <c r="I19" s="327">
        <f t="shared" si="11"/>
        <v>1094</v>
      </c>
      <c r="J19" s="468">
        <v>28377274</v>
      </c>
      <c r="K19" s="327">
        <f t="shared" si="12"/>
        <v>934</v>
      </c>
      <c r="L19" s="468">
        <v>22898710</v>
      </c>
      <c r="M19" s="327">
        <f t="shared" si="13"/>
        <v>3040</v>
      </c>
      <c r="N19" s="325">
        <f t="shared" si="14"/>
        <v>8246</v>
      </c>
      <c r="O19" s="490">
        <f t="shared" si="21"/>
        <v>4120.939530234883</v>
      </c>
      <c r="P19" s="573">
        <v>15461.289000000001</v>
      </c>
      <c r="Q19" s="472">
        <f>(P19-P18)*1000</f>
        <v>1789.0000000006694</v>
      </c>
      <c r="R19" s="472">
        <f t="shared" si="18"/>
        <v>6456.9999999993306</v>
      </c>
      <c r="S19" s="468">
        <v>8420</v>
      </c>
      <c r="T19" s="492">
        <f t="shared" si="3"/>
        <v>2</v>
      </c>
      <c r="U19" s="468">
        <v>32720</v>
      </c>
      <c r="V19" s="472">
        <f t="shared" si="15"/>
        <v>548</v>
      </c>
      <c r="W19" s="468">
        <v>31845</v>
      </c>
      <c r="X19" s="472">
        <f t="shared" si="20"/>
        <v>0</v>
      </c>
      <c r="Y19" s="468">
        <f t="shared" si="7"/>
        <v>624440</v>
      </c>
      <c r="Z19" s="472">
        <f t="shared" si="19"/>
        <v>0</v>
      </c>
      <c r="AA19" s="468">
        <f t="shared" si="7"/>
        <v>35042</v>
      </c>
      <c r="AB19" s="472">
        <f t="shared" si="16"/>
        <v>0</v>
      </c>
      <c r="AC19" s="468">
        <f t="shared" si="7"/>
        <v>773343</v>
      </c>
      <c r="AD19" s="472">
        <f t="shared" si="24"/>
        <v>0</v>
      </c>
      <c r="AE19" s="495">
        <f t="shared" si="8"/>
        <v>2</v>
      </c>
      <c r="AF19" s="496">
        <f t="shared" si="9"/>
        <v>548</v>
      </c>
      <c r="AG19" s="488">
        <f t="shared" si="22"/>
        <v>274</v>
      </c>
      <c r="AI19" s="489">
        <f>R19-'EDl log'!B17</f>
        <v>-49755146</v>
      </c>
    </row>
    <row r="20" spans="1:35">
      <c r="A20" s="480">
        <f>'General information '!F23</f>
        <v>1.2999999999999999E-2</v>
      </c>
      <c r="B20" s="474">
        <f t="shared" si="6"/>
        <v>2.9899999999999998</v>
      </c>
      <c r="C20" s="481">
        <v>43939</v>
      </c>
      <c r="D20" s="468">
        <v>31605926</v>
      </c>
      <c r="E20" s="326">
        <f t="shared" si="10"/>
        <v>2384</v>
      </c>
      <c r="F20" s="468">
        <v>3629837</v>
      </c>
      <c r="G20" s="327">
        <f t="shared" si="0"/>
        <v>1473</v>
      </c>
      <c r="H20" s="468">
        <v>17412422</v>
      </c>
      <c r="I20" s="327">
        <f t="shared" si="11"/>
        <v>1304</v>
      </c>
      <c r="J20" s="468">
        <v>28378316</v>
      </c>
      <c r="K20" s="327">
        <f t="shared" si="12"/>
        <v>1042</v>
      </c>
      <c r="L20" s="468">
        <v>22902130</v>
      </c>
      <c r="M20" s="327">
        <f t="shared" si="13"/>
        <v>3420</v>
      </c>
      <c r="N20" s="325">
        <f t="shared" si="14"/>
        <v>9623</v>
      </c>
      <c r="O20" s="490">
        <f t="shared" si="21"/>
        <v>3218.3946488294318</v>
      </c>
      <c r="P20" s="573">
        <v>15462.976000000001</v>
      </c>
      <c r="Q20" s="472">
        <f t="shared" si="23"/>
        <v>1686.9999999998981</v>
      </c>
      <c r="R20" s="472">
        <f t="shared" si="18"/>
        <v>7936.0000000001019</v>
      </c>
      <c r="S20" s="468">
        <v>8423</v>
      </c>
      <c r="T20" s="492">
        <f t="shared" si="3"/>
        <v>3</v>
      </c>
      <c r="U20" s="468">
        <v>33208</v>
      </c>
      <c r="V20" s="472">
        <f t="shared" si="15"/>
        <v>488</v>
      </c>
      <c r="W20" s="468">
        <f t="shared" si="7"/>
        <v>31845</v>
      </c>
      <c r="X20" s="472">
        <f t="shared" si="20"/>
        <v>0</v>
      </c>
      <c r="Y20" s="468">
        <f t="shared" si="7"/>
        <v>624440</v>
      </c>
      <c r="Z20" s="472">
        <f t="shared" si="19"/>
        <v>0</v>
      </c>
      <c r="AA20" s="468">
        <f t="shared" si="7"/>
        <v>35042</v>
      </c>
      <c r="AB20" s="472">
        <f t="shared" si="16"/>
        <v>0</v>
      </c>
      <c r="AC20" s="468">
        <f t="shared" si="7"/>
        <v>773343</v>
      </c>
      <c r="AD20" s="472">
        <f t="shared" si="24"/>
        <v>0</v>
      </c>
      <c r="AE20" s="495">
        <f t="shared" si="8"/>
        <v>3</v>
      </c>
      <c r="AF20" s="496">
        <f t="shared" si="9"/>
        <v>488</v>
      </c>
      <c r="AG20" s="488">
        <f t="shared" si="22"/>
        <v>162.66666666666666</v>
      </c>
      <c r="AI20" s="489">
        <f>R20-'EDl log'!B18</f>
        <v>-49757589</v>
      </c>
    </row>
    <row r="21" spans="1:35">
      <c r="A21" s="480">
        <f>'General information '!F24</f>
        <v>2.1700000000000001E-2</v>
      </c>
      <c r="B21" s="474">
        <f t="shared" si="6"/>
        <v>4.9910000000000005</v>
      </c>
      <c r="C21" s="481">
        <v>43940</v>
      </c>
      <c r="D21" s="468">
        <v>31608186</v>
      </c>
      <c r="E21" s="326">
        <f t="shared" si="10"/>
        <v>2260</v>
      </c>
      <c r="F21" s="468">
        <v>3631079</v>
      </c>
      <c r="G21" s="327">
        <f t="shared" si="0"/>
        <v>1242</v>
      </c>
      <c r="H21" s="468">
        <v>17413568</v>
      </c>
      <c r="I21" s="327">
        <f t="shared" si="11"/>
        <v>1146</v>
      </c>
      <c r="J21" s="468">
        <v>28379406</v>
      </c>
      <c r="K21" s="327">
        <f t="shared" si="12"/>
        <v>1090</v>
      </c>
      <c r="L21" s="468">
        <v>22905442</v>
      </c>
      <c r="M21" s="327">
        <f t="shared" si="13"/>
        <v>3312</v>
      </c>
      <c r="N21" s="325">
        <f t="shared" si="14"/>
        <v>9050</v>
      </c>
      <c r="O21" s="490">
        <f t="shared" si="21"/>
        <v>1813.2638749749547</v>
      </c>
      <c r="P21" s="573">
        <v>15463.334000000001</v>
      </c>
      <c r="Q21" s="472">
        <f>(P21-P20)*1000</f>
        <v>358.00000000017462</v>
      </c>
      <c r="R21" s="472">
        <f t="shared" si="18"/>
        <v>8691.9999999998254</v>
      </c>
      <c r="S21" s="468">
        <v>8425</v>
      </c>
      <c r="T21" s="492">
        <f t="shared" si="3"/>
        <v>2</v>
      </c>
      <c r="U21" s="468">
        <v>33943</v>
      </c>
      <c r="V21" s="472">
        <f t="shared" si="15"/>
        <v>735</v>
      </c>
      <c r="W21" s="468">
        <f t="shared" si="7"/>
        <v>31845</v>
      </c>
      <c r="X21" s="472">
        <f t="shared" si="20"/>
        <v>0</v>
      </c>
      <c r="Y21" s="468">
        <f t="shared" si="7"/>
        <v>624440</v>
      </c>
      <c r="Z21" s="472">
        <f t="shared" si="19"/>
        <v>0</v>
      </c>
      <c r="AA21" s="468">
        <f t="shared" si="7"/>
        <v>35042</v>
      </c>
      <c r="AB21" s="472">
        <f t="shared" si="16"/>
        <v>0</v>
      </c>
      <c r="AC21" s="468">
        <f t="shared" si="7"/>
        <v>773343</v>
      </c>
      <c r="AD21" s="472">
        <f t="shared" si="24"/>
        <v>0</v>
      </c>
      <c r="AE21" s="495">
        <f t="shared" si="8"/>
        <v>2</v>
      </c>
      <c r="AF21" s="496">
        <f t="shared" si="9"/>
        <v>735</v>
      </c>
      <c r="AG21" s="488">
        <f t="shared" si="22"/>
        <v>367.5</v>
      </c>
      <c r="AI21" s="489">
        <f>R21-'EDl log'!B19</f>
        <v>-49762137</v>
      </c>
    </row>
    <row r="22" spans="1:35">
      <c r="A22" s="480">
        <f>'General information '!F25</f>
        <v>8.6999999999999994E-3</v>
      </c>
      <c r="B22" s="474">
        <f t="shared" si="6"/>
        <v>2.0009999999999999</v>
      </c>
      <c r="C22" s="481">
        <v>43941</v>
      </c>
      <c r="D22" s="468">
        <v>31610498</v>
      </c>
      <c r="E22" s="326">
        <f t="shared" si="10"/>
        <v>2312</v>
      </c>
      <c r="F22" s="468">
        <v>3632435</v>
      </c>
      <c r="G22" s="327">
        <f t="shared" si="0"/>
        <v>1356</v>
      </c>
      <c r="H22" s="468">
        <v>17414834</v>
      </c>
      <c r="I22" s="327">
        <f t="shared" si="11"/>
        <v>1266</v>
      </c>
      <c r="J22" s="468">
        <v>28380474</v>
      </c>
      <c r="K22" s="327">
        <f t="shared" si="12"/>
        <v>1068</v>
      </c>
      <c r="L22" s="468">
        <v>22909138</v>
      </c>
      <c r="M22" s="327">
        <f t="shared" si="13"/>
        <v>3696</v>
      </c>
      <c r="N22" s="325">
        <f t="shared" si="14"/>
        <v>9698</v>
      </c>
      <c r="O22" s="490">
        <f t="shared" si="21"/>
        <v>4846.5767116441784</v>
      </c>
      <c r="P22" s="573">
        <v>15463.334000000001</v>
      </c>
      <c r="Q22" s="472">
        <f t="shared" si="23"/>
        <v>0</v>
      </c>
      <c r="R22" s="472">
        <f t="shared" si="18"/>
        <v>9698</v>
      </c>
      <c r="S22" s="468">
        <v>8429</v>
      </c>
      <c r="T22" s="492">
        <f t="shared" si="3"/>
        <v>4</v>
      </c>
      <c r="U22" s="468">
        <v>34834</v>
      </c>
      <c r="V22" s="472">
        <f t="shared" si="15"/>
        <v>891</v>
      </c>
      <c r="W22" s="468">
        <f t="shared" si="7"/>
        <v>31845</v>
      </c>
      <c r="X22" s="472">
        <f t="shared" si="20"/>
        <v>0</v>
      </c>
      <c r="Y22" s="468">
        <f t="shared" si="7"/>
        <v>624440</v>
      </c>
      <c r="Z22" s="472">
        <f t="shared" si="19"/>
        <v>0</v>
      </c>
      <c r="AA22" s="468">
        <f t="shared" si="7"/>
        <v>35042</v>
      </c>
      <c r="AB22" s="472">
        <f t="shared" si="16"/>
        <v>0</v>
      </c>
      <c r="AC22" s="468">
        <f t="shared" si="7"/>
        <v>773343</v>
      </c>
      <c r="AD22" s="472">
        <f t="shared" si="24"/>
        <v>0</v>
      </c>
      <c r="AE22" s="495">
        <f t="shared" si="8"/>
        <v>4</v>
      </c>
      <c r="AF22" s="496">
        <f t="shared" si="9"/>
        <v>891</v>
      </c>
      <c r="AG22" s="488">
        <f t="shared" si="22"/>
        <v>222.75</v>
      </c>
      <c r="AI22" s="489">
        <f>R22-'EDl log'!B20</f>
        <v>-49764486</v>
      </c>
    </row>
    <row r="23" spans="1:35">
      <c r="A23" s="480">
        <f>'General information '!F26</f>
        <v>8.6999999999999994E-3</v>
      </c>
      <c r="B23" s="474">
        <f t="shared" si="6"/>
        <v>2.0009999999999999</v>
      </c>
      <c r="C23" s="481">
        <v>43942</v>
      </c>
      <c r="D23" s="468">
        <v>31612378</v>
      </c>
      <c r="E23" s="326">
        <f t="shared" si="10"/>
        <v>1880</v>
      </c>
      <c r="F23" s="468">
        <v>3633753</v>
      </c>
      <c r="G23" s="327">
        <f t="shared" si="0"/>
        <v>1318</v>
      </c>
      <c r="H23" s="468">
        <v>17415986</v>
      </c>
      <c r="I23" s="461">
        <f t="shared" si="11"/>
        <v>1152</v>
      </c>
      <c r="J23" s="468">
        <v>28381450</v>
      </c>
      <c r="K23" s="327">
        <f t="shared" si="12"/>
        <v>976</v>
      </c>
      <c r="L23" s="468">
        <v>22912266</v>
      </c>
      <c r="M23" s="327">
        <f t="shared" si="13"/>
        <v>3128</v>
      </c>
      <c r="N23" s="325">
        <f t="shared" si="14"/>
        <v>8454</v>
      </c>
      <c r="O23" s="490">
        <f t="shared" si="21"/>
        <v>4224.8875562218891</v>
      </c>
      <c r="P23" s="573">
        <v>15464.986000000001</v>
      </c>
      <c r="Q23" s="472">
        <f t="shared" si="23"/>
        <v>1652.0000000000437</v>
      </c>
      <c r="R23" s="472">
        <f t="shared" si="18"/>
        <v>6801.9999999999563</v>
      </c>
      <c r="S23" s="468">
        <v>8432</v>
      </c>
      <c r="T23" s="492">
        <f t="shared" si="3"/>
        <v>3</v>
      </c>
      <c r="U23" s="468">
        <v>35423</v>
      </c>
      <c r="V23" s="472">
        <f t="shared" si="15"/>
        <v>589</v>
      </c>
      <c r="W23" s="468">
        <v>31845</v>
      </c>
      <c r="X23" s="472">
        <f t="shared" si="20"/>
        <v>0</v>
      </c>
      <c r="Y23" s="468">
        <v>624440</v>
      </c>
      <c r="Z23" s="472">
        <f t="shared" si="19"/>
        <v>0</v>
      </c>
      <c r="AA23" s="468">
        <v>35042</v>
      </c>
      <c r="AB23" s="472">
        <f t="shared" si="16"/>
        <v>0</v>
      </c>
      <c r="AC23" s="468">
        <v>773343</v>
      </c>
      <c r="AD23" s="472">
        <f t="shared" si="24"/>
        <v>0</v>
      </c>
      <c r="AE23" s="495">
        <f t="shared" si="8"/>
        <v>3</v>
      </c>
      <c r="AF23" s="496">
        <f t="shared" si="9"/>
        <v>589</v>
      </c>
      <c r="AG23" s="488">
        <f t="shared" si="22"/>
        <v>196.33333333333334</v>
      </c>
      <c r="AI23" s="489">
        <f>R23-'EDl log'!B21</f>
        <v>-49771537</v>
      </c>
    </row>
    <row r="24" spans="1:35">
      <c r="A24" s="480">
        <f>'General information '!F27</f>
        <v>8.6999999999999994E-3</v>
      </c>
      <c r="B24" s="474">
        <f t="shared" si="6"/>
        <v>2.0009999999999999</v>
      </c>
      <c r="C24" s="481">
        <v>43943</v>
      </c>
      <c r="D24" s="468">
        <v>31614590</v>
      </c>
      <c r="E24" s="326">
        <f t="shared" si="10"/>
        <v>2212</v>
      </c>
      <c r="F24" s="468">
        <v>3635325</v>
      </c>
      <c r="G24" s="327">
        <f t="shared" si="0"/>
        <v>1572</v>
      </c>
      <c r="H24" s="468">
        <v>17417342</v>
      </c>
      <c r="I24" s="327">
        <f t="shared" si="11"/>
        <v>1356</v>
      </c>
      <c r="J24" s="468">
        <v>28382546</v>
      </c>
      <c r="K24" s="327">
        <f t="shared" si="12"/>
        <v>1096</v>
      </c>
      <c r="L24" s="468">
        <v>22915870</v>
      </c>
      <c r="M24" s="327">
        <f t="shared" si="13"/>
        <v>3604</v>
      </c>
      <c r="N24" s="325">
        <f t="shared" si="14"/>
        <v>9840</v>
      </c>
      <c r="O24" s="490">
        <f t="shared" si="21"/>
        <v>4917.5412293853078</v>
      </c>
      <c r="P24" s="573">
        <v>15467.004000000001</v>
      </c>
      <c r="Q24" s="472">
        <f t="shared" si="23"/>
        <v>2018.0000000000291</v>
      </c>
      <c r="R24" s="472">
        <f t="shared" si="18"/>
        <v>7821.9999999999709</v>
      </c>
      <c r="S24" s="468">
        <v>8434</v>
      </c>
      <c r="T24" s="492">
        <f t="shared" si="3"/>
        <v>2</v>
      </c>
      <c r="U24" s="468">
        <v>35999</v>
      </c>
      <c r="V24" s="472">
        <f t="shared" si="15"/>
        <v>576</v>
      </c>
      <c r="W24" s="468">
        <v>31845</v>
      </c>
      <c r="X24" s="472">
        <f t="shared" si="20"/>
        <v>0</v>
      </c>
      <c r="Y24" s="468">
        <v>624440</v>
      </c>
      <c r="Z24" s="472">
        <f t="shared" si="19"/>
        <v>0</v>
      </c>
      <c r="AA24" s="468">
        <v>35042</v>
      </c>
      <c r="AB24" s="472">
        <f t="shared" si="16"/>
        <v>0</v>
      </c>
      <c r="AC24" s="468">
        <v>773343</v>
      </c>
      <c r="AD24" s="472">
        <f t="shared" si="24"/>
        <v>0</v>
      </c>
      <c r="AE24" s="495">
        <f t="shared" si="8"/>
        <v>2</v>
      </c>
      <c r="AF24" s="496">
        <f t="shared" si="9"/>
        <v>576</v>
      </c>
      <c r="AG24" s="488">
        <f t="shared" si="22"/>
        <v>288</v>
      </c>
      <c r="AI24" s="489">
        <f>R24-'EDl log'!B22</f>
        <v>-49775041</v>
      </c>
    </row>
    <row r="25" spans="1:35">
      <c r="A25" s="480">
        <f>'General information '!F28</f>
        <v>8.6999999999999994E-3</v>
      </c>
      <c r="B25" s="474">
        <f t="shared" si="6"/>
        <v>2.0009999999999999</v>
      </c>
      <c r="C25" s="481">
        <v>43944</v>
      </c>
      <c r="D25" s="468">
        <v>31616650</v>
      </c>
      <c r="E25" s="326">
        <f t="shared" si="10"/>
        <v>2060</v>
      </c>
      <c r="F25" s="468">
        <v>3636670</v>
      </c>
      <c r="G25" s="327">
        <f t="shared" si="0"/>
        <v>1345</v>
      </c>
      <c r="H25" s="468">
        <v>17418468</v>
      </c>
      <c r="I25" s="327">
        <f t="shared" si="11"/>
        <v>1126</v>
      </c>
      <c r="J25" s="468">
        <v>28383382</v>
      </c>
      <c r="K25" s="327">
        <f t="shared" si="12"/>
        <v>836</v>
      </c>
      <c r="L25" s="468">
        <v>22918890</v>
      </c>
      <c r="M25" s="327">
        <f t="shared" si="13"/>
        <v>3020</v>
      </c>
      <c r="N25" s="325">
        <f t="shared" si="14"/>
        <v>8387</v>
      </c>
      <c r="O25" s="490">
        <f t="shared" si="21"/>
        <v>4191.4042978510743</v>
      </c>
      <c r="P25" s="573">
        <v>15468</v>
      </c>
      <c r="Q25" s="472">
        <f t="shared" si="23"/>
        <v>995.99999999918509</v>
      </c>
      <c r="R25" s="472">
        <f t="shared" si="18"/>
        <v>7391.0000000008149</v>
      </c>
      <c r="S25" s="468">
        <v>8437</v>
      </c>
      <c r="T25" s="492">
        <f t="shared" si="3"/>
        <v>3</v>
      </c>
      <c r="U25" s="468">
        <v>36455</v>
      </c>
      <c r="V25" s="472">
        <f t="shared" si="15"/>
        <v>456</v>
      </c>
      <c r="W25" s="468">
        <f t="shared" si="7"/>
        <v>31845</v>
      </c>
      <c r="X25" s="472">
        <f t="shared" si="20"/>
        <v>0</v>
      </c>
      <c r="Y25" s="468">
        <f t="shared" si="7"/>
        <v>624440</v>
      </c>
      <c r="Z25" s="472">
        <f t="shared" si="19"/>
        <v>0</v>
      </c>
      <c r="AA25" s="468">
        <f t="shared" si="7"/>
        <v>35042</v>
      </c>
      <c r="AB25" s="472">
        <f t="shared" si="16"/>
        <v>0</v>
      </c>
      <c r="AC25" s="468">
        <f t="shared" si="7"/>
        <v>773343</v>
      </c>
      <c r="AD25" s="472">
        <f t="shared" si="24"/>
        <v>0</v>
      </c>
      <c r="AE25" s="495">
        <f t="shared" si="8"/>
        <v>3</v>
      </c>
      <c r="AF25" s="496">
        <f t="shared" si="9"/>
        <v>456</v>
      </c>
      <c r="AG25" s="488">
        <f t="shared" si="22"/>
        <v>152</v>
      </c>
      <c r="AI25" s="489">
        <f>R25-'EDl log'!B23</f>
        <v>-49780505</v>
      </c>
    </row>
    <row r="26" spans="1:35">
      <c r="A26" s="480">
        <f>'General information '!F29</f>
        <v>8.6999999999999994E-3</v>
      </c>
      <c r="B26" s="474">
        <f t="shared" si="6"/>
        <v>2.0009999999999999</v>
      </c>
      <c r="C26" s="481">
        <v>43945</v>
      </c>
      <c r="D26" s="468">
        <v>31619370</v>
      </c>
      <c r="E26" s="326">
        <f t="shared" si="10"/>
        <v>2720</v>
      </c>
      <c r="F26" s="468">
        <v>3638044.4</v>
      </c>
      <c r="G26" s="327">
        <f t="shared" si="0"/>
        <v>1374.3999999999069</v>
      </c>
      <c r="H26" s="468">
        <v>17419674</v>
      </c>
      <c r="I26" s="327">
        <f t="shared" si="11"/>
        <v>1206</v>
      </c>
      <c r="J26" s="468">
        <v>28384482</v>
      </c>
      <c r="K26" s="327">
        <f t="shared" si="12"/>
        <v>1100</v>
      </c>
      <c r="L26" s="468">
        <v>22922712</v>
      </c>
      <c r="M26" s="327">
        <f t="shared" si="13"/>
        <v>3822</v>
      </c>
      <c r="N26" s="325">
        <f t="shared" si="14"/>
        <v>10222.399999999907</v>
      </c>
      <c r="O26" s="490">
        <f t="shared" si="21"/>
        <v>5108.645677161373</v>
      </c>
      <c r="P26" s="573">
        <v>15469.98</v>
      </c>
      <c r="Q26" s="472">
        <f t="shared" si="23"/>
        <v>1979.9999999995634</v>
      </c>
      <c r="R26" s="497">
        <f>N26-Q26</f>
        <v>8242.4000000003434</v>
      </c>
      <c r="S26" s="468">
        <v>8441</v>
      </c>
      <c r="T26" s="492">
        <f t="shared" si="3"/>
        <v>4</v>
      </c>
      <c r="U26" s="468">
        <v>37459</v>
      </c>
      <c r="V26" s="472">
        <f t="shared" si="15"/>
        <v>1004</v>
      </c>
      <c r="W26" s="468">
        <f t="shared" si="7"/>
        <v>31845</v>
      </c>
      <c r="X26" s="472">
        <f t="shared" si="20"/>
        <v>0</v>
      </c>
      <c r="Y26" s="468">
        <f t="shared" si="7"/>
        <v>624440</v>
      </c>
      <c r="Z26" s="472">
        <f t="shared" si="19"/>
        <v>0</v>
      </c>
      <c r="AA26" s="468">
        <f t="shared" si="7"/>
        <v>35042</v>
      </c>
      <c r="AB26" s="472">
        <f t="shared" si="16"/>
        <v>0</v>
      </c>
      <c r="AC26" s="468">
        <f t="shared" si="7"/>
        <v>773343</v>
      </c>
      <c r="AD26" s="472">
        <f t="shared" si="24"/>
        <v>0</v>
      </c>
      <c r="AE26" s="495">
        <f t="shared" si="8"/>
        <v>4</v>
      </c>
      <c r="AF26" s="496">
        <f t="shared" si="9"/>
        <v>1004</v>
      </c>
      <c r="AG26" s="488">
        <f t="shared" si="22"/>
        <v>251</v>
      </c>
      <c r="AI26" s="489">
        <f>R26-'EDl log'!B24</f>
        <v>-49783216.600000001</v>
      </c>
    </row>
    <row r="27" spans="1:35">
      <c r="A27" s="480">
        <f>'General information '!F30</f>
        <v>1.7399999999999999E-2</v>
      </c>
      <c r="B27" s="474">
        <f t="shared" si="6"/>
        <v>4.0019999999999998</v>
      </c>
      <c r="C27" s="481">
        <v>43946</v>
      </c>
      <c r="D27" s="468">
        <v>31621706</v>
      </c>
      <c r="E27" s="326">
        <f t="shared" si="10"/>
        <v>2336</v>
      </c>
      <c r="F27" s="468">
        <v>3639346</v>
      </c>
      <c r="G27" s="327">
        <f>F27-F26</f>
        <v>1301.6000000000931</v>
      </c>
      <c r="H27" s="468">
        <v>17420866</v>
      </c>
      <c r="I27" s="327">
        <f t="shared" si="11"/>
        <v>1192</v>
      </c>
      <c r="J27" s="468">
        <v>28385472</v>
      </c>
      <c r="K27" s="327">
        <f t="shared" si="12"/>
        <v>990</v>
      </c>
      <c r="L27" s="468">
        <v>22926062</v>
      </c>
      <c r="M27" s="327">
        <f t="shared" si="13"/>
        <v>3350</v>
      </c>
      <c r="N27" s="325">
        <f t="shared" si="14"/>
        <v>9169.6000000000931</v>
      </c>
      <c r="O27" s="490">
        <f t="shared" si="21"/>
        <v>2291.2543728136166</v>
      </c>
      <c r="P27" s="573">
        <v>15471.5</v>
      </c>
      <c r="Q27" s="472">
        <f t="shared" si="23"/>
        <v>1520.0000000004366</v>
      </c>
      <c r="R27" s="472">
        <f t="shared" si="18"/>
        <v>7649.5999999996566</v>
      </c>
      <c r="S27" s="468">
        <v>8444</v>
      </c>
      <c r="T27" s="492">
        <f t="shared" si="3"/>
        <v>3</v>
      </c>
      <c r="U27" s="468">
        <v>38088</v>
      </c>
      <c r="V27" s="472">
        <f t="shared" si="15"/>
        <v>629</v>
      </c>
      <c r="W27" s="468">
        <f t="shared" si="7"/>
        <v>31845</v>
      </c>
      <c r="X27" s="472">
        <f t="shared" si="20"/>
        <v>0</v>
      </c>
      <c r="Y27" s="468">
        <f t="shared" si="7"/>
        <v>624440</v>
      </c>
      <c r="Z27" s="472">
        <f t="shared" si="19"/>
        <v>0</v>
      </c>
      <c r="AA27" s="468">
        <f t="shared" si="7"/>
        <v>35042</v>
      </c>
      <c r="AB27" s="472">
        <f t="shared" si="16"/>
        <v>0</v>
      </c>
      <c r="AC27" s="468">
        <f t="shared" si="7"/>
        <v>773343</v>
      </c>
      <c r="AD27" s="472">
        <f t="shared" si="24"/>
        <v>0</v>
      </c>
      <c r="AE27" s="495">
        <f t="shared" si="8"/>
        <v>3</v>
      </c>
      <c r="AF27" s="496">
        <f t="shared" si="9"/>
        <v>629</v>
      </c>
      <c r="AG27" s="488">
        <f t="shared" si="22"/>
        <v>209.66666666666666</v>
      </c>
      <c r="AI27" s="489">
        <f>R27-'EDl log'!B25</f>
        <v>-49787896.399999999</v>
      </c>
    </row>
    <row r="28" spans="1:35">
      <c r="A28" s="480">
        <f>'General information '!F31</f>
        <v>3.4799999999999998E-2</v>
      </c>
      <c r="B28" s="474">
        <f t="shared" si="6"/>
        <v>8.0039999999999996</v>
      </c>
      <c r="C28" s="481">
        <v>43947</v>
      </c>
      <c r="D28" s="468">
        <v>31623718</v>
      </c>
      <c r="E28" s="326">
        <f t="shared" si="10"/>
        <v>2012</v>
      </c>
      <c r="F28" s="468">
        <v>3640592</v>
      </c>
      <c r="G28" s="327">
        <f t="shared" si="0"/>
        <v>1246</v>
      </c>
      <c r="H28" s="468">
        <v>17422066</v>
      </c>
      <c r="I28" s="327">
        <f t="shared" si="11"/>
        <v>1200</v>
      </c>
      <c r="J28" s="468">
        <v>28386398</v>
      </c>
      <c r="K28" s="327">
        <f t="shared" si="12"/>
        <v>926</v>
      </c>
      <c r="L28" s="468">
        <v>22929078</v>
      </c>
      <c r="M28" s="327">
        <f t="shared" si="13"/>
        <v>3016</v>
      </c>
      <c r="N28" s="325">
        <f t="shared" si="14"/>
        <v>8400</v>
      </c>
      <c r="O28" s="490">
        <f t="shared" si="21"/>
        <v>1049.4752623688157</v>
      </c>
      <c r="P28" s="573">
        <v>15473</v>
      </c>
      <c r="Q28" s="472">
        <f t="shared" si="23"/>
        <v>1500</v>
      </c>
      <c r="R28" s="472">
        <f>N28-Q28</f>
        <v>6900</v>
      </c>
      <c r="S28" s="468">
        <v>8446</v>
      </c>
      <c r="T28" s="492">
        <f t="shared" si="3"/>
        <v>2</v>
      </c>
      <c r="U28" s="468">
        <v>38539</v>
      </c>
      <c r="V28" s="472">
        <f t="shared" si="15"/>
        <v>451</v>
      </c>
      <c r="W28" s="468">
        <f t="shared" si="7"/>
        <v>31845</v>
      </c>
      <c r="X28" s="472">
        <f t="shared" si="20"/>
        <v>0</v>
      </c>
      <c r="Y28" s="468">
        <f t="shared" si="7"/>
        <v>624440</v>
      </c>
      <c r="Z28" s="472">
        <f t="shared" si="19"/>
        <v>0</v>
      </c>
      <c r="AA28" s="468">
        <f t="shared" si="7"/>
        <v>35042</v>
      </c>
      <c r="AB28" s="472">
        <f t="shared" si="16"/>
        <v>0</v>
      </c>
      <c r="AC28" s="468">
        <f t="shared" si="7"/>
        <v>773343</v>
      </c>
      <c r="AD28" s="472">
        <f t="shared" si="24"/>
        <v>0</v>
      </c>
      <c r="AE28" s="495">
        <f t="shared" si="8"/>
        <v>2</v>
      </c>
      <c r="AF28" s="496">
        <f t="shared" si="9"/>
        <v>451</v>
      </c>
      <c r="AG28" s="488">
        <f t="shared" si="22"/>
        <v>225.5</v>
      </c>
      <c r="AI28" s="489">
        <f>R28-'EDl log'!B26</f>
        <v>-49792018</v>
      </c>
    </row>
    <row r="29" spans="1:35">
      <c r="A29" s="480">
        <f>'General information '!F32</f>
        <v>8.6999999999999994E-3</v>
      </c>
      <c r="B29" s="474">
        <f>SUM(230*A29)</f>
        <v>2.0009999999999999</v>
      </c>
      <c r="C29" s="481">
        <v>43948</v>
      </c>
      <c r="D29" s="468">
        <v>31625998</v>
      </c>
      <c r="E29" s="326">
        <f t="shared" si="10"/>
        <v>2280</v>
      </c>
      <c r="F29" s="468">
        <v>3642080</v>
      </c>
      <c r="G29" s="327">
        <f t="shared" si="0"/>
        <v>1488</v>
      </c>
      <c r="H29" s="468">
        <v>17423448</v>
      </c>
      <c r="I29" s="327">
        <f t="shared" si="11"/>
        <v>1382</v>
      </c>
      <c r="J29" s="468">
        <v>28387428</v>
      </c>
      <c r="K29" s="327">
        <f t="shared" si="12"/>
        <v>1030</v>
      </c>
      <c r="L29" s="468">
        <v>22932548</v>
      </c>
      <c r="M29" s="327">
        <f t="shared" si="13"/>
        <v>3470</v>
      </c>
      <c r="N29" s="325">
        <f t="shared" si="14"/>
        <v>9650</v>
      </c>
      <c r="O29" s="490">
        <f t="shared" si="21"/>
        <v>4822.5887056471765</v>
      </c>
      <c r="P29" s="573">
        <v>15475.513000000001</v>
      </c>
      <c r="Q29" s="472">
        <f t="shared" si="23"/>
        <v>2513.0000000008295</v>
      </c>
      <c r="R29" s="472">
        <f t="shared" si="18"/>
        <v>7136.9999999991705</v>
      </c>
      <c r="S29" s="468">
        <v>8449</v>
      </c>
      <c r="T29" s="492">
        <f t="shared" si="3"/>
        <v>3</v>
      </c>
      <c r="U29" s="468">
        <v>39033</v>
      </c>
      <c r="V29" s="472">
        <f t="shared" si="15"/>
        <v>494</v>
      </c>
      <c r="W29" s="468">
        <v>31845</v>
      </c>
      <c r="X29" s="472">
        <f t="shared" si="20"/>
        <v>0</v>
      </c>
      <c r="Y29" s="468">
        <v>624440</v>
      </c>
      <c r="Z29" s="472">
        <f t="shared" si="19"/>
        <v>0</v>
      </c>
      <c r="AA29" s="468">
        <v>35042</v>
      </c>
      <c r="AB29" s="472">
        <f t="shared" si="16"/>
        <v>0</v>
      </c>
      <c r="AC29" s="468">
        <v>773343</v>
      </c>
      <c r="AD29" s="472">
        <f t="shared" si="24"/>
        <v>0</v>
      </c>
      <c r="AE29" s="495">
        <f t="shared" si="8"/>
        <v>3</v>
      </c>
      <c r="AF29" s="496">
        <f t="shared" si="9"/>
        <v>494</v>
      </c>
      <c r="AG29" s="488">
        <f t="shared" si="22"/>
        <v>164.66666666666666</v>
      </c>
      <c r="AI29" s="489">
        <f>R29-'EDl log'!B27</f>
        <v>-49796566</v>
      </c>
    </row>
    <row r="30" spans="1:35">
      <c r="A30" s="480">
        <f>'General information '!F33</f>
        <v>1.7399999999999999E-2</v>
      </c>
      <c r="B30" s="474">
        <f t="shared" si="6"/>
        <v>4.0019999999999998</v>
      </c>
      <c r="C30" s="481">
        <v>43949</v>
      </c>
      <c r="D30" s="468">
        <v>31628282</v>
      </c>
      <c r="E30" s="326">
        <f t="shared" si="10"/>
        <v>2284</v>
      </c>
      <c r="F30" s="468">
        <v>3643444</v>
      </c>
      <c r="G30" s="327">
        <f t="shared" si="0"/>
        <v>1364</v>
      </c>
      <c r="H30" s="468">
        <v>17424726</v>
      </c>
      <c r="I30" s="327">
        <f t="shared" si="11"/>
        <v>1278</v>
      </c>
      <c r="J30" s="468">
        <v>28388330</v>
      </c>
      <c r="K30" s="327">
        <f t="shared" si="12"/>
        <v>902</v>
      </c>
      <c r="L30" s="468">
        <v>22935484</v>
      </c>
      <c r="M30" s="327">
        <f t="shared" si="13"/>
        <v>2936</v>
      </c>
      <c r="N30" s="325">
        <f t="shared" si="14"/>
        <v>8764</v>
      </c>
      <c r="O30" s="490">
        <f t="shared" si="21"/>
        <v>2189.9050474762621</v>
      </c>
      <c r="P30" s="573">
        <v>15476.531999999999</v>
      </c>
      <c r="Q30" s="472">
        <f t="shared" si="23"/>
        <v>1018.9999999984138</v>
      </c>
      <c r="R30" s="472">
        <f t="shared" si="18"/>
        <v>7745.0000000015862</v>
      </c>
      <c r="S30" s="468">
        <v>8450</v>
      </c>
      <c r="T30" s="492">
        <f t="shared" si="3"/>
        <v>1</v>
      </c>
      <c r="U30" s="468">
        <v>39179</v>
      </c>
      <c r="V30" s="472">
        <f t="shared" si="15"/>
        <v>146</v>
      </c>
      <c r="W30" s="468">
        <v>31845</v>
      </c>
      <c r="X30" s="493">
        <f t="shared" si="20"/>
        <v>0</v>
      </c>
      <c r="Y30" s="468">
        <v>624440</v>
      </c>
      <c r="Z30" s="472">
        <f t="shared" si="19"/>
        <v>0</v>
      </c>
      <c r="AA30" s="468">
        <v>35042</v>
      </c>
      <c r="AB30" s="472">
        <f t="shared" si="16"/>
        <v>0</v>
      </c>
      <c r="AC30" s="468">
        <v>773343</v>
      </c>
      <c r="AD30" s="472">
        <f t="shared" si="24"/>
        <v>0</v>
      </c>
      <c r="AE30" s="495">
        <f t="shared" si="8"/>
        <v>1</v>
      </c>
      <c r="AF30" s="496">
        <f t="shared" si="9"/>
        <v>146</v>
      </c>
      <c r="AG30" s="488">
        <f t="shared" si="22"/>
        <v>146</v>
      </c>
      <c r="AI30" s="489">
        <f>R30-'EDl log'!B28</f>
        <v>-49799895</v>
      </c>
    </row>
    <row r="31" spans="1:35">
      <c r="A31" s="480">
        <f>'General information '!F34</f>
        <v>1.7399999999999999E-2</v>
      </c>
      <c r="B31" s="474">
        <f t="shared" si="6"/>
        <v>4.0019999999999998</v>
      </c>
      <c r="C31" s="481">
        <v>43950</v>
      </c>
      <c r="D31" s="468">
        <v>31630714</v>
      </c>
      <c r="E31" s="326">
        <f t="shared" si="10"/>
        <v>2432</v>
      </c>
      <c r="F31" s="468">
        <v>3644716.4</v>
      </c>
      <c r="G31" s="327">
        <f t="shared" si="0"/>
        <v>1272.3999999999069</v>
      </c>
      <c r="H31" s="468">
        <v>17425898</v>
      </c>
      <c r="I31" s="327">
        <f t="shared" si="11"/>
        <v>1172</v>
      </c>
      <c r="J31" s="468">
        <v>28389326</v>
      </c>
      <c r="K31" s="327">
        <f t="shared" si="12"/>
        <v>996</v>
      </c>
      <c r="L31" s="468">
        <v>22938680</v>
      </c>
      <c r="M31" s="327">
        <f t="shared" si="13"/>
        <v>3196</v>
      </c>
      <c r="N31" s="325">
        <f t="shared" si="14"/>
        <v>9068.3999999999069</v>
      </c>
      <c r="O31" s="490">
        <f t="shared" si="21"/>
        <v>2265.9670164917311</v>
      </c>
      <c r="P31" s="573">
        <v>15477.83</v>
      </c>
      <c r="Q31" s="472">
        <f t="shared" si="23"/>
        <v>1298.0000000006839</v>
      </c>
      <c r="R31" s="472">
        <f t="shared" si="18"/>
        <v>7770.3999999992229</v>
      </c>
      <c r="S31" s="468">
        <v>8452</v>
      </c>
      <c r="T31" s="492">
        <f t="shared" si="3"/>
        <v>2</v>
      </c>
      <c r="U31" s="468">
        <v>39860</v>
      </c>
      <c r="V31" s="472">
        <f t="shared" si="15"/>
        <v>681</v>
      </c>
      <c r="W31" s="468">
        <v>31845</v>
      </c>
      <c r="X31" s="472">
        <f t="shared" si="20"/>
        <v>0</v>
      </c>
      <c r="Y31" s="468">
        <v>624440</v>
      </c>
      <c r="Z31" s="494">
        <f>Y31-Y30</f>
        <v>0</v>
      </c>
      <c r="AA31" s="468">
        <v>35042</v>
      </c>
      <c r="AB31" s="472">
        <f t="shared" si="16"/>
        <v>0</v>
      </c>
      <c r="AC31" s="468">
        <v>773343</v>
      </c>
      <c r="AD31" s="472">
        <f t="shared" si="24"/>
        <v>0</v>
      </c>
      <c r="AE31" s="495">
        <f t="shared" si="8"/>
        <v>2</v>
      </c>
      <c r="AF31" s="496">
        <f t="shared" si="9"/>
        <v>681</v>
      </c>
      <c r="AG31" s="488">
        <f t="shared" si="22"/>
        <v>340.5</v>
      </c>
      <c r="AI31" s="489">
        <f>R31-'EDl log'!B29</f>
        <v>-49803310.600000001</v>
      </c>
    </row>
    <row r="32" spans="1:35">
      <c r="A32" s="480">
        <f>'General information '!F35</f>
        <v>1.2999999999999999E-2</v>
      </c>
      <c r="B32" s="474">
        <f>SUM(230*A32)</f>
        <v>2.9899999999999998</v>
      </c>
      <c r="C32" s="481">
        <v>43951</v>
      </c>
      <c r="D32" s="468">
        <v>31633090</v>
      </c>
      <c r="E32" s="326">
        <f t="shared" si="10"/>
        <v>2376</v>
      </c>
      <c r="F32" s="468">
        <v>3646395.6</v>
      </c>
      <c r="G32" s="327">
        <f>F32-F31</f>
        <v>1679.2000000001863</v>
      </c>
      <c r="H32" s="468">
        <v>17427416</v>
      </c>
      <c r="I32" s="327">
        <f>H32-H31</f>
        <v>1518</v>
      </c>
      <c r="J32" s="468">
        <v>28390420</v>
      </c>
      <c r="K32" s="327">
        <f>J32-J31</f>
        <v>1094</v>
      </c>
      <c r="L32" s="468">
        <v>22942186</v>
      </c>
      <c r="M32" s="327">
        <f>L32-L31</f>
        <v>3506</v>
      </c>
      <c r="N32" s="325">
        <f>M32+K32+I32+G32+E32</f>
        <v>10173.200000000186</v>
      </c>
      <c r="O32" s="490">
        <f t="shared" si="21"/>
        <v>3402.4080267559152</v>
      </c>
      <c r="P32" s="573">
        <v>15479.6</v>
      </c>
      <c r="Q32" s="472">
        <f>(P32-P31)*1000</f>
        <v>1770.0000000004366</v>
      </c>
      <c r="R32" s="472">
        <f>N32-Q32</f>
        <v>8403.1999999997497</v>
      </c>
      <c r="S32" s="468">
        <v>8454</v>
      </c>
      <c r="T32" s="492">
        <f t="shared" si="3"/>
        <v>2</v>
      </c>
      <c r="U32" s="468">
        <v>40221</v>
      </c>
      <c r="V32" s="472">
        <f t="shared" si="15"/>
        <v>361</v>
      </c>
      <c r="W32" s="468">
        <f t="shared" si="7"/>
        <v>31845</v>
      </c>
      <c r="X32" s="472">
        <f t="shared" si="20"/>
        <v>0</v>
      </c>
      <c r="Y32" s="468">
        <f t="shared" si="7"/>
        <v>624440</v>
      </c>
      <c r="Z32" s="494">
        <f>Y32-Y31</f>
        <v>0</v>
      </c>
      <c r="AA32" s="468">
        <f t="shared" si="7"/>
        <v>35042</v>
      </c>
      <c r="AB32" s="472">
        <f t="shared" si="16"/>
        <v>0</v>
      </c>
      <c r="AC32" s="468">
        <f t="shared" si="7"/>
        <v>773343</v>
      </c>
      <c r="AD32" s="472">
        <f t="shared" si="24"/>
        <v>0</v>
      </c>
      <c r="AE32" s="495">
        <f t="shared" si="8"/>
        <v>2</v>
      </c>
      <c r="AF32" s="496">
        <f>V32+Z32+AD32</f>
        <v>361</v>
      </c>
      <c r="AG32" s="488">
        <f t="shared" si="22"/>
        <v>180.5</v>
      </c>
      <c r="AI32" s="489">
        <f>R32-'EDl log'!B30</f>
        <v>-49806639.799999997</v>
      </c>
    </row>
    <row r="33" spans="16:16">
      <c r="P33" s="50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2"/>
  <sheetViews>
    <sheetView topLeftCell="AC1" zoomScale="90" zoomScaleNormal="90" workbookViewId="0">
      <pane ySplit="1" topLeftCell="A15" activePane="bottomLeft" state="frozen"/>
      <selection activeCell="K1" sqref="K1"/>
      <selection pane="bottomLeft" activeCell="AT34" sqref="AT34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6" customWidth="1"/>
    <col min="38" max="38" width="11.140625" style="336" bestFit="1" customWidth="1"/>
    <col min="39" max="39" width="11.42578125" style="336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8"/>
    <col min="51" max="16384" width="9.140625" style="42"/>
  </cols>
  <sheetData>
    <row r="1" spans="1:50" ht="30.75" thickBot="1">
      <c r="F1" s="589" t="s">
        <v>2</v>
      </c>
      <c r="G1" s="590"/>
      <c r="H1" s="590"/>
      <c r="I1" s="591"/>
      <c r="J1" s="292">
        <f>J35</f>
        <v>82.769841269841265</v>
      </c>
      <c r="K1" s="592" t="s">
        <v>4</v>
      </c>
      <c r="L1" s="593"/>
      <c r="M1" s="593"/>
      <c r="N1" s="593"/>
      <c r="O1" s="594"/>
      <c r="P1" s="583" t="s">
        <v>6</v>
      </c>
      <c r="Q1" s="584"/>
      <c r="R1" s="584"/>
      <c r="S1" s="584"/>
      <c r="T1" s="585"/>
      <c r="U1" s="417"/>
      <c r="V1" s="27" t="s">
        <v>104</v>
      </c>
      <c r="W1" s="418"/>
      <c r="X1" s="583" t="s">
        <v>8</v>
      </c>
      <c r="Y1" s="584"/>
      <c r="Z1" s="584"/>
      <c r="AA1" s="584"/>
      <c r="AB1" s="584"/>
      <c r="AC1" s="586" t="s">
        <v>10</v>
      </c>
      <c r="AD1" s="587"/>
      <c r="AE1" s="587"/>
      <c r="AF1" s="588"/>
      <c r="AG1" s="211"/>
      <c r="AH1" s="86" t="s">
        <v>105</v>
      </c>
      <c r="AI1" s="329" t="s">
        <v>128</v>
      </c>
      <c r="AJ1" s="329"/>
      <c r="AK1" s="329"/>
      <c r="AL1" s="329" t="s">
        <v>133</v>
      </c>
      <c r="AM1" s="329" t="s">
        <v>134</v>
      </c>
      <c r="AN1" s="331" t="s">
        <v>12</v>
      </c>
      <c r="AO1" s="331" t="s">
        <v>13</v>
      </c>
      <c r="AP1" s="331" t="s">
        <v>14</v>
      </c>
      <c r="AQ1" s="331" t="s">
        <v>15</v>
      </c>
      <c r="AR1" s="331" t="s">
        <v>16</v>
      </c>
      <c r="AS1" s="331" t="s">
        <v>17</v>
      </c>
      <c r="AT1" s="331"/>
      <c r="AU1" s="332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81"/>
      <c r="R2" s="582"/>
      <c r="S2" s="52" t="s">
        <v>7</v>
      </c>
      <c r="T2" s="53"/>
      <c r="U2" s="421" t="s">
        <v>384</v>
      </c>
      <c r="V2" s="54" t="s">
        <v>103</v>
      </c>
      <c r="W2" s="419"/>
      <c r="X2" s="55" t="s">
        <v>8</v>
      </c>
      <c r="Y2" s="46" t="s">
        <v>9</v>
      </c>
      <c r="Z2" s="409" t="s">
        <v>380</v>
      </c>
      <c r="AA2" s="410" t="s">
        <v>381</v>
      </c>
      <c r="AB2" s="291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0" t="s">
        <v>103</v>
      </c>
      <c r="AJ2" s="413"/>
      <c r="AK2" s="413"/>
      <c r="AL2" s="413"/>
      <c r="AM2" s="413"/>
      <c r="AN2" s="412"/>
      <c r="AO2" s="412"/>
      <c r="AP2" s="412"/>
      <c r="AQ2" s="412"/>
      <c r="AR2" s="412"/>
      <c r="AS2" s="412"/>
      <c r="AT2" s="412"/>
      <c r="AU2" s="412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1"/>
      <c r="V3" s="59"/>
      <c r="W3" s="419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3"/>
      <c r="AJ3" s="334"/>
      <c r="AK3" s="334"/>
      <c r="AL3" s="334"/>
      <c r="AM3" s="334"/>
    </row>
    <row r="4" spans="1:50" s="355" customFormat="1">
      <c r="A4" s="63">
        <f>ELEC!C2</f>
        <v>43921</v>
      </c>
      <c r="B4" s="415">
        <f>[1]B5!B35</f>
        <v>252</v>
      </c>
      <c r="C4" s="415">
        <f>[1]B5!C35</f>
        <v>258</v>
      </c>
      <c r="D4" s="415">
        <f>[1]B5!D35</f>
        <v>-34</v>
      </c>
      <c r="E4" s="415">
        <f>[1]B5!E35</f>
        <v>-284.92</v>
      </c>
      <c r="F4" s="415">
        <f>[1]B5!F35</f>
        <v>1498</v>
      </c>
      <c r="G4" s="415">
        <f>[1]B5!G35</f>
        <v>1</v>
      </c>
      <c r="H4" s="415">
        <f>[1]B5!H35</f>
        <v>346077</v>
      </c>
      <c r="I4" s="415">
        <f>[1]B5!I35</f>
        <v>84</v>
      </c>
      <c r="J4" s="415">
        <f>[1]B5!J35</f>
        <v>84</v>
      </c>
      <c r="K4" s="415">
        <f>[1]B5!K35</f>
        <v>1879</v>
      </c>
      <c r="L4" s="415">
        <f>[1]B5!L35</f>
        <v>0</v>
      </c>
      <c r="M4" s="415">
        <f>[1]B5!M35</f>
        <v>137448</v>
      </c>
      <c r="N4" s="415">
        <f>[1]B5!N35</f>
        <v>0</v>
      </c>
      <c r="O4" s="415">
        <f>[1]B5!O35</f>
        <v>0</v>
      </c>
      <c r="P4" s="415">
        <f>[1]B5!P35</f>
        <v>1727</v>
      </c>
      <c r="Q4" s="415">
        <f>[1]B5!Q35</f>
        <v>147146</v>
      </c>
      <c r="R4" s="415">
        <f>[1]B5!R35</f>
        <v>113</v>
      </c>
      <c r="S4" s="415">
        <f>[1]B5!S35</f>
        <v>2</v>
      </c>
      <c r="T4" s="415">
        <f>[1]B5!T35</f>
        <v>0</v>
      </c>
      <c r="U4" s="415">
        <f>[1]B5!U35</f>
        <v>3</v>
      </c>
      <c r="V4" s="415">
        <f>[1]B5!V35</f>
        <v>197</v>
      </c>
      <c r="W4" s="415">
        <f>[1]B5!W35</f>
        <v>0</v>
      </c>
      <c r="X4" s="415">
        <f>[1]B5!X35</f>
        <v>2404</v>
      </c>
      <c r="Y4" s="415">
        <f>[1]B5!Y35</f>
        <v>0</v>
      </c>
      <c r="Z4" s="415">
        <f>[1]B5!Z35</f>
        <v>135129.29999999999</v>
      </c>
      <c r="AA4" s="415">
        <f>[1]B5!AA35</f>
        <v>0</v>
      </c>
      <c r="AB4" s="415">
        <f>[1]B5!AB35</f>
        <v>0</v>
      </c>
      <c r="AC4" s="415">
        <f>[1]B5!AC35</f>
        <v>1824</v>
      </c>
      <c r="AD4" s="415">
        <f>[1]B5!AD35</f>
        <v>0</v>
      </c>
      <c r="AE4" s="415">
        <f>[1]B5!AE35</f>
        <v>358857.5</v>
      </c>
      <c r="AF4" s="415">
        <f>[1]B5!AF35</f>
        <v>0</v>
      </c>
      <c r="AG4" s="415">
        <f>[1]B5!AG35</f>
        <v>0</v>
      </c>
      <c r="AH4" s="415">
        <f>[1]B5!AH35</f>
        <v>0</v>
      </c>
      <c r="AI4" s="415">
        <f>[1]B5!AI35</f>
        <v>197</v>
      </c>
      <c r="AJ4" s="415">
        <f>[1]B5!AJ35</f>
        <v>197</v>
      </c>
      <c r="AK4" s="415">
        <f>[1]B5!AK35</f>
        <v>0</v>
      </c>
      <c r="AL4" s="415">
        <f>[1]B5!AL35</f>
        <v>3</v>
      </c>
      <c r="AM4" s="415">
        <f>[1]B5!AM35</f>
        <v>0</v>
      </c>
      <c r="AN4" s="415">
        <f>[1]B5!AN35</f>
        <v>72</v>
      </c>
      <c r="AO4" s="415">
        <f>[1]B5!AO35</f>
        <v>2160</v>
      </c>
      <c r="AP4" s="415">
        <f>[1]B5!AP35</f>
        <v>69</v>
      </c>
      <c r="AQ4" s="415">
        <f>[1]B5!AQ35</f>
        <v>2070</v>
      </c>
      <c r="AR4" s="415">
        <f>[1]B5!AR35</f>
        <v>65</v>
      </c>
      <c r="AS4" s="415">
        <f>[1]B5!AS35</f>
        <v>1950</v>
      </c>
      <c r="AT4" s="415">
        <f>[1]B5!AT35</f>
        <v>6180</v>
      </c>
      <c r="AU4" s="415">
        <f>[1]B5!AU35</f>
        <v>30</v>
      </c>
      <c r="AV4" s="415">
        <f>[1]B5!AV35</f>
        <v>0</v>
      </c>
      <c r="AW4" s="415">
        <f>[1]B5!AW35</f>
        <v>0</v>
      </c>
      <c r="AX4" s="415">
        <f>[1]B5!AX35</f>
        <v>0.7</v>
      </c>
    </row>
    <row r="5" spans="1:50">
      <c r="A5" s="63">
        <f>ELEC!C3</f>
        <v>43922</v>
      </c>
      <c r="B5" s="64">
        <v>247</v>
      </c>
      <c r="C5" s="64">
        <v>253</v>
      </c>
      <c r="D5" s="45">
        <f t="shared" ref="D5:D34" si="0">C4-C5</f>
        <v>5</v>
      </c>
      <c r="E5" s="45">
        <f>D5*8.38</f>
        <v>41.900000000000006</v>
      </c>
      <c r="F5" s="64">
        <v>1499</v>
      </c>
      <c r="G5" s="52">
        <f t="shared" ref="G5:G34" si="1">F5-F4</f>
        <v>1</v>
      </c>
      <c r="H5" s="64">
        <v>346155</v>
      </c>
      <c r="I5" s="416">
        <f t="shared" ref="I5:I34" si="2">SUM(H5-H4)</f>
        <v>78</v>
      </c>
      <c r="J5" s="66">
        <v>1</v>
      </c>
      <c r="K5" s="64">
        <v>1883</v>
      </c>
      <c r="L5" s="52">
        <f t="shared" ref="L5:L34" si="3">K5-K4</f>
        <v>4</v>
      </c>
      <c r="M5" s="64">
        <v>137637</v>
      </c>
      <c r="N5" s="416">
        <f t="shared" ref="N5:N30" si="4">M5-M4</f>
        <v>189</v>
      </c>
      <c r="O5" s="358">
        <f t="shared" ref="O5:O34" si="5">SUM(L5*$J$1)</f>
        <v>331.07936507936506</v>
      </c>
      <c r="P5" s="64">
        <f>P4</f>
        <v>1727</v>
      </c>
      <c r="Q5" s="64">
        <f>Q4</f>
        <v>147146</v>
      </c>
      <c r="R5" s="415">
        <f t="shared" ref="R5:R10" si="6">Q5-Q4</f>
        <v>0</v>
      </c>
      <c r="S5" s="52">
        <f>SUM(P5-P4)</f>
        <v>0</v>
      </c>
      <c r="T5" s="68">
        <f>SUM(S5*$T$2)</f>
        <v>0</v>
      </c>
      <c r="U5" s="422">
        <f>SUM(G5+L5+S5)</f>
        <v>5</v>
      </c>
      <c r="V5" s="62">
        <f>R5+N5+I5:I5</f>
        <v>267</v>
      </c>
      <c r="W5" s="420">
        <f>SUM(V5/U5)</f>
        <v>53.4</v>
      </c>
      <c r="X5" s="64">
        <f>X4</f>
        <v>2404</v>
      </c>
      <c r="Y5" s="52">
        <f>X5-X4</f>
        <v>0</v>
      </c>
      <c r="Z5" s="64">
        <f>Z4</f>
        <v>135129.29999999999</v>
      </c>
      <c r="AA5" s="65">
        <f t="shared" ref="AA5:AA34" si="7">Z5-Z4</f>
        <v>0</v>
      </c>
      <c r="AB5" s="294">
        <f>SUM(Y5*$AB$2)</f>
        <v>0</v>
      </c>
      <c r="AC5" s="64">
        <f>AC4</f>
        <v>1824</v>
      </c>
      <c r="AD5" s="45">
        <f t="shared" ref="AD5:AD34" si="8">AC5-AC4</f>
        <v>0</v>
      </c>
      <c r="AE5" s="64">
        <f>AE4</f>
        <v>358857.5</v>
      </c>
      <c r="AF5" s="321">
        <f>AE5-AE4</f>
        <v>0</v>
      </c>
      <c r="AG5" s="213">
        <f>IF(AD5&gt;0,AF5/AD5,0)</f>
        <v>0</v>
      </c>
      <c r="AH5" s="62">
        <f>AF5+AA5</f>
        <v>0</v>
      </c>
      <c r="AI5" s="333">
        <f>SUM(AH5+V5)</f>
        <v>267</v>
      </c>
      <c r="AJ5" s="333">
        <f>-tanks!AW6</f>
        <v>267</v>
      </c>
      <c r="AK5" s="333">
        <f>SUM(AJ5-AI5)</f>
        <v>0</v>
      </c>
      <c r="AL5" s="333">
        <f t="shared" ref="AL5:AL18" si="9">S5+L5+G5</f>
        <v>5</v>
      </c>
      <c r="AM5" s="333">
        <f>Y5+AD5</f>
        <v>0</v>
      </c>
      <c r="AN5" s="64">
        <v>71</v>
      </c>
      <c r="AO5" s="335">
        <f>(AN5/100)*3000</f>
        <v>2130</v>
      </c>
      <c r="AP5" s="64">
        <v>68</v>
      </c>
      <c r="AQ5" s="335">
        <f>(AP5/100)*3000</f>
        <v>2040.0000000000002</v>
      </c>
      <c r="AR5" s="64">
        <v>65</v>
      </c>
      <c r="AS5" s="335">
        <f>(AR5/100)*3000</f>
        <v>1950</v>
      </c>
      <c r="AT5" s="335">
        <f>SUM(AO5+AQ5+AS5)</f>
        <v>6120</v>
      </c>
      <c r="AU5" s="335">
        <f>AT4-AT5+AV5</f>
        <v>60</v>
      </c>
      <c r="AV5" s="276"/>
      <c r="AW5" s="276"/>
      <c r="AX5" s="328">
        <f>IF(AV5&gt;0,AW5,AX4)</f>
        <v>0.7</v>
      </c>
    </row>
    <row r="6" spans="1:50">
      <c r="A6" s="63">
        <f>ELEC!C4</f>
        <v>43923</v>
      </c>
      <c r="B6" s="64">
        <v>243</v>
      </c>
      <c r="C6" s="64">
        <v>249</v>
      </c>
      <c r="D6" s="45">
        <f t="shared" si="0"/>
        <v>4</v>
      </c>
      <c r="E6" s="45">
        <f t="shared" ref="E6:E31" si="10">D6*8.38</f>
        <v>33.520000000000003</v>
      </c>
      <c r="F6" s="64">
        <v>1499</v>
      </c>
      <c r="G6" s="52">
        <f t="shared" si="1"/>
        <v>0</v>
      </c>
      <c r="H6" s="64">
        <f t="shared" ref="F6:H29" si="11">H5</f>
        <v>346155</v>
      </c>
      <c r="I6" s="416">
        <f t="shared" si="2"/>
        <v>0</v>
      </c>
      <c r="J6" s="66">
        <f t="shared" ref="J6:J34" si="12">IF(G6&gt;0,I6/G6,0)</f>
        <v>0</v>
      </c>
      <c r="K6" s="64">
        <v>1883</v>
      </c>
      <c r="L6" s="52">
        <f t="shared" si="3"/>
        <v>0</v>
      </c>
      <c r="M6" s="64">
        <v>137775</v>
      </c>
      <c r="N6" s="416">
        <f t="shared" si="4"/>
        <v>138</v>
      </c>
      <c r="O6" s="67">
        <f t="shared" si="5"/>
        <v>0</v>
      </c>
      <c r="P6" s="64">
        <v>1729</v>
      </c>
      <c r="Q6" s="64">
        <v>147315</v>
      </c>
      <c r="R6" s="415">
        <f t="shared" si="6"/>
        <v>169</v>
      </c>
      <c r="S6" s="52">
        <f t="shared" ref="S6:S23" si="13">SUM(P6-P5)</f>
        <v>2</v>
      </c>
      <c r="T6" s="68">
        <f>SUM(S6*$T$2)</f>
        <v>0</v>
      </c>
      <c r="U6" s="422">
        <f t="shared" ref="U6:U34" si="14">SUM(G6+L6+S6)</f>
        <v>2</v>
      </c>
      <c r="V6" s="62">
        <f t="shared" ref="V6:V34" si="15">R6+N6+I6:I6</f>
        <v>307</v>
      </c>
      <c r="W6" s="420">
        <f t="shared" ref="W6:W16" si="16">SUM(V6/U6)</f>
        <v>153.5</v>
      </c>
      <c r="X6" s="64">
        <f t="shared" ref="X6:Z34" si="17">X5</f>
        <v>2404</v>
      </c>
      <c r="Y6" s="52">
        <f t="shared" ref="Y6:Y34" si="18">X6-X5</f>
        <v>0</v>
      </c>
      <c r="Z6" s="64">
        <f t="shared" si="17"/>
        <v>135129.29999999999</v>
      </c>
      <c r="AA6" s="65">
        <f t="shared" si="7"/>
        <v>0</v>
      </c>
      <c r="AB6" s="294">
        <f>SUM(Y6*$AB$2)</f>
        <v>0</v>
      </c>
      <c r="AC6" s="64">
        <f t="shared" ref="AC6:AE34" si="19">AC5</f>
        <v>1824</v>
      </c>
      <c r="AD6" s="45">
        <f t="shared" si="8"/>
        <v>0</v>
      </c>
      <c r="AE6" s="64">
        <f t="shared" si="19"/>
        <v>358857.5</v>
      </c>
      <c r="AF6" s="321">
        <f t="shared" ref="AF6:AF34" si="20">AE6-AE5</f>
        <v>0</v>
      </c>
      <c r="AG6" s="213">
        <f>IF(AD6&gt;0,AF6/AD6,0)</f>
        <v>0</v>
      </c>
      <c r="AH6" s="62">
        <f>AF6+AA6</f>
        <v>0</v>
      </c>
      <c r="AI6" s="333">
        <f t="shared" ref="AI6:AI34" si="21">SUM(AH6+V6)</f>
        <v>307</v>
      </c>
      <c r="AJ6" s="333">
        <f>-tanks!AW7</f>
        <v>307</v>
      </c>
      <c r="AK6" s="333">
        <f t="shared" ref="AK6:AK34" si="22">SUM(AJ6-AI6)</f>
        <v>0</v>
      </c>
      <c r="AL6" s="333">
        <f t="shared" si="9"/>
        <v>2</v>
      </c>
      <c r="AM6" s="333">
        <f t="shared" ref="AM6:AM33" si="23">Y6+AD6</f>
        <v>0</v>
      </c>
      <c r="AN6" s="64">
        <v>68</v>
      </c>
      <c r="AO6" s="335">
        <f t="shared" ref="AO6:AO26" si="24">(AN6/100)*3000</f>
        <v>2040.0000000000002</v>
      </c>
      <c r="AP6" s="64">
        <v>66</v>
      </c>
      <c r="AQ6" s="335">
        <f t="shared" ref="AQ6:AQ24" si="25">(AP6/100)*3000</f>
        <v>1980</v>
      </c>
      <c r="AR6" s="64">
        <v>64</v>
      </c>
      <c r="AS6" s="335">
        <f>(AR6/100)*3000</f>
        <v>1920</v>
      </c>
      <c r="AT6" s="335">
        <f>SUM(AO6+AQ6+AS6)</f>
        <v>5940</v>
      </c>
      <c r="AU6" s="335">
        <f>AT5-AT6+AV6</f>
        <v>180</v>
      </c>
      <c r="AV6" s="276"/>
      <c r="AW6" s="276"/>
      <c r="AX6" s="328">
        <f t="shared" ref="AX6:AX34" si="26">IF(AV6&gt;0,AW6,AX5)</f>
        <v>0.7</v>
      </c>
    </row>
    <row r="7" spans="1:50">
      <c r="A7" s="63">
        <f>ELEC!C5</f>
        <v>43924</v>
      </c>
      <c r="B7" s="64">
        <v>241</v>
      </c>
      <c r="C7" s="64">
        <v>246</v>
      </c>
      <c r="D7" s="45">
        <f t="shared" si="0"/>
        <v>3</v>
      </c>
      <c r="E7" s="45">
        <f t="shared" si="10"/>
        <v>25.14</v>
      </c>
      <c r="F7" s="64">
        <v>1502</v>
      </c>
      <c r="G7" s="52">
        <f t="shared" si="1"/>
        <v>3</v>
      </c>
      <c r="H7" s="64">
        <v>346351</v>
      </c>
      <c r="I7" s="416">
        <f t="shared" si="2"/>
        <v>196</v>
      </c>
      <c r="J7" s="66">
        <f t="shared" si="12"/>
        <v>65.333333333333329</v>
      </c>
      <c r="K7" s="64">
        <f t="shared" ref="K7:Q34" si="27">K6</f>
        <v>1883</v>
      </c>
      <c r="L7" s="52">
        <f t="shared" si="3"/>
        <v>0</v>
      </c>
      <c r="M7" s="64">
        <f t="shared" si="27"/>
        <v>137775</v>
      </c>
      <c r="N7" s="416">
        <f>M7-M6</f>
        <v>0</v>
      </c>
      <c r="O7" s="67">
        <v>1</v>
      </c>
      <c r="P7" s="64">
        <v>1731</v>
      </c>
      <c r="Q7" s="64">
        <v>147470</v>
      </c>
      <c r="R7" s="415">
        <f t="shared" si="6"/>
        <v>155</v>
      </c>
      <c r="S7" s="52">
        <f t="shared" si="13"/>
        <v>2</v>
      </c>
      <c r="T7" s="68">
        <f t="shared" ref="T7:T34" si="28">SUM(S7*$T$2)</f>
        <v>0</v>
      </c>
      <c r="U7" s="422">
        <f t="shared" si="14"/>
        <v>5</v>
      </c>
      <c r="V7" s="62">
        <f t="shared" si="15"/>
        <v>351</v>
      </c>
      <c r="W7" s="420">
        <f t="shared" si="16"/>
        <v>70.2</v>
      </c>
      <c r="X7" s="64">
        <f t="shared" si="17"/>
        <v>2404</v>
      </c>
      <c r="Y7" s="52">
        <f t="shared" si="18"/>
        <v>0</v>
      </c>
      <c r="Z7" s="64">
        <f t="shared" si="17"/>
        <v>135129.29999999999</v>
      </c>
      <c r="AA7" s="65">
        <f t="shared" si="7"/>
        <v>0</v>
      </c>
      <c r="AB7" s="294">
        <f t="shared" ref="AB7:AB17" si="29">SUM(Y7*$AB$2)</f>
        <v>0</v>
      </c>
      <c r="AC7" s="64">
        <f t="shared" si="19"/>
        <v>1824</v>
      </c>
      <c r="AD7" s="45">
        <f t="shared" si="8"/>
        <v>0</v>
      </c>
      <c r="AE7" s="64">
        <f t="shared" si="19"/>
        <v>358857.5</v>
      </c>
      <c r="AF7" s="321">
        <f t="shared" si="20"/>
        <v>0</v>
      </c>
      <c r="AG7" s="213">
        <f t="shared" ref="AG7:AG34" si="30">IF(AD7&gt;0,AF7/AD7,0)</f>
        <v>0</v>
      </c>
      <c r="AH7" s="62">
        <f t="shared" ref="AH7:AH34" si="31">AF7+AA7</f>
        <v>0</v>
      </c>
      <c r="AI7" s="333">
        <f t="shared" si="21"/>
        <v>351</v>
      </c>
      <c r="AJ7" s="333">
        <f>-tanks!AW8</f>
        <v>351</v>
      </c>
      <c r="AK7" s="333">
        <f t="shared" si="22"/>
        <v>0</v>
      </c>
      <c r="AL7" s="333">
        <f t="shared" si="9"/>
        <v>5</v>
      </c>
      <c r="AM7" s="333">
        <f t="shared" si="23"/>
        <v>0</v>
      </c>
      <c r="AN7" s="64">
        <f t="shared" ref="AN7:AR30" si="32">AN6</f>
        <v>68</v>
      </c>
      <c r="AO7" s="335">
        <f t="shared" si="24"/>
        <v>2040.0000000000002</v>
      </c>
      <c r="AP7" s="64">
        <f t="shared" si="32"/>
        <v>66</v>
      </c>
      <c r="AQ7" s="335">
        <f t="shared" si="25"/>
        <v>1980</v>
      </c>
      <c r="AR7" s="64">
        <v>62</v>
      </c>
      <c r="AS7" s="335">
        <f t="shared" ref="AS7:AS34" si="33">(AR7/100)*3000</f>
        <v>1860</v>
      </c>
      <c r="AT7" s="335">
        <f t="shared" ref="AT7:AT23" si="34">SUM(AO7+AQ7+AS7)</f>
        <v>5880</v>
      </c>
      <c r="AU7" s="335">
        <f t="shared" ref="AU7:AU34" si="35">AT6-AT7+AV7</f>
        <v>60</v>
      </c>
      <c r="AV7" s="276"/>
      <c r="AW7" s="276"/>
      <c r="AX7" s="328">
        <f t="shared" si="26"/>
        <v>0.7</v>
      </c>
    </row>
    <row r="8" spans="1:50">
      <c r="A8" s="63">
        <f>ELEC!C6</f>
        <v>43925</v>
      </c>
      <c r="B8" s="64">
        <v>239</v>
      </c>
      <c r="C8" s="64">
        <v>244</v>
      </c>
      <c r="D8" s="45">
        <f t="shared" si="0"/>
        <v>2</v>
      </c>
      <c r="E8" s="45">
        <f t="shared" si="10"/>
        <v>16.760000000000002</v>
      </c>
      <c r="F8" s="64">
        <v>1503</v>
      </c>
      <c r="G8" s="52">
        <f t="shared" si="1"/>
        <v>1</v>
      </c>
      <c r="H8" s="64">
        <v>346462</v>
      </c>
      <c r="I8" s="416">
        <f t="shared" si="2"/>
        <v>111</v>
      </c>
      <c r="J8" s="66">
        <f t="shared" si="12"/>
        <v>111</v>
      </c>
      <c r="K8" s="64">
        <v>1884</v>
      </c>
      <c r="L8" s="52">
        <f t="shared" si="3"/>
        <v>1</v>
      </c>
      <c r="M8" s="64">
        <v>137882</v>
      </c>
      <c r="N8" s="416">
        <f t="shared" si="4"/>
        <v>107</v>
      </c>
      <c r="O8" s="67">
        <v>1479</v>
      </c>
      <c r="P8" s="64">
        <v>1732</v>
      </c>
      <c r="Q8" s="64">
        <v>147523</v>
      </c>
      <c r="R8" s="415">
        <f t="shared" si="6"/>
        <v>53</v>
      </c>
      <c r="S8" s="52">
        <f t="shared" si="13"/>
        <v>1</v>
      </c>
      <c r="T8" s="68">
        <f t="shared" si="28"/>
        <v>0</v>
      </c>
      <c r="U8" s="422">
        <f t="shared" si="14"/>
        <v>3</v>
      </c>
      <c r="V8" s="62">
        <f t="shared" si="15"/>
        <v>271</v>
      </c>
      <c r="W8" s="420">
        <f t="shared" si="16"/>
        <v>90.333333333333329</v>
      </c>
      <c r="X8" s="64">
        <v>2404</v>
      </c>
      <c r="Y8" s="52">
        <f t="shared" si="18"/>
        <v>0</v>
      </c>
      <c r="Z8" s="64">
        <f t="shared" si="17"/>
        <v>135129.29999999999</v>
      </c>
      <c r="AA8" s="65">
        <f t="shared" si="7"/>
        <v>0</v>
      </c>
      <c r="AB8" s="294">
        <f t="shared" si="29"/>
        <v>0</v>
      </c>
      <c r="AC8" s="64">
        <f t="shared" si="19"/>
        <v>1824</v>
      </c>
      <c r="AD8" s="45">
        <f t="shared" si="8"/>
        <v>0</v>
      </c>
      <c r="AE8" s="64">
        <f t="shared" si="19"/>
        <v>358857.5</v>
      </c>
      <c r="AF8" s="321">
        <f t="shared" si="20"/>
        <v>0</v>
      </c>
      <c r="AG8" s="213">
        <f t="shared" si="30"/>
        <v>0</v>
      </c>
      <c r="AH8" s="62">
        <f t="shared" si="31"/>
        <v>0</v>
      </c>
      <c r="AI8" s="333">
        <f t="shared" si="21"/>
        <v>271</v>
      </c>
      <c r="AJ8" s="333">
        <f>-tanks!AW9</f>
        <v>271</v>
      </c>
      <c r="AK8" s="333">
        <f t="shared" si="22"/>
        <v>0</v>
      </c>
      <c r="AL8" s="333">
        <f t="shared" si="9"/>
        <v>3</v>
      </c>
      <c r="AM8" s="333">
        <f t="shared" si="23"/>
        <v>0</v>
      </c>
      <c r="AN8" s="64">
        <v>66</v>
      </c>
      <c r="AO8" s="335">
        <f t="shared" si="24"/>
        <v>1980</v>
      </c>
      <c r="AP8" s="64">
        <v>65</v>
      </c>
      <c r="AQ8" s="335">
        <f t="shared" si="25"/>
        <v>1950</v>
      </c>
      <c r="AR8" s="64">
        <v>61</v>
      </c>
      <c r="AS8" s="335">
        <f t="shared" si="33"/>
        <v>1830</v>
      </c>
      <c r="AT8" s="335">
        <f t="shared" si="34"/>
        <v>5760</v>
      </c>
      <c r="AU8" s="335">
        <f t="shared" si="35"/>
        <v>120</v>
      </c>
      <c r="AV8" s="276"/>
      <c r="AW8" s="276"/>
      <c r="AX8" s="328">
        <f t="shared" si="26"/>
        <v>0.7</v>
      </c>
    </row>
    <row r="9" spans="1:50">
      <c r="A9" s="63">
        <f>ELEC!C7</f>
        <v>43926</v>
      </c>
      <c r="B9" s="64">
        <v>235</v>
      </c>
      <c r="C9" s="64">
        <v>241</v>
      </c>
      <c r="D9" s="45">
        <f t="shared" si="0"/>
        <v>3</v>
      </c>
      <c r="E9" s="45">
        <f t="shared" si="10"/>
        <v>25.14</v>
      </c>
      <c r="F9" s="64">
        <f t="shared" si="11"/>
        <v>1503</v>
      </c>
      <c r="G9" s="52">
        <f t="shared" si="1"/>
        <v>0</v>
      </c>
      <c r="H9" s="64">
        <f t="shared" si="11"/>
        <v>346462</v>
      </c>
      <c r="I9" s="416">
        <f t="shared" si="2"/>
        <v>0</v>
      </c>
      <c r="J9" s="66">
        <f t="shared" si="12"/>
        <v>0</v>
      </c>
      <c r="K9" s="64">
        <f t="shared" si="27"/>
        <v>1884</v>
      </c>
      <c r="L9" s="52">
        <f t="shared" si="3"/>
        <v>0</v>
      </c>
      <c r="M9" s="64">
        <f t="shared" si="27"/>
        <v>137882</v>
      </c>
      <c r="N9" s="416">
        <f t="shared" si="4"/>
        <v>0</v>
      </c>
      <c r="O9" s="67">
        <f t="shared" si="5"/>
        <v>0</v>
      </c>
      <c r="P9" s="64">
        <v>1734</v>
      </c>
      <c r="Q9" s="64">
        <v>147775</v>
      </c>
      <c r="R9" s="415">
        <f t="shared" si="6"/>
        <v>252</v>
      </c>
      <c r="S9" s="52">
        <f t="shared" si="13"/>
        <v>2</v>
      </c>
      <c r="T9" s="68">
        <f t="shared" si="28"/>
        <v>0</v>
      </c>
      <c r="U9" s="422">
        <f t="shared" si="14"/>
        <v>2</v>
      </c>
      <c r="V9" s="62">
        <f t="shared" si="15"/>
        <v>252</v>
      </c>
      <c r="W9" s="420">
        <f t="shared" si="16"/>
        <v>126</v>
      </c>
      <c r="X9" s="64">
        <f t="shared" si="17"/>
        <v>2404</v>
      </c>
      <c r="Y9" s="52">
        <f t="shared" si="18"/>
        <v>0</v>
      </c>
      <c r="Z9" s="64">
        <f t="shared" si="17"/>
        <v>135129.29999999999</v>
      </c>
      <c r="AA9" s="65">
        <f t="shared" si="7"/>
        <v>0</v>
      </c>
      <c r="AB9" s="294">
        <f t="shared" si="29"/>
        <v>0</v>
      </c>
      <c r="AC9" s="64">
        <f t="shared" si="19"/>
        <v>1824</v>
      </c>
      <c r="AD9" s="45">
        <f t="shared" si="8"/>
        <v>0</v>
      </c>
      <c r="AE9" s="64">
        <f t="shared" si="19"/>
        <v>358857.5</v>
      </c>
      <c r="AF9" s="321">
        <f t="shared" si="20"/>
        <v>0</v>
      </c>
      <c r="AG9" s="213">
        <f t="shared" si="30"/>
        <v>0</v>
      </c>
      <c r="AH9" s="62">
        <f t="shared" si="31"/>
        <v>0</v>
      </c>
      <c r="AI9" s="333">
        <f t="shared" si="21"/>
        <v>252</v>
      </c>
      <c r="AJ9" s="333">
        <f>-tanks!AW10</f>
        <v>252</v>
      </c>
      <c r="AK9" s="333">
        <f t="shared" si="22"/>
        <v>0</v>
      </c>
      <c r="AL9" s="333">
        <f t="shared" si="9"/>
        <v>2</v>
      </c>
      <c r="AM9" s="333">
        <f t="shared" si="23"/>
        <v>0</v>
      </c>
      <c r="AN9" s="64">
        <v>66</v>
      </c>
      <c r="AO9" s="335">
        <f t="shared" si="24"/>
        <v>1980</v>
      </c>
      <c r="AP9" s="64">
        <v>65</v>
      </c>
      <c r="AQ9" s="335">
        <f t="shared" si="25"/>
        <v>1950</v>
      </c>
      <c r="AR9" s="64">
        <v>60</v>
      </c>
      <c r="AS9" s="335">
        <f>(AR9/100)*3000</f>
        <v>1800</v>
      </c>
      <c r="AT9" s="335">
        <f t="shared" si="34"/>
        <v>5730</v>
      </c>
      <c r="AU9" s="335">
        <f t="shared" si="35"/>
        <v>30</v>
      </c>
      <c r="AV9" s="276"/>
      <c r="AW9" s="276"/>
      <c r="AX9" s="328">
        <f t="shared" si="26"/>
        <v>0.7</v>
      </c>
    </row>
    <row r="10" spans="1:50">
      <c r="A10" s="63">
        <f>ELEC!C8</f>
        <v>43927</v>
      </c>
      <c r="B10" s="64">
        <v>233</v>
      </c>
      <c r="C10" s="64">
        <v>239</v>
      </c>
      <c r="D10" s="45">
        <f t="shared" si="0"/>
        <v>2</v>
      </c>
      <c r="E10" s="45">
        <f t="shared" si="10"/>
        <v>16.760000000000002</v>
      </c>
      <c r="F10" s="64">
        <v>1507</v>
      </c>
      <c r="G10" s="52">
        <f t="shared" si="1"/>
        <v>4</v>
      </c>
      <c r="H10" s="64">
        <v>346758</v>
      </c>
      <c r="I10" s="416">
        <f t="shared" si="2"/>
        <v>296</v>
      </c>
      <c r="J10" s="66">
        <f t="shared" si="12"/>
        <v>74</v>
      </c>
      <c r="K10" s="64">
        <v>1884</v>
      </c>
      <c r="L10" s="52">
        <f t="shared" si="3"/>
        <v>0</v>
      </c>
      <c r="M10" s="64">
        <v>137884</v>
      </c>
      <c r="N10" s="416">
        <f t="shared" si="4"/>
        <v>2</v>
      </c>
      <c r="O10" s="67">
        <f t="shared" si="5"/>
        <v>0</v>
      </c>
      <c r="P10" s="64">
        <v>1737</v>
      </c>
      <c r="Q10" s="64">
        <v>147921</v>
      </c>
      <c r="R10" s="415">
        <f t="shared" si="6"/>
        <v>146</v>
      </c>
      <c r="S10" s="52">
        <f t="shared" si="13"/>
        <v>3</v>
      </c>
      <c r="T10" s="68">
        <f t="shared" si="28"/>
        <v>0</v>
      </c>
      <c r="U10" s="422">
        <f t="shared" si="14"/>
        <v>7</v>
      </c>
      <c r="V10" s="62">
        <f t="shared" si="15"/>
        <v>444</v>
      </c>
      <c r="W10" s="420">
        <f t="shared" si="16"/>
        <v>63.428571428571431</v>
      </c>
      <c r="X10" s="64">
        <v>2404</v>
      </c>
      <c r="Y10" s="52">
        <f t="shared" si="18"/>
        <v>0</v>
      </c>
      <c r="Z10" s="64">
        <v>135129.29999999999</v>
      </c>
      <c r="AA10" s="65">
        <f t="shared" si="7"/>
        <v>0</v>
      </c>
      <c r="AB10" s="294">
        <f t="shared" si="29"/>
        <v>0</v>
      </c>
      <c r="AC10" s="64">
        <v>1824</v>
      </c>
      <c r="AD10" s="45">
        <f t="shared" si="8"/>
        <v>0</v>
      </c>
      <c r="AE10" s="64">
        <v>358857.5</v>
      </c>
      <c r="AF10" s="321">
        <f t="shared" si="20"/>
        <v>0</v>
      </c>
      <c r="AG10" s="213">
        <f t="shared" si="30"/>
        <v>0</v>
      </c>
      <c r="AH10" s="62">
        <f t="shared" si="31"/>
        <v>0</v>
      </c>
      <c r="AI10" s="333">
        <f>SUM(AH10+V10)</f>
        <v>444</v>
      </c>
      <c r="AJ10" s="333">
        <f>-tanks!AW11</f>
        <v>444</v>
      </c>
      <c r="AK10" s="333">
        <f t="shared" si="22"/>
        <v>0</v>
      </c>
      <c r="AL10" s="333">
        <f t="shared" si="9"/>
        <v>7</v>
      </c>
      <c r="AM10" s="333">
        <f t="shared" si="23"/>
        <v>0</v>
      </c>
      <c r="AN10" s="64">
        <v>65</v>
      </c>
      <c r="AO10" s="335">
        <f t="shared" si="24"/>
        <v>1950</v>
      </c>
      <c r="AP10" s="64">
        <v>64</v>
      </c>
      <c r="AQ10" s="335">
        <f t="shared" si="25"/>
        <v>1920</v>
      </c>
      <c r="AR10" s="64">
        <v>60</v>
      </c>
      <c r="AS10" s="335">
        <f t="shared" si="33"/>
        <v>1800</v>
      </c>
      <c r="AT10" s="335">
        <f t="shared" si="34"/>
        <v>5670</v>
      </c>
      <c r="AU10" s="335">
        <f t="shared" si="35"/>
        <v>60</v>
      </c>
      <c r="AV10" s="276"/>
      <c r="AW10" s="276"/>
      <c r="AX10" s="328">
        <f t="shared" si="26"/>
        <v>0.7</v>
      </c>
    </row>
    <row r="11" spans="1:50">
      <c r="A11" s="63">
        <f>ELEC!C9</f>
        <v>43928</v>
      </c>
      <c r="B11" s="64">
        <v>232</v>
      </c>
      <c r="C11" s="64">
        <v>238</v>
      </c>
      <c r="D11" s="45">
        <f t="shared" si="0"/>
        <v>1</v>
      </c>
      <c r="E11" s="45">
        <f t="shared" si="10"/>
        <v>8.3800000000000008</v>
      </c>
      <c r="F11" s="64">
        <v>1507</v>
      </c>
      <c r="G11" s="52">
        <f t="shared" si="1"/>
        <v>0</v>
      </c>
      <c r="H11" s="64">
        <v>346759</v>
      </c>
      <c r="I11" s="416">
        <f t="shared" si="2"/>
        <v>1</v>
      </c>
      <c r="J11" s="66">
        <f t="shared" si="12"/>
        <v>0</v>
      </c>
      <c r="K11" s="64">
        <v>1886</v>
      </c>
      <c r="L11" s="52">
        <f t="shared" si="3"/>
        <v>2</v>
      </c>
      <c r="M11" s="64">
        <v>138047</v>
      </c>
      <c r="N11" s="416">
        <f t="shared" si="4"/>
        <v>163</v>
      </c>
      <c r="O11" s="67">
        <f t="shared" si="5"/>
        <v>165.53968253968253</v>
      </c>
      <c r="P11" s="64">
        <v>1737</v>
      </c>
      <c r="Q11" s="64">
        <v>147921</v>
      </c>
      <c r="R11" s="415">
        <f t="shared" ref="R11:R34" si="36">Q11-Q10</f>
        <v>0</v>
      </c>
      <c r="S11" s="52">
        <f t="shared" si="13"/>
        <v>0</v>
      </c>
      <c r="T11" s="68">
        <f t="shared" si="28"/>
        <v>0</v>
      </c>
      <c r="U11" s="422">
        <f t="shared" si="14"/>
        <v>2</v>
      </c>
      <c r="V11" s="62">
        <f t="shared" si="15"/>
        <v>164</v>
      </c>
      <c r="W11" s="420">
        <f t="shared" si="16"/>
        <v>82</v>
      </c>
      <c r="X11" s="64">
        <v>2404</v>
      </c>
      <c r="Y11" s="52">
        <f t="shared" si="18"/>
        <v>0</v>
      </c>
      <c r="Z11" s="64">
        <v>135129.29999999999</v>
      </c>
      <c r="AA11" s="65">
        <f t="shared" si="7"/>
        <v>0</v>
      </c>
      <c r="AB11" s="294">
        <f t="shared" si="29"/>
        <v>0</v>
      </c>
      <c r="AC11" s="64">
        <v>1824</v>
      </c>
      <c r="AD11" s="45">
        <f t="shared" si="8"/>
        <v>0</v>
      </c>
      <c r="AE11" s="64">
        <v>358857.5</v>
      </c>
      <c r="AF11" s="321">
        <f t="shared" si="20"/>
        <v>0</v>
      </c>
      <c r="AG11" s="213">
        <f t="shared" si="30"/>
        <v>0</v>
      </c>
      <c r="AH11" s="62">
        <f>AF11+AA11</f>
        <v>0</v>
      </c>
      <c r="AI11" s="333">
        <f>SUM(AH11+V11)</f>
        <v>164</v>
      </c>
      <c r="AJ11" s="333">
        <f>-tanks!AW12</f>
        <v>164</v>
      </c>
      <c r="AK11" s="333">
        <f t="shared" si="22"/>
        <v>0</v>
      </c>
      <c r="AL11" s="333">
        <f t="shared" si="9"/>
        <v>2</v>
      </c>
      <c r="AM11" s="333">
        <f t="shared" si="23"/>
        <v>0</v>
      </c>
      <c r="AN11" s="64">
        <f t="shared" si="32"/>
        <v>65</v>
      </c>
      <c r="AO11" s="335">
        <f t="shared" si="24"/>
        <v>1950</v>
      </c>
      <c r="AP11" s="64">
        <f t="shared" si="32"/>
        <v>64</v>
      </c>
      <c r="AQ11" s="335">
        <f t="shared" si="25"/>
        <v>1920</v>
      </c>
      <c r="AR11" s="64">
        <v>59</v>
      </c>
      <c r="AS11" s="335">
        <f t="shared" si="33"/>
        <v>1770</v>
      </c>
      <c r="AT11" s="335">
        <f t="shared" si="34"/>
        <v>5640</v>
      </c>
      <c r="AU11" s="335">
        <f t="shared" si="35"/>
        <v>30</v>
      </c>
      <c r="AV11" s="276"/>
      <c r="AW11" s="276"/>
      <c r="AX11" s="328">
        <f t="shared" si="26"/>
        <v>0.7</v>
      </c>
    </row>
    <row r="12" spans="1:50">
      <c r="A12" s="63">
        <f>ELEC!C10</f>
        <v>43929</v>
      </c>
      <c r="B12" s="64">
        <v>229</v>
      </c>
      <c r="C12" s="64">
        <v>235</v>
      </c>
      <c r="D12" s="45">
        <f t="shared" si="0"/>
        <v>3</v>
      </c>
      <c r="E12" s="45">
        <f t="shared" si="10"/>
        <v>25.14</v>
      </c>
      <c r="F12" s="64">
        <v>1507</v>
      </c>
      <c r="G12" s="52">
        <f t="shared" si="1"/>
        <v>0</v>
      </c>
      <c r="H12" s="64">
        <v>346759</v>
      </c>
      <c r="I12" s="416">
        <f t="shared" si="2"/>
        <v>0</v>
      </c>
      <c r="J12" s="66">
        <f t="shared" si="12"/>
        <v>0</v>
      </c>
      <c r="K12" s="64">
        <v>1888</v>
      </c>
      <c r="L12" s="52">
        <f t="shared" si="3"/>
        <v>2</v>
      </c>
      <c r="M12" s="64">
        <v>138172</v>
      </c>
      <c r="N12" s="416">
        <f t="shared" si="4"/>
        <v>125</v>
      </c>
      <c r="O12" s="67">
        <f t="shared" si="5"/>
        <v>165.53968253968253</v>
      </c>
      <c r="P12" s="64">
        <v>1739</v>
      </c>
      <c r="Q12" s="64">
        <v>148101</v>
      </c>
      <c r="R12" s="415">
        <f t="shared" si="36"/>
        <v>180</v>
      </c>
      <c r="S12" s="52">
        <f t="shared" si="13"/>
        <v>2</v>
      </c>
      <c r="T12" s="68">
        <f t="shared" si="28"/>
        <v>0</v>
      </c>
      <c r="U12" s="422">
        <f t="shared" si="14"/>
        <v>4</v>
      </c>
      <c r="V12" s="62">
        <f t="shared" si="15"/>
        <v>305</v>
      </c>
      <c r="W12" s="420">
        <f t="shared" si="16"/>
        <v>76.25</v>
      </c>
      <c r="X12" s="64">
        <v>2404</v>
      </c>
      <c r="Y12" s="52">
        <f t="shared" si="18"/>
        <v>0</v>
      </c>
      <c r="Z12" s="64">
        <v>135129.29999999999</v>
      </c>
      <c r="AA12" s="65">
        <f t="shared" si="7"/>
        <v>0</v>
      </c>
      <c r="AB12" s="294">
        <f t="shared" si="29"/>
        <v>0</v>
      </c>
      <c r="AC12" s="64">
        <v>1824</v>
      </c>
      <c r="AD12" s="45">
        <f t="shared" si="8"/>
        <v>0</v>
      </c>
      <c r="AE12" s="64">
        <v>358857.5</v>
      </c>
      <c r="AF12" s="321">
        <f t="shared" si="20"/>
        <v>0</v>
      </c>
      <c r="AG12" s="213">
        <f t="shared" si="30"/>
        <v>0</v>
      </c>
      <c r="AH12" s="62">
        <f t="shared" si="31"/>
        <v>0</v>
      </c>
      <c r="AI12" s="333">
        <f t="shared" si="21"/>
        <v>305</v>
      </c>
      <c r="AJ12" s="333">
        <f>-tanks!AW13</f>
        <v>305</v>
      </c>
      <c r="AK12" s="333">
        <f t="shared" si="22"/>
        <v>0</v>
      </c>
      <c r="AL12" s="333">
        <f t="shared" si="9"/>
        <v>4</v>
      </c>
      <c r="AM12" s="333">
        <f t="shared" si="23"/>
        <v>0</v>
      </c>
      <c r="AN12" s="64">
        <v>64</v>
      </c>
      <c r="AO12" s="335">
        <f t="shared" si="24"/>
        <v>1920</v>
      </c>
      <c r="AP12" s="64">
        <v>62</v>
      </c>
      <c r="AQ12" s="335">
        <f t="shared" si="25"/>
        <v>1860</v>
      </c>
      <c r="AR12" s="64">
        <v>58</v>
      </c>
      <c r="AS12" s="335">
        <f t="shared" si="33"/>
        <v>1739.9999999999998</v>
      </c>
      <c r="AT12" s="335">
        <f t="shared" si="34"/>
        <v>5520</v>
      </c>
      <c r="AU12" s="335">
        <f t="shared" si="35"/>
        <v>120</v>
      </c>
      <c r="AV12" s="276"/>
      <c r="AW12" s="276"/>
      <c r="AX12" s="328">
        <f t="shared" si="26"/>
        <v>0.7</v>
      </c>
    </row>
    <row r="13" spans="1:50">
      <c r="A13" s="63">
        <f>ELEC!C11</f>
        <v>43930</v>
      </c>
      <c r="B13" s="64">
        <v>225</v>
      </c>
      <c r="C13" s="64">
        <v>231</v>
      </c>
      <c r="D13" s="45">
        <f t="shared" si="0"/>
        <v>4</v>
      </c>
      <c r="E13" s="45">
        <f t="shared" si="10"/>
        <v>33.520000000000003</v>
      </c>
      <c r="F13" s="64">
        <v>1509</v>
      </c>
      <c r="G13" s="52">
        <f t="shared" si="1"/>
        <v>2</v>
      </c>
      <c r="H13" s="64">
        <v>346954</v>
      </c>
      <c r="I13" s="416">
        <f t="shared" si="2"/>
        <v>195</v>
      </c>
      <c r="J13" s="66">
        <f t="shared" si="12"/>
        <v>97.5</v>
      </c>
      <c r="K13" s="64">
        <f t="shared" si="27"/>
        <v>1888</v>
      </c>
      <c r="L13" s="52">
        <f t="shared" si="3"/>
        <v>0</v>
      </c>
      <c r="M13" s="64">
        <f t="shared" si="27"/>
        <v>138172</v>
      </c>
      <c r="N13" s="416">
        <f t="shared" si="4"/>
        <v>0</v>
      </c>
      <c r="O13" s="67">
        <f t="shared" si="5"/>
        <v>0</v>
      </c>
      <c r="P13" s="64">
        <v>1742</v>
      </c>
      <c r="Q13" s="64">
        <v>148290</v>
      </c>
      <c r="R13" s="415">
        <f t="shared" si="36"/>
        <v>189</v>
      </c>
      <c r="S13" s="52">
        <f t="shared" si="13"/>
        <v>3</v>
      </c>
      <c r="T13" s="68">
        <f t="shared" si="28"/>
        <v>0</v>
      </c>
      <c r="U13" s="422">
        <f t="shared" si="14"/>
        <v>5</v>
      </c>
      <c r="V13" s="62">
        <f>R13+N13+I13:I13</f>
        <v>384</v>
      </c>
      <c r="W13" s="420">
        <f t="shared" si="16"/>
        <v>76.8</v>
      </c>
      <c r="X13" s="64">
        <v>2408</v>
      </c>
      <c r="Y13" s="52">
        <f t="shared" si="18"/>
        <v>4</v>
      </c>
      <c r="Z13" s="64">
        <v>135361</v>
      </c>
      <c r="AA13" s="294">
        <f t="shared" si="7"/>
        <v>231.70000000001164</v>
      </c>
      <c r="AB13" s="294">
        <f t="shared" si="29"/>
        <v>0</v>
      </c>
      <c r="AC13" s="64">
        <f t="shared" si="19"/>
        <v>1824</v>
      </c>
      <c r="AD13" s="45">
        <f t="shared" si="8"/>
        <v>0</v>
      </c>
      <c r="AE13" s="64">
        <f t="shared" si="19"/>
        <v>358857.5</v>
      </c>
      <c r="AF13" s="321">
        <f t="shared" si="20"/>
        <v>0</v>
      </c>
      <c r="AG13" s="213">
        <f t="shared" si="30"/>
        <v>0</v>
      </c>
      <c r="AH13" s="62">
        <f t="shared" si="31"/>
        <v>231.70000000001164</v>
      </c>
      <c r="AI13" s="333">
        <f t="shared" si="21"/>
        <v>615.70000000001164</v>
      </c>
      <c r="AJ13" s="333">
        <f>-tanks!AW14</f>
        <v>615.70000000001164</v>
      </c>
      <c r="AK13" s="333">
        <f t="shared" si="22"/>
        <v>0</v>
      </c>
      <c r="AL13" s="333">
        <f t="shared" si="9"/>
        <v>5</v>
      </c>
      <c r="AM13" s="333">
        <f t="shared" si="23"/>
        <v>4</v>
      </c>
      <c r="AN13" s="64">
        <v>80</v>
      </c>
      <c r="AO13" s="335">
        <f t="shared" si="24"/>
        <v>2400</v>
      </c>
      <c r="AP13" s="64">
        <v>68</v>
      </c>
      <c r="AQ13" s="335">
        <f t="shared" si="25"/>
        <v>2040.0000000000002</v>
      </c>
      <c r="AR13" s="64">
        <v>59</v>
      </c>
      <c r="AS13" s="335">
        <f t="shared" si="33"/>
        <v>1770</v>
      </c>
      <c r="AT13" s="335">
        <f t="shared" si="34"/>
        <v>6210</v>
      </c>
      <c r="AU13" s="335">
        <f t="shared" si="35"/>
        <v>310</v>
      </c>
      <c r="AV13" s="276">
        <v>1000</v>
      </c>
      <c r="AW13" s="276">
        <v>0.7</v>
      </c>
      <c r="AX13" s="328">
        <f t="shared" si="26"/>
        <v>0.7</v>
      </c>
    </row>
    <row r="14" spans="1:50">
      <c r="A14" s="63">
        <f>ELEC!C12</f>
        <v>43931</v>
      </c>
      <c r="B14" s="64">
        <v>221</v>
      </c>
      <c r="C14" s="64">
        <v>228</v>
      </c>
      <c r="D14" s="45">
        <f t="shared" si="0"/>
        <v>3</v>
      </c>
      <c r="E14" s="45">
        <f t="shared" si="10"/>
        <v>25.14</v>
      </c>
      <c r="F14" s="64">
        <v>1511</v>
      </c>
      <c r="G14" s="52">
        <f t="shared" si="1"/>
        <v>2</v>
      </c>
      <c r="H14" s="64">
        <v>347085</v>
      </c>
      <c r="I14" s="416">
        <f t="shared" si="2"/>
        <v>131</v>
      </c>
      <c r="J14" s="66">
        <f t="shared" si="12"/>
        <v>65.5</v>
      </c>
      <c r="K14" s="64">
        <v>1892</v>
      </c>
      <c r="L14" s="52">
        <f t="shared" si="3"/>
        <v>4</v>
      </c>
      <c r="M14" s="64">
        <v>138467</v>
      </c>
      <c r="N14" s="416">
        <f t="shared" si="4"/>
        <v>295</v>
      </c>
      <c r="O14" s="67">
        <f t="shared" si="5"/>
        <v>331.07936507936506</v>
      </c>
      <c r="P14" s="64">
        <f t="shared" si="27"/>
        <v>1742</v>
      </c>
      <c r="Q14" s="64">
        <f t="shared" si="27"/>
        <v>148290</v>
      </c>
      <c r="R14" s="415">
        <f t="shared" si="36"/>
        <v>0</v>
      </c>
      <c r="S14" s="52">
        <f t="shared" si="13"/>
        <v>0</v>
      </c>
      <c r="T14" s="68">
        <f t="shared" si="28"/>
        <v>0</v>
      </c>
      <c r="U14" s="422">
        <f t="shared" si="14"/>
        <v>6</v>
      </c>
      <c r="V14" s="62">
        <f t="shared" si="15"/>
        <v>426</v>
      </c>
      <c r="W14" s="420">
        <f t="shared" si="16"/>
        <v>71</v>
      </c>
      <c r="X14" s="64">
        <f t="shared" si="17"/>
        <v>2408</v>
      </c>
      <c r="Y14" s="52">
        <f t="shared" si="18"/>
        <v>0</v>
      </c>
      <c r="Z14" s="64">
        <f t="shared" si="17"/>
        <v>135361</v>
      </c>
      <c r="AA14" s="65">
        <f t="shared" si="7"/>
        <v>0</v>
      </c>
      <c r="AB14" s="294">
        <f t="shared" si="29"/>
        <v>0</v>
      </c>
      <c r="AC14" s="64">
        <f t="shared" si="19"/>
        <v>1824</v>
      </c>
      <c r="AD14" s="45">
        <f t="shared" si="8"/>
        <v>0</v>
      </c>
      <c r="AE14" s="64">
        <f t="shared" si="19"/>
        <v>358857.5</v>
      </c>
      <c r="AF14" s="321">
        <f t="shared" si="20"/>
        <v>0</v>
      </c>
      <c r="AG14" s="213">
        <f t="shared" si="30"/>
        <v>0</v>
      </c>
      <c r="AH14" s="62">
        <f t="shared" si="31"/>
        <v>0</v>
      </c>
      <c r="AI14" s="333">
        <f t="shared" si="21"/>
        <v>426</v>
      </c>
      <c r="AJ14" s="333">
        <f>-tanks!AW15</f>
        <v>426</v>
      </c>
      <c r="AK14" s="333">
        <f t="shared" si="22"/>
        <v>0</v>
      </c>
      <c r="AL14" s="333">
        <f t="shared" si="9"/>
        <v>6</v>
      </c>
      <c r="AM14" s="333">
        <f t="shared" si="23"/>
        <v>0</v>
      </c>
      <c r="AN14" s="64">
        <v>79</v>
      </c>
      <c r="AO14" s="335">
        <f t="shared" si="24"/>
        <v>2370</v>
      </c>
      <c r="AP14" s="64">
        <v>67</v>
      </c>
      <c r="AQ14" s="335">
        <f t="shared" si="25"/>
        <v>2010.0000000000002</v>
      </c>
      <c r="AR14" s="64">
        <v>58</v>
      </c>
      <c r="AS14" s="335">
        <f t="shared" si="33"/>
        <v>1739.9999999999998</v>
      </c>
      <c r="AT14" s="335">
        <f t="shared" si="34"/>
        <v>6120</v>
      </c>
      <c r="AU14" s="335">
        <f t="shared" si="35"/>
        <v>90</v>
      </c>
      <c r="AV14" s="276"/>
      <c r="AW14" s="276"/>
      <c r="AX14" s="328">
        <f t="shared" si="26"/>
        <v>0.7</v>
      </c>
    </row>
    <row r="15" spans="1:50" ht="15" customHeight="1">
      <c r="A15" s="63">
        <f>ELEC!C13</f>
        <v>43932</v>
      </c>
      <c r="B15" s="64">
        <v>219</v>
      </c>
      <c r="C15" s="64">
        <v>225</v>
      </c>
      <c r="D15" s="45">
        <f t="shared" si="0"/>
        <v>3</v>
      </c>
      <c r="E15" s="45">
        <f t="shared" si="10"/>
        <v>25.14</v>
      </c>
      <c r="F15" s="64">
        <f t="shared" si="11"/>
        <v>1511</v>
      </c>
      <c r="G15" s="52">
        <f t="shared" si="1"/>
        <v>0</v>
      </c>
      <c r="H15" s="64">
        <f t="shared" si="11"/>
        <v>347085</v>
      </c>
      <c r="I15" s="416">
        <f t="shared" si="2"/>
        <v>0</v>
      </c>
      <c r="J15" s="66">
        <f t="shared" si="12"/>
        <v>0</v>
      </c>
      <c r="K15" s="64">
        <v>1893</v>
      </c>
      <c r="L15" s="52">
        <f t="shared" si="3"/>
        <v>1</v>
      </c>
      <c r="M15" s="64">
        <v>138552</v>
      </c>
      <c r="N15" s="416">
        <f t="shared" si="4"/>
        <v>85</v>
      </c>
      <c r="O15" s="67">
        <f t="shared" si="5"/>
        <v>82.769841269841265</v>
      </c>
      <c r="P15" s="64">
        <v>1743</v>
      </c>
      <c r="Q15" s="64">
        <v>148399</v>
      </c>
      <c r="R15" s="415">
        <f t="shared" si="36"/>
        <v>109</v>
      </c>
      <c r="S15" s="52">
        <f t="shared" si="13"/>
        <v>1</v>
      </c>
      <c r="T15" s="68">
        <f t="shared" si="28"/>
        <v>0</v>
      </c>
      <c r="U15" s="422">
        <f t="shared" si="14"/>
        <v>2</v>
      </c>
      <c r="V15" s="62">
        <f t="shared" si="15"/>
        <v>194</v>
      </c>
      <c r="W15" s="420">
        <f t="shared" si="16"/>
        <v>97</v>
      </c>
      <c r="X15" s="64">
        <f t="shared" si="17"/>
        <v>2408</v>
      </c>
      <c r="Y15" s="52">
        <f t="shared" si="18"/>
        <v>0</v>
      </c>
      <c r="Z15" s="64">
        <f t="shared" si="17"/>
        <v>135361</v>
      </c>
      <c r="AA15" s="65">
        <f t="shared" si="7"/>
        <v>0</v>
      </c>
      <c r="AB15" s="294">
        <f t="shared" si="29"/>
        <v>0</v>
      </c>
      <c r="AC15" s="64">
        <f t="shared" si="19"/>
        <v>1824</v>
      </c>
      <c r="AD15" s="45">
        <f t="shared" si="8"/>
        <v>0</v>
      </c>
      <c r="AE15" s="64">
        <f t="shared" si="19"/>
        <v>358857.5</v>
      </c>
      <c r="AF15" s="321">
        <f t="shared" si="20"/>
        <v>0</v>
      </c>
      <c r="AG15" s="213">
        <f t="shared" si="30"/>
        <v>0</v>
      </c>
      <c r="AH15" s="62">
        <f t="shared" si="31"/>
        <v>0</v>
      </c>
      <c r="AI15" s="333">
        <f t="shared" si="21"/>
        <v>194</v>
      </c>
      <c r="AJ15" s="333">
        <f>-tanks!AW16</f>
        <v>194</v>
      </c>
      <c r="AK15" s="333">
        <f t="shared" si="22"/>
        <v>0</v>
      </c>
      <c r="AL15" s="333">
        <f t="shared" si="9"/>
        <v>2</v>
      </c>
      <c r="AM15" s="333">
        <f t="shared" si="23"/>
        <v>0</v>
      </c>
      <c r="AN15" s="64">
        <v>79</v>
      </c>
      <c r="AO15" s="335">
        <f t="shared" si="24"/>
        <v>2370</v>
      </c>
      <c r="AP15" s="64">
        <v>66</v>
      </c>
      <c r="AQ15" s="335">
        <f t="shared" si="25"/>
        <v>1980</v>
      </c>
      <c r="AR15" s="64">
        <v>57</v>
      </c>
      <c r="AS15" s="335">
        <f t="shared" si="33"/>
        <v>1709.9999999999998</v>
      </c>
      <c r="AT15" s="335">
        <f t="shared" si="34"/>
        <v>6060</v>
      </c>
      <c r="AU15" s="335">
        <f t="shared" si="35"/>
        <v>60</v>
      </c>
      <c r="AV15" s="276"/>
      <c r="AW15" s="276"/>
      <c r="AX15" s="328">
        <f t="shared" si="26"/>
        <v>0.7</v>
      </c>
    </row>
    <row r="16" spans="1:50">
      <c r="A16" s="63">
        <f>ELEC!C14</f>
        <v>43933</v>
      </c>
      <c r="B16" s="64">
        <v>216</v>
      </c>
      <c r="C16" s="64">
        <v>223</v>
      </c>
      <c r="D16" s="45">
        <f t="shared" si="0"/>
        <v>2</v>
      </c>
      <c r="E16" s="45">
        <f t="shared" si="10"/>
        <v>16.760000000000002</v>
      </c>
      <c r="F16" s="64">
        <v>1512</v>
      </c>
      <c r="G16" s="52">
        <f t="shared" si="1"/>
        <v>1</v>
      </c>
      <c r="H16" s="64">
        <v>347211</v>
      </c>
      <c r="I16" s="416">
        <f t="shared" si="2"/>
        <v>126</v>
      </c>
      <c r="J16" s="66">
        <f t="shared" si="12"/>
        <v>126</v>
      </c>
      <c r="K16" s="64">
        <f t="shared" si="27"/>
        <v>1893</v>
      </c>
      <c r="L16" s="52">
        <f t="shared" si="3"/>
        <v>0</v>
      </c>
      <c r="M16" s="64">
        <f t="shared" si="27"/>
        <v>138552</v>
      </c>
      <c r="N16" s="416">
        <f t="shared" si="4"/>
        <v>0</v>
      </c>
      <c r="O16" s="67">
        <f t="shared" si="5"/>
        <v>0</v>
      </c>
      <c r="P16" s="64">
        <v>1745</v>
      </c>
      <c r="Q16" s="64">
        <v>148581</v>
      </c>
      <c r="R16" s="415">
        <f t="shared" si="36"/>
        <v>182</v>
      </c>
      <c r="S16" s="52">
        <f t="shared" si="13"/>
        <v>2</v>
      </c>
      <c r="T16" s="68">
        <f t="shared" si="28"/>
        <v>0</v>
      </c>
      <c r="U16" s="422">
        <f t="shared" si="14"/>
        <v>3</v>
      </c>
      <c r="V16" s="62">
        <f t="shared" si="15"/>
        <v>308</v>
      </c>
      <c r="W16" s="420">
        <f t="shared" si="16"/>
        <v>102.66666666666667</v>
      </c>
      <c r="X16" s="64">
        <f t="shared" si="17"/>
        <v>2408</v>
      </c>
      <c r="Y16" s="52">
        <f t="shared" si="18"/>
        <v>0</v>
      </c>
      <c r="Z16" s="64">
        <f t="shared" si="17"/>
        <v>135361</v>
      </c>
      <c r="AA16" s="65">
        <f t="shared" si="7"/>
        <v>0</v>
      </c>
      <c r="AB16" s="294">
        <f t="shared" si="29"/>
        <v>0</v>
      </c>
      <c r="AC16" s="64">
        <f t="shared" si="19"/>
        <v>1824</v>
      </c>
      <c r="AD16" s="45">
        <f t="shared" si="8"/>
        <v>0</v>
      </c>
      <c r="AE16" s="64">
        <f t="shared" si="19"/>
        <v>358857.5</v>
      </c>
      <c r="AF16" s="321">
        <f t="shared" si="20"/>
        <v>0</v>
      </c>
      <c r="AG16" s="213">
        <f t="shared" si="30"/>
        <v>0</v>
      </c>
      <c r="AH16" s="62">
        <f t="shared" si="31"/>
        <v>0</v>
      </c>
      <c r="AI16" s="333">
        <f t="shared" si="21"/>
        <v>308</v>
      </c>
      <c r="AJ16" s="333">
        <f>-tanks!AW17</f>
        <v>308</v>
      </c>
      <c r="AK16" s="333">
        <f t="shared" si="22"/>
        <v>0</v>
      </c>
      <c r="AL16" s="333">
        <f t="shared" si="9"/>
        <v>3</v>
      </c>
      <c r="AM16" s="333">
        <f t="shared" si="23"/>
        <v>0</v>
      </c>
      <c r="AN16" s="64">
        <v>78</v>
      </c>
      <c r="AO16" s="335">
        <f t="shared" si="24"/>
        <v>2340</v>
      </c>
      <c r="AP16" s="64">
        <v>65</v>
      </c>
      <c r="AQ16" s="335">
        <f t="shared" si="25"/>
        <v>1950</v>
      </c>
      <c r="AR16" s="64">
        <v>55</v>
      </c>
      <c r="AS16" s="335">
        <f t="shared" si="33"/>
        <v>1650.0000000000002</v>
      </c>
      <c r="AT16" s="335">
        <f t="shared" si="34"/>
        <v>5940</v>
      </c>
      <c r="AU16" s="335">
        <f t="shared" si="35"/>
        <v>120</v>
      </c>
      <c r="AV16" s="276"/>
      <c r="AW16" s="276"/>
      <c r="AX16" s="328">
        <f t="shared" si="26"/>
        <v>0.7</v>
      </c>
    </row>
    <row r="17" spans="1:50">
      <c r="A17" s="63">
        <f>ELEC!C15</f>
        <v>43934</v>
      </c>
      <c r="B17" s="64">
        <v>212</v>
      </c>
      <c r="C17" s="64">
        <v>219</v>
      </c>
      <c r="D17" s="45">
        <f t="shared" si="0"/>
        <v>4</v>
      </c>
      <c r="E17" s="45">
        <f t="shared" si="10"/>
        <v>33.520000000000003</v>
      </c>
      <c r="F17" s="64">
        <v>1515</v>
      </c>
      <c r="G17" s="52">
        <f t="shared" si="1"/>
        <v>3</v>
      </c>
      <c r="H17" s="64">
        <v>347403</v>
      </c>
      <c r="I17" s="416">
        <f t="shared" si="2"/>
        <v>192</v>
      </c>
      <c r="J17" s="66">
        <f t="shared" si="12"/>
        <v>64</v>
      </c>
      <c r="K17" s="64">
        <v>1896</v>
      </c>
      <c r="L17" s="52">
        <f t="shared" si="3"/>
        <v>3</v>
      </c>
      <c r="M17" s="64">
        <v>138771</v>
      </c>
      <c r="N17" s="416">
        <f t="shared" si="4"/>
        <v>219</v>
      </c>
      <c r="O17" s="67">
        <f t="shared" si="5"/>
        <v>248.3095238095238</v>
      </c>
      <c r="P17" s="64">
        <f t="shared" si="27"/>
        <v>1745</v>
      </c>
      <c r="Q17" s="64">
        <f t="shared" si="27"/>
        <v>148581</v>
      </c>
      <c r="R17" s="415">
        <f t="shared" si="36"/>
        <v>0</v>
      </c>
      <c r="S17" s="52">
        <f t="shared" si="13"/>
        <v>0</v>
      </c>
      <c r="T17" s="68">
        <f t="shared" si="28"/>
        <v>0</v>
      </c>
      <c r="U17" s="422">
        <f t="shared" si="14"/>
        <v>6</v>
      </c>
      <c r="V17" s="62">
        <f t="shared" si="15"/>
        <v>411</v>
      </c>
      <c r="W17" s="420"/>
      <c r="X17" s="64">
        <f t="shared" si="17"/>
        <v>2408</v>
      </c>
      <c r="Y17" s="52">
        <f t="shared" si="18"/>
        <v>0</v>
      </c>
      <c r="Z17" s="64">
        <f t="shared" si="17"/>
        <v>135361</v>
      </c>
      <c r="AA17" s="65">
        <f t="shared" si="7"/>
        <v>0</v>
      </c>
      <c r="AB17" s="294">
        <f t="shared" si="29"/>
        <v>0</v>
      </c>
      <c r="AC17" s="64">
        <f t="shared" si="19"/>
        <v>1824</v>
      </c>
      <c r="AD17" s="45">
        <f t="shared" si="8"/>
        <v>0</v>
      </c>
      <c r="AE17" s="64">
        <f t="shared" si="19"/>
        <v>358857.5</v>
      </c>
      <c r="AF17" s="321">
        <f t="shared" si="20"/>
        <v>0</v>
      </c>
      <c r="AG17" s="213">
        <f t="shared" si="30"/>
        <v>0</v>
      </c>
      <c r="AH17" s="62">
        <f t="shared" si="31"/>
        <v>0</v>
      </c>
      <c r="AI17" s="333">
        <f t="shared" si="21"/>
        <v>411</v>
      </c>
      <c r="AJ17" s="333">
        <f>-tanks!AW18</f>
        <v>411</v>
      </c>
      <c r="AK17" s="333">
        <f t="shared" si="22"/>
        <v>0</v>
      </c>
      <c r="AL17" s="333">
        <f t="shared" si="9"/>
        <v>6</v>
      </c>
      <c r="AM17" s="333">
        <f t="shared" si="23"/>
        <v>0</v>
      </c>
      <c r="AN17" s="64">
        <v>76</v>
      </c>
      <c r="AO17" s="335">
        <f t="shared" si="24"/>
        <v>2280</v>
      </c>
      <c r="AP17" s="64">
        <f t="shared" si="32"/>
        <v>65</v>
      </c>
      <c r="AQ17" s="335">
        <f t="shared" si="25"/>
        <v>1950</v>
      </c>
      <c r="AR17" s="64">
        <f t="shared" si="32"/>
        <v>55</v>
      </c>
      <c r="AS17" s="335">
        <f t="shared" si="33"/>
        <v>1650.0000000000002</v>
      </c>
      <c r="AT17" s="335">
        <f t="shared" si="34"/>
        <v>5880</v>
      </c>
      <c r="AU17" s="335">
        <f t="shared" si="35"/>
        <v>60</v>
      </c>
      <c r="AV17" s="276"/>
      <c r="AW17" s="276"/>
      <c r="AX17" s="328">
        <f t="shared" si="26"/>
        <v>0.7</v>
      </c>
    </row>
    <row r="18" spans="1:50">
      <c r="A18" s="63">
        <f>ELEC!C16</f>
        <v>43935</v>
      </c>
      <c r="B18" s="64">
        <v>210</v>
      </c>
      <c r="C18" s="64">
        <v>216.4</v>
      </c>
      <c r="D18" s="45">
        <f t="shared" si="0"/>
        <v>2.5999999999999943</v>
      </c>
      <c r="E18" s="45">
        <f t="shared" si="10"/>
        <v>21.787999999999954</v>
      </c>
      <c r="F18" s="64">
        <v>1517</v>
      </c>
      <c r="G18" s="52">
        <f t="shared" si="1"/>
        <v>2</v>
      </c>
      <c r="H18" s="64">
        <v>347551</v>
      </c>
      <c r="I18" s="416">
        <f t="shared" si="2"/>
        <v>148</v>
      </c>
      <c r="J18" s="66">
        <f t="shared" si="12"/>
        <v>74</v>
      </c>
      <c r="K18" s="64">
        <v>1897</v>
      </c>
      <c r="L18" s="52">
        <f t="shared" si="3"/>
        <v>1</v>
      </c>
      <c r="M18" s="64">
        <v>138858</v>
      </c>
      <c r="N18" s="416">
        <f t="shared" si="4"/>
        <v>87</v>
      </c>
      <c r="O18" s="67">
        <f t="shared" si="5"/>
        <v>82.769841269841265</v>
      </c>
      <c r="P18" s="64">
        <v>1745</v>
      </c>
      <c r="Q18" s="64">
        <v>148581</v>
      </c>
      <c r="R18" s="415">
        <f t="shared" si="36"/>
        <v>0</v>
      </c>
      <c r="S18" s="52">
        <f t="shared" si="13"/>
        <v>0</v>
      </c>
      <c r="T18" s="68">
        <f t="shared" si="28"/>
        <v>0</v>
      </c>
      <c r="U18" s="422">
        <f t="shared" si="14"/>
        <v>3</v>
      </c>
      <c r="V18" s="62">
        <f t="shared" si="15"/>
        <v>235</v>
      </c>
      <c r="W18" s="420"/>
      <c r="X18" s="64">
        <v>2408</v>
      </c>
      <c r="Y18" s="52">
        <f t="shared" si="18"/>
        <v>0</v>
      </c>
      <c r="Z18" s="64">
        <v>135361</v>
      </c>
      <c r="AA18" s="65">
        <f t="shared" si="7"/>
        <v>0</v>
      </c>
      <c r="AB18" s="294">
        <f t="shared" ref="AB18:AB23" si="37">SUM(Y18*$AB$2)</f>
        <v>0</v>
      </c>
      <c r="AC18" s="64">
        <v>1824</v>
      </c>
      <c r="AD18" s="45">
        <f t="shared" si="8"/>
        <v>0</v>
      </c>
      <c r="AE18" s="64">
        <v>358857.5</v>
      </c>
      <c r="AF18" s="321">
        <f t="shared" si="20"/>
        <v>0</v>
      </c>
      <c r="AG18" s="213">
        <f t="shared" si="30"/>
        <v>0</v>
      </c>
      <c r="AH18" s="62">
        <f t="shared" si="31"/>
        <v>0</v>
      </c>
      <c r="AI18" s="333">
        <f t="shared" si="21"/>
        <v>235</v>
      </c>
      <c r="AJ18" s="333">
        <f>-tanks!AW19</f>
        <v>235</v>
      </c>
      <c r="AK18" s="333">
        <f t="shared" si="22"/>
        <v>0</v>
      </c>
      <c r="AL18" s="333">
        <f t="shared" si="9"/>
        <v>3</v>
      </c>
      <c r="AM18" s="333">
        <f t="shared" si="23"/>
        <v>0</v>
      </c>
      <c r="AN18" s="64">
        <v>74</v>
      </c>
      <c r="AO18" s="335">
        <f t="shared" si="24"/>
        <v>2220</v>
      </c>
      <c r="AP18" s="64">
        <v>65</v>
      </c>
      <c r="AQ18" s="335">
        <f t="shared" si="25"/>
        <v>1950</v>
      </c>
      <c r="AR18" s="64">
        <v>55</v>
      </c>
      <c r="AS18" s="335">
        <f t="shared" si="33"/>
        <v>1650.0000000000002</v>
      </c>
      <c r="AT18" s="335">
        <f t="shared" si="34"/>
        <v>5820</v>
      </c>
      <c r="AU18" s="335">
        <f t="shared" si="35"/>
        <v>60</v>
      </c>
      <c r="AV18" s="276"/>
      <c r="AW18" s="276"/>
      <c r="AX18" s="328">
        <f t="shared" si="26"/>
        <v>0.7</v>
      </c>
    </row>
    <row r="19" spans="1:50">
      <c r="A19" s="63">
        <f>ELEC!C17</f>
        <v>43936</v>
      </c>
      <c r="B19" s="64">
        <v>243</v>
      </c>
      <c r="C19" s="64">
        <v>249</v>
      </c>
      <c r="D19" s="45">
        <f t="shared" si="0"/>
        <v>-32.599999999999994</v>
      </c>
      <c r="E19" s="45">
        <f t="shared" si="10"/>
        <v>-273.18799999999999</v>
      </c>
      <c r="F19" s="64">
        <v>1518</v>
      </c>
      <c r="G19" s="52">
        <f t="shared" si="1"/>
        <v>1</v>
      </c>
      <c r="H19" s="64">
        <v>347688</v>
      </c>
      <c r="I19" s="416">
        <f t="shared" si="2"/>
        <v>137</v>
      </c>
      <c r="J19" s="66">
        <f t="shared" si="12"/>
        <v>137</v>
      </c>
      <c r="K19" s="64">
        <v>1899</v>
      </c>
      <c r="L19" s="52">
        <f t="shared" si="3"/>
        <v>2</v>
      </c>
      <c r="M19" s="64">
        <v>139036</v>
      </c>
      <c r="N19" s="416">
        <f t="shared" si="4"/>
        <v>178</v>
      </c>
      <c r="O19" s="67">
        <f t="shared" si="5"/>
        <v>165.53968253968253</v>
      </c>
      <c r="P19" s="64">
        <v>1745</v>
      </c>
      <c r="Q19" s="64">
        <v>148581</v>
      </c>
      <c r="R19" s="415">
        <f t="shared" si="36"/>
        <v>0</v>
      </c>
      <c r="S19" s="52">
        <f t="shared" si="13"/>
        <v>0</v>
      </c>
      <c r="T19" s="68">
        <f t="shared" si="28"/>
        <v>0</v>
      </c>
      <c r="U19" s="422">
        <f t="shared" si="14"/>
        <v>3</v>
      </c>
      <c r="V19" s="62">
        <f t="shared" si="15"/>
        <v>315</v>
      </c>
      <c r="W19" s="420"/>
      <c r="X19" s="64">
        <v>2412</v>
      </c>
      <c r="Y19" s="52">
        <f t="shared" si="18"/>
        <v>4</v>
      </c>
      <c r="Z19" s="64">
        <v>135583</v>
      </c>
      <c r="AA19" s="65">
        <f t="shared" si="7"/>
        <v>222</v>
      </c>
      <c r="AB19" s="294">
        <f t="shared" si="37"/>
        <v>0</v>
      </c>
      <c r="AC19" s="64">
        <v>1824</v>
      </c>
      <c r="AD19" s="45">
        <f t="shared" si="8"/>
        <v>0</v>
      </c>
      <c r="AE19" s="64">
        <v>358857.5</v>
      </c>
      <c r="AF19" s="321">
        <f t="shared" si="20"/>
        <v>0</v>
      </c>
      <c r="AG19" s="213">
        <f t="shared" si="30"/>
        <v>0</v>
      </c>
      <c r="AH19" s="62">
        <f t="shared" si="31"/>
        <v>222</v>
      </c>
      <c r="AI19" s="333">
        <f t="shared" si="21"/>
        <v>537</v>
      </c>
      <c r="AJ19" s="333">
        <f>-tanks!AW20</f>
        <v>537</v>
      </c>
      <c r="AK19" s="333">
        <f t="shared" si="22"/>
        <v>0</v>
      </c>
      <c r="AL19" s="333">
        <f>S19+L20+G19</f>
        <v>3</v>
      </c>
      <c r="AM19" s="333">
        <f t="shared" si="23"/>
        <v>4</v>
      </c>
      <c r="AN19" s="64">
        <v>72</v>
      </c>
      <c r="AO19" s="335">
        <f t="shared" si="24"/>
        <v>2160</v>
      </c>
      <c r="AP19" s="64">
        <v>64</v>
      </c>
      <c r="AQ19" s="335">
        <f t="shared" si="25"/>
        <v>1920</v>
      </c>
      <c r="AR19" s="64">
        <v>55</v>
      </c>
      <c r="AS19" s="335">
        <f t="shared" si="33"/>
        <v>1650.0000000000002</v>
      </c>
      <c r="AT19" s="335">
        <f t="shared" si="34"/>
        <v>5730</v>
      </c>
      <c r="AU19" s="335">
        <f t="shared" si="35"/>
        <v>90</v>
      </c>
      <c r="AV19" s="276"/>
      <c r="AW19" s="276"/>
      <c r="AX19" s="328">
        <f t="shared" si="26"/>
        <v>0.7</v>
      </c>
    </row>
    <row r="20" spans="1:50">
      <c r="A20" s="63">
        <f>ELEC!C18</f>
        <v>43937</v>
      </c>
      <c r="B20" s="64">
        <v>241</v>
      </c>
      <c r="C20" s="64">
        <v>247</v>
      </c>
      <c r="D20" s="45">
        <f>C19-C20</f>
        <v>2</v>
      </c>
      <c r="E20" s="45">
        <f t="shared" si="10"/>
        <v>16.760000000000002</v>
      </c>
      <c r="F20" s="64">
        <v>1518</v>
      </c>
      <c r="G20" s="52">
        <f t="shared" si="1"/>
        <v>0</v>
      </c>
      <c r="H20" s="64">
        <f t="shared" si="11"/>
        <v>347688</v>
      </c>
      <c r="I20" s="416">
        <f t="shared" si="2"/>
        <v>0</v>
      </c>
      <c r="J20" s="66">
        <f t="shared" si="12"/>
        <v>0</v>
      </c>
      <c r="K20" s="64">
        <v>1901</v>
      </c>
      <c r="L20" s="52">
        <f t="shared" si="3"/>
        <v>2</v>
      </c>
      <c r="M20" s="64">
        <v>139183</v>
      </c>
      <c r="N20" s="416">
        <f t="shared" si="4"/>
        <v>147</v>
      </c>
      <c r="O20" s="67">
        <f t="shared" si="5"/>
        <v>165.53968253968253</v>
      </c>
      <c r="P20" s="64">
        <v>1748</v>
      </c>
      <c r="Q20" s="64">
        <v>148774</v>
      </c>
      <c r="R20" s="415">
        <f t="shared" si="36"/>
        <v>193</v>
      </c>
      <c r="S20" s="52">
        <f t="shared" si="13"/>
        <v>3</v>
      </c>
      <c r="T20" s="68">
        <f t="shared" si="28"/>
        <v>0</v>
      </c>
      <c r="U20" s="422">
        <f t="shared" si="14"/>
        <v>5</v>
      </c>
      <c r="V20" s="62">
        <f t="shared" si="15"/>
        <v>340</v>
      </c>
      <c r="W20" s="420"/>
      <c r="X20" s="64">
        <f t="shared" si="17"/>
        <v>2412</v>
      </c>
      <c r="Y20" s="52">
        <f t="shared" si="18"/>
        <v>0</v>
      </c>
      <c r="Z20" s="64">
        <f t="shared" si="17"/>
        <v>135583</v>
      </c>
      <c r="AA20" s="65">
        <f t="shared" si="7"/>
        <v>0</v>
      </c>
      <c r="AB20" s="294">
        <f t="shared" si="37"/>
        <v>0</v>
      </c>
      <c r="AC20" s="64">
        <f t="shared" si="19"/>
        <v>1824</v>
      </c>
      <c r="AD20" s="45">
        <f t="shared" si="8"/>
        <v>0</v>
      </c>
      <c r="AE20" s="64">
        <f t="shared" si="19"/>
        <v>358857.5</v>
      </c>
      <c r="AF20" s="321">
        <f t="shared" si="20"/>
        <v>0</v>
      </c>
      <c r="AG20" s="213">
        <f t="shared" si="30"/>
        <v>0</v>
      </c>
      <c r="AH20" s="62">
        <f t="shared" si="31"/>
        <v>0</v>
      </c>
      <c r="AI20" s="333">
        <f t="shared" si="21"/>
        <v>340</v>
      </c>
      <c r="AJ20" s="333">
        <f>-tanks!AW21</f>
        <v>340</v>
      </c>
      <c r="AK20" s="333">
        <f t="shared" si="22"/>
        <v>0</v>
      </c>
      <c r="AL20" s="333">
        <f>S20+L21+G20</f>
        <v>3</v>
      </c>
      <c r="AM20" s="333">
        <f t="shared" si="23"/>
        <v>0</v>
      </c>
      <c r="AN20" s="64">
        <v>81</v>
      </c>
      <c r="AO20" s="335">
        <f t="shared" si="24"/>
        <v>2430</v>
      </c>
      <c r="AP20" s="64">
        <v>65</v>
      </c>
      <c r="AQ20" s="335">
        <f t="shared" si="25"/>
        <v>1950</v>
      </c>
      <c r="AR20" s="64">
        <v>71</v>
      </c>
      <c r="AS20" s="335">
        <f t="shared" si="33"/>
        <v>2130</v>
      </c>
      <c r="AT20" s="335">
        <f t="shared" si="34"/>
        <v>6510</v>
      </c>
      <c r="AU20" s="335">
        <f t="shared" si="35"/>
        <v>220</v>
      </c>
      <c r="AV20" s="276">
        <v>1000</v>
      </c>
      <c r="AW20" s="276">
        <v>0.7</v>
      </c>
      <c r="AX20" s="328">
        <f t="shared" si="26"/>
        <v>0.7</v>
      </c>
    </row>
    <row r="21" spans="1:50">
      <c r="A21" s="63">
        <f>ELEC!C19</f>
        <v>43938</v>
      </c>
      <c r="B21" s="64">
        <v>238</v>
      </c>
      <c r="C21" s="64">
        <v>244</v>
      </c>
      <c r="D21" s="45">
        <f t="shared" ref="D21:D31" si="38">C20-C21</f>
        <v>3</v>
      </c>
      <c r="E21" s="45">
        <f t="shared" si="10"/>
        <v>25.14</v>
      </c>
      <c r="F21" s="64">
        <v>1520</v>
      </c>
      <c r="G21" s="52">
        <f t="shared" si="1"/>
        <v>2</v>
      </c>
      <c r="H21" s="64">
        <v>347826</v>
      </c>
      <c r="I21" s="416">
        <f t="shared" si="2"/>
        <v>138</v>
      </c>
      <c r="J21" s="66">
        <f t="shared" si="12"/>
        <v>69</v>
      </c>
      <c r="K21" s="64">
        <f t="shared" si="27"/>
        <v>1901</v>
      </c>
      <c r="L21" s="52">
        <f t="shared" si="3"/>
        <v>0</v>
      </c>
      <c r="M21" s="64">
        <f t="shared" si="27"/>
        <v>139183</v>
      </c>
      <c r="N21" s="416">
        <f t="shared" si="4"/>
        <v>0</v>
      </c>
      <c r="O21" s="67">
        <f t="shared" si="5"/>
        <v>0</v>
      </c>
      <c r="P21" s="64">
        <v>1749</v>
      </c>
      <c r="Q21" s="64">
        <v>148883</v>
      </c>
      <c r="R21" s="415">
        <f t="shared" si="36"/>
        <v>109</v>
      </c>
      <c r="S21" s="52">
        <f t="shared" si="13"/>
        <v>1</v>
      </c>
      <c r="T21" s="68">
        <f t="shared" si="28"/>
        <v>0</v>
      </c>
      <c r="U21" s="422">
        <f t="shared" si="14"/>
        <v>3</v>
      </c>
      <c r="V21" s="62">
        <f t="shared" si="15"/>
        <v>247</v>
      </c>
      <c r="W21" s="420"/>
      <c r="X21" s="64">
        <f t="shared" si="17"/>
        <v>2412</v>
      </c>
      <c r="Y21" s="52">
        <f t="shared" si="18"/>
        <v>0</v>
      </c>
      <c r="Z21" s="64">
        <f t="shared" si="17"/>
        <v>135583</v>
      </c>
      <c r="AA21" s="65">
        <f t="shared" si="7"/>
        <v>0</v>
      </c>
      <c r="AB21" s="294">
        <f t="shared" si="37"/>
        <v>0</v>
      </c>
      <c r="AC21" s="64">
        <f t="shared" si="19"/>
        <v>1824</v>
      </c>
      <c r="AD21" s="45">
        <f t="shared" si="8"/>
        <v>0</v>
      </c>
      <c r="AE21" s="64">
        <f t="shared" si="19"/>
        <v>358857.5</v>
      </c>
      <c r="AF21" s="321">
        <f t="shared" si="20"/>
        <v>0</v>
      </c>
      <c r="AG21" s="213">
        <f t="shared" si="30"/>
        <v>0</v>
      </c>
      <c r="AH21" s="62">
        <f t="shared" si="31"/>
        <v>0</v>
      </c>
      <c r="AI21" s="333">
        <f t="shared" si="21"/>
        <v>247</v>
      </c>
      <c r="AJ21" s="333">
        <f>-tanks!AW22</f>
        <v>247</v>
      </c>
      <c r="AK21" s="333">
        <f t="shared" si="22"/>
        <v>0</v>
      </c>
      <c r="AL21" s="333">
        <f t="shared" ref="AL21:AL34" si="39">S21+L21+G21</f>
        <v>3</v>
      </c>
      <c r="AM21" s="333">
        <f t="shared" si="23"/>
        <v>0</v>
      </c>
      <c r="AN21" s="64">
        <v>80</v>
      </c>
      <c r="AO21" s="335">
        <f t="shared" si="24"/>
        <v>2400</v>
      </c>
      <c r="AP21" s="64">
        <v>65</v>
      </c>
      <c r="AQ21" s="335">
        <f t="shared" si="25"/>
        <v>1950</v>
      </c>
      <c r="AR21" s="64">
        <v>70</v>
      </c>
      <c r="AS21" s="335">
        <f t="shared" si="33"/>
        <v>2100</v>
      </c>
      <c r="AT21" s="335">
        <f t="shared" si="34"/>
        <v>6450</v>
      </c>
      <c r="AU21" s="335">
        <f t="shared" si="35"/>
        <v>60</v>
      </c>
      <c r="AV21" s="276"/>
      <c r="AW21" s="276"/>
      <c r="AX21" s="328">
        <f t="shared" si="26"/>
        <v>0.7</v>
      </c>
    </row>
    <row r="22" spans="1:50" ht="16.5" customHeight="1">
      <c r="A22" s="63">
        <f>ELEC!C20</f>
        <v>43939</v>
      </c>
      <c r="B22" s="64">
        <v>235</v>
      </c>
      <c r="C22" s="64">
        <v>241</v>
      </c>
      <c r="D22" s="45">
        <f t="shared" si="38"/>
        <v>3</v>
      </c>
      <c r="E22" s="45">
        <f t="shared" si="10"/>
        <v>25.14</v>
      </c>
      <c r="F22" s="64">
        <v>1522</v>
      </c>
      <c r="G22" s="52">
        <f t="shared" si="1"/>
        <v>2</v>
      </c>
      <c r="H22" s="64">
        <v>347921</v>
      </c>
      <c r="I22" s="416">
        <f t="shared" si="2"/>
        <v>95</v>
      </c>
      <c r="J22" s="66">
        <f t="shared" si="12"/>
        <v>47.5</v>
      </c>
      <c r="K22" s="64">
        <v>1904</v>
      </c>
      <c r="L22" s="52">
        <f t="shared" si="3"/>
        <v>3</v>
      </c>
      <c r="M22" s="64">
        <v>139383</v>
      </c>
      <c r="N22" s="416">
        <f t="shared" si="4"/>
        <v>200</v>
      </c>
      <c r="O22" s="67">
        <f t="shared" si="5"/>
        <v>248.3095238095238</v>
      </c>
      <c r="P22" s="64">
        <v>1749</v>
      </c>
      <c r="Q22" s="64">
        <f t="shared" si="27"/>
        <v>148883</v>
      </c>
      <c r="R22" s="415">
        <f t="shared" si="36"/>
        <v>0</v>
      </c>
      <c r="S22" s="52">
        <f t="shared" si="13"/>
        <v>0</v>
      </c>
      <c r="T22" s="68">
        <f t="shared" si="28"/>
        <v>0</v>
      </c>
      <c r="U22" s="422">
        <f t="shared" si="14"/>
        <v>5</v>
      </c>
      <c r="V22" s="62">
        <f t="shared" si="15"/>
        <v>295</v>
      </c>
      <c r="W22" s="420"/>
      <c r="X22" s="64">
        <f t="shared" si="17"/>
        <v>2412</v>
      </c>
      <c r="Y22" s="52">
        <f t="shared" si="18"/>
        <v>0</v>
      </c>
      <c r="Z22" s="64">
        <f t="shared" si="17"/>
        <v>135583</v>
      </c>
      <c r="AA22" s="65">
        <f t="shared" si="7"/>
        <v>0</v>
      </c>
      <c r="AB22" s="294">
        <f t="shared" si="37"/>
        <v>0</v>
      </c>
      <c r="AC22" s="64">
        <f t="shared" si="19"/>
        <v>1824</v>
      </c>
      <c r="AD22" s="45">
        <f t="shared" si="8"/>
        <v>0</v>
      </c>
      <c r="AE22" s="64">
        <f t="shared" si="19"/>
        <v>358857.5</v>
      </c>
      <c r="AF22" s="321">
        <f t="shared" si="20"/>
        <v>0</v>
      </c>
      <c r="AG22" s="213">
        <f t="shared" si="30"/>
        <v>0</v>
      </c>
      <c r="AH22" s="62">
        <f t="shared" si="31"/>
        <v>0</v>
      </c>
      <c r="AI22" s="333">
        <f t="shared" si="21"/>
        <v>295</v>
      </c>
      <c r="AJ22" s="333">
        <f>-tanks!AW23</f>
        <v>295</v>
      </c>
      <c r="AK22" s="333">
        <f t="shared" si="22"/>
        <v>0</v>
      </c>
      <c r="AL22" s="333">
        <f t="shared" si="39"/>
        <v>5</v>
      </c>
      <c r="AM22" s="333">
        <f t="shared" si="23"/>
        <v>0</v>
      </c>
      <c r="AN22" s="64">
        <v>78</v>
      </c>
      <c r="AO22" s="335">
        <f t="shared" si="24"/>
        <v>2340</v>
      </c>
      <c r="AP22" s="64">
        <v>64</v>
      </c>
      <c r="AQ22" s="335">
        <f t="shared" si="25"/>
        <v>1920</v>
      </c>
      <c r="AR22" s="64">
        <v>69</v>
      </c>
      <c r="AS22" s="335">
        <f t="shared" si="33"/>
        <v>2070</v>
      </c>
      <c r="AT22" s="335">
        <f t="shared" si="34"/>
        <v>6330</v>
      </c>
      <c r="AU22" s="335">
        <f t="shared" si="35"/>
        <v>120</v>
      </c>
      <c r="AV22" s="276"/>
      <c r="AW22" s="276"/>
      <c r="AX22" s="328">
        <f t="shared" si="26"/>
        <v>0.7</v>
      </c>
    </row>
    <row r="23" spans="1:50">
      <c r="A23" s="63">
        <f>ELEC!C21</f>
        <v>43940</v>
      </c>
      <c r="B23" s="64">
        <v>233</v>
      </c>
      <c r="C23" s="64">
        <v>239</v>
      </c>
      <c r="D23" s="45">
        <f t="shared" si="38"/>
        <v>2</v>
      </c>
      <c r="E23" s="45">
        <f t="shared" si="10"/>
        <v>16.760000000000002</v>
      </c>
      <c r="F23" s="64">
        <v>1523</v>
      </c>
      <c r="G23" s="52">
        <f t="shared" si="1"/>
        <v>1</v>
      </c>
      <c r="H23" s="64">
        <v>348083</v>
      </c>
      <c r="I23" s="416">
        <f t="shared" si="2"/>
        <v>162</v>
      </c>
      <c r="J23" s="66">
        <f t="shared" si="12"/>
        <v>162</v>
      </c>
      <c r="K23" s="64">
        <v>1905</v>
      </c>
      <c r="L23" s="52">
        <f t="shared" si="3"/>
        <v>1</v>
      </c>
      <c r="M23" s="64">
        <v>139447</v>
      </c>
      <c r="N23" s="416">
        <f t="shared" si="4"/>
        <v>64</v>
      </c>
      <c r="O23" s="67">
        <f t="shared" si="5"/>
        <v>82.769841269841265</v>
      </c>
      <c r="P23" s="64">
        <v>1751</v>
      </c>
      <c r="Q23" s="64">
        <v>148980</v>
      </c>
      <c r="R23" s="415">
        <f t="shared" si="36"/>
        <v>97</v>
      </c>
      <c r="S23" s="52">
        <f t="shared" si="13"/>
        <v>2</v>
      </c>
      <c r="T23" s="68">
        <f t="shared" si="28"/>
        <v>0</v>
      </c>
      <c r="U23" s="422">
        <f t="shared" si="14"/>
        <v>4</v>
      </c>
      <c r="V23" s="62">
        <f t="shared" si="15"/>
        <v>323</v>
      </c>
      <c r="W23" s="420"/>
      <c r="X23" s="64">
        <f t="shared" si="17"/>
        <v>2412</v>
      </c>
      <c r="Y23" s="52">
        <f t="shared" si="18"/>
        <v>0</v>
      </c>
      <c r="Z23" s="64">
        <f t="shared" si="17"/>
        <v>135583</v>
      </c>
      <c r="AA23" s="65">
        <f t="shared" si="7"/>
        <v>0</v>
      </c>
      <c r="AB23" s="294">
        <f t="shared" si="37"/>
        <v>0</v>
      </c>
      <c r="AC23" s="64">
        <f t="shared" si="19"/>
        <v>1824</v>
      </c>
      <c r="AD23" s="45">
        <f t="shared" si="8"/>
        <v>0</v>
      </c>
      <c r="AE23" s="64">
        <f t="shared" si="19"/>
        <v>358857.5</v>
      </c>
      <c r="AF23" s="321">
        <f t="shared" si="20"/>
        <v>0</v>
      </c>
      <c r="AG23" s="213">
        <f t="shared" si="30"/>
        <v>0</v>
      </c>
      <c r="AH23" s="62">
        <f t="shared" si="31"/>
        <v>0</v>
      </c>
      <c r="AI23" s="333">
        <f t="shared" si="21"/>
        <v>323</v>
      </c>
      <c r="AJ23" s="333">
        <f>-tanks!AW24</f>
        <v>323</v>
      </c>
      <c r="AK23" s="333">
        <f t="shared" si="22"/>
        <v>0</v>
      </c>
      <c r="AL23" s="333">
        <f t="shared" si="39"/>
        <v>4</v>
      </c>
      <c r="AM23" s="333">
        <f t="shared" si="23"/>
        <v>0</v>
      </c>
      <c r="AN23" s="64">
        <v>77</v>
      </c>
      <c r="AO23" s="335">
        <f t="shared" si="24"/>
        <v>2310</v>
      </c>
      <c r="AP23" s="64">
        <v>63</v>
      </c>
      <c r="AQ23" s="335">
        <f t="shared" si="25"/>
        <v>1890</v>
      </c>
      <c r="AR23" s="64">
        <v>68</v>
      </c>
      <c r="AS23" s="335">
        <f t="shared" si="33"/>
        <v>2040.0000000000002</v>
      </c>
      <c r="AT23" s="335">
        <f t="shared" si="34"/>
        <v>6240</v>
      </c>
      <c r="AU23" s="335">
        <f t="shared" si="35"/>
        <v>90</v>
      </c>
      <c r="AV23" s="276"/>
      <c r="AW23" s="276"/>
      <c r="AX23" s="328">
        <f t="shared" si="26"/>
        <v>0.7</v>
      </c>
    </row>
    <row r="24" spans="1:50">
      <c r="A24" s="63">
        <f>ELEC!C22</f>
        <v>43941</v>
      </c>
      <c r="B24" s="64">
        <v>231</v>
      </c>
      <c r="C24" s="64">
        <v>238</v>
      </c>
      <c r="D24" s="45">
        <f t="shared" si="38"/>
        <v>1</v>
      </c>
      <c r="E24" s="45">
        <f t="shared" si="10"/>
        <v>8.3800000000000008</v>
      </c>
      <c r="F24" s="64">
        <v>1526</v>
      </c>
      <c r="G24" s="52">
        <f t="shared" si="1"/>
        <v>3</v>
      </c>
      <c r="H24" s="64">
        <v>348336</v>
      </c>
      <c r="I24" s="416">
        <f t="shared" si="2"/>
        <v>253</v>
      </c>
      <c r="J24" s="66">
        <f t="shared" si="12"/>
        <v>84.333333333333329</v>
      </c>
      <c r="K24" s="64">
        <v>1905</v>
      </c>
      <c r="L24" s="52">
        <f t="shared" si="3"/>
        <v>0</v>
      </c>
      <c r="M24" s="64">
        <f t="shared" si="27"/>
        <v>139447</v>
      </c>
      <c r="N24" s="416">
        <f t="shared" si="4"/>
        <v>0</v>
      </c>
      <c r="O24" s="67">
        <f t="shared" si="5"/>
        <v>0</v>
      </c>
      <c r="P24" s="64">
        <v>1752</v>
      </c>
      <c r="Q24" s="64">
        <v>149093</v>
      </c>
      <c r="R24" s="415">
        <f t="shared" si="36"/>
        <v>113</v>
      </c>
      <c r="S24" s="52">
        <f t="shared" ref="S24:S33" si="40">SUM(P24-P23)</f>
        <v>1</v>
      </c>
      <c r="T24" s="68">
        <f t="shared" si="28"/>
        <v>0</v>
      </c>
      <c r="U24" s="422">
        <f t="shared" si="14"/>
        <v>4</v>
      </c>
      <c r="V24" s="62">
        <f t="shared" si="15"/>
        <v>366</v>
      </c>
      <c r="W24" s="420"/>
      <c r="X24" s="64">
        <v>2412</v>
      </c>
      <c r="Y24" s="52">
        <f t="shared" si="18"/>
        <v>0</v>
      </c>
      <c r="Z24" s="64">
        <f t="shared" si="17"/>
        <v>135583</v>
      </c>
      <c r="AA24" s="65">
        <f t="shared" si="7"/>
        <v>0</v>
      </c>
      <c r="AB24" s="294">
        <f t="shared" ref="AB24:AB34" si="41">SUM(Y24*$AB$2)</f>
        <v>0</v>
      </c>
      <c r="AC24" s="64">
        <f t="shared" si="19"/>
        <v>1824</v>
      </c>
      <c r="AD24" s="45">
        <f t="shared" si="8"/>
        <v>0</v>
      </c>
      <c r="AE24" s="64">
        <f t="shared" si="19"/>
        <v>358857.5</v>
      </c>
      <c r="AF24" s="321">
        <f t="shared" si="20"/>
        <v>0</v>
      </c>
      <c r="AG24" s="213">
        <f t="shared" si="30"/>
        <v>0</v>
      </c>
      <c r="AH24" s="62">
        <f t="shared" si="31"/>
        <v>0</v>
      </c>
      <c r="AI24" s="333">
        <f t="shared" si="21"/>
        <v>366</v>
      </c>
      <c r="AJ24" s="333">
        <f>-tanks!AW25</f>
        <v>366</v>
      </c>
      <c r="AK24" s="333">
        <f t="shared" si="22"/>
        <v>0</v>
      </c>
      <c r="AL24" s="333">
        <f t="shared" si="39"/>
        <v>4</v>
      </c>
      <c r="AM24" s="333">
        <f t="shared" si="23"/>
        <v>0</v>
      </c>
      <c r="AN24" s="64">
        <v>75</v>
      </c>
      <c r="AO24" s="335">
        <f t="shared" si="24"/>
        <v>2250</v>
      </c>
      <c r="AP24" s="64">
        <f t="shared" si="32"/>
        <v>63</v>
      </c>
      <c r="AQ24" s="335">
        <f t="shared" si="25"/>
        <v>1890</v>
      </c>
      <c r="AR24" s="64">
        <f t="shared" si="32"/>
        <v>68</v>
      </c>
      <c r="AS24" s="335">
        <f t="shared" si="33"/>
        <v>2040.0000000000002</v>
      </c>
      <c r="AT24" s="335">
        <f t="shared" ref="AT24:AT34" si="42">SUM(AO24+AQ24+AS24)</f>
        <v>6180</v>
      </c>
      <c r="AU24" s="335">
        <f t="shared" si="35"/>
        <v>60</v>
      </c>
      <c r="AV24" s="276"/>
      <c r="AW24" s="276"/>
      <c r="AX24" s="328">
        <f t="shared" si="26"/>
        <v>0.7</v>
      </c>
    </row>
    <row r="25" spans="1:50" ht="13.5" customHeight="1">
      <c r="A25" s="63">
        <f>ELEC!C23</f>
        <v>43942</v>
      </c>
      <c r="B25" s="64">
        <v>229</v>
      </c>
      <c r="C25" s="64">
        <v>235</v>
      </c>
      <c r="D25" s="45">
        <f t="shared" si="38"/>
        <v>3</v>
      </c>
      <c r="E25" s="45">
        <f t="shared" si="10"/>
        <v>25.14</v>
      </c>
      <c r="F25" s="64">
        <v>1527</v>
      </c>
      <c r="G25" s="52">
        <f t="shared" si="1"/>
        <v>1</v>
      </c>
      <c r="H25" s="64">
        <v>348382</v>
      </c>
      <c r="I25" s="416">
        <f t="shared" si="2"/>
        <v>46</v>
      </c>
      <c r="J25" s="66">
        <f t="shared" si="12"/>
        <v>46</v>
      </c>
      <c r="K25" s="64">
        <v>1907</v>
      </c>
      <c r="L25" s="52">
        <f t="shared" si="3"/>
        <v>2</v>
      </c>
      <c r="M25" s="64">
        <v>139626</v>
      </c>
      <c r="N25" s="416">
        <f t="shared" si="4"/>
        <v>179</v>
      </c>
      <c r="O25" s="67">
        <f t="shared" si="5"/>
        <v>165.53968253968253</v>
      </c>
      <c r="P25" s="64">
        <f t="shared" si="27"/>
        <v>1752</v>
      </c>
      <c r="Q25" s="64">
        <v>149093</v>
      </c>
      <c r="R25" s="415">
        <f t="shared" si="36"/>
        <v>0</v>
      </c>
      <c r="S25" s="52">
        <f t="shared" si="40"/>
        <v>0</v>
      </c>
      <c r="T25" s="68">
        <f t="shared" si="28"/>
        <v>0</v>
      </c>
      <c r="U25" s="422">
        <f t="shared" si="14"/>
        <v>3</v>
      </c>
      <c r="V25" s="62">
        <f t="shared" si="15"/>
        <v>225</v>
      </c>
      <c r="W25" s="420"/>
      <c r="X25" s="64">
        <v>2412</v>
      </c>
      <c r="Y25" s="52">
        <f t="shared" si="18"/>
        <v>0</v>
      </c>
      <c r="Z25" s="64">
        <v>135583</v>
      </c>
      <c r="AA25" s="65">
        <f t="shared" si="7"/>
        <v>0</v>
      </c>
      <c r="AB25" s="294">
        <f t="shared" si="41"/>
        <v>0</v>
      </c>
      <c r="AC25" s="64">
        <v>1824</v>
      </c>
      <c r="AD25" s="45">
        <f t="shared" si="8"/>
        <v>0</v>
      </c>
      <c r="AE25" s="64">
        <f>AE24</f>
        <v>358857.5</v>
      </c>
      <c r="AF25" s="321">
        <f t="shared" si="20"/>
        <v>0</v>
      </c>
      <c r="AG25" s="213">
        <f t="shared" si="30"/>
        <v>0</v>
      </c>
      <c r="AH25" s="62">
        <f t="shared" si="31"/>
        <v>0</v>
      </c>
      <c r="AI25" s="333">
        <f t="shared" si="21"/>
        <v>225</v>
      </c>
      <c r="AJ25" s="333">
        <f>-tanks!AW26</f>
        <v>225</v>
      </c>
      <c r="AK25" s="333">
        <f t="shared" si="22"/>
        <v>0</v>
      </c>
      <c r="AL25" s="333">
        <f t="shared" si="39"/>
        <v>3</v>
      </c>
      <c r="AM25" s="333">
        <f t="shared" si="23"/>
        <v>0</v>
      </c>
      <c r="AN25" s="64">
        <v>74</v>
      </c>
      <c r="AO25" s="335">
        <f t="shared" si="24"/>
        <v>2220</v>
      </c>
      <c r="AP25" s="64">
        <v>63</v>
      </c>
      <c r="AQ25" s="335">
        <f t="shared" ref="AQ25:AQ34" si="43">(AP25/100)*3000</f>
        <v>1890</v>
      </c>
      <c r="AR25" s="64">
        <v>68</v>
      </c>
      <c r="AS25" s="335">
        <f t="shared" si="33"/>
        <v>2040.0000000000002</v>
      </c>
      <c r="AT25" s="335">
        <f t="shared" si="42"/>
        <v>6150</v>
      </c>
      <c r="AU25" s="335">
        <f t="shared" si="35"/>
        <v>30</v>
      </c>
      <c r="AV25" s="276"/>
      <c r="AW25" s="276"/>
      <c r="AX25" s="328">
        <f t="shared" si="26"/>
        <v>0.7</v>
      </c>
    </row>
    <row r="26" spans="1:50" ht="14.25" customHeight="1">
      <c r="A26" s="63">
        <f>ELEC!C24</f>
        <v>43943</v>
      </c>
      <c r="B26" s="64">
        <v>226</v>
      </c>
      <c r="C26" s="64">
        <v>232</v>
      </c>
      <c r="D26" s="45">
        <f t="shared" si="38"/>
        <v>3</v>
      </c>
      <c r="E26" s="45">
        <f t="shared" si="10"/>
        <v>25.14</v>
      </c>
      <c r="F26" s="64">
        <v>1527</v>
      </c>
      <c r="G26" s="52">
        <f t="shared" si="1"/>
        <v>0</v>
      </c>
      <c r="H26" s="64">
        <v>348382</v>
      </c>
      <c r="I26" s="416">
        <f t="shared" si="2"/>
        <v>0</v>
      </c>
      <c r="J26" s="66">
        <f t="shared" si="12"/>
        <v>0</v>
      </c>
      <c r="K26" s="64">
        <v>1909</v>
      </c>
      <c r="L26" s="52">
        <f t="shared" si="3"/>
        <v>2</v>
      </c>
      <c r="M26" s="64">
        <v>139745</v>
      </c>
      <c r="N26" s="416">
        <f t="shared" si="4"/>
        <v>119</v>
      </c>
      <c r="O26" s="67">
        <f t="shared" si="5"/>
        <v>165.53968253968253</v>
      </c>
      <c r="P26" s="64">
        <v>1755</v>
      </c>
      <c r="Q26" s="64">
        <v>149319</v>
      </c>
      <c r="R26" s="415">
        <f t="shared" si="36"/>
        <v>226</v>
      </c>
      <c r="S26" s="52">
        <f t="shared" si="40"/>
        <v>3</v>
      </c>
      <c r="T26" s="68">
        <f t="shared" si="28"/>
        <v>0</v>
      </c>
      <c r="U26" s="422">
        <f t="shared" si="14"/>
        <v>5</v>
      </c>
      <c r="V26" s="62">
        <f t="shared" si="15"/>
        <v>345</v>
      </c>
      <c r="W26" s="420"/>
      <c r="X26" s="64">
        <v>2412</v>
      </c>
      <c r="Y26" s="52">
        <f t="shared" si="18"/>
        <v>0</v>
      </c>
      <c r="Z26" s="64">
        <v>135583</v>
      </c>
      <c r="AA26" s="65">
        <f t="shared" si="7"/>
        <v>0</v>
      </c>
      <c r="AB26" s="294">
        <f t="shared" si="41"/>
        <v>0</v>
      </c>
      <c r="AC26" s="64">
        <v>1824</v>
      </c>
      <c r="AD26" s="45">
        <f t="shared" si="8"/>
        <v>0</v>
      </c>
      <c r="AE26" s="64">
        <v>358857.5</v>
      </c>
      <c r="AF26" s="321">
        <f t="shared" si="20"/>
        <v>0</v>
      </c>
      <c r="AG26" s="213">
        <f t="shared" si="30"/>
        <v>0</v>
      </c>
      <c r="AH26" s="62">
        <f t="shared" si="31"/>
        <v>0</v>
      </c>
      <c r="AI26" s="333">
        <f t="shared" si="21"/>
        <v>345</v>
      </c>
      <c r="AJ26" s="333">
        <f>-tanks!AW27</f>
        <v>345</v>
      </c>
      <c r="AK26" s="333">
        <f t="shared" si="22"/>
        <v>0</v>
      </c>
      <c r="AL26" s="333">
        <f t="shared" si="39"/>
        <v>5</v>
      </c>
      <c r="AM26" s="333">
        <f t="shared" si="23"/>
        <v>0</v>
      </c>
      <c r="AN26" s="64">
        <v>71</v>
      </c>
      <c r="AO26" s="335">
        <f t="shared" si="24"/>
        <v>2130</v>
      </c>
      <c r="AP26" s="64">
        <v>62</v>
      </c>
      <c r="AQ26" s="335">
        <f t="shared" si="43"/>
        <v>1860</v>
      </c>
      <c r="AR26" s="64">
        <v>67</v>
      </c>
      <c r="AS26" s="335">
        <f t="shared" si="33"/>
        <v>2010.0000000000002</v>
      </c>
      <c r="AT26" s="335">
        <f t="shared" si="42"/>
        <v>6000</v>
      </c>
      <c r="AU26" s="335">
        <f t="shared" si="35"/>
        <v>150</v>
      </c>
      <c r="AV26" s="276"/>
      <c r="AW26" s="276"/>
      <c r="AX26" s="328">
        <f t="shared" si="26"/>
        <v>0.7</v>
      </c>
    </row>
    <row r="27" spans="1:50">
      <c r="A27" s="63">
        <f>ELEC!C25</f>
        <v>43944</v>
      </c>
      <c r="B27" s="64">
        <v>221</v>
      </c>
      <c r="C27" s="64">
        <v>227</v>
      </c>
      <c r="D27" s="45">
        <f t="shared" si="38"/>
        <v>5</v>
      </c>
      <c r="E27" s="45">
        <f t="shared" si="10"/>
        <v>41.900000000000006</v>
      </c>
      <c r="F27" s="64">
        <v>1529</v>
      </c>
      <c r="G27" s="52">
        <f t="shared" si="1"/>
        <v>2</v>
      </c>
      <c r="H27" s="64">
        <v>348527</v>
      </c>
      <c r="I27" s="416">
        <f t="shared" si="2"/>
        <v>145</v>
      </c>
      <c r="J27" s="66">
        <f t="shared" si="12"/>
        <v>72.5</v>
      </c>
      <c r="K27" s="64">
        <f t="shared" si="27"/>
        <v>1909</v>
      </c>
      <c r="L27" s="52">
        <f t="shared" si="3"/>
        <v>0</v>
      </c>
      <c r="M27" s="64">
        <f t="shared" si="27"/>
        <v>139745</v>
      </c>
      <c r="N27" s="416">
        <f t="shared" si="4"/>
        <v>0</v>
      </c>
      <c r="O27" s="67">
        <f t="shared" si="5"/>
        <v>0</v>
      </c>
      <c r="P27" s="64">
        <v>1756</v>
      </c>
      <c r="Q27" s="64">
        <v>149373</v>
      </c>
      <c r="R27" s="415">
        <f t="shared" si="36"/>
        <v>54</v>
      </c>
      <c r="S27" s="52">
        <f t="shared" si="40"/>
        <v>1</v>
      </c>
      <c r="T27" s="68">
        <f t="shared" si="28"/>
        <v>0</v>
      </c>
      <c r="U27" s="422">
        <f t="shared" si="14"/>
        <v>3</v>
      </c>
      <c r="V27" s="62">
        <f t="shared" si="15"/>
        <v>199</v>
      </c>
      <c r="W27" s="420"/>
      <c r="X27" s="64">
        <v>2417</v>
      </c>
      <c r="Y27" s="52">
        <f t="shared" si="18"/>
        <v>5</v>
      </c>
      <c r="Z27" s="64">
        <v>135840</v>
      </c>
      <c r="AA27" s="65">
        <f t="shared" si="7"/>
        <v>257</v>
      </c>
      <c r="AB27" s="294">
        <f t="shared" si="41"/>
        <v>0</v>
      </c>
      <c r="AC27" s="64">
        <f t="shared" si="19"/>
        <v>1824</v>
      </c>
      <c r="AD27" s="45">
        <f t="shared" si="8"/>
        <v>0</v>
      </c>
      <c r="AE27" s="64">
        <f t="shared" si="19"/>
        <v>358857.5</v>
      </c>
      <c r="AF27" s="321">
        <f t="shared" si="20"/>
        <v>0</v>
      </c>
      <c r="AG27" s="213">
        <f t="shared" si="30"/>
        <v>0</v>
      </c>
      <c r="AH27" s="62">
        <f t="shared" si="31"/>
        <v>257</v>
      </c>
      <c r="AI27" s="333">
        <f t="shared" si="21"/>
        <v>456</v>
      </c>
      <c r="AJ27" s="333">
        <f>-tanks!AW28</f>
        <v>456</v>
      </c>
      <c r="AK27" s="333">
        <f t="shared" si="22"/>
        <v>0</v>
      </c>
      <c r="AL27" s="333">
        <f t="shared" si="39"/>
        <v>3</v>
      </c>
      <c r="AM27" s="333">
        <f t="shared" si="23"/>
        <v>5</v>
      </c>
      <c r="AN27" s="64">
        <v>68</v>
      </c>
      <c r="AO27" s="335">
        <f>(AN27/100)*3000</f>
        <v>2040.0000000000002</v>
      </c>
      <c r="AP27" s="64">
        <v>61</v>
      </c>
      <c r="AQ27" s="335">
        <f t="shared" si="43"/>
        <v>1830</v>
      </c>
      <c r="AR27" s="64">
        <v>65</v>
      </c>
      <c r="AS27" s="335">
        <f t="shared" si="33"/>
        <v>1950</v>
      </c>
      <c r="AT27" s="335">
        <f t="shared" si="42"/>
        <v>5820</v>
      </c>
      <c r="AU27" s="335">
        <f t="shared" si="35"/>
        <v>180</v>
      </c>
      <c r="AV27" s="276"/>
      <c r="AW27" s="529"/>
      <c r="AX27" s="328">
        <f t="shared" si="26"/>
        <v>0.7</v>
      </c>
    </row>
    <row r="28" spans="1:50">
      <c r="A28" s="63">
        <f>ELEC!C26</f>
        <v>43945</v>
      </c>
      <c r="B28" s="64">
        <v>219</v>
      </c>
      <c r="C28" s="64">
        <v>225</v>
      </c>
      <c r="D28" s="45">
        <f t="shared" si="38"/>
        <v>2</v>
      </c>
      <c r="E28" s="45">
        <f t="shared" si="10"/>
        <v>16.760000000000002</v>
      </c>
      <c r="F28" s="64">
        <v>1530</v>
      </c>
      <c r="G28" s="52">
        <f t="shared" si="1"/>
        <v>1</v>
      </c>
      <c r="H28" s="64">
        <v>348646</v>
      </c>
      <c r="I28" s="416">
        <f t="shared" si="2"/>
        <v>119</v>
      </c>
      <c r="J28" s="66">
        <f t="shared" si="12"/>
        <v>119</v>
      </c>
      <c r="K28" s="64">
        <v>1911</v>
      </c>
      <c r="L28" s="52">
        <f t="shared" si="3"/>
        <v>2</v>
      </c>
      <c r="M28" s="64">
        <v>139945</v>
      </c>
      <c r="N28" s="416">
        <f t="shared" si="4"/>
        <v>200</v>
      </c>
      <c r="O28" s="67">
        <f t="shared" si="5"/>
        <v>165.53968253968253</v>
      </c>
      <c r="P28" s="64">
        <f t="shared" si="27"/>
        <v>1756</v>
      </c>
      <c r="Q28" s="64">
        <f t="shared" si="27"/>
        <v>149373</v>
      </c>
      <c r="R28" s="415">
        <f t="shared" si="36"/>
        <v>0</v>
      </c>
      <c r="S28" s="52">
        <f t="shared" si="40"/>
        <v>0</v>
      </c>
      <c r="T28" s="68">
        <f t="shared" si="28"/>
        <v>0</v>
      </c>
      <c r="U28" s="422">
        <f t="shared" si="14"/>
        <v>3</v>
      </c>
      <c r="V28" s="62">
        <f t="shared" si="15"/>
        <v>319</v>
      </c>
      <c r="W28" s="420"/>
      <c r="X28" s="64">
        <f t="shared" si="17"/>
        <v>2417</v>
      </c>
      <c r="Y28" s="52">
        <f t="shared" si="18"/>
        <v>0</v>
      </c>
      <c r="Z28" s="64">
        <f t="shared" si="17"/>
        <v>135840</v>
      </c>
      <c r="AA28" s="65">
        <f t="shared" si="7"/>
        <v>0</v>
      </c>
      <c r="AB28" s="294">
        <f t="shared" si="41"/>
        <v>0</v>
      </c>
      <c r="AC28" s="64">
        <f t="shared" si="19"/>
        <v>1824</v>
      </c>
      <c r="AD28" s="45">
        <f t="shared" si="8"/>
        <v>0</v>
      </c>
      <c r="AE28" s="64">
        <f t="shared" si="19"/>
        <v>358857.5</v>
      </c>
      <c r="AF28" s="321">
        <f t="shared" si="20"/>
        <v>0</v>
      </c>
      <c r="AG28" s="213">
        <f t="shared" si="30"/>
        <v>0</v>
      </c>
      <c r="AH28" s="62">
        <f t="shared" si="31"/>
        <v>0</v>
      </c>
      <c r="AI28" s="333">
        <f t="shared" si="21"/>
        <v>319</v>
      </c>
      <c r="AJ28" s="333">
        <f>-tanks!AW29</f>
        <v>319</v>
      </c>
      <c r="AK28" s="333">
        <f t="shared" si="22"/>
        <v>0</v>
      </c>
      <c r="AL28" s="333">
        <f t="shared" si="39"/>
        <v>3</v>
      </c>
      <c r="AM28" s="333">
        <f t="shared" si="23"/>
        <v>0</v>
      </c>
      <c r="AN28" s="64">
        <v>66</v>
      </c>
      <c r="AO28" s="335">
        <f t="shared" ref="AO28:AO34" si="44">(AN28/100)*3000</f>
        <v>1980</v>
      </c>
      <c r="AP28" s="64">
        <v>60</v>
      </c>
      <c r="AQ28" s="335">
        <f t="shared" si="43"/>
        <v>1800</v>
      </c>
      <c r="AR28" s="64">
        <f t="shared" si="32"/>
        <v>65</v>
      </c>
      <c r="AS28" s="335">
        <f t="shared" si="33"/>
        <v>1950</v>
      </c>
      <c r="AT28" s="335">
        <f t="shared" si="42"/>
        <v>5730</v>
      </c>
      <c r="AU28" s="335">
        <f t="shared" si="35"/>
        <v>90</v>
      </c>
      <c r="AV28" s="276"/>
      <c r="AW28" s="276"/>
      <c r="AX28" s="328">
        <f t="shared" si="26"/>
        <v>0.7</v>
      </c>
    </row>
    <row r="29" spans="1:50">
      <c r="A29" s="63">
        <f>ELEC!C27</f>
        <v>43946</v>
      </c>
      <c r="B29" s="64">
        <v>216</v>
      </c>
      <c r="C29" s="64">
        <v>220.5</v>
      </c>
      <c r="D29" s="45">
        <f t="shared" si="38"/>
        <v>4.5</v>
      </c>
      <c r="E29" s="45">
        <f t="shared" si="10"/>
        <v>37.71</v>
      </c>
      <c r="F29" s="64">
        <f t="shared" si="11"/>
        <v>1530</v>
      </c>
      <c r="G29" s="52">
        <f t="shared" si="1"/>
        <v>0</v>
      </c>
      <c r="H29" s="64">
        <f t="shared" si="11"/>
        <v>348646</v>
      </c>
      <c r="I29" s="416">
        <f t="shared" si="2"/>
        <v>0</v>
      </c>
      <c r="J29" s="66">
        <f t="shared" si="12"/>
        <v>0</v>
      </c>
      <c r="K29" s="64">
        <v>1913</v>
      </c>
      <c r="L29" s="52">
        <f t="shared" si="3"/>
        <v>2</v>
      </c>
      <c r="M29" s="64">
        <v>140091</v>
      </c>
      <c r="N29" s="416">
        <f t="shared" si="4"/>
        <v>146</v>
      </c>
      <c r="O29" s="67">
        <f t="shared" si="5"/>
        <v>165.53968253968253</v>
      </c>
      <c r="P29" s="64">
        <v>1758</v>
      </c>
      <c r="Q29" s="64">
        <v>149564</v>
      </c>
      <c r="R29" s="415">
        <f t="shared" si="36"/>
        <v>191</v>
      </c>
      <c r="S29" s="52">
        <f t="shared" si="40"/>
        <v>2</v>
      </c>
      <c r="T29" s="68">
        <f t="shared" si="28"/>
        <v>0</v>
      </c>
      <c r="U29" s="422">
        <f t="shared" si="14"/>
        <v>4</v>
      </c>
      <c r="V29" s="62">
        <f t="shared" si="15"/>
        <v>337</v>
      </c>
      <c r="W29" s="420"/>
      <c r="X29" s="64">
        <f t="shared" si="17"/>
        <v>2417</v>
      </c>
      <c r="Y29" s="52">
        <f t="shared" si="18"/>
        <v>0</v>
      </c>
      <c r="Z29" s="64">
        <f t="shared" si="17"/>
        <v>135840</v>
      </c>
      <c r="AA29" s="65">
        <f t="shared" si="7"/>
        <v>0</v>
      </c>
      <c r="AB29" s="294">
        <f t="shared" si="41"/>
        <v>0</v>
      </c>
      <c r="AC29" s="64">
        <f t="shared" si="19"/>
        <v>1824</v>
      </c>
      <c r="AD29" s="45">
        <f t="shared" si="8"/>
        <v>0</v>
      </c>
      <c r="AE29" s="64">
        <f t="shared" si="19"/>
        <v>358857.5</v>
      </c>
      <c r="AF29" s="321">
        <f t="shared" si="20"/>
        <v>0</v>
      </c>
      <c r="AG29" s="213">
        <f t="shared" si="30"/>
        <v>0</v>
      </c>
      <c r="AH29" s="62">
        <f t="shared" si="31"/>
        <v>0</v>
      </c>
      <c r="AI29" s="333">
        <f t="shared" si="21"/>
        <v>337</v>
      </c>
      <c r="AJ29" s="333">
        <f>-tanks!AW30</f>
        <v>337</v>
      </c>
      <c r="AK29" s="333">
        <f t="shared" si="22"/>
        <v>0</v>
      </c>
      <c r="AL29" s="333">
        <f t="shared" si="39"/>
        <v>4</v>
      </c>
      <c r="AM29" s="333">
        <f t="shared" si="23"/>
        <v>0</v>
      </c>
      <c r="AN29" s="64">
        <v>65</v>
      </c>
      <c r="AO29" s="335">
        <f t="shared" si="44"/>
        <v>1950</v>
      </c>
      <c r="AP29" s="64">
        <f t="shared" si="32"/>
        <v>60</v>
      </c>
      <c r="AQ29" s="335">
        <f t="shared" si="43"/>
        <v>1800</v>
      </c>
      <c r="AR29" s="64">
        <f t="shared" si="32"/>
        <v>65</v>
      </c>
      <c r="AS29" s="335">
        <f t="shared" si="33"/>
        <v>1950</v>
      </c>
      <c r="AT29" s="335">
        <f>SUM(AO29+AQ29+AS29)</f>
        <v>5700</v>
      </c>
      <c r="AU29" s="335">
        <f>AT28-AT29+AV29</f>
        <v>30</v>
      </c>
      <c r="AV29" s="276"/>
      <c r="AW29" s="276"/>
      <c r="AX29" s="328">
        <f t="shared" si="26"/>
        <v>0.7</v>
      </c>
    </row>
    <row r="30" spans="1:50">
      <c r="A30" s="63">
        <f>ELEC!C28</f>
        <v>43947</v>
      </c>
      <c r="B30" s="64">
        <v>213</v>
      </c>
      <c r="C30" s="64">
        <v>219</v>
      </c>
      <c r="D30" s="45">
        <f t="shared" si="38"/>
        <v>1.5</v>
      </c>
      <c r="E30" s="45">
        <f t="shared" si="10"/>
        <v>12.57</v>
      </c>
      <c r="F30" s="64">
        <v>1532</v>
      </c>
      <c r="G30" s="52">
        <f t="shared" si="1"/>
        <v>2</v>
      </c>
      <c r="H30" s="64">
        <v>348813</v>
      </c>
      <c r="I30" s="416">
        <f t="shared" si="2"/>
        <v>167</v>
      </c>
      <c r="J30" s="66">
        <f t="shared" si="12"/>
        <v>83.5</v>
      </c>
      <c r="K30" s="64">
        <f t="shared" si="27"/>
        <v>1913</v>
      </c>
      <c r="L30" s="52">
        <f t="shared" si="3"/>
        <v>0</v>
      </c>
      <c r="M30" s="64">
        <f t="shared" si="27"/>
        <v>140091</v>
      </c>
      <c r="N30" s="416">
        <f t="shared" si="4"/>
        <v>0</v>
      </c>
      <c r="O30" s="67">
        <f t="shared" si="5"/>
        <v>0</v>
      </c>
      <c r="P30" s="64">
        <v>1760</v>
      </c>
      <c r="Q30" s="64">
        <v>149674</v>
      </c>
      <c r="R30" s="415">
        <f t="shared" si="36"/>
        <v>110</v>
      </c>
      <c r="S30" s="52">
        <f t="shared" si="40"/>
        <v>2</v>
      </c>
      <c r="T30" s="68">
        <f t="shared" si="28"/>
        <v>0</v>
      </c>
      <c r="U30" s="422">
        <f t="shared" si="14"/>
        <v>4</v>
      </c>
      <c r="V30" s="62">
        <f t="shared" si="15"/>
        <v>277</v>
      </c>
      <c r="W30" s="420"/>
      <c r="X30" s="64">
        <f t="shared" si="17"/>
        <v>2417</v>
      </c>
      <c r="Y30" s="52">
        <f t="shared" si="18"/>
        <v>0</v>
      </c>
      <c r="Z30" s="64">
        <f t="shared" si="17"/>
        <v>135840</v>
      </c>
      <c r="AA30" s="65">
        <f t="shared" si="7"/>
        <v>0</v>
      </c>
      <c r="AB30" s="294">
        <f t="shared" si="41"/>
        <v>0</v>
      </c>
      <c r="AC30" s="64">
        <f t="shared" si="19"/>
        <v>1824</v>
      </c>
      <c r="AD30" s="45">
        <f t="shared" si="8"/>
        <v>0</v>
      </c>
      <c r="AE30" s="64">
        <f t="shared" si="19"/>
        <v>358857.5</v>
      </c>
      <c r="AF30" s="321">
        <f t="shared" si="20"/>
        <v>0</v>
      </c>
      <c r="AG30" s="213">
        <f t="shared" si="30"/>
        <v>0</v>
      </c>
      <c r="AH30" s="62">
        <f t="shared" si="31"/>
        <v>0</v>
      </c>
      <c r="AI30" s="333">
        <f t="shared" si="21"/>
        <v>277</v>
      </c>
      <c r="AJ30" s="333">
        <f>-tanks!AW31</f>
        <v>277</v>
      </c>
      <c r="AK30" s="333">
        <f t="shared" si="22"/>
        <v>0</v>
      </c>
      <c r="AL30" s="333">
        <f t="shared" si="39"/>
        <v>4</v>
      </c>
      <c r="AM30" s="333">
        <f t="shared" si="23"/>
        <v>0</v>
      </c>
      <c r="AN30" s="64">
        <v>64</v>
      </c>
      <c r="AO30" s="335">
        <f t="shared" si="44"/>
        <v>1920</v>
      </c>
      <c r="AP30" s="64">
        <f t="shared" si="32"/>
        <v>60</v>
      </c>
      <c r="AQ30" s="335">
        <f t="shared" si="43"/>
        <v>1800</v>
      </c>
      <c r="AR30" s="64">
        <f t="shared" si="32"/>
        <v>65</v>
      </c>
      <c r="AS30" s="335">
        <f t="shared" si="33"/>
        <v>1950</v>
      </c>
      <c r="AT30" s="335">
        <f t="shared" si="42"/>
        <v>5670</v>
      </c>
      <c r="AU30" s="335">
        <f t="shared" si="35"/>
        <v>30</v>
      </c>
      <c r="AV30" s="276"/>
      <c r="AW30" s="276"/>
      <c r="AX30" s="328">
        <f t="shared" si="26"/>
        <v>0.7</v>
      </c>
    </row>
    <row r="31" spans="1:50">
      <c r="A31" s="63">
        <f>ELEC!C29</f>
        <v>43948</v>
      </c>
      <c r="B31" s="64">
        <v>209</v>
      </c>
      <c r="C31" s="64">
        <v>215</v>
      </c>
      <c r="D31" s="45">
        <f t="shared" si="38"/>
        <v>4</v>
      </c>
      <c r="E31" s="45">
        <f t="shared" si="10"/>
        <v>33.520000000000003</v>
      </c>
      <c r="F31" s="64">
        <v>1534</v>
      </c>
      <c r="G31" s="52">
        <f t="shared" si="1"/>
        <v>2</v>
      </c>
      <c r="H31" s="64">
        <v>348910</v>
      </c>
      <c r="I31" s="416">
        <f t="shared" si="2"/>
        <v>97</v>
      </c>
      <c r="J31" s="66">
        <f t="shared" si="12"/>
        <v>48.5</v>
      </c>
      <c r="K31" s="64">
        <v>1916</v>
      </c>
      <c r="L31" s="52">
        <f t="shared" si="3"/>
        <v>3</v>
      </c>
      <c r="M31" s="64">
        <v>140316</v>
      </c>
      <c r="N31" s="416">
        <f>M31-M30</f>
        <v>225</v>
      </c>
      <c r="O31" s="67">
        <f t="shared" si="5"/>
        <v>248.3095238095238</v>
      </c>
      <c r="P31" s="64">
        <v>1760</v>
      </c>
      <c r="Q31" s="64">
        <v>149674</v>
      </c>
      <c r="R31" s="415">
        <f t="shared" si="36"/>
        <v>0</v>
      </c>
      <c r="S31" s="52">
        <f t="shared" si="40"/>
        <v>0</v>
      </c>
      <c r="T31" s="68">
        <f t="shared" si="28"/>
        <v>0</v>
      </c>
      <c r="U31" s="422">
        <f t="shared" si="14"/>
        <v>5</v>
      </c>
      <c r="V31" s="62">
        <f t="shared" si="15"/>
        <v>322</v>
      </c>
      <c r="W31" s="420"/>
      <c r="X31" s="64">
        <v>2417</v>
      </c>
      <c r="Y31" s="52">
        <f t="shared" si="18"/>
        <v>0</v>
      </c>
      <c r="Z31" s="64">
        <v>135840</v>
      </c>
      <c r="AA31" s="65">
        <f t="shared" si="7"/>
        <v>0</v>
      </c>
      <c r="AB31" s="294">
        <f t="shared" si="41"/>
        <v>0</v>
      </c>
      <c r="AC31" s="64">
        <v>1824</v>
      </c>
      <c r="AD31" s="276">
        <f t="shared" si="8"/>
        <v>0</v>
      </c>
      <c r="AE31" s="64">
        <v>358857.5</v>
      </c>
      <c r="AF31" s="321">
        <f t="shared" si="20"/>
        <v>0</v>
      </c>
      <c r="AG31" s="213">
        <f t="shared" si="30"/>
        <v>0</v>
      </c>
      <c r="AH31" s="62">
        <f t="shared" si="31"/>
        <v>0</v>
      </c>
      <c r="AI31" s="333">
        <f t="shared" si="21"/>
        <v>322</v>
      </c>
      <c r="AJ31" s="333">
        <f>-tanks!AW32</f>
        <v>322</v>
      </c>
      <c r="AK31" s="333">
        <f t="shared" si="22"/>
        <v>0</v>
      </c>
      <c r="AL31" s="333">
        <f t="shared" si="39"/>
        <v>5</v>
      </c>
      <c r="AM31" s="333">
        <f t="shared" si="23"/>
        <v>0</v>
      </c>
      <c r="AN31" s="64">
        <v>64</v>
      </c>
      <c r="AO31" s="335">
        <f t="shared" si="44"/>
        <v>1920</v>
      </c>
      <c r="AP31" s="64">
        <v>60</v>
      </c>
      <c r="AQ31" s="335">
        <f t="shared" si="43"/>
        <v>1800</v>
      </c>
      <c r="AR31" s="64">
        <v>63</v>
      </c>
      <c r="AS31" s="335">
        <f t="shared" si="33"/>
        <v>1890</v>
      </c>
      <c r="AT31" s="335">
        <f t="shared" si="42"/>
        <v>5610</v>
      </c>
      <c r="AU31" s="335">
        <f t="shared" si="35"/>
        <v>60</v>
      </c>
      <c r="AV31" s="276"/>
      <c r="AW31" s="276"/>
      <c r="AX31" s="328">
        <f t="shared" si="26"/>
        <v>0.7</v>
      </c>
    </row>
    <row r="32" spans="1:50">
      <c r="A32" s="63">
        <f>ELEC!C30</f>
        <v>43949</v>
      </c>
      <c r="B32" s="64">
        <v>207</v>
      </c>
      <c r="C32" s="64">
        <v>213</v>
      </c>
      <c r="D32" s="45">
        <f t="shared" si="0"/>
        <v>2</v>
      </c>
      <c r="E32" s="45">
        <f t="shared" ref="E32:E34" si="45">D32*8.38</f>
        <v>16.760000000000002</v>
      </c>
      <c r="F32" s="64">
        <v>1534</v>
      </c>
      <c r="G32" s="52">
        <f t="shared" si="1"/>
        <v>0</v>
      </c>
      <c r="H32" s="64">
        <v>348925</v>
      </c>
      <c r="I32" s="416">
        <f t="shared" si="2"/>
        <v>15</v>
      </c>
      <c r="J32" s="66">
        <f t="shared" si="12"/>
        <v>0</v>
      </c>
      <c r="K32" s="64">
        <v>1917</v>
      </c>
      <c r="L32" s="52">
        <f t="shared" si="3"/>
        <v>1</v>
      </c>
      <c r="M32" s="64">
        <v>140390</v>
      </c>
      <c r="N32" s="416">
        <f>M32-M31</f>
        <v>74</v>
      </c>
      <c r="O32" s="67">
        <f t="shared" si="5"/>
        <v>82.769841269841265</v>
      </c>
      <c r="P32" s="64">
        <v>1762</v>
      </c>
      <c r="Q32" s="64">
        <v>149815</v>
      </c>
      <c r="R32" s="415">
        <f t="shared" si="36"/>
        <v>141</v>
      </c>
      <c r="S32" s="52">
        <f t="shared" si="40"/>
        <v>2</v>
      </c>
      <c r="T32" s="68">
        <f t="shared" si="28"/>
        <v>0</v>
      </c>
      <c r="U32" s="422">
        <f t="shared" si="14"/>
        <v>3</v>
      </c>
      <c r="V32" s="62">
        <f t="shared" si="15"/>
        <v>230</v>
      </c>
      <c r="W32" s="420"/>
      <c r="X32" s="64">
        <v>2417</v>
      </c>
      <c r="Y32" s="52">
        <f t="shared" si="18"/>
        <v>0</v>
      </c>
      <c r="Z32" s="64">
        <v>135840</v>
      </c>
      <c r="AA32" s="65">
        <f t="shared" si="7"/>
        <v>0</v>
      </c>
      <c r="AB32" s="294">
        <f t="shared" si="41"/>
        <v>0</v>
      </c>
      <c r="AC32" s="64">
        <v>1824</v>
      </c>
      <c r="AD32" s="276">
        <f t="shared" si="8"/>
        <v>0</v>
      </c>
      <c r="AE32" s="64">
        <v>358857.5</v>
      </c>
      <c r="AF32" s="321">
        <f t="shared" si="20"/>
        <v>0</v>
      </c>
      <c r="AG32" s="213">
        <f t="shared" si="30"/>
        <v>0</v>
      </c>
      <c r="AH32" s="62">
        <f t="shared" si="31"/>
        <v>0</v>
      </c>
      <c r="AI32" s="333">
        <f t="shared" si="21"/>
        <v>230</v>
      </c>
      <c r="AJ32" s="333">
        <f>-tanks!AW33</f>
        <v>230</v>
      </c>
      <c r="AK32" s="333">
        <f t="shared" si="22"/>
        <v>0</v>
      </c>
      <c r="AL32" s="333">
        <f t="shared" si="39"/>
        <v>3</v>
      </c>
      <c r="AM32" s="333">
        <f t="shared" si="23"/>
        <v>0</v>
      </c>
      <c r="AN32" s="64">
        <v>63</v>
      </c>
      <c r="AO32" s="335">
        <f t="shared" si="44"/>
        <v>1890</v>
      </c>
      <c r="AP32" s="64">
        <v>60</v>
      </c>
      <c r="AQ32" s="335">
        <f t="shared" si="43"/>
        <v>1800</v>
      </c>
      <c r="AR32" s="64">
        <v>62</v>
      </c>
      <c r="AS32" s="335">
        <f t="shared" si="33"/>
        <v>1860</v>
      </c>
      <c r="AT32" s="335">
        <f t="shared" si="42"/>
        <v>5550</v>
      </c>
      <c r="AU32" s="335">
        <f t="shared" si="35"/>
        <v>60</v>
      </c>
      <c r="AV32" s="276"/>
      <c r="AW32" s="276"/>
      <c r="AX32" s="328">
        <f t="shared" si="26"/>
        <v>0.7</v>
      </c>
    </row>
    <row r="33" spans="1:50">
      <c r="A33" s="63">
        <f>ELEC!C31</f>
        <v>43950</v>
      </c>
      <c r="B33" s="64">
        <v>248</v>
      </c>
      <c r="C33" s="64">
        <v>254</v>
      </c>
      <c r="D33" s="45">
        <f t="shared" si="0"/>
        <v>-41</v>
      </c>
      <c r="E33" s="45">
        <f t="shared" si="45"/>
        <v>-343.58000000000004</v>
      </c>
      <c r="F33" s="64">
        <v>1536</v>
      </c>
      <c r="G33" s="52">
        <f t="shared" si="1"/>
        <v>2</v>
      </c>
      <c r="H33" s="64">
        <v>349090</v>
      </c>
      <c r="I33" s="416">
        <f t="shared" si="2"/>
        <v>165</v>
      </c>
      <c r="J33" s="66">
        <f t="shared" si="12"/>
        <v>82.5</v>
      </c>
      <c r="K33" s="64">
        <v>1917</v>
      </c>
      <c r="L33" s="52">
        <f t="shared" si="3"/>
        <v>0</v>
      </c>
      <c r="M33" s="64">
        <v>140390</v>
      </c>
      <c r="N33" s="416">
        <f>M33-M32</f>
        <v>0</v>
      </c>
      <c r="O33" s="67">
        <f t="shared" si="5"/>
        <v>0</v>
      </c>
      <c r="P33" s="64">
        <v>1763</v>
      </c>
      <c r="Q33" s="64">
        <v>149940</v>
      </c>
      <c r="R33" s="415">
        <f t="shared" si="36"/>
        <v>125</v>
      </c>
      <c r="S33" s="52">
        <f t="shared" si="40"/>
        <v>1</v>
      </c>
      <c r="T33" s="68">
        <f t="shared" si="28"/>
        <v>0</v>
      </c>
      <c r="U33" s="422">
        <f t="shared" si="14"/>
        <v>3</v>
      </c>
      <c r="V33" s="62">
        <f t="shared" si="15"/>
        <v>290</v>
      </c>
      <c r="W33" s="420"/>
      <c r="X33" s="64">
        <v>2417</v>
      </c>
      <c r="Y33" s="52">
        <f t="shared" si="18"/>
        <v>0</v>
      </c>
      <c r="Z33" s="64">
        <v>135845.1</v>
      </c>
      <c r="AA33" s="65">
        <f t="shared" si="7"/>
        <v>5.1000000000058208</v>
      </c>
      <c r="AB33" s="294">
        <f t="shared" si="41"/>
        <v>0</v>
      </c>
      <c r="AC33" s="64">
        <v>1824</v>
      </c>
      <c r="AD33" s="45">
        <f t="shared" si="8"/>
        <v>0</v>
      </c>
      <c r="AE33" s="64">
        <v>358865.2</v>
      </c>
      <c r="AF33" s="321">
        <f t="shared" si="20"/>
        <v>7.7000000000116415</v>
      </c>
      <c r="AG33" s="213">
        <f t="shared" si="30"/>
        <v>0</v>
      </c>
      <c r="AH33" s="62">
        <f t="shared" si="31"/>
        <v>12.800000000017462</v>
      </c>
      <c r="AI33" s="333">
        <f t="shared" si="21"/>
        <v>302.80000000001746</v>
      </c>
      <c r="AJ33" s="333">
        <f>-tanks!AW34</f>
        <v>302.80000000001746</v>
      </c>
      <c r="AK33" s="333">
        <f t="shared" si="22"/>
        <v>0</v>
      </c>
      <c r="AL33" s="333">
        <f t="shared" si="39"/>
        <v>3</v>
      </c>
      <c r="AM33" s="333">
        <f t="shared" si="23"/>
        <v>0</v>
      </c>
      <c r="AN33" s="64">
        <v>61</v>
      </c>
      <c r="AO33" s="335">
        <f t="shared" si="44"/>
        <v>1830</v>
      </c>
      <c r="AP33" s="64">
        <v>59</v>
      </c>
      <c r="AQ33" s="335">
        <f t="shared" si="43"/>
        <v>1770</v>
      </c>
      <c r="AR33" s="64">
        <v>60</v>
      </c>
      <c r="AS33" s="335">
        <f t="shared" si="33"/>
        <v>1800</v>
      </c>
      <c r="AT33" s="335">
        <f t="shared" si="42"/>
        <v>5400</v>
      </c>
      <c r="AU33" s="335">
        <f t="shared" si="35"/>
        <v>150</v>
      </c>
      <c r="AV33" s="276"/>
      <c r="AW33" s="276"/>
      <c r="AX33" s="328">
        <f t="shared" si="26"/>
        <v>0.7</v>
      </c>
    </row>
    <row r="34" spans="1:50">
      <c r="A34" s="63">
        <f>ELEC!C32</f>
        <v>43951</v>
      </c>
      <c r="B34" s="64">
        <v>245.5</v>
      </c>
      <c r="C34" s="64">
        <v>251</v>
      </c>
      <c r="D34" s="45">
        <f t="shared" si="0"/>
        <v>3</v>
      </c>
      <c r="E34" s="45">
        <f t="shared" si="45"/>
        <v>25.14</v>
      </c>
      <c r="F34" s="64">
        <v>1537</v>
      </c>
      <c r="G34" s="52">
        <f t="shared" si="1"/>
        <v>1</v>
      </c>
      <c r="H34" s="64">
        <v>349198</v>
      </c>
      <c r="I34" s="416">
        <f t="shared" si="2"/>
        <v>108</v>
      </c>
      <c r="J34" s="66">
        <f t="shared" si="12"/>
        <v>108</v>
      </c>
      <c r="K34" s="64">
        <v>1919</v>
      </c>
      <c r="L34" s="52">
        <f t="shared" si="3"/>
        <v>2</v>
      </c>
      <c r="M34" s="64">
        <v>140563</v>
      </c>
      <c r="N34" s="416">
        <f>M34-M33</f>
        <v>173</v>
      </c>
      <c r="O34" s="67">
        <f t="shared" si="5"/>
        <v>165.53968253968253</v>
      </c>
      <c r="P34" s="64">
        <f t="shared" si="27"/>
        <v>1763</v>
      </c>
      <c r="Q34" s="64">
        <f t="shared" si="27"/>
        <v>149940</v>
      </c>
      <c r="R34" s="415">
        <f t="shared" si="36"/>
        <v>0</v>
      </c>
      <c r="S34" s="52">
        <f>SUM(P34-P33)</f>
        <v>0</v>
      </c>
      <c r="T34" s="68">
        <f t="shared" si="28"/>
        <v>0</v>
      </c>
      <c r="U34" s="422">
        <f t="shared" si="14"/>
        <v>3</v>
      </c>
      <c r="V34" s="62">
        <f t="shared" si="15"/>
        <v>281</v>
      </c>
      <c r="W34" s="420"/>
      <c r="X34" s="64">
        <f t="shared" si="17"/>
        <v>2417</v>
      </c>
      <c r="Y34" s="52">
        <f t="shared" si="18"/>
        <v>0</v>
      </c>
      <c r="Z34" s="64">
        <f t="shared" si="17"/>
        <v>135845.1</v>
      </c>
      <c r="AA34" s="65">
        <f t="shared" si="7"/>
        <v>0</v>
      </c>
      <c r="AB34" s="294">
        <f t="shared" si="41"/>
        <v>0</v>
      </c>
      <c r="AC34" s="64">
        <f t="shared" si="19"/>
        <v>1824</v>
      </c>
      <c r="AD34" s="45">
        <f t="shared" si="8"/>
        <v>0</v>
      </c>
      <c r="AE34" s="64">
        <f t="shared" si="19"/>
        <v>358865.2</v>
      </c>
      <c r="AF34" s="321">
        <f t="shared" si="20"/>
        <v>0</v>
      </c>
      <c r="AG34" s="213">
        <f t="shared" si="30"/>
        <v>0</v>
      </c>
      <c r="AH34" s="62">
        <f t="shared" si="31"/>
        <v>0</v>
      </c>
      <c r="AI34" s="333">
        <f t="shared" si="21"/>
        <v>281</v>
      </c>
      <c r="AJ34" s="333">
        <f>-tanks!AW35</f>
        <v>281</v>
      </c>
      <c r="AK34" s="333">
        <f t="shared" si="22"/>
        <v>0</v>
      </c>
      <c r="AL34" s="333">
        <f t="shared" si="39"/>
        <v>3</v>
      </c>
      <c r="AM34" s="333">
        <f>Y34+AD34</f>
        <v>0</v>
      </c>
      <c r="AN34" s="64">
        <v>81</v>
      </c>
      <c r="AO34" s="335">
        <f t="shared" si="44"/>
        <v>2430</v>
      </c>
      <c r="AP34" s="64">
        <v>80</v>
      </c>
      <c r="AQ34" s="335">
        <f t="shared" si="43"/>
        <v>2400</v>
      </c>
      <c r="AR34" s="64">
        <v>61</v>
      </c>
      <c r="AS34" s="335">
        <f t="shared" si="33"/>
        <v>1830</v>
      </c>
      <c r="AT34" s="335">
        <f t="shared" si="42"/>
        <v>6660</v>
      </c>
      <c r="AU34" s="335">
        <f t="shared" si="35"/>
        <v>440</v>
      </c>
      <c r="AV34" s="276">
        <v>1700</v>
      </c>
      <c r="AW34" s="276">
        <v>0.7</v>
      </c>
      <c r="AX34" s="328">
        <f t="shared" si="26"/>
        <v>0.7</v>
      </c>
    </row>
    <row r="35" spans="1:50">
      <c r="J35" s="293">
        <f>SUM(J5:J34)/(COUNT(J5:J34)-COUNTIF(J5:J34,0))</f>
        <v>82.769841269841265</v>
      </c>
      <c r="AE35" s="72" t="s">
        <v>386</v>
      </c>
      <c r="AG35" s="363"/>
      <c r="AH35" s="62"/>
      <c r="AP35" s="328"/>
      <c r="AQ35" s="328"/>
      <c r="AR35" s="328" t="s">
        <v>225</v>
      </c>
      <c r="AS35" s="328">
        <f>COUNT(AW5:AW34)</f>
        <v>3</v>
      </c>
      <c r="AT35" s="328"/>
      <c r="AU35" s="328">
        <f>SUM(AU5:AU34)</f>
        <v>3220</v>
      </c>
      <c r="AV35" s="72">
        <f>SUM(AV5:AV34)</f>
        <v>3700</v>
      </c>
      <c r="AW35" s="328">
        <f>SUM(AW5:AW34)/AS35</f>
        <v>0.69999999999999984</v>
      </c>
    </row>
    <row r="36" spans="1:50">
      <c r="AH36" s="62">
        <f>AF36+AA36</f>
        <v>0</v>
      </c>
      <c r="AI36" s="336">
        <f>SUM(AI5:AI34)</f>
        <v>9753.5000000000291</v>
      </c>
      <c r="AP36" s="328"/>
      <c r="AQ36" s="328"/>
      <c r="AR36" s="328"/>
      <c r="AS36" s="328"/>
      <c r="AT36" s="328"/>
      <c r="AU36" s="328"/>
      <c r="AV36" s="328"/>
      <c r="AW36" s="328"/>
    </row>
    <row r="37" spans="1:50">
      <c r="AH37" s="62">
        <f>AF37+AA37</f>
        <v>0</v>
      </c>
      <c r="AP37" s="328"/>
      <c r="AQ37" s="328"/>
      <c r="AR37" s="328"/>
      <c r="AS37" s="328"/>
      <c r="AT37" s="328"/>
      <c r="AU37" s="328">
        <f>AU35*0.51</f>
        <v>1642.2</v>
      </c>
      <c r="AV37" s="328">
        <f>AV35/0.51</f>
        <v>7254.9019607843138</v>
      </c>
      <c r="AW37" s="328">
        <f>SUM(AW5:AW34)/AS35</f>
        <v>0.69999999999999984</v>
      </c>
    </row>
    <row r="38" spans="1:50">
      <c r="AP38" s="328"/>
      <c r="AQ38" s="328"/>
      <c r="AR38" s="328"/>
      <c r="AS38" s="328"/>
      <c r="AT38" s="328"/>
      <c r="AU38" s="328"/>
      <c r="AV38" s="328">
        <f>AV35*0.51</f>
        <v>1887</v>
      </c>
      <c r="AW38" s="328"/>
    </row>
    <row r="39" spans="1:50">
      <c r="AP39" s="328"/>
      <c r="AQ39" s="328"/>
      <c r="AR39" s="328"/>
      <c r="AS39" s="328"/>
      <c r="AT39" s="328"/>
      <c r="AU39" s="328"/>
      <c r="AV39" s="328"/>
      <c r="AW39" s="328"/>
    </row>
    <row r="40" spans="1:50">
      <c r="P40" s="70"/>
      <c r="Q40" s="70"/>
      <c r="R40" s="70"/>
      <c r="AP40" s="328"/>
      <c r="AQ40" s="328"/>
      <c r="AR40" s="328"/>
      <c r="AS40" s="328"/>
      <c r="AT40" s="328"/>
      <c r="AU40" s="328"/>
      <c r="AV40" s="328"/>
      <c r="AW40" s="328"/>
    </row>
    <row r="42" spans="1:50">
      <c r="AG42" s="376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F1" zoomScaleNormal="100" workbookViewId="0">
      <pane ySplit="3" topLeftCell="A20" activePane="bottomLeft" state="frozen"/>
      <selection pane="bottomLeft" activeCell="AY35" sqref="AY3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7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7" customWidth="1"/>
    <col min="11" max="11" width="13.5703125" style="1" customWidth="1"/>
    <col min="12" max="12" width="13.28515625" style="1" customWidth="1"/>
    <col min="13" max="13" width="10.7109375" style="518" customWidth="1"/>
    <col min="14" max="14" width="10.7109375" style="520" customWidth="1"/>
    <col min="15" max="15" width="11.140625" style="518" customWidth="1"/>
    <col min="16" max="16" width="11.140625" style="520" customWidth="1"/>
    <col min="17" max="17" width="17.28515625" style="518" customWidth="1"/>
    <col min="18" max="18" width="10.85546875" style="518" customWidth="1"/>
    <col min="19" max="19" width="10.7109375" style="518" customWidth="1"/>
    <col min="20" max="20" width="13.28515625" style="426" customWidth="1"/>
    <col min="21" max="21" width="8.7109375" style="430" customWidth="1"/>
    <col min="22" max="22" width="13.28515625" style="337" customWidth="1"/>
    <col min="23" max="23" width="9.7109375" style="337" bestFit="1" customWidth="1"/>
    <col min="24" max="27" width="9.7109375" style="337" customWidth="1"/>
    <col min="28" max="28" width="14.42578125" style="337" customWidth="1"/>
    <col min="29" max="32" width="9.7109375" style="337" customWidth="1"/>
    <col min="33" max="33" width="11.28515625" style="337" customWidth="1"/>
    <col min="34" max="36" width="9.7109375" style="337" customWidth="1"/>
    <col min="37" max="37" width="7.42578125" style="337" customWidth="1"/>
    <col min="38" max="39" width="8.7109375" style="33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8" customFormat="1" ht="15.75" thickBot="1">
      <c r="B1" s="379"/>
      <c r="C1" s="379"/>
      <c r="D1" s="437">
        <f>SUM(G21:G35)</f>
        <v>8945789</v>
      </c>
      <c r="E1" s="380"/>
      <c r="F1" s="380"/>
      <c r="G1" s="379"/>
      <c r="H1" s="379"/>
      <c r="I1" s="379"/>
      <c r="J1" s="380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79"/>
      <c r="AR1" s="382" t="s">
        <v>92</v>
      </c>
      <c r="AS1" s="383"/>
      <c r="AT1" s="383" t="s">
        <v>60</v>
      </c>
      <c r="AU1" s="383"/>
      <c r="AV1" s="384" t="s">
        <v>61</v>
      </c>
    </row>
    <row r="2" spans="1:65" s="378" customFormat="1" ht="15.75" customHeight="1" thickBot="1">
      <c r="B2" s="379"/>
      <c r="C2" s="379"/>
      <c r="D2" s="379"/>
      <c r="E2" s="380"/>
      <c r="F2" s="380"/>
      <c r="G2" s="379"/>
      <c r="H2" s="379"/>
      <c r="I2" s="379"/>
      <c r="J2" s="380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  <c r="AK2" s="381"/>
      <c r="AL2" s="381"/>
      <c r="AM2" s="381"/>
      <c r="AN2" s="379"/>
      <c r="AR2" s="598" t="s">
        <v>95</v>
      </c>
      <c r="AS2" s="599"/>
      <c r="AT2" s="599"/>
      <c r="AU2" s="599"/>
      <c r="AV2" s="600"/>
      <c r="AW2" s="598" t="s">
        <v>96</v>
      </c>
      <c r="AX2" s="599"/>
      <c r="AY2" s="600"/>
      <c r="AZ2" s="598" t="s">
        <v>98</v>
      </c>
      <c r="BA2" s="599"/>
      <c r="BB2" s="600"/>
      <c r="BC2" s="385"/>
      <c r="BE2" s="386"/>
    </row>
    <row r="3" spans="1:65" s="378" customFormat="1" ht="48" customHeight="1" thickBot="1">
      <c r="A3" s="387" t="s">
        <v>51</v>
      </c>
      <c r="B3" s="388" t="s">
        <v>52</v>
      </c>
      <c r="C3" s="388" t="s">
        <v>53</v>
      </c>
      <c r="D3" s="388" t="s">
        <v>54</v>
      </c>
      <c r="E3" s="389"/>
      <c r="F3" s="390" t="s">
        <v>80</v>
      </c>
      <c r="G3" s="388" t="s">
        <v>55</v>
      </c>
      <c r="H3" s="388" t="s">
        <v>56</v>
      </c>
      <c r="I3" s="388" t="s">
        <v>100</v>
      </c>
      <c r="J3" s="389"/>
      <c r="K3" s="388" t="s">
        <v>395</v>
      </c>
      <c r="L3" s="391" t="s">
        <v>330</v>
      </c>
      <c r="M3" s="538" t="s">
        <v>402</v>
      </c>
      <c r="N3" s="539"/>
      <c r="O3" s="540" t="s">
        <v>403</v>
      </c>
      <c r="P3" s="540"/>
      <c r="Q3" s="540" t="s">
        <v>399</v>
      </c>
      <c r="R3" s="540" t="s">
        <v>401</v>
      </c>
      <c r="S3" s="540" t="s">
        <v>400</v>
      </c>
      <c r="T3" s="388" t="s">
        <v>383</v>
      </c>
      <c r="U3" s="388" t="s">
        <v>385</v>
      </c>
      <c r="V3" s="392" t="s">
        <v>334</v>
      </c>
      <c r="W3" s="393" t="s">
        <v>335</v>
      </c>
      <c r="X3" s="392" t="s">
        <v>338</v>
      </c>
      <c r="Y3" s="393" t="s">
        <v>339</v>
      </c>
      <c r="Z3" s="394" t="s">
        <v>340</v>
      </c>
      <c r="AA3" s="395" t="s">
        <v>398</v>
      </c>
      <c r="AB3" s="464" t="s">
        <v>397</v>
      </c>
      <c r="AC3" s="462" t="s">
        <v>396</v>
      </c>
      <c r="AD3" s="462"/>
      <c r="AE3" s="396" t="s">
        <v>407</v>
      </c>
      <c r="AF3" s="396" t="s">
        <v>408</v>
      </c>
      <c r="AG3" s="396" t="s">
        <v>409</v>
      </c>
      <c r="AH3" s="396" t="s">
        <v>410</v>
      </c>
      <c r="AI3" s="395" t="s">
        <v>411</v>
      </c>
      <c r="AJ3" s="395" t="s">
        <v>341</v>
      </c>
      <c r="AK3" s="396" t="s">
        <v>343</v>
      </c>
      <c r="AL3" s="396" t="s">
        <v>342</v>
      </c>
      <c r="AM3" s="397" t="s">
        <v>125</v>
      </c>
      <c r="AN3" s="595" t="s">
        <v>126</v>
      </c>
      <c r="AO3" s="596"/>
      <c r="AP3" s="597"/>
      <c r="AR3" s="398" t="s">
        <v>51</v>
      </c>
      <c r="AS3" s="399"/>
      <c r="AT3" s="398" t="s">
        <v>94</v>
      </c>
      <c r="AU3" s="399"/>
      <c r="AV3" s="400" t="s">
        <v>57</v>
      </c>
      <c r="AW3" s="401"/>
      <c r="AX3" s="399" t="s">
        <v>59</v>
      </c>
      <c r="AY3" s="402" t="s">
        <v>93</v>
      </c>
      <c r="AZ3" s="400" t="s">
        <v>57</v>
      </c>
      <c r="BA3" s="403" t="s">
        <v>59</v>
      </c>
      <c r="BB3" s="404" t="s">
        <v>57</v>
      </c>
      <c r="BC3" s="404" t="s">
        <v>58</v>
      </c>
      <c r="BD3" s="405" t="s">
        <v>59</v>
      </c>
      <c r="BE3" s="406" t="s">
        <v>99</v>
      </c>
      <c r="BF3" s="405" t="s">
        <v>97</v>
      </c>
      <c r="BG3" s="407"/>
      <c r="BI3" s="408"/>
      <c r="BJ3" s="408"/>
      <c r="BK3" s="408"/>
      <c r="BL3" s="408"/>
      <c r="BM3" s="408"/>
    </row>
    <row r="4" spans="1:65" ht="16.5" thickBot="1">
      <c r="A4" s="88"/>
      <c r="B4" s="5"/>
      <c r="C4" s="5"/>
      <c r="D4" s="273"/>
      <c r="E4" s="348">
        <v>1.66</v>
      </c>
      <c r="F4" s="348"/>
      <c r="G4" s="5"/>
      <c r="H4" s="5"/>
      <c r="I4" s="5"/>
      <c r="J4" s="349"/>
      <c r="K4" s="5"/>
      <c r="L4" s="84"/>
      <c r="M4" s="541"/>
      <c r="N4" s="541"/>
      <c r="O4" s="541"/>
      <c r="P4" s="541"/>
      <c r="Q4" s="541"/>
      <c r="R4" s="541"/>
      <c r="S4" s="541"/>
      <c r="T4" s="84"/>
      <c r="U4" s="84"/>
      <c r="V4" s="338"/>
      <c r="W4" s="339"/>
      <c r="X4" s="338"/>
      <c r="Y4" s="339"/>
      <c r="Z4" s="340"/>
      <c r="AA4" s="463"/>
      <c r="AB4" s="465"/>
      <c r="AC4" s="463"/>
      <c r="AD4" s="463"/>
      <c r="AE4" s="463"/>
      <c r="AF4" s="463"/>
      <c r="AG4" s="463"/>
      <c r="AH4" s="463"/>
      <c r="AI4" s="463"/>
      <c r="AJ4" s="341"/>
      <c r="AK4" s="342"/>
      <c r="AL4" s="342"/>
      <c r="AM4" s="343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43921</v>
      </c>
      <c r="B5" s="431">
        <f>[1]WATER!B36</f>
        <v>108473</v>
      </c>
      <c r="C5" s="431">
        <f>[1]WATER!C36</f>
        <v>0</v>
      </c>
      <c r="D5" s="431">
        <f>[1]WATER!D36</f>
        <v>0</v>
      </c>
      <c r="E5" s="431">
        <f>[1]WATER!E36</f>
        <v>241.93548387096774</v>
      </c>
      <c r="F5" s="431">
        <f>[1]WATER!F36</f>
        <v>0</v>
      </c>
      <c r="G5" s="431">
        <f>[1]WATER!G36</f>
        <v>595093</v>
      </c>
      <c r="H5" s="431">
        <f>[1]WATER!H36</f>
        <v>0</v>
      </c>
      <c r="I5" s="431">
        <f>[1]WATER!I36</f>
        <v>0</v>
      </c>
      <c r="J5" s="431">
        <f>[1]WATER!J36</f>
        <v>0</v>
      </c>
      <c r="K5" s="431">
        <f>[1]WATER!K36</f>
        <v>5973</v>
      </c>
      <c r="L5" s="431">
        <f>[1]WATER!L36</f>
        <v>5</v>
      </c>
      <c r="M5" s="431">
        <f>[1]WATER!M36</f>
        <v>457.44</v>
      </c>
      <c r="N5" s="431">
        <f>[1]WATER!N36</f>
        <v>0</v>
      </c>
      <c r="O5" s="431">
        <f>[1]WATER!O36</f>
        <v>529.52</v>
      </c>
      <c r="P5" s="431">
        <f>[1]WATER!P36</f>
        <v>0</v>
      </c>
      <c r="Q5" s="431">
        <f>[1]WATER!Q36</f>
        <v>0</v>
      </c>
      <c r="R5" s="431">
        <f>[1]WATER!R36</f>
        <v>0</v>
      </c>
      <c r="S5" s="431">
        <f>[1]WATER!S36</f>
        <v>0</v>
      </c>
      <c r="T5" s="431">
        <f>[1]WATER!T36</f>
        <v>4742</v>
      </c>
      <c r="U5" s="431">
        <f>[1]WATER!U36</f>
        <v>1</v>
      </c>
      <c r="V5" s="431">
        <f>[1]WATER!V36</f>
        <v>401</v>
      </c>
      <c r="W5" s="431">
        <f>[1]WATER!W36</f>
        <v>0</v>
      </c>
      <c r="X5" s="431">
        <f>[1]WATER!X36</f>
        <v>142300</v>
      </c>
      <c r="Y5" s="431">
        <f>[1]WATER!Y36</f>
        <v>0</v>
      </c>
      <c r="Z5" s="431">
        <f>[1]WATER!Z36</f>
        <v>93723</v>
      </c>
      <c r="AA5" s="431">
        <f>[1]WATER!AA36</f>
        <v>0</v>
      </c>
      <c r="AB5" s="431">
        <f>[1]WATER!AB36</f>
        <v>259</v>
      </c>
      <c r="AC5" s="431">
        <f>[1]WATER!AC36</f>
        <v>671</v>
      </c>
      <c r="AD5" s="431">
        <f>[1]WATER!AD36</f>
        <v>0</v>
      </c>
      <c r="AE5" s="431">
        <f>[1]WATER!AE36</f>
        <v>144.22999999999999</v>
      </c>
      <c r="AF5" s="431">
        <f>[1]WATER!AF36</f>
        <v>0</v>
      </c>
      <c r="AG5" s="431">
        <f>[1]WATER!AG36</f>
        <v>1467.64</v>
      </c>
      <c r="AH5" s="431">
        <f>[1]WATER!AH36</f>
        <v>0.20000000000004547</v>
      </c>
      <c r="AI5" s="431">
        <f>[1]WATER!AI36</f>
        <v>0.20000000000004547</v>
      </c>
      <c r="AJ5" s="431">
        <f>[1]WATER!AJ36</f>
        <v>0</v>
      </c>
      <c r="AK5" s="431">
        <f>[1]WATER!AK36</f>
        <v>-5</v>
      </c>
      <c r="AL5" s="431">
        <f>[1]WATER!AL36</f>
        <v>0</v>
      </c>
      <c r="AM5" s="431">
        <f>[1]WATER!AM36</f>
        <v>24</v>
      </c>
      <c r="AN5" s="431">
        <f>[1]WATER!AN36</f>
        <v>0</v>
      </c>
      <c r="AO5" s="431">
        <f>[1]WATER!AO36</f>
        <v>0</v>
      </c>
      <c r="AP5" s="431">
        <f>[1]WATER!AP36</f>
        <v>41</v>
      </c>
      <c r="AQ5" s="431"/>
      <c r="AR5" s="560">
        <v>43921</v>
      </c>
      <c r="AS5" s="431">
        <f>[1]WATER!AS36</f>
        <v>0.9</v>
      </c>
      <c r="AT5" s="431">
        <f>[1]WATER!AT36</f>
        <v>105</v>
      </c>
      <c r="AU5" s="431">
        <f>[1]WATER!AU36</f>
        <v>1.1000000000000001</v>
      </c>
      <c r="AV5" s="431">
        <f>[1]WATER!AV36</f>
        <v>79</v>
      </c>
      <c r="AW5" s="431">
        <f>[1]WATER!AW36</f>
        <v>2.9</v>
      </c>
      <c r="AX5" s="431">
        <f>[1]WATER!AX36</f>
        <v>123</v>
      </c>
      <c r="AY5" s="431">
        <f>[1]WATER!AY36</f>
        <v>94.5</v>
      </c>
      <c r="AZ5" s="431">
        <f>[1]WATER!AZ36</f>
        <v>86.9</v>
      </c>
      <c r="BA5" s="431">
        <f>[1]WATER!BA36</f>
        <v>356.7</v>
      </c>
      <c r="BB5" s="431">
        <f>[1]WATER!BB36</f>
        <v>-11.700000000000003</v>
      </c>
      <c r="BC5" s="431">
        <f>[1]WATER!BC36</f>
        <v>-9.9000000000000057</v>
      </c>
      <c r="BD5" s="431">
        <f>[1]WATER!BD36</f>
        <v>-14.5</v>
      </c>
      <c r="BE5" s="431">
        <f>[1]WATER!BE36</f>
        <v>-36.100000000000009</v>
      </c>
      <c r="BF5" s="431">
        <f>[1]WATER!BF36</f>
        <v>36.100000000000009</v>
      </c>
      <c r="BG5" s="431">
        <f>[1]WATER!BG36</f>
        <v>-36.100000000000009</v>
      </c>
    </row>
    <row r="6" spans="1:65" ht="15.75" thickBot="1">
      <c r="A6" s="6">
        <f>ELEC!C3</f>
        <v>43922</v>
      </c>
      <c r="B6" s="5">
        <f>B5</f>
        <v>108473</v>
      </c>
      <c r="C6" s="5">
        <f>B6-B5</f>
        <v>0</v>
      </c>
      <c r="D6" s="440">
        <f>C6/27</f>
        <v>0</v>
      </c>
      <c r="E6" s="348">
        <f>SUM((C6*$E$4)+(7500/'EDl log'!$A$37))</f>
        <v>250</v>
      </c>
      <c r="F6" s="439"/>
      <c r="G6" s="5">
        <v>595200</v>
      </c>
      <c r="H6" s="5">
        <f>G6-G5</f>
        <v>107</v>
      </c>
      <c r="I6" s="5">
        <f t="shared" ref="I6:I35" si="0">C6+H6</f>
        <v>107</v>
      </c>
      <c r="J6" s="349">
        <f t="shared" ref="J6:J35" si="1">IF(I6&gt;0,E6/I6,0)</f>
        <v>2.3364485981308412</v>
      </c>
      <c r="K6" s="5">
        <f>'Swimming Pool quality check '!H6</f>
        <v>5274</v>
      </c>
      <c r="L6" s="84">
        <v>0</v>
      </c>
      <c r="M6" s="431">
        <f>M5</f>
        <v>457.44</v>
      </c>
      <c r="N6" s="541">
        <f t="shared" ref="N6:N13" si="2">SUM(M6-M5)</f>
        <v>0</v>
      </c>
      <c r="O6" s="431">
        <f>O5</f>
        <v>529.52</v>
      </c>
      <c r="P6" s="541">
        <f t="shared" ref="P6:P13" si="3">SUM(O6-O5)</f>
        <v>0</v>
      </c>
      <c r="Q6" s="542">
        <f>P6+N6</f>
        <v>0</v>
      </c>
      <c r="R6" s="541"/>
      <c r="S6" s="541"/>
      <c r="T6" s="5">
        <v>4744</v>
      </c>
      <c r="U6" s="5">
        <f t="shared" ref="U6:U35" si="4">SUM(T6-T5)</f>
        <v>2</v>
      </c>
      <c r="V6" s="5">
        <f>V5</f>
        <v>401</v>
      </c>
      <c r="W6" s="339">
        <f>+V6-V5</f>
        <v>0</v>
      </c>
      <c r="X6" s="5">
        <v>142399</v>
      </c>
      <c r="Y6" s="339">
        <f>SUM(X6-X5)</f>
        <v>99</v>
      </c>
      <c r="Z6" s="5">
        <f>Z5</f>
        <v>93723</v>
      </c>
      <c r="AA6" s="84">
        <f>Z6-Z5</f>
        <v>0</v>
      </c>
      <c r="AB6" s="5">
        <v>258</v>
      </c>
      <c r="AC6" s="5">
        <f>AC5</f>
        <v>671</v>
      </c>
      <c r="AD6" s="84">
        <v>0</v>
      </c>
      <c r="AE6" s="5">
        <f>AE5</f>
        <v>144.22999999999999</v>
      </c>
      <c r="AF6" s="84">
        <f>AE6-AE5</f>
        <v>0</v>
      </c>
      <c r="AG6" s="5">
        <f>AG5</f>
        <v>1467.64</v>
      </c>
      <c r="AH6" s="84">
        <f>AG6-AG5</f>
        <v>0</v>
      </c>
      <c r="AI6" s="84">
        <f>AF6+AH6</f>
        <v>0</v>
      </c>
      <c r="AJ6" s="341">
        <f>+Z6-Z5</f>
        <v>0</v>
      </c>
      <c r="AK6" s="342">
        <f t="shared" ref="AK6:AK37" si="5">SUM(Y6-L6)</f>
        <v>99</v>
      </c>
      <c r="AL6" s="342">
        <f>SUM(AJ6-W6)</f>
        <v>0</v>
      </c>
      <c r="AM6" s="342">
        <f>'General information '!D6</f>
        <v>16.5</v>
      </c>
      <c r="AN6" s="85">
        <f>'General information '!H6</f>
        <v>0</v>
      </c>
      <c r="AO6" s="85"/>
      <c r="AP6" s="85">
        <f>'General information '!J6</f>
        <v>25</v>
      </c>
      <c r="AQ6" s="82"/>
      <c r="AR6" s="286">
        <f>A6</f>
        <v>43922</v>
      </c>
      <c r="AS6" s="445">
        <f t="shared" ref="AS6:AT21" si="6">AS5</f>
        <v>0.9</v>
      </c>
      <c r="AT6" s="205">
        <v>175</v>
      </c>
      <c r="AU6" s="446">
        <f>AU5</f>
        <v>1.1000000000000001</v>
      </c>
      <c r="AV6" s="205">
        <v>80</v>
      </c>
      <c r="AW6" s="5">
        <v>2.9</v>
      </c>
      <c r="AX6" s="205">
        <v>145</v>
      </c>
      <c r="AY6" s="449">
        <f t="shared" ref="AY6:AY35" si="7">AS6*AT6</f>
        <v>157.5</v>
      </c>
      <c r="AZ6" s="449">
        <f>AU6*AV6</f>
        <v>88</v>
      </c>
      <c r="BA6" s="449">
        <f>AW6*AX6</f>
        <v>420.5</v>
      </c>
      <c r="BB6" s="21">
        <f>AY6-AY5</f>
        <v>63</v>
      </c>
      <c r="BC6" s="21">
        <f>AZ6-AZ5</f>
        <v>1.0999999999999943</v>
      </c>
      <c r="BD6" s="21">
        <f>BA6-BA5</f>
        <v>63.800000000000011</v>
      </c>
      <c r="BE6" s="24">
        <f>SUM(BB6:BD6)</f>
        <v>127.9</v>
      </c>
      <c r="BF6" s="97">
        <f t="shared" ref="BF6:BF35" si="8">SUM(I6-BE6)</f>
        <v>-20.900000000000006</v>
      </c>
      <c r="BG6" s="83">
        <f t="shared" ref="BG6:BG35" si="9">SUM(I6-BF6)</f>
        <v>127.9</v>
      </c>
      <c r="BI6" s="17"/>
      <c r="BJ6" s="17"/>
      <c r="BK6" s="17"/>
      <c r="BL6" s="17"/>
      <c r="BM6" s="17"/>
    </row>
    <row r="7" spans="1:65" ht="15.75" thickBot="1">
      <c r="A7" s="6">
        <f>ELEC!C4</f>
        <v>43923</v>
      </c>
      <c r="B7" s="5">
        <v>108473</v>
      </c>
      <c r="C7" s="5">
        <f t="shared" ref="C7:C35" si="10">B7-B6</f>
        <v>0</v>
      </c>
      <c r="D7" s="440">
        <f t="shared" ref="D7:D35" si="11">C7/27</f>
        <v>0</v>
      </c>
      <c r="E7" s="348">
        <f>SUM((C7*$E$4)+(7500/'EDl log'!$A$37))</f>
        <v>250</v>
      </c>
      <c r="F7" s="439"/>
      <c r="G7" s="5">
        <v>595200</v>
      </c>
      <c r="H7" s="5">
        <f t="shared" ref="H7:H35" si="12">G7-G6</f>
        <v>0</v>
      </c>
      <c r="I7" s="5">
        <f t="shared" si="0"/>
        <v>0</v>
      </c>
      <c r="J7" s="349">
        <f t="shared" si="1"/>
        <v>0</v>
      </c>
      <c r="K7" s="5">
        <f>'Swimming Pool quality check '!H7</f>
        <v>5274</v>
      </c>
      <c r="L7" s="84">
        <f>K7-K6</f>
        <v>0</v>
      </c>
      <c r="M7" s="431">
        <f t="shared" ref="M7:M35" si="13">M6</f>
        <v>457.44</v>
      </c>
      <c r="N7" s="541">
        <f t="shared" si="2"/>
        <v>0</v>
      </c>
      <c r="O7" s="431">
        <f t="shared" ref="O7:O35" si="14">O6</f>
        <v>529.52</v>
      </c>
      <c r="P7" s="541">
        <f t="shared" si="3"/>
        <v>0</v>
      </c>
      <c r="Q7" s="542">
        <f>P7+N7</f>
        <v>0</v>
      </c>
      <c r="R7" s="541"/>
      <c r="S7" s="541"/>
      <c r="T7" s="5">
        <v>4745</v>
      </c>
      <c r="U7" s="5">
        <f t="shared" si="4"/>
        <v>1</v>
      </c>
      <c r="V7" s="5">
        <f t="shared" ref="V7:AG35" si="15">V6</f>
        <v>401</v>
      </c>
      <c r="W7" s="339">
        <f t="shared" ref="W7:W35" si="16">+V7-V6</f>
        <v>0</v>
      </c>
      <c r="X7" s="5">
        <v>142471</v>
      </c>
      <c r="Y7" s="339">
        <f t="shared" ref="Y7:Y35" si="17">SUM(X7-X6)</f>
        <v>72</v>
      </c>
      <c r="Z7" s="5">
        <v>93743</v>
      </c>
      <c r="AA7" s="84">
        <f t="shared" ref="AA7:AA35" si="18">Z7-Z6</f>
        <v>20</v>
      </c>
      <c r="AB7" s="5">
        <v>258</v>
      </c>
      <c r="AC7" s="5">
        <f t="shared" si="15"/>
        <v>671</v>
      </c>
      <c r="AD7" s="84">
        <f>AC7-AC6</f>
        <v>0</v>
      </c>
      <c r="AE7" s="5">
        <v>144.22999999999999</v>
      </c>
      <c r="AF7" s="84">
        <f t="shared" ref="AF7:AF35" si="19">AE7-AE6</f>
        <v>0</v>
      </c>
      <c r="AG7" s="5">
        <v>1468.24</v>
      </c>
      <c r="AH7" s="84">
        <f t="shared" ref="AH7:AH35" si="20">AG7-AG6</f>
        <v>0.59999999999990905</v>
      </c>
      <c r="AI7" s="84">
        <f t="shared" ref="AI7:AI35" si="21">AF7+AH7</f>
        <v>0.59999999999990905</v>
      </c>
      <c r="AJ7" s="341">
        <f t="shared" ref="AJ7:AJ35" si="22">+Z7-Z6</f>
        <v>20</v>
      </c>
      <c r="AK7" s="342">
        <f t="shared" si="5"/>
        <v>72</v>
      </c>
      <c r="AL7" s="342">
        <f t="shared" ref="AL7:AL35" si="23">SUM(AJ7-W7)</f>
        <v>20</v>
      </c>
      <c r="AM7" s="342">
        <f>'General information '!D7</f>
        <v>17</v>
      </c>
      <c r="AN7" s="85">
        <f>'General information '!H7</f>
        <v>0</v>
      </c>
      <c r="AO7" s="85"/>
      <c r="AP7" s="85">
        <f>'General information '!J7</f>
        <v>37</v>
      </c>
      <c r="AQ7" s="82"/>
      <c r="AR7" s="286">
        <f t="shared" ref="AR7:AR35" si="24">A7</f>
        <v>43923</v>
      </c>
      <c r="AS7" s="445">
        <f t="shared" si="6"/>
        <v>0.9</v>
      </c>
      <c r="AT7" s="205">
        <v>80</v>
      </c>
      <c r="AU7" s="446">
        <f>AU6</f>
        <v>1.1000000000000001</v>
      </c>
      <c r="AV7" s="205">
        <v>75</v>
      </c>
      <c r="AW7" s="5">
        <v>2.9</v>
      </c>
      <c r="AX7" s="205">
        <v>160</v>
      </c>
      <c r="AY7" s="449">
        <f t="shared" si="7"/>
        <v>72</v>
      </c>
      <c r="AZ7" s="449">
        <f t="shared" ref="AZ7:AZ35" si="25">AU7*AV7</f>
        <v>82.5</v>
      </c>
      <c r="BA7" s="449">
        <f t="shared" ref="BA7:BA35" si="26">AW7*AX7</f>
        <v>464</v>
      </c>
      <c r="BB7" s="21">
        <f t="shared" ref="BB7:BD35" si="27">AY7-AY6</f>
        <v>-85.5</v>
      </c>
      <c r="BC7" s="21">
        <f t="shared" ref="BC7:BD21" si="28">AZ7-AZ6</f>
        <v>-5.5</v>
      </c>
      <c r="BD7" s="21">
        <f t="shared" si="28"/>
        <v>43.5</v>
      </c>
      <c r="BE7" s="24">
        <f t="shared" ref="BE7:BE35" si="29">SUM(BB7:BD7)</f>
        <v>-47.5</v>
      </c>
      <c r="BF7" s="97">
        <f t="shared" si="8"/>
        <v>47.5</v>
      </c>
      <c r="BG7" s="83">
        <f t="shared" si="9"/>
        <v>-47.5</v>
      </c>
      <c r="BI7" s="87"/>
      <c r="BJ7" s="17"/>
      <c r="BK7" s="17"/>
      <c r="BL7" s="17"/>
      <c r="BM7" s="17"/>
    </row>
    <row r="8" spans="1:65" ht="15.75" thickBot="1">
      <c r="A8" s="6">
        <f>ELEC!C5</f>
        <v>43924</v>
      </c>
      <c r="B8" s="5">
        <v>108473</v>
      </c>
      <c r="C8" s="5">
        <f>B8-B7</f>
        <v>0</v>
      </c>
      <c r="D8" s="440">
        <f t="shared" si="11"/>
        <v>0</v>
      </c>
      <c r="E8" s="348">
        <f>SUM((C8*$E$4)+(7500/'EDl log'!$A$37))</f>
        <v>250</v>
      </c>
      <c r="F8" s="439"/>
      <c r="G8" s="5">
        <v>595500</v>
      </c>
      <c r="H8" s="5">
        <f t="shared" si="12"/>
        <v>300</v>
      </c>
      <c r="I8" s="5">
        <f t="shared" si="0"/>
        <v>300</v>
      </c>
      <c r="J8" s="349">
        <f t="shared" si="1"/>
        <v>0.83333333333333337</v>
      </c>
      <c r="K8" s="5">
        <f>'Swimming Pool quality check '!H8</f>
        <v>5274</v>
      </c>
      <c r="L8" s="84">
        <f>K8-K7</f>
        <v>0</v>
      </c>
      <c r="M8" s="431">
        <f t="shared" si="13"/>
        <v>457.44</v>
      </c>
      <c r="N8" s="541">
        <f t="shared" si="2"/>
        <v>0</v>
      </c>
      <c r="O8" s="431">
        <f t="shared" si="14"/>
        <v>529.52</v>
      </c>
      <c r="P8" s="541">
        <f t="shared" si="3"/>
        <v>0</v>
      </c>
      <c r="Q8" s="542">
        <f>P8+N8</f>
        <v>0</v>
      </c>
      <c r="R8" s="541"/>
      <c r="S8" s="541"/>
      <c r="T8" s="5">
        <v>4747</v>
      </c>
      <c r="U8" s="5">
        <f t="shared" si="4"/>
        <v>2</v>
      </c>
      <c r="V8" s="5">
        <f t="shared" si="15"/>
        <v>401</v>
      </c>
      <c r="W8" s="339">
        <f t="shared" si="16"/>
        <v>0</v>
      </c>
      <c r="X8" s="5">
        <v>142531</v>
      </c>
      <c r="Y8" s="339">
        <f t="shared" si="17"/>
        <v>60</v>
      </c>
      <c r="Z8" s="5">
        <v>93777</v>
      </c>
      <c r="AA8" s="84">
        <f t="shared" si="18"/>
        <v>34</v>
      </c>
      <c r="AB8" s="5">
        <v>265</v>
      </c>
      <c r="AC8" s="5">
        <f t="shared" si="15"/>
        <v>671</v>
      </c>
      <c r="AD8" s="84">
        <f t="shared" ref="AD8:AD35" si="30">AC8-AC7</f>
        <v>0</v>
      </c>
      <c r="AE8" s="5">
        <v>144.22999999999999</v>
      </c>
      <c r="AF8" s="84">
        <f t="shared" si="19"/>
        <v>0</v>
      </c>
      <c r="AG8" s="5">
        <v>1468.6</v>
      </c>
      <c r="AH8" s="84">
        <f t="shared" si="20"/>
        <v>0.35999999999989996</v>
      </c>
      <c r="AI8" s="84">
        <f t="shared" si="21"/>
        <v>0.35999999999989996</v>
      </c>
      <c r="AJ8" s="341">
        <f t="shared" si="22"/>
        <v>34</v>
      </c>
      <c r="AK8" s="342">
        <f t="shared" si="5"/>
        <v>60</v>
      </c>
      <c r="AL8" s="342">
        <f t="shared" si="23"/>
        <v>34</v>
      </c>
      <c r="AM8" s="342">
        <f>'General information '!D8</f>
        <v>17</v>
      </c>
      <c r="AN8" s="85">
        <f>'General information '!H8</f>
        <v>0</v>
      </c>
      <c r="AO8" s="85"/>
      <c r="AP8" s="85">
        <f>'General information '!J8</f>
        <v>33</v>
      </c>
      <c r="AQ8" s="82"/>
      <c r="AR8" s="286">
        <f t="shared" si="24"/>
        <v>43924</v>
      </c>
      <c r="AS8" s="445">
        <f t="shared" si="6"/>
        <v>0.9</v>
      </c>
      <c r="AT8" s="205">
        <v>192</v>
      </c>
      <c r="AU8" s="446">
        <v>1.1000000000000001</v>
      </c>
      <c r="AV8" s="205">
        <v>97</v>
      </c>
      <c r="AW8" s="5">
        <v>2.9</v>
      </c>
      <c r="AX8" s="205">
        <v>169</v>
      </c>
      <c r="AY8" s="449">
        <f t="shared" si="7"/>
        <v>172.8</v>
      </c>
      <c r="AZ8" s="449">
        <f t="shared" si="25"/>
        <v>106.7</v>
      </c>
      <c r="BA8" s="449">
        <f t="shared" si="26"/>
        <v>490.09999999999997</v>
      </c>
      <c r="BB8" s="21">
        <f t="shared" si="27"/>
        <v>100.80000000000001</v>
      </c>
      <c r="BC8" s="21">
        <f t="shared" si="28"/>
        <v>24.200000000000003</v>
      </c>
      <c r="BD8" s="21">
        <f t="shared" si="28"/>
        <v>26.099999999999966</v>
      </c>
      <c r="BE8" s="24">
        <f t="shared" si="29"/>
        <v>151.09999999999997</v>
      </c>
      <c r="BF8" s="97">
        <f t="shared" si="8"/>
        <v>148.90000000000003</v>
      </c>
      <c r="BG8" s="83">
        <f t="shared" si="9"/>
        <v>151.09999999999997</v>
      </c>
      <c r="BI8" s="87"/>
      <c r="BJ8" s="17"/>
      <c r="BK8" s="17"/>
    </row>
    <row r="9" spans="1:65" ht="15.75" thickBot="1">
      <c r="A9" s="6">
        <f>ELEC!C6</f>
        <v>43925</v>
      </c>
      <c r="B9" s="5">
        <v>108473</v>
      </c>
      <c r="C9" s="5">
        <f t="shared" si="10"/>
        <v>0</v>
      </c>
      <c r="D9" s="440">
        <f t="shared" si="11"/>
        <v>0</v>
      </c>
      <c r="E9" s="348">
        <f>SUM((C9*$E$4)+(7500/'EDl log'!$A$37))</f>
        <v>250</v>
      </c>
      <c r="F9" s="439"/>
      <c r="G9" s="5">
        <f t="shared" ref="G9:G35" si="31">G8</f>
        <v>595500</v>
      </c>
      <c r="H9" s="5">
        <f t="shared" si="12"/>
        <v>0</v>
      </c>
      <c r="I9" s="5">
        <f t="shared" si="0"/>
        <v>0</v>
      </c>
      <c r="J9" s="349">
        <f t="shared" si="1"/>
        <v>0</v>
      </c>
      <c r="K9" s="5">
        <f>'Swimming Pool quality check '!H9</f>
        <v>5983</v>
      </c>
      <c r="L9" s="84">
        <f t="shared" ref="L9:L35" si="32">K9-K8</f>
        <v>709</v>
      </c>
      <c r="M9" s="431">
        <f t="shared" si="13"/>
        <v>457.44</v>
      </c>
      <c r="N9" s="541">
        <f t="shared" si="2"/>
        <v>0</v>
      </c>
      <c r="O9" s="431">
        <f t="shared" si="14"/>
        <v>529.52</v>
      </c>
      <c r="P9" s="541">
        <f t="shared" si="3"/>
        <v>0</v>
      </c>
      <c r="Q9" s="542">
        <f>P9+N9</f>
        <v>0</v>
      </c>
      <c r="R9" s="541"/>
      <c r="S9" s="541"/>
      <c r="T9" s="5">
        <v>4748</v>
      </c>
      <c r="U9" s="5">
        <f t="shared" si="4"/>
        <v>1</v>
      </c>
      <c r="V9" s="5">
        <f t="shared" si="15"/>
        <v>401</v>
      </c>
      <c r="W9" s="339">
        <f t="shared" si="16"/>
        <v>0</v>
      </c>
      <c r="X9" s="5">
        <v>142541</v>
      </c>
      <c r="Y9" s="339">
        <f t="shared" si="17"/>
        <v>10</v>
      </c>
      <c r="Z9" s="5">
        <v>93777</v>
      </c>
      <c r="AA9" s="84">
        <f t="shared" si="18"/>
        <v>0</v>
      </c>
      <c r="AB9" s="5">
        <v>265</v>
      </c>
      <c r="AC9" s="5">
        <f t="shared" si="15"/>
        <v>671</v>
      </c>
      <c r="AD9" s="84">
        <f t="shared" si="30"/>
        <v>0</v>
      </c>
      <c r="AE9" s="5">
        <f t="shared" si="15"/>
        <v>144.22999999999999</v>
      </c>
      <c r="AF9" s="84">
        <f t="shared" si="19"/>
        <v>0</v>
      </c>
      <c r="AG9" s="5">
        <f t="shared" si="15"/>
        <v>1468.6</v>
      </c>
      <c r="AH9" s="84">
        <f t="shared" si="20"/>
        <v>0</v>
      </c>
      <c r="AI9" s="84">
        <f t="shared" si="21"/>
        <v>0</v>
      </c>
      <c r="AJ9" s="341">
        <f t="shared" si="22"/>
        <v>0</v>
      </c>
      <c r="AK9" s="342">
        <f t="shared" si="5"/>
        <v>-699</v>
      </c>
      <c r="AL9" s="342">
        <f t="shared" si="23"/>
        <v>0</v>
      </c>
      <c r="AM9" s="342">
        <f>'General information '!D9</f>
        <v>18.5</v>
      </c>
      <c r="AN9" s="85">
        <f>'General information '!H9</f>
        <v>0</v>
      </c>
      <c r="AO9" s="85"/>
      <c r="AP9" s="85">
        <f>'General information '!J9</f>
        <v>39</v>
      </c>
      <c r="AQ9" s="82"/>
      <c r="AR9" s="286">
        <f t="shared" si="24"/>
        <v>43925</v>
      </c>
      <c r="AS9" s="445">
        <f t="shared" si="6"/>
        <v>0.9</v>
      </c>
      <c r="AT9" s="205">
        <v>185</v>
      </c>
      <c r="AU9" s="446">
        <f t="shared" ref="AU9:AU35" si="33">AU8</f>
        <v>1.1000000000000001</v>
      </c>
      <c r="AV9" s="205">
        <v>82</v>
      </c>
      <c r="AW9" s="5">
        <v>2.9</v>
      </c>
      <c r="AX9" s="205">
        <v>165</v>
      </c>
      <c r="AY9" s="449">
        <f t="shared" si="7"/>
        <v>166.5</v>
      </c>
      <c r="AZ9" s="449">
        <f t="shared" si="25"/>
        <v>90.2</v>
      </c>
      <c r="BA9" s="449">
        <f t="shared" si="26"/>
        <v>478.5</v>
      </c>
      <c r="BB9" s="21">
        <f t="shared" si="27"/>
        <v>-6.3000000000000114</v>
      </c>
      <c r="BC9" s="21">
        <f t="shared" si="28"/>
        <v>-16.5</v>
      </c>
      <c r="BD9" s="21">
        <f t="shared" si="28"/>
        <v>-11.599999999999966</v>
      </c>
      <c r="BE9" s="24">
        <f t="shared" si="29"/>
        <v>-34.399999999999977</v>
      </c>
      <c r="BF9" s="364">
        <f t="shared" si="8"/>
        <v>34.399999999999977</v>
      </c>
      <c r="BG9" s="83">
        <f t="shared" si="9"/>
        <v>-34.399999999999977</v>
      </c>
    </row>
    <row r="10" spans="1:65" ht="15.75" thickBot="1">
      <c r="A10" s="6">
        <f>ELEC!C7</f>
        <v>43926</v>
      </c>
      <c r="B10" s="5">
        <f t="shared" ref="B10:B35" si="34">B9</f>
        <v>108473</v>
      </c>
      <c r="C10" s="5">
        <f t="shared" si="10"/>
        <v>0</v>
      </c>
      <c r="D10" s="440">
        <f t="shared" si="11"/>
        <v>0</v>
      </c>
      <c r="E10" s="348">
        <f>SUM((C10*$E$4)+(7500/'EDl log'!$A$37))</f>
        <v>250</v>
      </c>
      <c r="F10" s="439"/>
      <c r="G10" s="5">
        <v>595666</v>
      </c>
      <c r="H10" s="5">
        <f t="shared" si="12"/>
        <v>166</v>
      </c>
      <c r="I10" s="5">
        <f t="shared" si="0"/>
        <v>166</v>
      </c>
      <c r="J10" s="349">
        <f t="shared" si="1"/>
        <v>1.5060240963855422</v>
      </c>
      <c r="K10" s="5">
        <f>'Swimming Pool quality check '!H10</f>
        <v>5985</v>
      </c>
      <c r="L10" s="84">
        <f>K10-K9</f>
        <v>2</v>
      </c>
      <c r="M10" s="431">
        <f t="shared" si="13"/>
        <v>457.44</v>
      </c>
      <c r="N10" s="541">
        <f t="shared" si="2"/>
        <v>0</v>
      </c>
      <c r="O10" s="431">
        <f t="shared" si="14"/>
        <v>529.52</v>
      </c>
      <c r="P10" s="541">
        <f t="shared" si="3"/>
        <v>0</v>
      </c>
      <c r="Q10" s="542">
        <f>P10+N10</f>
        <v>0</v>
      </c>
      <c r="R10" s="541"/>
      <c r="S10" s="541"/>
      <c r="T10" s="5">
        <v>4749</v>
      </c>
      <c r="U10" s="5">
        <f t="shared" si="4"/>
        <v>1</v>
      </c>
      <c r="V10" s="5">
        <f t="shared" si="15"/>
        <v>401</v>
      </c>
      <c r="W10" s="339">
        <f t="shared" si="16"/>
        <v>0</v>
      </c>
      <c r="X10" s="5">
        <f t="shared" si="15"/>
        <v>142541</v>
      </c>
      <c r="Y10" s="339">
        <f t="shared" si="17"/>
        <v>0</v>
      </c>
      <c r="Z10" s="5">
        <v>93847</v>
      </c>
      <c r="AA10" s="84">
        <f t="shared" si="18"/>
        <v>70</v>
      </c>
      <c r="AB10" s="5">
        <f t="shared" si="15"/>
        <v>265</v>
      </c>
      <c r="AC10" s="5">
        <f t="shared" si="15"/>
        <v>671</v>
      </c>
      <c r="AD10" s="84">
        <f t="shared" si="30"/>
        <v>0</v>
      </c>
      <c r="AE10" s="5">
        <v>144.52000000000001</v>
      </c>
      <c r="AF10" s="84">
        <f t="shared" si="19"/>
        <v>0.29000000000002046</v>
      </c>
      <c r="AG10" s="5">
        <v>1473.72</v>
      </c>
      <c r="AH10" s="84">
        <f t="shared" si="20"/>
        <v>5.1200000000001182</v>
      </c>
      <c r="AI10" s="84">
        <f t="shared" si="21"/>
        <v>5.4100000000001387</v>
      </c>
      <c r="AJ10" s="341">
        <f t="shared" si="22"/>
        <v>70</v>
      </c>
      <c r="AK10" s="342">
        <f t="shared" si="5"/>
        <v>-2</v>
      </c>
      <c r="AL10" s="342">
        <f t="shared" si="23"/>
        <v>70</v>
      </c>
      <c r="AM10" s="342">
        <f>'General information '!D10</f>
        <v>25.5</v>
      </c>
      <c r="AN10" s="85">
        <f>'General information '!H10</f>
        <v>0</v>
      </c>
      <c r="AO10" s="85"/>
      <c r="AP10" s="85">
        <f>'General information '!J10</f>
        <v>68</v>
      </c>
      <c r="AQ10" s="82"/>
      <c r="AR10" s="286">
        <f t="shared" si="24"/>
        <v>43926</v>
      </c>
      <c r="AS10" s="445">
        <f t="shared" si="6"/>
        <v>0.9</v>
      </c>
      <c r="AT10" s="205">
        <v>175</v>
      </c>
      <c r="AU10" s="446">
        <f t="shared" si="33"/>
        <v>1.1000000000000001</v>
      </c>
      <c r="AV10" s="205">
        <v>90</v>
      </c>
      <c r="AW10" s="5">
        <v>2.9</v>
      </c>
      <c r="AX10" s="205">
        <v>160</v>
      </c>
      <c r="AY10" s="449">
        <f t="shared" si="7"/>
        <v>157.5</v>
      </c>
      <c r="AZ10" s="449">
        <f t="shared" si="25"/>
        <v>99.000000000000014</v>
      </c>
      <c r="BA10" s="449">
        <f t="shared" si="26"/>
        <v>464</v>
      </c>
      <c r="BB10" s="21">
        <f t="shared" si="27"/>
        <v>-9</v>
      </c>
      <c r="BC10" s="21">
        <f t="shared" si="28"/>
        <v>8.8000000000000114</v>
      </c>
      <c r="BD10" s="21">
        <f t="shared" si="28"/>
        <v>-14.5</v>
      </c>
      <c r="BE10" s="24">
        <f t="shared" si="29"/>
        <v>-14.699999999999989</v>
      </c>
      <c r="BF10" s="97">
        <f t="shared" si="8"/>
        <v>180.7</v>
      </c>
      <c r="BG10" s="83">
        <f t="shared" si="9"/>
        <v>-14.699999999999989</v>
      </c>
    </row>
    <row r="11" spans="1:65" ht="15.75" thickBot="1">
      <c r="A11" s="6">
        <f>ELEC!C8</f>
        <v>43927</v>
      </c>
      <c r="B11" s="5">
        <v>108473</v>
      </c>
      <c r="C11" s="5">
        <f t="shared" si="10"/>
        <v>0</v>
      </c>
      <c r="D11" s="440">
        <f t="shared" si="11"/>
        <v>0</v>
      </c>
      <c r="E11" s="348">
        <f>SUM((C11*$E$4)+(7500/'EDl log'!$A$37))</f>
        <v>250</v>
      </c>
      <c r="F11" s="439"/>
      <c r="G11" s="5">
        <v>595685</v>
      </c>
      <c r="H11" s="5">
        <f t="shared" si="12"/>
        <v>19</v>
      </c>
      <c r="I11" s="5">
        <f t="shared" si="0"/>
        <v>19</v>
      </c>
      <c r="J11" s="349">
        <f t="shared" si="1"/>
        <v>13.157894736842104</v>
      </c>
      <c r="K11" s="5">
        <f>'Swimming Pool quality check '!H11</f>
        <v>6006</v>
      </c>
      <c r="L11" s="84">
        <f t="shared" si="32"/>
        <v>21</v>
      </c>
      <c r="M11" s="431">
        <f t="shared" si="13"/>
        <v>457.44</v>
      </c>
      <c r="N11" s="541">
        <f t="shared" si="2"/>
        <v>0</v>
      </c>
      <c r="O11" s="431">
        <f t="shared" si="14"/>
        <v>529.52</v>
      </c>
      <c r="P11" s="541">
        <f t="shared" si="3"/>
        <v>0</v>
      </c>
      <c r="Q11" s="541">
        <f>SUM(P11+N11)</f>
        <v>0</v>
      </c>
      <c r="R11" s="541"/>
      <c r="S11" s="541"/>
      <c r="T11" s="5">
        <v>4750</v>
      </c>
      <c r="U11" s="5">
        <f t="shared" si="4"/>
        <v>1</v>
      </c>
      <c r="V11" s="5">
        <f t="shared" si="15"/>
        <v>401</v>
      </c>
      <c r="W11" s="339">
        <f t="shared" si="16"/>
        <v>0</v>
      </c>
      <c r="X11" s="5">
        <v>142545</v>
      </c>
      <c r="Y11" s="339">
        <f t="shared" si="17"/>
        <v>4</v>
      </c>
      <c r="Z11" s="5">
        <v>93847</v>
      </c>
      <c r="AA11" s="84">
        <f t="shared" si="18"/>
        <v>0</v>
      </c>
      <c r="AB11" s="5">
        <v>265</v>
      </c>
      <c r="AC11" s="5">
        <f t="shared" si="15"/>
        <v>671</v>
      </c>
      <c r="AD11" s="84">
        <f t="shared" si="30"/>
        <v>0</v>
      </c>
      <c r="AE11" s="5">
        <f t="shared" si="15"/>
        <v>144.52000000000001</v>
      </c>
      <c r="AF11" s="84">
        <f t="shared" si="19"/>
        <v>0</v>
      </c>
      <c r="AG11" s="5">
        <v>1474.06</v>
      </c>
      <c r="AH11" s="84">
        <f t="shared" si="20"/>
        <v>0.33999999999991815</v>
      </c>
      <c r="AI11" s="84">
        <f t="shared" si="21"/>
        <v>0.33999999999991815</v>
      </c>
      <c r="AJ11" s="341">
        <f t="shared" si="22"/>
        <v>0</v>
      </c>
      <c r="AK11" s="342">
        <f t="shared" si="5"/>
        <v>-17</v>
      </c>
      <c r="AL11" s="342">
        <f t="shared" si="23"/>
        <v>0</v>
      </c>
      <c r="AM11" s="342">
        <f>'General information '!D11</f>
        <v>18</v>
      </c>
      <c r="AN11" s="85">
        <f>'General information '!H11</f>
        <v>0</v>
      </c>
      <c r="AO11" s="85"/>
      <c r="AP11" s="85">
        <f>'General information '!J11</f>
        <v>31</v>
      </c>
      <c r="AQ11" s="82"/>
      <c r="AR11" s="286">
        <f t="shared" si="24"/>
        <v>43927</v>
      </c>
      <c r="AS11" s="445">
        <f t="shared" si="6"/>
        <v>0.9</v>
      </c>
      <c r="AT11" s="205">
        <v>170</v>
      </c>
      <c r="AU11" s="446">
        <f t="shared" si="33"/>
        <v>1.1000000000000001</v>
      </c>
      <c r="AV11" s="205">
        <v>120</v>
      </c>
      <c r="AW11" s="5">
        <v>2.9</v>
      </c>
      <c r="AX11" s="205">
        <v>157</v>
      </c>
      <c r="AY11" s="449">
        <f t="shared" si="7"/>
        <v>153</v>
      </c>
      <c r="AZ11" s="449">
        <f t="shared" si="25"/>
        <v>132</v>
      </c>
      <c r="BA11" s="449">
        <f t="shared" si="26"/>
        <v>455.3</v>
      </c>
      <c r="BB11" s="21">
        <f t="shared" si="27"/>
        <v>-4.5</v>
      </c>
      <c r="BC11" s="21">
        <f t="shared" si="28"/>
        <v>32.999999999999986</v>
      </c>
      <c r="BD11" s="21">
        <f t="shared" si="28"/>
        <v>-8.6999999999999886</v>
      </c>
      <c r="BE11" s="24">
        <f t="shared" si="29"/>
        <v>19.799999999999997</v>
      </c>
      <c r="BF11" s="97">
        <f t="shared" si="8"/>
        <v>-0.79999999999999716</v>
      </c>
      <c r="BG11" s="83">
        <f t="shared" si="9"/>
        <v>19.799999999999997</v>
      </c>
    </row>
    <row r="12" spans="1:65" ht="15.75" thickBot="1">
      <c r="A12" s="6">
        <f>ELEC!C9</f>
        <v>43928</v>
      </c>
      <c r="B12" s="5">
        <v>108473</v>
      </c>
      <c r="C12" s="5">
        <f>B12-B11</f>
        <v>0</v>
      </c>
      <c r="D12" s="440">
        <f t="shared" si="11"/>
        <v>0</v>
      </c>
      <c r="E12" s="348">
        <f>SUM((C12*$E$4)+(7500/'EDl log'!$A$37))</f>
        <v>250</v>
      </c>
      <c r="F12" s="439"/>
      <c r="G12" s="5">
        <v>595685</v>
      </c>
      <c r="H12" s="5">
        <f t="shared" si="12"/>
        <v>0</v>
      </c>
      <c r="I12" s="5">
        <f t="shared" si="0"/>
        <v>0</v>
      </c>
      <c r="J12" s="349">
        <f t="shared" si="1"/>
        <v>0</v>
      </c>
      <c r="K12" s="5">
        <f>'Swimming Pool quality check '!H12</f>
        <v>6007</v>
      </c>
      <c r="L12" s="84">
        <f t="shared" si="32"/>
        <v>1</v>
      </c>
      <c r="M12" s="431">
        <f t="shared" si="13"/>
        <v>457.44</v>
      </c>
      <c r="N12" s="541">
        <f t="shared" si="2"/>
        <v>0</v>
      </c>
      <c r="O12" s="431">
        <f t="shared" si="14"/>
        <v>529.52</v>
      </c>
      <c r="P12" s="541">
        <f t="shared" si="3"/>
        <v>0</v>
      </c>
      <c r="Q12" s="541">
        <f>SUM(P12+N12)</f>
        <v>0</v>
      </c>
      <c r="R12" s="541"/>
      <c r="S12" s="541"/>
      <c r="T12" s="5">
        <v>4751</v>
      </c>
      <c r="U12" s="5">
        <f t="shared" si="4"/>
        <v>1</v>
      </c>
      <c r="V12" s="5">
        <f t="shared" si="15"/>
        <v>401</v>
      </c>
      <c r="W12" s="339">
        <f t="shared" si="16"/>
        <v>0</v>
      </c>
      <c r="X12" s="5">
        <v>142545</v>
      </c>
      <c r="Y12" s="339">
        <f t="shared" si="17"/>
        <v>0</v>
      </c>
      <c r="Z12" s="5">
        <v>93884</v>
      </c>
      <c r="AA12" s="84">
        <f t="shared" si="18"/>
        <v>37</v>
      </c>
      <c r="AB12" s="5">
        <v>266</v>
      </c>
      <c r="AC12" s="5">
        <f t="shared" si="15"/>
        <v>671</v>
      </c>
      <c r="AD12" s="84">
        <f t="shared" si="30"/>
        <v>0</v>
      </c>
      <c r="AE12" s="5">
        <v>144.52000000000001</v>
      </c>
      <c r="AF12" s="84">
        <f t="shared" si="19"/>
        <v>0</v>
      </c>
      <c r="AG12" s="5">
        <v>1474.34</v>
      </c>
      <c r="AH12" s="84">
        <f t="shared" si="20"/>
        <v>0.27999999999997272</v>
      </c>
      <c r="AI12" s="84">
        <f t="shared" si="21"/>
        <v>0.27999999999997272</v>
      </c>
      <c r="AJ12" s="341">
        <f t="shared" si="22"/>
        <v>37</v>
      </c>
      <c r="AK12" s="342">
        <f t="shared" si="5"/>
        <v>-1</v>
      </c>
      <c r="AL12" s="342">
        <f t="shared" si="23"/>
        <v>37</v>
      </c>
      <c r="AM12" s="342">
        <f>'General information '!D12</f>
        <v>18</v>
      </c>
      <c r="AN12" s="85">
        <f>'General information '!H12</f>
        <v>0</v>
      </c>
      <c r="AO12" s="85"/>
      <c r="AP12" s="85">
        <f>'General information '!J12</f>
        <v>31</v>
      </c>
      <c r="AQ12" s="82"/>
      <c r="AR12" s="286">
        <f t="shared" si="24"/>
        <v>43928</v>
      </c>
      <c r="AS12" s="445">
        <f t="shared" si="6"/>
        <v>0.9</v>
      </c>
      <c r="AT12" s="205">
        <v>161</v>
      </c>
      <c r="AU12" s="446">
        <f t="shared" si="33"/>
        <v>1.1000000000000001</v>
      </c>
      <c r="AV12" s="205">
        <v>133</v>
      </c>
      <c r="AW12" s="5">
        <v>2.9</v>
      </c>
      <c r="AX12" s="205">
        <v>146</v>
      </c>
      <c r="AY12" s="449">
        <f t="shared" si="7"/>
        <v>144.9</v>
      </c>
      <c r="AZ12" s="449">
        <f t="shared" si="25"/>
        <v>146.30000000000001</v>
      </c>
      <c r="BA12" s="449">
        <f t="shared" si="26"/>
        <v>423.4</v>
      </c>
      <c r="BB12" s="21">
        <f t="shared" si="27"/>
        <v>-8.0999999999999943</v>
      </c>
      <c r="BC12" s="21">
        <f t="shared" si="28"/>
        <v>14.300000000000011</v>
      </c>
      <c r="BD12" s="21">
        <f t="shared" si="28"/>
        <v>-31.900000000000034</v>
      </c>
      <c r="BE12" s="24">
        <f t="shared" si="29"/>
        <v>-25.700000000000017</v>
      </c>
      <c r="BF12" s="97">
        <f t="shared" si="8"/>
        <v>25.700000000000017</v>
      </c>
      <c r="BG12" s="83">
        <f t="shared" si="9"/>
        <v>-25.700000000000017</v>
      </c>
    </row>
    <row r="13" spans="1:65" ht="15.75" thickBot="1">
      <c r="A13" s="6">
        <f>ELEC!C10</f>
        <v>43929</v>
      </c>
      <c r="B13" s="5">
        <v>108473</v>
      </c>
      <c r="C13" s="5">
        <f t="shared" si="10"/>
        <v>0</v>
      </c>
      <c r="D13" s="440">
        <f t="shared" si="11"/>
        <v>0</v>
      </c>
      <c r="E13" s="348">
        <f>SUM((C13*$E$4)+(7500/'EDl log'!$A$37))</f>
        <v>250</v>
      </c>
      <c r="F13" s="439"/>
      <c r="G13" s="5">
        <v>595714</v>
      </c>
      <c r="H13" s="5">
        <f t="shared" si="12"/>
        <v>29</v>
      </c>
      <c r="I13" s="5">
        <f t="shared" si="0"/>
        <v>29</v>
      </c>
      <c r="J13" s="349">
        <f t="shared" si="1"/>
        <v>8.6206896551724146</v>
      </c>
      <c r="K13" s="5">
        <f>'Swimming Pool quality check '!H13</f>
        <v>6013</v>
      </c>
      <c r="L13" s="84">
        <f t="shared" si="32"/>
        <v>6</v>
      </c>
      <c r="M13" s="431">
        <f t="shared" si="13"/>
        <v>457.44</v>
      </c>
      <c r="N13" s="541">
        <f t="shared" si="2"/>
        <v>0</v>
      </c>
      <c r="O13" s="431">
        <f t="shared" si="14"/>
        <v>529.52</v>
      </c>
      <c r="P13" s="541">
        <f t="shared" si="3"/>
        <v>0</v>
      </c>
      <c r="Q13" s="541">
        <f>SUM(P13+N13)</f>
        <v>0</v>
      </c>
      <c r="R13" s="541"/>
      <c r="S13" s="541"/>
      <c r="T13" s="5">
        <v>4751</v>
      </c>
      <c r="U13" s="5">
        <f t="shared" si="4"/>
        <v>0</v>
      </c>
      <c r="V13" s="5">
        <v>401</v>
      </c>
      <c r="W13" s="339">
        <f t="shared" si="16"/>
        <v>0</v>
      </c>
      <c r="X13" s="5">
        <v>142626</v>
      </c>
      <c r="Y13" s="339">
        <f t="shared" si="17"/>
        <v>81</v>
      </c>
      <c r="Z13" s="5">
        <v>93884</v>
      </c>
      <c r="AA13" s="84">
        <f t="shared" si="18"/>
        <v>0</v>
      </c>
      <c r="AB13" s="5">
        <v>266</v>
      </c>
      <c r="AC13" s="5">
        <f t="shared" si="15"/>
        <v>671</v>
      </c>
      <c r="AD13" s="84">
        <f t="shared" si="30"/>
        <v>0</v>
      </c>
      <c r="AE13" s="5">
        <v>144.52000000000001</v>
      </c>
      <c r="AF13" s="84">
        <f t="shared" si="19"/>
        <v>0</v>
      </c>
      <c r="AG13" s="5">
        <v>1474.62</v>
      </c>
      <c r="AH13" s="84">
        <f t="shared" si="20"/>
        <v>0.27999999999997272</v>
      </c>
      <c r="AI13" s="84">
        <f t="shared" si="21"/>
        <v>0.27999999999997272</v>
      </c>
      <c r="AJ13" s="341">
        <f t="shared" si="22"/>
        <v>0</v>
      </c>
      <c r="AK13" s="342">
        <f t="shared" si="5"/>
        <v>75</v>
      </c>
      <c r="AL13" s="342">
        <f t="shared" si="23"/>
        <v>0</v>
      </c>
      <c r="AM13" s="342">
        <f>'General information '!D13</f>
        <v>17</v>
      </c>
      <c r="AN13" s="85">
        <f>'General information '!J13</f>
        <v>48</v>
      </c>
      <c r="AO13" s="85"/>
      <c r="AP13" s="85">
        <f>'General information '!J13</f>
        <v>48</v>
      </c>
      <c r="AQ13" s="96"/>
      <c r="AR13" s="286">
        <f t="shared" si="24"/>
        <v>43929</v>
      </c>
      <c r="AS13" s="445">
        <f t="shared" si="6"/>
        <v>0.9</v>
      </c>
      <c r="AT13" s="205">
        <v>80</v>
      </c>
      <c r="AU13" s="446">
        <f t="shared" si="33"/>
        <v>1.1000000000000001</v>
      </c>
      <c r="AV13" s="205">
        <v>124</v>
      </c>
      <c r="AW13" s="5">
        <v>2.9</v>
      </c>
      <c r="AX13" s="205">
        <v>163</v>
      </c>
      <c r="AY13" s="449">
        <f t="shared" si="7"/>
        <v>72</v>
      </c>
      <c r="AZ13" s="449">
        <f t="shared" si="25"/>
        <v>136.4</v>
      </c>
      <c r="BA13" s="449">
        <f t="shared" si="26"/>
        <v>472.7</v>
      </c>
      <c r="BB13" s="21">
        <f t="shared" si="27"/>
        <v>-72.900000000000006</v>
      </c>
      <c r="BC13" s="21">
        <f t="shared" si="28"/>
        <v>-9.9000000000000057</v>
      </c>
      <c r="BD13" s="21">
        <f t="shared" si="28"/>
        <v>49.300000000000011</v>
      </c>
      <c r="BE13" s="24">
        <f t="shared" si="29"/>
        <v>-33.5</v>
      </c>
      <c r="BF13" s="97">
        <f t="shared" si="8"/>
        <v>62.5</v>
      </c>
      <c r="BG13" s="83">
        <f t="shared" si="9"/>
        <v>-33.5</v>
      </c>
    </row>
    <row r="14" spans="1:65" ht="15.75" thickBot="1">
      <c r="A14" s="6">
        <f>ELEC!C11</f>
        <v>43930</v>
      </c>
      <c r="B14" s="5">
        <f t="shared" si="34"/>
        <v>108473</v>
      </c>
      <c r="C14" s="5">
        <f t="shared" si="10"/>
        <v>0</v>
      </c>
      <c r="D14" s="440">
        <f t="shared" si="11"/>
        <v>0</v>
      </c>
      <c r="E14" s="348">
        <f>SUM((C14*$E$4)+(7500/'EDl log'!$A$37))</f>
        <v>250</v>
      </c>
      <c r="F14" s="439"/>
      <c r="G14" s="5">
        <v>596001</v>
      </c>
      <c r="H14" s="5">
        <f t="shared" si="12"/>
        <v>287</v>
      </c>
      <c r="I14" s="5">
        <f t="shared" si="0"/>
        <v>287</v>
      </c>
      <c r="J14" s="349">
        <f t="shared" si="1"/>
        <v>0.87108013937282225</v>
      </c>
      <c r="K14" s="5">
        <f>'Swimming Pool quality check '!H14</f>
        <v>6017</v>
      </c>
      <c r="L14" s="84">
        <f t="shared" si="32"/>
        <v>4</v>
      </c>
      <c r="M14" s="431">
        <f t="shared" si="13"/>
        <v>457.44</v>
      </c>
      <c r="N14" s="541">
        <f t="shared" ref="N14:N35" si="35">SUM(M14-M13)</f>
        <v>0</v>
      </c>
      <c r="O14" s="431">
        <f t="shared" si="14"/>
        <v>529.52</v>
      </c>
      <c r="P14" s="541">
        <f t="shared" ref="P14:P35" si="36">SUM(O14-O13)</f>
        <v>0</v>
      </c>
      <c r="Q14" s="541">
        <f t="shared" ref="Q14:Q35" si="37">SUM(P14+N14)</f>
        <v>0</v>
      </c>
      <c r="R14" s="541"/>
      <c r="S14" s="541"/>
      <c r="T14" s="5">
        <v>4753</v>
      </c>
      <c r="U14" s="5">
        <f t="shared" si="4"/>
        <v>2</v>
      </c>
      <c r="V14" s="5">
        <v>402</v>
      </c>
      <c r="W14" s="339">
        <f t="shared" si="16"/>
        <v>1</v>
      </c>
      <c r="X14" s="5">
        <v>142704</v>
      </c>
      <c r="Y14" s="339">
        <f t="shared" si="17"/>
        <v>78</v>
      </c>
      <c r="Z14" s="5">
        <v>93908</v>
      </c>
      <c r="AA14" s="84">
        <f t="shared" si="18"/>
        <v>24</v>
      </c>
      <c r="AB14" s="5">
        <v>266</v>
      </c>
      <c r="AC14" s="5">
        <f t="shared" si="15"/>
        <v>671</v>
      </c>
      <c r="AD14" s="84">
        <f t="shared" si="30"/>
        <v>0</v>
      </c>
      <c r="AE14" s="5">
        <v>146.13999999999999</v>
      </c>
      <c r="AF14" s="84">
        <f t="shared" si="19"/>
        <v>1.6199999999999761</v>
      </c>
      <c r="AG14" s="5">
        <v>1485.52</v>
      </c>
      <c r="AH14" s="84">
        <f t="shared" si="20"/>
        <v>10.900000000000091</v>
      </c>
      <c r="AI14" s="84">
        <f t="shared" si="21"/>
        <v>12.520000000000067</v>
      </c>
      <c r="AJ14" s="341">
        <f t="shared" si="22"/>
        <v>24</v>
      </c>
      <c r="AK14" s="342">
        <f t="shared" si="5"/>
        <v>74</v>
      </c>
      <c r="AL14" s="342">
        <f t="shared" si="23"/>
        <v>23</v>
      </c>
      <c r="AM14" s="342">
        <f>'General information '!D14</f>
        <v>16.5</v>
      </c>
      <c r="AN14" s="85">
        <f>'General information '!H14</f>
        <v>0</v>
      </c>
      <c r="AO14" s="85"/>
      <c r="AP14" s="85">
        <f>'General information '!J14</f>
        <v>25</v>
      </c>
      <c r="AQ14" s="82"/>
      <c r="AR14" s="286">
        <f t="shared" si="24"/>
        <v>43930</v>
      </c>
      <c r="AS14" s="445">
        <f t="shared" si="6"/>
        <v>0.9</v>
      </c>
      <c r="AT14" s="205">
        <v>176</v>
      </c>
      <c r="AU14" s="446">
        <f t="shared" si="33"/>
        <v>1.1000000000000001</v>
      </c>
      <c r="AV14" s="205">
        <v>133</v>
      </c>
      <c r="AW14" s="5">
        <v>2.9</v>
      </c>
      <c r="AX14" s="205">
        <v>180</v>
      </c>
      <c r="AY14" s="449">
        <f t="shared" si="7"/>
        <v>158.4</v>
      </c>
      <c r="AZ14" s="449">
        <f t="shared" si="25"/>
        <v>146.30000000000001</v>
      </c>
      <c r="BA14" s="449">
        <f t="shared" si="26"/>
        <v>522</v>
      </c>
      <c r="BB14" s="21">
        <f t="shared" si="27"/>
        <v>86.4</v>
      </c>
      <c r="BC14" s="21">
        <f t="shared" si="28"/>
        <v>9.9000000000000057</v>
      </c>
      <c r="BD14" s="21">
        <f t="shared" si="28"/>
        <v>49.300000000000011</v>
      </c>
      <c r="BE14" s="24">
        <f t="shared" si="29"/>
        <v>145.60000000000002</v>
      </c>
      <c r="BF14" s="97">
        <f t="shared" si="8"/>
        <v>141.39999999999998</v>
      </c>
      <c r="BG14" s="83">
        <f t="shared" si="9"/>
        <v>145.60000000000002</v>
      </c>
    </row>
    <row r="15" spans="1:65" ht="16.5" customHeight="1" thickBot="1">
      <c r="A15" s="6">
        <f>ELEC!C12</f>
        <v>43931</v>
      </c>
      <c r="B15" s="5">
        <v>108473</v>
      </c>
      <c r="C15" s="5">
        <f t="shared" si="10"/>
        <v>0</v>
      </c>
      <c r="D15" s="440">
        <f t="shared" si="11"/>
        <v>0</v>
      </c>
      <c r="E15" s="348">
        <f>SUM((C15*$E$4)+(7500/'EDl log'!$A$37))</f>
        <v>250</v>
      </c>
      <c r="F15" s="439"/>
      <c r="G15" s="5">
        <f t="shared" si="31"/>
        <v>596001</v>
      </c>
      <c r="H15" s="5">
        <f t="shared" si="12"/>
        <v>0</v>
      </c>
      <c r="I15" s="5">
        <f t="shared" si="0"/>
        <v>0</v>
      </c>
      <c r="J15" s="349">
        <f t="shared" si="1"/>
        <v>0</v>
      </c>
      <c r="K15" s="5">
        <f>'Swimming Pool quality check '!H15</f>
        <v>6020</v>
      </c>
      <c r="L15" s="84">
        <f t="shared" si="32"/>
        <v>3</v>
      </c>
      <c r="M15" s="431">
        <f t="shared" si="13"/>
        <v>457.44</v>
      </c>
      <c r="N15" s="541">
        <f t="shared" si="35"/>
        <v>0</v>
      </c>
      <c r="O15" s="431">
        <f t="shared" si="14"/>
        <v>529.52</v>
      </c>
      <c r="P15" s="541">
        <f t="shared" si="36"/>
        <v>0</v>
      </c>
      <c r="Q15" s="541">
        <f t="shared" si="37"/>
        <v>0</v>
      </c>
      <c r="R15" s="541"/>
      <c r="S15" s="541"/>
      <c r="T15" s="5">
        <v>4754</v>
      </c>
      <c r="U15" s="5">
        <f t="shared" si="4"/>
        <v>1</v>
      </c>
      <c r="V15" s="5">
        <f t="shared" si="15"/>
        <v>402</v>
      </c>
      <c r="W15" s="339">
        <f t="shared" si="16"/>
        <v>0</v>
      </c>
      <c r="X15" s="5">
        <f t="shared" si="15"/>
        <v>142704</v>
      </c>
      <c r="Y15" s="339">
        <f t="shared" si="17"/>
        <v>0</v>
      </c>
      <c r="Z15" s="5">
        <f t="shared" si="15"/>
        <v>93908</v>
      </c>
      <c r="AA15" s="84">
        <f t="shared" si="18"/>
        <v>0</v>
      </c>
      <c r="AB15" s="5">
        <v>266</v>
      </c>
      <c r="AC15" s="5">
        <f t="shared" si="15"/>
        <v>671</v>
      </c>
      <c r="AD15" s="84">
        <f t="shared" si="30"/>
        <v>0</v>
      </c>
      <c r="AE15" s="5">
        <f t="shared" si="15"/>
        <v>146.13999999999999</v>
      </c>
      <c r="AF15" s="84">
        <f t="shared" si="19"/>
        <v>0</v>
      </c>
      <c r="AG15" s="5">
        <f t="shared" si="15"/>
        <v>1485.52</v>
      </c>
      <c r="AH15" s="84">
        <f t="shared" si="20"/>
        <v>0</v>
      </c>
      <c r="AI15" s="84">
        <f t="shared" si="21"/>
        <v>0</v>
      </c>
      <c r="AJ15" s="341">
        <f t="shared" si="22"/>
        <v>0</v>
      </c>
      <c r="AK15" s="342">
        <f t="shared" si="5"/>
        <v>-3</v>
      </c>
      <c r="AL15" s="342">
        <f t="shared" si="23"/>
        <v>0</v>
      </c>
      <c r="AM15" s="342">
        <f>'General information '!D15</f>
        <v>14.5</v>
      </c>
      <c r="AN15" s="85">
        <f>'General information '!H15</f>
        <v>0</v>
      </c>
      <c r="AO15" s="85"/>
      <c r="AP15" s="85">
        <f>'General information '!J15</f>
        <v>52</v>
      </c>
      <c r="AQ15" s="82"/>
      <c r="AR15" s="286">
        <f t="shared" si="24"/>
        <v>43931</v>
      </c>
      <c r="AS15" s="445">
        <f t="shared" si="6"/>
        <v>0.9</v>
      </c>
      <c r="AT15" s="205">
        <f t="shared" si="6"/>
        <v>176</v>
      </c>
      <c r="AU15" s="446">
        <f t="shared" si="33"/>
        <v>1.1000000000000001</v>
      </c>
      <c r="AV15" s="205">
        <v>121</v>
      </c>
      <c r="AW15" s="5">
        <v>2.9</v>
      </c>
      <c r="AX15" s="205">
        <v>179</v>
      </c>
      <c r="AY15" s="449">
        <f t="shared" si="7"/>
        <v>158.4</v>
      </c>
      <c r="AZ15" s="449">
        <f t="shared" si="25"/>
        <v>133.10000000000002</v>
      </c>
      <c r="BA15" s="449">
        <f t="shared" si="26"/>
        <v>519.1</v>
      </c>
      <c r="BB15" s="21">
        <f t="shared" si="27"/>
        <v>0</v>
      </c>
      <c r="BC15" s="21">
        <f t="shared" si="28"/>
        <v>-13.199999999999989</v>
      </c>
      <c r="BD15" s="21">
        <f t="shared" si="28"/>
        <v>-2.8999999999999773</v>
      </c>
      <c r="BE15" s="24">
        <f t="shared" si="29"/>
        <v>-16.099999999999966</v>
      </c>
      <c r="BF15" s="97">
        <f t="shared" si="8"/>
        <v>16.099999999999966</v>
      </c>
      <c r="BG15" s="83">
        <f t="shared" si="9"/>
        <v>-16.099999999999966</v>
      </c>
    </row>
    <row r="16" spans="1:65" ht="15.75" thickBot="1">
      <c r="A16" s="6">
        <f>ELEC!C13</f>
        <v>43932</v>
      </c>
      <c r="B16" s="5">
        <v>108473</v>
      </c>
      <c r="C16" s="5">
        <f t="shared" si="10"/>
        <v>0</v>
      </c>
      <c r="D16" s="440">
        <f t="shared" si="11"/>
        <v>0</v>
      </c>
      <c r="E16" s="348">
        <f>SUM((C16*$E$4)+(7500/'EDl log'!$A$37))</f>
        <v>250</v>
      </c>
      <c r="F16" s="439"/>
      <c r="G16" s="5">
        <f t="shared" si="31"/>
        <v>596001</v>
      </c>
      <c r="H16" s="5">
        <f t="shared" si="12"/>
        <v>0</v>
      </c>
      <c r="I16" s="5">
        <f t="shared" si="0"/>
        <v>0</v>
      </c>
      <c r="J16" s="349">
        <f t="shared" si="1"/>
        <v>0</v>
      </c>
      <c r="K16" s="5">
        <f>'Swimming Pool quality check '!H16</f>
        <v>6021</v>
      </c>
      <c r="L16" s="282">
        <f t="shared" si="32"/>
        <v>1</v>
      </c>
      <c r="M16" s="431">
        <f t="shared" si="13"/>
        <v>457.44</v>
      </c>
      <c r="N16" s="541">
        <f t="shared" si="35"/>
        <v>0</v>
      </c>
      <c r="O16" s="431">
        <f t="shared" si="14"/>
        <v>529.52</v>
      </c>
      <c r="P16" s="541">
        <f t="shared" si="36"/>
        <v>0</v>
      </c>
      <c r="Q16" s="541">
        <f t="shared" si="37"/>
        <v>0</v>
      </c>
      <c r="R16" s="543"/>
      <c r="S16" s="543"/>
      <c r="T16" s="5">
        <v>4755</v>
      </c>
      <c r="U16" s="5">
        <f t="shared" si="4"/>
        <v>1</v>
      </c>
      <c r="V16" s="5">
        <f t="shared" si="15"/>
        <v>402</v>
      </c>
      <c r="W16" s="339">
        <f t="shared" si="16"/>
        <v>0</v>
      </c>
      <c r="X16" s="5">
        <f t="shared" si="15"/>
        <v>142704</v>
      </c>
      <c r="Y16" s="339">
        <f t="shared" si="17"/>
        <v>0</v>
      </c>
      <c r="Z16" s="5">
        <v>93913</v>
      </c>
      <c r="AA16" s="84">
        <f t="shared" si="18"/>
        <v>5</v>
      </c>
      <c r="AB16" s="5">
        <v>266</v>
      </c>
      <c r="AC16" s="5">
        <f t="shared" si="15"/>
        <v>671</v>
      </c>
      <c r="AD16" s="84">
        <f t="shared" si="30"/>
        <v>0</v>
      </c>
      <c r="AE16" s="5">
        <f t="shared" si="15"/>
        <v>146.13999999999999</v>
      </c>
      <c r="AF16" s="84">
        <f t="shared" si="19"/>
        <v>0</v>
      </c>
      <c r="AG16" s="5">
        <v>1486.22</v>
      </c>
      <c r="AH16" s="84">
        <f t="shared" si="20"/>
        <v>0.70000000000004547</v>
      </c>
      <c r="AI16" s="84">
        <f t="shared" si="21"/>
        <v>0.70000000000004547</v>
      </c>
      <c r="AJ16" s="341">
        <f t="shared" si="22"/>
        <v>5</v>
      </c>
      <c r="AK16" s="342">
        <f t="shared" si="5"/>
        <v>-1</v>
      </c>
      <c r="AL16" s="342">
        <f t="shared" si="23"/>
        <v>5</v>
      </c>
      <c r="AM16" s="342">
        <f>'General information '!D16</f>
        <v>15.5</v>
      </c>
      <c r="AN16" s="85">
        <f>'General information '!H16</f>
        <v>0</v>
      </c>
      <c r="AO16" s="85"/>
      <c r="AP16" s="85">
        <f>'General information '!J16</f>
        <v>60</v>
      </c>
      <c r="AQ16" s="82"/>
      <c r="AR16" s="286">
        <f t="shared" si="24"/>
        <v>43932</v>
      </c>
      <c r="AS16" s="445">
        <f t="shared" si="6"/>
        <v>0.9</v>
      </c>
      <c r="AT16" s="205">
        <v>172</v>
      </c>
      <c r="AU16" s="446">
        <f t="shared" si="33"/>
        <v>1.1000000000000001</v>
      </c>
      <c r="AV16" s="205">
        <v>114</v>
      </c>
      <c r="AW16" s="5">
        <v>2.9</v>
      </c>
      <c r="AX16" s="205">
        <v>176</v>
      </c>
      <c r="AY16" s="449">
        <f t="shared" si="7"/>
        <v>154.80000000000001</v>
      </c>
      <c r="AZ16" s="449">
        <f t="shared" si="25"/>
        <v>125.4</v>
      </c>
      <c r="BA16" s="449">
        <f t="shared" si="26"/>
        <v>510.4</v>
      </c>
      <c r="BB16" s="21">
        <f t="shared" si="27"/>
        <v>-3.5999999999999943</v>
      </c>
      <c r="BC16" s="21">
        <f t="shared" si="28"/>
        <v>-7.7000000000000171</v>
      </c>
      <c r="BD16" s="21">
        <f t="shared" si="28"/>
        <v>-8.7000000000000455</v>
      </c>
      <c r="BE16" s="24">
        <f t="shared" si="29"/>
        <v>-20.000000000000057</v>
      </c>
      <c r="BF16" s="97">
        <f t="shared" si="8"/>
        <v>20.000000000000057</v>
      </c>
      <c r="BG16" s="83">
        <f t="shared" si="9"/>
        <v>-20.000000000000057</v>
      </c>
    </row>
    <row r="17" spans="1:61" ht="15.75" thickBot="1">
      <c r="A17" s="6">
        <f>ELEC!C14</f>
        <v>43933</v>
      </c>
      <c r="B17" s="5">
        <v>108473</v>
      </c>
      <c r="C17" s="5">
        <f t="shared" si="10"/>
        <v>0</v>
      </c>
      <c r="D17" s="440">
        <f t="shared" si="11"/>
        <v>0</v>
      </c>
      <c r="E17" s="348">
        <f>SUM((C17*$E$4)+(7500/'EDl log'!$A$37))</f>
        <v>250</v>
      </c>
      <c r="F17" s="439"/>
      <c r="G17" s="5">
        <f t="shared" si="31"/>
        <v>596001</v>
      </c>
      <c r="H17" s="5">
        <f t="shared" si="12"/>
        <v>0</v>
      </c>
      <c r="I17" s="5">
        <f t="shared" si="0"/>
        <v>0</v>
      </c>
      <c r="J17" s="349">
        <f t="shared" si="1"/>
        <v>0</v>
      </c>
      <c r="K17" s="5">
        <f>'Swimming Pool quality check '!H17</f>
        <v>6022</v>
      </c>
      <c r="L17" s="84">
        <f t="shared" si="32"/>
        <v>1</v>
      </c>
      <c r="M17" s="431">
        <f t="shared" si="13"/>
        <v>457.44</v>
      </c>
      <c r="N17" s="541">
        <f t="shared" si="35"/>
        <v>0</v>
      </c>
      <c r="O17" s="431">
        <f t="shared" si="14"/>
        <v>529.52</v>
      </c>
      <c r="P17" s="541">
        <f t="shared" si="36"/>
        <v>0</v>
      </c>
      <c r="Q17" s="541">
        <f t="shared" si="37"/>
        <v>0</v>
      </c>
      <c r="R17" s="541"/>
      <c r="S17" s="541"/>
      <c r="T17" s="5">
        <v>4756</v>
      </c>
      <c r="U17" s="5">
        <f t="shared" si="4"/>
        <v>1</v>
      </c>
      <c r="V17" s="5">
        <f t="shared" si="15"/>
        <v>402</v>
      </c>
      <c r="W17" s="339">
        <f t="shared" si="16"/>
        <v>0</v>
      </c>
      <c r="X17" s="5">
        <f t="shared" si="15"/>
        <v>142704</v>
      </c>
      <c r="Y17" s="339">
        <f t="shared" si="17"/>
        <v>0</v>
      </c>
      <c r="Z17" s="5">
        <f t="shared" si="15"/>
        <v>93913</v>
      </c>
      <c r="AA17" s="84">
        <f t="shared" si="18"/>
        <v>0</v>
      </c>
      <c r="AB17" s="5">
        <v>266</v>
      </c>
      <c r="AC17" s="5">
        <f t="shared" si="15"/>
        <v>671</v>
      </c>
      <c r="AD17" s="84">
        <f t="shared" si="30"/>
        <v>0</v>
      </c>
      <c r="AE17" s="5">
        <f t="shared" si="15"/>
        <v>146.13999999999999</v>
      </c>
      <c r="AF17" s="84">
        <f t="shared" si="19"/>
        <v>0</v>
      </c>
      <c r="AG17" s="5">
        <f t="shared" si="15"/>
        <v>1486.22</v>
      </c>
      <c r="AH17" s="84">
        <f t="shared" si="20"/>
        <v>0</v>
      </c>
      <c r="AI17" s="84">
        <f t="shared" si="21"/>
        <v>0</v>
      </c>
      <c r="AJ17" s="341">
        <f t="shared" si="22"/>
        <v>0</v>
      </c>
      <c r="AK17" s="342">
        <f t="shared" si="5"/>
        <v>-1</v>
      </c>
      <c r="AL17" s="342">
        <f t="shared" si="23"/>
        <v>0</v>
      </c>
      <c r="AM17" s="342">
        <f>'General information '!D17</f>
        <v>17</v>
      </c>
      <c r="AN17" s="85">
        <f>'General information '!H17</f>
        <v>0</v>
      </c>
      <c r="AO17" s="85"/>
      <c r="AP17" s="85">
        <f>'General information '!J17</f>
        <v>71</v>
      </c>
      <c r="AQ17" s="96"/>
      <c r="AR17" s="286">
        <f t="shared" si="24"/>
        <v>43933</v>
      </c>
      <c r="AS17" s="445">
        <f t="shared" si="6"/>
        <v>0.9</v>
      </c>
      <c r="AT17" s="205">
        <f t="shared" si="6"/>
        <v>172</v>
      </c>
      <c r="AU17" s="446">
        <f t="shared" si="33"/>
        <v>1.1000000000000001</v>
      </c>
      <c r="AV17" s="205">
        <v>94</v>
      </c>
      <c r="AW17" s="5">
        <v>2.9</v>
      </c>
      <c r="AX17" s="205">
        <v>166</v>
      </c>
      <c r="AY17" s="449">
        <f t="shared" si="7"/>
        <v>154.80000000000001</v>
      </c>
      <c r="AZ17" s="449">
        <f t="shared" si="25"/>
        <v>103.4</v>
      </c>
      <c r="BA17" s="449">
        <f t="shared" si="26"/>
        <v>481.4</v>
      </c>
      <c r="BB17" s="21">
        <f t="shared" si="27"/>
        <v>0</v>
      </c>
      <c r="BC17" s="21">
        <f t="shared" si="28"/>
        <v>-22</v>
      </c>
      <c r="BD17" s="21">
        <f t="shared" si="28"/>
        <v>-29</v>
      </c>
      <c r="BE17" s="24">
        <f t="shared" si="29"/>
        <v>-51</v>
      </c>
      <c r="BF17" s="97">
        <f t="shared" si="8"/>
        <v>51</v>
      </c>
      <c r="BG17" s="83">
        <f t="shared" si="9"/>
        <v>-51</v>
      </c>
    </row>
    <row r="18" spans="1:61" ht="15.75" thickBot="1">
      <c r="A18" s="6">
        <f>ELEC!C15</f>
        <v>43934</v>
      </c>
      <c r="B18" s="5">
        <f t="shared" si="34"/>
        <v>108473</v>
      </c>
      <c r="C18" s="5">
        <f t="shared" si="10"/>
        <v>0</v>
      </c>
      <c r="D18" s="440">
        <f t="shared" si="11"/>
        <v>0</v>
      </c>
      <c r="E18" s="348">
        <f>SUM((C18*$E$4)+(7500/'EDl log'!$A$37))</f>
        <v>250</v>
      </c>
      <c r="F18" s="439"/>
      <c r="G18" s="5">
        <v>596046</v>
      </c>
      <c r="H18" s="5">
        <f t="shared" si="12"/>
        <v>45</v>
      </c>
      <c r="I18" s="5">
        <f t="shared" si="0"/>
        <v>45</v>
      </c>
      <c r="J18" s="349">
        <f t="shared" si="1"/>
        <v>5.5555555555555554</v>
      </c>
      <c r="K18" s="5">
        <f>'Swimming Pool quality check '!H18</f>
        <v>6026</v>
      </c>
      <c r="L18" s="84">
        <f t="shared" si="32"/>
        <v>4</v>
      </c>
      <c r="M18" s="431">
        <f t="shared" si="13"/>
        <v>457.44</v>
      </c>
      <c r="N18" s="541">
        <f t="shared" si="35"/>
        <v>0</v>
      </c>
      <c r="O18" s="431">
        <f t="shared" si="14"/>
        <v>529.52</v>
      </c>
      <c r="P18" s="541">
        <f t="shared" si="36"/>
        <v>0</v>
      </c>
      <c r="Q18" s="541">
        <f t="shared" si="37"/>
        <v>0</v>
      </c>
      <c r="R18" s="541"/>
      <c r="S18" s="541"/>
      <c r="T18" s="5">
        <v>4758</v>
      </c>
      <c r="U18" s="5">
        <f t="shared" si="4"/>
        <v>2</v>
      </c>
      <c r="V18" s="5">
        <f t="shared" si="15"/>
        <v>402</v>
      </c>
      <c r="W18" s="339">
        <f t="shared" si="16"/>
        <v>0</v>
      </c>
      <c r="X18" s="5">
        <v>142707</v>
      </c>
      <c r="Y18" s="339">
        <f t="shared" si="17"/>
        <v>3</v>
      </c>
      <c r="Z18" s="5">
        <f t="shared" si="15"/>
        <v>93913</v>
      </c>
      <c r="AA18" s="84">
        <f t="shared" si="18"/>
        <v>0</v>
      </c>
      <c r="AB18" s="5">
        <v>266</v>
      </c>
      <c r="AC18" s="5">
        <f t="shared" si="15"/>
        <v>671</v>
      </c>
      <c r="AD18" s="84">
        <f t="shared" si="30"/>
        <v>0</v>
      </c>
      <c r="AE18" s="5">
        <f t="shared" si="15"/>
        <v>146.13999999999999</v>
      </c>
      <c r="AF18" s="84">
        <f t="shared" si="19"/>
        <v>0</v>
      </c>
      <c r="AG18" s="5">
        <f t="shared" si="15"/>
        <v>1486.22</v>
      </c>
      <c r="AH18" s="84">
        <f t="shared" si="20"/>
        <v>0</v>
      </c>
      <c r="AI18" s="84">
        <f t="shared" si="21"/>
        <v>0</v>
      </c>
      <c r="AJ18" s="341">
        <f t="shared" si="22"/>
        <v>0</v>
      </c>
      <c r="AK18" s="342">
        <f t="shared" si="5"/>
        <v>-1</v>
      </c>
      <c r="AL18" s="342">
        <f t="shared" si="23"/>
        <v>0</v>
      </c>
      <c r="AM18" s="342">
        <f>'General information '!D18</f>
        <v>18</v>
      </c>
      <c r="AN18" s="85">
        <f>'General information '!H18</f>
        <v>0</v>
      </c>
      <c r="AO18" s="85"/>
      <c r="AP18" s="85">
        <f>'General information '!J18</f>
        <v>58</v>
      </c>
      <c r="AQ18" s="96"/>
      <c r="AR18" s="286">
        <f t="shared" si="24"/>
        <v>43934</v>
      </c>
      <c r="AS18" s="445">
        <f t="shared" si="6"/>
        <v>0.9</v>
      </c>
      <c r="AT18" s="205">
        <v>190</v>
      </c>
      <c r="AU18" s="446">
        <f>AU17</f>
        <v>1.1000000000000001</v>
      </c>
      <c r="AV18" s="205">
        <v>82</v>
      </c>
      <c r="AW18" s="5">
        <v>2.9</v>
      </c>
      <c r="AX18" s="205">
        <v>158</v>
      </c>
      <c r="AY18" s="449">
        <f t="shared" si="7"/>
        <v>171</v>
      </c>
      <c r="AZ18" s="449">
        <f t="shared" si="25"/>
        <v>90.2</v>
      </c>
      <c r="BA18" s="449">
        <f t="shared" si="26"/>
        <v>458.2</v>
      </c>
      <c r="BB18" s="21">
        <f t="shared" si="27"/>
        <v>16.199999999999989</v>
      </c>
      <c r="BC18" s="21">
        <f>AZ18-AZ17</f>
        <v>-13.200000000000003</v>
      </c>
      <c r="BD18" s="21">
        <f t="shared" si="28"/>
        <v>-23.199999999999989</v>
      </c>
      <c r="BE18" s="24">
        <f t="shared" si="29"/>
        <v>-20.200000000000003</v>
      </c>
      <c r="BF18" s="97">
        <f t="shared" si="8"/>
        <v>65.2</v>
      </c>
      <c r="BG18" s="83">
        <f t="shared" si="9"/>
        <v>-20.200000000000003</v>
      </c>
    </row>
    <row r="19" spans="1:61" ht="15.75" thickBot="1">
      <c r="A19" s="6">
        <f>ELEC!C16</f>
        <v>43935</v>
      </c>
      <c r="B19" s="5">
        <v>108473</v>
      </c>
      <c r="C19" s="5">
        <f t="shared" si="10"/>
        <v>0</v>
      </c>
      <c r="D19" s="440">
        <f t="shared" si="11"/>
        <v>0</v>
      </c>
      <c r="E19" s="348">
        <f>SUM((C19*$E$4)+(7500/'EDl log'!$A$37))</f>
        <v>250</v>
      </c>
      <c r="F19" s="439"/>
      <c r="G19" s="5">
        <v>596046</v>
      </c>
      <c r="H19" s="5">
        <f t="shared" si="12"/>
        <v>0</v>
      </c>
      <c r="I19" s="5">
        <f t="shared" si="0"/>
        <v>0</v>
      </c>
      <c r="J19" s="349">
        <f t="shared" si="1"/>
        <v>0</v>
      </c>
      <c r="K19" s="5">
        <f>'Swimming Pool quality check '!H19</f>
        <v>6028</v>
      </c>
      <c r="L19" s="84">
        <f t="shared" si="32"/>
        <v>2</v>
      </c>
      <c r="M19" s="431">
        <f t="shared" si="13"/>
        <v>457.44</v>
      </c>
      <c r="N19" s="541">
        <f t="shared" si="35"/>
        <v>0</v>
      </c>
      <c r="O19" s="431">
        <f t="shared" si="14"/>
        <v>529.52</v>
      </c>
      <c r="P19" s="541">
        <f t="shared" si="36"/>
        <v>0</v>
      </c>
      <c r="Q19" s="541">
        <f t="shared" si="37"/>
        <v>0</v>
      </c>
      <c r="R19" s="541"/>
      <c r="S19" s="541"/>
      <c r="T19" s="5">
        <v>4760</v>
      </c>
      <c r="U19" s="5">
        <f t="shared" si="4"/>
        <v>2</v>
      </c>
      <c r="V19" s="5">
        <v>402</v>
      </c>
      <c r="W19" s="339">
        <f t="shared" si="16"/>
        <v>0</v>
      </c>
      <c r="X19" s="5">
        <v>142707</v>
      </c>
      <c r="Y19" s="339">
        <f t="shared" si="17"/>
        <v>0</v>
      </c>
      <c r="Z19" s="5">
        <v>93953</v>
      </c>
      <c r="AA19" s="84">
        <f t="shared" si="18"/>
        <v>40</v>
      </c>
      <c r="AB19" s="5">
        <f t="shared" si="15"/>
        <v>266</v>
      </c>
      <c r="AC19" s="5">
        <f t="shared" si="15"/>
        <v>671</v>
      </c>
      <c r="AD19" s="84">
        <f t="shared" si="30"/>
        <v>0</v>
      </c>
      <c r="AE19" s="5">
        <v>146.13999999999999</v>
      </c>
      <c r="AF19" s="84">
        <f t="shared" si="19"/>
        <v>0</v>
      </c>
      <c r="AG19" s="5">
        <v>1487.6</v>
      </c>
      <c r="AH19" s="84">
        <f t="shared" si="20"/>
        <v>1.3799999999998818</v>
      </c>
      <c r="AI19" s="84">
        <f t="shared" si="21"/>
        <v>1.3799999999998818</v>
      </c>
      <c r="AJ19" s="341">
        <f t="shared" si="22"/>
        <v>40</v>
      </c>
      <c r="AK19" s="342">
        <f t="shared" si="5"/>
        <v>-2</v>
      </c>
      <c r="AL19" s="342">
        <f t="shared" si="23"/>
        <v>40</v>
      </c>
      <c r="AM19" s="342">
        <f>'General information '!D19</f>
        <v>19</v>
      </c>
      <c r="AN19" s="85">
        <f>'General information '!H19</f>
        <v>0</v>
      </c>
      <c r="AO19" s="85"/>
      <c r="AP19" s="85">
        <f>'General information '!J19</f>
        <v>91</v>
      </c>
      <c r="AQ19" s="82"/>
      <c r="AR19" s="286">
        <f t="shared" si="24"/>
        <v>43935</v>
      </c>
      <c r="AS19" s="445">
        <f t="shared" si="6"/>
        <v>0.9</v>
      </c>
      <c r="AT19" s="205">
        <v>154</v>
      </c>
      <c r="AU19" s="446">
        <f t="shared" si="33"/>
        <v>1.1000000000000001</v>
      </c>
      <c r="AV19" s="205">
        <v>112</v>
      </c>
      <c r="AW19" s="5">
        <v>2.9</v>
      </c>
      <c r="AX19" s="205">
        <v>154</v>
      </c>
      <c r="AY19" s="449">
        <f t="shared" si="7"/>
        <v>138.6</v>
      </c>
      <c r="AZ19" s="449">
        <f t="shared" si="25"/>
        <v>123.20000000000002</v>
      </c>
      <c r="BA19" s="449">
        <f t="shared" si="26"/>
        <v>446.59999999999997</v>
      </c>
      <c r="BB19" s="21">
        <f t="shared" si="27"/>
        <v>-32.400000000000006</v>
      </c>
      <c r="BC19" s="21">
        <f t="shared" si="28"/>
        <v>33.000000000000014</v>
      </c>
      <c r="BD19" s="21">
        <f t="shared" si="28"/>
        <v>-11.600000000000023</v>
      </c>
      <c r="BE19" s="24">
        <f t="shared" si="29"/>
        <v>-11.000000000000014</v>
      </c>
      <c r="BF19" s="97">
        <f t="shared" si="8"/>
        <v>11.000000000000014</v>
      </c>
      <c r="BG19" s="83">
        <f t="shared" si="9"/>
        <v>-11.000000000000014</v>
      </c>
    </row>
    <row r="20" spans="1:61" ht="15.75" thickBot="1">
      <c r="A20" s="6">
        <f>ELEC!C17</f>
        <v>43936</v>
      </c>
      <c r="B20" s="5">
        <v>108473</v>
      </c>
      <c r="C20" s="5">
        <f t="shared" si="10"/>
        <v>0</v>
      </c>
      <c r="D20" s="440">
        <f t="shared" si="11"/>
        <v>0</v>
      </c>
      <c r="E20" s="348">
        <f>SUM((C20*$E$4)+(7500/'EDl log'!$A$37))</f>
        <v>250</v>
      </c>
      <c r="F20" s="439"/>
      <c r="G20" s="5">
        <v>596065</v>
      </c>
      <c r="H20" s="5">
        <f t="shared" si="12"/>
        <v>19</v>
      </c>
      <c r="I20" s="5">
        <f t="shared" si="0"/>
        <v>19</v>
      </c>
      <c r="J20" s="349">
        <f t="shared" si="1"/>
        <v>13.157894736842104</v>
      </c>
      <c r="K20" s="5">
        <f>'Swimming Pool quality check '!H20</f>
        <v>6033</v>
      </c>
      <c r="L20" s="84">
        <f t="shared" si="32"/>
        <v>5</v>
      </c>
      <c r="M20" s="431">
        <f t="shared" si="13"/>
        <v>457.44</v>
      </c>
      <c r="N20" s="541">
        <f t="shared" si="35"/>
        <v>0</v>
      </c>
      <c r="O20" s="431">
        <f t="shared" si="14"/>
        <v>529.52</v>
      </c>
      <c r="P20" s="541">
        <f t="shared" si="36"/>
        <v>0</v>
      </c>
      <c r="Q20" s="541">
        <f t="shared" si="37"/>
        <v>0</v>
      </c>
      <c r="R20" s="541"/>
      <c r="S20" s="541"/>
      <c r="T20" s="5">
        <v>4762</v>
      </c>
      <c r="U20" s="5">
        <f t="shared" si="4"/>
        <v>2</v>
      </c>
      <c r="V20" s="5">
        <v>403</v>
      </c>
      <c r="W20" s="339">
        <f t="shared" si="16"/>
        <v>1</v>
      </c>
      <c r="X20" s="5">
        <v>142707</v>
      </c>
      <c r="Y20" s="339">
        <f t="shared" si="17"/>
        <v>0</v>
      </c>
      <c r="Z20" s="5">
        <v>93953</v>
      </c>
      <c r="AA20" s="84">
        <f t="shared" si="18"/>
        <v>0</v>
      </c>
      <c r="AB20" s="5">
        <f t="shared" si="15"/>
        <v>266</v>
      </c>
      <c r="AC20" s="5">
        <f t="shared" si="15"/>
        <v>671</v>
      </c>
      <c r="AD20" s="84">
        <f t="shared" si="30"/>
        <v>0</v>
      </c>
      <c r="AE20" s="5">
        <v>147.84</v>
      </c>
      <c r="AF20" s="84">
        <f t="shared" si="19"/>
        <v>1.7000000000000171</v>
      </c>
      <c r="AG20" s="5">
        <v>1499.91</v>
      </c>
      <c r="AH20" s="84">
        <f t="shared" si="20"/>
        <v>12.310000000000173</v>
      </c>
      <c r="AI20" s="84">
        <f t="shared" si="21"/>
        <v>14.01000000000019</v>
      </c>
      <c r="AJ20" s="341">
        <f t="shared" si="22"/>
        <v>0</v>
      </c>
      <c r="AK20" s="342">
        <f t="shared" si="5"/>
        <v>-5</v>
      </c>
      <c r="AL20" s="342">
        <f t="shared" si="23"/>
        <v>-1</v>
      </c>
      <c r="AM20" s="342">
        <f>'General information '!D20</f>
        <v>18</v>
      </c>
      <c r="AN20" s="85">
        <f>'General information '!H20</f>
        <v>0</v>
      </c>
      <c r="AO20" s="85"/>
      <c r="AP20" s="85">
        <f>'General information '!J20</f>
        <v>50</v>
      </c>
      <c r="AQ20" s="82"/>
      <c r="AR20" s="286">
        <f t="shared" si="24"/>
        <v>43936</v>
      </c>
      <c r="AS20" s="445">
        <f t="shared" si="6"/>
        <v>0.9</v>
      </c>
      <c r="AT20" s="205">
        <v>117</v>
      </c>
      <c r="AU20" s="446">
        <f t="shared" si="33"/>
        <v>1.1000000000000001</v>
      </c>
      <c r="AV20" s="205">
        <v>92</v>
      </c>
      <c r="AW20" s="5">
        <v>2.9</v>
      </c>
      <c r="AX20" s="205">
        <v>150</v>
      </c>
      <c r="AY20" s="449">
        <f t="shared" si="7"/>
        <v>105.3</v>
      </c>
      <c r="AZ20" s="449">
        <f t="shared" si="25"/>
        <v>101.2</v>
      </c>
      <c r="BA20" s="449">
        <f t="shared" si="26"/>
        <v>435</v>
      </c>
      <c r="BB20" s="21">
        <f t="shared" si="27"/>
        <v>-33.299999999999997</v>
      </c>
      <c r="BC20" s="21">
        <f t="shared" si="28"/>
        <v>-22.000000000000014</v>
      </c>
      <c r="BD20" s="21">
        <f t="shared" si="28"/>
        <v>-11.599999999999966</v>
      </c>
      <c r="BE20" s="24">
        <f t="shared" si="29"/>
        <v>-66.899999999999977</v>
      </c>
      <c r="BF20" s="97">
        <f t="shared" si="8"/>
        <v>85.899999999999977</v>
      </c>
      <c r="BG20" s="83">
        <f t="shared" si="9"/>
        <v>-66.899999999999977</v>
      </c>
    </row>
    <row r="21" spans="1:61" ht="15.75" thickBot="1">
      <c r="A21" s="6">
        <f>ELEC!C18</f>
        <v>43937</v>
      </c>
      <c r="B21" s="5">
        <f t="shared" si="34"/>
        <v>108473</v>
      </c>
      <c r="C21" s="5">
        <f t="shared" si="10"/>
        <v>0</v>
      </c>
      <c r="D21" s="440">
        <f t="shared" si="11"/>
        <v>0</v>
      </c>
      <c r="E21" s="348">
        <f>SUM((C21*$E$4)+(7500/'EDl log'!$A$37))</f>
        <v>250</v>
      </c>
      <c r="F21" s="342"/>
      <c r="G21" s="5">
        <v>596115</v>
      </c>
      <c r="H21" s="5">
        <f t="shared" si="12"/>
        <v>50</v>
      </c>
      <c r="I21" s="5">
        <f t="shared" si="0"/>
        <v>50</v>
      </c>
      <c r="J21" s="349">
        <f t="shared" si="1"/>
        <v>5</v>
      </c>
      <c r="K21" s="5">
        <f>'Swimming Pool quality check '!H21</f>
        <v>6033</v>
      </c>
      <c r="L21" s="84">
        <f t="shared" si="32"/>
        <v>0</v>
      </c>
      <c r="M21" s="431">
        <f t="shared" si="13"/>
        <v>457.44</v>
      </c>
      <c r="N21" s="541">
        <f t="shared" si="35"/>
        <v>0</v>
      </c>
      <c r="O21" s="431">
        <f t="shared" si="14"/>
        <v>529.52</v>
      </c>
      <c r="P21" s="541">
        <f t="shared" si="36"/>
        <v>0</v>
      </c>
      <c r="Q21" s="541">
        <f t="shared" si="37"/>
        <v>0</v>
      </c>
      <c r="R21" s="541"/>
      <c r="S21" s="541"/>
      <c r="T21" s="5">
        <v>4764</v>
      </c>
      <c r="U21" s="5">
        <f t="shared" si="4"/>
        <v>2</v>
      </c>
      <c r="V21" s="5">
        <f t="shared" si="15"/>
        <v>403</v>
      </c>
      <c r="W21" s="339">
        <f t="shared" si="16"/>
        <v>0</v>
      </c>
      <c r="X21" s="5">
        <f t="shared" si="15"/>
        <v>142707</v>
      </c>
      <c r="Y21" s="339">
        <f>SUM(X21-X20)</f>
        <v>0</v>
      </c>
      <c r="Z21" s="5">
        <v>93964</v>
      </c>
      <c r="AA21" s="84">
        <f t="shared" si="18"/>
        <v>11</v>
      </c>
      <c r="AB21" s="5">
        <f t="shared" si="15"/>
        <v>266</v>
      </c>
      <c r="AC21" s="5">
        <f t="shared" si="15"/>
        <v>671</v>
      </c>
      <c r="AD21" s="84">
        <f t="shared" si="30"/>
        <v>0</v>
      </c>
      <c r="AE21" s="5">
        <f t="shared" si="15"/>
        <v>147.84</v>
      </c>
      <c r="AF21" s="84">
        <f t="shared" si="19"/>
        <v>0</v>
      </c>
      <c r="AG21" s="5">
        <v>1500</v>
      </c>
      <c r="AH21" s="84">
        <f t="shared" si="20"/>
        <v>8.9999999999918145E-2</v>
      </c>
      <c r="AI21" s="84">
        <f t="shared" si="21"/>
        <v>8.9999999999918145E-2</v>
      </c>
      <c r="AJ21" s="341">
        <f t="shared" si="22"/>
        <v>11</v>
      </c>
      <c r="AK21" s="342">
        <f t="shared" si="5"/>
        <v>0</v>
      </c>
      <c r="AL21" s="342">
        <f t="shared" si="23"/>
        <v>11</v>
      </c>
      <c r="AM21" s="342">
        <f>'General information '!D21</f>
        <v>17.5</v>
      </c>
      <c r="AN21" s="85">
        <f>'General information '!H21</f>
        <v>0</v>
      </c>
      <c r="AO21" s="85"/>
      <c r="AP21" s="85">
        <f>'General information '!J21</f>
        <v>61</v>
      </c>
      <c r="AQ21" s="82"/>
      <c r="AR21" s="286">
        <f t="shared" si="24"/>
        <v>43937</v>
      </c>
      <c r="AS21" s="445">
        <f t="shared" si="6"/>
        <v>0.9</v>
      </c>
      <c r="AT21" s="205">
        <v>136</v>
      </c>
      <c r="AU21" s="446">
        <f t="shared" si="33"/>
        <v>1.1000000000000001</v>
      </c>
      <c r="AV21" s="205">
        <v>76</v>
      </c>
      <c r="AW21" s="5">
        <v>2.9</v>
      </c>
      <c r="AX21" s="205">
        <v>141</v>
      </c>
      <c r="AY21" s="449">
        <f t="shared" si="7"/>
        <v>122.4</v>
      </c>
      <c r="AZ21" s="449">
        <f t="shared" si="25"/>
        <v>83.600000000000009</v>
      </c>
      <c r="BA21" s="449">
        <f t="shared" si="26"/>
        <v>408.9</v>
      </c>
      <c r="BB21" s="21">
        <f t="shared" si="27"/>
        <v>17.100000000000009</v>
      </c>
      <c r="BC21" s="21">
        <f t="shared" si="28"/>
        <v>-17.599999999999994</v>
      </c>
      <c r="BD21" s="21">
        <f t="shared" si="28"/>
        <v>-26.100000000000023</v>
      </c>
      <c r="BE21" s="24">
        <f t="shared" si="29"/>
        <v>-26.600000000000009</v>
      </c>
      <c r="BF21" s="97">
        <f t="shared" si="8"/>
        <v>76.600000000000009</v>
      </c>
      <c r="BG21" s="83">
        <f t="shared" si="9"/>
        <v>-26.600000000000009</v>
      </c>
    </row>
    <row r="22" spans="1:61" ht="15.75" thickBot="1">
      <c r="A22" s="6">
        <f>ELEC!C19</f>
        <v>43938</v>
      </c>
      <c r="B22" s="5">
        <v>108473</v>
      </c>
      <c r="C22" s="5">
        <f t="shared" si="10"/>
        <v>0</v>
      </c>
      <c r="D22" s="440">
        <f t="shared" si="11"/>
        <v>0</v>
      </c>
      <c r="E22" s="348">
        <f>SUM((C22*$E$4)+(7500/'EDl log'!$A$37))</f>
        <v>250</v>
      </c>
      <c r="F22" s="342"/>
      <c r="G22" s="5">
        <v>596369</v>
      </c>
      <c r="H22" s="5">
        <f t="shared" si="12"/>
        <v>254</v>
      </c>
      <c r="I22" s="5">
        <f t="shared" si="0"/>
        <v>254</v>
      </c>
      <c r="J22" s="349">
        <f t="shared" si="1"/>
        <v>0.98425196850393704</v>
      </c>
      <c r="K22" s="5">
        <f>'Swimming Pool quality check '!H22</f>
        <v>6033</v>
      </c>
      <c r="L22" s="84">
        <f t="shared" si="32"/>
        <v>0</v>
      </c>
      <c r="M22" s="431">
        <f t="shared" si="13"/>
        <v>457.44</v>
      </c>
      <c r="N22" s="541">
        <f t="shared" si="35"/>
        <v>0</v>
      </c>
      <c r="O22" s="431">
        <f t="shared" si="14"/>
        <v>529.52</v>
      </c>
      <c r="P22" s="541">
        <f t="shared" si="36"/>
        <v>0</v>
      </c>
      <c r="Q22" s="541">
        <f t="shared" si="37"/>
        <v>0</v>
      </c>
      <c r="R22" s="541"/>
      <c r="S22" s="541"/>
      <c r="T22" s="5">
        <v>4765</v>
      </c>
      <c r="U22" s="5">
        <f t="shared" si="4"/>
        <v>1</v>
      </c>
      <c r="V22" s="5">
        <v>403</v>
      </c>
      <c r="W22" s="339">
        <f t="shared" si="16"/>
        <v>0</v>
      </c>
      <c r="X22" s="5">
        <f t="shared" si="15"/>
        <v>142707</v>
      </c>
      <c r="Y22" s="339">
        <f t="shared" si="17"/>
        <v>0</v>
      </c>
      <c r="Z22" s="5">
        <v>94037</v>
      </c>
      <c r="AA22" s="84">
        <f t="shared" si="18"/>
        <v>73</v>
      </c>
      <c r="AB22" s="5">
        <f t="shared" si="15"/>
        <v>266</v>
      </c>
      <c r="AC22" s="5">
        <f t="shared" si="15"/>
        <v>671</v>
      </c>
      <c r="AD22" s="84">
        <f t="shared" si="30"/>
        <v>0</v>
      </c>
      <c r="AE22" s="5">
        <f t="shared" si="15"/>
        <v>147.84</v>
      </c>
      <c r="AF22" s="84">
        <f t="shared" si="19"/>
        <v>0</v>
      </c>
      <c r="AG22" s="5">
        <f t="shared" si="15"/>
        <v>1500</v>
      </c>
      <c r="AH22" s="84">
        <f t="shared" si="20"/>
        <v>0</v>
      </c>
      <c r="AI22" s="84">
        <f t="shared" si="21"/>
        <v>0</v>
      </c>
      <c r="AJ22" s="341">
        <f t="shared" si="22"/>
        <v>73</v>
      </c>
      <c r="AK22" s="342">
        <f t="shared" si="5"/>
        <v>0</v>
      </c>
      <c r="AL22" s="342">
        <f t="shared" si="23"/>
        <v>73</v>
      </c>
      <c r="AM22" s="342">
        <f>'General information '!D22</f>
        <v>19.5</v>
      </c>
      <c r="AN22" s="85">
        <f>'General information '!H22</f>
        <v>0</v>
      </c>
      <c r="AO22" s="85"/>
      <c r="AP22" s="85">
        <f>'General information '!J22</f>
        <v>83</v>
      </c>
      <c r="AR22" s="286">
        <f t="shared" si="24"/>
        <v>43938</v>
      </c>
      <c r="AS22" s="445">
        <f t="shared" ref="AS22:AT35" si="38">AS21</f>
        <v>0.9</v>
      </c>
      <c r="AT22" s="205">
        <v>200</v>
      </c>
      <c r="AU22" s="446">
        <f t="shared" si="33"/>
        <v>1.1000000000000001</v>
      </c>
      <c r="AV22" s="205">
        <v>124</v>
      </c>
      <c r="AW22" s="5">
        <v>2.9</v>
      </c>
      <c r="AX22" s="205">
        <v>136</v>
      </c>
      <c r="AY22" s="449">
        <f t="shared" si="7"/>
        <v>180</v>
      </c>
      <c r="AZ22" s="449">
        <f t="shared" si="25"/>
        <v>136.4</v>
      </c>
      <c r="BA22" s="449">
        <f t="shared" si="26"/>
        <v>394.4</v>
      </c>
      <c r="BB22" s="21">
        <f>AY22-AY21</f>
        <v>57.599999999999994</v>
      </c>
      <c r="BC22" s="21">
        <f t="shared" si="27"/>
        <v>52.8</v>
      </c>
      <c r="BD22" s="21">
        <f t="shared" si="27"/>
        <v>-14.5</v>
      </c>
      <c r="BE22" s="24">
        <f t="shared" si="29"/>
        <v>95.899999999999991</v>
      </c>
      <c r="BF22" s="97">
        <f t="shared" si="8"/>
        <v>158.10000000000002</v>
      </c>
      <c r="BG22" s="83">
        <f t="shared" si="9"/>
        <v>95.899999999999977</v>
      </c>
    </row>
    <row r="23" spans="1:61" ht="15.75" thickBot="1">
      <c r="A23" s="6">
        <f>ELEC!C20</f>
        <v>43939</v>
      </c>
      <c r="B23" s="5">
        <f t="shared" si="34"/>
        <v>108473</v>
      </c>
      <c r="C23" s="5">
        <f t="shared" si="10"/>
        <v>0</v>
      </c>
      <c r="D23" s="440">
        <f t="shared" si="11"/>
        <v>0</v>
      </c>
      <c r="E23" s="348">
        <f>SUM((C23*$E$4)+(7500/'EDl log'!$A$37))</f>
        <v>250</v>
      </c>
      <c r="F23" s="342"/>
      <c r="G23" s="5">
        <v>596369</v>
      </c>
      <c r="H23" s="5">
        <f t="shared" si="12"/>
        <v>0</v>
      </c>
      <c r="I23" s="5">
        <f t="shared" si="0"/>
        <v>0</v>
      </c>
      <c r="J23" s="349">
        <f t="shared" si="1"/>
        <v>0</v>
      </c>
      <c r="K23" s="5">
        <f>'Swimming Pool quality check '!H23</f>
        <v>6033</v>
      </c>
      <c r="L23" s="282">
        <f t="shared" si="32"/>
        <v>0</v>
      </c>
      <c r="M23" s="431">
        <f t="shared" si="13"/>
        <v>457.44</v>
      </c>
      <c r="N23" s="541">
        <f t="shared" si="35"/>
        <v>0</v>
      </c>
      <c r="O23" s="431">
        <f t="shared" si="14"/>
        <v>529.52</v>
      </c>
      <c r="P23" s="541">
        <f t="shared" si="36"/>
        <v>0</v>
      </c>
      <c r="Q23" s="541">
        <f t="shared" si="37"/>
        <v>0</v>
      </c>
      <c r="R23" s="543"/>
      <c r="S23" s="543"/>
      <c r="T23" s="5">
        <v>4769</v>
      </c>
      <c r="U23" s="5">
        <f t="shared" si="4"/>
        <v>4</v>
      </c>
      <c r="V23" s="5">
        <v>403</v>
      </c>
      <c r="W23" s="339">
        <f t="shared" si="16"/>
        <v>0</v>
      </c>
      <c r="X23" s="5">
        <v>142707</v>
      </c>
      <c r="Y23" s="339">
        <f t="shared" si="17"/>
        <v>0</v>
      </c>
      <c r="Z23" s="5">
        <f t="shared" si="15"/>
        <v>94037</v>
      </c>
      <c r="AA23" s="84">
        <f t="shared" si="18"/>
        <v>0</v>
      </c>
      <c r="AB23" s="5">
        <f t="shared" si="15"/>
        <v>266</v>
      </c>
      <c r="AC23" s="5">
        <f t="shared" si="15"/>
        <v>671</v>
      </c>
      <c r="AD23" s="84">
        <f t="shared" si="30"/>
        <v>0</v>
      </c>
      <c r="AE23" s="5">
        <f t="shared" si="15"/>
        <v>147.84</v>
      </c>
      <c r="AF23" s="84">
        <f t="shared" si="19"/>
        <v>0</v>
      </c>
      <c r="AG23" s="5">
        <v>1500.67</v>
      </c>
      <c r="AH23" s="84">
        <f t="shared" si="20"/>
        <v>0.67000000000007276</v>
      </c>
      <c r="AI23" s="84">
        <f t="shared" si="21"/>
        <v>0.67000000000007276</v>
      </c>
      <c r="AJ23" s="341">
        <f t="shared" si="22"/>
        <v>0</v>
      </c>
      <c r="AK23" s="342">
        <f t="shared" si="5"/>
        <v>0</v>
      </c>
      <c r="AL23" s="342">
        <f t="shared" si="23"/>
        <v>0</v>
      </c>
      <c r="AM23" s="342">
        <f>'General information '!D23</f>
        <v>20.5</v>
      </c>
      <c r="AN23" s="85">
        <f>'General information '!H23</f>
        <v>0</v>
      </c>
      <c r="AO23" s="85"/>
      <c r="AP23" s="85">
        <f>'General information '!J23</f>
        <v>68</v>
      </c>
      <c r="AR23" s="286">
        <f t="shared" si="24"/>
        <v>43939</v>
      </c>
      <c r="AS23" s="445">
        <f t="shared" si="38"/>
        <v>0.9</v>
      </c>
      <c r="AT23" s="205">
        <v>193</v>
      </c>
      <c r="AU23" s="446">
        <f t="shared" si="33"/>
        <v>1.1000000000000001</v>
      </c>
      <c r="AV23" s="205">
        <v>125</v>
      </c>
      <c r="AW23" s="5">
        <v>2.9</v>
      </c>
      <c r="AX23" s="205">
        <v>135</v>
      </c>
      <c r="AY23" s="449">
        <f t="shared" si="7"/>
        <v>173.70000000000002</v>
      </c>
      <c r="AZ23" s="449">
        <f t="shared" si="25"/>
        <v>137.5</v>
      </c>
      <c r="BA23" s="449">
        <f t="shared" si="26"/>
        <v>391.5</v>
      </c>
      <c r="BB23" s="21">
        <f t="shared" si="27"/>
        <v>-6.2999999999999829</v>
      </c>
      <c r="BC23" s="21">
        <f t="shared" si="27"/>
        <v>1.0999999999999943</v>
      </c>
      <c r="BD23" s="21">
        <f t="shared" si="27"/>
        <v>-2.8999999999999773</v>
      </c>
      <c r="BE23" s="24">
        <f t="shared" si="29"/>
        <v>-8.0999999999999659</v>
      </c>
      <c r="BF23" s="97">
        <f t="shared" si="8"/>
        <v>8.0999999999999659</v>
      </c>
      <c r="BG23" s="83">
        <f t="shared" si="9"/>
        <v>-8.0999999999999659</v>
      </c>
    </row>
    <row r="24" spans="1:61" ht="15.75" thickBot="1">
      <c r="A24" s="6">
        <f>ELEC!C21</f>
        <v>43940</v>
      </c>
      <c r="B24" s="5">
        <f t="shared" si="34"/>
        <v>108473</v>
      </c>
      <c r="C24" s="5">
        <f t="shared" si="10"/>
        <v>0</v>
      </c>
      <c r="D24" s="440">
        <f t="shared" si="11"/>
        <v>0</v>
      </c>
      <c r="E24" s="348">
        <f>SUM((C24*$E$4)+(7500/'EDl log'!$A$37))</f>
        <v>250</v>
      </c>
      <c r="F24" s="342"/>
      <c r="G24" s="5">
        <v>596369</v>
      </c>
      <c r="H24" s="5">
        <f t="shared" si="12"/>
        <v>0</v>
      </c>
      <c r="I24" s="5">
        <f t="shared" si="0"/>
        <v>0</v>
      </c>
      <c r="J24" s="349">
        <f t="shared" si="1"/>
        <v>0</v>
      </c>
      <c r="K24" s="5">
        <f>'Swimming Pool quality check '!H24</f>
        <v>6044</v>
      </c>
      <c r="L24" s="282">
        <f t="shared" si="32"/>
        <v>11</v>
      </c>
      <c r="M24" s="431">
        <f t="shared" si="13"/>
        <v>457.44</v>
      </c>
      <c r="N24" s="541">
        <f t="shared" si="35"/>
        <v>0</v>
      </c>
      <c r="O24" s="431">
        <f t="shared" si="14"/>
        <v>529.52</v>
      </c>
      <c r="P24" s="541">
        <f t="shared" si="36"/>
        <v>0</v>
      </c>
      <c r="Q24" s="541">
        <f t="shared" si="37"/>
        <v>0</v>
      </c>
      <c r="R24" s="543"/>
      <c r="S24" s="543"/>
      <c r="T24" s="5">
        <v>4771</v>
      </c>
      <c r="U24" s="5">
        <f t="shared" si="4"/>
        <v>2</v>
      </c>
      <c r="V24" s="5">
        <f t="shared" si="15"/>
        <v>403</v>
      </c>
      <c r="W24" s="339">
        <f t="shared" si="16"/>
        <v>0</v>
      </c>
      <c r="X24" s="5">
        <v>142712</v>
      </c>
      <c r="Y24" s="339">
        <f t="shared" si="17"/>
        <v>5</v>
      </c>
      <c r="Z24" s="5">
        <v>94040</v>
      </c>
      <c r="AA24" s="84">
        <f t="shared" si="18"/>
        <v>3</v>
      </c>
      <c r="AB24" s="5">
        <f t="shared" si="15"/>
        <v>266</v>
      </c>
      <c r="AC24" s="5">
        <f t="shared" si="15"/>
        <v>671</v>
      </c>
      <c r="AD24" s="84">
        <f t="shared" si="30"/>
        <v>0</v>
      </c>
      <c r="AE24" s="5">
        <f t="shared" si="15"/>
        <v>147.84</v>
      </c>
      <c r="AF24" s="84">
        <f t="shared" si="19"/>
        <v>0</v>
      </c>
      <c r="AG24" s="5">
        <f t="shared" si="15"/>
        <v>1500.67</v>
      </c>
      <c r="AH24" s="84">
        <f t="shared" si="20"/>
        <v>0</v>
      </c>
      <c r="AI24" s="84">
        <f t="shared" si="21"/>
        <v>0</v>
      </c>
      <c r="AJ24" s="341">
        <f t="shared" si="22"/>
        <v>3</v>
      </c>
      <c r="AK24" s="342">
        <f t="shared" si="5"/>
        <v>-6</v>
      </c>
      <c r="AL24" s="342">
        <f t="shared" si="23"/>
        <v>3</v>
      </c>
      <c r="AM24" s="342">
        <f>'General information '!D24</f>
        <v>20.5</v>
      </c>
      <c r="AN24" s="85">
        <f>'General information '!H24</f>
        <v>0</v>
      </c>
      <c r="AO24" s="85"/>
      <c r="AP24" s="85">
        <f>'General information '!J24</f>
        <v>41</v>
      </c>
      <c r="AR24" s="286">
        <f t="shared" si="24"/>
        <v>43940</v>
      </c>
      <c r="AS24" s="445">
        <f t="shared" si="38"/>
        <v>0.9</v>
      </c>
      <c r="AT24" s="205">
        <f t="shared" si="38"/>
        <v>193</v>
      </c>
      <c r="AU24" s="446">
        <f t="shared" si="33"/>
        <v>1.1000000000000001</v>
      </c>
      <c r="AV24" s="205">
        <v>107</v>
      </c>
      <c r="AW24" s="5">
        <v>2.9</v>
      </c>
      <c r="AX24" s="205">
        <v>130</v>
      </c>
      <c r="AY24" s="449">
        <f t="shared" si="7"/>
        <v>173.70000000000002</v>
      </c>
      <c r="AZ24" s="449">
        <f t="shared" si="25"/>
        <v>117.7</v>
      </c>
      <c r="BA24" s="449">
        <f t="shared" si="26"/>
        <v>377</v>
      </c>
      <c r="BB24" s="21">
        <f t="shared" si="27"/>
        <v>0</v>
      </c>
      <c r="BC24" s="21">
        <f t="shared" si="27"/>
        <v>-19.799999999999997</v>
      </c>
      <c r="BD24" s="21">
        <f t="shared" si="27"/>
        <v>-14.5</v>
      </c>
      <c r="BE24" s="24">
        <f t="shared" si="29"/>
        <v>-34.299999999999997</v>
      </c>
      <c r="BF24" s="97">
        <f t="shared" si="8"/>
        <v>34.299999999999997</v>
      </c>
      <c r="BG24" s="83">
        <f t="shared" si="9"/>
        <v>-34.299999999999997</v>
      </c>
      <c r="BI24" s="83"/>
    </row>
    <row r="25" spans="1:61" ht="15.75" thickBot="1">
      <c r="A25" s="6">
        <f>ELEC!C22</f>
        <v>43941</v>
      </c>
      <c r="B25" s="5">
        <f t="shared" si="34"/>
        <v>108473</v>
      </c>
      <c r="C25" s="5">
        <f t="shared" si="10"/>
        <v>0</v>
      </c>
      <c r="D25" s="440">
        <f t="shared" si="11"/>
        <v>0</v>
      </c>
      <c r="E25" s="348">
        <f>SUM((C25*$E$4)+(7500/'EDl log'!$A$37))</f>
        <v>250</v>
      </c>
      <c r="F25" s="342"/>
      <c r="G25" s="5">
        <v>596369</v>
      </c>
      <c r="H25" s="5">
        <f t="shared" si="12"/>
        <v>0</v>
      </c>
      <c r="I25" s="5">
        <f t="shared" si="0"/>
        <v>0</v>
      </c>
      <c r="J25" s="349">
        <f t="shared" si="1"/>
        <v>0</v>
      </c>
      <c r="K25" s="5">
        <f>'Swimming Pool quality check '!H25</f>
        <v>6048</v>
      </c>
      <c r="L25" s="282">
        <f t="shared" si="32"/>
        <v>4</v>
      </c>
      <c r="M25" s="431">
        <f t="shared" si="13"/>
        <v>457.44</v>
      </c>
      <c r="N25" s="541">
        <f t="shared" si="35"/>
        <v>0</v>
      </c>
      <c r="O25" s="431">
        <f t="shared" si="14"/>
        <v>529.52</v>
      </c>
      <c r="P25" s="541">
        <f t="shared" si="36"/>
        <v>0</v>
      </c>
      <c r="Q25" s="541">
        <f t="shared" si="37"/>
        <v>0</v>
      </c>
      <c r="R25" s="543"/>
      <c r="S25" s="543"/>
      <c r="T25" s="5">
        <v>4773</v>
      </c>
      <c r="U25" s="5">
        <f t="shared" si="4"/>
        <v>2</v>
      </c>
      <c r="V25" s="5">
        <f t="shared" si="15"/>
        <v>403</v>
      </c>
      <c r="W25" s="339">
        <f t="shared" si="16"/>
        <v>0</v>
      </c>
      <c r="X25" s="5">
        <f t="shared" si="15"/>
        <v>142712</v>
      </c>
      <c r="Y25" s="339">
        <f t="shared" si="17"/>
        <v>0</v>
      </c>
      <c r="Z25" s="5">
        <f t="shared" si="15"/>
        <v>94040</v>
      </c>
      <c r="AA25" s="84">
        <f t="shared" si="18"/>
        <v>0</v>
      </c>
      <c r="AB25" s="5">
        <f t="shared" si="15"/>
        <v>266</v>
      </c>
      <c r="AC25" s="5">
        <f t="shared" si="15"/>
        <v>671</v>
      </c>
      <c r="AD25" s="84">
        <f t="shared" si="30"/>
        <v>0</v>
      </c>
      <c r="AE25" s="5">
        <v>147.54</v>
      </c>
      <c r="AF25" s="84">
        <f t="shared" si="19"/>
        <v>-0.30000000000001137</v>
      </c>
      <c r="AG25" s="5">
        <v>1501.13</v>
      </c>
      <c r="AH25" s="84">
        <f t="shared" si="20"/>
        <v>0.46000000000003638</v>
      </c>
      <c r="AI25" s="84">
        <f t="shared" si="21"/>
        <v>0.16000000000002501</v>
      </c>
      <c r="AJ25" s="341">
        <f t="shared" si="22"/>
        <v>0</v>
      </c>
      <c r="AK25" s="342">
        <f t="shared" si="5"/>
        <v>-4</v>
      </c>
      <c r="AL25" s="342">
        <f t="shared" si="23"/>
        <v>0</v>
      </c>
      <c r="AM25" s="342">
        <f>'General information '!D25</f>
        <v>20.5</v>
      </c>
      <c r="AN25" s="85">
        <f>'General information '!H25</f>
        <v>0</v>
      </c>
      <c r="AO25" s="85"/>
      <c r="AP25" s="85">
        <f>'General information '!J25</f>
        <v>34</v>
      </c>
      <c r="AR25" s="286">
        <f t="shared" si="24"/>
        <v>43941</v>
      </c>
      <c r="AS25" s="445">
        <f t="shared" si="38"/>
        <v>0.9</v>
      </c>
      <c r="AT25" s="205">
        <v>180</v>
      </c>
      <c r="AU25" s="446">
        <f t="shared" si="33"/>
        <v>1.1000000000000001</v>
      </c>
      <c r="AV25" s="205">
        <v>102</v>
      </c>
      <c r="AW25" s="5">
        <v>2.9</v>
      </c>
      <c r="AX25" s="205">
        <v>126</v>
      </c>
      <c r="AY25" s="449">
        <f t="shared" si="7"/>
        <v>162</v>
      </c>
      <c r="AZ25" s="449">
        <f t="shared" si="25"/>
        <v>112.2</v>
      </c>
      <c r="BA25" s="449">
        <f t="shared" si="26"/>
        <v>365.4</v>
      </c>
      <c r="BB25" s="21">
        <f t="shared" si="27"/>
        <v>-11.700000000000017</v>
      </c>
      <c r="BC25" s="21">
        <f t="shared" si="27"/>
        <v>-5.5</v>
      </c>
      <c r="BD25" s="21">
        <f t="shared" si="27"/>
        <v>-11.600000000000023</v>
      </c>
      <c r="BE25" s="24">
        <f t="shared" si="29"/>
        <v>-28.80000000000004</v>
      </c>
      <c r="BF25" s="97">
        <f t="shared" si="8"/>
        <v>28.80000000000004</v>
      </c>
      <c r="BG25" s="83">
        <f t="shared" si="9"/>
        <v>-28.80000000000004</v>
      </c>
    </row>
    <row r="26" spans="1:61" ht="15.75" thickBot="1">
      <c r="A26" s="6">
        <f>ELEC!C23</f>
        <v>43942</v>
      </c>
      <c r="B26" s="5">
        <v>108473</v>
      </c>
      <c r="C26" s="5">
        <f t="shared" si="10"/>
        <v>0</v>
      </c>
      <c r="D26" s="440">
        <f t="shared" si="11"/>
        <v>0</v>
      </c>
      <c r="E26" s="348">
        <f>SUM((C26*$E$4)+(7500/'EDl log'!$A$37))</f>
        <v>250</v>
      </c>
      <c r="F26" s="342"/>
      <c r="G26" s="5">
        <v>596369</v>
      </c>
      <c r="H26" s="5">
        <f>G26-G25</f>
        <v>0</v>
      </c>
      <c r="I26" s="5">
        <f t="shared" si="0"/>
        <v>0</v>
      </c>
      <c r="J26" s="349">
        <f t="shared" si="1"/>
        <v>0</v>
      </c>
      <c r="K26" s="5">
        <f>'Swimming Pool quality check '!H26</f>
        <v>6050</v>
      </c>
      <c r="L26" s="282">
        <f t="shared" si="32"/>
        <v>2</v>
      </c>
      <c r="M26" s="431">
        <f t="shared" si="13"/>
        <v>457.44</v>
      </c>
      <c r="N26" s="541">
        <f t="shared" si="35"/>
        <v>0</v>
      </c>
      <c r="O26" s="431">
        <f t="shared" si="14"/>
        <v>529.52</v>
      </c>
      <c r="P26" s="541">
        <f t="shared" si="36"/>
        <v>0</v>
      </c>
      <c r="Q26" s="541">
        <f t="shared" si="37"/>
        <v>0</v>
      </c>
      <c r="R26" s="543"/>
      <c r="S26" s="543"/>
      <c r="T26" s="5">
        <v>4775</v>
      </c>
      <c r="U26" s="5">
        <f t="shared" si="4"/>
        <v>2</v>
      </c>
      <c r="V26" s="5">
        <v>403</v>
      </c>
      <c r="W26" s="339">
        <f t="shared" si="16"/>
        <v>0</v>
      </c>
      <c r="X26" s="5">
        <v>142712</v>
      </c>
      <c r="Y26" s="339">
        <f t="shared" si="17"/>
        <v>0</v>
      </c>
      <c r="Z26" s="5">
        <v>94040</v>
      </c>
      <c r="AA26" s="84">
        <f t="shared" si="18"/>
        <v>0</v>
      </c>
      <c r="AB26" s="5">
        <f t="shared" si="15"/>
        <v>266</v>
      </c>
      <c r="AC26" s="5">
        <f t="shared" si="15"/>
        <v>671</v>
      </c>
      <c r="AD26" s="84">
        <f t="shared" si="30"/>
        <v>0</v>
      </c>
      <c r="AE26" s="5">
        <v>147.54</v>
      </c>
      <c r="AF26" s="84">
        <f t="shared" si="19"/>
        <v>0</v>
      </c>
      <c r="AG26" s="5">
        <v>1501.42</v>
      </c>
      <c r="AH26" s="84">
        <f t="shared" si="20"/>
        <v>0.28999999999996362</v>
      </c>
      <c r="AI26" s="84">
        <f t="shared" si="21"/>
        <v>0.28999999999996362</v>
      </c>
      <c r="AJ26" s="341">
        <f t="shared" si="22"/>
        <v>0</v>
      </c>
      <c r="AK26" s="342">
        <f t="shared" si="5"/>
        <v>-2</v>
      </c>
      <c r="AL26" s="342">
        <f>SUM(AJ26-W26)</f>
        <v>0</v>
      </c>
      <c r="AM26" s="342">
        <f>'General information '!D26</f>
        <v>21</v>
      </c>
      <c r="AN26" s="85">
        <f>'General information '!H26</f>
        <v>0</v>
      </c>
      <c r="AO26" s="85"/>
      <c r="AP26" s="85">
        <f>'General information '!J26</f>
        <v>58</v>
      </c>
      <c r="AR26" s="286">
        <f t="shared" si="24"/>
        <v>43942</v>
      </c>
      <c r="AS26" s="445">
        <f t="shared" si="38"/>
        <v>0.9</v>
      </c>
      <c r="AT26" s="205">
        <v>180</v>
      </c>
      <c r="AU26" s="446">
        <f t="shared" si="33"/>
        <v>1.1000000000000001</v>
      </c>
      <c r="AV26" s="205">
        <v>94</v>
      </c>
      <c r="AW26" s="5">
        <v>2.9</v>
      </c>
      <c r="AX26" s="205">
        <v>123</v>
      </c>
      <c r="AY26" s="449">
        <f t="shared" si="7"/>
        <v>162</v>
      </c>
      <c r="AZ26" s="449">
        <f t="shared" si="25"/>
        <v>103.4</v>
      </c>
      <c r="BA26" s="449">
        <f t="shared" si="26"/>
        <v>356.7</v>
      </c>
      <c r="BB26" s="21">
        <f t="shared" si="27"/>
        <v>0</v>
      </c>
      <c r="BC26" s="21">
        <f t="shared" si="27"/>
        <v>-8.7999999999999972</v>
      </c>
      <c r="BD26" s="21">
        <f t="shared" si="27"/>
        <v>-8.6999999999999886</v>
      </c>
      <c r="BE26" s="24">
        <f t="shared" si="29"/>
        <v>-17.499999999999986</v>
      </c>
      <c r="BF26" s="359">
        <f t="shared" si="8"/>
        <v>17.499999999999986</v>
      </c>
      <c r="BG26" s="83">
        <f t="shared" si="9"/>
        <v>-17.499999999999986</v>
      </c>
    </row>
    <row r="27" spans="1:61" ht="15.75" thickBot="1">
      <c r="A27" s="6">
        <f>ELEC!C24</f>
        <v>43943</v>
      </c>
      <c r="B27" s="5">
        <v>108473</v>
      </c>
      <c r="C27" s="5">
        <f t="shared" si="10"/>
        <v>0</v>
      </c>
      <c r="D27" s="440">
        <f t="shared" si="11"/>
        <v>0</v>
      </c>
      <c r="E27" s="348">
        <f>SUM((C27*$E$4)+(7500/'EDl log'!$A$37))</f>
        <v>250</v>
      </c>
      <c r="F27" s="342"/>
      <c r="G27" s="5">
        <v>596369</v>
      </c>
      <c r="H27" s="5">
        <f t="shared" si="12"/>
        <v>0</v>
      </c>
      <c r="I27" s="5">
        <f t="shared" si="0"/>
        <v>0</v>
      </c>
      <c r="J27" s="349">
        <f t="shared" si="1"/>
        <v>0</v>
      </c>
      <c r="K27" s="5">
        <f>'Swimming Pool quality check '!H27</f>
        <v>6061</v>
      </c>
      <c r="L27" s="282">
        <f t="shared" si="32"/>
        <v>11</v>
      </c>
      <c r="M27" s="431">
        <f t="shared" si="13"/>
        <v>457.44</v>
      </c>
      <c r="N27" s="541">
        <f t="shared" si="35"/>
        <v>0</v>
      </c>
      <c r="O27" s="431">
        <f t="shared" si="14"/>
        <v>529.52</v>
      </c>
      <c r="P27" s="541">
        <f t="shared" si="36"/>
        <v>0</v>
      </c>
      <c r="Q27" s="541">
        <f t="shared" si="37"/>
        <v>0</v>
      </c>
      <c r="R27" s="543"/>
      <c r="S27" s="543"/>
      <c r="T27" s="5">
        <v>4776</v>
      </c>
      <c r="U27" s="5">
        <f t="shared" si="4"/>
        <v>1</v>
      </c>
      <c r="V27" s="5">
        <v>403</v>
      </c>
      <c r="W27" s="339">
        <f t="shared" si="16"/>
        <v>0</v>
      </c>
      <c r="X27" s="5">
        <v>142712</v>
      </c>
      <c r="Y27" s="339">
        <f>SUM(X27-X26)</f>
        <v>0</v>
      </c>
      <c r="Z27" s="5">
        <v>94084</v>
      </c>
      <c r="AA27" s="84">
        <f t="shared" si="18"/>
        <v>44</v>
      </c>
      <c r="AB27" s="5">
        <f t="shared" si="15"/>
        <v>266</v>
      </c>
      <c r="AC27" s="5">
        <f t="shared" si="15"/>
        <v>671</v>
      </c>
      <c r="AD27" s="84">
        <f t="shared" si="30"/>
        <v>0</v>
      </c>
      <c r="AE27" s="5">
        <v>147.99</v>
      </c>
      <c r="AF27" s="84">
        <f t="shared" si="19"/>
        <v>0.45000000000001705</v>
      </c>
      <c r="AG27" s="5">
        <v>1502.06</v>
      </c>
      <c r="AH27" s="84">
        <f t="shared" si="20"/>
        <v>0.63999999999987267</v>
      </c>
      <c r="AI27" s="84">
        <f t="shared" si="21"/>
        <v>1.0899999999998897</v>
      </c>
      <c r="AJ27" s="341">
        <f t="shared" si="22"/>
        <v>44</v>
      </c>
      <c r="AK27" s="342">
        <f t="shared" si="5"/>
        <v>-11</v>
      </c>
      <c r="AL27" s="342">
        <f t="shared" si="23"/>
        <v>44</v>
      </c>
      <c r="AM27" s="342">
        <f>'General information '!D27</f>
        <v>21.5</v>
      </c>
      <c r="AN27" s="85">
        <f>'General information '!H27</f>
        <v>0</v>
      </c>
      <c r="AO27" s="85"/>
      <c r="AP27" s="85">
        <f>'General information '!J27</f>
        <v>85</v>
      </c>
      <c r="AR27" s="286">
        <f t="shared" si="24"/>
        <v>43943</v>
      </c>
      <c r="AS27" s="445">
        <f t="shared" si="38"/>
        <v>0.9</v>
      </c>
      <c r="AT27" s="205">
        <v>168</v>
      </c>
      <c r="AU27" s="446">
        <f t="shared" si="33"/>
        <v>1.1000000000000001</v>
      </c>
      <c r="AV27" s="205">
        <v>110</v>
      </c>
      <c r="AW27" s="5">
        <v>2.9</v>
      </c>
      <c r="AX27" s="205">
        <v>117</v>
      </c>
      <c r="AY27" s="449">
        <f t="shared" si="7"/>
        <v>151.20000000000002</v>
      </c>
      <c r="AZ27" s="449">
        <f t="shared" si="25"/>
        <v>121.00000000000001</v>
      </c>
      <c r="BA27" s="449">
        <f t="shared" si="26"/>
        <v>339.3</v>
      </c>
      <c r="BB27" s="21">
        <f t="shared" si="27"/>
        <v>-10.799999999999983</v>
      </c>
      <c r="BC27" s="21">
        <f t="shared" si="27"/>
        <v>17.600000000000009</v>
      </c>
      <c r="BD27" s="21">
        <f t="shared" si="27"/>
        <v>-17.399999999999977</v>
      </c>
      <c r="BE27" s="24">
        <f t="shared" si="29"/>
        <v>-10.599999999999952</v>
      </c>
      <c r="BF27" s="97">
        <f t="shared" si="8"/>
        <v>10.599999999999952</v>
      </c>
      <c r="BG27" s="83">
        <f t="shared" si="9"/>
        <v>-10.599999999999952</v>
      </c>
    </row>
    <row r="28" spans="1:61" ht="15.75" thickBot="1">
      <c r="A28" s="6">
        <f>ELEC!C25</f>
        <v>43944</v>
      </c>
      <c r="B28" s="5">
        <f t="shared" si="34"/>
        <v>108473</v>
      </c>
      <c r="C28" s="5">
        <f t="shared" si="10"/>
        <v>0</v>
      </c>
      <c r="D28" s="440">
        <f t="shared" si="11"/>
        <v>0</v>
      </c>
      <c r="E28" s="348">
        <f>SUM((C28*$E$4)+(7500/'EDl log'!$A$37))</f>
        <v>250</v>
      </c>
      <c r="F28" s="342"/>
      <c r="G28" s="5">
        <v>596432</v>
      </c>
      <c r="H28" s="5">
        <f t="shared" si="12"/>
        <v>63</v>
      </c>
      <c r="I28" s="5">
        <f t="shared" si="0"/>
        <v>63</v>
      </c>
      <c r="J28" s="349">
        <f t="shared" si="1"/>
        <v>3.9682539682539684</v>
      </c>
      <c r="K28" s="5">
        <f>'Swimming Pool quality check '!H28</f>
        <v>6066</v>
      </c>
      <c r="L28" s="282">
        <f t="shared" si="32"/>
        <v>5</v>
      </c>
      <c r="M28" s="431">
        <f t="shared" si="13"/>
        <v>457.44</v>
      </c>
      <c r="N28" s="541">
        <f t="shared" si="35"/>
        <v>0</v>
      </c>
      <c r="O28" s="431">
        <f t="shared" si="14"/>
        <v>529.52</v>
      </c>
      <c r="P28" s="541">
        <f t="shared" si="36"/>
        <v>0</v>
      </c>
      <c r="Q28" s="541">
        <f t="shared" si="37"/>
        <v>0</v>
      </c>
      <c r="R28" s="543"/>
      <c r="S28" s="543"/>
      <c r="T28" s="5">
        <v>4778</v>
      </c>
      <c r="U28" s="5">
        <f t="shared" si="4"/>
        <v>2</v>
      </c>
      <c r="V28" s="5">
        <v>404</v>
      </c>
      <c r="W28" s="339">
        <f t="shared" si="16"/>
        <v>1</v>
      </c>
      <c r="X28" s="5">
        <v>142818</v>
      </c>
      <c r="Y28" s="339">
        <f t="shared" si="17"/>
        <v>106</v>
      </c>
      <c r="Z28" s="5">
        <v>94101</v>
      </c>
      <c r="AA28" s="84">
        <f t="shared" si="18"/>
        <v>17</v>
      </c>
      <c r="AB28" s="5">
        <f t="shared" si="15"/>
        <v>266</v>
      </c>
      <c r="AC28" s="5">
        <f t="shared" si="15"/>
        <v>671</v>
      </c>
      <c r="AD28" s="84">
        <f t="shared" si="30"/>
        <v>0</v>
      </c>
      <c r="AE28" s="5">
        <v>149.46</v>
      </c>
      <c r="AF28" s="84">
        <f t="shared" si="19"/>
        <v>1.4699999999999989</v>
      </c>
      <c r="AG28" s="5">
        <v>1515.36</v>
      </c>
      <c r="AH28" s="84">
        <f t="shared" si="20"/>
        <v>13.299999999999955</v>
      </c>
      <c r="AI28" s="84">
        <f t="shared" si="21"/>
        <v>14.769999999999953</v>
      </c>
      <c r="AJ28" s="341">
        <f t="shared" si="22"/>
        <v>17</v>
      </c>
      <c r="AK28" s="342">
        <f t="shared" si="5"/>
        <v>101</v>
      </c>
      <c r="AL28" s="342">
        <f t="shared" si="23"/>
        <v>16</v>
      </c>
      <c r="AM28" s="342">
        <f>'General information '!D28</f>
        <v>19</v>
      </c>
      <c r="AN28" s="85">
        <f>'General information '!H28</f>
        <v>0</v>
      </c>
      <c r="AO28" s="85"/>
      <c r="AP28" s="85">
        <f>'General information '!J28</f>
        <v>0</v>
      </c>
      <c r="AR28" s="286">
        <f t="shared" si="24"/>
        <v>43944</v>
      </c>
      <c r="AS28" s="445">
        <f t="shared" si="38"/>
        <v>0.9</v>
      </c>
      <c r="AT28" s="205">
        <v>173</v>
      </c>
      <c r="AU28" s="446">
        <f t="shared" si="33"/>
        <v>1.1000000000000001</v>
      </c>
      <c r="AV28" s="205">
        <v>96</v>
      </c>
      <c r="AW28" s="5">
        <v>2.9</v>
      </c>
      <c r="AX28" s="205">
        <v>140</v>
      </c>
      <c r="AY28" s="449">
        <f t="shared" si="7"/>
        <v>155.70000000000002</v>
      </c>
      <c r="AZ28" s="449">
        <f t="shared" si="25"/>
        <v>105.60000000000001</v>
      </c>
      <c r="BA28" s="449">
        <f t="shared" si="26"/>
        <v>406</v>
      </c>
      <c r="BB28" s="21">
        <f t="shared" si="27"/>
        <v>4.5</v>
      </c>
      <c r="BC28" s="21">
        <f t="shared" si="27"/>
        <v>-15.400000000000006</v>
      </c>
      <c r="BD28" s="21">
        <f t="shared" si="27"/>
        <v>66.699999999999989</v>
      </c>
      <c r="BE28" s="24">
        <f t="shared" si="29"/>
        <v>55.799999999999983</v>
      </c>
      <c r="BF28" s="97">
        <f t="shared" si="8"/>
        <v>7.2000000000000171</v>
      </c>
      <c r="BG28" s="83">
        <f t="shared" si="9"/>
        <v>55.799999999999983</v>
      </c>
    </row>
    <row r="29" spans="1:61" ht="15.75" thickBot="1">
      <c r="A29" s="6">
        <f>ELEC!C26</f>
        <v>43945</v>
      </c>
      <c r="B29" s="5">
        <f t="shared" si="34"/>
        <v>108473</v>
      </c>
      <c r="C29" s="5">
        <f t="shared" si="10"/>
        <v>0</v>
      </c>
      <c r="D29" s="440">
        <f t="shared" si="11"/>
        <v>0</v>
      </c>
      <c r="E29" s="348">
        <f>SUM((C29*$E$4)+(7500/'EDl log'!$A$37))</f>
        <v>250</v>
      </c>
      <c r="F29" s="342"/>
      <c r="G29" s="5">
        <v>596432</v>
      </c>
      <c r="H29" s="5">
        <f t="shared" si="12"/>
        <v>0</v>
      </c>
      <c r="I29" s="5">
        <f t="shared" si="0"/>
        <v>0</v>
      </c>
      <c r="J29" s="349">
        <f t="shared" si="1"/>
        <v>0</v>
      </c>
      <c r="K29" s="5">
        <f>'Swimming Pool quality check '!H29</f>
        <v>6068</v>
      </c>
      <c r="L29" s="282">
        <f t="shared" si="32"/>
        <v>2</v>
      </c>
      <c r="M29" s="431">
        <f t="shared" si="13"/>
        <v>457.44</v>
      </c>
      <c r="N29" s="541">
        <f t="shared" si="35"/>
        <v>0</v>
      </c>
      <c r="O29" s="431">
        <f t="shared" si="14"/>
        <v>529.52</v>
      </c>
      <c r="P29" s="541">
        <f t="shared" si="36"/>
        <v>0</v>
      </c>
      <c r="Q29" s="541">
        <f t="shared" si="37"/>
        <v>0</v>
      </c>
      <c r="R29" s="543"/>
      <c r="S29" s="543"/>
      <c r="T29" s="5">
        <f t="shared" ref="T29:T31" si="39">T28</f>
        <v>4778</v>
      </c>
      <c r="U29" s="5">
        <f t="shared" si="4"/>
        <v>0</v>
      </c>
      <c r="V29" s="5">
        <f t="shared" si="15"/>
        <v>404</v>
      </c>
      <c r="W29" s="339">
        <f t="shared" si="16"/>
        <v>0</v>
      </c>
      <c r="X29" s="5">
        <v>142820</v>
      </c>
      <c r="Y29" s="339">
        <f t="shared" si="17"/>
        <v>2</v>
      </c>
      <c r="Z29" s="5">
        <f t="shared" si="15"/>
        <v>94101</v>
      </c>
      <c r="AA29" s="84">
        <f t="shared" si="18"/>
        <v>0</v>
      </c>
      <c r="AB29" s="5">
        <f t="shared" si="15"/>
        <v>266</v>
      </c>
      <c r="AC29" s="5">
        <f t="shared" si="15"/>
        <v>671</v>
      </c>
      <c r="AD29" s="84">
        <f t="shared" si="30"/>
        <v>0</v>
      </c>
      <c r="AE29" s="5">
        <f t="shared" si="15"/>
        <v>149.46</v>
      </c>
      <c r="AF29" s="84">
        <f t="shared" si="19"/>
        <v>0</v>
      </c>
      <c r="AG29" s="5">
        <v>1515.86</v>
      </c>
      <c r="AH29" s="84">
        <f t="shared" si="20"/>
        <v>0.5</v>
      </c>
      <c r="AI29" s="84">
        <f t="shared" si="21"/>
        <v>0.5</v>
      </c>
      <c r="AJ29" s="341">
        <f t="shared" si="22"/>
        <v>0</v>
      </c>
      <c r="AK29" s="342">
        <f t="shared" si="5"/>
        <v>0</v>
      </c>
      <c r="AL29" s="342">
        <f t="shared" si="23"/>
        <v>0</v>
      </c>
      <c r="AM29" s="342">
        <f>'General information '!D29</f>
        <v>19.5</v>
      </c>
      <c r="AN29" s="85">
        <f>'General information '!H29</f>
        <v>0</v>
      </c>
      <c r="AO29" s="85"/>
      <c r="AP29" s="85">
        <f>'General information '!J29</f>
        <v>53</v>
      </c>
      <c r="AR29" s="286">
        <f t="shared" si="24"/>
        <v>43945</v>
      </c>
      <c r="AS29" s="445">
        <f t="shared" si="38"/>
        <v>0.9</v>
      </c>
      <c r="AT29" s="205">
        <v>200</v>
      </c>
      <c r="AU29" s="446">
        <f t="shared" si="33"/>
        <v>1.1000000000000001</v>
      </c>
      <c r="AV29" s="205">
        <v>82</v>
      </c>
      <c r="AW29" s="5">
        <v>2.9</v>
      </c>
      <c r="AX29" s="205">
        <v>133</v>
      </c>
      <c r="AY29" s="449">
        <f t="shared" si="7"/>
        <v>180</v>
      </c>
      <c r="AZ29" s="449">
        <f t="shared" si="25"/>
        <v>90.2</v>
      </c>
      <c r="BA29" s="449">
        <f t="shared" si="26"/>
        <v>385.7</v>
      </c>
      <c r="BB29" s="21">
        <f t="shared" si="27"/>
        <v>24.299999999999983</v>
      </c>
      <c r="BC29" s="21">
        <f t="shared" si="27"/>
        <v>-15.400000000000006</v>
      </c>
      <c r="BD29" s="21">
        <f t="shared" si="27"/>
        <v>-20.300000000000011</v>
      </c>
      <c r="BE29" s="24">
        <f t="shared" si="29"/>
        <v>-11.400000000000034</v>
      </c>
      <c r="BF29" s="97">
        <f t="shared" si="8"/>
        <v>11.400000000000034</v>
      </c>
      <c r="BG29" s="83">
        <f t="shared" si="9"/>
        <v>-11.400000000000034</v>
      </c>
    </row>
    <row r="30" spans="1:61" ht="15.75" thickBot="1">
      <c r="A30" s="6">
        <f>ELEC!C27</f>
        <v>43946</v>
      </c>
      <c r="B30" s="5">
        <v>108473</v>
      </c>
      <c r="C30" s="5">
        <f t="shared" si="10"/>
        <v>0</v>
      </c>
      <c r="D30" s="440">
        <f t="shared" si="11"/>
        <v>0</v>
      </c>
      <c r="E30" s="348">
        <f>SUM((C30*$E$4)+(7500/'EDl log'!$A$37))</f>
        <v>250</v>
      </c>
      <c r="F30" s="342"/>
      <c r="G30" s="5">
        <v>596432</v>
      </c>
      <c r="H30" s="5">
        <f t="shared" si="12"/>
        <v>0</v>
      </c>
      <c r="I30" s="5">
        <f t="shared" si="0"/>
        <v>0</v>
      </c>
      <c r="J30" s="349">
        <f t="shared" si="1"/>
        <v>0</v>
      </c>
      <c r="K30" s="5">
        <f>'Swimming Pool quality check '!H30</f>
        <v>6068</v>
      </c>
      <c r="L30" s="282">
        <f t="shared" si="32"/>
        <v>0</v>
      </c>
      <c r="M30" s="431">
        <f t="shared" si="13"/>
        <v>457.44</v>
      </c>
      <c r="N30" s="541">
        <f t="shared" si="35"/>
        <v>0</v>
      </c>
      <c r="O30" s="431">
        <f t="shared" si="14"/>
        <v>529.52</v>
      </c>
      <c r="P30" s="541">
        <f t="shared" si="36"/>
        <v>0</v>
      </c>
      <c r="Q30" s="541">
        <f t="shared" si="37"/>
        <v>0</v>
      </c>
      <c r="R30" s="543"/>
      <c r="S30" s="543"/>
      <c r="T30" s="5">
        <v>4781</v>
      </c>
      <c r="U30" s="5">
        <f t="shared" si="4"/>
        <v>3</v>
      </c>
      <c r="V30" s="5">
        <f t="shared" si="15"/>
        <v>404</v>
      </c>
      <c r="W30" s="339">
        <f t="shared" si="16"/>
        <v>0</v>
      </c>
      <c r="X30" s="5">
        <f t="shared" si="15"/>
        <v>142820</v>
      </c>
      <c r="Y30" s="339">
        <f t="shared" si="17"/>
        <v>0</v>
      </c>
      <c r="Z30" s="5">
        <v>94131</v>
      </c>
      <c r="AA30" s="84">
        <f t="shared" si="18"/>
        <v>30</v>
      </c>
      <c r="AB30" s="5">
        <f t="shared" si="15"/>
        <v>266</v>
      </c>
      <c r="AC30" s="5">
        <f t="shared" si="15"/>
        <v>671</v>
      </c>
      <c r="AD30" s="84">
        <f t="shared" si="30"/>
        <v>0</v>
      </c>
      <c r="AE30" s="5">
        <f t="shared" si="15"/>
        <v>149.46</v>
      </c>
      <c r="AF30" s="84">
        <f t="shared" si="19"/>
        <v>0</v>
      </c>
      <c r="AG30" s="5">
        <v>1516.46</v>
      </c>
      <c r="AH30" s="84">
        <f t="shared" si="20"/>
        <v>0.60000000000013642</v>
      </c>
      <c r="AI30" s="84">
        <f t="shared" si="21"/>
        <v>0.60000000000013642</v>
      </c>
      <c r="AJ30" s="341">
        <f t="shared" si="22"/>
        <v>30</v>
      </c>
      <c r="AK30" s="342">
        <f t="shared" si="5"/>
        <v>0</v>
      </c>
      <c r="AL30" s="342">
        <f t="shared" si="23"/>
        <v>30</v>
      </c>
      <c r="AM30" s="342">
        <f>'General information '!D30</f>
        <v>18</v>
      </c>
      <c r="AN30" s="85">
        <f>'General information '!H30</f>
        <v>0</v>
      </c>
      <c r="AO30" s="85"/>
      <c r="AP30" s="85">
        <f>'General information '!J30</f>
        <v>78</v>
      </c>
      <c r="AR30" s="286">
        <f t="shared" si="24"/>
        <v>43946</v>
      </c>
      <c r="AS30" s="445">
        <f t="shared" si="38"/>
        <v>0.9</v>
      </c>
      <c r="AT30" s="205">
        <v>160</v>
      </c>
      <c r="AU30" s="446">
        <f t="shared" si="33"/>
        <v>1.1000000000000001</v>
      </c>
      <c r="AV30" s="205">
        <v>91</v>
      </c>
      <c r="AW30" s="5">
        <v>2.9</v>
      </c>
      <c r="AX30" s="205">
        <v>128</v>
      </c>
      <c r="AY30" s="449">
        <f t="shared" si="7"/>
        <v>144</v>
      </c>
      <c r="AZ30" s="449">
        <f t="shared" si="25"/>
        <v>100.10000000000001</v>
      </c>
      <c r="BA30" s="449">
        <f t="shared" si="26"/>
        <v>371.2</v>
      </c>
      <c r="BB30" s="21">
        <f t="shared" si="27"/>
        <v>-36</v>
      </c>
      <c r="BC30" s="21">
        <f t="shared" si="27"/>
        <v>9.9000000000000057</v>
      </c>
      <c r="BD30" s="21">
        <f t="shared" si="27"/>
        <v>-14.5</v>
      </c>
      <c r="BE30" s="24">
        <f t="shared" si="29"/>
        <v>-40.599999999999994</v>
      </c>
      <c r="BF30" s="97">
        <f t="shared" si="8"/>
        <v>40.599999999999994</v>
      </c>
      <c r="BG30" s="83">
        <f t="shared" si="9"/>
        <v>-40.599999999999994</v>
      </c>
    </row>
    <row r="31" spans="1:61" ht="15.75" thickBot="1">
      <c r="A31" s="6">
        <f>ELEC!C28</f>
        <v>43947</v>
      </c>
      <c r="B31" s="5">
        <f t="shared" si="34"/>
        <v>108473</v>
      </c>
      <c r="C31" s="5">
        <f t="shared" si="10"/>
        <v>0</v>
      </c>
      <c r="D31" s="440">
        <f t="shared" si="11"/>
        <v>0</v>
      </c>
      <c r="E31" s="348">
        <f>SUM((C31*$E$4)+(7500/'EDl log'!$A$37))</f>
        <v>250</v>
      </c>
      <c r="F31" s="342"/>
      <c r="G31" s="5">
        <v>596432</v>
      </c>
      <c r="H31" s="5">
        <f t="shared" si="12"/>
        <v>0</v>
      </c>
      <c r="I31" s="5">
        <f t="shared" si="0"/>
        <v>0</v>
      </c>
      <c r="J31" s="349">
        <f t="shared" si="1"/>
        <v>0</v>
      </c>
      <c r="K31" s="5">
        <f>'Swimming Pool quality check '!H31</f>
        <v>6070</v>
      </c>
      <c r="L31" s="282">
        <f t="shared" si="32"/>
        <v>2</v>
      </c>
      <c r="M31" s="431">
        <f t="shared" si="13"/>
        <v>457.44</v>
      </c>
      <c r="N31" s="541">
        <f t="shared" si="35"/>
        <v>0</v>
      </c>
      <c r="O31" s="431">
        <f t="shared" si="14"/>
        <v>529.52</v>
      </c>
      <c r="P31" s="541">
        <f t="shared" si="36"/>
        <v>0</v>
      </c>
      <c r="Q31" s="541">
        <f t="shared" si="37"/>
        <v>0</v>
      </c>
      <c r="R31" s="543"/>
      <c r="S31" s="543"/>
      <c r="T31" s="5">
        <f t="shared" si="39"/>
        <v>4781</v>
      </c>
      <c r="U31" s="5">
        <f t="shared" si="4"/>
        <v>0</v>
      </c>
      <c r="V31" s="5">
        <f t="shared" si="15"/>
        <v>404</v>
      </c>
      <c r="W31" s="339">
        <f t="shared" si="16"/>
        <v>0</v>
      </c>
      <c r="X31" s="5">
        <v>142821</v>
      </c>
      <c r="Y31" s="339">
        <f t="shared" si="17"/>
        <v>1</v>
      </c>
      <c r="Z31" s="5">
        <v>94140</v>
      </c>
      <c r="AA31" s="84">
        <f t="shared" si="18"/>
        <v>9</v>
      </c>
      <c r="AB31" s="5">
        <f t="shared" si="15"/>
        <v>266</v>
      </c>
      <c r="AC31" s="5">
        <f t="shared" si="15"/>
        <v>671</v>
      </c>
      <c r="AD31" s="84">
        <f t="shared" si="30"/>
        <v>0</v>
      </c>
      <c r="AE31" s="5">
        <f t="shared" si="15"/>
        <v>149.46</v>
      </c>
      <c r="AF31" s="84">
        <f t="shared" si="19"/>
        <v>0</v>
      </c>
      <c r="AG31" s="5">
        <f t="shared" si="15"/>
        <v>1516.46</v>
      </c>
      <c r="AH31" s="84">
        <f t="shared" si="20"/>
        <v>0</v>
      </c>
      <c r="AI31" s="84">
        <f t="shared" si="21"/>
        <v>0</v>
      </c>
      <c r="AJ31" s="341">
        <f t="shared" si="22"/>
        <v>9</v>
      </c>
      <c r="AK31" s="342">
        <f t="shared" si="5"/>
        <v>-1</v>
      </c>
      <c r="AL31" s="342">
        <f t="shared" si="23"/>
        <v>9</v>
      </c>
      <c r="AM31" s="342">
        <f>'General information '!D31</f>
        <v>19</v>
      </c>
      <c r="AN31" s="85">
        <f>'General information '!H31</f>
        <v>0</v>
      </c>
      <c r="AO31" s="85"/>
      <c r="AP31" s="85">
        <f>'General information '!J31</f>
        <v>59</v>
      </c>
      <c r="AR31" s="286">
        <f t="shared" si="24"/>
        <v>43947</v>
      </c>
      <c r="AS31" s="445">
        <f t="shared" si="38"/>
        <v>0.9</v>
      </c>
      <c r="AT31" s="205">
        <v>142</v>
      </c>
      <c r="AU31" s="446">
        <f t="shared" si="33"/>
        <v>1.1000000000000001</v>
      </c>
      <c r="AV31" s="205">
        <v>108</v>
      </c>
      <c r="AW31" s="5">
        <v>2.9</v>
      </c>
      <c r="AX31" s="205">
        <v>125.5</v>
      </c>
      <c r="AY31" s="449">
        <f t="shared" si="7"/>
        <v>127.8</v>
      </c>
      <c r="AZ31" s="449">
        <f t="shared" si="25"/>
        <v>118.80000000000001</v>
      </c>
      <c r="BA31" s="449">
        <f t="shared" si="26"/>
        <v>363.95</v>
      </c>
      <c r="BB31" s="21">
        <f t="shared" si="27"/>
        <v>-16.200000000000003</v>
      </c>
      <c r="BC31" s="21">
        <f t="shared" si="27"/>
        <v>18.700000000000003</v>
      </c>
      <c r="BD31" s="21">
        <f t="shared" si="27"/>
        <v>-7.25</v>
      </c>
      <c r="BE31" s="24">
        <f t="shared" si="29"/>
        <v>-4.75</v>
      </c>
      <c r="BF31" s="97">
        <f t="shared" si="8"/>
        <v>4.75</v>
      </c>
      <c r="BG31" s="83">
        <f t="shared" si="9"/>
        <v>-4.75</v>
      </c>
    </row>
    <row r="32" spans="1:61" ht="15.75" thickBot="1">
      <c r="A32" s="6">
        <f>ELEC!C29</f>
        <v>43948</v>
      </c>
      <c r="B32" s="5">
        <v>108473</v>
      </c>
      <c r="C32" s="5">
        <f t="shared" si="10"/>
        <v>0</v>
      </c>
      <c r="D32" s="440">
        <f t="shared" si="11"/>
        <v>0</v>
      </c>
      <c r="E32" s="348">
        <f>SUM((C32*$E$4)+(7500/'EDl log'!$A$37))</f>
        <v>250</v>
      </c>
      <c r="F32" s="342"/>
      <c r="G32" s="5">
        <v>596433</v>
      </c>
      <c r="H32" s="5">
        <f t="shared" si="12"/>
        <v>1</v>
      </c>
      <c r="I32" s="5">
        <f t="shared" si="0"/>
        <v>1</v>
      </c>
      <c r="J32" s="349">
        <f t="shared" si="1"/>
        <v>250</v>
      </c>
      <c r="K32" s="5">
        <f>'Swimming Pool quality check '!H32</f>
        <v>6070</v>
      </c>
      <c r="L32" s="282">
        <f t="shared" si="32"/>
        <v>0</v>
      </c>
      <c r="M32" s="431">
        <f t="shared" si="13"/>
        <v>457.44</v>
      </c>
      <c r="N32" s="541">
        <f t="shared" si="35"/>
        <v>0</v>
      </c>
      <c r="O32" s="431">
        <f t="shared" si="14"/>
        <v>529.52</v>
      </c>
      <c r="P32" s="541">
        <f t="shared" si="36"/>
        <v>0</v>
      </c>
      <c r="Q32" s="541">
        <f t="shared" si="37"/>
        <v>0</v>
      </c>
      <c r="R32" s="543"/>
      <c r="S32" s="543"/>
      <c r="T32" s="5">
        <v>4782</v>
      </c>
      <c r="U32" s="5">
        <f t="shared" si="4"/>
        <v>1</v>
      </c>
      <c r="V32" s="5">
        <v>404</v>
      </c>
      <c r="W32" s="339">
        <f t="shared" si="16"/>
        <v>0</v>
      </c>
      <c r="X32" s="5">
        <v>142821</v>
      </c>
      <c r="Y32" s="339">
        <f t="shared" si="17"/>
        <v>0</v>
      </c>
      <c r="Z32" s="5">
        <v>94140</v>
      </c>
      <c r="AA32" s="84">
        <f t="shared" si="18"/>
        <v>0</v>
      </c>
      <c r="AB32" s="5">
        <f t="shared" si="15"/>
        <v>266</v>
      </c>
      <c r="AC32" s="5">
        <f t="shared" si="15"/>
        <v>671</v>
      </c>
      <c r="AD32" s="84">
        <f t="shared" si="30"/>
        <v>0</v>
      </c>
      <c r="AE32" s="5">
        <v>149.46</v>
      </c>
      <c r="AF32" s="84">
        <f t="shared" si="19"/>
        <v>0</v>
      </c>
      <c r="AG32" s="5">
        <v>1516.96</v>
      </c>
      <c r="AH32" s="84">
        <f t="shared" si="20"/>
        <v>0.5</v>
      </c>
      <c r="AI32" s="84">
        <f t="shared" si="21"/>
        <v>0.5</v>
      </c>
      <c r="AJ32" s="341">
        <f t="shared" si="22"/>
        <v>0</v>
      </c>
      <c r="AK32" s="342">
        <f t="shared" si="5"/>
        <v>0</v>
      </c>
      <c r="AL32" s="342">
        <f t="shared" si="23"/>
        <v>0</v>
      </c>
      <c r="AM32" s="342">
        <f>'General information '!D32</f>
        <v>18</v>
      </c>
      <c r="AN32" s="85">
        <f>'General information '!H32</f>
        <v>0</v>
      </c>
      <c r="AO32" s="85"/>
      <c r="AP32" s="85">
        <f>'General information '!J32</f>
        <v>55</v>
      </c>
      <c r="AR32" s="286">
        <f t="shared" si="24"/>
        <v>43948</v>
      </c>
      <c r="AS32" s="445">
        <f t="shared" si="38"/>
        <v>0.9</v>
      </c>
      <c r="AT32" s="205">
        <v>155</v>
      </c>
      <c r="AU32" s="446">
        <f t="shared" si="33"/>
        <v>1.1000000000000001</v>
      </c>
      <c r="AV32" s="205">
        <v>86</v>
      </c>
      <c r="AW32" s="5">
        <v>2.9</v>
      </c>
      <c r="AX32" s="205">
        <v>116</v>
      </c>
      <c r="AY32" s="449">
        <f t="shared" si="7"/>
        <v>139.5</v>
      </c>
      <c r="AZ32" s="449">
        <f t="shared" si="25"/>
        <v>94.600000000000009</v>
      </c>
      <c r="BA32" s="449">
        <f t="shared" si="26"/>
        <v>336.4</v>
      </c>
      <c r="BB32" s="21">
        <f t="shared" si="27"/>
        <v>11.700000000000003</v>
      </c>
      <c r="BC32" s="21">
        <f t="shared" si="27"/>
        <v>-24.200000000000003</v>
      </c>
      <c r="BD32" s="21">
        <f t="shared" si="27"/>
        <v>-27.550000000000011</v>
      </c>
      <c r="BE32" s="24">
        <f t="shared" si="29"/>
        <v>-40.050000000000011</v>
      </c>
      <c r="BF32" s="97">
        <f t="shared" si="8"/>
        <v>41.050000000000011</v>
      </c>
      <c r="BG32" s="83">
        <f t="shared" si="9"/>
        <v>-40.050000000000011</v>
      </c>
    </row>
    <row r="33" spans="1:59" ht="15.75" thickBot="1">
      <c r="A33" s="6">
        <f>ELEC!C30</f>
        <v>43949</v>
      </c>
      <c r="B33" s="5">
        <v>108473</v>
      </c>
      <c r="C33" s="5">
        <f t="shared" si="10"/>
        <v>0</v>
      </c>
      <c r="D33" s="440">
        <f t="shared" si="11"/>
        <v>0</v>
      </c>
      <c r="E33" s="348">
        <f>SUM((C33*$E$4)+(7500/'EDl log'!$A$37))</f>
        <v>250</v>
      </c>
      <c r="F33" s="342"/>
      <c r="G33" s="5">
        <v>596433</v>
      </c>
      <c r="H33" s="5">
        <f t="shared" si="12"/>
        <v>0</v>
      </c>
      <c r="I33" s="5">
        <f t="shared" si="0"/>
        <v>0</v>
      </c>
      <c r="J33" s="349">
        <f t="shared" si="1"/>
        <v>0</v>
      </c>
      <c r="K33" s="5">
        <f>'Swimming Pool quality check '!H33</f>
        <v>6072</v>
      </c>
      <c r="L33" s="282">
        <f t="shared" si="32"/>
        <v>2</v>
      </c>
      <c r="M33" s="431">
        <f t="shared" si="13"/>
        <v>457.44</v>
      </c>
      <c r="N33" s="541">
        <f t="shared" si="35"/>
        <v>0</v>
      </c>
      <c r="O33" s="431">
        <f t="shared" si="14"/>
        <v>529.52</v>
      </c>
      <c r="P33" s="541">
        <f t="shared" si="36"/>
        <v>0</v>
      </c>
      <c r="Q33" s="541">
        <f t="shared" si="37"/>
        <v>0</v>
      </c>
      <c r="R33" s="543"/>
      <c r="S33" s="543"/>
      <c r="T33" s="5">
        <v>4784</v>
      </c>
      <c r="U33" s="5">
        <f t="shared" si="4"/>
        <v>2</v>
      </c>
      <c r="V33" s="5">
        <f t="shared" si="15"/>
        <v>404</v>
      </c>
      <c r="W33" s="339">
        <f t="shared" si="16"/>
        <v>0</v>
      </c>
      <c r="X33" s="5">
        <v>142861</v>
      </c>
      <c r="Y33" s="339">
        <f t="shared" si="17"/>
        <v>40</v>
      </c>
      <c r="Z33" s="5">
        <v>94174</v>
      </c>
      <c r="AA33" s="84">
        <f t="shared" si="18"/>
        <v>34</v>
      </c>
      <c r="AB33" s="5">
        <f t="shared" si="15"/>
        <v>266</v>
      </c>
      <c r="AC33" s="5">
        <f t="shared" si="15"/>
        <v>671</v>
      </c>
      <c r="AD33" s="84">
        <f t="shared" si="30"/>
        <v>0</v>
      </c>
      <c r="AE33" s="5">
        <v>149.46</v>
      </c>
      <c r="AF33" s="84">
        <f>AE33-AE32</f>
        <v>0</v>
      </c>
      <c r="AG33" s="5">
        <v>1517.41</v>
      </c>
      <c r="AH33" s="84">
        <f t="shared" si="20"/>
        <v>0.45000000000004547</v>
      </c>
      <c r="AI33" s="84">
        <f t="shared" si="21"/>
        <v>0.45000000000004547</v>
      </c>
      <c r="AJ33" s="341">
        <f t="shared" si="22"/>
        <v>34</v>
      </c>
      <c r="AK33" s="342">
        <f t="shared" si="5"/>
        <v>38</v>
      </c>
      <c r="AL33" s="342">
        <f t="shared" si="23"/>
        <v>34</v>
      </c>
      <c r="AM33" s="342">
        <f>'General information '!D33</f>
        <v>18.5</v>
      </c>
      <c r="AN33" s="85">
        <f>'General information '!H33</f>
        <v>0</v>
      </c>
      <c r="AO33" s="85"/>
      <c r="AP33" s="85">
        <f>'General information '!J33</f>
        <v>54</v>
      </c>
      <c r="AR33" s="286">
        <f t="shared" si="24"/>
        <v>43949</v>
      </c>
      <c r="AS33" s="445">
        <f t="shared" si="38"/>
        <v>0.9</v>
      </c>
      <c r="AT33" s="205">
        <v>96</v>
      </c>
      <c r="AU33" s="446">
        <f t="shared" si="33"/>
        <v>1.1000000000000001</v>
      </c>
      <c r="AV33" s="205">
        <v>95</v>
      </c>
      <c r="AW33" s="5">
        <v>2.9</v>
      </c>
      <c r="AX33" s="205">
        <v>122</v>
      </c>
      <c r="AY33" s="449">
        <f t="shared" si="7"/>
        <v>86.4</v>
      </c>
      <c r="AZ33" s="449">
        <f t="shared" si="25"/>
        <v>104.50000000000001</v>
      </c>
      <c r="BA33" s="449">
        <f t="shared" si="26"/>
        <v>353.8</v>
      </c>
      <c r="BB33" s="21">
        <f t="shared" si="27"/>
        <v>-53.099999999999994</v>
      </c>
      <c r="BC33" s="21">
        <f t="shared" si="27"/>
        <v>9.9000000000000057</v>
      </c>
      <c r="BD33" s="21">
        <f t="shared" si="27"/>
        <v>17.400000000000034</v>
      </c>
      <c r="BE33" s="24">
        <f t="shared" si="29"/>
        <v>-25.799999999999955</v>
      </c>
      <c r="BF33" s="97">
        <f t="shared" si="8"/>
        <v>25.799999999999955</v>
      </c>
      <c r="BG33" s="83">
        <f t="shared" si="9"/>
        <v>-25.799999999999955</v>
      </c>
    </row>
    <row r="34" spans="1:59" ht="15.75" thickBot="1">
      <c r="A34" s="6">
        <f>ELEC!C31</f>
        <v>43950</v>
      </c>
      <c r="B34" s="5">
        <v>108473</v>
      </c>
      <c r="C34" s="5">
        <f t="shared" si="10"/>
        <v>0</v>
      </c>
      <c r="D34" s="440">
        <f t="shared" si="11"/>
        <v>0</v>
      </c>
      <c r="E34" s="348">
        <f>SUM((C34*$E$4)+(7500/'EDl log'!$A$37))</f>
        <v>250</v>
      </c>
      <c r="F34" s="342"/>
      <c r="G34" s="5">
        <v>596433</v>
      </c>
      <c r="H34" s="5">
        <f t="shared" si="12"/>
        <v>0</v>
      </c>
      <c r="I34" s="5">
        <f t="shared" si="0"/>
        <v>0</v>
      </c>
      <c r="J34" s="349">
        <f t="shared" si="1"/>
        <v>0</v>
      </c>
      <c r="K34" s="5">
        <f>'Swimming Pool quality check '!H34</f>
        <v>6083</v>
      </c>
      <c r="L34" s="282">
        <f t="shared" si="32"/>
        <v>11</v>
      </c>
      <c r="M34" s="431">
        <f t="shared" si="13"/>
        <v>457.44</v>
      </c>
      <c r="N34" s="541">
        <f t="shared" si="35"/>
        <v>0</v>
      </c>
      <c r="O34" s="431">
        <f t="shared" si="14"/>
        <v>529.52</v>
      </c>
      <c r="P34" s="541">
        <f t="shared" si="36"/>
        <v>0</v>
      </c>
      <c r="Q34" s="541">
        <f t="shared" si="37"/>
        <v>0</v>
      </c>
      <c r="R34" s="543"/>
      <c r="S34" s="543"/>
      <c r="T34" s="5">
        <v>4784</v>
      </c>
      <c r="U34" s="5">
        <f t="shared" si="4"/>
        <v>0</v>
      </c>
      <c r="V34" s="5">
        <v>404</v>
      </c>
      <c r="W34" s="339">
        <f t="shared" si="16"/>
        <v>0</v>
      </c>
      <c r="X34" s="5">
        <v>142861</v>
      </c>
      <c r="Y34" s="339">
        <f t="shared" si="17"/>
        <v>0</v>
      </c>
      <c r="Z34" s="5">
        <v>94174</v>
      </c>
      <c r="AA34" s="84">
        <f t="shared" si="18"/>
        <v>0</v>
      </c>
      <c r="AB34" s="5">
        <f t="shared" si="15"/>
        <v>266</v>
      </c>
      <c r="AC34" s="5">
        <f t="shared" si="15"/>
        <v>671</v>
      </c>
      <c r="AD34" s="84">
        <f t="shared" si="30"/>
        <v>0</v>
      </c>
      <c r="AE34" s="5">
        <v>149.46</v>
      </c>
      <c r="AF34" s="84">
        <f t="shared" si="19"/>
        <v>0</v>
      </c>
      <c r="AG34" s="5">
        <v>1517.44</v>
      </c>
      <c r="AH34" s="84">
        <f t="shared" si="20"/>
        <v>2.9999999999972715E-2</v>
      </c>
      <c r="AI34" s="84">
        <f t="shared" si="21"/>
        <v>2.9999999999972715E-2</v>
      </c>
      <c r="AJ34" s="341">
        <f t="shared" si="22"/>
        <v>0</v>
      </c>
      <c r="AK34" s="342">
        <f t="shared" si="5"/>
        <v>-11</v>
      </c>
      <c r="AL34" s="342">
        <f t="shared" si="23"/>
        <v>0</v>
      </c>
      <c r="AM34" s="342">
        <f>'General information '!D34</f>
        <v>19</v>
      </c>
      <c r="AN34" s="85">
        <f>'General information '!H34</f>
        <v>0</v>
      </c>
      <c r="AO34" s="85"/>
      <c r="AP34" s="85">
        <f>'General information '!J34</f>
        <v>98</v>
      </c>
      <c r="AR34" s="286">
        <f t="shared" si="24"/>
        <v>43950</v>
      </c>
      <c r="AS34" s="445">
        <f t="shared" si="38"/>
        <v>0.9</v>
      </c>
      <c r="AT34" s="205">
        <v>189</v>
      </c>
      <c r="AU34" s="447">
        <f t="shared" si="33"/>
        <v>1.1000000000000001</v>
      </c>
      <c r="AV34" s="205">
        <v>87</v>
      </c>
      <c r="AW34" s="5">
        <v>2.9</v>
      </c>
      <c r="AX34" s="205">
        <v>118</v>
      </c>
      <c r="AY34" s="449">
        <f t="shared" si="7"/>
        <v>170.1</v>
      </c>
      <c r="AZ34" s="449">
        <f t="shared" si="25"/>
        <v>95.7</v>
      </c>
      <c r="BA34" s="449">
        <f t="shared" si="26"/>
        <v>342.2</v>
      </c>
      <c r="BB34" s="21">
        <f t="shared" si="27"/>
        <v>83.699999999999989</v>
      </c>
      <c r="BC34" s="21">
        <f t="shared" si="27"/>
        <v>-8.8000000000000114</v>
      </c>
      <c r="BD34" s="21">
        <f t="shared" si="27"/>
        <v>-11.600000000000023</v>
      </c>
      <c r="BE34" s="24">
        <f t="shared" si="29"/>
        <v>63.299999999999955</v>
      </c>
      <c r="BF34" s="97">
        <f t="shared" si="8"/>
        <v>-63.299999999999955</v>
      </c>
      <c r="BG34" s="83">
        <f t="shared" si="9"/>
        <v>63.299999999999955</v>
      </c>
    </row>
    <row r="35" spans="1:59" ht="15.75" thickBot="1">
      <c r="A35" s="6">
        <f>ELEC!C32</f>
        <v>43951</v>
      </c>
      <c r="B35" s="5">
        <f t="shared" si="34"/>
        <v>108473</v>
      </c>
      <c r="C35" s="5">
        <f t="shared" si="10"/>
        <v>0</v>
      </c>
      <c r="D35" s="440">
        <f t="shared" si="11"/>
        <v>0</v>
      </c>
      <c r="E35" s="348">
        <f>SUM((C35*$E$4)+(7500/'EDl log'!$A$37))</f>
        <v>250</v>
      </c>
      <c r="F35" s="342"/>
      <c r="G35" s="5">
        <f t="shared" si="31"/>
        <v>596433</v>
      </c>
      <c r="H35" s="5">
        <f t="shared" si="12"/>
        <v>0</v>
      </c>
      <c r="I35" s="5">
        <f t="shared" si="0"/>
        <v>0</v>
      </c>
      <c r="J35" s="349">
        <f t="shared" si="1"/>
        <v>0</v>
      </c>
      <c r="K35" s="5">
        <f>'Swimming Pool quality check '!H35</f>
        <v>6084</v>
      </c>
      <c r="L35" s="84">
        <f t="shared" si="32"/>
        <v>1</v>
      </c>
      <c r="M35" s="431">
        <f t="shared" si="13"/>
        <v>457.44</v>
      </c>
      <c r="N35" s="541">
        <f t="shared" si="35"/>
        <v>0</v>
      </c>
      <c r="O35" s="431">
        <f t="shared" si="14"/>
        <v>529.52</v>
      </c>
      <c r="P35" s="541">
        <f t="shared" si="36"/>
        <v>0</v>
      </c>
      <c r="Q35" s="541">
        <f t="shared" si="37"/>
        <v>0</v>
      </c>
      <c r="R35" s="541"/>
      <c r="S35" s="541"/>
      <c r="T35" s="5">
        <v>4785</v>
      </c>
      <c r="U35" s="5">
        <f t="shared" si="4"/>
        <v>1</v>
      </c>
      <c r="V35" s="5">
        <f t="shared" si="15"/>
        <v>404</v>
      </c>
      <c r="W35" s="339">
        <f t="shared" si="16"/>
        <v>0</v>
      </c>
      <c r="X35" s="5">
        <f t="shared" si="15"/>
        <v>142861</v>
      </c>
      <c r="Y35" s="339">
        <f t="shared" si="17"/>
        <v>0</v>
      </c>
      <c r="Z35" s="5">
        <f t="shared" si="15"/>
        <v>94174</v>
      </c>
      <c r="AA35" s="84">
        <f t="shared" si="18"/>
        <v>0</v>
      </c>
      <c r="AB35" s="5">
        <f t="shared" si="15"/>
        <v>266</v>
      </c>
      <c r="AC35" s="5">
        <f t="shared" si="15"/>
        <v>671</v>
      </c>
      <c r="AD35" s="84">
        <f t="shared" si="30"/>
        <v>0</v>
      </c>
      <c r="AE35" s="5">
        <f t="shared" si="15"/>
        <v>149.46</v>
      </c>
      <c r="AF35" s="84">
        <f t="shared" si="19"/>
        <v>0</v>
      </c>
      <c r="AG35" s="5">
        <v>1517.45</v>
      </c>
      <c r="AH35" s="84">
        <f t="shared" si="20"/>
        <v>9.9999999999909051E-3</v>
      </c>
      <c r="AI35" s="84">
        <f t="shared" si="21"/>
        <v>9.9999999999909051E-3</v>
      </c>
      <c r="AJ35" s="341">
        <f t="shared" si="22"/>
        <v>0</v>
      </c>
      <c r="AK35" s="342">
        <f t="shared" si="5"/>
        <v>-1</v>
      </c>
      <c r="AL35" s="342">
        <f t="shared" si="23"/>
        <v>0</v>
      </c>
      <c r="AM35" s="342">
        <f>'General information '!D35</f>
        <v>21</v>
      </c>
      <c r="AN35" s="85">
        <f>'General information '!H35</f>
        <v>0</v>
      </c>
      <c r="AO35" s="85"/>
      <c r="AP35" s="85">
        <f>'General information '!J35</f>
        <v>78</v>
      </c>
      <c r="AR35" s="286">
        <f t="shared" si="24"/>
        <v>43951</v>
      </c>
      <c r="AS35" s="445">
        <f t="shared" si="38"/>
        <v>0.9</v>
      </c>
      <c r="AT35" s="205">
        <f t="shared" si="38"/>
        <v>189</v>
      </c>
      <c r="AU35" s="448">
        <f t="shared" si="33"/>
        <v>1.1000000000000001</v>
      </c>
      <c r="AV35" s="205">
        <v>75</v>
      </c>
      <c r="AW35" s="5">
        <v>2.9</v>
      </c>
      <c r="AX35" s="205">
        <v>117</v>
      </c>
      <c r="AY35" s="449">
        <f t="shared" si="7"/>
        <v>170.1</v>
      </c>
      <c r="AZ35" s="449">
        <f t="shared" si="25"/>
        <v>82.5</v>
      </c>
      <c r="BA35" s="449">
        <f t="shared" si="26"/>
        <v>339.3</v>
      </c>
      <c r="BB35" s="21">
        <f t="shared" si="27"/>
        <v>0</v>
      </c>
      <c r="BC35" s="231">
        <f t="shared" si="27"/>
        <v>-13.200000000000003</v>
      </c>
      <c r="BD35" s="231">
        <f t="shared" si="27"/>
        <v>-2.8999999999999773</v>
      </c>
      <c r="BE35" s="24">
        <f t="shared" si="29"/>
        <v>-16.09999999999998</v>
      </c>
      <c r="BF35" s="97">
        <f t="shared" si="8"/>
        <v>16.09999999999998</v>
      </c>
      <c r="BG35" s="83">
        <f t="shared" si="9"/>
        <v>-16.09999999999998</v>
      </c>
    </row>
    <row r="36" spans="1:59">
      <c r="C36" s="433">
        <f>SUM(C6:C35)</f>
        <v>0</v>
      </c>
      <c r="D36" s="337">
        <f>SUM(D6:D35)</f>
        <v>0</v>
      </c>
      <c r="F36" s="435">
        <f>SUM(F6:F35)</f>
        <v>0</v>
      </c>
      <c r="H36" s="433">
        <f>SUM(H6:H35)</f>
        <v>1340</v>
      </c>
      <c r="I36" s="433">
        <f>SUM(I6:I35)</f>
        <v>1340</v>
      </c>
      <c r="L36" s="275">
        <f>SUM(L7:L35)</f>
        <v>810</v>
      </c>
      <c r="Q36" s="521">
        <f>SUM(Q5:Q35)</f>
        <v>0</v>
      </c>
      <c r="U36" s="430">
        <f>SUM(U6:U35)</f>
        <v>43</v>
      </c>
      <c r="X36" s="338"/>
      <c r="Y36" s="337" t="e">
        <f>SUM(Y35,Y33,Y31,Y29,Y27,Y25,Y23,Y21,Y19,Y17,Y15,Y13,Y11,Y9,Y7+#REF!)</f>
        <v>#REF!</v>
      </c>
      <c r="AJ36" s="337">
        <f>SUM(AJ6:AJ35)</f>
        <v>451</v>
      </c>
      <c r="AK36" s="342" t="e">
        <f t="shared" si="5"/>
        <v>#REF!</v>
      </c>
      <c r="AL36" s="337">
        <f>SUM(AL6:AL35)</f>
        <v>448</v>
      </c>
      <c r="AP36" s="17"/>
      <c r="AQ36" s="17"/>
      <c r="AR36" s="17"/>
      <c r="AS36" s="230"/>
      <c r="AT36" s="5" t="e">
        <f>#REF!</f>
        <v>#REF!</v>
      </c>
      <c r="AU36" s="230"/>
      <c r="AV36" s="17"/>
      <c r="AW36" s="232"/>
      <c r="AX36" s="232"/>
      <c r="AY36" s="232"/>
      <c r="AZ36" s="17"/>
      <c r="BA36" s="17"/>
      <c r="BB36" s="17"/>
      <c r="BC36" s="17"/>
      <c r="BD36" s="17"/>
    </row>
    <row r="37" spans="1:59">
      <c r="C37" s="1">
        <f>+C36*1.66</f>
        <v>0</v>
      </c>
      <c r="E37" s="347">
        <f>SUM(E6:E35)</f>
        <v>7500</v>
      </c>
      <c r="F37" s="438">
        <f>SUM(F6:F35)</f>
        <v>0</v>
      </c>
      <c r="H37" s="158">
        <v>7500</v>
      </c>
      <c r="I37" s="434">
        <f>SUM('General information '!G36/WATER!I36)</f>
        <v>8.0773134328358226E-2</v>
      </c>
      <c r="L37" s="158"/>
      <c r="O37" s="518">
        <f>SUM(Q36+I36)</f>
        <v>1340</v>
      </c>
      <c r="Z37" s="337" t="e">
        <f>SUM(Y36:AJ36)</f>
        <v>#REF!</v>
      </c>
      <c r="AK37" s="342">
        <f t="shared" si="5"/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72">
        <f>9*27</f>
        <v>243</v>
      </c>
      <c r="D38" s="435">
        <f>SUM(D21:D35)</f>
        <v>0</v>
      </c>
      <c r="F38" s="436">
        <f>SUM(F6:F35)</f>
        <v>0</v>
      </c>
      <c r="G38" s="1">
        <f>SUM(I36)</f>
        <v>1340</v>
      </c>
      <c r="H38" s="1">
        <f>SUM(H37+C37)</f>
        <v>7500</v>
      </c>
      <c r="K38" s="1">
        <f>SUM(H38/G38)</f>
        <v>5.5970149253731343</v>
      </c>
      <c r="AJ38" s="337">
        <f>SUM(C37-AK37)</f>
        <v>0</v>
      </c>
      <c r="AM38" s="365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17" activePane="bottomLeft" state="frozen"/>
      <selection pane="bottomLeft" activeCell="G39" sqref="G39"/>
    </sheetView>
  </sheetViews>
  <sheetFormatPr defaultRowHeight="15"/>
  <cols>
    <col min="1" max="1" width="11.85546875" style="509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01" t="s">
        <v>193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3"/>
    </row>
    <row r="2" spans="1:15" ht="15.75" customHeight="1" thickBot="1">
      <c r="A2" s="604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6"/>
    </row>
    <row r="3" spans="1:15" ht="9" customHeight="1" thickBot="1">
      <c r="A3" s="506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7"/>
      <c r="B4" s="150" t="s">
        <v>390</v>
      </c>
      <c r="C4" s="151" t="s">
        <v>158</v>
      </c>
      <c r="D4" s="148" t="s">
        <v>160</v>
      </c>
      <c r="E4" s="152" t="s">
        <v>159</v>
      </c>
      <c r="F4" s="530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8">
        <f>ELEC!C2</f>
        <v>43921</v>
      </c>
      <c r="B5" s="375">
        <f>'[1]General information '!B36</f>
        <v>30</v>
      </c>
      <c r="C5" s="375">
        <f>'[1]General information '!C36</f>
        <v>18</v>
      </c>
      <c r="D5" s="375">
        <f>'[1]General information '!D36</f>
        <v>24</v>
      </c>
      <c r="E5" s="375">
        <f>'[1]General information '!E36</f>
        <v>0.46</v>
      </c>
      <c r="F5" s="375">
        <f>'[1]General information '!F36</f>
        <v>8.6999999999999994E-3</v>
      </c>
      <c r="G5" s="375">
        <f>'[1]General information '!G36</f>
        <v>2.0009999999999999</v>
      </c>
      <c r="H5" s="375">
        <f>'[1]General information '!H36</f>
        <v>0</v>
      </c>
      <c r="I5" s="375">
        <f>'[1]General information '!I36</f>
        <v>0</v>
      </c>
      <c r="J5" s="375">
        <f>'[1]General information '!J36</f>
        <v>41</v>
      </c>
      <c r="K5" s="375">
        <f>'[1]General information '!K36</f>
        <v>41</v>
      </c>
      <c r="L5" s="375">
        <f>'[1]General information '!L36</f>
        <v>0</v>
      </c>
      <c r="M5" s="375">
        <f>'[1]General information '!M36</f>
        <v>0</v>
      </c>
      <c r="N5" s="375">
        <f>'[1]General information '!N36</f>
        <v>0</v>
      </c>
      <c r="O5" s="375">
        <f>'[1]General information '!O36</f>
        <v>0</v>
      </c>
    </row>
    <row r="6" spans="1:15">
      <c r="A6" s="508">
        <f>ELEC!C3</f>
        <v>43922</v>
      </c>
      <c r="B6" s="37">
        <v>19</v>
      </c>
      <c r="C6" s="37">
        <v>14</v>
      </c>
      <c r="D6" s="26">
        <f>(B6+C6)/2</f>
        <v>16.5</v>
      </c>
      <c r="E6" s="356">
        <v>0.68</v>
      </c>
      <c r="F6" s="362">
        <v>1.7399999999999999E-2</v>
      </c>
      <c r="G6" s="246">
        <v>2</v>
      </c>
      <c r="H6" s="3">
        <v>0</v>
      </c>
      <c r="I6" s="3"/>
      <c r="J6" s="37">
        <v>25</v>
      </c>
      <c r="K6" s="270">
        <f t="shared" ref="K6:K26" si="0">+J6+H6</f>
        <v>25</v>
      </c>
      <c r="L6" s="3"/>
      <c r="M6" s="3"/>
      <c r="N6" s="156"/>
      <c r="O6" s="3"/>
    </row>
    <row r="7" spans="1:15">
      <c r="A7" s="508">
        <f>ELEC!C4</f>
        <v>43923</v>
      </c>
      <c r="B7" s="37">
        <v>19</v>
      </c>
      <c r="C7" s="37">
        <v>15</v>
      </c>
      <c r="D7" s="26">
        <f t="shared" ref="D7:D35" si="1">(B7+C7)/2</f>
        <v>17</v>
      </c>
      <c r="E7" s="356">
        <v>0.68</v>
      </c>
      <c r="F7" s="362">
        <v>8.6999999999999994E-3</v>
      </c>
      <c r="G7" s="246">
        <v>2</v>
      </c>
      <c r="H7" s="3">
        <v>0</v>
      </c>
      <c r="I7" s="3"/>
      <c r="J7" s="37">
        <v>37</v>
      </c>
      <c r="K7" s="270">
        <f t="shared" si="0"/>
        <v>37</v>
      </c>
      <c r="L7" s="3"/>
      <c r="M7" s="3"/>
      <c r="N7" s="156"/>
      <c r="O7" s="3"/>
    </row>
    <row r="8" spans="1:15">
      <c r="A8" s="508">
        <f>ELEC!C5</f>
        <v>43924</v>
      </c>
      <c r="B8" s="37">
        <v>20</v>
      </c>
      <c r="C8" s="37">
        <v>14</v>
      </c>
      <c r="D8" s="26">
        <f t="shared" si="1"/>
        <v>17</v>
      </c>
      <c r="E8" s="356">
        <v>0.65</v>
      </c>
      <c r="F8" s="356">
        <v>8.6999999999999994E-3</v>
      </c>
      <c r="G8" s="246">
        <f t="shared" ref="G8:G12" si="2">F8*230</f>
        <v>2.0009999999999999</v>
      </c>
      <c r="H8" s="3">
        <v>0</v>
      </c>
      <c r="I8" s="3"/>
      <c r="J8" s="37">
        <v>33</v>
      </c>
      <c r="K8" s="270">
        <f t="shared" si="0"/>
        <v>33</v>
      </c>
      <c r="L8" s="3"/>
      <c r="M8" s="171"/>
      <c r="N8" s="156"/>
      <c r="O8" s="3"/>
    </row>
    <row r="9" spans="1:15">
      <c r="A9" s="508">
        <f>ELEC!C6</f>
        <v>43925</v>
      </c>
      <c r="B9" s="37">
        <v>23</v>
      </c>
      <c r="C9" s="37">
        <v>14</v>
      </c>
      <c r="D9" s="26">
        <f t="shared" si="1"/>
        <v>18.5</v>
      </c>
      <c r="E9" s="414">
        <v>0.31</v>
      </c>
      <c r="F9" s="414">
        <v>1.2999999999999999E-2</v>
      </c>
      <c r="G9" s="246">
        <f>F9*230</f>
        <v>2.9899999999999998</v>
      </c>
      <c r="H9" s="3"/>
      <c r="I9" s="3"/>
      <c r="J9" s="37">
        <v>39</v>
      </c>
      <c r="K9" s="270">
        <f>+J9+H9</f>
        <v>39</v>
      </c>
      <c r="L9" s="3"/>
      <c r="M9" s="3"/>
      <c r="N9" s="156"/>
      <c r="O9" s="3"/>
    </row>
    <row r="10" spans="1:15">
      <c r="A10" s="508">
        <f>ELEC!C7</f>
        <v>43926</v>
      </c>
      <c r="B10" s="37">
        <v>34</v>
      </c>
      <c r="C10" s="37">
        <v>17</v>
      </c>
      <c r="D10" s="26">
        <f t="shared" si="1"/>
        <v>25.5</v>
      </c>
      <c r="E10" s="373">
        <v>0.43</v>
      </c>
      <c r="F10" s="356">
        <v>3.04E-2</v>
      </c>
      <c r="G10" s="246">
        <f t="shared" si="2"/>
        <v>6.992</v>
      </c>
      <c r="H10" s="3">
        <v>0</v>
      </c>
      <c r="I10" s="3"/>
      <c r="J10" s="37">
        <v>68</v>
      </c>
      <c r="K10" s="270">
        <f t="shared" si="0"/>
        <v>68</v>
      </c>
      <c r="L10" s="3"/>
      <c r="M10" s="3"/>
      <c r="N10" s="156"/>
      <c r="O10" s="3"/>
    </row>
    <row r="11" spans="1:15">
      <c r="A11" s="508">
        <f>ELEC!C8</f>
        <v>43927</v>
      </c>
      <c r="B11" s="37">
        <v>19</v>
      </c>
      <c r="C11" s="37">
        <v>17</v>
      </c>
      <c r="D11" s="26">
        <f t="shared" si="1"/>
        <v>18</v>
      </c>
      <c r="E11" s="414">
        <v>0.5</v>
      </c>
      <c r="F11" s="356">
        <v>8.6999999999999994E-3</v>
      </c>
      <c r="G11" s="246">
        <f t="shared" si="2"/>
        <v>2.0009999999999999</v>
      </c>
      <c r="H11" s="3"/>
      <c r="I11" s="3"/>
      <c r="J11" s="37">
        <v>31</v>
      </c>
      <c r="K11" s="270">
        <f>+J11+H11</f>
        <v>31</v>
      </c>
      <c r="L11" s="3"/>
      <c r="M11" s="3"/>
      <c r="N11" s="156"/>
      <c r="O11" s="3"/>
    </row>
    <row r="12" spans="1:15">
      <c r="A12" s="508">
        <f>ELEC!C9</f>
        <v>43928</v>
      </c>
      <c r="B12" s="37">
        <v>20</v>
      </c>
      <c r="C12" s="37">
        <v>16</v>
      </c>
      <c r="D12" s="26">
        <f t="shared" si="1"/>
        <v>18</v>
      </c>
      <c r="E12" s="414">
        <v>0.5</v>
      </c>
      <c r="F12" s="414">
        <v>8.6999999999999994E-3</v>
      </c>
      <c r="G12" s="246">
        <f t="shared" si="2"/>
        <v>2.0009999999999999</v>
      </c>
      <c r="H12" s="3"/>
      <c r="I12" s="3"/>
      <c r="J12" s="37">
        <v>31</v>
      </c>
      <c r="K12" s="270">
        <f t="shared" si="0"/>
        <v>31</v>
      </c>
      <c r="L12" s="3"/>
      <c r="M12" s="3"/>
      <c r="N12" s="156"/>
      <c r="O12" s="3"/>
    </row>
    <row r="13" spans="1:15">
      <c r="A13" s="508">
        <f>ELEC!C10</f>
        <v>43929</v>
      </c>
      <c r="B13" s="37">
        <v>19</v>
      </c>
      <c r="C13" s="37">
        <v>15</v>
      </c>
      <c r="D13" s="26">
        <f t="shared" si="1"/>
        <v>17</v>
      </c>
      <c r="E13" s="373">
        <v>0.55000000000000004</v>
      </c>
      <c r="F13" s="373">
        <v>4.7800000000000002E-2</v>
      </c>
      <c r="G13" s="246">
        <f>F13*230</f>
        <v>10.994</v>
      </c>
      <c r="H13" s="3"/>
      <c r="I13" s="3"/>
      <c r="J13" s="37">
        <v>48</v>
      </c>
      <c r="K13" s="270">
        <f t="shared" si="0"/>
        <v>48</v>
      </c>
      <c r="L13" s="3"/>
      <c r="M13" s="3"/>
      <c r="N13" s="156"/>
      <c r="O13" s="3"/>
    </row>
    <row r="14" spans="1:15">
      <c r="A14" s="508">
        <f>ELEC!C11</f>
        <v>43930</v>
      </c>
      <c r="B14" s="37">
        <v>18</v>
      </c>
      <c r="C14" s="37">
        <v>15</v>
      </c>
      <c r="D14" s="26">
        <f t="shared" si="1"/>
        <v>16.5</v>
      </c>
      <c r="E14" s="356">
        <v>0.87</v>
      </c>
      <c r="F14" s="356">
        <v>2.1700000000000001E-2</v>
      </c>
      <c r="G14" s="246">
        <f t="shared" ref="G14:G35" si="3">F14*230</f>
        <v>4.9910000000000005</v>
      </c>
      <c r="H14" s="3"/>
      <c r="I14" s="3"/>
      <c r="J14" s="37">
        <v>25</v>
      </c>
      <c r="K14" s="270">
        <f t="shared" si="0"/>
        <v>25</v>
      </c>
      <c r="L14" s="3"/>
      <c r="M14" s="3"/>
      <c r="N14" s="156"/>
      <c r="O14" s="3"/>
    </row>
    <row r="15" spans="1:15">
      <c r="A15" s="508">
        <f>ELEC!C12</f>
        <v>43931</v>
      </c>
      <c r="B15" s="37">
        <v>16</v>
      </c>
      <c r="C15" s="37">
        <v>13</v>
      </c>
      <c r="D15" s="26">
        <f t="shared" si="1"/>
        <v>14.5</v>
      </c>
      <c r="E15" s="356">
        <v>0.85</v>
      </c>
      <c r="F15" s="356">
        <v>8.6999999999999994E-3</v>
      </c>
      <c r="G15" s="246">
        <f>F15*230</f>
        <v>2.0009999999999999</v>
      </c>
      <c r="H15" s="3">
        <v>0</v>
      </c>
      <c r="I15" s="3"/>
      <c r="J15" s="37">
        <v>52</v>
      </c>
      <c r="K15" s="270">
        <f>+J15+H15</f>
        <v>52</v>
      </c>
      <c r="L15" s="3"/>
      <c r="M15" s="3"/>
      <c r="N15" s="156"/>
      <c r="O15" s="3"/>
    </row>
    <row r="16" spans="1:15">
      <c r="A16" s="508">
        <f>ELEC!C13</f>
        <v>43932</v>
      </c>
      <c r="B16" s="37">
        <v>17</v>
      </c>
      <c r="C16" s="37">
        <v>14</v>
      </c>
      <c r="D16" s="26">
        <f t="shared" si="1"/>
        <v>15.5</v>
      </c>
      <c r="E16" s="356">
        <v>0.8</v>
      </c>
      <c r="F16" s="356">
        <v>1.7399999999999999E-2</v>
      </c>
      <c r="G16" s="246">
        <f t="shared" si="3"/>
        <v>4.0019999999999998</v>
      </c>
      <c r="H16" s="3">
        <v>0</v>
      </c>
      <c r="I16" s="3"/>
      <c r="J16" s="37">
        <v>60</v>
      </c>
      <c r="K16" s="270">
        <f>+J16+H16</f>
        <v>60</v>
      </c>
      <c r="L16" s="3"/>
      <c r="M16" s="3"/>
      <c r="N16" s="156"/>
      <c r="O16" s="3"/>
    </row>
    <row r="17" spans="1:15">
      <c r="A17" s="508">
        <f>ELEC!C14</f>
        <v>43933</v>
      </c>
      <c r="B17" s="37">
        <v>20</v>
      </c>
      <c r="C17" s="37">
        <v>14</v>
      </c>
      <c r="D17" s="26">
        <f t="shared" si="1"/>
        <v>17</v>
      </c>
      <c r="E17" s="356">
        <v>0.72</v>
      </c>
      <c r="F17" s="356">
        <v>1.2999999999999999E-2</v>
      </c>
      <c r="G17" s="246">
        <f t="shared" si="3"/>
        <v>2.9899999999999998</v>
      </c>
      <c r="H17" s="3">
        <v>0</v>
      </c>
      <c r="I17" s="3"/>
      <c r="J17" s="37">
        <v>71</v>
      </c>
      <c r="K17" s="270">
        <f t="shared" si="0"/>
        <v>71</v>
      </c>
      <c r="L17" s="3"/>
      <c r="M17" s="3"/>
      <c r="N17" s="156"/>
      <c r="O17" s="3"/>
    </row>
    <row r="18" spans="1:15">
      <c r="A18" s="508">
        <f>ELEC!C15</f>
        <v>43934</v>
      </c>
      <c r="B18" s="37">
        <v>21</v>
      </c>
      <c r="C18" s="37">
        <v>15</v>
      </c>
      <c r="D18" s="26">
        <f t="shared" si="1"/>
        <v>18</v>
      </c>
      <c r="E18" s="450">
        <v>0.68</v>
      </c>
      <c r="F18" s="356">
        <v>3.4799999999999998E-2</v>
      </c>
      <c r="G18" s="246">
        <f t="shared" si="3"/>
        <v>8.0039999999999996</v>
      </c>
      <c r="H18" s="3">
        <v>0</v>
      </c>
      <c r="I18" s="3"/>
      <c r="J18" s="37">
        <v>58</v>
      </c>
      <c r="K18" s="270">
        <f t="shared" si="0"/>
        <v>58</v>
      </c>
      <c r="L18" s="3"/>
      <c r="M18" s="3"/>
      <c r="N18" s="156"/>
      <c r="O18" s="3"/>
    </row>
    <row r="19" spans="1:15">
      <c r="A19" s="508">
        <f>ELEC!C16</f>
        <v>43935</v>
      </c>
      <c r="B19" s="37">
        <v>22</v>
      </c>
      <c r="C19" s="37">
        <v>16</v>
      </c>
      <c r="D19" s="26">
        <f t="shared" si="1"/>
        <v>19</v>
      </c>
      <c r="E19" s="356">
        <v>0.65</v>
      </c>
      <c r="F19" s="356">
        <v>2.1700000000000001E-2</v>
      </c>
      <c r="G19" s="246">
        <f t="shared" si="3"/>
        <v>4.9910000000000005</v>
      </c>
      <c r="H19" s="3"/>
      <c r="I19" s="3"/>
      <c r="J19" s="37">
        <v>91</v>
      </c>
      <c r="K19" s="270">
        <f t="shared" si="0"/>
        <v>91</v>
      </c>
      <c r="L19" s="3"/>
      <c r="M19" s="3"/>
      <c r="N19" s="156"/>
      <c r="O19" s="3"/>
    </row>
    <row r="20" spans="1:15">
      <c r="A20" s="508">
        <f>ELEC!C17</f>
        <v>43936</v>
      </c>
      <c r="B20" s="37">
        <v>20</v>
      </c>
      <c r="C20" s="37">
        <v>16</v>
      </c>
      <c r="D20" s="26">
        <f t="shared" si="1"/>
        <v>18</v>
      </c>
      <c r="E20" s="356">
        <v>0.63</v>
      </c>
      <c r="F20" s="356">
        <v>1.2999999999999999E-2</v>
      </c>
      <c r="G20" s="246">
        <f t="shared" si="3"/>
        <v>2.9899999999999998</v>
      </c>
      <c r="H20" s="3"/>
      <c r="I20" s="3"/>
      <c r="J20" s="37">
        <v>50</v>
      </c>
      <c r="K20" s="270">
        <f t="shared" si="0"/>
        <v>50</v>
      </c>
      <c r="L20" s="3"/>
      <c r="M20" s="3"/>
      <c r="N20" s="156"/>
      <c r="O20" s="3"/>
    </row>
    <row r="21" spans="1:15">
      <c r="A21" s="508">
        <f>ELEC!C18</f>
        <v>43937</v>
      </c>
      <c r="B21" s="37">
        <v>20</v>
      </c>
      <c r="C21" s="37">
        <v>15</v>
      </c>
      <c r="D21" s="26">
        <f t="shared" si="1"/>
        <v>17.5</v>
      </c>
      <c r="E21" s="356">
        <v>0.84</v>
      </c>
      <c r="F21" s="356">
        <v>0.01</v>
      </c>
      <c r="G21" s="246">
        <f t="shared" si="3"/>
        <v>2.3000000000000003</v>
      </c>
      <c r="H21" s="3"/>
      <c r="I21" s="3"/>
      <c r="J21" s="37">
        <v>61</v>
      </c>
      <c r="K21" s="270">
        <f t="shared" si="0"/>
        <v>61</v>
      </c>
      <c r="L21" s="3"/>
      <c r="M21" s="3"/>
      <c r="N21" s="156"/>
      <c r="O21" s="3"/>
    </row>
    <row r="22" spans="1:15">
      <c r="A22" s="508">
        <f>ELEC!C19</f>
        <v>43938</v>
      </c>
      <c r="B22" s="37">
        <v>22</v>
      </c>
      <c r="C22" s="37">
        <v>17</v>
      </c>
      <c r="D22" s="26">
        <f t="shared" si="1"/>
        <v>19.5</v>
      </c>
      <c r="E22" s="356">
        <v>0.73</v>
      </c>
      <c r="F22" s="414">
        <v>8.6999999999999994E-3</v>
      </c>
      <c r="G22" s="246">
        <f t="shared" si="3"/>
        <v>2.0009999999999999</v>
      </c>
      <c r="H22" s="3"/>
      <c r="I22" s="3"/>
      <c r="J22" s="37">
        <v>83</v>
      </c>
      <c r="K22" s="270">
        <f t="shared" si="0"/>
        <v>83</v>
      </c>
      <c r="L22" s="3"/>
      <c r="M22" s="3"/>
      <c r="N22" s="156"/>
      <c r="O22" s="3"/>
    </row>
    <row r="23" spans="1:15">
      <c r="A23" s="508">
        <f>ELEC!C20</f>
        <v>43939</v>
      </c>
      <c r="B23" s="37">
        <v>24</v>
      </c>
      <c r="C23" s="37">
        <v>17</v>
      </c>
      <c r="D23" s="26">
        <f t="shared" si="1"/>
        <v>20.5</v>
      </c>
      <c r="E23" s="356">
        <v>0.72</v>
      </c>
      <c r="F23" s="356">
        <v>1.2999999999999999E-2</v>
      </c>
      <c r="G23" s="246">
        <f t="shared" si="3"/>
        <v>2.9899999999999998</v>
      </c>
      <c r="H23" s="3"/>
      <c r="I23" s="3"/>
      <c r="J23" s="37">
        <v>68</v>
      </c>
      <c r="K23" s="270">
        <f t="shared" si="0"/>
        <v>68</v>
      </c>
      <c r="L23" s="3"/>
      <c r="M23" s="3"/>
      <c r="N23" s="156"/>
      <c r="O23" s="3"/>
    </row>
    <row r="24" spans="1:15">
      <c r="A24" s="508">
        <f>ELEC!C21</f>
        <v>43940</v>
      </c>
      <c r="B24" s="37">
        <v>24</v>
      </c>
      <c r="C24" s="37">
        <v>17</v>
      </c>
      <c r="D24" s="26">
        <f t="shared" si="1"/>
        <v>20.5</v>
      </c>
      <c r="E24" s="356">
        <v>0.65</v>
      </c>
      <c r="F24" s="356">
        <v>2.1700000000000001E-2</v>
      </c>
      <c r="G24" s="246">
        <f t="shared" si="3"/>
        <v>4.9910000000000005</v>
      </c>
      <c r="H24" s="3">
        <v>0</v>
      </c>
      <c r="I24" s="3"/>
      <c r="J24" s="37">
        <v>41</v>
      </c>
      <c r="K24" s="270">
        <f t="shared" si="0"/>
        <v>41</v>
      </c>
      <c r="L24" s="3"/>
      <c r="M24" s="3"/>
      <c r="N24" s="156"/>
      <c r="O24" s="3"/>
    </row>
    <row r="25" spans="1:15">
      <c r="A25" s="508">
        <f>ELEC!C22</f>
        <v>43941</v>
      </c>
      <c r="B25" s="37">
        <v>23</v>
      </c>
      <c r="C25" s="37">
        <v>18</v>
      </c>
      <c r="D25" s="26">
        <f t="shared" si="1"/>
        <v>20.5</v>
      </c>
      <c r="E25" s="356">
        <v>0.83</v>
      </c>
      <c r="F25" s="356">
        <v>8.6999999999999994E-3</v>
      </c>
      <c r="G25" s="246">
        <f t="shared" si="3"/>
        <v>2.0009999999999999</v>
      </c>
      <c r="H25" s="3"/>
      <c r="I25" s="3"/>
      <c r="J25" s="37">
        <v>34</v>
      </c>
      <c r="K25" s="270">
        <f t="shared" si="0"/>
        <v>34</v>
      </c>
      <c r="L25" s="3"/>
      <c r="M25" s="3"/>
      <c r="N25" s="156"/>
      <c r="O25" s="3"/>
    </row>
    <row r="26" spans="1:15">
      <c r="A26" s="508">
        <f>ELEC!C23</f>
        <v>43942</v>
      </c>
      <c r="B26" s="37">
        <v>24</v>
      </c>
      <c r="C26" s="37">
        <v>18</v>
      </c>
      <c r="D26" s="26">
        <f t="shared" si="1"/>
        <v>21</v>
      </c>
      <c r="E26" s="356">
        <v>0.7</v>
      </c>
      <c r="F26" s="356">
        <v>8.6999999999999994E-3</v>
      </c>
      <c r="G26" s="246">
        <f t="shared" si="3"/>
        <v>2.0009999999999999</v>
      </c>
      <c r="H26" s="3"/>
      <c r="I26" s="3"/>
      <c r="J26" s="37">
        <v>58</v>
      </c>
      <c r="K26" s="270">
        <f t="shared" si="0"/>
        <v>58</v>
      </c>
      <c r="L26" s="3"/>
      <c r="M26" s="3"/>
      <c r="N26" s="156"/>
      <c r="O26" s="3"/>
    </row>
    <row r="27" spans="1:15">
      <c r="A27" s="508">
        <f>ELEC!C24</f>
        <v>43943</v>
      </c>
      <c r="B27" s="37">
        <v>25</v>
      </c>
      <c r="C27" s="37">
        <v>18</v>
      </c>
      <c r="D27" s="26">
        <f t="shared" si="1"/>
        <v>21.5</v>
      </c>
      <c r="E27" s="356">
        <v>0.8</v>
      </c>
      <c r="F27" s="356">
        <v>8.6999999999999994E-3</v>
      </c>
      <c r="G27" s="246">
        <f t="shared" si="3"/>
        <v>2.0009999999999999</v>
      </c>
      <c r="H27" s="3"/>
      <c r="I27" s="3"/>
      <c r="J27" s="37">
        <v>85</v>
      </c>
      <c r="K27" s="270">
        <f>+J27+H27+I27</f>
        <v>85</v>
      </c>
      <c r="L27" s="3"/>
      <c r="M27" s="3"/>
      <c r="N27" s="156"/>
      <c r="O27" s="3"/>
    </row>
    <row r="28" spans="1:15">
      <c r="A28" s="508">
        <f>ELEC!C25</f>
        <v>43944</v>
      </c>
      <c r="B28" s="37">
        <v>23</v>
      </c>
      <c r="C28" s="37">
        <v>15</v>
      </c>
      <c r="D28" s="26">
        <f t="shared" si="1"/>
        <v>19</v>
      </c>
      <c r="E28" s="356">
        <v>0.8</v>
      </c>
      <c r="F28" s="356">
        <v>8.6999999999999994E-3</v>
      </c>
      <c r="G28" s="246">
        <f t="shared" si="3"/>
        <v>2.0009999999999999</v>
      </c>
      <c r="H28" s="3">
        <v>0</v>
      </c>
      <c r="I28" s="3"/>
      <c r="J28" s="37"/>
      <c r="K28" s="270">
        <f t="shared" ref="K28:K35" si="4">+J28+H28+I28</f>
        <v>0</v>
      </c>
      <c r="L28" s="3"/>
      <c r="M28" s="3"/>
      <c r="N28" s="156"/>
      <c r="O28" s="3"/>
    </row>
    <row r="29" spans="1:15">
      <c r="A29" s="508">
        <f>ELEC!C26</f>
        <v>43945</v>
      </c>
      <c r="B29" s="37">
        <v>23</v>
      </c>
      <c r="C29" s="37">
        <v>16</v>
      </c>
      <c r="D29" s="26">
        <f t="shared" si="1"/>
        <v>19.5</v>
      </c>
      <c r="E29" s="356">
        <v>0.83</v>
      </c>
      <c r="F29" s="356">
        <v>8.6999999999999994E-3</v>
      </c>
      <c r="G29" s="246">
        <f t="shared" si="3"/>
        <v>2.0009999999999999</v>
      </c>
      <c r="H29" s="3">
        <v>0</v>
      </c>
      <c r="I29" s="3"/>
      <c r="J29" s="37">
        <v>53</v>
      </c>
      <c r="K29" s="270">
        <f t="shared" si="4"/>
        <v>53</v>
      </c>
      <c r="L29" s="3"/>
      <c r="M29" s="3"/>
      <c r="N29" s="156"/>
      <c r="O29" s="3"/>
    </row>
    <row r="30" spans="1:15">
      <c r="A30" s="508">
        <f>ELEC!C27</f>
        <v>43946</v>
      </c>
      <c r="B30" s="37">
        <v>22</v>
      </c>
      <c r="C30" s="37">
        <v>14</v>
      </c>
      <c r="D30" s="26">
        <f t="shared" si="1"/>
        <v>18</v>
      </c>
      <c r="E30" s="356">
        <v>0.85</v>
      </c>
      <c r="F30" s="414">
        <v>1.7399999999999999E-2</v>
      </c>
      <c r="G30" s="246">
        <f t="shared" si="3"/>
        <v>4.0019999999999998</v>
      </c>
      <c r="H30" s="3">
        <v>0</v>
      </c>
      <c r="I30" s="3"/>
      <c r="J30" s="37">
        <v>78</v>
      </c>
      <c r="K30" s="270">
        <f t="shared" si="4"/>
        <v>78</v>
      </c>
      <c r="L30" s="3"/>
      <c r="M30" s="3"/>
      <c r="N30" s="156"/>
      <c r="O30" s="3"/>
    </row>
    <row r="31" spans="1:15">
      <c r="A31" s="508">
        <f>ELEC!C28</f>
        <v>43947</v>
      </c>
      <c r="B31" s="37">
        <v>21</v>
      </c>
      <c r="C31" s="37">
        <v>17</v>
      </c>
      <c r="D31" s="26">
        <f t="shared" si="1"/>
        <v>19</v>
      </c>
      <c r="E31" s="357">
        <v>0.67</v>
      </c>
      <c r="F31" s="290">
        <v>3.4799999999999998E-2</v>
      </c>
      <c r="G31" s="246">
        <f t="shared" si="3"/>
        <v>8.0039999999999996</v>
      </c>
      <c r="H31" s="3">
        <v>0</v>
      </c>
      <c r="I31" s="3"/>
      <c r="J31" s="37">
        <v>59</v>
      </c>
      <c r="K31" s="270">
        <f t="shared" si="4"/>
        <v>59</v>
      </c>
      <c r="L31" s="3"/>
      <c r="M31" s="3"/>
      <c r="N31" s="156"/>
      <c r="O31" s="3"/>
    </row>
    <row r="32" spans="1:15">
      <c r="A32" s="508">
        <f>ELEC!C29</f>
        <v>43948</v>
      </c>
      <c r="B32" s="37">
        <v>20</v>
      </c>
      <c r="C32" s="37">
        <v>16</v>
      </c>
      <c r="D32" s="26">
        <f t="shared" si="1"/>
        <v>18</v>
      </c>
      <c r="E32" s="357">
        <v>0.68</v>
      </c>
      <c r="F32" s="361">
        <v>8.6999999999999994E-3</v>
      </c>
      <c r="G32" s="246">
        <f t="shared" si="3"/>
        <v>2.0009999999999999</v>
      </c>
      <c r="H32" s="3"/>
      <c r="I32" s="3"/>
      <c r="J32" s="37">
        <v>55</v>
      </c>
      <c r="K32" s="270">
        <f t="shared" si="4"/>
        <v>55</v>
      </c>
      <c r="L32" s="3"/>
      <c r="M32" s="3"/>
      <c r="N32" s="156"/>
      <c r="O32" s="3"/>
    </row>
    <row r="33" spans="1:15">
      <c r="A33" s="508">
        <f>ELEC!C30</f>
        <v>43949</v>
      </c>
      <c r="B33" s="37">
        <v>21</v>
      </c>
      <c r="C33" s="37">
        <v>16</v>
      </c>
      <c r="D33" s="26">
        <f t="shared" si="1"/>
        <v>18.5</v>
      </c>
      <c r="E33" s="356">
        <v>0.7</v>
      </c>
      <c r="F33" s="356">
        <v>1.7399999999999999E-2</v>
      </c>
      <c r="G33" s="246">
        <f t="shared" si="3"/>
        <v>4.0019999999999998</v>
      </c>
      <c r="H33" s="3"/>
      <c r="I33" s="3"/>
      <c r="J33" s="37">
        <v>54</v>
      </c>
      <c r="K33" s="270">
        <f t="shared" si="4"/>
        <v>54</v>
      </c>
      <c r="L33" s="3"/>
      <c r="M33" s="3"/>
      <c r="N33" s="156"/>
      <c r="O33" s="3"/>
    </row>
    <row r="34" spans="1:15">
      <c r="A34" s="508">
        <f>ELEC!C31</f>
        <v>43950</v>
      </c>
      <c r="B34" s="37">
        <v>21</v>
      </c>
      <c r="C34" s="37">
        <v>17</v>
      </c>
      <c r="D34" s="26">
        <f t="shared" si="1"/>
        <v>19</v>
      </c>
      <c r="E34" s="356">
        <v>0.69</v>
      </c>
      <c r="F34" s="356">
        <v>1.7399999999999999E-2</v>
      </c>
      <c r="G34" s="246">
        <f t="shared" si="3"/>
        <v>4.0019999999999998</v>
      </c>
      <c r="H34" s="3"/>
      <c r="I34" s="3"/>
      <c r="J34" s="37">
        <v>98</v>
      </c>
      <c r="K34" s="270">
        <f t="shared" si="4"/>
        <v>98</v>
      </c>
      <c r="L34" s="3"/>
      <c r="M34" s="3"/>
      <c r="N34" s="156"/>
      <c r="O34" s="3"/>
    </row>
    <row r="35" spans="1:15">
      <c r="A35" s="508">
        <f>ELEC!C32</f>
        <v>43951</v>
      </c>
      <c r="B35" s="37">
        <v>23</v>
      </c>
      <c r="C35" s="37">
        <v>19</v>
      </c>
      <c r="D35" s="26">
        <f t="shared" si="1"/>
        <v>21</v>
      </c>
      <c r="E35" s="373">
        <v>0.75</v>
      </c>
      <c r="F35" s="373">
        <v>1.2999999999999999E-2</v>
      </c>
      <c r="G35" s="246">
        <f t="shared" si="3"/>
        <v>2.9899999999999998</v>
      </c>
      <c r="H35" s="3">
        <v>0</v>
      </c>
      <c r="I35" s="3"/>
      <c r="J35" s="37">
        <v>78</v>
      </c>
      <c r="K35" s="270">
        <f t="shared" si="4"/>
        <v>78</v>
      </c>
      <c r="L35" s="3"/>
      <c r="M35" s="3"/>
      <c r="N35" s="156"/>
      <c r="O35" s="3"/>
    </row>
    <row r="36" spans="1:15">
      <c r="D36" s="268"/>
      <c r="F36" s="557">
        <f>AVERAGE(F6:F35)</f>
        <v>1.5976666666666663E-2</v>
      </c>
      <c r="G36" s="207">
        <f>SUM(G6:G35)</f>
        <v>108.23600000000002</v>
      </c>
    </row>
    <row r="37" spans="1:15">
      <c r="D37" s="268">
        <f>SUM(D6:D35)/'EDl log'!A35</f>
        <v>18.633333333333333</v>
      </c>
      <c r="F37" s="215"/>
    </row>
    <row r="40" spans="1:15">
      <c r="I40" s="432" t="s">
        <v>316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topLeftCell="A15" zoomScale="90" zoomScaleNormal="90" workbookViewId="0">
      <pane xSplit="1" topLeftCell="AN1" activePane="topRight" state="frozen"/>
      <selection pane="topRight" activeCell="AT34" sqref="AT34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27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10.42578125" bestFit="1" customWidth="1"/>
    <col min="48" max="48" width="9.28515625" style="317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26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26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9" t="s">
        <v>108</v>
      </c>
      <c r="AS3" s="609" t="s">
        <v>234</v>
      </c>
      <c r="AT3" s="607" t="s">
        <v>302</v>
      </c>
      <c r="AU3" s="608"/>
      <c r="AV3" s="31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10"/>
      <c r="AS4" s="610"/>
      <c r="AT4" s="3" t="s">
        <v>71</v>
      </c>
      <c r="AU4" s="3" t="s">
        <v>222</v>
      </c>
      <c r="AV4" s="319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7">
        <f>ELEC!C2</f>
        <v>43921</v>
      </c>
      <c r="B5" s="207">
        <f>[1]tanks!B36</f>
        <v>252</v>
      </c>
      <c r="C5" s="207">
        <f>[1]tanks!C36</f>
        <v>5422.0645161290322</v>
      </c>
      <c r="D5" s="207">
        <f>[1]tanks!D36</f>
        <v>252</v>
      </c>
      <c r="E5" s="207">
        <f>[1]tanks!E36</f>
        <v>5422.0645161290322</v>
      </c>
      <c r="F5" s="207">
        <f>[1]tanks!F36</f>
        <v>252</v>
      </c>
      <c r="G5" s="207">
        <f>[1]tanks!G36</f>
        <v>5422.0645161290322</v>
      </c>
      <c r="H5" s="207">
        <f>[1]tanks!H36</f>
        <v>252</v>
      </c>
      <c r="I5" s="207">
        <f>[1]tanks!I36</f>
        <v>5422.0645161290322</v>
      </c>
      <c r="J5" s="207">
        <f>[1]tanks!J36</f>
        <v>252</v>
      </c>
      <c r="K5" s="207">
        <f>[1]tanks!K36</f>
        <v>5422.0645161290322</v>
      </c>
      <c r="L5" s="207">
        <f>[1]tanks!L36</f>
        <v>252</v>
      </c>
      <c r="M5" s="207">
        <f>[1]tanks!M36</f>
        <v>5422.0645161290322</v>
      </c>
      <c r="N5" s="207">
        <f>[1]tanks!N36</f>
        <v>252</v>
      </c>
      <c r="O5" s="207">
        <f>[1]tanks!O36</f>
        <v>5422.0645161290322</v>
      </c>
      <c r="P5" s="207">
        <f>[1]tanks!P36</f>
        <v>252</v>
      </c>
      <c r="Q5" s="207">
        <f>[1]tanks!Q36</f>
        <v>5422.0645161290322</v>
      </c>
      <c r="R5" s="207">
        <f>[1]tanks!R36</f>
        <v>252</v>
      </c>
      <c r="S5" s="207">
        <f>[1]tanks!S36</f>
        <v>5422.0645161290322</v>
      </c>
      <c r="T5" s="207">
        <f>[1]tanks!T36</f>
        <v>252</v>
      </c>
      <c r="U5" s="207">
        <f>[1]tanks!U36</f>
        <v>5422.0645161290322</v>
      </c>
      <c r="V5" s="207">
        <f>[1]tanks!V36</f>
        <v>252</v>
      </c>
      <c r="W5" s="207">
        <f>[1]tanks!W36</f>
        <v>5422.0645161290322</v>
      </c>
      <c r="X5" s="207">
        <f>[1]tanks!X36</f>
        <v>0.81290322580645147</v>
      </c>
      <c r="Y5" s="207">
        <f>[1]tanks!Y36</f>
        <v>59642.709677419341</v>
      </c>
      <c r="Z5" s="207">
        <f>[1]tanks!Z36</f>
        <v>258</v>
      </c>
      <c r="AA5" s="207">
        <f>[1]tanks!AA36</f>
        <v>2580</v>
      </c>
      <c r="AB5" s="207">
        <f>[1]tanks!AB36</f>
        <v>258</v>
      </c>
      <c r="AC5" s="207">
        <f>[1]tanks!AC36</f>
        <v>2580</v>
      </c>
      <c r="AD5" s="207">
        <f>[1]tanks!AD36</f>
        <v>258</v>
      </c>
      <c r="AE5" s="207">
        <f>[1]tanks!AE36</f>
        <v>2580</v>
      </c>
      <c r="AF5" s="207">
        <f>[1]tanks!AF36</f>
        <v>258</v>
      </c>
      <c r="AG5" s="207">
        <f>[1]tanks!AG36</f>
        <v>2580</v>
      </c>
      <c r="AH5" s="207">
        <f>[1]tanks!AH36</f>
        <v>258</v>
      </c>
      <c r="AI5" s="207">
        <f>[1]tanks!AI36</f>
        <v>2580</v>
      </c>
      <c r="AJ5" s="207">
        <f>[1]tanks!AJ36</f>
        <v>258</v>
      </c>
      <c r="AK5" s="207">
        <f>[1]tanks!AK36</f>
        <v>2580</v>
      </c>
      <c r="AL5" s="207">
        <f>[1]tanks!AL36</f>
        <v>258</v>
      </c>
      <c r="AM5" s="207">
        <f>[1]tanks!AM36</f>
        <v>2580</v>
      </c>
      <c r="AN5" s="532">
        <f>[1]tanks!AN36</f>
        <v>0.92142857142857137</v>
      </c>
      <c r="AO5" s="207">
        <f>[1]tanks!AO36</f>
        <v>18060</v>
      </c>
      <c r="AP5" s="207">
        <f>[2]tanks!AP34</f>
        <v>0</v>
      </c>
      <c r="AQ5" s="532">
        <f>[1]tanks!AQ36</f>
        <v>0.83578261457910441</v>
      </c>
      <c r="AR5" s="207">
        <f>[1]tanks!AR36</f>
        <v>77702.709677419334</v>
      </c>
      <c r="AS5" s="207">
        <f>[1]tanks!AS36</f>
        <v>387.03225806450064</v>
      </c>
      <c r="AT5" s="207">
        <f>[1]tanks!AT36</f>
        <v>10040</v>
      </c>
      <c r="AU5" s="207">
        <f>[1]tanks!AU36</f>
        <v>0.38450000000000001</v>
      </c>
      <c r="AV5" s="207">
        <f>[1]tanks!AV36</f>
        <v>0.38450000000000001</v>
      </c>
      <c r="AW5" s="207">
        <f>[1]tanks!AW36</f>
        <v>-197</v>
      </c>
      <c r="AX5" s="207">
        <f>[1]tanks!AX36</f>
        <v>584.03225806450064</v>
      </c>
      <c r="AY5" s="207">
        <f>[1]tanks!AY36</f>
        <v>387.03225806450064</v>
      </c>
      <c r="AZ5" s="532">
        <f>[1]tanks!AZ36</f>
        <v>8.6999999999999994E-3</v>
      </c>
      <c r="BA5" s="207">
        <f>[1]tanks!BA36</f>
        <v>24</v>
      </c>
      <c r="BB5" s="532">
        <f>[1]tanks!BB36</f>
        <v>0.46</v>
      </c>
      <c r="BC5" s="207">
        <f>[1]tanks!BC36</f>
        <v>0</v>
      </c>
      <c r="BD5" s="207">
        <f>[1]tanks!BD36</f>
        <v>0</v>
      </c>
      <c r="BE5" s="207">
        <f>[1]tanks!BE36</f>
        <v>0</v>
      </c>
      <c r="BF5" s="207">
        <f>[1]tanks!BF36</f>
        <v>0</v>
      </c>
      <c r="BG5" s="207">
        <f>[1]tanks!BG36</f>
        <v>0</v>
      </c>
      <c r="BH5" s="207">
        <f>[1]tanks!BH36</f>
        <v>0</v>
      </c>
      <c r="BI5" s="207"/>
    </row>
    <row r="6" spans="1:61">
      <c r="A6" s="467">
        <f>ELEC!C3</f>
        <v>43922</v>
      </c>
      <c r="B6">
        <f>'B5'!B5</f>
        <v>247</v>
      </c>
      <c r="C6" s="207">
        <f>B6*$B$4</f>
        <v>5314.4838709677415</v>
      </c>
      <c r="D6">
        <f>SUM(B6)</f>
        <v>247</v>
      </c>
      <c r="E6" s="207">
        <f>D6*$B$4</f>
        <v>5314.4838709677415</v>
      </c>
      <c r="F6">
        <f>SUM(D6)</f>
        <v>247</v>
      </c>
      <c r="G6" s="207">
        <f t="shared" ref="G6:G35" si="1">F6*$B$4</f>
        <v>5314.4838709677415</v>
      </c>
      <c r="H6" s="207">
        <f>SUM(F6)</f>
        <v>247</v>
      </c>
      <c r="I6" s="207">
        <f t="shared" ref="I6:I35" si="2">H6*$B$4</f>
        <v>5314.4838709677415</v>
      </c>
      <c r="J6" s="207">
        <f>SUM(H6)</f>
        <v>247</v>
      </c>
      <c r="K6" s="207">
        <f t="shared" ref="K6:K35" si="3">J6*$B$4</f>
        <v>5314.4838709677415</v>
      </c>
      <c r="L6" s="207">
        <f>SUM(J6)</f>
        <v>247</v>
      </c>
      <c r="M6" s="207">
        <f t="shared" ref="M6:M35" si="4">L6*$B$4</f>
        <v>5314.4838709677415</v>
      </c>
      <c r="N6" s="207">
        <f>SUM(L6)</f>
        <v>247</v>
      </c>
      <c r="O6" s="207">
        <f t="shared" ref="O6:O35" si="5">N6*$B$4</f>
        <v>5314.4838709677415</v>
      </c>
      <c r="P6" s="207">
        <f>SUM(N6)</f>
        <v>247</v>
      </c>
      <c r="Q6" s="207">
        <f t="shared" ref="Q6:Q35" si="6">P6*$B$4</f>
        <v>5314.4838709677415</v>
      </c>
      <c r="R6" s="207">
        <f>SUM(P6)</f>
        <v>247</v>
      </c>
      <c r="S6" s="207">
        <f t="shared" ref="S6:S35" si="7">R6*$B$4</f>
        <v>5314.4838709677415</v>
      </c>
      <c r="T6" s="207">
        <f>SUM(R6)</f>
        <v>247</v>
      </c>
      <c r="U6" s="207">
        <f t="shared" ref="U6:U35" si="8">T6*$B$4</f>
        <v>5314.4838709677415</v>
      </c>
      <c r="V6" s="207">
        <f>SUM(T6)</f>
        <v>247</v>
      </c>
      <c r="W6" s="207">
        <f t="shared" ref="W6:W35" si="9">V6*$B$4</f>
        <v>5314.4838709677415</v>
      </c>
      <c r="X6" s="35">
        <f t="shared" ref="X6:X29" si="10">SUM(Y6/73370)</f>
        <v>0.79677419354838708</v>
      </c>
      <c r="Y6" s="36">
        <f>SUM(C6+E6+G6+I6+K6+M6+O6+Q6+S6+U6+W6)</f>
        <v>58459.322580645159</v>
      </c>
      <c r="Z6" s="207">
        <f>'B5'!C5</f>
        <v>253</v>
      </c>
      <c r="AA6" s="207">
        <f>SUM(Z6*$Z$4)</f>
        <v>2530</v>
      </c>
      <c r="AB6" s="207">
        <f>SUM(Z6)</f>
        <v>253</v>
      </c>
      <c r="AC6" s="207">
        <f>SUM(AB6*$Z$4)</f>
        <v>2530</v>
      </c>
      <c r="AD6" s="207">
        <f>SUM(AB6)</f>
        <v>253</v>
      </c>
      <c r="AE6" s="207">
        <f t="shared" ref="AE6:AE35" si="11">SUM(AD6*$Z$4)</f>
        <v>2530</v>
      </c>
      <c r="AF6" s="207">
        <f>SUM(AD6)</f>
        <v>253</v>
      </c>
      <c r="AG6" s="207">
        <f t="shared" ref="AG6:AG35" si="12">SUM(AF6*$Z$4)</f>
        <v>2530</v>
      </c>
      <c r="AH6" s="207">
        <f>SUM(AF6)</f>
        <v>253</v>
      </c>
      <c r="AI6" s="207">
        <f t="shared" ref="AI6:AI35" si="13">SUM(AH6*$Z$4)</f>
        <v>2530</v>
      </c>
      <c r="AJ6" s="207">
        <f>SUM(AH6)</f>
        <v>253</v>
      </c>
      <c r="AK6" s="207">
        <f t="shared" ref="AK6:AK35" si="14">SUM(AJ6*$Z$4)</f>
        <v>2530</v>
      </c>
      <c r="AL6" s="207">
        <f>SUM(AJ6)</f>
        <v>253</v>
      </c>
      <c r="AM6" s="207">
        <f t="shared" ref="AM6:AM35" si="15">SUM(AL6*$Z$4)</f>
        <v>2530</v>
      </c>
      <c r="AN6" s="35">
        <f t="shared" ref="AN6:AN29" si="16">SUM(AO6/19600)</f>
        <v>0.90357142857142858</v>
      </c>
      <c r="AO6" s="36">
        <f t="shared" ref="AO6:AO29" si="17">SUM(AA6+AC6+AE6+AG6+AI6+AK6+AM6)</f>
        <v>17710</v>
      </c>
      <c r="AQ6" s="227">
        <f>SUM(AR6/92970)</f>
        <v>0.81928926084376841</v>
      </c>
      <c r="AR6" s="38">
        <f>SUM(AO6+Y6)</f>
        <v>76169.322580645152</v>
      </c>
      <c r="AS6" s="201">
        <f>SUM(AR6-AR5-AT6)</f>
        <v>-1533.3870967741823</v>
      </c>
      <c r="AT6" s="374"/>
      <c r="AU6" s="459"/>
      <c r="AV6" s="545">
        <f>IF(AT6&gt;0,AU6,AV5)</f>
        <v>0.38450000000000001</v>
      </c>
      <c r="AW6" s="300">
        <f>-SUM('B5'!AI5)</f>
        <v>-267</v>
      </c>
      <c r="AX6" s="300">
        <f>-SUM(AW6-AS6)</f>
        <v>-1266.3870967741823</v>
      </c>
      <c r="AY6" s="37">
        <f>SUM(AX6+AW6)</f>
        <v>-1533.3870967741823</v>
      </c>
      <c r="AZ6" s="101">
        <f>ELEC!A3</f>
        <v>1.7399999999999999E-2</v>
      </c>
      <c r="BA6" s="119">
        <f>'General information '!D6</f>
        <v>16.5</v>
      </c>
      <c r="BB6" s="290">
        <f>SUM('General information '!E6)</f>
        <v>0.68</v>
      </c>
      <c r="BC6" s="3">
        <f>IF(AR3&gt;=AR6,0,1)</f>
        <v>0</v>
      </c>
      <c r="BD6" s="103">
        <v>19222</v>
      </c>
      <c r="BE6" s="14">
        <f>(305/1185)*ELEC!Q4</f>
        <v>406.92405063294513</v>
      </c>
      <c r="BF6" s="14"/>
      <c r="BG6" s="14" t="e">
        <f>#REF!-BE6</f>
        <v>#REF!</v>
      </c>
      <c r="BH6" s="11">
        <v>21</v>
      </c>
    </row>
    <row r="7" spans="1:61">
      <c r="A7" s="467">
        <f>ELEC!C4</f>
        <v>43923</v>
      </c>
      <c r="B7">
        <f>'B5'!B6</f>
        <v>243</v>
      </c>
      <c r="C7" s="207">
        <f t="shared" ref="C7:E35" si="18">B7*$B$4</f>
        <v>5228.4193548387093</v>
      </c>
      <c r="D7">
        <f t="shared" ref="D7:D29" si="19">SUM(B7)</f>
        <v>243</v>
      </c>
      <c r="E7" s="207">
        <f t="shared" si="18"/>
        <v>5228.4193548387093</v>
      </c>
      <c r="F7">
        <f t="shared" ref="F7:F29" si="20">SUM(D7)</f>
        <v>243</v>
      </c>
      <c r="G7" s="207">
        <f t="shared" si="1"/>
        <v>5228.4193548387093</v>
      </c>
      <c r="H7" s="207">
        <f t="shared" ref="H7:H29" si="21">SUM(F7)</f>
        <v>243</v>
      </c>
      <c r="I7" s="207">
        <f t="shared" si="2"/>
        <v>5228.4193548387093</v>
      </c>
      <c r="J7" s="207">
        <f t="shared" ref="J7:J29" si="22">SUM(H7)</f>
        <v>243</v>
      </c>
      <c r="K7" s="207">
        <f t="shared" si="3"/>
        <v>5228.4193548387093</v>
      </c>
      <c r="L7" s="207">
        <f t="shared" ref="L7:L29" si="23">SUM(J7)</f>
        <v>243</v>
      </c>
      <c r="M7" s="207">
        <f t="shared" si="4"/>
        <v>5228.4193548387093</v>
      </c>
      <c r="N7" s="207">
        <f t="shared" ref="N7:N29" si="24">SUM(L7)</f>
        <v>243</v>
      </c>
      <c r="O7" s="207">
        <f t="shared" si="5"/>
        <v>5228.4193548387093</v>
      </c>
      <c r="P7" s="207">
        <f t="shared" ref="P7:P29" si="25">SUM(N7)</f>
        <v>243</v>
      </c>
      <c r="Q7" s="207">
        <f t="shared" si="6"/>
        <v>5228.4193548387093</v>
      </c>
      <c r="R7" s="207">
        <f t="shared" ref="R7:R29" si="26">SUM(P7)</f>
        <v>243</v>
      </c>
      <c r="S7" s="207">
        <f t="shared" si="7"/>
        <v>5228.4193548387093</v>
      </c>
      <c r="T7" s="207">
        <f t="shared" ref="T7:T29" si="27">SUM(R7)</f>
        <v>243</v>
      </c>
      <c r="U7" s="207">
        <f t="shared" si="8"/>
        <v>5228.4193548387093</v>
      </c>
      <c r="V7" s="207">
        <f t="shared" ref="V7:V29" si="28">SUM(T7)</f>
        <v>243</v>
      </c>
      <c r="W7" s="207">
        <f t="shared" si="9"/>
        <v>5228.4193548387093</v>
      </c>
      <c r="X7" s="35">
        <f t="shared" si="10"/>
        <v>0.78387096774193554</v>
      </c>
      <c r="Y7" s="36">
        <f t="shared" ref="Y7:Y29" si="29">SUM(C7+E7+G7+I7+K7+M7+O7+Q7+S7+U7+W7)</f>
        <v>57512.61290322581</v>
      </c>
      <c r="Z7" s="207">
        <f>'B5'!C6</f>
        <v>249</v>
      </c>
      <c r="AA7" s="207">
        <f t="shared" ref="AA7:AC35" si="30">SUM(Z7*$Z$4)</f>
        <v>2490</v>
      </c>
      <c r="AB7" s="207">
        <f t="shared" ref="AB7:AB29" si="31">SUM(Z7)</f>
        <v>249</v>
      </c>
      <c r="AC7" s="207">
        <f t="shared" si="30"/>
        <v>2490</v>
      </c>
      <c r="AD7" s="207">
        <f t="shared" ref="AD7:AD29" si="32">SUM(AB7)</f>
        <v>249</v>
      </c>
      <c r="AE7" s="207">
        <f t="shared" si="11"/>
        <v>2490</v>
      </c>
      <c r="AF7" s="207">
        <f t="shared" ref="AF7:AF29" si="33">SUM(AD7)</f>
        <v>249</v>
      </c>
      <c r="AG7" s="207">
        <f t="shared" si="12"/>
        <v>2490</v>
      </c>
      <c r="AH7" s="207">
        <f t="shared" ref="AH7:AH29" si="34">SUM(AF7)</f>
        <v>249</v>
      </c>
      <c r="AI7" s="207">
        <f t="shared" si="13"/>
        <v>2490</v>
      </c>
      <c r="AJ7" s="207">
        <f t="shared" ref="AJ7:AJ29" si="35">SUM(AH7)</f>
        <v>249</v>
      </c>
      <c r="AK7" s="207">
        <f t="shared" si="14"/>
        <v>2490</v>
      </c>
      <c r="AL7" s="207">
        <f t="shared" ref="AL7:AL29" si="36">SUM(AJ7)</f>
        <v>249</v>
      </c>
      <c r="AM7" s="207">
        <f t="shared" si="15"/>
        <v>2490</v>
      </c>
      <c r="AN7" s="35">
        <f t="shared" si="16"/>
        <v>0.88928571428571423</v>
      </c>
      <c r="AO7" s="36">
        <f t="shared" si="17"/>
        <v>17430</v>
      </c>
      <c r="AQ7" s="227">
        <f t="shared" ref="AQ7:AQ33" si="37">SUM(AR7/92970)</f>
        <v>0.80609457785549976</v>
      </c>
      <c r="AR7" s="38">
        <f>SUM(AO7+Y7)</f>
        <v>74942.612903225818</v>
      </c>
      <c r="AS7" s="201">
        <f t="shared" ref="AS7:AS35" si="38">SUM(AR7-AR6-AT7)</f>
        <v>-1226.7096774193342</v>
      </c>
      <c r="AT7" s="278"/>
      <c r="AU7" s="517"/>
      <c r="AV7" s="545">
        <f>IF(AT7&gt;0,AU7,AV6)</f>
        <v>0.38450000000000001</v>
      </c>
      <c r="AW7" s="300">
        <f>-SUM('B5'!AI6)</f>
        <v>-307</v>
      </c>
      <c r="AX7" s="300">
        <f t="shared" ref="AX7:AX35" si="39">-SUM(AW7-AS7)</f>
        <v>-919.70967741933418</v>
      </c>
      <c r="AY7" s="37">
        <f t="shared" ref="AY7:AY35" si="40">SUM(AX7+AW7)</f>
        <v>-1226.7096774193342</v>
      </c>
      <c r="AZ7" s="101">
        <f>ELEC!A4</f>
        <v>8.6999999999999994E-3</v>
      </c>
      <c r="BA7" s="119">
        <f>'General information '!D7</f>
        <v>17</v>
      </c>
      <c r="BB7" s="414">
        <f>SUM('General information '!E7)</f>
        <v>0.68</v>
      </c>
      <c r="BC7" s="3">
        <v>0</v>
      </c>
      <c r="BD7" s="103">
        <v>19222</v>
      </c>
      <c r="BE7" s="14">
        <f>(305/1185)*ELEC!Q5</f>
        <v>324.81856540100495</v>
      </c>
      <c r="BF7" s="14"/>
      <c r="BG7" s="14" t="e">
        <f>#REF!-BE7</f>
        <v>#REF!</v>
      </c>
      <c r="BH7" s="11">
        <v>19</v>
      </c>
    </row>
    <row r="8" spans="1:61">
      <c r="A8" s="467">
        <f>ELEC!C5</f>
        <v>43924</v>
      </c>
      <c r="B8">
        <f>'B5'!B7</f>
        <v>241</v>
      </c>
      <c r="C8" s="207">
        <f t="shared" si="18"/>
        <v>5185.3870967741932</v>
      </c>
      <c r="D8">
        <f t="shared" si="19"/>
        <v>241</v>
      </c>
      <c r="E8" s="207">
        <f t="shared" si="18"/>
        <v>5185.3870967741932</v>
      </c>
      <c r="F8">
        <f t="shared" si="20"/>
        <v>241</v>
      </c>
      <c r="G8" s="207">
        <f t="shared" si="1"/>
        <v>5185.3870967741932</v>
      </c>
      <c r="H8" s="207">
        <f t="shared" si="21"/>
        <v>241</v>
      </c>
      <c r="I8" s="207">
        <f t="shared" si="2"/>
        <v>5185.3870967741932</v>
      </c>
      <c r="J8" s="207">
        <f t="shared" si="22"/>
        <v>241</v>
      </c>
      <c r="K8" s="207">
        <f t="shared" si="3"/>
        <v>5185.3870967741932</v>
      </c>
      <c r="L8" s="207">
        <f t="shared" si="23"/>
        <v>241</v>
      </c>
      <c r="M8" s="207">
        <f t="shared" si="4"/>
        <v>5185.3870967741932</v>
      </c>
      <c r="N8" s="207">
        <f t="shared" si="24"/>
        <v>241</v>
      </c>
      <c r="O8" s="207">
        <f t="shared" si="5"/>
        <v>5185.3870967741932</v>
      </c>
      <c r="P8" s="207">
        <f t="shared" si="25"/>
        <v>241</v>
      </c>
      <c r="Q8" s="207">
        <f t="shared" si="6"/>
        <v>5185.3870967741932</v>
      </c>
      <c r="R8" s="207">
        <f t="shared" si="26"/>
        <v>241</v>
      </c>
      <c r="S8" s="207">
        <f t="shared" si="7"/>
        <v>5185.3870967741932</v>
      </c>
      <c r="T8" s="207">
        <f t="shared" si="27"/>
        <v>241</v>
      </c>
      <c r="U8" s="207">
        <f t="shared" si="8"/>
        <v>5185.3870967741932</v>
      </c>
      <c r="V8" s="207">
        <f t="shared" si="28"/>
        <v>241</v>
      </c>
      <c r="W8" s="207">
        <f t="shared" si="9"/>
        <v>5185.3870967741932</v>
      </c>
      <c r="X8" s="35">
        <f t="shared" si="10"/>
        <v>0.77741935483870972</v>
      </c>
      <c r="Y8" s="36">
        <f t="shared" si="29"/>
        <v>57039.258064516136</v>
      </c>
      <c r="Z8" s="207">
        <f>'B5'!C7</f>
        <v>246</v>
      </c>
      <c r="AA8" s="207">
        <f t="shared" si="30"/>
        <v>2460</v>
      </c>
      <c r="AB8" s="207">
        <f t="shared" si="31"/>
        <v>246</v>
      </c>
      <c r="AC8" s="207">
        <f t="shared" si="30"/>
        <v>2460</v>
      </c>
      <c r="AD8" s="207">
        <f t="shared" si="32"/>
        <v>246</v>
      </c>
      <c r="AE8" s="207">
        <f t="shared" si="11"/>
        <v>2460</v>
      </c>
      <c r="AF8" s="207">
        <f t="shared" si="33"/>
        <v>246</v>
      </c>
      <c r="AG8" s="207">
        <f t="shared" si="12"/>
        <v>2460</v>
      </c>
      <c r="AH8" s="207">
        <f t="shared" si="34"/>
        <v>246</v>
      </c>
      <c r="AI8" s="207">
        <f t="shared" si="13"/>
        <v>2460</v>
      </c>
      <c r="AJ8" s="207">
        <f t="shared" si="35"/>
        <v>246</v>
      </c>
      <c r="AK8" s="207">
        <f t="shared" si="14"/>
        <v>2460</v>
      </c>
      <c r="AL8" s="207">
        <f t="shared" si="36"/>
        <v>246</v>
      </c>
      <c r="AM8" s="207">
        <f t="shared" si="15"/>
        <v>2460</v>
      </c>
      <c r="AN8" s="35">
        <f t="shared" si="16"/>
        <v>0.87857142857142856</v>
      </c>
      <c r="AO8" s="36">
        <f t="shared" si="17"/>
        <v>17220</v>
      </c>
      <c r="AQ8" s="227">
        <f t="shared" si="37"/>
        <v>0.79874430530833751</v>
      </c>
      <c r="AR8" s="38">
        <f t="shared" ref="AR8:AR35" si="41">SUM(AO8+Y8)</f>
        <v>74259.258064516136</v>
      </c>
      <c r="AS8" s="201">
        <f t="shared" si="38"/>
        <v>-683.35483870968164</v>
      </c>
      <c r="AT8" s="374"/>
      <c r="AU8" s="459"/>
      <c r="AV8" s="545">
        <f t="shared" ref="AV8:AV34" si="42">IF(AT8&gt;0,AU8,AV7)</f>
        <v>0.38450000000000001</v>
      </c>
      <c r="AW8" s="300">
        <f>-SUM('B5'!AI7)</f>
        <v>-351</v>
      </c>
      <c r="AX8" s="300">
        <f t="shared" si="39"/>
        <v>-332.35483870968164</v>
      </c>
      <c r="AY8" s="37">
        <f t="shared" si="40"/>
        <v>-683.35483870968164</v>
      </c>
      <c r="AZ8" s="101">
        <f>ELEC!A5</f>
        <v>8.6999999999999994E-3</v>
      </c>
      <c r="BA8" s="119">
        <f>'General information '!D8</f>
        <v>17</v>
      </c>
      <c r="BB8" s="414">
        <f>SUM('General information '!E8)</f>
        <v>0.65</v>
      </c>
      <c r="BC8" s="3">
        <f t="shared" ref="BC8:BC33" si="43">IF(AR7&gt;=AR8,0,1)</f>
        <v>0</v>
      </c>
      <c r="BD8" s="103">
        <v>19222</v>
      </c>
      <c r="BE8" s="14">
        <f>(305/1185)*ELEC!Q6</f>
        <v>422.62447257379478</v>
      </c>
      <c r="BF8" s="14"/>
      <c r="BG8" s="14" t="e">
        <f>#REF!-BE8</f>
        <v>#REF!</v>
      </c>
      <c r="BH8" s="11">
        <v>16</v>
      </c>
    </row>
    <row r="9" spans="1:61">
      <c r="A9" s="467">
        <f>ELEC!C6</f>
        <v>43925</v>
      </c>
      <c r="B9">
        <f>'B5'!B8</f>
        <v>239</v>
      </c>
      <c r="C9" s="207">
        <f t="shared" si="18"/>
        <v>5142.3548387096771</v>
      </c>
      <c r="D9">
        <f t="shared" si="19"/>
        <v>239</v>
      </c>
      <c r="E9" s="207">
        <f t="shared" si="18"/>
        <v>5142.3548387096771</v>
      </c>
      <c r="F9">
        <f t="shared" si="20"/>
        <v>239</v>
      </c>
      <c r="G9" s="207">
        <f t="shared" si="1"/>
        <v>5142.3548387096771</v>
      </c>
      <c r="H9" s="207">
        <f t="shared" si="21"/>
        <v>239</v>
      </c>
      <c r="I9" s="207">
        <f t="shared" si="2"/>
        <v>5142.3548387096771</v>
      </c>
      <c r="J9" s="207">
        <f t="shared" si="22"/>
        <v>239</v>
      </c>
      <c r="K9" s="207">
        <f t="shared" si="3"/>
        <v>5142.3548387096771</v>
      </c>
      <c r="L9" s="207">
        <f t="shared" si="23"/>
        <v>239</v>
      </c>
      <c r="M9" s="207">
        <f t="shared" si="4"/>
        <v>5142.3548387096771</v>
      </c>
      <c r="N9" s="207">
        <f t="shared" si="24"/>
        <v>239</v>
      </c>
      <c r="O9" s="207">
        <f t="shared" si="5"/>
        <v>5142.3548387096771</v>
      </c>
      <c r="P9" s="207">
        <f t="shared" si="25"/>
        <v>239</v>
      </c>
      <c r="Q9" s="207">
        <f t="shared" si="6"/>
        <v>5142.3548387096771</v>
      </c>
      <c r="R9" s="207">
        <f t="shared" si="26"/>
        <v>239</v>
      </c>
      <c r="S9" s="207">
        <f t="shared" si="7"/>
        <v>5142.3548387096771</v>
      </c>
      <c r="T9" s="207">
        <f t="shared" si="27"/>
        <v>239</v>
      </c>
      <c r="U9" s="207">
        <f t="shared" si="8"/>
        <v>5142.3548387096771</v>
      </c>
      <c r="V9" s="207">
        <f t="shared" si="28"/>
        <v>239</v>
      </c>
      <c r="W9" s="207">
        <f t="shared" si="9"/>
        <v>5142.3548387096771</v>
      </c>
      <c r="X9" s="35">
        <f t="shared" si="10"/>
        <v>0.77096774193548367</v>
      </c>
      <c r="Y9" s="36">
        <f t="shared" si="29"/>
        <v>56565.90322580644</v>
      </c>
      <c r="Z9" s="207">
        <f>'B5'!C8</f>
        <v>244</v>
      </c>
      <c r="AA9" s="207">
        <f t="shared" si="30"/>
        <v>2440</v>
      </c>
      <c r="AB9" s="207">
        <f t="shared" si="31"/>
        <v>244</v>
      </c>
      <c r="AC9" s="207">
        <f t="shared" si="30"/>
        <v>2440</v>
      </c>
      <c r="AD9" s="207">
        <f t="shared" si="32"/>
        <v>244</v>
      </c>
      <c r="AE9" s="207">
        <f t="shared" si="11"/>
        <v>2440</v>
      </c>
      <c r="AF9" s="207">
        <f t="shared" si="33"/>
        <v>244</v>
      </c>
      <c r="AG9" s="207">
        <f t="shared" si="12"/>
        <v>2440</v>
      </c>
      <c r="AH9" s="207">
        <f t="shared" si="34"/>
        <v>244</v>
      </c>
      <c r="AI9" s="207">
        <f t="shared" si="13"/>
        <v>2440</v>
      </c>
      <c r="AJ9" s="207">
        <f t="shared" si="35"/>
        <v>244</v>
      </c>
      <c r="AK9" s="207">
        <f t="shared" si="14"/>
        <v>2440</v>
      </c>
      <c r="AL9" s="207">
        <f t="shared" si="36"/>
        <v>244</v>
      </c>
      <c r="AM9" s="207">
        <f t="shared" si="15"/>
        <v>2440</v>
      </c>
      <c r="AN9" s="35">
        <f t="shared" si="16"/>
        <v>0.87142857142857144</v>
      </c>
      <c r="AO9" s="36">
        <f>SUM(AA9+AC9+AE9+AG9+AI9+AK9+AM9)</f>
        <v>17080</v>
      </c>
      <c r="AQ9" s="227">
        <f t="shared" si="37"/>
        <v>0.79214696381420291</v>
      </c>
      <c r="AR9" s="38">
        <f t="shared" si="41"/>
        <v>73645.90322580644</v>
      </c>
      <c r="AS9" s="201">
        <f t="shared" si="38"/>
        <v>-613.3548387096962</v>
      </c>
      <c r="AT9" s="374"/>
      <c r="AU9" s="459"/>
      <c r="AV9" s="545">
        <f t="shared" si="42"/>
        <v>0.38450000000000001</v>
      </c>
      <c r="AW9" s="300">
        <f>-SUM('B5'!AI8)</f>
        <v>-271</v>
      </c>
      <c r="AX9" s="300">
        <f>-SUM(AW9-AS9)</f>
        <v>-342.3548387096962</v>
      </c>
      <c r="AY9" s="37">
        <f t="shared" si="40"/>
        <v>-613.3548387096962</v>
      </c>
      <c r="AZ9" s="101">
        <f>ELEC!A6</f>
        <v>1.2999999999999999E-2</v>
      </c>
      <c r="BA9" s="119">
        <f>'General information '!D9</f>
        <v>18.5</v>
      </c>
      <c r="BB9" s="414">
        <f>SUM('General information '!E9)</f>
        <v>0.31</v>
      </c>
      <c r="BC9" s="3">
        <f t="shared" si="43"/>
        <v>0</v>
      </c>
      <c r="BD9" s="103">
        <v>19222</v>
      </c>
      <c r="BE9" s="14">
        <f>(305/1185)*ELEC!Q7</f>
        <v>435.23628692001478</v>
      </c>
      <c r="BF9" s="14"/>
      <c r="BG9" s="14" t="e">
        <f>#REF!-BE9</f>
        <v>#REF!</v>
      </c>
      <c r="BH9" s="11">
        <v>18</v>
      </c>
    </row>
    <row r="10" spans="1:61">
      <c r="A10" s="467">
        <f>ELEC!C7</f>
        <v>43926</v>
      </c>
      <c r="B10">
        <f>'B5'!B9</f>
        <v>235</v>
      </c>
      <c r="C10" s="207">
        <f t="shared" si="18"/>
        <v>5056.2903225806449</v>
      </c>
      <c r="D10">
        <f t="shared" si="19"/>
        <v>235</v>
      </c>
      <c r="E10" s="207">
        <f t="shared" si="18"/>
        <v>5056.2903225806449</v>
      </c>
      <c r="F10">
        <f t="shared" si="20"/>
        <v>235</v>
      </c>
      <c r="G10" s="207">
        <f t="shared" si="1"/>
        <v>5056.2903225806449</v>
      </c>
      <c r="H10" s="207">
        <f t="shared" si="21"/>
        <v>235</v>
      </c>
      <c r="I10" s="207">
        <f t="shared" si="2"/>
        <v>5056.2903225806449</v>
      </c>
      <c r="J10" s="207">
        <f t="shared" si="22"/>
        <v>235</v>
      </c>
      <c r="K10" s="207">
        <f t="shared" si="3"/>
        <v>5056.2903225806449</v>
      </c>
      <c r="L10" s="207">
        <f t="shared" si="23"/>
        <v>235</v>
      </c>
      <c r="M10" s="207">
        <f t="shared" si="4"/>
        <v>5056.2903225806449</v>
      </c>
      <c r="N10" s="207">
        <f t="shared" si="24"/>
        <v>235</v>
      </c>
      <c r="O10" s="207">
        <f t="shared" si="5"/>
        <v>5056.2903225806449</v>
      </c>
      <c r="P10" s="207">
        <f t="shared" si="25"/>
        <v>235</v>
      </c>
      <c r="Q10" s="207">
        <f t="shared" si="6"/>
        <v>5056.2903225806449</v>
      </c>
      <c r="R10" s="207">
        <f t="shared" si="26"/>
        <v>235</v>
      </c>
      <c r="S10" s="207">
        <f t="shared" si="7"/>
        <v>5056.2903225806449</v>
      </c>
      <c r="T10" s="207">
        <f t="shared" si="27"/>
        <v>235</v>
      </c>
      <c r="U10" s="207">
        <f t="shared" si="8"/>
        <v>5056.2903225806449</v>
      </c>
      <c r="V10" s="207">
        <f t="shared" si="28"/>
        <v>235</v>
      </c>
      <c r="W10" s="207">
        <f t="shared" si="9"/>
        <v>5056.2903225806449</v>
      </c>
      <c r="X10" s="35">
        <f t="shared" si="10"/>
        <v>0.75806451612903214</v>
      </c>
      <c r="Y10" s="36">
        <f t="shared" si="29"/>
        <v>55619.193548387091</v>
      </c>
      <c r="Z10" s="207">
        <f>'B5'!C9</f>
        <v>241</v>
      </c>
      <c r="AA10" s="207">
        <f t="shared" si="30"/>
        <v>2410</v>
      </c>
      <c r="AB10" s="207">
        <f t="shared" si="31"/>
        <v>241</v>
      </c>
      <c r="AC10" s="207">
        <f t="shared" si="30"/>
        <v>2410</v>
      </c>
      <c r="AD10" s="207">
        <f t="shared" si="32"/>
        <v>241</v>
      </c>
      <c r="AE10" s="207">
        <f t="shared" si="11"/>
        <v>2410</v>
      </c>
      <c r="AF10" s="207">
        <f t="shared" si="33"/>
        <v>241</v>
      </c>
      <c r="AG10" s="207">
        <f t="shared" si="12"/>
        <v>2410</v>
      </c>
      <c r="AH10" s="207">
        <f t="shared" si="34"/>
        <v>241</v>
      </c>
      <c r="AI10" s="207">
        <f t="shared" si="13"/>
        <v>2410</v>
      </c>
      <c r="AJ10" s="207">
        <f t="shared" si="35"/>
        <v>241</v>
      </c>
      <c r="AK10" s="207">
        <f t="shared" si="14"/>
        <v>2410</v>
      </c>
      <c r="AL10" s="207">
        <f t="shared" si="36"/>
        <v>241</v>
      </c>
      <c r="AM10" s="207">
        <f t="shared" si="15"/>
        <v>2410</v>
      </c>
      <c r="AN10" s="35">
        <f t="shared" si="16"/>
        <v>0.86071428571428577</v>
      </c>
      <c r="AO10" s="36">
        <f t="shared" si="17"/>
        <v>16870</v>
      </c>
      <c r="AQ10" s="227">
        <f t="shared" si="37"/>
        <v>0.77970521187896191</v>
      </c>
      <c r="AR10" s="38">
        <f t="shared" si="41"/>
        <v>72489.193548387091</v>
      </c>
      <c r="AS10" s="201">
        <f>SUM(AR10-AR9-AT10)</f>
        <v>-1156.7096774193487</v>
      </c>
      <c r="AT10" s="374"/>
      <c r="AU10" s="459"/>
      <c r="AV10" s="545">
        <f>IF(AT10&gt;0,AU10,AV9)</f>
        <v>0.38450000000000001</v>
      </c>
      <c r="AW10" s="300">
        <f>-SUM('B5'!AI9)</f>
        <v>-252</v>
      </c>
      <c r="AX10" s="300">
        <f>-SUM(AW10-AS10)</f>
        <v>-904.70967741934874</v>
      </c>
      <c r="AY10" s="37">
        <f t="shared" si="40"/>
        <v>-1156.7096774193487</v>
      </c>
      <c r="AZ10" s="101">
        <f>ELEC!A7</f>
        <v>3.04E-2</v>
      </c>
      <c r="BA10" s="119">
        <f>'General information '!D10</f>
        <v>25.5</v>
      </c>
      <c r="BB10" s="414">
        <f>SUM('General information '!E10)</f>
        <v>0.43</v>
      </c>
      <c r="BC10" s="3">
        <f t="shared" si="43"/>
        <v>0</v>
      </c>
      <c r="BD10" s="103">
        <v>19222</v>
      </c>
      <c r="BE10" s="14">
        <f>(305/1185)*ELEC!Q8</f>
        <v>460.71729957781565</v>
      </c>
      <c r="BF10" s="14"/>
      <c r="BG10" s="14" t="e">
        <f>#REF!-BE10</f>
        <v>#REF!</v>
      </c>
      <c r="BH10" s="11">
        <v>16</v>
      </c>
    </row>
    <row r="11" spans="1:61">
      <c r="A11" s="467">
        <f>ELEC!C8</f>
        <v>43927</v>
      </c>
      <c r="B11">
        <f>'B5'!B10</f>
        <v>233</v>
      </c>
      <c r="C11" s="207">
        <f t="shared" si="18"/>
        <v>5013.2580645161288</v>
      </c>
      <c r="D11">
        <f>SUM(B11)</f>
        <v>233</v>
      </c>
      <c r="E11" s="207">
        <f t="shared" si="18"/>
        <v>5013.2580645161288</v>
      </c>
      <c r="F11">
        <f>SUM(D11)</f>
        <v>233</v>
      </c>
      <c r="G11" s="207">
        <f t="shared" si="1"/>
        <v>5013.2580645161288</v>
      </c>
      <c r="H11" s="207">
        <f>SUM(F11)</f>
        <v>233</v>
      </c>
      <c r="I11" s="207">
        <f t="shared" si="2"/>
        <v>5013.2580645161288</v>
      </c>
      <c r="J11" s="207">
        <f>SUM(H11)</f>
        <v>233</v>
      </c>
      <c r="K11" s="207">
        <f t="shared" si="3"/>
        <v>5013.2580645161288</v>
      </c>
      <c r="L11" s="207">
        <f>SUM(J11)</f>
        <v>233</v>
      </c>
      <c r="M11" s="207">
        <f t="shared" si="4"/>
        <v>5013.2580645161288</v>
      </c>
      <c r="N11" s="207">
        <f>SUM(L11)</f>
        <v>233</v>
      </c>
      <c r="O11" s="207">
        <f t="shared" si="5"/>
        <v>5013.2580645161288</v>
      </c>
      <c r="P11" s="207">
        <f>SUM(N11)</f>
        <v>233</v>
      </c>
      <c r="Q11" s="207">
        <f t="shared" si="6"/>
        <v>5013.2580645161288</v>
      </c>
      <c r="R11" s="207">
        <f>SUM(P11)</f>
        <v>233</v>
      </c>
      <c r="S11" s="207">
        <f t="shared" si="7"/>
        <v>5013.2580645161288</v>
      </c>
      <c r="T11" s="207">
        <f>SUM(R11)</f>
        <v>233</v>
      </c>
      <c r="U11" s="207">
        <f t="shared" si="8"/>
        <v>5013.2580645161288</v>
      </c>
      <c r="V11" s="207">
        <f>SUM(T11)</f>
        <v>233</v>
      </c>
      <c r="W11" s="207">
        <f t="shared" si="9"/>
        <v>5013.2580645161288</v>
      </c>
      <c r="X11" s="35">
        <f>SUM(Y11/73370)</f>
        <v>0.75161290322580643</v>
      </c>
      <c r="Y11" s="36">
        <f>SUM(C11+E11+G11+I11+K11+M11+O11+Q11+S11+U11+W11)</f>
        <v>55145.838709677417</v>
      </c>
      <c r="Z11" s="207">
        <f>'B5'!C10</f>
        <v>239</v>
      </c>
      <c r="AA11" s="207">
        <f t="shared" si="30"/>
        <v>2390</v>
      </c>
      <c r="AB11" s="207">
        <f>SUM(Z11)</f>
        <v>239</v>
      </c>
      <c r="AC11" s="207">
        <f t="shared" si="30"/>
        <v>2390</v>
      </c>
      <c r="AD11" s="207">
        <f>SUM(AB11)</f>
        <v>239</v>
      </c>
      <c r="AE11" s="207">
        <f t="shared" si="11"/>
        <v>2390</v>
      </c>
      <c r="AF11" s="207">
        <f>SUM(AD11)</f>
        <v>239</v>
      </c>
      <c r="AG11" s="207">
        <f t="shared" si="12"/>
        <v>2390</v>
      </c>
      <c r="AH11" s="207">
        <f>SUM(AF11)</f>
        <v>239</v>
      </c>
      <c r="AI11" s="207">
        <f t="shared" si="13"/>
        <v>2390</v>
      </c>
      <c r="AJ11" s="207">
        <f>SUM(AH11)</f>
        <v>239</v>
      </c>
      <c r="AK11" s="207">
        <f t="shared" si="14"/>
        <v>2390</v>
      </c>
      <c r="AL11" s="207">
        <f>SUM(AJ11)</f>
        <v>239</v>
      </c>
      <c r="AM11" s="207">
        <f t="shared" si="15"/>
        <v>2390</v>
      </c>
      <c r="AN11" s="35">
        <f>SUM(AO11/19600)</f>
        <v>0.85357142857142854</v>
      </c>
      <c r="AO11" s="36">
        <f t="shared" si="17"/>
        <v>16730</v>
      </c>
      <c r="AQ11" s="227">
        <f t="shared" si="37"/>
        <v>0.77310787038482764</v>
      </c>
      <c r="AR11" s="38">
        <f t="shared" si="41"/>
        <v>71875.838709677424</v>
      </c>
      <c r="AS11" s="201">
        <f>SUM(AR11-AR10-AT11)</f>
        <v>-613.35483870966709</v>
      </c>
      <c r="AT11" s="374"/>
      <c r="AU11" s="459"/>
      <c r="AV11" s="545">
        <f>IF(AT11&gt;0,AU11,AV10)</f>
        <v>0.38450000000000001</v>
      </c>
      <c r="AW11" s="300">
        <f>-SUM('B5'!AI10)</f>
        <v>-444</v>
      </c>
      <c r="AX11" s="300">
        <f>-SUM(AW11-AS11)</f>
        <v>-169.35483870966709</v>
      </c>
      <c r="AY11" s="37">
        <f t="shared" si="40"/>
        <v>-613.35483870966709</v>
      </c>
      <c r="AZ11" s="101">
        <f>ELEC!A8</f>
        <v>8.6999999999999994E-3</v>
      </c>
      <c r="BA11" s="119">
        <f>'General information '!D11</f>
        <v>18</v>
      </c>
      <c r="BB11" s="414">
        <f>SUM('General information '!E11)</f>
        <v>0.5</v>
      </c>
      <c r="BC11" s="3">
        <f t="shared" si="43"/>
        <v>0</v>
      </c>
      <c r="BD11" s="103">
        <v>19222</v>
      </c>
      <c r="BE11" s="14">
        <f>(305/1185)*ELEC!Q9</f>
        <v>360.08016877669343</v>
      </c>
      <c r="BF11" s="14"/>
      <c r="BG11" s="14" t="e">
        <f>#REF!-BE11</f>
        <v>#REF!</v>
      </c>
      <c r="BH11" s="11">
        <v>16.5</v>
      </c>
    </row>
    <row r="12" spans="1:61">
      <c r="A12" s="467">
        <f>ELEC!C9</f>
        <v>43928</v>
      </c>
      <c r="B12">
        <f>'B5'!B11</f>
        <v>232</v>
      </c>
      <c r="C12" s="207">
        <f t="shared" si="18"/>
        <v>4991.7419354838712</v>
      </c>
      <c r="D12">
        <f t="shared" si="19"/>
        <v>232</v>
      </c>
      <c r="E12" s="207">
        <f t="shared" si="18"/>
        <v>4991.7419354838712</v>
      </c>
      <c r="F12">
        <f t="shared" si="20"/>
        <v>232</v>
      </c>
      <c r="G12" s="207">
        <f t="shared" si="1"/>
        <v>4991.7419354838712</v>
      </c>
      <c r="H12" s="207">
        <f t="shared" si="21"/>
        <v>232</v>
      </c>
      <c r="I12" s="207">
        <f t="shared" si="2"/>
        <v>4991.7419354838712</v>
      </c>
      <c r="J12" s="207">
        <f t="shared" si="22"/>
        <v>232</v>
      </c>
      <c r="K12" s="207">
        <f t="shared" si="3"/>
        <v>4991.7419354838712</v>
      </c>
      <c r="L12" s="207">
        <f t="shared" si="23"/>
        <v>232</v>
      </c>
      <c r="M12" s="207">
        <f t="shared" si="4"/>
        <v>4991.7419354838712</v>
      </c>
      <c r="N12" s="207">
        <f t="shared" si="24"/>
        <v>232</v>
      </c>
      <c r="O12" s="207">
        <f t="shared" si="5"/>
        <v>4991.7419354838712</v>
      </c>
      <c r="P12" s="207">
        <f t="shared" si="25"/>
        <v>232</v>
      </c>
      <c r="Q12" s="207">
        <f t="shared" si="6"/>
        <v>4991.7419354838712</v>
      </c>
      <c r="R12" s="207">
        <f t="shared" si="26"/>
        <v>232</v>
      </c>
      <c r="S12" s="207">
        <f t="shared" si="7"/>
        <v>4991.7419354838712</v>
      </c>
      <c r="T12" s="207">
        <f t="shared" si="27"/>
        <v>232</v>
      </c>
      <c r="U12" s="207">
        <f t="shared" si="8"/>
        <v>4991.7419354838712</v>
      </c>
      <c r="V12" s="207">
        <f t="shared" si="28"/>
        <v>232</v>
      </c>
      <c r="W12" s="207">
        <f t="shared" si="9"/>
        <v>4991.7419354838712</v>
      </c>
      <c r="X12" s="35">
        <f t="shared" si="10"/>
        <v>0.74838709677419357</v>
      </c>
      <c r="Y12" s="36">
        <f t="shared" si="29"/>
        <v>54909.161290322583</v>
      </c>
      <c r="Z12" s="207">
        <f>'B5'!C11</f>
        <v>238</v>
      </c>
      <c r="AA12" s="207">
        <f t="shared" si="30"/>
        <v>2380</v>
      </c>
      <c r="AB12" s="207">
        <f t="shared" si="31"/>
        <v>238</v>
      </c>
      <c r="AC12" s="207">
        <f t="shared" si="30"/>
        <v>2380</v>
      </c>
      <c r="AD12" s="207">
        <f t="shared" si="32"/>
        <v>238</v>
      </c>
      <c r="AE12" s="207">
        <f t="shared" si="11"/>
        <v>2380</v>
      </c>
      <c r="AF12" s="207">
        <f t="shared" si="33"/>
        <v>238</v>
      </c>
      <c r="AG12" s="207">
        <f t="shared" si="12"/>
        <v>2380</v>
      </c>
      <c r="AH12" s="207">
        <f t="shared" si="34"/>
        <v>238</v>
      </c>
      <c r="AI12" s="207">
        <f t="shared" si="13"/>
        <v>2380</v>
      </c>
      <c r="AJ12" s="207">
        <f t="shared" si="35"/>
        <v>238</v>
      </c>
      <c r="AK12" s="207">
        <f t="shared" si="14"/>
        <v>2380</v>
      </c>
      <c r="AL12" s="207">
        <f t="shared" si="36"/>
        <v>238</v>
      </c>
      <c r="AM12" s="207">
        <f t="shared" si="15"/>
        <v>2380</v>
      </c>
      <c r="AN12" s="35">
        <f t="shared" si="16"/>
        <v>0.85</v>
      </c>
      <c r="AO12" s="36">
        <f t="shared" si="17"/>
        <v>16660</v>
      </c>
      <c r="AQ12" s="227">
        <f t="shared" si="37"/>
        <v>0.76980919963776029</v>
      </c>
      <c r="AR12" s="38">
        <f t="shared" si="41"/>
        <v>71569.161290322576</v>
      </c>
      <c r="AS12" s="201">
        <f t="shared" si="38"/>
        <v>-306.6774193548481</v>
      </c>
      <c r="AT12" s="278"/>
      <c r="AU12" s="503"/>
      <c r="AV12" s="545">
        <f t="shared" si="42"/>
        <v>0.38450000000000001</v>
      </c>
      <c r="AW12" s="300">
        <f>-SUM('B5'!AI11)</f>
        <v>-164</v>
      </c>
      <c r="AX12" s="300">
        <f t="shared" si="39"/>
        <v>-142.6774193548481</v>
      </c>
      <c r="AY12" s="37">
        <f t="shared" si="40"/>
        <v>-306.6774193548481</v>
      </c>
      <c r="AZ12" s="101">
        <f>ELEC!A9</f>
        <v>8.6999999999999994E-3</v>
      </c>
      <c r="BA12" s="119">
        <f>'General information '!D12</f>
        <v>18</v>
      </c>
      <c r="BB12" s="414">
        <f>SUM('General information '!E12)</f>
        <v>0.5</v>
      </c>
      <c r="BC12" s="3">
        <f t="shared" si="43"/>
        <v>0</v>
      </c>
      <c r="BD12" s="103">
        <v>19222</v>
      </c>
      <c r="BE12" s="14">
        <f>(305/1185)*ELEC!Q10</f>
        <v>414.64556961998727</v>
      </c>
      <c r="BF12" s="14"/>
      <c r="BG12" s="14" t="e">
        <f>#REF!-BE12</f>
        <v>#REF!</v>
      </c>
      <c r="BH12" s="11">
        <v>15.5</v>
      </c>
    </row>
    <row r="13" spans="1:61">
      <c r="A13" s="467">
        <f>ELEC!C10</f>
        <v>43929</v>
      </c>
      <c r="B13">
        <f>'B5'!B12</f>
        <v>229</v>
      </c>
      <c r="C13" s="207">
        <f t="shared" si="18"/>
        <v>4927.1935483870966</v>
      </c>
      <c r="D13">
        <f t="shared" si="19"/>
        <v>229</v>
      </c>
      <c r="E13" s="207">
        <f t="shared" si="18"/>
        <v>4927.1935483870966</v>
      </c>
      <c r="F13">
        <f t="shared" si="20"/>
        <v>229</v>
      </c>
      <c r="G13" s="207">
        <f t="shared" si="1"/>
        <v>4927.1935483870966</v>
      </c>
      <c r="H13" s="207">
        <f t="shared" si="21"/>
        <v>229</v>
      </c>
      <c r="I13" s="207">
        <f t="shared" si="2"/>
        <v>4927.1935483870966</v>
      </c>
      <c r="J13" s="207">
        <f t="shared" si="22"/>
        <v>229</v>
      </c>
      <c r="K13" s="207">
        <f t="shared" si="3"/>
        <v>4927.1935483870966</v>
      </c>
      <c r="L13" s="207">
        <f t="shared" si="23"/>
        <v>229</v>
      </c>
      <c r="M13" s="207">
        <f t="shared" si="4"/>
        <v>4927.1935483870966</v>
      </c>
      <c r="N13" s="207">
        <f t="shared" si="24"/>
        <v>229</v>
      </c>
      <c r="O13" s="207">
        <f t="shared" si="5"/>
        <v>4927.1935483870966</v>
      </c>
      <c r="P13" s="207">
        <f t="shared" si="25"/>
        <v>229</v>
      </c>
      <c r="Q13" s="207">
        <f t="shared" si="6"/>
        <v>4927.1935483870966</v>
      </c>
      <c r="R13" s="207">
        <f t="shared" si="26"/>
        <v>229</v>
      </c>
      <c r="S13" s="207">
        <f t="shared" si="7"/>
        <v>4927.1935483870966</v>
      </c>
      <c r="T13" s="207">
        <f t="shared" si="27"/>
        <v>229</v>
      </c>
      <c r="U13" s="207">
        <f t="shared" si="8"/>
        <v>4927.1935483870966</v>
      </c>
      <c r="V13" s="207">
        <f t="shared" si="28"/>
        <v>229</v>
      </c>
      <c r="W13" s="207">
        <f t="shared" si="9"/>
        <v>4927.1935483870966</v>
      </c>
      <c r="X13" s="35">
        <f t="shared" si="10"/>
        <v>0.738709677419355</v>
      </c>
      <c r="Y13" s="36">
        <f t="shared" si="29"/>
        <v>54199.129032258075</v>
      </c>
      <c r="Z13" s="207">
        <f>'B5'!C12</f>
        <v>235</v>
      </c>
      <c r="AA13" s="207">
        <f t="shared" si="30"/>
        <v>2350</v>
      </c>
      <c r="AB13" s="207">
        <f t="shared" si="31"/>
        <v>235</v>
      </c>
      <c r="AC13" s="207">
        <f t="shared" si="30"/>
        <v>2350</v>
      </c>
      <c r="AD13" s="207">
        <f t="shared" si="32"/>
        <v>235</v>
      </c>
      <c r="AE13" s="207">
        <f t="shared" si="11"/>
        <v>2350</v>
      </c>
      <c r="AF13" s="207">
        <f t="shared" si="33"/>
        <v>235</v>
      </c>
      <c r="AG13" s="207">
        <f t="shared" si="12"/>
        <v>2350</v>
      </c>
      <c r="AH13" s="207">
        <f t="shared" si="34"/>
        <v>235</v>
      </c>
      <c r="AI13" s="207">
        <f t="shared" si="13"/>
        <v>2350</v>
      </c>
      <c r="AJ13" s="207">
        <f t="shared" si="35"/>
        <v>235</v>
      </c>
      <c r="AK13" s="207">
        <f t="shared" si="14"/>
        <v>2350</v>
      </c>
      <c r="AL13" s="207">
        <f t="shared" si="36"/>
        <v>235</v>
      </c>
      <c r="AM13" s="207">
        <f t="shared" si="15"/>
        <v>2350</v>
      </c>
      <c r="AN13" s="35">
        <f t="shared" si="16"/>
        <v>0.8392857142857143</v>
      </c>
      <c r="AO13" s="36">
        <f t="shared" si="17"/>
        <v>16450</v>
      </c>
      <c r="AQ13" s="227">
        <f t="shared" si="37"/>
        <v>0.75991318739655889</v>
      </c>
      <c r="AR13" s="38">
        <f t="shared" si="41"/>
        <v>70649.129032258075</v>
      </c>
      <c r="AS13" s="201">
        <f t="shared" si="38"/>
        <v>-920.03225806450064</v>
      </c>
      <c r="AT13" s="278"/>
      <c r="AU13" s="459"/>
      <c r="AV13" s="545">
        <f t="shared" si="42"/>
        <v>0.38450000000000001</v>
      </c>
      <c r="AW13" s="300">
        <f>-SUM('B5'!AI12)</f>
        <v>-305</v>
      </c>
      <c r="AX13" s="300">
        <f t="shared" si="39"/>
        <v>-615.03225806450064</v>
      </c>
      <c r="AY13" s="37">
        <f t="shared" si="40"/>
        <v>-920.03225806450064</v>
      </c>
      <c r="AZ13" s="101">
        <f>ELEC!A10</f>
        <v>4.7800000000000002E-2</v>
      </c>
      <c r="BA13" s="119">
        <f>'General information '!D13</f>
        <v>17</v>
      </c>
      <c r="BB13" s="414">
        <f>SUM('General information '!E13)</f>
        <v>0.55000000000000004</v>
      </c>
      <c r="BC13" s="3">
        <f t="shared" si="43"/>
        <v>0</v>
      </c>
      <c r="BD13" s="103">
        <v>19222</v>
      </c>
      <c r="BE13" s="14">
        <f>(305/1185)*ELEC!Q11</f>
        <v>480.53586497895168</v>
      </c>
      <c r="BF13" s="14"/>
      <c r="BG13" s="14" t="e">
        <f>#REF!-BE13</f>
        <v>#REF!</v>
      </c>
      <c r="BH13" s="11"/>
    </row>
    <row r="14" spans="1:61">
      <c r="A14" s="467">
        <f>ELEC!C11</f>
        <v>43930</v>
      </c>
      <c r="B14">
        <f>'B5'!B13</f>
        <v>225</v>
      </c>
      <c r="C14" s="207">
        <f t="shared" si="18"/>
        <v>4841.1290322580644</v>
      </c>
      <c r="D14">
        <f t="shared" si="19"/>
        <v>225</v>
      </c>
      <c r="E14" s="207">
        <f t="shared" si="18"/>
        <v>4841.1290322580644</v>
      </c>
      <c r="F14">
        <f t="shared" si="20"/>
        <v>225</v>
      </c>
      <c r="G14" s="207">
        <f t="shared" si="1"/>
        <v>4841.1290322580644</v>
      </c>
      <c r="H14" s="207">
        <f t="shared" si="21"/>
        <v>225</v>
      </c>
      <c r="I14" s="207">
        <f t="shared" si="2"/>
        <v>4841.1290322580644</v>
      </c>
      <c r="J14" s="207">
        <f t="shared" si="22"/>
        <v>225</v>
      </c>
      <c r="K14" s="207">
        <f t="shared" si="3"/>
        <v>4841.1290322580644</v>
      </c>
      <c r="L14" s="207">
        <f t="shared" si="23"/>
        <v>225</v>
      </c>
      <c r="M14" s="207">
        <f t="shared" si="4"/>
        <v>4841.1290322580644</v>
      </c>
      <c r="N14" s="207">
        <f t="shared" si="24"/>
        <v>225</v>
      </c>
      <c r="O14" s="207">
        <f t="shared" si="5"/>
        <v>4841.1290322580644</v>
      </c>
      <c r="P14" s="207">
        <f t="shared" si="25"/>
        <v>225</v>
      </c>
      <c r="Q14" s="207">
        <f t="shared" si="6"/>
        <v>4841.1290322580644</v>
      </c>
      <c r="R14" s="207">
        <f t="shared" si="26"/>
        <v>225</v>
      </c>
      <c r="S14" s="207">
        <f t="shared" si="7"/>
        <v>4841.1290322580644</v>
      </c>
      <c r="T14" s="207">
        <f t="shared" si="27"/>
        <v>225</v>
      </c>
      <c r="U14" s="207">
        <f t="shared" si="8"/>
        <v>4841.1290322580644</v>
      </c>
      <c r="V14" s="207">
        <f t="shared" si="28"/>
        <v>225</v>
      </c>
      <c r="W14" s="207">
        <f t="shared" si="9"/>
        <v>4841.1290322580644</v>
      </c>
      <c r="X14" s="35">
        <f t="shared" si="10"/>
        <v>0.72580645161290303</v>
      </c>
      <c r="Y14" s="36">
        <f t="shared" si="29"/>
        <v>53252.419354838697</v>
      </c>
      <c r="Z14" s="207">
        <f>'B5'!C13</f>
        <v>231</v>
      </c>
      <c r="AA14" s="207">
        <f t="shared" si="30"/>
        <v>2310</v>
      </c>
      <c r="AB14" s="207">
        <f t="shared" si="31"/>
        <v>231</v>
      </c>
      <c r="AC14" s="207">
        <f t="shared" si="30"/>
        <v>2310</v>
      </c>
      <c r="AD14" s="207">
        <f t="shared" si="32"/>
        <v>231</v>
      </c>
      <c r="AE14" s="207">
        <f t="shared" si="11"/>
        <v>2310</v>
      </c>
      <c r="AF14" s="207">
        <f t="shared" si="33"/>
        <v>231</v>
      </c>
      <c r="AG14" s="207">
        <f t="shared" si="12"/>
        <v>2310</v>
      </c>
      <c r="AH14" s="207">
        <f t="shared" si="34"/>
        <v>231</v>
      </c>
      <c r="AI14" s="207">
        <f t="shared" si="13"/>
        <v>2310</v>
      </c>
      <c r="AJ14" s="207">
        <f t="shared" si="35"/>
        <v>231</v>
      </c>
      <c r="AK14" s="207">
        <f t="shared" si="14"/>
        <v>2310</v>
      </c>
      <c r="AL14" s="207">
        <f t="shared" si="36"/>
        <v>231</v>
      </c>
      <c r="AM14" s="207">
        <f t="shared" si="15"/>
        <v>2310</v>
      </c>
      <c r="AN14" s="35">
        <f t="shared" si="16"/>
        <v>0.82499999999999996</v>
      </c>
      <c r="AO14" s="36">
        <f t="shared" si="17"/>
        <v>16170</v>
      </c>
      <c r="AQ14" s="227">
        <f t="shared" si="37"/>
        <v>0.7467185044082898</v>
      </c>
      <c r="AR14" s="38">
        <f t="shared" si="41"/>
        <v>69422.419354838697</v>
      </c>
      <c r="AS14" s="201">
        <f t="shared" si="38"/>
        <v>-1226.7096774193778</v>
      </c>
      <c r="AT14" s="278"/>
      <c r="AU14" s="503"/>
      <c r="AV14" s="545">
        <f t="shared" si="42"/>
        <v>0.38450000000000001</v>
      </c>
      <c r="AW14" s="300">
        <f>-SUM('B5'!AI13)</f>
        <v>-615.70000000001164</v>
      </c>
      <c r="AX14" s="300">
        <f t="shared" si="39"/>
        <v>-611.0096774193662</v>
      </c>
      <c r="AY14" s="37">
        <f t="shared" si="40"/>
        <v>-1226.7096774193778</v>
      </c>
      <c r="AZ14" s="101">
        <f>ELEC!A11</f>
        <v>2.1700000000000001E-2</v>
      </c>
      <c r="BA14" s="119">
        <f>'General information '!D14</f>
        <v>16.5</v>
      </c>
      <c r="BB14" s="414">
        <f>SUM('General information '!E14)</f>
        <v>0.87</v>
      </c>
      <c r="BC14" s="3">
        <f t="shared" si="43"/>
        <v>0</v>
      </c>
      <c r="BD14" s="103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67">
        <f>ELEC!C12</f>
        <v>43931</v>
      </c>
      <c r="B15">
        <f>'B5'!B14</f>
        <v>221</v>
      </c>
      <c r="C15" s="207">
        <f t="shared" si="18"/>
        <v>4755.0645161290322</v>
      </c>
      <c r="D15">
        <f t="shared" si="19"/>
        <v>221</v>
      </c>
      <c r="E15" s="207">
        <f t="shared" si="18"/>
        <v>4755.0645161290322</v>
      </c>
      <c r="F15">
        <f t="shared" si="20"/>
        <v>221</v>
      </c>
      <c r="G15" s="207">
        <f t="shared" si="1"/>
        <v>4755.0645161290322</v>
      </c>
      <c r="H15" s="207">
        <f t="shared" si="21"/>
        <v>221</v>
      </c>
      <c r="I15" s="207">
        <f t="shared" si="2"/>
        <v>4755.0645161290322</v>
      </c>
      <c r="J15" s="207">
        <f t="shared" si="22"/>
        <v>221</v>
      </c>
      <c r="K15" s="207">
        <f t="shared" si="3"/>
        <v>4755.0645161290322</v>
      </c>
      <c r="L15" s="207">
        <f t="shared" si="23"/>
        <v>221</v>
      </c>
      <c r="M15" s="207">
        <f t="shared" si="4"/>
        <v>4755.0645161290322</v>
      </c>
      <c r="N15" s="207">
        <f t="shared" si="24"/>
        <v>221</v>
      </c>
      <c r="O15" s="207">
        <f t="shared" si="5"/>
        <v>4755.0645161290322</v>
      </c>
      <c r="P15" s="207">
        <f t="shared" si="25"/>
        <v>221</v>
      </c>
      <c r="Q15" s="207">
        <f t="shared" si="6"/>
        <v>4755.0645161290322</v>
      </c>
      <c r="R15" s="207">
        <f t="shared" si="26"/>
        <v>221</v>
      </c>
      <c r="S15" s="207">
        <f t="shared" si="7"/>
        <v>4755.0645161290322</v>
      </c>
      <c r="T15" s="207">
        <f t="shared" si="27"/>
        <v>221</v>
      </c>
      <c r="U15" s="207">
        <f t="shared" si="8"/>
        <v>4755.0645161290322</v>
      </c>
      <c r="V15" s="207">
        <f t="shared" si="28"/>
        <v>221</v>
      </c>
      <c r="W15" s="207">
        <f t="shared" si="9"/>
        <v>4755.0645161290322</v>
      </c>
      <c r="X15" s="35">
        <f t="shared" si="10"/>
        <v>0.71290322580645138</v>
      </c>
      <c r="Y15" s="36">
        <f t="shared" si="29"/>
        <v>52305.709677419341</v>
      </c>
      <c r="Z15" s="207">
        <f>'B5'!C14</f>
        <v>228</v>
      </c>
      <c r="AA15" s="207">
        <f t="shared" si="30"/>
        <v>2280</v>
      </c>
      <c r="AB15" s="207">
        <f t="shared" si="31"/>
        <v>228</v>
      </c>
      <c r="AC15" s="207">
        <f t="shared" si="30"/>
        <v>2280</v>
      </c>
      <c r="AD15" s="207">
        <f t="shared" si="32"/>
        <v>228</v>
      </c>
      <c r="AE15" s="207">
        <f t="shared" si="11"/>
        <v>2280</v>
      </c>
      <c r="AF15" s="207">
        <f t="shared" si="33"/>
        <v>228</v>
      </c>
      <c r="AG15" s="207">
        <f t="shared" si="12"/>
        <v>2280</v>
      </c>
      <c r="AH15" s="207">
        <f t="shared" si="34"/>
        <v>228</v>
      </c>
      <c r="AI15" s="207">
        <f t="shared" si="13"/>
        <v>2280</v>
      </c>
      <c r="AJ15" s="207">
        <f t="shared" si="35"/>
        <v>228</v>
      </c>
      <c r="AK15" s="207">
        <f t="shared" si="14"/>
        <v>2280</v>
      </c>
      <c r="AL15" s="207">
        <f t="shared" si="36"/>
        <v>228</v>
      </c>
      <c r="AM15" s="207">
        <f t="shared" si="15"/>
        <v>2280</v>
      </c>
      <c r="AN15" s="35">
        <f t="shared" si="16"/>
        <v>0.81428571428571428</v>
      </c>
      <c r="AO15" s="36">
        <f t="shared" si="17"/>
        <v>15960</v>
      </c>
      <c r="AQ15" s="227">
        <f t="shared" si="37"/>
        <v>0.73427675247304869</v>
      </c>
      <c r="AR15" s="38">
        <f t="shared" si="41"/>
        <v>68265.709677419334</v>
      </c>
      <c r="AS15" s="201">
        <f>SUM(AR15-AR14-AT15)</f>
        <v>-1156.7096774193633</v>
      </c>
      <c r="AT15" s="278"/>
      <c r="AU15" s="459"/>
      <c r="AV15" s="545">
        <f>IF(AT15&gt;0,AU15,AV14)</f>
        <v>0.38450000000000001</v>
      </c>
      <c r="AW15" s="300">
        <f>-SUM('B5'!AI14)</f>
        <v>-426</v>
      </c>
      <c r="AX15" s="300">
        <f t="shared" si="39"/>
        <v>-730.70967741936329</v>
      </c>
      <c r="AY15" s="37">
        <f t="shared" si="40"/>
        <v>-1156.7096774193633</v>
      </c>
      <c r="AZ15" s="101">
        <f>ELEC!A12</f>
        <v>8.6999999999999994E-3</v>
      </c>
      <c r="BA15" s="119">
        <f>'General information '!D15</f>
        <v>14.5</v>
      </c>
      <c r="BB15" s="414">
        <f>SUM('General information '!E15)</f>
        <v>0.85</v>
      </c>
      <c r="BC15" s="3">
        <f t="shared" si="43"/>
        <v>0</v>
      </c>
      <c r="BD15" s="103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67">
        <f>ELEC!C13</f>
        <v>43932</v>
      </c>
      <c r="B16">
        <f>'B5'!B15</f>
        <v>219</v>
      </c>
      <c r="C16" s="207">
        <f t="shared" si="18"/>
        <v>4712.0322580645161</v>
      </c>
      <c r="D16">
        <f t="shared" si="19"/>
        <v>219</v>
      </c>
      <c r="E16" s="207">
        <f t="shared" si="18"/>
        <v>4712.0322580645161</v>
      </c>
      <c r="F16">
        <f t="shared" si="20"/>
        <v>219</v>
      </c>
      <c r="G16" s="207">
        <f t="shared" si="1"/>
        <v>4712.0322580645161</v>
      </c>
      <c r="H16" s="207">
        <f t="shared" si="21"/>
        <v>219</v>
      </c>
      <c r="I16" s="207">
        <f t="shared" si="2"/>
        <v>4712.0322580645161</v>
      </c>
      <c r="J16" s="207">
        <f t="shared" si="22"/>
        <v>219</v>
      </c>
      <c r="K16" s="207">
        <f t="shared" si="3"/>
        <v>4712.0322580645161</v>
      </c>
      <c r="L16" s="207">
        <f t="shared" si="23"/>
        <v>219</v>
      </c>
      <c r="M16" s="207">
        <f t="shared" si="4"/>
        <v>4712.0322580645161</v>
      </c>
      <c r="N16" s="207">
        <f t="shared" si="24"/>
        <v>219</v>
      </c>
      <c r="O16" s="207">
        <f t="shared" si="5"/>
        <v>4712.0322580645161</v>
      </c>
      <c r="P16" s="207">
        <f t="shared" si="25"/>
        <v>219</v>
      </c>
      <c r="Q16" s="207">
        <f t="shared" si="6"/>
        <v>4712.0322580645161</v>
      </c>
      <c r="R16" s="207">
        <f t="shared" si="26"/>
        <v>219</v>
      </c>
      <c r="S16" s="207">
        <f t="shared" si="7"/>
        <v>4712.0322580645161</v>
      </c>
      <c r="T16" s="207">
        <f t="shared" si="27"/>
        <v>219</v>
      </c>
      <c r="U16" s="207">
        <f t="shared" si="8"/>
        <v>4712.0322580645161</v>
      </c>
      <c r="V16" s="207">
        <f t="shared" si="28"/>
        <v>219</v>
      </c>
      <c r="W16" s="207">
        <f t="shared" si="9"/>
        <v>4712.0322580645161</v>
      </c>
      <c r="X16" s="35">
        <f t="shared" si="10"/>
        <v>0.70645161290322578</v>
      </c>
      <c r="Y16" s="36">
        <f t="shared" si="29"/>
        <v>51832.354838709674</v>
      </c>
      <c r="Z16" s="207">
        <f>'B5'!C15</f>
        <v>225</v>
      </c>
      <c r="AA16" s="207">
        <f t="shared" si="30"/>
        <v>2250</v>
      </c>
      <c r="AB16" s="207">
        <f t="shared" si="31"/>
        <v>225</v>
      </c>
      <c r="AC16" s="207">
        <f t="shared" si="30"/>
        <v>2250</v>
      </c>
      <c r="AD16" s="207">
        <f t="shared" si="32"/>
        <v>225</v>
      </c>
      <c r="AE16" s="207">
        <f t="shared" si="11"/>
        <v>2250</v>
      </c>
      <c r="AF16" s="207">
        <f t="shared" si="33"/>
        <v>225</v>
      </c>
      <c r="AG16" s="207">
        <f t="shared" si="12"/>
        <v>2250</v>
      </c>
      <c r="AH16" s="207">
        <f t="shared" si="34"/>
        <v>225</v>
      </c>
      <c r="AI16" s="207">
        <f t="shared" si="13"/>
        <v>2250</v>
      </c>
      <c r="AJ16" s="207">
        <f t="shared" si="35"/>
        <v>225</v>
      </c>
      <c r="AK16" s="207">
        <f t="shared" si="14"/>
        <v>2250</v>
      </c>
      <c r="AL16" s="207">
        <f t="shared" si="36"/>
        <v>225</v>
      </c>
      <c r="AM16" s="207">
        <f t="shared" si="15"/>
        <v>2250</v>
      </c>
      <c r="AN16" s="35">
        <f t="shared" si="16"/>
        <v>0.8035714285714286</v>
      </c>
      <c r="AO16" s="36">
        <f t="shared" si="17"/>
        <v>15750</v>
      </c>
      <c r="AQ16" s="227">
        <f t="shared" si="37"/>
        <v>0.72692647992588644</v>
      </c>
      <c r="AR16" s="38">
        <f t="shared" si="41"/>
        <v>67582.354838709667</v>
      </c>
      <c r="AS16" s="201">
        <f>SUM(AR16-AR15-AT16)</f>
        <v>-683.35483870966709</v>
      </c>
      <c r="AT16" s="278"/>
      <c r="AU16" s="459"/>
      <c r="AV16" s="545">
        <f>IF(AT16&gt;0,AU16,AV15)</f>
        <v>0.38450000000000001</v>
      </c>
      <c r="AW16" s="300">
        <f>-SUM('B5'!AI15)</f>
        <v>-194</v>
      </c>
      <c r="AX16" s="300">
        <f>-SUM(AW16-AS16)</f>
        <v>-489.35483870966709</v>
      </c>
      <c r="AY16" s="37">
        <f t="shared" si="40"/>
        <v>-683.35483870966709</v>
      </c>
      <c r="AZ16" s="101">
        <f>ELEC!A13</f>
        <v>1.7399999999999999E-2</v>
      </c>
      <c r="BA16" s="119">
        <f>'General information '!D16</f>
        <v>15.5</v>
      </c>
      <c r="BB16" s="414">
        <f>SUM('General information '!E16)</f>
        <v>0.8</v>
      </c>
      <c r="BC16" s="3">
        <f t="shared" si="43"/>
        <v>0</v>
      </c>
      <c r="BD16" s="103">
        <v>19222</v>
      </c>
      <c r="BE16" s="14">
        <f>(305/1185)*ELEC!Q14</f>
        <v>257.38396624472574</v>
      </c>
      <c r="BF16" s="14"/>
      <c r="BG16" s="14" t="e">
        <f>#REF!-BE16</f>
        <v>#REF!</v>
      </c>
      <c r="BH16" s="11"/>
    </row>
    <row r="17" spans="1:61">
      <c r="A17" s="467">
        <f>ELEC!C14</f>
        <v>43933</v>
      </c>
      <c r="B17">
        <f>'B5'!B16</f>
        <v>216</v>
      </c>
      <c r="C17" s="207">
        <f t="shared" si="18"/>
        <v>4647.4838709677415</v>
      </c>
      <c r="D17">
        <f t="shared" si="19"/>
        <v>216</v>
      </c>
      <c r="E17" s="207">
        <f t="shared" si="18"/>
        <v>4647.4838709677415</v>
      </c>
      <c r="F17">
        <f t="shared" si="20"/>
        <v>216</v>
      </c>
      <c r="G17" s="207">
        <f t="shared" si="1"/>
        <v>4647.4838709677415</v>
      </c>
      <c r="H17" s="207">
        <f t="shared" si="21"/>
        <v>216</v>
      </c>
      <c r="I17" s="207">
        <f t="shared" si="2"/>
        <v>4647.4838709677415</v>
      </c>
      <c r="J17" s="207">
        <f t="shared" si="22"/>
        <v>216</v>
      </c>
      <c r="K17" s="207">
        <f t="shared" si="3"/>
        <v>4647.4838709677415</v>
      </c>
      <c r="L17" s="207">
        <f t="shared" si="23"/>
        <v>216</v>
      </c>
      <c r="M17" s="207">
        <f t="shared" si="4"/>
        <v>4647.4838709677415</v>
      </c>
      <c r="N17" s="207">
        <f t="shared" si="24"/>
        <v>216</v>
      </c>
      <c r="O17" s="207">
        <f t="shared" si="5"/>
        <v>4647.4838709677415</v>
      </c>
      <c r="P17" s="207">
        <f t="shared" si="25"/>
        <v>216</v>
      </c>
      <c r="Q17" s="207">
        <f t="shared" si="6"/>
        <v>4647.4838709677415</v>
      </c>
      <c r="R17" s="207">
        <f t="shared" si="26"/>
        <v>216</v>
      </c>
      <c r="S17" s="207">
        <f t="shared" si="7"/>
        <v>4647.4838709677415</v>
      </c>
      <c r="T17" s="207">
        <f t="shared" si="27"/>
        <v>216</v>
      </c>
      <c r="U17" s="207">
        <f t="shared" si="8"/>
        <v>4647.4838709677415</v>
      </c>
      <c r="V17" s="207">
        <f t="shared" si="28"/>
        <v>216</v>
      </c>
      <c r="W17" s="207">
        <f t="shared" si="9"/>
        <v>4647.4838709677415</v>
      </c>
      <c r="X17" s="35">
        <f t="shared" si="10"/>
        <v>0.6967741935483871</v>
      </c>
      <c r="Y17" s="36">
        <f t="shared" si="29"/>
        <v>51122.322580645159</v>
      </c>
      <c r="Z17" s="207">
        <f>'B5'!C16</f>
        <v>223</v>
      </c>
      <c r="AA17" s="207">
        <f t="shared" si="30"/>
        <v>2230</v>
      </c>
      <c r="AB17" s="207">
        <f t="shared" si="31"/>
        <v>223</v>
      </c>
      <c r="AC17" s="207">
        <f t="shared" si="30"/>
        <v>2230</v>
      </c>
      <c r="AD17" s="207">
        <f t="shared" si="32"/>
        <v>223</v>
      </c>
      <c r="AE17" s="207">
        <f t="shared" si="11"/>
        <v>2230</v>
      </c>
      <c r="AF17" s="207">
        <f t="shared" si="33"/>
        <v>223</v>
      </c>
      <c r="AG17" s="207">
        <f t="shared" si="12"/>
        <v>2230</v>
      </c>
      <c r="AH17" s="207">
        <f t="shared" si="34"/>
        <v>223</v>
      </c>
      <c r="AI17" s="207">
        <f t="shared" si="13"/>
        <v>2230</v>
      </c>
      <c r="AJ17" s="207">
        <f t="shared" si="35"/>
        <v>223</v>
      </c>
      <c r="AK17" s="207">
        <f t="shared" si="14"/>
        <v>2230</v>
      </c>
      <c r="AL17" s="207">
        <f t="shared" si="36"/>
        <v>223</v>
      </c>
      <c r="AM17" s="207">
        <f t="shared" si="15"/>
        <v>2230</v>
      </c>
      <c r="AN17" s="35">
        <f t="shared" si="16"/>
        <v>0.79642857142857137</v>
      </c>
      <c r="AO17" s="36">
        <f>SUM(AA17+AC17+AE17+AG17+AI17+AK17+AM17)</f>
        <v>15610</v>
      </c>
      <c r="AQ17" s="227">
        <f t="shared" si="37"/>
        <v>0.71778339873771269</v>
      </c>
      <c r="AR17" s="38">
        <f t="shared" si="41"/>
        <v>66732.322580645152</v>
      </c>
      <c r="AS17" s="201">
        <f t="shared" si="38"/>
        <v>-850.03225806451519</v>
      </c>
      <c r="AT17" s="374"/>
      <c r="AU17" s="503"/>
      <c r="AV17" s="545">
        <f t="shared" si="42"/>
        <v>0.38450000000000001</v>
      </c>
      <c r="AW17" s="300">
        <f>-SUM('B5'!AI16)</f>
        <v>-308</v>
      </c>
      <c r="AX17" s="300">
        <f t="shared" si="39"/>
        <v>-542.03225806451519</v>
      </c>
      <c r="AY17" s="37">
        <f t="shared" si="40"/>
        <v>-850.03225806451519</v>
      </c>
      <c r="AZ17" s="101">
        <f>ELEC!A14</f>
        <v>1.2999999999999999E-2</v>
      </c>
      <c r="BA17" s="119">
        <f>'General information '!D17</f>
        <v>17</v>
      </c>
      <c r="BB17" s="414">
        <f>SUM('General information '!E17)</f>
        <v>0.72</v>
      </c>
      <c r="BC17" s="3">
        <f t="shared" si="43"/>
        <v>0</v>
      </c>
      <c r="BD17" s="103">
        <v>19222</v>
      </c>
      <c r="BE17" s="14">
        <f>(305/1185)*ELEC!Q15</f>
        <v>257.38396624472574</v>
      </c>
      <c r="BF17" s="14"/>
      <c r="BG17" s="14" t="e">
        <f>#REF!-BE17</f>
        <v>#REF!</v>
      </c>
      <c r="BH17" s="11"/>
    </row>
    <row r="18" spans="1:61">
      <c r="A18" s="467">
        <f>ELEC!C15</f>
        <v>43934</v>
      </c>
      <c r="B18">
        <f>'B5'!B17</f>
        <v>212</v>
      </c>
      <c r="C18" s="207">
        <f t="shared" si="18"/>
        <v>4561.4193548387093</v>
      </c>
      <c r="D18">
        <f t="shared" si="19"/>
        <v>212</v>
      </c>
      <c r="E18" s="207">
        <f t="shared" si="18"/>
        <v>4561.4193548387093</v>
      </c>
      <c r="F18">
        <f t="shared" si="20"/>
        <v>212</v>
      </c>
      <c r="G18" s="207">
        <f t="shared" si="1"/>
        <v>4561.4193548387093</v>
      </c>
      <c r="H18" s="207">
        <f t="shared" si="21"/>
        <v>212</v>
      </c>
      <c r="I18" s="207">
        <f t="shared" si="2"/>
        <v>4561.4193548387093</v>
      </c>
      <c r="J18" s="207">
        <f t="shared" si="22"/>
        <v>212</v>
      </c>
      <c r="K18" s="207">
        <f t="shared" si="3"/>
        <v>4561.4193548387093</v>
      </c>
      <c r="L18" s="207">
        <f t="shared" si="23"/>
        <v>212</v>
      </c>
      <c r="M18" s="207">
        <f t="shared" si="4"/>
        <v>4561.4193548387093</v>
      </c>
      <c r="N18" s="207">
        <f t="shared" si="24"/>
        <v>212</v>
      </c>
      <c r="O18" s="207">
        <f t="shared" si="5"/>
        <v>4561.4193548387093</v>
      </c>
      <c r="P18" s="207">
        <f t="shared" si="25"/>
        <v>212</v>
      </c>
      <c r="Q18" s="207">
        <f t="shared" si="6"/>
        <v>4561.4193548387093</v>
      </c>
      <c r="R18" s="207">
        <f t="shared" si="26"/>
        <v>212</v>
      </c>
      <c r="S18" s="207">
        <f t="shared" si="7"/>
        <v>4561.4193548387093</v>
      </c>
      <c r="T18" s="207">
        <f t="shared" si="27"/>
        <v>212</v>
      </c>
      <c r="U18" s="207">
        <f t="shared" si="8"/>
        <v>4561.4193548387093</v>
      </c>
      <c r="V18" s="207">
        <f t="shared" si="28"/>
        <v>212</v>
      </c>
      <c r="W18" s="207">
        <f t="shared" si="9"/>
        <v>4561.4193548387093</v>
      </c>
      <c r="X18" s="35">
        <f t="shared" si="10"/>
        <v>0.68387096774193556</v>
      </c>
      <c r="Y18" s="36">
        <f t="shared" si="29"/>
        <v>50175.61290322581</v>
      </c>
      <c r="Z18" s="207">
        <f>'B5'!C17</f>
        <v>219</v>
      </c>
      <c r="AA18" s="207">
        <f t="shared" si="30"/>
        <v>2190</v>
      </c>
      <c r="AB18" s="207">
        <f t="shared" si="31"/>
        <v>219</v>
      </c>
      <c r="AC18" s="207">
        <f t="shared" si="30"/>
        <v>2190</v>
      </c>
      <c r="AD18" s="207">
        <f t="shared" si="32"/>
        <v>219</v>
      </c>
      <c r="AE18" s="207">
        <f t="shared" si="11"/>
        <v>2190</v>
      </c>
      <c r="AF18" s="207">
        <f t="shared" si="33"/>
        <v>219</v>
      </c>
      <c r="AG18" s="207">
        <f t="shared" si="12"/>
        <v>2190</v>
      </c>
      <c r="AH18" s="207">
        <f t="shared" si="34"/>
        <v>219</v>
      </c>
      <c r="AI18" s="207">
        <f t="shared" si="13"/>
        <v>2190</v>
      </c>
      <c r="AJ18" s="207">
        <f t="shared" si="35"/>
        <v>219</v>
      </c>
      <c r="AK18" s="207">
        <f t="shared" si="14"/>
        <v>2190</v>
      </c>
      <c r="AL18" s="207">
        <f t="shared" si="36"/>
        <v>219</v>
      </c>
      <c r="AM18" s="207">
        <f t="shared" si="15"/>
        <v>2190</v>
      </c>
      <c r="AN18" s="35">
        <f t="shared" si="16"/>
        <v>0.78214285714285714</v>
      </c>
      <c r="AO18" s="36">
        <f t="shared" si="17"/>
        <v>15330</v>
      </c>
      <c r="AQ18" s="227">
        <f t="shared" si="37"/>
        <v>0.70458871574944404</v>
      </c>
      <c r="AR18" s="38">
        <f t="shared" si="41"/>
        <v>65505.61290322581</v>
      </c>
      <c r="AS18" s="201">
        <f t="shared" si="38"/>
        <v>-1226.7096774193415</v>
      </c>
      <c r="AT18" s="278"/>
      <c r="AU18" s="459"/>
      <c r="AV18" s="545">
        <f>IF(AT18&gt;0,AU18,AV17)</f>
        <v>0.38450000000000001</v>
      </c>
      <c r="AW18" s="300">
        <f>-SUM('B5'!AI17)</f>
        <v>-411</v>
      </c>
      <c r="AX18" s="300">
        <f t="shared" si="39"/>
        <v>-815.70967741934146</v>
      </c>
      <c r="AY18" s="37">
        <f t="shared" si="40"/>
        <v>-1226.7096774193415</v>
      </c>
      <c r="AZ18" s="101">
        <f>ELEC!A15</f>
        <v>3.4799999999999998E-2</v>
      </c>
      <c r="BA18" s="119">
        <f>'General information '!D18</f>
        <v>18</v>
      </c>
      <c r="BB18" s="414">
        <f>SUM('General information '!E18)</f>
        <v>0.68</v>
      </c>
      <c r="BC18" s="3">
        <f t="shared" si="43"/>
        <v>0</v>
      </c>
      <c r="BD18" s="103">
        <v>19222</v>
      </c>
      <c r="BE18" s="14">
        <f>(305/1185)*ELEC!Q16</f>
        <v>544.10970464124159</v>
      </c>
      <c r="BF18" s="14"/>
      <c r="BG18" s="14" t="e">
        <f>#REF!-BE18</f>
        <v>#REF!</v>
      </c>
      <c r="BH18" s="11"/>
    </row>
    <row r="19" spans="1:61">
      <c r="A19" s="467">
        <f>ELEC!C16</f>
        <v>43935</v>
      </c>
      <c r="B19">
        <f>'B5'!B18</f>
        <v>210</v>
      </c>
      <c r="C19" s="207">
        <f t="shared" si="18"/>
        <v>4518.3870967741932</v>
      </c>
      <c r="D19">
        <f t="shared" si="19"/>
        <v>210</v>
      </c>
      <c r="E19" s="207">
        <f t="shared" si="18"/>
        <v>4518.3870967741932</v>
      </c>
      <c r="F19">
        <f t="shared" si="20"/>
        <v>210</v>
      </c>
      <c r="G19" s="207">
        <f t="shared" si="1"/>
        <v>4518.3870967741932</v>
      </c>
      <c r="H19" s="207">
        <f t="shared" si="21"/>
        <v>210</v>
      </c>
      <c r="I19" s="207">
        <f t="shared" si="2"/>
        <v>4518.3870967741932</v>
      </c>
      <c r="J19" s="207">
        <f t="shared" si="22"/>
        <v>210</v>
      </c>
      <c r="K19" s="207">
        <f t="shared" si="3"/>
        <v>4518.3870967741932</v>
      </c>
      <c r="L19" s="207">
        <f t="shared" si="23"/>
        <v>210</v>
      </c>
      <c r="M19" s="207">
        <f t="shared" si="4"/>
        <v>4518.3870967741932</v>
      </c>
      <c r="N19" s="207">
        <f t="shared" si="24"/>
        <v>210</v>
      </c>
      <c r="O19" s="207">
        <f t="shared" si="5"/>
        <v>4518.3870967741932</v>
      </c>
      <c r="P19" s="207">
        <f t="shared" si="25"/>
        <v>210</v>
      </c>
      <c r="Q19" s="207">
        <f t="shared" si="6"/>
        <v>4518.3870967741932</v>
      </c>
      <c r="R19" s="207">
        <f t="shared" si="26"/>
        <v>210</v>
      </c>
      <c r="S19" s="207">
        <f t="shared" si="7"/>
        <v>4518.3870967741932</v>
      </c>
      <c r="T19" s="207">
        <f t="shared" si="27"/>
        <v>210</v>
      </c>
      <c r="U19" s="207">
        <f t="shared" si="8"/>
        <v>4518.3870967741932</v>
      </c>
      <c r="V19" s="207">
        <f t="shared" si="28"/>
        <v>210</v>
      </c>
      <c r="W19" s="207">
        <f t="shared" si="9"/>
        <v>4518.3870967741932</v>
      </c>
      <c r="X19" s="35">
        <f t="shared" si="10"/>
        <v>0.67741935483870974</v>
      </c>
      <c r="Y19" s="36">
        <f t="shared" si="29"/>
        <v>49702.258064516136</v>
      </c>
      <c r="Z19" s="207">
        <f>'B5'!C18</f>
        <v>216.4</v>
      </c>
      <c r="AA19" s="207">
        <f t="shared" si="30"/>
        <v>2164</v>
      </c>
      <c r="AB19" s="207">
        <f t="shared" si="31"/>
        <v>216.4</v>
      </c>
      <c r="AC19" s="207">
        <f t="shared" si="30"/>
        <v>2164</v>
      </c>
      <c r="AD19" s="207">
        <f t="shared" si="32"/>
        <v>216.4</v>
      </c>
      <c r="AE19" s="207">
        <f t="shared" si="11"/>
        <v>2164</v>
      </c>
      <c r="AF19" s="207">
        <f t="shared" si="33"/>
        <v>216.4</v>
      </c>
      <c r="AG19" s="207">
        <f t="shared" si="12"/>
        <v>2164</v>
      </c>
      <c r="AH19" s="207">
        <f t="shared" si="34"/>
        <v>216.4</v>
      </c>
      <c r="AI19" s="207">
        <f t="shared" si="13"/>
        <v>2164</v>
      </c>
      <c r="AJ19" s="207">
        <f t="shared" si="35"/>
        <v>216.4</v>
      </c>
      <c r="AK19" s="207">
        <f t="shared" si="14"/>
        <v>2164</v>
      </c>
      <c r="AL19" s="207">
        <f t="shared" si="36"/>
        <v>216.4</v>
      </c>
      <c r="AM19" s="207">
        <f t="shared" si="15"/>
        <v>2164</v>
      </c>
      <c r="AN19" s="35">
        <f t="shared" si="16"/>
        <v>0.77285714285714291</v>
      </c>
      <c r="AO19" s="36">
        <f t="shared" si="17"/>
        <v>15148</v>
      </c>
      <c r="AQ19" s="227">
        <f t="shared" si="37"/>
        <v>0.69753961562349287</v>
      </c>
      <c r="AR19" s="38">
        <f t="shared" si="41"/>
        <v>64850.258064516136</v>
      </c>
      <c r="AS19" s="201">
        <f t="shared" si="38"/>
        <v>-655.35483870967437</v>
      </c>
      <c r="AT19" s="278"/>
      <c r="AU19" s="503"/>
      <c r="AV19" s="545">
        <f t="shared" si="42"/>
        <v>0.38450000000000001</v>
      </c>
      <c r="AW19" s="300">
        <f>-SUM('B5'!AI18)</f>
        <v>-235</v>
      </c>
      <c r="AX19" s="300">
        <f t="shared" si="39"/>
        <v>-420.35483870967437</v>
      </c>
      <c r="AY19" s="37">
        <f t="shared" si="40"/>
        <v>-655.35483870967437</v>
      </c>
      <c r="AZ19" s="101">
        <f>ELEC!A16</f>
        <v>2.1700000000000001E-2</v>
      </c>
      <c r="BA19" s="119">
        <f>'General information '!D19</f>
        <v>19</v>
      </c>
      <c r="BB19" s="414">
        <f>SUM('General information '!E19)</f>
        <v>0.65</v>
      </c>
      <c r="BC19" s="3">
        <f t="shared" si="43"/>
        <v>0</v>
      </c>
      <c r="BD19" s="103">
        <v>19222</v>
      </c>
      <c r="BE19" s="14">
        <f>(305/1185)*ELEC!Q17</f>
        <v>450.42194092827009</v>
      </c>
      <c r="BF19" s="14"/>
      <c r="BG19" s="14" t="e">
        <f>#REF!-BE19</f>
        <v>#REF!</v>
      </c>
      <c r="BH19" s="11"/>
    </row>
    <row r="20" spans="1:61">
      <c r="A20" s="467">
        <f>ELEC!C17</f>
        <v>43936</v>
      </c>
      <c r="B20">
        <f>'B5'!B19</f>
        <v>243</v>
      </c>
      <c r="C20" s="207">
        <f t="shared" si="18"/>
        <v>5228.4193548387093</v>
      </c>
      <c r="D20">
        <f t="shared" si="19"/>
        <v>243</v>
      </c>
      <c r="E20" s="207">
        <f t="shared" si="18"/>
        <v>5228.4193548387093</v>
      </c>
      <c r="F20">
        <f t="shared" si="20"/>
        <v>243</v>
      </c>
      <c r="G20" s="207">
        <f t="shared" si="1"/>
        <v>5228.4193548387093</v>
      </c>
      <c r="H20" s="207">
        <f t="shared" si="21"/>
        <v>243</v>
      </c>
      <c r="I20" s="207">
        <f t="shared" si="2"/>
        <v>5228.4193548387093</v>
      </c>
      <c r="J20" s="207">
        <f t="shared" si="22"/>
        <v>243</v>
      </c>
      <c r="K20" s="207">
        <f t="shared" si="3"/>
        <v>5228.4193548387093</v>
      </c>
      <c r="L20" s="207">
        <f t="shared" si="23"/>
        <v>243</v>
      </c>
      <c r="M20" s="207">
        <f t="shared" si="4"/>
        <v>5228.4193548387093</v>
      </c>
      <c r="N20" s="207">
        <f t="shared" si="24"/>
        <v>243</v>
      </c>
      <c r="O20" s="207">
        <f t="shared" si="5"/>
        <v>5228.4193548387093</v>
      </c>
      <c r="P20" s="207">
        <f t="shared" si="25"/>
        <v>243</v>
      </c>
      <c r="Q20" s="207">
        <f t="shared" si="6"/>
        <v>5228.4193548387093</v>
      </c>
      <c r="R20" s="207">
        <f t="shared" si="26"/>
        <v>243</v>
      </c>
      <c r="S20" s="207">
        <f t="shared" si="7"/>
        <v>5228.4193548387093</v>
      </c>
      <c r="T20" s="207">
        <f t="shared" si="27"/>
        <v>243</v>
      </c>
      <c r="U20" s="207">
        <f t="shared" si="8"/>
        <v>5228.4193548387093</v>
      </c>
      <c r="V20" s="207">
        <f t="shared" si="28"/>
        <v>243</v>
      </c>
      <c r="W20" s="207">
        <f t="shared" si="9"/>
        <v>5228.4193548387093</v>
      </c>
      <c r="X20" s="35">
        <f t="shared" si="10"/>
        <v>0.78387096774193554</v>
      </c>
      <c r="Y20" s="36">
        <f t="shared" si="29"/>
        <v>57512.61290322581</v>
      </c>
      <c r="Z20" s="207">
        <f>'B5'!C19</f>
        <v>249</v>
      </c>
      <c r="AA20" s="207">
        <f t="shared" si="30"/>
        <v>2490</v>
      </c>
      <c r="AB20" s="207">
        <f t="shared" si="31"/>
        <v>249</v>
      </c>
      <c r="AC20" s="207">
        <f t="shared" si="30"/>
        <v>2490</v>
      </c>
      <c r="AD20" s="207">
        <f t="shared" si="32"/>
        <v>249</v>
      </c>
      <c r="AE20" s="207">
        <f t="shared" si="11"/>
        <v>2490</v>
      </c>
      <c r="AF20" s="207">
        <f t="shared" si="33"/>
        <v>249</v>
      </c>
      <c r="AG20" s="207">
        <f t="shared" si="12"/>
        <v>2490</v>
      </c>
      <c r="AH20" s="207">
        <f t="shared" si="34"/>
        <v>249</v>
      </c>
      <c r="AI20" s="207">
        <f t="shared" si="13"/>
        <v>2490</v>
      </c>
      <c r="AJ20" s="207">
        <f t="shared" si="35"/>
        <v>249</v>
      </c>
      <c r="AK20" s="207">
        <f t="shared" si="14"/>
        <v>2490</v>
      </c>
      <c r="AL20" s="207">
        <f t="shared" si="36"/>
        <v>249</v>
      </c>
      <c r="AM20" s="207">
        <f t="shared" si="15"/>
        <v>2490</v>
      </c>
      <c r="AN20" s="35">
        <f t="shared" si="16"/>
        <v>0.88928571428571423</v>
      </c>
      <c r="AO20" s="36">
        <f t="shared" si="17"/>
        <v>17430</v>
      </c>
      <c r="AQ20" s="227">
        <f t="shared" si="37"/>
        <v>0.80609457785549976</v>
      </c>
      <c r="AR20" s="38">
        <f t="shared" si="41"/>
        <v>74942.612903225818</v>
      </c>
      <c r="AS20" s="201">
        <f t="shared" si="38"/>
        <v>-517.64516129031836</v>
      </c>
      <c r="AT20" s="278">
        <v>10610</v>
      </c>
      <c r="AU20" s="569">
        <v>0.32666699999999999</v>
      </c>
      <c r="AV20" s="545">
        <f t="shared" si="42"/>
        <v>0.32666699999999999</v>
      </c>
      <c r="AW20" s="300">
        <f>-SUM('B5'!AI19)</f>
        <v>-537</v>
      </c>
      <c r="AX20" s="300">
        <f>-SUM(AW20-AS20)</f>
        <v>19.354838709681644</v>
      </c>
      <c r="AY20" s="37">
        <f t="shared" si="40"/>
        <v>-517.64516129031836</v>
      </c>
      <c r="AZ20" s="101">
        <f>ELEC!A17</f>
        <v>1.2999999999999999E-2</v>
      </c>
      <c r="BA20" s="119">
        <f>'General information '!D20</f>
        <v>18</v>
      </c>
      <c r="BB20" s="414">
        <f>SUM('General information '!E20)</f>
        <v>0.63</v>
      </c>
      <c r="BC20" s="3">
        <f t="shared" si="43"/>
        <v>1</v>
      </c>
      <c r="BD20" s="103">
        <v>19222</v>
      </c>
      <c r="BE20" s="14">
        <f>(305/1185)*ELEC!Q18</f>
        <v>163.69620253175421</v>
      </c>
      <c r="BF20" s="14"/>
      <c r="BG20" s="14" t="e">
        <f>#REF!-BE20</f>
        <v>#REF!</v>
      </c>
      <c r="BH20" s="11"/>
    </row>
    <row r="21" spans="1:61">
      <c r="A21" s="467">
        <f>ELEC!C18</f>
        <v>43937</v>
      </c>
      <c r="B21">
        <f>'B5'!B20</f>
        <v>241</v>
      </c>
      <c r="C21" s="207">
        <f t="shared" si="18"/>
        <v>5185.3870967741932</v>
      </c>
      <c r="D21">
        <f t="shared" si="19"/>
        <v>241</v>
      </c>
      <c r="E21" s="207">
        <f t="shared" si="18"/>
        <v>5185.3870967741932</v>
      </c>
      <c r="F21">
        <f t="shared" si="20"/>
        <v>241</v>
      </c>
      <c r="G21" s="207">
        <f t="shared" si="1"/>
        <v>5185.3870967741932</v>
      </c>
      <c r="H21" s="207">
        <f t="shared" si="21"/>
        <v>241</v>
      </c>
      <c r="I21" s="207">
        <f t="shared" si="2"/>
        <v>5185.3870967741932</v>
      </c>
      <c r="J21" s="207">
        <f t="shared" si="22"/>
        <v>241</v>
      </c>
      <c r="K21" s="207">
        <f t="shared" si="3"/>
        <v>5185.3870967741932</v>
      </c>
      <c r="L21" s="207">
        <f t="shared" si="23"/>
        <v>241</v>
      </c>
      <c r="M21" s="207">
        <f t="shared" si="4"/>
        <v>5185.3870967741932</v>
      </c>
      <c r="N21" s="207">
        <f t="shared" si="24"/>
        <v>241</v>
      </c>
      <c r="O21" s="207">
        <f t="shared" si="5"/>
        <v>5185.3870967741932</v>
      </c>
      <c r="P21" s="207">
        <f t="shared" si="25"/>
        <v>241</v>
      </c>
      <c r="Q21" s="207">
        <f t="shared" si="6"/>
        <v>5185.3870967741932</v>
      </c>
      <c r="R21" s="207">
        <f t="shared" si="26"/>
        <v>241</v>
      </c>
      <c r="S21" s="207">
        <f t="shared" si="7"/>
        <v>5185.3870967741932</v>
      </c>
      <c r="T21" s="207">
        <f t="shared" si="27"/>
        <v>241</v>
      </c>
      <c r="U21" s="207">
        <f t="shared" si="8"/>
        <v>5185.3870967741932</v>
      </c>
      <c r="V21" s="207">
        <f t="shared" si="28"/>
        <v>241</v>
      </c>
      <c r="W21" s="207">
        <f t="shared" si="9"/>
        <v>5185.3870967741932</v>
      </c>
      <c r="X21" s="35">
        <f t="shared" si="10"/>
        <v>0.77741935483870972</v>
      </c>
      <c r="Y21" s="36">
        <f t="shared" si="29"/>
        <v>57039.258064516136</v>
      </c>
      <c r="Z21" s="207">
        <f>'B5'!C20</f>
        <v>247</v>
      </c>
      <c r="AA21" s="207">
        <f t="shared" si="30"/>
        <v>2470</v>
      </c>
      <c r="AB21" s="207">
        <f t="shared" si="31"/>
        <v>247</v>
      </c>
      <c r="AC21" s="207">
        <f t="shared" si="30"/>
        <v>2470</v>
      </c>
      <c r="AD21" s="207">
        <f t="shared" si="32"/>
        <v>247</v>
      </c>
      <c r="AE21" s="207">
        <f t="shared" si="11"/>
        <v>2470</v>
      </c>
      <c r="AF21" s="207">
        <f t="shared" si="33"/>
        <v>247</v>
      </c>
      <c r="AG21" s="207">
        <f t="shared" si="12"/>
        <v>2470</v>
      </c>
      <c r="AH21" s="207">
        <f t="shared" si="34"/>
        <v>247</v>
      </c>
      <c r="AI21" s="207">
        <f t="shared" si="13"/>
        <v>2470</v>
      </c>
      <c r="AJ21" s="207">
        <f t="shared" si="35"/>
        <v>247</v>
      </c>
      <c r="AK21" s="207">
        <f t="shared" si="14"/>
        <v>2470</v>
      </c>
      <c r="AL21" s="207">
        <f t="shared" si="36"/>
        <v>247</v>
      </c>
      <c r="AM21" s="207">
        <f t="shared" si="15"/>
        <v>2470</v>
      </c>
      <c r="AN21" s="35">
        <f t="shared" si="16"/>
        <v>0.88214285714285712</v>
      </c>
      <c r="AO21" s="36">
        <f t="shared" si="17"/>
        <v>17290</v>
      </c>
      <c r="AQ21" s="227">
        <f t="shared" si="37"/>
        <v>0.79949723636136538</v>
      </c>
      <c r="AR21" s="38">
        <f t="shared" si="41"/>
        <v>74329.258064516136</v>
      </c>
      <c r="AS21" s="201">
        <f>SUM(AR21-AR20-AT21)</f>
        <v>-613.35483870968164</v>
      </c>
      <c r="AT21" s="278"/>
      <c r="AU21" s="459"/>
      <c r="AV21" s="545">
        <f t="shared" si="42"/>
        <v>0.32666699999999999</v>
      </c>
      <c r="AW21" s="300">
        <f>-SUM('B5'!AI20)</f>
        <v>-340</v>
      </c>
      <c r="AX21" s="300">
        <f t="shared" si="39"/>
        <v>-273.35483870968164</v>
      </c>
      <c r="AY21" s="37">
        <f t="shared" si="40"/>
        <v>-613.35483870968164</v>
      </c>
      <c r="AZ21" s="101">
        <f>ELEC!A18</f>
        <v>0.01</v>
      </c>
      <c r="BA21" s="119">
        <f>'General information '!D21</f>
        <v>17.5</v>
      </c>
      <c r="BB21" s="414">
        <f>SUM('General information '!E21)</f>
        <v>0.84</v>
      </c>
      <c r="BC21" s="3">
        <f t="shared" si="43"/>
        <v>0</v>
      </c>
      <c r="BD21" s="103">
        <v>19222</v>
      </c>
      <c r="BE21" s="14">
        <f>(305/1185)*ELEC!Q19</f>
        <v>460.45991561198667</v>
      </c>
      <c r="BF21" s="14"/>
      <c r="BG21" s="14" t="e">
        <f>#REF!-BE21</f>
        <v>#REF!</v>
      </c>
      <c r="BH21" s="11"/>
    </row>
    <row r="22" spans="1:61">
      <c r="A22" s="467">
        <f>ELEC!C19</f>
        <v>43938</v>
      </c>
      <c r="B22">
        <f>'B5'!B21</f>
        <v>238</v>
      </c>
      <c r="C22" s="207">
        <f t="shared" si="18"/>
        <v>5120.8387096774195</v>
      </c>
      <c r="D22">
        <f t="shared" si="19"/>
        <v>238</v>
      </c>
      <c r="E22" s="207">
        <f t="shared" si="18"/>
        <v>5120.8387096774195</v>
      </c>
      <c r="F22">
        <f t="shared" si="20"/>
        <v>238</v>
      </c>
      <c r="G22" s="207">
        <f t="shared" si="1"/>
        <v>5120.8387096774195</v>
      </c>
      <c r="H22" s="207">
        <f t="shared" si="21"/>
        <v>238</v>
      </c>
      <c r="I22" s="207">
        <f t="shared" si="2"/>
        <v>5120.8387096774195</v>
      </c>
      <c r="J22" s="207">
        <f t="shared" si="22"/>
        <v>238</v>
      </c>
      <c r="K22" s="207">
        <f t="shared" si="3"/>
        <v>5120.8387096774195</v>
      </c>
      <c r="L22" s="207">
        <f t="shared" si="23"/>
        <v>238</v>
      </c>
      <c r="M22" s="207">
        <f t="shared" si="4"/>
        <v>5120.8387096774195</v>
      </c>
      <c r="N22" s="207">
        <f t="shared" si="24"/>
        <v>238</v>
      </c>
      <c r="O22" s="207">
        <f t="shared" si="5"/>
        <v>5120.8387096774195</v>
      </c>
      <c r="P22" s="207">
        <f t="shared" si="25"/>
        <v>238</v>
      </c>
      <c r="Q22" s="207">
        <f t="shared" si="6"/>
        <v>5120.8387096774195</v>
      </c>
      <c r="R22" s="207">
        <f t="shared" si="26"/>
        <v>238</v>
      </c>
      <c r="S22" s="207">
        <f t="shared" si="7"/>
        <v>5120.8387096774195</v>
      </c>
      <c r="T22" s="207">
        <f t="shared" si="27"/>
        <v>238</v>
      </c>
      <c r="U22" s="207">
        <f t="shared" si="8"/>
        <v>5120.8387096774195</v>
      </c>
      <c r="V22" s="207">
        <f t="shared" si="28"/>
        <v>238</v>
      </c>
      <c r="W22" s="207">
        <f t="shared" si="9"/>
        <v>5120.8387096774195</v>
      </c>
      <c r="X22" s="35">
        <f t="shared" si="10"/>
        <v>0.76774193548387093</v>
      </c>
      <c r="Y22" s="36">
        <f t="shared" si="29"/>
        <v>56329.225806451606</v>
      </c>
      <c r="Z22" s="207">
        <f>'B5'!C21</f>
        <v>244</v>
      </c>
      <c r="AA22" s="207">
        <f t="shared" si="30"/>
        <v>2440</v>
      </c>
      <c r="AB22" s="207">
        <f t="shared" si="31"/>
        <v>244</v>
      </c>
      <c r="AC22" s="207">
        <f t="shared" si="30"/>
        <v>2440</v>
      </c>
      <c r="AD22" s="207">
        <f t="shared" si="32"/>
        <v>244</v>
      </c>
      <c r="AE22" s="207">
        <f t="shared" si="11"/>
        <v>2440</v>
      </c>
      <c r="AF22" s="207">
        <f t="shared" si="33"/>
        <v>244</v>
      </c>
      <c r="AG22" s="207">
        <f t="shared" si="12"/>
        <v>2440</v>
      </c>
      <c r="AH22" s="207">
        <f t="shared" si="34"/>
        <v>244</v>
      </c>
      <c r="AI22" s="207">
        <f t="shared" si="13"/>
        <v>2440</v>
      </c>
      <c r="AJ22" s="207">
        <f t="shared" si="35"/>
        <v>244</v>
      </c>
      <c r="AK22" s="207">
        <f t="shared" si="14"/>
        <v>2440</v>
      </c>
      <c r="AL22" s="207">
        <f t="shared" si="36"/>
        <v>244</v>
      </c>
      <c r="AM22" s="207">
        <f t="shared" si="15"/>
        <v>2440</v>
      </c>
      <c r="AN22" s="35">
        <f t="shared" si="16"/>
        <v>0.87142857142857144</v>
      </c>
      <c r="AO22" s="36">
        <f t="shared" si="17"/>
        <v>17080</v>
      </c>
      <c r="AQ22" s="227">
        <f t="shared" si="37"/>
        <v>0.78960122412016354</v>
      </c>
      <c r="AR22" s="38">
        <f t="shared" si="41"/>
        <v>73409.225806451606</v>
      </c>
      <c r="AS22" s="201">
        <f t="shared" si="38"/>
        <v>-920.03225806452974</v>
      </c>
      <c r="AT22" s="278"/>
      <c r="AU22" s="570"/>
      <c r="AV22" s="545">
        <f t="shared" si="42"/>
        <v>0.32666699999999999</v>
      </c>
      <c r="AW22" s="300">
        <f>-SUM('B5'!AI21)</f>
        <v>-247</v>
      </c>
      <c r="AX22" s="300">
        <f t="shared" si="39"/>
        <v>-673.03225806452974</v>
      </c>
      <c r="AY22" s="37">
        <f t="shared" si="40"/>
        <v>-920.03225806452974</v>
      </c>
      <c r="AZ22" s="101">
        <f>ELEC!A19</f>
        <v>8.6999999999999994E-3</v>
      </c>
      <c r="BA22" s="119">
        <f>'General information '!D22</f>
        <v>19.5</v>
      </c>
      <c r="BB22" s="414">
        <f>SUM('General information '!E22)</f>
        <v>0.73</v>
      </c>
      <c r="BC22" s="3">
        <f t="shared" si="43"/>
        <v>0</v>
      </c>
      <c r="BD22" s="103">
        <v>19222</v>
      </c>
      <c r="BE22" s="14">
        <f>(305/1185)*ELEC!Q20</f>
        <v>434.20675105482616</v>
      </c>
      <c r="BF22" s="14"/>
      <c r="BG22" s="14" t="e">
        <f>#REF!-BE22</f>
        <v>#REF!</v>
      </c>
      <c r="BH22" s="11"/>
    </row>
    <row r="23" spans="1:61">
      <c r="A23" s="467">
        <f>ELEC!C20</f>
        <v>43939</v>
      </c>
      <c r="B23">
        <f>'B5'!B22</f>
        <v>235</v>
      </c>
      <c r="C23" s="207">
        <f t="shared" si="18"/>
        <v>5056.2903225806449</v>
      </c>
      <c r="D23">
        <f t="shared" si="19"/>
        <v>235</v>
      </c>
      <c r="E23" s="207">
        <f t="shared" si="18"/>
        <v>5056.2903225806449</v>
      </c>
      <c r="F23">
        <f t="shared" si="20"/>
        <v>235</v>
      </c>
      <c r="G23" s="207">
        <f t="shared" si="1"/>
        <v>5056.2903225806449</v>
      </c>
      <c r="H23" s="207">
        <f t="shared" si="21"/>
        <v>235</v>
      </c>
      <c r="I23" s="207">
        <f t="shared" si="2"/>
        <v>5056.2903225806449</v>
      </c>
      <c r="J23" s="207">
        <f t="shared" si="22"/>
        <v>235</v>
      </c>
      <c r="K23" s="207">
        <f t="shared" si="3"/>
        <v>5056.2903225806449</v>
      </c>
      <c r="L23" s="207">
        <f t="shared" si="23"/>
        <v>235</v>
      </c>
      <c r="M23" s="207">
        <f t="shared" si="4"/>
        <v>5056.2903225806449</v>
      </c>
      <c r="N23" s="207">
        <f t="shared" si="24"/>
        <v>235</v>
      </c>
      <c r="O23" s="207">
        <f t="shared" si="5"/>
        <v>5056.2903225806449</v>
      </c>
      <c r="P23" s="207">
        <f t="shared" si="25"/>
        <v>235</v>
      </c>
      <c r="Q23" s="207">
        <f t="shared" si="6"/>
        <v>5056.2903225806449</v>
      </c>
      <c r="R23" s="207">
        <f t="shared" si="26"/>
        <v>235</v>
      </c>
      <c r="S23" s="207">
        <f t="shared" si="7"/>
        <v>5056.2903225806449</v>
      </c>
      <c r="T23" s="207">
        <f t="shared" si="27"/>
        <v>235</v>
      </c>
      <c r="U23" s="207">
        <f t="shared" si="8"/>
        <v>5056.2903225806449</v>
      </c>
      <c r="V23" s="207">
        <f t="shared" si="28"/>
        <v>235</v>
      </c>
      <c r="W23" s="207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7">
        <f>'B5'!C22</f>
        <v>241</v>
      </c>
      <c r="AA23" s="207">
        <f t="shared" si="30"/>
        <v>2410</v>
      </c>
      <c r="AB23" s="207">
        <f t="shared" si="31"/>
        <v>241</v>
      </c>
      <c r="AC23" s="207">
        <f t="shared" si="30"/>
        <v>2410</v>
      </c>
      <c r="AD23" s="207">
        <f t="shared" si="32"/>
        <v>241</v>
      </c>
      <c r="AE23" s="207">
        <f t="shared" si="11"/>
        <v>2410</v>
      </c>
      <c r="AF23" s="207">
        <f t="shared" si="33"/>
        <v>241</v>
      </c>
      <c r="AG23" s="207">
        <f t="shared" si="12"/>
        <v>2410</v>
      </c>
      <c r="AH23" s="207">
        <f t="shared" si="34"/>
        <v>241</v>
      </c>
      <c r="AI23" s="207">
        <f t="shared" si="13"/>
        <v>2410</v>
      </c>
      <c r="AJ23" s="207">
        <f t="shared" si="35"/>
        <v>241</v>
      </c>
      <c r="AK23" s="207">
        <f t="shared" si="14"/>
        <v>2410</v>
      </c>
      <c r="AL23" s="207">
        <f t="shared" si="36"/>
        <v>241</v>
      </c>
      <c r="AM23" s="207">
        <f t="shared" si="15"/>
        <v>2410</v>
      </c>
      <c r="AN23" s="35">
        <f t="shared" si="16"/>
        <v>0.86071428571428577</v>
      </c>
      <c r="AO23" s="36">
        <f t="shared" si="17"/>
        <v>16870</v>
      </c>
      <c r="AQ23" s="227">
        <f t="shared" si="37"/>
        <v>0.77970521187896191</v>
      </c>
      <c r="AR23" s="38">
        <f t="shared" si="41"/>
        <v>72489.193548387091</v>
      </c>
      <c r="AS23" s="201">
        <f t="shared" si="38"/>
        <v>-920.03225806451519</v>
      </c>
      <c r="AT23" s="278"/>
      <c r="AU23" s="459"/>
      <c r="AV23" s="545">
        <f t="shared" si="42"/>
        <v>0.32666699999999999</v>
      </c>
      <c r="AW23" s="300">
        <f>-SUM('B5'!AI22)</f>
        <v>-295</v>
      </c>
      <c r="AX23" s="300">
        <f t="shared" si="39"/>
        <v>-625.03225806451519</v>
      </c>
      <c r="AY23" s="37">
        <f t="shared" si="40"/>
        <v>-920.03225806451519</v>
      </c>
      <c r="AZ23" s="101">
        <f>ELEC!A20</f>
        <v>1.2999999999999999E-2</v>
      </c>
      <c r="BA23" s="119">
        <f>'General information '!D23</f>
        <v>20.5</v>
      </c>
      <c r="BB23" s="414">
        <f>SUM('General information '!E23)</f>
        <v>0.72</v>
      </c>
      <c r="BC23" s="3">
        <f t="shared" si="43"/>
        <v>0</v>
      </c>
      <c r="BD23" s="103">
        <v>19222</v>
      </c>
      <c r="BE23" s="14">
        <f>(305/1185)*ELEC!Q21</f>
        <v>92.143459915656763</v>
      </c>
      <c r="BF23" s="14"/>
      <c r="BG23" s="14" t="e">
        <f>#REF!-BE23</f>
        <v>#REF!</v>
      </c>
      <c r="BH23" s="11"/>
    </row>
    <row r="24" spans="1:61">
      <c r="A24" s="467">
        <f>ELEC!C21</f>
        <v>43940</v>
      </c>
      <c r="B24">
        <f>'B5'!B23</f>
        <v>233</v>
      </c>
      <c r="C24" s="207">
        <f t="shared" si="18"/>
        <v>5013.2580645161288</v>
      </c>
      <c r="D24">
        <f t="shared" si="19"/>
        <v>233</v>
      </c>
      <c r="E24" s="207">
        <f t="shared" si="18"/>
        <v>5013.2580645161288</v>
      </c>
      <c r="F24">
        <f t="shared" si="20"/>
        <v>233</v>
      </c>
      <c r="G24" s="207">
        <f t="shared" si="1"/>
        <v>5013.2580645161288</v>
      </c>
      <c r="H24" s="207">
        <f t="shared" si="21"/>
        <v>233</v>
      </c>
      <c r="I24" s="207">
        <f t="shared" si="2"/>
        <v>5013.2580645161288</v>
      </c>
      <c r="J24" s="207">
        <f t="shared" si="22"/>
        <v>233</v>
      </c>
      <c r="K24" s="207">
        <f t="shared" si="3"/>
        <v>5013.2580645161288</v>
      </c>
      <c r="L24" s="207">
        <f t="shared" si="23"/>
        <v>233</v>
      </c>
      <c r="M24" s="207">
        <f t="shared" si="4"/>
        <v>5013.2580645161288</v>
      </c>
      <c r="N24" s="207">
        <f t="shared" si="24"/>
        <v>233</v>
      </c>
      <c r="O24" s="207">
        <f t="shared" si="5"/>
        <v>5013.2580645161288</v>
      </c>
      <c r="P24" s="207">
        <f t="shared" si="25"/>
        <v>233</v>
      </c>
      <c r="Q24" s="207">
        <f t="shared" si="6"/>
        <v>5013.2580645161288</v>
      </c>
      <c r="R24" s="207">
        <f t="shared" si="26"/>
        <v>233</v>
      </c>
      <c r="S24" s="207">
        <f t="shared" si="7"/>
        <v>5013.2580645161288</v>
      </c>
      <c r="T24" s="207">
        <f t="shared" si="27"/>
        <v>233</v>
      </c>
      <c r="U24" s="207">
        <f t="shared" si="8"/>
        <v>5013.2580645161288</v>
      </c>
      <c r="V24" s="207">
        <f t="shared" si="28"/>
        <v>233</v>
      </c>
      <c r="W24" s="207">
        <f t="shared" si="9"/>
        <v>5013.2580645161288</v>
      </c>
      <c r="X24" s="35">
        <f t="shared" si="10"/>
        <v>0.75161290322580643</v>
      </c>
      <c r="Y24" s="36">
        <f t="shared" si="29"/>
        <v>55145.838709677417</v>
      </c>
      <c r="Z24" s="207">
        <f>'B5'!C23</f>
        <v>239</v>
      </c>
      <c r="AA24" s="207">
        <f t="shared" si="30"/>
        <v>2390</v>
      </c>
      <c r="AB24" s="207">
        <f t="shared" si="31"/>
        <v>239</v>
      </c>
      <c r="AC24" s="207">
        <f t="shared" si="30"/>
        <v>2390</v>
      </c>
      <c r="AD24" s="207">
        <f t="shared" si="32"/>
        <v>239</v>
      </c>
      <c r="AE24" s="207">
        <f t="shared" si="11"/>
        <v>2390</v>
      </c>
      <c r="AF24" s="207">
        <f t="shared" si="33"/>
        <v>239</v>
      </c>
      <c r="AG24" s="207">
        <f t="shared" si="12"/>
        <v>2390</v>
      </c>
      <c r="AH24" s="207">
        <f t="shared" si="34"/>
        <v>239</v>
      </c>
      <c r="AI24" s="207">
        <f t="shared" si="13"/>
        <v>2390</v>
      </c>
      <c r="AJ24" s="207">
        <f t="shared" si="35"/>
        <v>239</v>
      </c>
      <c r="AK24" s="207">
        <f t="shared" si="14"/>
        <v>2390</v>
      </c>
      <c r="AL24" s="207">
        <f t="shared" si="36"/>
        <v>239</v>
      </c>
      <c r="AM24" s="207">
        <f t="shared" si="15"/>
        <v>2390</v>
      </c>
      <c r="AN24" s="35">
        <f t="shared" si="16"/>
        <v>0.85357142857142854</v>
      </c>
      <c r="AO24" s="36">
        <f t="shared" si="17"/>
        <v>16730</v>
      </c>
      <c r="AQ24" s="227">
        <f t="shared" si="37"/>
        <v>0.77310787038482764</v>
      </c>
      <c r="AR24" s="38">
        <f t="shared" si="41"/>
        <v>71875.838709677424</v>
      </c>
      <c r="AS24" s="201">
        <f t="shared" si="38"/>
        <v>-613.35483870966709</v>
      </c>
      <c r="AT24" s="278"/>
      <c r="AU24" s="459"/>
      <c r="AV24" s="545">
        <f t="shared" si="42"/>
        <v>0.32666699999999999</v>
      </c>
      <c r="AW24" s="300">
        <f>-SUM('B5'!AI23)</f>
        <v>-323</v>
      </c>
      <c r="AX24" s="300">
        <f t="shared" si="39"/>
        <v>-290.35483870966709</v>
      </c>
      <c r="AY24" s="37">
        <f t="shared" si="40"/>
        <v>-613.35483870966709</v>
      </c>
      <c r="AZ24" s="101">
        <f>ELEC!A21</f>
        <v>2.1700000000000001E-2</v>
      </c>
      <c r="BA24" s="119">
        <f>'General information '!D24</f>
        <v>20.5</v>
      </c>
      <c r="BB24" s="414">
        <f>SUM('General information '!E24)</f>
        <v>0.65</v>
      </c>
      <c r="BC24" s="3">
        <f t="shared" si="43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7">
        <f>ELEC!C22</f>
        <v>43941</v>
      </c>
      <c r="B25">
        <f>'B5'!B24</f>
        <v>231</v>
      </c>
      <c r="C25" s="207">
        <f t="shared" si="18"/>
        <v>4970.2258064516127</v>
      </c>
      <c r="D25">
        <f t="shared" si="19"/>
        <v>231</v>
      </c>
      <c r="E25" s="207">
        <f t="shared" si="18"/>
        <v>4970.2258064516127</v>
      </c>
      <c r="F25">
        <f t="shared" si="20"/>
        <v>231</v>
      </c>
      <c r="G25" s="207">
        <f t="shared" si="1"/>
        <v>4970.2258064516127</v>
      </c>
      <c r="H25" s="207">
        <f t="shared" si="21"/>
        <v>231</v>
      </c>
      <c r="I25" s="207">
        <f t="shared" si="2"/>
        <v>4970.2258064516127</v>
      </c>
      <c r="J25" s="207">
        <f t="shared" si="22"/>
        <v>231</v>
      </c>
      <c r="K25" s="207">
        <f t="shared" si="3"/>
        <v>4970.2258064516127</v>
      </c>
      <c r="L25" s="207">
        <f t="shared" si="23"/>
        <v>231</v>
      </c>
      <c r="M25" s="207">
        <f t="shared" si="4"/>
        <v>4970.2258064516127</v>
      </c>
      <c r="N25" s="207">
        <f t="shared" si="24"/>
        <v>231</v>
      </c>
      <c r="O25" s="207">
        <f t="shared" si="5"/>
        <v>4970.2258064516127</v>
      </c>
      <c r="P25" s="207">
        <f t="shared" si="25"/>
        <v>231</v>
      </c>
      <c r="Q25" s="207">
        <f t="shared" si="6"/>
        <v>4970.2258064516127</v>
      </c>
      <c r="R25" s="207">
        <f t="shared" si="26"/>
        <v>231</v>
      </c>
      <c r="S25" s="207">
        <f t="shared" si="7"/>
        <v>4970.2258064516127</v>
      </c>
      <c r="T25" s="207">
        <f t="shared" si="27"/>
        <v>231</v>
      </c>
      <c r="U25" s="207">
        <f t="shared" si="8"/>
        <v>4970.2258064516127</v>
      </c>
      <c r="V25" s="207">
        <f t="shared" si="28"/>
        <v>231</v>
      </c>
      <c r="W25" s="207">
        <f t="shared" si="9"/>
        <v>4970.2258064516127</v>
      </c>
      <c r="X25" s="35">
        <f t="shared" si="10"/>
        <v>0.74516129032258061</v>
      </c>
      <c r="Y25" s="36">
        <f t="shared" si="29"/>
        <v>54672.483870967742</v>
      </c>
      <c r="Z25" s="207">
        <f>'B5'!C24</f>
        <v>238</v>
      </c>
      <c r="AA25" s="207">
        <f t="shared" si="30"/>
        <v>2380</v>
      </c>
      <c r="AB25" s="207">
        <f t="shared" si="31"/>
        <v>238</v>
      </c>
      <c r="AC25" s="207">
        <f t="shared" si="30"/>
        <v>2380</v>
      </c>
      <c r="AD25" s="207">
        <f t="shared" si="32"/>
        <v>238</v>
      </c>
      <c r="AE25" s="207">
        <f t="shared" si="11"/>
        <v>2380</v>
      </c>
      <c r="AF25" s="207">
        <f t="shared" si="33"/>
        <v>238</v>
      </c>
      <c r="AG25" s="207">
        <f t="shared" si="12"/>
        <v>2380</v>
      </c>
      <c r="AH25" s="207">
        <f t="shared" si="34"/>
        <v>238</v>
      </c>
      <c r="AI25" s="207">
        <f t="shared" si="13"/>
        <v>2380</v>
      </c>
      <c r="AJ25" s="207">
        <f t="shared" si="35"/>
        <v>238</v>
      </c>
      <c r="AK25" s="207">
        <f t="shared" si="14"/>
        <v>2380</v>
      </c>
      <c r="AL25" s="207">
        <f t="shared" si="36"/>
        <v>238</v>
      </c>
      <c r="AM25" s="207">
        <f t="shared" si="15"/>
        <v>2380</v>
      </c>
      <c r="AN25" s="35">
        <f t="shared" si="16"/>
        <v>0.85</v>
      </c>
      <c r="AO25" s="36">
        <f t="shared" si="17"/>
        <v>16660</v>
      </c>
      <c r="AQ25" s="227">
        <f t="shared" si="37"/>
        <v>0.76726345994372103</v>
      </c>
      <c r="AR25" s="38">
        <f t="shared" si="41"/>
        <v>71332.483870967742</v>
      </c>
      <c r="AS25" s="201">
        <f t="shared" si="38"/>
        <v>-543.35483870968164</v>
      </c>
      <c r="AT25" s="278"/>
      <c r="AU25" s="459"/>
      <c r="AV25" s="545">
        <f t="shared" si="42"/>
        <v>0.32666699999999999</v>
      </c>
      <c r="AW25" s="300">
        <f>-SUM('B5'!AI24)</f>
        <v>-366</v>
      </c>
      <c r="AX25" s="300">
        <f t="shared" si="39"/>
        <v>-177.35483870968164</v>
      </c>
      <c r="AY25" s="37">
        <f t="shared" si="40"/>
        <v>-543.35483870968164</v>
      </c>
      <c r="AZ25" s="101">
        <f>ELEC!A22</f>
        <v>8.6999999999999994E-3</v>
      </c>
      <c r="BA25" s="119">
        <f>'General information '!D25</f>
        <v>20.5</v>
      </c>
      <c r="BB25" s="414">
        <f>SUM('General information '!E25)</f>
        <v>0.83</v>
      </c>
      <c r="BC25" s="3">
        <f t="shared" si="43"/>
        <v>0</v>
      </c>
      <c r="BD25" s="103">
        <v>19222</v>
      </c>
      <c r="BE25" s="14">
        <f>(305/1185)*ELEC!Q23</f>
        <v>425.19831223629819</v>
      </c>
      <c r="BF25" s="14"/>
      <c r="BG25" s="14" t="e">
        <f>#REF!-BE25</f>
        <v>#REF!</v>
      </c>
      <c r="BH25" s="11"/>
    </row>
    <row r="26" spans="1:61">
      <c r="A26" s="467">
        <f>ELEC!C23</f>
        <v>43942</v>
      </c>
      <c r="B26">
        <f>'B5'!B25</f>
        <v>229</v>
      </c>
      <c r="C26" s="207">
        <f t="shared" si="18"/>
        <v>4927.1935483870966</v>
      </c>
      <c r="D26">
        <f t="shared" si="19"/>
        <v>229</v>
      </c>
      <c r="E26" s="207">
        <f t="shared" si="18"/>
        <v>4927.1935483870966</v>
      </c>
      <c r="F26">
        <f t="shared" si="20"/>
        <v>229</v>
      </c>
      <c r="G26" s="207">
        <f t="shared" si="1"/>
        <v>4927.1935483870966</v>
      </c>
      <c r="H26" s="207">
        <f t="shared" si="21"/>
        <v>229</v>
      </c>
      <c r="I26" s="207">
        <f t="shared" si="2"/>
        <v>4927.1935483870966</v>
      </c>
      <c r="J26" s="207">
        <f t="shared" si="22"/>
        <v>229</v>
      </c>
      <c r="K26" s="207">
        <f t="shared" si="3"/>
        <v>4927.1935483870966</v>
      </c>
      <c r="L26" s="207">
        <f t="shared" si="23"/>
        <v>229</v>
      </c>
      <c r="M26" s="207">
        <f t="shared" si="4"/>
        <v>4927.1935483870966</v>
      </c>
      <c r="N26" s="207">
        <f t="shared" si="24"/>
        <v>229</v>
      </c>
      <c r="O26" s="207">
        <f t="shared" si="5"/>
        <v>4927.1935483870966</v>
      </c>
      <c r="P26" s="207">
        <f t="shared" si="25"/>
        <v>229</v>
      </c>
      <c r="Q26" s="207">
        <f t="shared" si="6"/>
        <v>4927.1935483870966</v>
      </c>
      <c r="R26" s="207">
        <f t="shared" si="26"/>
        <v>229</v>
      </c>
      <c r="S26" s="207">
        <f t="shared" si="7"/>
        <v>4927.1935483870966</v>
      </c>
      <c r="T26" s="207">
        <f t="shared" si="27"/>
        <v>229</v>
      </c>
      <c r="U26" s="207">
        <f t="shared" si="8"/>
        <v>4927.1935483870966</v>
      </c>
      <c r="V26" s="207">
        <f t="shared" si="28"/>
        <v>229</v>
      </c>
      <c r="W26" s="207">
        <f t="shared" si="9"/>
        <v>4927.1935483870966</v>
      </c>
      <c r="X26" s="35">
        <f t="shared" si="10"/>
        <v>0.738709677419355</v>
      </c>
      <c r="Y26" s="36">
        <f t="shared" si="29"/>
        <v>54199.129032258075</v>
      </c>
      <c r="Z26" s="207">
        <f>'B5'!C25</f>
        <v>235</v>
      </c>
      <c r="AA26" s="207">
        <f t="shared" si="30"/>
        <v>2350</v>
      </c>
      <c r="AB26" s="207">
        <f t="shared" si="31"/>
        <v>235</v>
      </c>
      <c r="AC26" s="207">
        <f t="shared" si="30"/>
        <v>2350</v>
      </c>
      <c r="AD26" s="207">
        <f t="shared" si="32"/>
        <v>235</v>
      </c>
      <c r="AE26" s="207">
        <f t="shared" si="11"/>
        <v>2350</v>
      </c>
      <c r="AF26" s="207">
        <f t="shared" si="33"/>
        <v>235</v>
      </c>
      <c r="AG26" s="207">
        <f t="shared" si="12"/>
        <v>2350</v>
      </c>
      <c r="AH26" s="207">
        <f t="shared" si="34"/>
        <v>235</v>
      </c>
      <c r="AI26" s="207">
        <f t="shared" si="13"/>
        <v>2350</v>
      </c>
      <c r="AJ26" s="207">
        <f t="shared" si="35"/>
        <v>235</v>
      </c>
      <c r="AK26" s="207">
        <f t="shared" si="14"/>
        <v>2350</v>
      </c>
      <c r="AL26" s="207">
        <f t="shared" si="36"/>
        <v>235</v>
      </c>
      <c r="AM26" s="207">
        <f t="shared" si="15"/>
        <v>2350</v>
      </c>
      <c r="AN26" s="35">
        <f t="shared" si="16"/>
        <v>0.8392857142857143</v>
      </c>
      <c r="AO26" s="36">
        <f t="shared" si="17"/>
        <v>16450</v>
      </c>
      <c r="AQ26" s="227">
        <f t="shared" si="37"/>
        <v>0.75991318739655889</v>
      </c>
      <c r="AR26" s="38">
        <f t="shared" si="41"/>
        <v>70649.129032258075</v>
      </c>
      <c r="AS26" s="201">
        <f t="shared" si="38"/>
        <v>-683.35483870966709</v>
      </c>
      <c r="AT26" s="278"/>
      <c r="AU26" s="459"/>
      <c r="AV26" s="545">
        <f t="shared" si="42"/>
        <v>0.32666699999999999</v>
      </c>
      <c r="AW26" s="300">
        <f>-SUM('B5'!AI25)</f>
        <v>-225</v>
      </c>
      <c r="AX26" s="300">
        <f t="shared" si="39"/>
        <v>-458.35483870966709</v>
      </c>
      <c r="AY26" s="37">
        <f t="shared" si="40"/>
        <v>-683.35483870966709</v>
      </c>
      <c r="AZ26" s="101">
        <f>ELEC!A23</f>
        <v>8.6999999999999994E-3</v>
      </c>
      <c r="BA26" s="119">
        <f>'General information '!D26</f>
        <v>21</v>
      </c>
      <c r="BB26" s="414">
        <f>SUM('General information '!E26)</f>
        <v>0.7</v>
      </c>
      <c r="BC26" s="3">
        <f t="shared" si="43"/>
        <v>0</v>
      </c>
      <c r="BD26" s="103">
        <v>19222</v>
      </c>
      <c r="BE26" s="14">
        <f>(305/1185)*ELEC!Q24</f>
        <v>519.40084388186403</v>
      </c>
      <c r="BF26" s="14"/>
      <c r="BG26" s="14" t="e">
        <f>#REF!-BE26</f>
        <v>#REF!</v>
      </c>
      <c r="BH26" s="11"/>
    </row>
    <row r="27" spans="1:61">
      <c r="A27" s="467">
        <f>ELEC!C24</f>
        <v>43943</v>
      </c>
      <c r="B27">
        <f>'B5'!B26</f>
        <v>226</v>
      </c>
      <c r="C27" s="207">
        <f t="shared" si="18"/>
        <v>4862.6451612903229</v>
      </c>
      <c r="D27">
        <f t="shared" si="19"/>
        <v>226</v>
      </c>
      <c r="E27" s="207">
        <f t="shared" si="18"/>
        <v>4862.6451612903229</v>
      </c>
      <c r="F27">
        <f t="shared" si="20"/>
        <v>226</v>
      </c>
      <c r="G27" s="207">
        <f t="shared" si="1"/>
        <v>4862.6451612903229</v>
      </c>
      <c r="H27" s="207">
        <f t="shared" si="21"/>
        <v>226</v>
      </c>
      <c r="I27" s="207">
        <f t="shared" si="2"/>
        <v>4862.6451612903229</v>
      </c>
      <c r="J27" s="207">
        <f t="shared" si="22"/>
        <v>226</v>
      </c>
      <c r="K27" s="207">
        <f t="shared" si="3"/>
        <v>4862.6451612903229</v>
      </c>
      <c r="L27" s="207">
        <f t="shared" si="23"/>
        <v>226</v>
      </c>
      <c r="M27" s="207">
        <f t="shared" si="4"/>
        <v>4862.6451612903229</v>
      </c>
      <c r="N27" s="207">
        <f t="shared" si="24"/>
        <v>226</v>
      </c>
      <c r="O27" s="207">
        <f t="shared" si="5"/>
        <v>4862.6451612903229</v>
      </c>
      <c r="P27" s="207">
        <f t="shared" si="25"/>
        <v>226</v>
      </c>
      <c r="Q27" s="207">
        <f t="shared" si="6"/>
        <v>4862.6451612903229</v>
      </c>
      <c r="R27" s="207">
        <f t="shared" si="26"/>
        <v>226</v>
      </c>
      <c r="S27" s="207">
        <f t="shared" si="7"/>
        <v>4862.6451612903229</v>
      </c>
      <c r="T27" s="207">
        <f t="shared" si="27"/>
        <v>226</v>
      </c>
      <c r="U27" s="207">
        <f t="shared" si="8"/>
        <v>4862.6451612903229</v>
      </c>
      <c r="V27" s="207">
        <f t="shared" si="28"/>
        <v>226</v>
      </c>
      <c r="W27" s="207">
        <f t="shared" si="9"/>
        <v>4862.6451612903229</v>
      </c>
      <c r="X27" s="35">
        <f t="shared" si="10"/>
        <v>0.72903225806451633</v>
      </c>
      <c r="Y27" s="36">
        <f t="shared" si="29"/>
        <v>53489.09677419356</v>
      </c>
      <c r="Z27" s="207">
        <f>'B5'!C26</f>
        <v>232</v>
      </c>
      <c r="AA27" s="207">
        <f t="shared" si="30"/>
        <v>2320</v>
      </c>
      <c r="AB27" s="207">
        <f t="shared" si="31"/>
        <v>232</v>
      </c>
      <c r="AC27" s="207">
        <f t="shared" si="30"/>
        <v>2320</v>
      </c>
      <c r="AD27" s="207">
        <f t="shared" si="32"/>
        <v>232</v>
      </c>
      <c r="AE27" s="207">
        <f t="shared" si="11"/>
        <v>2320</v>
      </c>
      <c r="AF27" s="207">
        <f t="shared" si="33"/>
        <v>232</v>
      </c>
      <c r="AG27" s="207">
        <f t="shared" si="12"/>
        <v>2320</v>
      </c>
      <c r="AH27" s="207">
        <f t="shared" si="34"/>
        <v>232</v>
      </c>
      <c r="AI27" s="207">
        <f t="shared" si="13"/>
        <v>2320</v>
      </c>
      <c r="AJ27" s="207">
        <f t="shared" si="35"/>
        <v>232</v>
      </c>
      <c r="AK27" s="207">
        <f t="shared" si="14"/>
        <v>2320</v>
      </c>
      <c r="AL27" s="207">
        <f t="shared" si="36"/>
        <v>232</v>
      </c>
      <c r="AM27" s="207">
        <f t="shared" si="15"/>
        <v>2320</v>
      </c>
      <c r="AN27" s="35">
        <f t="shared" si="16"/>
        <v>0.82857142857142863</v>
      </c>
      <c r="AO27" s="36">
        <f t="shared" si="17"/>
        <v>16240</v>
      </c>
      <c r="AQ27" s="227">
        <f t="shared" si="37"/>
        <v>0.75001717515535726</v>
      </c>
      <c r="AR27" s="38">
        <f t="shared" si="41"/>
        <v>69729.09677419356</v>
      </c>
      <c r="AS27" s="201">
        <f t="shared" si="38"/>
        <v>-920.03225806451519</v>
      </c>
      <c r="AT27" s="278"/>
      <c r="AU27" s="459"/>
      <c r="AV27" s="545">
        <f t="shared" si="42"/>
        <v>0.32666699999999999</v>
      </c>
      <c r="AW27" s="300">
        <f>-SUM('B5'!AI26)</f>
        <v>-345</v>
      </c>
      <c r="AX27" s="300">
        <f t="shared" si="39"/>
        <v>-575.03225806451519</v>
      </c>
      <c r="AY27" s="37">
        <f t="shared" si="40"/>
        <v>-920.03225806451519</v>
      </c>
      <c r="AZ27" s="101">
        <f>ELEC!A24</f>
        <v>8.6999999999999994E-3</v>
      </c>
      <c r="BA27" s="119">
        <f>'General information '!D27</f>
        <v>21.5</v>
      </c>
      <c r="BB27" s="414">
        <f>SUM('General information '!E27)</f>
        <v>0.8</v>
      </c>
      <c r="BC27" s="3">
        <f t="shared" si="43"/>
        <v>0</v>
      </c>
      <c r="BD27" s="103">
        <v>19222</v>
      </c>
      <c r="BE27" s="14">
        <f>(305/1185)*ELEC!Q25</f>
        <v>256.35443037953712</v>
      </c>
      <c r="BF27" s="14"/>
      <c r="BG27" s="14" t="e">
        <f>#REF!-BE27</f>
        <v>#REF!</v>
      </c>
      <c r="BH27" s="11"/>
    </row>
    <row r="28" spans="1:61">
      <c r="A28" s="467">
        <f>ELEC!C25</f>
        <v>43944</v>
      </c>
      <c r="B28">
        <f>'B5'!B27</f>
        <v>221</v>
      </c>
      <c r="C28" s="207">
        <f t="shared" si="18"/>
        <v>4755.0645161290322</v>
      </c>
      <c r="D28">
        <f t="shared" si="19"/>
        <v>221</v>
      </c>
      <c r="E28" s="207">
        <f t="shared" si="18"/>
        <v>4755.0645161290322</v>
      </c>
      <c r="F28">
        <f t="shared" si="20"/>
        <v>221</v>
      </c>
      <c r="G28" s="207">
        <f t="shared" si="1"/>
        <v>4755.0645161290322</v>
      </c>
      <c r="H28" s="207">
        <f t="shared" si="21"/>
        <v>221</v>
      </c>
      <c r="I28" s="207">
        <f t="shared" si="2"/>
        <v>4755.0645161290322</v>
      </c>
      <c r="J28" s="207">
        <f t="shared" si="22"/>
        <v>221</v>
      </c>
      <c r="K28" s="207">
        <f t="shared" si="3"/>
        <v>4755.0645161290322</v>
      </c>
      <c r="L28" s="207">
        <f t="shared" si="23"/>
        <v>221</v>
      </c>
      <c r="M28" s="207">
        <f t="shared" si="4"/>
        <v>4755.0645161290322</v>
      </c>
      <c r="N28" s="207">
        <f t="shared" si="24"/>
        <v>221</v>
      </c>
      <c r="O28" s="207">
        <f t="shared" si="5"/>
        <v>4755.0645161290322</v>
      </c>
      <c r="P28" s="207">
        <f t="shared" si="25"/>
        <v>221</v>
      </c>
      <c r="Q28" s="207">
        <f t="shared" si="6"/>
        <v>4755.0645161290322</v>
      </c>
      <c r="R28" s="207">
        <f t="shared" si="26"/>
        <v>221</v>
      </c>
      <c r="S28" s="207">
        <f t="shared" si="7"/>
        <v>4755.0645161290322</v>
      </c>
      <c r="T28" s="207">
        <f t="shared" si="27"/>
        <v>221</v>
      </c>
      <c r="U28" s="207">
        <f t="shared" si="8"/>
        <v>4755.0645161290322</v>
      </c>
      <c r="V28" s="207">
        <f t="shared" si="28"/>
        <v>221</v>
      </c>
      <c r="W28" s="207">
        <f t="shared" si="9"/>
        <v>4755.0645161290322</v>
      </c>
      <c r="X28" s="35">
        <f t="shared" si="10"/>
        <v>0.71290322580645138</v>
      </c>
      <c r="Y28" s="36">
        <f t="shared" si="29"/>
        <v>52305.709677419341</v>
      </c>
      <c r="Z28" s="207">
        <f>'B5'!C27</f>
        <v>227</v>
      </c>
      <c r="AA28" s="207">
        <f t="shared" si="30"/>
        <v>2270</v>
      </c>
      <c r="AB28" s="207">
        <f t="shared" si="31"/>
        <v>227</v>
      </c>
      <c r="AC28" s="207">
        <f t="shared" si="30"/>
        <v>2270</v>
      </c>
      <c r="AD28" s="207">
        <f t="shared" si="32"/>
        <v>227</v>
      </c>
      <c r="AE28" s="207">
        <f t="shared" si="11"/>
        <v>2270</v>
      </c>
      <c r="AF28" s="207">
        <f t="shared" si="33"/>
        <v>227</v>
      </c>
      <c r="AG28" s="207">
        <f t="shared" si="12"/>
        <v>2270</v>
      </c>
      <c r="AH28" s="207">
        <f t="shared" si="34"/>
        <v>227</v>
      </c>
      <c r="AI28" s="207">
        <f t="shared" si="13"/>
        <v>2270</v>
      </c>
      <c r="AJ28" s="207">
        <f t="shared" si="35"/>
        <v>227</v>
      </c>
      <c r="AK28" s="207">
        <f t="shared" si="14"/>
        <v>2270</v>
      </c>
      <c r="AL28" s="207">
        <f t="shared" si="36"/>
        <v>227</v>
      </c>
      <c r="AM28" s="207">
        <f t="shared" si="15"/>
        <v>2270</v>
      </c>
      <c r="AN28" s="35">
        <f t="shared" si="16"/>
        <v>0.81071428571428572</v>
      </c>
      <c r="AO28" s="36">
        <f t="shared" si="17"/>
        <v>15890</v>
      </c>
      <c r="AQ28" s="227">
        <f t="shared" si="37"/>
        <v>0.73352382142002082</v>
      </c>
      <c r="AR28" s="38">
        <f t="shared" si="41"/>
        <v>68195.709677419334</v>
      </c>
      <c r="AS28" s="201">
        <f t="shared" si="38"/>
        <v>-1533.3870967742259</v>
      </c>
      <c r="AT28" s="374"/>
      <c r="AU28" s="459"/>
      <c r="AV28" s="545">
        <f t="shared" si="42"/>
        <v>0.32666699999999999</v>
      </c>
      <c r="AW28" s="300">
        <f>-SUM('B5'!AI27)</f>
        <v>-456</v>
      </c>
      <c r="AX28" s="300">
        <f t="shared" si="39"/>
        <v>-1077.3870967742259</v>
      </c>
      <c r="AY28" s="37">
        <f t="shared" si="40"/>
        <v>-1533.3870967742259</v>
      </c>
      <c r="AZ28" s="101">
        <f>ELEC!A25</f>
        <v>8.6999999999999994E-3</v>
      </c>
      <c r="BA28" s="119">
        <f>'General information '!D28</f>
        <v>19</v>
      </c>
      <c r="BB28" s="414">
        <f>SUM('General information '!E28)</f>
        <v>0.8</v>
      </c>
      <c r="BC28" s="3">
        <f t="shared" si="43"/>
        <v>0</v>
      </c>
      <c r="BD28" s="103">
        <v>19222</v>
      </c>
      <c r="BE28" s="14">
        <f>(305/1185)*ELEC!Q26</f>
        <v>509.62025316444465</v>
      </c>
      <c r="BF28" s="14"/>
      <c r="BG28" s="14" t="e">
        <f>#REF!-BE28</f>
        <v>#REF!</v>
      </c>
      <c r="BH28" s="11"/>
    </row>
    <row r="29" spans="1:61">
      <c r="A29" s="467">
        <f>ELEC!C26</f>
        <v>43945</v>
      </c>
      <c r="B29">
        <f>'B5'!B28</f>
        <v>219</v>
      </c>
      <c r="C29" s="207">
        <f t="shared" si="18"/>
        <v>4712.0322580645161</v>
      </c>
      <c r="D29">
        <f t="shared" si="19"/>
        <v>219</v>
      </c>
      <c r="E29" s="207">
        <f t="shared" si="18"/>
        <v>4712.0322580645161</v>
      </c>
      <c r="F29">
        <f t="shared" si="20"/>
        <v>219</v>
      </c>
      <c r="G29" s="207">
        <f t="shared" si="1"/>
        <v>4712.0322580645161</v>
      </c>
      <c r="H29" s="207">
        <f t="shared" si="21"/>
        <v>219</v>
      </c>
      <c r="I29" s="207">
        <f t="shared" si="2"/>
        <v>4712.0322580645161</v>
      </c>
      <c r="J29" s="207">
        <f t="shared" si="22"/>
        <v>219</v>
      </c>
      <c r="K29" s="207">
        <f t="shared" si="3"/>
        <v>4712.0322580645161</v>
      </c>
      <c r="L29" s="207">
        <f t="shared" si="23"/>
        <v>219</v>
      </c>
      <c r="M29" s="207">
        <f t="shared" si="4"/>
        <v>4712.0322580645161</v>
      </c>
      <c r="N29" s="207">
        <f t="shared" si="24"/>
        <v>219</v>
      </c>
      <c r="O29" s="207">
        <f t="shared" si="5"/>
        <v>4712.0322580645161</v>
      </c>
      <c r="P29" s="207">
        <f t="shared" si="25"/>
        <v>219</v>
      </c>
      <c r="Q29" s="207">
        <f t="shared" si="6"/>
        <v>4712.0322580645161</v>
      </c>
      <c r="R29" s="207">
        <f t="shared" si="26"/>
        <v>219</v>
      </c>
      <c r="S29" s="207">
        <f t="shared" si="7"/>
        <v>4712.0322580645161</v>
      </c>
      <c r="T29" s="207">
        <f t="shared" si="27"/>
        <v>219</v>
      </c>
      <c r="U29" s="207">
        <f t="shared" si="8"/>
        <v>4712.0322580645161</v>
      </c>
      <c r="V29" s="207">
        <f t="shared" si="28"/>
        <v>219</v>
      </c>
      <c r="W29" s="207">
        <f t="shared" si="9"/>
        <v>4712.0322580645161</v>
      </c>
      <c r="X29" s="35">
        <f t="shared" si="10"/>
        <v>0.70645161290322578</v>
      </c>
      <c r="Y29" s="36">
        <f t="shared" si="29"/>
        <v>51832.354838709674</v>
      </c>
      <c r="Z29" s="207">
        <f>'B5'!C28</f>
        <v>225</v>
      </c>
      <c r="AA29" s="207">
        <f t="shared" si="30"/>
        <v>2250</v>
      </c>
      <c r="AB29" s="207">
        <f t="shared" si="31"/>
        <v>225</v>
      </c>
      <c r="AC29" s="207">
        <f t="shared" si="30"/>
        <v>2250</v>
      </c>
      <c r="AD29" s="207">
        <f t="shared" si="32"/>
        <v>225</v>
      </c>
      <c r="AE29" s="207">
        <f t="shared" si="11"/>
        <v>2250</v>
      </c>
      <c r="AF29" s="207">
        <f t="shared" si="33"/>
        <v>225</v>
      </c>
      <c r="AG29" s="207">
        <f t="shared" si="12"/>
        <v>2250</v>
      </c>
      <c r="AH29" s="207">
        <f t="shared" si="34"/>
        <v>225</v>
      </c>
      <c r="AI29" s="207">
        <f t="shared" si="13"/>
        <v>2250</v>
      </c>
      <c r="AJ29" s="207">
        <f t="shared" si="35"/>
        <v>225</v>
      </c>
      <c r="AK29" s="207">
        <f t="shared" si="14"/>
        <v>2250</v>
      </c>
      <c r="AL29" s="207">
        <f t="shared" si="36"/>
        <v>225</v>
      </c>
      <c r="AM29" s="207">
        <f t="shared" si="15"/>
        <v>2250</v>
      </c>
      <c r="AN29" s="35">
        <f t="shared" si="16"/>
        <v>0.8035714285714286</v>
      </c>
      <c r="AO29" s="36">
        <f t="shared" si="17"/>
        <v>15750</v>
      </c>
      <c r="AQ29" s="227">
        <f t="shared" si="37"/>
        <v>0.72692647992588644</v>
      </c>
      <c r="AR29" s="38">
        <f t="shared" si="41"/>
        <v>67582.354838709667</v>
      </c>
      <c r="AS29" s="201">
        <f t="shared" si="38"/>
        <v>-613.35483870966709</v>
      </c>
      <c r="AT29" s="374"/>
      <c r="AU29" s="459"/>
      <c r="AV29" s="545">
        <f t="shared" si="42"/>
        <v>0.32666699999999999</v>
      </c>
      <c r="AW29" s="300">
        <f>-SUM('B5'!AI28)</f>
        <v>-319</v>
      </c>
      <c r="AX29" s="300">
        <f>-SUM(AW29-AS29)</f>
        <v>-294.35483870966709</v>
      </c>
      <c r="AY29" s="37">
        <f t="shared" si="40"/>
        <v>-613.35483870966709</v>
      </c>
      <c r="AZ29" s="101">
        <f>ELEC!A26</f>
        <v>8.6999999999999994E-3</v>
      </c>
      <c r="BA29" s="119">
        <f>'General information '!D29</f>
        <v>19.5</v>
      </c>
      <c r="BB29" s="414">
        <f>SUM('General information '!E29)</f>
        <v>0.83</v>
      </c>
      <c r="BC29" s="3">
        <f t="shared" si="43"/>
        <v>0</v>
      </c>
      <c r="BD29" s="103">
        <v>19222</v>
      </c>
      <c r="BE29" s="14">
        <f>(305/1185)*ELEC!Q27</f>
        <v>391.22362869209553</v>
      </c>
      <c r="BF29" s="14"/>
      <c r="BG29" s="14" t="e">
        <f>#REF!-BE29</f>
        <v>#REF!</v>
      </c>
      <c r="BH29" s="11"/>
    </row>
    <row r="30" spans="1:61">
      <c r="A30" s="467">
        <f>ELEC!C27</f>
        <v>43946</v>
      </c>
      <c r="B30">
        <f>'B5'!B29</f>
        <v>216</v>
      </c>
      <c r="C30" s="207">
        <f t="shared" si="18"/>
        <v>4647.4838709677415</v>
      </c>
      <c r="D30">
        <f t="shared" ref="D30:D35" si="44">SUM(B30)</f>
        <v>216</v>
      </c>
      <c r="E30" s="207">
        <f t="shared" si="18"/>
        <v>4647.4838709677415</v>
      </c>
      <c r="F30">
        <f t="shared" ref="F30:F35" si="45">SUM(D30)</f>
        <v>216</v>
      </c>
      <c r="G30" s="207">
        <f t="shared" si="1"/>
        <v>4647.4838709677415</v>
      </c>
      <c r="H30" s="207">
        <f t="shared" ref="H30:H35" si="46">SUM(F30)</f>
        <v>216</v>
      </c>
      <c r="I30" s="207">
        <f t="shared" si="2"/>
        <v>4647.4838709677415</v>
      </c>
      <c r="J30" s="207">
        <f t="shared" ref="J30:J35" si="47">SUM(H30)</f>
        <v>216</v>
      </c>
      <c r="K30" s="207">
        <f t="shared" si="3"/>
        <v>4647.4838709677415</v>
      </c>
      <c r="L30" s="207">
        <f t="shared" ref="L30:L35" si="48">SUM(J30)</f>
        <v>216</v>
      </c>
      <c r="M30" s="207">
        <f t="shared" si="4"/>
        <v>4647.4838709677415</v>
      </c>
      <c r="N30" s="207">
        <f t="shared" ref="N30:N35" si="49">SUM(L30)</f>
        <v>216</v>
      </c>
      <c r="O30" s="207">
        <f t="shared" si="5"/>
        <v>4647.4838709677415</v>
      </c>
      <c r="P30" s="207">
        <f t="shared" ref="P30:P35" si="50">SUM(N30)</f>
        <v>216</v>
      </c>
      <c r="Q30" s="207">
        <f t="shared" si="6"/>
        <v>4647.4838709677415</v>
      </c>
      <c r="R30" s="207">
        <f t="shared" ref="R30:R35" si="51">SUM(P30)</f>
        <v>216</v>
      </c>
      <c r="S30" s="207">
        <f t="shared" si="7"/>
        <v>4647.4838709677415</v>
      </c>
      <c r="T30" s="207">
        <f t="shared" ref="T30:T35" si="52">SUM(R30)</f>
        <v>216</v>
      </c>
      <c r="U30" s="207">
        <f t="shared" si="8"/>
        <v>4647.4838709677415</v>
      </c>
      <c r="V30" s="207">
        <f t="shared" ref="V30:V35" si="53">SUM(T30)</f>
        <v>216</v>
      </c>
      <c r="W30" s="207">
        <f t="shared" si="9"/>
        <v>4647.4838709677415</v>
      </c>
      <c r="X30" s="35">
        <f t="shared" ref="X30:X35" si="54">SUM(Y30/73370)</f>
        <v>0.6967741935483871</v>
      </c>
      <c r="Y30" s="36">
        <f t="shared" ref="Y30:Y35" si="55">SUM(C30+E30+G30+I30+K30+M30+O30+Q30+S30+U30+W30)</f>
        <v>51122.322580645159</v>
      </c>
      <c r="Z30" s="207">
        <f>'B5'!C29</f>
        <v>220.5</v>
      </c>
      <c r="AA30" s="207">
        <f t="shared" si="30"/>
        <v>2205</v>
      </c>
      <c r="AB30" s="207">
        <f t="shared" ref="AB30:AB35" si="56">SUM(Z30)</f>
        <v>220.5</v>
      </c>
      <c r="AC30" s="207">
        <f t="shared" si="30"/>
        <v>2205</v>
      </c>
      <c r="AD30" s="207">
        <f t="shared" ref="AD30:AD35" si="57">SUM(AB30)</f>
        <v>220.5</v>
      </c>
      <c r="AE30" s="207">
        <f t="shared" si="11"/>
        <v>2205</v>
      </c>
      <c r="AF30" s="207">
        <f t="shared" ref="AF30:AF35" si="58">SUM(AD30)</f>
        <v>220.5</v>
      </c>
      <c r="AG30" s="207">
        <f t="shared" si="12"/>
        <v>2205</v>
      </c>
      <c r="AH30" s="207">
        <f t="shared" ref="AH30:AH35" si="59">SUM(AF30)</f>
        <v>220.5</v>
      </c>
      <c r="AI30" s="207">
        <f t="shared" si="13"/>
        <v>2205</v>
      </c>
      <c r="AJ30" s="207">
        <f t="shared" ref="AJ30:AJ35" si="60">SUM(AH30)</f>
        <v>220.5</v>
      </c>
      <c r="AK30" s="207">
        <f t="shared" si="14"/>
        <v>2205</v>
      </c>
      <c r="AL30" s="207">
        <f t="shared" ref="AL30:AL35" si="61">SUM(AJ30)</f>
        <v>220.5</v>
      </c>
      <c r="AM30" s="207">
        <f t="shared" si="15"/>
        <v>2205</v>
      </c>
      <c r="AN30" s="35">
        <f t="shared" ref="AN30:AN35" si="62">SUM(AO30/19600)</f>
        <v>0.78749999999999998</v>
      </c>
      <c r="AO30" s="36">
        <f t="shared" ref="AO30:AO35" si="63">SUM(AA30+AC30+AE30+AG30+AI30+AK30+AM30)</f>
        <v>15435</v>
      </c>
      <c r="AQ30" s="227">
        <f t="shared" si="37"/>
        <v>0.71590107110514312</v>
      </c>
      <c r="AR30" s="38">
        <f t="shared" si="41"/>
        <v>66557.322580645152</v>
      </c>
      <c r="AS30" s="201">
        <f t="shared" si="38"/>
        <v>-1025.0322580645152</v>
      </c>
      <c r="AT30" s="374"/>
      <c r="AU30" s="459"/>
      <c r="AV30" s="545">
        <f t="shared" si="42"/>
        <v>0.32666699999999999</v>
      </c>
      <c r="AW30" s="300">
        <f>-SUM('B5'!AI29)</f>
        <v>-337</v>
      </c>
      <c r="AX30" s="300">
        <f>-SUM(AW30-AS30)</f>
        <v>-688.03225806451519</v>
      </c>
      <c r="AY30" s="37">
        <f t="shared" si="40"/>
        <v>-1025.0322580645152</v>
      </c>
      <c r="AZ30" s="101">
        <f>ELEC!A27</f>
        <v>1.7399999999999999E-2</v>
      </c>
      <c r="BA30" s="119">
        <f>'General information '!D30</f>
        <v>18</v>
      </c>
      <c r="BB30" s="414">
        <f>SUM('General information '!E30)</f>
        <v>0.85</v>
      </c>
      <c r="BC30" s="3">
        <f t="shared" si="43"/>
        <v>0</v>
      </c>
      <c r="BD30" s="103">
        <v>19222</v>
      </c>
      <c r="BE30" s="14">
        <f>(305/1185)*ELEC!Q28</f>
        <v>386.07594936708864</v>
      </c>
      <c r="BF30" s="14"/>
      <c r="BG30" s="14" t="e">
        <f>#REF!-BE30</f>
        <v>#REF!</v>
      </c>
      <c r="BH30" s="11"/>
    </row>
    <row r="31" spans="1:61">
      <c r="A31" s="467">
        <f>ELEC!C28</f>
        <v>43947</v>
      </c>
      <c r="B31">
        <f>'B5'!B30</f>
        <v>213</v>
      </c>
      <c r="C31" s="207">
        <f t="shared" si="18"/>
        <v>4582.9354838709678</v>
      </c>
      <c r="D31">
        <f t="shared" si="44"/>
        <v>213</v>
      </c>
      <c r="E31" s="207">
        <f t="shared" si="18"/>
        <v>4582.9354838709678</v>
      </c>
      <c r="F31">
        <f t="shared" si="45"/>
        <v>213</v>
      </c>
      <c r="G31" s="207">
        <f t="shared" si="1"/>
        <v>4582.9354838709678</v>
      </c>
      <c r="H31" s="207">
        <f t="shared" si="46"/>
        <v>213</v>
      </c>
      <c r="I31" s="207">
        <f t="shared" si="2"/>
        <v>4582.9354838709678</v>
      </c>
      <c r="J31" s="207">
        <f t="shared" si="47"/>
        <v>213</v>
      </c>
      <c r="K31" s="207">
        <f t="shared" si="3"/>
        <v>4582.9354838709678</v>
      </c>
      <c r="L31" s="207">
        <f t="shared" si="48"/>
        <v>213</v>
      </c>
      <c r="M31" s="207">
        <f t="shared" si="4"/>
        <v>4582.9354838709678</v>
      </c>
      <c r="N31" s="207">
        <f t="shared" si="49"/>
        <v>213</v>
      </c>
      <c r="O31" s="207">
        <f t="shared" si="5"/>
        <v>4582.9354838709678</v>
      </c>
      <c r="P31" s="207">
        <f t="shared" si="50"/>
        <v>213</v>
      </c>
      <c r="Q31" s="207">
        <f t="shared" si="6"/>
        <v>4582.9354838709678</v>
      </c>
      <c r="R31" s="207">
        <f t="shared" si="51"/>
        <v>213</v>
      </c>
      <c r="S31" s="207">
        <f t="shared" si="7"/>
        <v>4582.9354838709678</v>
      </c>
      <c r="T31" s="207">
        <f t="shared" si="52"/>
        <v>213</v>
      </c>
      <c r="U31" s="207">
        <f t="shared" si="8"/>
        <v>4582.9354838709678</v>
      </c>
      <c r="V31" s="207">
        <f t="shared" si="53"/>
        <v>213</v>
      </c>
      <c r="W31" s="207">
        <f t="shared" si="9"/>
        <v>4582.9354838709678</v>
      </c>
      <c r="X31" s="35">
        <f t="shared" si="54"/>
        <v>0.68709677419354853</v>
      </c>
      <c r="Y31" s="36">
        <f t="shared" si="55"/>
        <v>50412.290322580659</v>
      </c>
      <c r="Z31" s="207">
        <f>'B5'!C30</f>
        <v>219</v>
      </c>
      <c r="AA31" s="207">
        <f t="shared" si="30"/>
        <v>2190</v>
      </c>
      <c r="AB31" s="207">
        <f t="shared" si="56"/>
        <v>219</v>
      </c>
      <c r="AC31" s="207">
        <f t="shared" si="30"/>
        <v>2190</v>
      </c>
      <c r="AD31" s="207">
        <f t="shared" si="57"/>
        <v>219</v>
      </c>
      <c r="AE31" s="207">
        <f t="shared" si="11"/>
        <v>2190</v>
      </c>
      <c r="AF31" s="207">
        <f t="shared" si="58"/>
        <v>219</v>
      </c>
      <c r="AG31" s="207">
        <f t="shared" si="12"/>
        <v>2190</v>
      </c>
      <c r="AH31" s="207">
        <f t="shared" si="59"/>
        <v>219</v>
      </c>
      <c r="AI31" s="207">
        <f t="shared" si="13"/>
        <v>2190</v>
      </c>
      <c r="AJ31" s="207">
        <f t="shared" si="60"/>
        <v>219</v>
      </c>
      <c r="AK31" s="207">
        <f t="shared" si="14"/>
        <v>2190</v>
      </c>
      <c r="AL31" s="207">
        <f t="shared" si="61"/>
        <v>219</v>
      </c>
      <c r="AM31" s="207">
        <f t="shared" si="15"/>
        <v>2190</v>
      </c>
      <c r="AN31" s="35">
        <f t="shared" si="62"/>
        <v>0.78214285714285714</v>
      </c>
      <c r="AO31" s="36">
        <f t="shared" si="63"/>
        <v>15330</v>
      </c>
      <c r="AQ31" s="227">
        <f t="shared" si="37"/>
        <v>0.70713445544348352</v>
      </c>
      <c r="AR31" s="38">
        <f t="shared" si="41"/>
        <v>65742.290322580666</v>
      </c>
      <c r="AS31" s="201">
        <f>SUM(AR31-AR30-AT31)</f>
        <v>-815.03225806448609</v>
      </c>
      <c r="AT31" s="374"/>
      <c r="AU31" s="459"/>
      <c r="AV31" s="545">
        <f t="shared" si="42"/>
        <v>0.32666699999999999</v>
      </c>
      <c r="AW31" s="300">
        <f>-SUM('B5'!AI30)</f>
        <v>-277</v>
      </c>
      <c r="AX31" s="300">
        <f t="shared" si="39"/>
        <v>-538.03225806448609</v>
      </c>
      <c r="AY31" s="37">
        <f t="shared" si="40"/>
        <v>-815.03225806448609</v>
      </c>
      <c r="AZ31" s="101">
        <f>ELEC!A28</f>
        <v>3.4799999999999998E-2</v>
      </c>
      <c r="BA31" s="119">
        <f>'General information '!D31</f>
        <v>19</v>
      </c>
      <c r="BB31" s="414">
        <f>SUM('General information '!E31)</f>
        <v>0.67</v>
      </c>
      <c r="BC31" s="3">
        <f t="shared" si="43"/>
        <v>0</v>
      </c>
      <c r="BD31" s="103">
        <v>19222</v>
      </c>
      <c r="BE31" s="14">
        <f>(305/1185)*ELEC!Q29</f>
        <v>646.80590717320933</v>
      </c>
      <c r="BF31" s="14"/>
      <c r="BG31" s="14" t="e">
        <f>#REF!-BE31</f>
        <v>#REF!</v>
      </c>
      <c r="BH31" s="11"/>
    </row>
    <row r="32" spans="1:61">
      <c r="A32" s="467">
        <f>ELEC!C29</f>
        <v>43948</v>
      </c>
      <c r="B32">
        <f>'B5'!B31</f>
        <v>209</v>
      </c>
      <c r="C32" s="207">
        <f t="shared" si="18"/>
        <v>4496.8709677419356</v>
      </c>
      <c r="D32">
        <f t="shared" si="44"/>
        <v>209</v>
      </c>
      <c r="E32" s="207">
        <f t="shared" si="18"/>
        <v>4496.8709677419356</v>
      </c>
      <c r="F32">
        <f t="shared" si="45"/>
        <v>209</v>
      </c>
      <c r="G32" s="207">
        <f t="shared" si="1"/>
        <v>4496.8709677419356</v>
      </c>
      <c r="H32" s="207">
        <f t="shared" si="46"/>
        <v>209</v>
      </c>
      <c r="I32" s="207">
        <f t="shared" si="2"/>
        <v>4496.8709677419356</v>
      </c>
      <c r="J32" s="207">
        <f t="shared" si="47"/>
        <v>209</v>
      </c>
      <c r="K32" s="207">
        <f t="shared" si="3"/>
        <v>4496.8709677419356</v>
      </c>
      <c r="L32" s="207">
        <f t="shared" si="48"/>
        <v>209</v>
      </c>
      <c r="M32" s="207">
        <f t="shared" si="4"/>
        <v>4496.8709677419356</v>
      </c>
      <c r="N32" s="207">
        <f t="shared" si="49"/>
        <v>209</v>
      </c>
      <c r="O32" s="207">
        <f t="shared" si="5"/>
        <v>4496.8709677419356</v>
      </c>
      <c r="P32" s="207">
        <f t="shared" si="50"/>
        <v>209</v>
      </c>
      <c r="Q32" s="207">
        <f t="shared" si="6"/>
        <v>4496.8709677419356</v>
      </c>
      <c r="R32" s="207">
        <f t="shared" si="51"/>
        <v>209</v>
      </c>
      <c r="S32" s="207">
        <f t="shared" si="7"/>
        <v>4496.8709677419356</v>
      </c>
      <c r="T32" s="207">
        <f t="shared" si="52"/>
        <v>209</v>
      </c>
      <c r="U32" s="207">
        <f t="shared" si="8"/>
        <v>4496.8709677419356</v>
      </c>
      <c r="V32" s="207">
        <f t="shared" si="53"/>
        <v>209</v>
      </c>
      <c r="W32" s="207">
        <f t="shared" si="9"/>
        <v>4496.8709677419356</v>
      </c>
      <c r="X32" s="35">
        <f t="shared" si="54"/>
        <v>0.67419354838709689</v>
      </c>
      <c r="Y32" s="36">
        <f t="shared" si="55"/>
        <v>49465.580645161303</v>
      </c>
      <c r="Z32" s="207">
        <f>'B5'!C31</f>
        <v>215</v>
      </c>
      <c r="AA32" s="207">
        <f t="shared" si="30"/>
        <v>2150</v>
      </c>
      <c r="AB32" s="207">
        <f t="shared" si="56"/>
        <v>215</v>
      </c>
      <c r="AC32" s="207">
        <f t="shared" si="30"/>
        <v>2150</v>
      </c>
      <c r="AD32" s="207">
        <f t="shared" si="57"/>
        <v>215</v>
      </c>
      <c r="AE32" s="207">
        <f t="shared" si="11"/>
        <v>2150</v>
      </c>
      <c r="AF32" s="207">
        <f t="shared" si="58"/>
        <v>215</v>
      </c>
      <c r="AG32" s="207">
        <f t="shared" si="12"/>
        <v>2150</v>
      </c>
      <c r="AH32" s="207">
        <f t="shared" si="59"/>
        <v>215</v>
      </c>
      <c r="AI32" s="207">
        <f t="shared" si="13"/>
        <v>2150</v>
      </c>
      <c r="AJ32" s="207">
        <f t="shared" si="60"/>
        <v>215</v>
      </c>
      <c r="AK32" s="207">
        <f t="shared" si="14"/>
        <v>2150</v>
      </c>
      <c r="AL32" s="207">
        <f t="shared" si="61"/>
        <v>215</v>
      </c>
      <c r="AM32" s="207">
        <f t="shared" si="15"/>
        <v>2150</v>
      </c>
      <c r="AN32" s="35">
        <f t="shared" si="62"/>
        <v>0.7678571428571429</v>
      </c>
      <c r="AO32" s="36">
        <f t="shared" si="63"/>
        <v>15050</v>
      </c>
      <c r="AQ32" s="227">
        <f t="shared" si="37"/>
        <v>0.69393977245521465</v>
      </c>
      <c r="AR32" s="38">
        <f t="shared" si="41"/>
        <v>64515.580645161303</v>
      </c>
      <c r="AS32" s="201">
        <f t="shared" si="38"/>
        <v>-1226.7096774193633</v>
      </c>
      <c r="AT32" s="374"/>
      <c r="AU32" s="459"/>
      <c r="AV32" s="545">
        <f>IF(AT32&gt;0,AU32,AV31)</f>
        <v>0.32666699999999999</v>
      </c>
      <c r="AW32" s="300">
        <f>-SUM('B5'!AI31)</f>
        <v>-322</v>
      </c>
      <c r="AX32" s="300">
        <f t="shared" si="39"/>
        <v>-904.70967741936329</v>
      </c>
      <c r="AY32" s="37">
        <f t="shared" si="40"/>
        <v>-1226.7096774193633</v>
      </c>
      <c r="AZ32" s="101">
        <f>ELEC!A29</f>
        <v>8.6999999999999994E-3</v>
      </c>
      <c r="BA32" s="119">
        <f>'General information '!D32</f>
        <v>18</v>
      </c>
      <c r="BB32" s="414">
        <f>SUM('General information '!E32)</f>
        <v>0.68</v>
      </c>
      <c r="BC32" s="3">
        <f t="shared" si="43"/>
        <v>0</v>
      </c>
      <c r="BD32" s="103">
        <v>19222</v>
      </c>
      <c r="BE32" s="14">
        <f>(305/1185)*ELEC!Q30</f>
        <v>262.27426160296727</v>
      </c>
      <c r="BF32" s="14"/>
      <c r="BG32" s="14" t="e">
        <f>#REF!-BE32</f>
        <v>#REF!</v>
      </c>
      <c r="BH32" s="11"/>
    </row>
    <row r="33" spans="1:60">
      <c r="A33" s="467">
        <f>ELEC!C30</f>
        <v>43949</v>
      </c>
      <c r="B33">
        <f>'B5'!B32</f>
        <v>207</v>
      </c>
      <c r="C33" s="207">
        <f t="shared" si="18"/>
        <v>4453.8387096774195</v>
      </c>
      <c r="D33">
        <f t="shared" si="44"/>
        <v>207</v>
      </c>
      <c r="E33" s="207">
        <f t="shared" si="18"/>
        <v>4453.8387096774195</v>
      </c>
      <c r="F33">
        <f t="shared" si="45"/>
        <v>207</v>
      </c>
      <c r="G33" s="207">
        <f t="shared" si="1"/>
        <v>4453.8387096774195</v>
      </c>
      <c r="H33" s="207">
        <f t="shared" si="46"/>
        <v>207</v>
      </c>
      <c r="I33" s="207">
        <f t="shared" si="2"/>
        <v>4453.8387096774195</v>
      </c>
      <c r="J33" s="207">
        <f t="shared" si="47"/>
        <v>207</v>
      </c>
      <c r="K33" s="207">
        <f t="shared" si="3"/>
        <v>4453.8387096774195</v>
      </c>
      <c r="L33" s="207">
        <f t="shared" si="48"/>
        <v>207</v>
      </c>
      <c r="M33" s="207">
        <f t="shared" si="4"/>
        <v>4453.8387096774195</v>
      </c>
      <c r="N33" s="207">
        <f t="shared" si="49"/>
        <v>207</v>
      </c>
      <c r="O33" s="207">
        <f t="shared" si="5"/>
        <v>4453.8387096774195</v>
      </c>
      <c r="P33" s="207">
        <f t="shared" si="50"/>
        <v>207</v>
      </c>
      <c r="Q33" s="207">
        <f t="shared" si="6"/>
        <v>4453.8387096774195</v>
      </c>
      <c r="R33" s="207">
        <f t="shared" si="51"/>
        <v>207</v>
      </c>
      <c r="S33" s="207">
        <f t="shared" si="7"/>
        <v>4453.8387096774195</v>
      </c>
      <c r="T33" s="207">
        <f t="shared" si="52"/>
        <v>207</v>
      </c>
      <c r="U33" s="207">
        <f t="shared" si="8"/>
        <v>4453.8387096774195</v>
      </c>
      <c r="V33" s="207">
        <f t="shared" si="53"/>
        <v>207</v>
      </c>
      <c r="W33" s="207">
        <f t="shared" si="9"/>
        <v>4453.8387096774195</v>
      </c>
      <c r="X33" s="35">
        <f t="shared" si="54"/>
        <v>0.66774193548387084</v>
      </c>
      <c r="Y33" s="36">
        <f t="shared" si="55"/>
        <v>48992.225806451606</v>
      </c>
      <c r="Z33" s="207">
        <f>'B5'!C32</f>
        <v>213</v>
      </c>
      <c r="AA33" s="207">
        <f t="shared" si="30"/>
        <v>2130</v>
      </c>
      <c r="AB33" s="207">
        <f t="shared" si="56"/>
        <v>213</v>
      </c>
      <c r="AC33" s="207">
        <f t="shared" si="30"/>
        <v>2130</v>
      </c>
      <c r="AD33" s="207">
        <f t="shared" si="57"/>
        <v>213</v>
      </c>
      <c r="AE33" s="207">
        <f t="shared" si="11"/>
        <v>2130</v>
      </c>
      <c r="AF33" s="207">
        <f t="shared" si="58"/>
        <v>213</v>
      </c>
      <c r="AG33" s="207">
        <f t="shared" si="12"/>
        <v>2130</v>
      </c>
      <c r="AH33" s="207">
        <f t="shared" si="59"/>
        <v>213</v>
      </c>
      <c r="AI33" s="207">
        <f t="shared" si="13"/>
        <v>2130</v>
      </c>
      <c r="AJ33" s="207">
        <f t="shared" si="60"/>
        <v>213</v>
      </c>
      <c r="AK33" s="207">
        <f t="shared" si="14"/>
        <v>2130</v>
      </c>
      <c r="AL33" s="207">
        <f t="shared" si="61"/>
        <v>213</v>
      </c>
      <c r="AM33" s="207">
        <f t="shared" si="15"/>
        <v>2130</v>
      </c>
      <c r="AN33" s="35">
        <f t="shared" si="62"/>
        <v>0.76071428571428568</v>
      </c>
      <c r="AO33" s="36">
        <f t="shared" si="63"/>
        <v>14910</v>
      </c>
      <c r="AQ33" s="227">
        <f t="shared" si="37"/>
        <v>0.68734243096107994</v>
      </c>
      <c r="AR33" s="38">
        <f t="shared" si="41"/>
        <v>63902.225806451606</v>
      </c>
      <c r="AS33" s="201">
        <f t="shared" si="38"/>
        <v>-613.3548387096962</v>
      </c>
      <c r="AT33" s="374"/>
      <c r="AU33" s="459"/>
      <c r="AV33" s="545">
        <f>IF(AT33&gt;0,AU33,AV32)</f>
        <v>0.32666699999999999</v>
      </c>
      <c r="AW33" s="300">
        <f>-SUM('B5'!AI32)</f>
        <v>-230</v>
      </c>
      <c r="AX33" s="300">
        <f t="shared" si="39"/>
        <v>-383.3548387096962</v>
      </c>
      <c r="AY33" s="37">
        <f t="shared" si="40"/>
        <v>-613.3548387096962</v>
      </c>
      <c r="AZ33" s="101">
        <f>ELEC!A30</f>
        <v>1.7399999999999999E-2</v>
      </c>
      <c r="BA33" s="119">
        <f>'General information '!D33</f>
        <v>18.5</v>
      </c>
      <c r="BB33" s="208">
        <f>SUM('General information '!E33)</f>
        <v>0.7</v>
      </c>
      <c r="BC33" s="3">
        <f t="shared" si="43"/>
        <v>0</v>
      </c>
      <c r="BD33" s="103">
        <v>19222</v>
      </c>
      <c r="BE33" s="14">
        <f>(305/1185)*ELEC!Q31</f>
        <v>334.08438818583005</v>
      </c>
      <c r="BF33" s="14"/>
      <c r="BG33" s="14" t="e">
        <f>#REF!-BE33</f>
        <v>#REF!</v>
      </c>
      <c r="BH33" s="11"/>
    </row>
    <row r="34" spans="1:60">
      <c r="A34" s="467">
        <f>ELEC!C31</f>
        <v>43950</v>
      </c>
      <c r="B34">
        <f>'B5'!B33</f>
        <v>248</v>
      </c>
      <c r="C34" s="207">
        <f t="shared" si="18"/>
        <v>5336</v>
      </c>
      <c r="D34">
        <f t="shared" si="44"/>
        <v>248</v>
      </c>
      <c r="E34" s="207">
        <f t="shared" si="18"/>
        <v>5336</v>
      </c>
      <c r="F34">
        <f t="shared" si="45"/>
        <v>248</v>
      </c>
      <c r="G34" s="207">
        <f t="shared" si="1"/>
        <v>5336</v>
      </c>
      <c r="H34" s="207">
        <f t="shared" si="46"/>
        <v>248</v>
      </c>
      <c r="I34" s="207">
        <f t="shared" si="2"/>
        <v>5336</v>
      </c>
      <c r="J34" s="207">
        <f t="shared" si="47"/>
        <v>248</v>
      </c>
      <c r="K34" s="207">
        <f t="shared" si="3"/>
        <v>5336</v>
      </c>
      <c r="L34" s="207">
        <f t="shared" si="48"/>
        <v>248</v>
      </c>
      <c r="M34" s="207">
        <f t="shared" si="4"/>
        <v>5336</v>
      </c>
      <c r="N34" s="207">
        <f t="shared" si="49"/>
        <v>248</v>
      </c>
      <c r="O34" s="207">
        <f t="shared" si="5"/>
        <v>5336</v>
      </c>
      <c r="P34" s="207">
        <f t="shared" si="50"/>
        <v>248</v>
      </c>
      <c r="Q34" s="207">
        <f t="shared" si="6"/>
        <v>5336</v>
      </c>
      <c r="R34" s="207">
        <f t="shared" si="51"/>
        <v>248</v>
      </c>
      <c r="S34" s="207">
        <f t="shared" si="7"/>
        <v>5336</v>
      </c>
      <c r="T34" s="207">
        <f t="shared" si="52"/>
        <v>248</v>
      </c>
      <c r="U34" s="207">
        <f t="shared" si="8"/>
        <v>5336</v>
      </c>
      <c r="V34" s="207">
        <f t="shared" si="53"/>
        <v>248</v>
      </c>
      <c r="W34" s="207">
        <f t="shared" si="9"/>
        <v>5336</v>
      </c>
      <c r="X34" s="35">
        <f t="shared" si="54"/>
        <v>0.8</v>
      </c>
      <c r="Y34" s="36">
        <f t="shared" si="55"/>
        <v>58696</v>
      </c>
      <c r="Z34" s="207">
        <f>'B5'!C33</f>
        <v>254</v>
      </c>
      <c r="AA34" s="207">
        <f t="shared" si="30"/>
        <v>2540</v>
      </c>
      <c r="AB34" s="207">
        <f t="shared" si="56"/>
        <v>254</v>
      </c>
      <c r="AC34" s="207">
        <f t="shared" si="30"/>
        <v>2540</v>
      </c>
      <c r="AD34" s="207">
        <f t="shared" si="57"/>
        <v>254</v>
      </c>
      <c r="AE34" s="207">
        <f t="shared" si="11"/>
        <v>2540</v>
      </c>
      <c r="AF34" s="207">
        <f t="shared" si="58"/>
        <v>254</v>
      </c>
      <c r="AG34" s="207">
        <f t="shared" si="12"/>
        <v>2540</v>
      </c>
      <c r="AH34" s="207">
        <f t="shared" si="59"/>
        <v>254</v>
      </c>
      <c r="AI34" s="207">
        <f t="shared" si="13"/>
        <v>2540</v>
      </c>
      <c r="AJ34" s="207">
        <f t="shared" si="60"/>
        <v>254</v>
      </c>
      <c r="AK34" s="207">
        <f t="shared" si="14"/>
        <v>2540</v>
      </c>
      <c r="AL34" s="207">
        <f t="shared" si="61"/>
        <v>254</v>
      </c>
      <c r="AM34" s="207">
        <f t="shared" si="15"/>
        <v>2540</v>
      </c>
      <c r="AN34" s="35">
        <f t="shared" si="62"/>
        <v>0.90714285714285714</v>
      </c>
      <c r="AO34" s="36">
        <f t="shared" si="63"/>
        <v>17780</v>
      </c>
      <c r="AQ34" s="227">
        <f>SUM(AR34/92970)</f>
        <v>0.82258793159083576</v>
      </c>
      <c r="AR34" s="38">
        <f t="shared" si="41"/>
        <v>76476</v>
      </c>
      <c r="AS34" s="201">
        <f t="shared" si="38"/>
        <v>168.77419354839367</v>
      </c>
      <c r="AT34" s="374">
        <v>12405</v>
      </c>
      <c r="AU34" s="459">
        <v>0.28399999999999997</v>
      </c>
      <c r="AV34" s="545">
        <f t="shared" si="42"/>
        <v>0.28399999999999997</v>
      </c>
      <c r="AW34" s="300">
        <f>-SUM('B5'!AI33)</f>
        <v>-302.80000000001746</v>
      </c>
      <c r="AX34" s="300">
        <f t="shared" si="39"/>
        <v>471.57419354841113</v>
      </c>
      <c r="AY34" s="37">
        <f t="shared" si="40"/>
        <v>168.77419354839367</v>
      </c>
      <c r="AZ34" s="101">
        <f>ELEC!A31</f>
        <v>1.7399999999999999E-2</v>
      </c>
      <c r="BA34" s="119">
        <f>'General information '!D34</f>
        <v>19</v>
      </c>
      <c r="BB34" s="208">
        <f>SUM('General information '!E34)</f>
        <v>0.69</v>
      </c>
      <c r="BC34" s="3">
        <f>IF(AR33&gt;=AR34,0,1)</f>
        <v>1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7">
        <f>ELEC!C32</f>
        <v>43951</v>
      </c>
      <c r="B35">
        <f>'B5'!B34</f>
        <v>245.5</v>
      </c>
      <c r="C35" s="207">
        <f t="shared" si="18"/>
        <v>5282.2096774193551</v>
      </c>
      <c r="D35">
        <f t="shared" si="44"/>
        <v>245.5</v>
      </c>
      <c r="E35" s="207">
        <f t="shared" si="18"/>
        <v>5282.2096774193551</v>
      </c>
      <c r="F35">
        <f t="shared" si="45"/>
        <v>245.5</v>
      </c>
      <c r="G35" s="207">
        <f t="shared" si="1"/>
        <v>5282.2096774193551</v>
      </c>
      <c r="H35" s="207">
        <f t="shared" si="46"/>
        <v>245.5</v>
      </c>
      <c r="I35" s="207">
        <f t="shared" si="2"/>
        <v>5282.2096774193551</v>
      </c>
      <c r="J35" s="207">
        <f t="shared" si="47"/>
        <v>245.5</v>
      </c>
      <c r="K35" s="207">
        <f t="shared" si="3"/>
        <v>5282.2096774193551</v>
      </c>
      <c r="L35" s="207">
        <f t="shared" si="48"/>
        <v>245.5</v>
      </c>
      <c r="M35" s="207">
        <f t="shared" si="4"/>
        <v>5282.2096774193551</v>
      </c>
      <c r="N35" s="207">
        <f t="shared" si="49"/>
        <v>245.5</v>
      </c>
      <c r="O35" s="207">
        <f t="shared" si="5"/>
        <v>5282.2096774193551</v>
      </c>
      <c r="P35" s="207">
        <f t="shared" si="50"/>
        <v>245.5</v>
      </c>
      <c r="Q35" s="207">
        <f t="shared" si="6"/>
        <v>5282.2096774193551</v>
      </c>
      <c r="R35" s="207">
        <f t="shared" si="51"/>
        <v>245.5</v>
      </c>
      <c r="S35" s="207">
        <f t="shared" si="7"/>
        <v>5282.2096774193551</v>
      </c>
      <c r="T35" s="207">
        <f t="shared" si="52"/>
        <v>245.5</v>
      </c>
      <c r="U35" s="207">
        <f t="shared" si="8"/>
        <v>5282.2096774193551</v>
      </c>
      <c r="V35" s="207">
        <f t="shared" si="53"/>
        <v>245.5</v>
      </c>
      <c r="W35" s="207">
        <f t="shared" si="9"/>
        <v>5282.2096774193551</v>
      </c>
      <c r="X35" s="35">
        <f t="shared" si="54"/>
        <v>0.79193548387096779</v>
      </c>
      <c r="Y35" s="36">
        <f t="shared" si="55"/>
        <v>58104.306451612909</v>
      </c>
      <c r="Z35" s="207">
        <f>'B5'!C34</f>
        <v>251</v>
      </c>
      <c r="AA35" s="207">
        <f t="shared" si="30"/>
        <v>2510</v>
      </c>
      <c r="AB35" s="207">
        <f t="shared" si="56"/>
        <v>251</v>
      </c>
      <c r="AC35" s="207">
        <f t="shared" si="30"/>
        <v>2510</v>
      </c>
      <c r="AD35" s="207">
        <f t="shared" si="57"/>
        <v>251</v>
      </c>
      <c r="AE35" s="207">
        <f t="shared" si="11"/>
        <v>2510</v>
      </c>
      <c r="AF35" s="207">
        <f t="shared" si="58"/>
        <v>251</v>
      </c>
      <c r="AG35" s="207">
        <f t="shared" si="12"/>
        <v>2510</v>
      </c>
      <c r="AH35" s="207">
        <f t="shared" si="59"/>
        <v>251</v>
      </c>
      <c r="AI35" s="207">
        <f t="shared" si="13"/>
        <v>2510</v>
      </c>
      <c r="AJ35" s="207">
        <f t="shared" si="60"/>
        <v>251</v>
      </c>
      <c r="AK35" s="207">
        <f t="shared" si="14"/>
        <v>2510</v>
      </c>
      <c r="AL35" s="207">
        <f t="shared" si="61"/>
        <v>251</v>
      </c>
      <c r="AM35" s="207">
        <f t="shared" si="15"/>
        <v>2510</v>
      </c>
      <c r="AN35" s="35">
        <f t="shared" si="62"/>
        <v>0.89642857142857146</v>
      </c>
      <c r="AO35" s="36">
        <f t="shared" si="63"/>
        <v>17570</v>
      </c>
      <c r="AQ35" s="227">
        <f>SUM(AR35/92970)</f>
        <v>0.81396478919665383</v>
      </c>
      <c r="AR35" s="38">
        <f t="shared" si="41"/>
        <v>75674.306451612909</v>
      </c>
      <c r="AS35" s="201">
        <f t="shared" si="38"/>
        <v>-801.69354838709114</v>
      </c>
      <c r="AT35" s="374"/>
      <c r="AU35" s="459"/>
      <c r="AV35" s="545">
        <f>IF(AT35&gt;0,AU35,AV34)</f>
        <v>0.28399999999999997</v>
      </c>
      <c r="AW35" s="300">
        <f>-SUM('B5'!AI34)</f>
        <v>-281</v>
      </c>
      <c r="AX35" s="300">
        <f t="shared" si="39"/>
        <v>-520.69354838709114</v>
      </c>
      <c r="AY35" s="37">
        <f t="shared" si="40"/>
        <v>-801.69354838709114</v>
      </c>
      <c r="AZ35" s="101">
        <f>ELEC!A32</f>
        <v>1.2999999999999999E-2</v>
      </c>
      <c r="BA35" s="119">
        <f>'General information '!D35</f>
        <v>21</v>
      </c>
      <c r="BB35" s="208">
        <f>SUM('General information '!E35)</f>
        <v>0.75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Q36" s="20"/>
      <c r="AR36" s="504" t="s">
        <v>226</v>
      </c>
      <c r="AS36" s="510">
        <f>COUNT(AT6:AT35)</f>
        <v>2</v>
      </c>
      <c r="AT36" s="207">
        <f>SUM(AT6:AT35)</f>
        <v>23015</v>
      </c>
      <c r="AU36">
        <f>SUM(AU6:AU35)/AS36</f>
        <v>0.30533349999999998</v>
      </c>
      <c r="AX36" s="207">
        <f>SUM(AX6:AX35)</f>
        <v>-15289.903225806396</v>
      </c>
      <c r="AY36" s="207">
        <f>SUM(AY6:AY35)</f>
        <v>-25043.403225806425</v>
      </c>
    </row>
    <row r="37" spans="1:60">
      <c r="AS37" s="210"/>
      <c r="AT37">
        <f>+AT36*AU36</f>
        <v>7027.2505024999991</v>
      </c>
    </row>
    <row r="39" spans="1:60">
      <c r="AS39" s="166">
        <f>SUM(AS6:AS35)/'EDl log'!A35</f>
        <v>-834.7801075268809</v>
      </c>
      <c r="AT39" s="207"/>
    </row>
  </sheetData>
  <mergeCells count="3">
    <mergeCell ref="AT3:AU3"/>
    <mergeCell ref="AS3:AS4"/>
    <mergeCell ref="AR3:AR4"/>
  </mergeCells>
  <conditionalFormatting sqref="AW6:AX35">
    <cfRule type="cellIs" dxfId="5" priority="3" stopIfTrue="1" operator="greaterThan">
      <formula>0</formula>
    </cfRule>
  </conditionalFormatting>
  <conditionalFormatting sqref="AT6:AU35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246</v>
      </c>
      <c r="C2" s="3">
        <f>ELEC!N3</f>
        <v>7662.2000000001863</v>
      </c>
      <c r="D2" s="3">
        <f>C2-E2</f>
        <v>5231.2000000015105</v>
      </c>
      <c r="E2" s="3">
        <f>ELEC!Q3</f>
        <v>2430.9999999986758</v>
      </c>
      <c r="F2" s="3">
        <f>GEN!Z2</f>
        <v>4</v>
      </c>
      <c r="G2" s="3">
        <f>WATER!C5+WATER!H5</f>
        <v>0</v>
      </c>
      <c r="H2" s="3">
        <f>WATER!L5</f>
        <v>5</v>
      </c>
      <c r="I2" s="15">
        <f>WATER!BC5+WATER!BD5+WATER!BE6-Sheet1!G2</f>
        <v>103.5</v>
      </c>
      <c r="J2" s="9">
        <f>'B5'!A4</f>
        <v>43921</v>
      </c>
    </row>
    <row r="3" spans="1:10">
      <c r="A3" s="3">
        <f>ELEC!T4+ELEC!X2+ELEC!AB4</f>
        <v>1</v>
      </c>
      <c r="B3" s="3">
        <f>ELEC!AF4</f>
        <v>308</v>
      </c>
      <c r="C3" s="3">
        <f>ELEC!N4</f>
        <v>7437.5999999996275</v>
      </c>
      <c r="D3" s="3">
        <f t="shared" ref="D3:D30" si="0">C3-E3</f>
        <v>5856.5999999994965</v>
      </c>
      <c r="E3" s="3">
        <f>ELEC!Q4</f>
        <v>1581.000000000131</v>
      </c>
      <c r="F3" s="3">
        <f>GEN!Z3</f>
        <v>3</v>
      </c>
      <c r="G3" s="3">
        <f>WATER!C6+WATER!H6</f>
        <v>107</v>
      </c>
      <c r="H3" s="3">
        <f>WATER!L6</f>
        <v>0</v>
      </c>
      <c r="I3" s="15">
        <f>WATER!BC6+WATER!BD6+WATER!BE7-Sheet1!G3</f>
        <v>-89.6</v>
      </c>
      <c r="J3" s="9">
        <f>'B5'!A5</f>
        <v>43922</v>
      </c>
    </row>
    <row r="4" spans="1:10">
      <c r="A4" s="3">
        <f>ELEC!T5+ELEC!X5+ELEC!AB5</f>
        <v>2</v>
      </c>
      <c r="B4" s="3">
        <f>ELEC!AF5</f>
        <v>519</v>
      </c>
      <c r="C4" s="3">
        <f>ELEC!N5</f>
        <v>8665.2000000001863</v>
      </c>
      <c r="D4" s="3">
        <f t="shared" si="0"/>
        <v>7403.1999999995605</v>
      </c>
      <c r="E4" s="3">
        <f>ELEC!Q5</f>
        <v>1262.0000000006257</v>
      </c>
      <c r="F4" s="3">
        <f>GEN!Z4</f>
        <v>3</v>
      </c>
      <c r="G4" s="3">
        <f>WATER!C7+WATER!H7</f>
        <v>0</v>
      </c>
      <c r="H4" s="3">
        <f>WATER!L7</f>
        <v>0</v>
      </c>
      <c r="I4" s="15">
        <f>WATER!BC7+WATER!BD7+WATER!BE8-Sheet1!G4</f>
        <v>189.09999999999997</v>
      </c>
      <c r="J4" s="9">
        <f>'B5'!A6</f>
        <v>43923</v>
      </c>
    </row>
    <row r="5" spans="1:10">
      <c r="A5" s="3">
        <f>ELEC!T6+ELEC!X6+ELEC!AB6</f>
        <v>1</v>
      </c>
      <c r="B5" s="3">
        <f>ELEC!AF6</f>
        <v>243</v>
      </c>
      <c r="C5" s="3">
        <f>ELEC!N6</f>
        <v>7670.3999999999069</v>
      </c>
      <c r="D5" s="3">
        <f t="shared" si="0"/>
        <v>6028.4000000000815</v>
      </c>
      <c r="E5" s="3">
        <f>ELEC!Q6</f>
        <v>1641.9999999998254</v>
      </c>
      <c r="F5" s="3">
        <f>GEN!Z5</f>
        <v>3</v>
      </c>
      <c r="G5" s="3">
        <f>WATER!C8+WATER!H8</f>
        <v>300</v>
      </c>
      <c r="H5" s="3">
        <f>WATER!L8</f>
        <v>0</v>
      </c>
      <c r="I5" s="15">
        <f>WATER!BC8+WATER!BD8+WATER!BE9-Sheet1!G5</f>
        <v>-284.10000000000002</v>
      </c>
      <c r="J5" s="9">
        <f>'B5'!A7</f>
        <v>43924</v>
      </c>
    </row>
    <row r="6" spans="1:10">
      <c r="A6" s="3">
        <f>ELEC!T7+ELEC!X7+ELEC!AB7</f>
        <v>9</v>
      </c>
      <c r="B6" s="3">
        <f>ELEC!AF7</f>
        <v>1921</v>
      </c>
      <c r="C6" s="3">
        <f>ELEC!N7</f>
        <v>8538.8000000002794</v>
      </c>
      <c r="D6" s="3">
        <f t="shared" si="0"/>
        <v>6520.8000000002503</v>
      </c>
      <c r="E6" s="3">
        <f>ELEC!Q24</f>
        <v>2018.0000000000291</v>
      </c>
      <c r="F6" s="3">
        <f>GEN!Z6</f>
        <v>3.5</v>
      </c>
      <c r="G6" s="3">
        <f>WATER!C9+WATER!H9</f>
        <v>0</v>
      </c>
      <c r="H6" s="3">
        <f>WATER!L9</f>
        <v>709</v>
      </c>
      <c r="I6" s="15">
        <f>WATER!BC9+WATER!BD9+WATER!BE10-Sheet1!G6</f>
        <v>-42.799999999999955</v>
      </c>
      <c r="J6" s="9">
        <f>'B5'!A8</f>
        <v>43925</v>
      </c>
    </row>
    <row r="7" spans="1:10">
      <c r="A7" s="3">
        <f>ELEC!T8+ELEC!X8+ELEC!AB8</f>
        <v>0</v>
      </c>
      <c r="B7" s="3">
        <f>ELEC!AF8</f>
        <v>0</v>
      </c>
      <c r="C7" s="3">
        <f>ELEC!N8</f>
        <v>10057.799999999814</v>
      </c>
      <c r="D7" s="3">
        <f t="shared" si="0"/>
        <v>8267.8000000007596</v>
      </c>
      <c r="E7" s="3">
        <f>ELEC!Q8</f>
        <v>1789.9999999990541</v>
      </c>
      <c r="F7" s="3">
        <f>GEN!Z7</f>
        <v>2.5</v>
      </c>
      <c r="G7" s="3">
        <f>WATER!C10+WATER!H10</f>
        <v>166</v>
      </c>
      <c r="H7" s="3">
        <f>WATER!L10</f>
        <v>2</v>
      </c>
      <c r="I7" s="15">
        <f>WATER!BC10+WATER!BD10+WATER!BE11-Sheet1!G7</f>
        <v>-151.89999999999998</v>
      </c>
      <c r="J7" s="9">
        <f>'B5'!A9</f>
        <v>43926</v>
      </c>
    </row>
    <row r="8" spans="1:10">
      <c r="A8" s="3">
        <f>ELEC!T9+ELEC!X9+ELEC!AB9</f>
        <v>1</v>
      </c>
      <c r="B8" s="3">
        <f>ELEC!AF9</f>
        <v>310</v>
      </c>
      <c r="C8" s="3">
        <f>ELEC!N9</f>
        <v>7909.3999999999069</v>
      </c>
      <c r="D8" s="3">
        <f t="shared" si="0"/>
        <v>6510.3999999986554</v>
      </c>
      <c r="E8" s="3">
        <f>ELEC!Q9</f>
        <v>1399.0000000012515</v>
      </c>
      <c r="F8" s="3">
        <f>GEN!Z8</f>
        <v>3</v>
      </c>
      <c r="G8" s="3">
        <f>WATER!C11+WATER!H11</f>
        <v>19</v>
      </c>
      <c r="H8" s="3">
        <f>WATER!L11</f>
        <v>21</v>
      </c>
      <c r="I8" s="15">
        <f>WATER!BC11+WATER!BD11+WATER!BE12-Sheet1!G8</f>
        <v>-20.40000000000002</v>
      </c>
      <c r="J8" s="9">
        <f>'B5'!A10</f>
        <v>43927</v>
      </c>
    </row>
    <row r="9" spans="1:10">
      <c r="A9" s="3">
        <f>ELEC!T10+ELEC!X10+ELEC!AB10</f>
        <v>4</v>
      </c>
      <c r="B9" s="3">
        <f>ELEC!AF10</f>
        <v>1023</v>
      </c>
      <c r="C9" s="3">
        <f>ELEC!N10</f>
        <v>10815.600000000093</v>
      </c>
      <c r="D9" s="3">
        <f t="shared" si="0"/>
        <v>9204.6000000011263</v>
      </c>
      <c r="E9" s="3">
        <f>ELEC!Q10</f>
        <v>1610.9999999989668</v>
      </c>
      <c r="F9" s="3">
        <f>GEN!Z9</f>
        <v>3.4799999999995634</v>
      </c>
      <c r="G9" s="3">
        <f>WATER!C12+WATER!H12</f>
        <v>0</v>
      </c>
      <c r="H9" s="3">
        <f>WATER!L12</f>
        <v>1</v>
      </c>
      <c r="I9" s="15">
        <f>WATER!BC12+WATER!BD12+WATER!BE13-Sheet1!G9</f>
        <v>-51.100000000000023</v>
      </c>
      <c r="J9" s="9">
        <f>'B5'!A11</f>
        <v>43928</v>
      </c>
    </row>
    <row r="10" spans="1:10">
      <c r="A10" s="3">
        <f>ELEC!T11+ELEC!X11+ELEC!AB11</f>
        <v>2</v>
      </c>
      <c r="B10" s="3">
        <f>ELEC!AF11</f>
        <v>751</v>
      </c>
      <c r="C10" s="3">
        <f>ELEC!N11</f>
        <v>9103</v>
      </c>
      <c r="D10" s="3">
        <f t="shared" si="0"/>
        <v>7235.9999999998108</v>
      </c>
      <c r="E10" s="3">
        <f>ELEC!Q11</f>
        <v>1867.0000000001892</v>
      </c>
      <c r="F10" s="3">
        <f>GEN!Z10</f>
        <v>3.5200000000004366</v>
      </c>
      <c r="G10" s="3">
        <f>WATER!C13+WATER!H13</f>
        <v>29</v>
      </c>
      <c r="H10" s="3">
        <f>WATER!L13</f>
        <v>6</v>
      </c>
      <c r="I10" s="15">
        <f>WATER!BC13+WATER!BD13+WATER!BE14-Sheet1!G10</f>
        <v>156.00000000000003</v>
      </c>
      <c r="J10" s="9">
        <f>'B5'!A12</f>
        <v>43929</v>
      </c>
    </row>
    <row r="11" spans="1:10">
      <c r="A11" s="3">
        <f>ELEC!T12+ELEC!X12+ELEC!AB12</f>
        <v>2</v>
      </c>
      <c r="B11" s="3">
        <f>ELEC!AF12</f>
        <v>426</v>
      </c>
      <c r="C11" s="3">
        <f>ELEC!N12</f>
        <v>8022.6000000000931</v>
      </c>
      <c r="D11" s="3">
        <f t="shared" si="0"/>
        <v>7022.6000000000931</v>
      </c>
      <c r="E11" s="3">
        <f>ELEC!Q12</f>
        <v>1000</v>
      </c>
      <c r="F11" s="3">
        <f>GEN!Z11</f>
        <v>3</v>
      </c>
      <c r="G11" s="3">
        <f>WATER!C14+WATER!H14</f>
        <v>287</v>
      </c>
      <c r="H11" s="3">
        <f>WATER!L14</f>
        <v>4</v>
      </c>
      <c r="I11" s="15">
        <f>WATER!BC14+WATER!BD14+WATER!BE15-Sheet1!G11</f>
        <v>-243.89999999999995</v>
      </c>
      <c r="J11" s="9">
        <f>'B5'!A13</f>
        <v>43930</v>
      </c>
    </row>
    <row r="12" spans="1:10">
      <c r="A12" s="3">
        <f>ELEC!T13+ELEC!X13+ELEC!AB13</f>
        <v>1</v>
      </c>
      <c r="B12" s="3">
        <f>ELEC!AF13</f>
        <v>308</v>
      </c>
      <c r="C12" s="3">
        <f>ELEC!N13</f>
        <v>8603.3999999999069</v>
      </c>
      <c r="D12" s="3">
        <f t="shared" si="0"/>
        <v>6603.3999999999069</v>
      </c>
      <c r="E12" s="3">
        <f>ELEC!Q13</f>
        <v>2000</v>
      </c>
      <c r="F12" s="3">
        <f>GEN!Z12</f>
        <v>3</v>
      </c>
      <c r="G12" s="3">
        <f>WATER!C15+WATER!H15</f>
        <v>0</v>
      </c>
      <c r="H12" s="3">
        <f>WATER!L15</f>
        <v>3</v>
      </c>
      <c r="I12" s="15">
        <f>WATER!BC15+WATER!BD15+WATER!BE16-Sheet1!G12</f>
        <v>-36.100000000000023</v>
      </c>
      <c r="J12" s="9">
        <f>'B5'!A14</f>
        <v>43931</v>
      </c>
    </row>
    <row r="13" spans="1:10">
      <c r="A13" s="3">
        <f>ELEC!T14+ELEC!X14+ELEC!AB14</f>
        <v>2</v>
      </c>
      <c r="B13" s="3">
        <f>ELEC!AF14</f>
        <v>472</v>
      </c>
      <c r="C13" s="3">
        <f>ELEC!N14</f>
        <v>8743</v>
      </c>
      <c r="D13" s="3">
        <f t="shared" si="0"/>
        <v>7743</v>
      </c>
      <c r="E13" s="3">
        <f>ELEC!Q14</f>
        <v>1000</v>
      </c>
      <c r="F13" s="3">
        <f>GEN!Z13</f>
        <v>5</v>
      </c>
      <c r="G13" s="3">
        <f>WATER!C16+WATER!H16</f>
        <v>0</v>
      </c>
      <c r="H13" s="3">
        <f>WATER!L16</f>
        <v>1</v>
      </c>
      <c r="I13" s="15">
        <f>WATER!BC16+WATER!BD16+WATER!BE17-Sheet1!G13</f>
        <v>-67.400000000000063</v>
      </c>
      <c r="J13" s="9">
        <f>'B5'!A15</f>
        <v>43932</v>
      </c>
    </row>
    <row r="14" spans="1:10">
      <c r="A14" s="3">
        <f>ELEC!T15+ELEC!X15+ELEC!AB15</f>
        <v>0</v>
      </c>
      <c r="B14" s="3">
        <f>ELEC!AF15</f>
        <v>196</v>
      </c>
      <c r="C14" s="3">
        <f>ELEC!N15</f>
        <v>8764</v>
      </c>
      <c r="D14" s="3">
        <f t="shared" si="0"/>
        <v>7764</v>
      </c>
      <c r="E14" s="3">
        <f>ELEC!Q15</f>
        <v>1000</v>
      </c>
      <c r="F14" s="3">
        <f>GEN!Z14</f>
        <v>1</v>
      </c>
      <c r="G14" s="3">
        <f>WATER!C17+WATER!H17</f>
        <v>0</v>
      </c>
      <c r="H14" s="3">
        <f>WATER!L17</f>
        <v>1</v>
      </c>
      <c r="I14" s="15">
        <f>WATER!BC17+WATER!BD17+WATER!BE18-Sheet1!G14</f>
        <v>-71.2</v>
      </c>
      <c r="J14" s="9">
        <f>'B5'!A16</f>
        <v>43933</v>
      </c>
    </row>
    <row r="15" spans="1:10">
      <c r="A15" s="3">
        <f>ELEC!T16+ELEC!X16+ELEC!AB16</f>
        <v>1</v>
      </c>
      <c r="B15" s="3">
        <f>ELEC!AF16</f>
        <v>237</v>
      </c>
      <c r="C15" s="3">
        <f>ELEC!N16</f>
        <v>8688.3999999999069</v>
      </c>
      <c r="D15" s="3">
        <f t="shared" si="0"/>
        <v>6574.4000000003289</v>
      </c>
      <c r="E15" s="3">
        <f>ELEC!Q16</f>
        <v>2113.999999999578</v>
      </c>
      <c r="F15" s="3">
        <f>GEN!Z15</f>
        <v>3</v>
      </c>
      <c r="G15" s="3">
        <f>WATER!C18+WATER!H18</f>
        <v>45</v>
      </c>
      <c r="H15" s="3">
        <f>WATER!L18</f>
        <v>4</v>
      </c>
      <c r="I15" s="15">
        <f>WATER!BC18+WATER!BD18+WATER!BE19-Sheet1!G15</f>
        <v>-92.4</v>
      </c>
      <c r="J15" s="9">
        <f>'B5'!A17</f>
        <v>43934</v>
      </c>
    </row>
    <row r="16" spans="1:10">
      <c r="A16" s="3">
        <f>ELEC!T17+ELEC!X17+ELEC!AB17</f>
        <v>3</v>
      </c>
      <c r="B16" s="3">
        <f>ELEC!AF17</f>
        <v>616</v>
      </c>
      <c r="C16" s="3">
        <f>ELEC!N17</f>
        <v>9282</v>
      </c>
      <c r="D16" s="3">
        <f t="shared" si="0"/>
        <v>7532</v>
      </c>
      <c r="E16" s="3">
        <f>ELEC!Q17</f>
        <v>1750</v>
      </c>
      <c r="F16" s="3">
        <f>GEN!Z16</f>
        <v>4.8999999999996362</v>
      </c>
      <c r="G16" s="3">
        <f>WATER!C19+WATER!H19</f>
        <v>0</v>
      </c>
      <c r="H16" s="3">
        <f>WATER!L19</f>
        <v>2</v>
      </c>
      <c r="I16" s="15">
        <f>WATER!BC19+WATER!BD19+WATER!BE20-Sheet1!G16</f>
        <v>-45.499999999999986</v>
      </c>
      <c r="J16" s="9">
        <f>'B5'!A18</f>
        <v>43935</v>
      </c>
    </row>
    <row r="17" spans="1:10">
      <c r="A17" s="3">
        <f>ELEC!T18+ELEC!X18+ELEC!AB18</f>
        <v>3</v>
      </c>
      <c r="B17" s="3">
        <f>ELEC!AF18</f>
        <v>776</v>
      </c>
      <c r="C17" s="3">
        <f>ELEC!N18</f>
        <v>10771.600000000093</v>
      </c>
      <c r="D17" s="3">
        <f t="shared" si="0"/>
        <v>10135.599999999671</v>
      </c>
      <c r="E17" s="3">
        <f>ELEC!Q18</f>
        <v>636.00000000042201</v>
      </c>
      <c r="F17" s="3">
        <f>GEN!Z17</f>
        <v>2.6000000000003638</v>
      </c>
      <c r="G17" s="3">
        <f>WATER!C20+WATER!H20</f>
        <v>19</v>
      </c>
      <c r="H17" s="3">
        <f>WATER!L20</f>
        <v>5</v>
      </c>
      <c r="I17" s="15">
        <f>WATER!BC20+WATER!BD20+WATER!BE21-Sheet1!G17</f>
        <v>-79.199999999999989</v>
      </c>
      <c r="J17" s="9">
        <f>'B5'!A19</f>
        <v>43936</v>
      </c>
    </row>
    <row r="18" spans="1:10">
      <c r="A18" s="3">
        <f>ELEC!T19+ELEC!X19+ELEC!AB19</f>
        <v>2</v>
      </c>
      <c r="B18" s="3">
        <f>ELEC!AF19</f>
        <v>548</v>
      </c>
      <c r="C18" s="3">
        <f>ELEC!N19</f>
        <v>8246</v>
      </c>
      <c r="D18" s="3">
        <f t="shared" si="0"/>
        <v>6456.9999999993306</v>
      </c>
      <c r="E18" s="3">
        <f>ELEC!Q19</f>
        <v>1789.0000000006694</v>
      </c>
      <c r="F18" s="3">
        <f>GEN!Z18</f>
        <v>1</v>
      </c>
      <c r="G18" s="3">
        <f>WATER!C21+WATER!H21</f>
        <v>50</v>
      </c>
      <c r="H18" s="3">
        <f>WATER!L21</f>
        <v>0</v>
      </c>
      <c r="I18" s="15">
        <f>WATER!BC21+WATER!BD21+WATER!BE22-Sheet1!G18</f>
        <v>2.1999999999999744</v>
      </c>
      <c r="J18" s="9">
        <f>'B5'!A20</f>
        <v>43937</v>
      </c>
    </row>
    <row r="19" spans="1:10">
      <c r="A19" s="3">
        <f>ELEC!T20+ELEC!X20+ELEC!AB20</f>
        <v>3</v>
      </c>
      <c r="B19" s="3">
        <f>ELEC!AF20</f>
        <v>488</v>
      </c>
      <c r="C19" s="3">
        <f>ELEC!N20</f>
        <v>9623</v>
      </c>
      <c r="D19" s="3">
        <f t="shared" si="0"/>
        <v>7936.0000000001019</v>
      </c>
      <c r="E19" s="3">
        <f>ELEC!Q20</f>
        <v>1686.9999999998981</v>
      </c>
      <c r="F19" s="3">
        <f>GEN!Z19</f>
        <v>3</v>
      </c>
      <c r="G19" s="3">
        <f>WATER!C22+WATER!H22</f>
        <v>254</v>
      </c>
      <c r="H19" s="3">
        <f>WATER!L22</f>
        <v>0</v>
      </c>
      <c r="I19" s="15">
        <f>WATER!BC22+WATER!BD22+WATER!BE23-Sheet1!G19</f>
        <v>-223.79999999999995</v>
      </c>
      <c r="J19" s="9">
        <f>'B5'!A21</f>
        <v>43938</v>
      </c>
    </row>
    <row r="20" spans="1:10">
      <c r="A20" s="3">
        <f>ELEC!T21+ELEC!X21+ELEC!AB21</f>
        <v>2</v>
      </c>
      <c r="B20" s="3">
        <f>ELEC!AF21</f>
        <v>735</v>
      </c>
      <c r="C20" s="3">
        <f>ELEC!N21</f>
        <v>9050</v>
      </c>
      <c r="D20" s="3">
        <f t="shared" si="0"/>
        <v>8691.9999999998254</v>
      </c>
      <c r="E20" s="3">
        <f>ELEC!Q21</f>
        <v>358.00000000017462</v>
      </c>
      <c r="F20" s="3">
        <f>GEN!Z20</f>
        <v>3</v>
      </c>
      <c r="G20" s="3">
        <f>WATER!C23+WATER!H23</f>
        <v>0</v>
      </c>
      <c r="H20" s="3">
        <f>WATER!L23</f>
        <v>0</v>
      </c>
      <c r="I20" s="15">
        <f>WATER!BC23+WATER!BD23+WATER!BE24-Sheet1!G20</f>
        <v>-36.09999999999998</v>
      </c>
      <c r="J20" s="9">
        <f>'B5'!A22</f>
        <v>43939</v>
      </c>
    </row>
    <row r="21" spans="1:10">
      <c r="A21" s="3">
        <f>ELEC!T22+ELEC!X22+ELEC!AB22</f>
        <v>4</v>
      </c>
      <c r="B21" s="3">
        <f>ELEC!AF22</f>
        <v>891</v>
      </c>
      <c r="C21" s="3">
        <f>ELEC!N22</f>
        <v>9698</v>
      </c>
      <c r="D21" s="3">
        <f t="shared" si="0"/>
        <v>9698</v>
      </c>
      <c r="E21" s="3">
        <f>ELEC!Q22</f>
        <v>0</v>
      </c>
      <c r="F21" s="3">
        <f>GEN!Z21</f>
        <v>2</v>
      </c>
      <c r="G21" s="3">
        <f>WATER!C24+WATER!H24</f>
        <v>0</v>
      </c>
      <c r="H21" s="3">
        <f>WATER!L24</f>
        <v>11</v>
      </c>
      <c r="I21" s="15">
        <f>WATER!BC24+WATER!BD24+WATER!BE25-Sheet1!G21</f>
        <v>-63.100000000000037</v>
      </c>
      <c r="J21" s="9">
        <f>'B5'!A23</f>
        <v>43940</v>
      </c>
    </row>
    <row r="22" spans="1:10">
      <c r="A22" s="3">
        <f>ELEC!T23+ELEC!X23+ELEC!AB23</f>
        <v>3</v>
      </c>
      <c r="B22" s="3">
        <f>ELEC!AF23</f>
        <v>589</v>
      </c>
      <c r="C22" s="3">
        <f>ELEC!N23</f>
        <v>8454</v>
      </c>
      <c r="D22" s="3">
        <f t="shared" si="0"/>
        <v>6801.9999999999563</v>
      </c>
      <c r="E22" s="3">
        <f>ELEC!Q23</f>
        <v>1652.0000000000437</v>
      </c>
      <c r="F22" s="3">
        <f>GEN!Z22</f>
        <v>0</v>
      </c>
      <c r="G22" s="3">
        <f>WATER!C25+WATER!H25</f>
        <v>0</v>
      </c>
      <c r="H22" s="3">
        <f>WATER!L25</f>
        <v>4</v>
      </c>
      <c r="I22" s="15">
        <f>WATER!BC25+WATER!BD25+WATER!BE26-Sheet1!G22</f>
        <v>-34.600000000000009</v>
      </c>
      <c r="J22" s="9">
        <f>'B5'!A24</f>
        <v>43941</v>
      </c>
    </row>
    <row r="23" spans="1:10">
      <c r="A23" s="3">
        <f>ELEC!T24+ELEC!X24+ELEC!AB24</f>
        <v>2</v>
      </c>
      <c r="B23" s="3">
        <f>ELEC!AF24</f>
        <v>576</v>
      </c>
      <c r="C23" s="3">
        <f>ELEC!N24</f>
        <v>9840</v>
      </c>
      <c r="D23" s="3">
        <f t="shared" si="0"/>
        <v>7821.9999999999709</v>
      </c>
      <c r="E23" s="3">
        <f>ELEC!Q24</f>
        <v>2018.0000000000291</v>
      </c>
      <c r="F23" s="3">
        <f>GEN!Z23</f>
        <v>3.25</v>
      </c>
      <c r="G23" s="3">
        <f>WATER!C26+WATER!H26</f>
        <v>0</v>
      </c>
      <c r="H23" s="3">
        <f>WATER!L26</f>
        <v>2</v>
      </c>
      <c r="I23" s="15">
        <f>WATER!BC26+WATER!BD26+WATER!BE27-Sheet1!G23</f>
        <v>-28.099999999999937</v>
      </c>
      <c r="J23" s="9">
        <f>'B5'!A25</f>
        <v>43942</v>
      </c>
    </row>
    <row r="24" spans="1:10">
      <c r="A24" s="3">
        <f>ELEC!T25+ELEC!X25+ELEC!AB25</f>
        <v>3</v>
      </c>
      <c r="B24" s="3">
        <f>ELEC!AF25</f>
        <v>456</v>
      </c>
      <c r="C24" s="3">
        <f>ELEC!N25</f>
        <v>8387</v>
      </c>
      <c r="D24" s="3">
        <f t="shared" si="0"/>
        <v>7391.0000000008149</v>
      </c>
      <c r="E24" s="3">
        <f>ELEC!Q25</f>
        <v>995.99999999918509</v>
      </c>
      <c r="F24" s="3">
        <f>GEN!Z24</f>
        <v>2.75</v>
      </c>
      <c r="G24" s="3">
        <f>WATER!C27+WATER!H27</f>
        <v>0</v>
      </c>
      <c r="H24" s="3">
        <f>WATER!L27</f>
        <v>11</v>
      </c>
      <c r="I24" s="15">
        <f>WATER!BC27+WATER!BD27+WATER!BE28-Sheet1!G24</f>
        <v>56.000000000000014</v>
      </c>
      <c r="J24" s="9">
        <f>'B5'!A26</f>
        <v>43943</v>
      </c>
    </row>
    <row r="25" spans="1:10">
      <c r="A25" s="3">
        <f>ELEC!T26+ELEC!X26+ELEC!AB26</f>
        <v>4</v>
      </c>
      <c r="B25" s="3">
        <f>ELEC!AF26</f>
        <v>1004</v>
      </c>
      <c r="C25" s="3">
        <f>ELEC!N26</f>
        <v>10222.399999999907</v>
      </c>
      <c r="D25" s="3">
        <f t="shared" si="0"/>
        <v>8242.4000000003434</v>
      </c>
      <c r="E25" s="3">
        <f>ELEC!Q26</f>
        <v>1979.9999999995634</v>
      </c>
      <c r="F25" s="3">
        <f>GEN!Z25</f>
        <v>3</v>
      </c>
      <c r="G25" s="3">
        <f>WATER!C28+WATER!H28</f>
        <v>63</v>
      </c>
      <c r="H25" s="3">
        <f>WATER!L28</f>
        <v>5</v>
      </c>
      <c r="I25" s="15">
        <f>WATER!BC28+WATER!BD28+WATER!BE29-Sheet1!G25</f>
        <v>-23.100000000000051</v>
      </c>
      <c r="J25" s="9">
        <f>'B5'!A27</f>
        <v>43944</v>
      </c>
    </row>
    <row r="26" spans="1:10">
      <c r="A26" s="3">
        <f>ELEC!T27+ELEC!X27+ELEC!AB27</f>
        <v>3</v>
      </c>
      <c r="B26" s="3">
        <f>ELEC!AF27</f>
        <v>629</v>
      </c>
      <c r="C26" s="3">
        <f>ELEC!N27</f>
        <v>9169.6000000000931</v>
      </c>
      <c r="D26" s="3">
        <f t="shared" si="0"/>
        <v>7649.5999999996566</v>
      </c>
      <c r="E26" s="3">
        <f>ELEC!Q27</f>
        <v>1520.0000000004366</v>
      </c>
      <c r="F26" s="3">
        <f>GEN!Z26</f>
        <v>2.2600000000002183</v>
      </c>
      <c r="G26" s="3">
        <f>WATER!C29+WATER!H29</f>
        <v>0</v>
      </c>
      <c r="H26" s="3">
        <f>WATER!L29</f>
        <v>2</v>
      </c>
      <c r="I26" s="15">
        <f>WATER!BC29+WATER!BD29+WATER!BE30-Sheet1!G26</f>
        <v>-76.300000000000011</v>
      </c>
      <c r="J26" s="9">
        <f>'B5'!A28</f>
        <v>43945</v>
      </c>
    </row>
    <row r="27" spans="1:10">
      <c r="A27" s="3">
        <f>ELEC!T28+ELEC!X28+ELEC!AB28</f>
        <v>2</v>
      </c>
      <c r="B27" s="3">
        <f>ELEC!AF28</f>
        <v>451</v>
      </c>
      <c r="C27" s="3">
        <f>ELEC!N28</f>
        <v>8400</v>
      </c>
      <c r="D27" s="3">
        <f t="shared" si="0"/>
        <v>6900</v>
      </c>
      <c r="E27" s="3">
        <f>ELEC!Q28</f>
        <v>1500</v>
      </c>
      <c r="F27" s="3">
        <f>GEN!Z27</f>
        <v>3.0499999999992724</v>
      </c>
      <c r="G27" s="3">
        <f>WATER!C30+WATER!H30</f>
        <v>0</v>
      </c>
      <c r="H27" s="3">
        <f>WATER!L30</f>
        <v>0</v>
      </c>
      <c r="I27" s="15">
        <f>WATER!BC30+WATER!BD30+WATER!BE31-Sheet1!G27</f>
        <v>-9.3499999999999943</v>
      </c>
      <c r="J27" s="9">
        <f>'B5'!A29</f>
        <v>43946</v>
      </c>
    </row>
    <row r="28" spans="1:10">
      <c r="A28" s="3">
        <f>ELEC!T29+ELEC!X29+ELEC!AB29</f>
        <v>3</v>
      </c>
      <c r="B28" s="3">
        <f>ELEC!AF29</f>
        <v>494</v>
      </c>
      <c r="C28" s="3">
        <f>ELEC!N29</f>
        <v>9650</v>
      </c>
      <c r="D28" s="3">
        <f t="shared" si="0"/>
        <v>7136.9999999991705</v>
      </c>
      <c r="E28" s="3">
        <f>ELEC!Q29</f>
        <v>2513.0000000008295</v>
      </c>
      <c r="F28" s="3">
        <f>GEN!Z28</f>
        <v>2.6900000000005093</v>
      </c>
      <c r="G28" s="3">
        <f>WATER!C31+WATER!H31</f>
        <v>0</v>
      </c>
      <c r="H28" s="3">
        <f>WATER!L31</f>
        <v>2</v>
      </c>
      <c r="I28" s="15">
        <f>WATER!BC31+WATER!BD31+WATER!BE32-Sheet1!G28</f>
        <v>-28.600000000000009</v>
      </c>
      <c r="J28" s="9">
        <f>'B5'!A30</f>
        <v>43947</v>
      </c>
    </row>
    <row r="29" spans="1:10">
      <c r="A29" s="3">
        <f>ELEC!T30+ELEC!X30+ELEC!AB30</f>
        <v>1</v>
      </c>
      <c r="B29" s="3">
        <f>ELEC!AF30</f>
        <v>146</v>
      </c>
      <c r="C29" s="3">
        <f>ELEC!N30</f>
        <v>8764</v>
      </c>
      <c r="D29" s="3">
        <f t="shared" si="0"/>
        <v>7745.0000000015862</v>
      </c>
      <c r="E29" s="3">
        <f>ELEC!Q30</f>
        <v>1018.9999999984138</v>
      </c>
      <c r="F29" s="3">
        <f>GEN!Z29</f>
        <v>3.5</v>
      </c>
      <c r="G29" s="3">
        <f>WATER!C32+WATER!H32</f>
        <v>1</v>
      </c>
      <c r="H29" s="3">
        <f>WATER!L32</f>
        <v>0</v>
      </c>
      <c r="I29" s="15">
        <f>WATER!BC32+WATER!BD32+WATER!BE33-Sheet1!G29</f>
        <v>-78.549999999999969</v>
      </c>
      <c r="J29" s="9">
        <f>'B5'!A31</f>
        <v>43948</v>
      </c>
    </row>
    <row r="30" spans="1:10">
      <c r="A30" s="3" t="e">
        <f>ELEC!T31+ELEC!X31+ELEC!#REF!</f>
        <v>#REF!</v>
      </c>
      <c r="B30" s="3">
        <f>ELEC!AF31</f>
        <v>681</v>
      </c>
      <c r="C30" s="3">
        <f>ELEC!N31</f>
        <v>9068.3999999999069</v>
      </c>
      <c r="D30" s="3">
        <f t="shared" si="0"/>
        <v>7770.3999999992229</v>
      </c>
      <c r="E30" s="3">
        <f>ELEC!Q31</f>
        <v>1298.0000000006839</v>
      </c>
      <c r="F30" s="3">
        <f>GEN!Z30</f>
        <v>2.4200000000000728</v>
      </c>
      <c r="G30" s="3">
        <f>WATER!C33+WATER!H33</f>
        <v>0</v>
      </c>
      <c r="H30" s="3">
        <f>WATER!L33</f>
        <v>2</v>
      </c>
      <c r="I30" s="15">
        <f>WATER!BC33+WATER!BD33+WATER!BE34-Sheet1!G30</f>
        <v>90.6</v>
      </c>
      <c r="J30" s="9">
        <f>'B5'!A32</f>
        <v>43949</v>
      </c>
    </row>
    <row r="31" spans="1:10">
      <c r="A31" s="3">
        <f>ELEC!T32+ELEC!X32+ELEC!AB31</f>
        <v>2</v>
      </c>
      <c r="B31" s="3">
        <f>ELEC!AF32</f>
        <v>361</v>
      </c>
      <c r="C31" s="3">
        <f>ELEC!N32</f>
        <v>10173.200000000186</v>
      </c>
      <c r="D31" s="3">
        <f>C31-E31</f>
        <v>8403.1999999997497</v>
      </c>
      <c r="E31" s="3">
        <f>ELEC!Q32</f>
        <v>1770.0000000004366</v>
      </c>
      <c r="F31" s="3">
        <f>GEN!Z31</f>
        <v>3.2199999999993452</v>
      </c>
      <c r="G31" s="3">
        <f>WATER!C34+WATER!H34</f>
        <v>0</v>
      </c>
      <c r="H31" s="3">
        <f>WATER!L34</f>
        <v>11</v>
      </c>
      <c r="I31" s="15">
        <f>WATER!BC34+WATER!BD34+WATER!BE35-Sheet1!G31</f>
        <v>-36.500000000000014</v>
      </c>
      <c r="J31" s="9">
        <f>'B5'!A33</f>
        <v>43950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14"/>
      <c r="B1" s="611" t="s">
        <v>119</v>
      </c>
      <c r="C1" s="611" t="s">
        <v>118</v>
      </c>
      <c r="D1" s="616" t="s">
        <v>113</v>
      </c>
      <c r="E1" s="616" t="s">
        <v>114</v>
      </c>
      <c r="F1" s="617" t="s">
        <v>120</v>
      </c>
      <c r="G1" s="618" t="s">
        <v>75</v>
      </c>
      <c r="H1" s="619" t="s">
        <v>115</v>
      </c>
      <c r="I1" s="620" t="s">
        <v>116</v>
      </c>
      <c r="J1" s="619" t="s">
        <v>117</v>
      </c>
      <c r="K1" s="613" t="s">
        <v>121</v>
      </c>
      <c r="L1" s="613" t="s">
        <v>122</v>
      </c>
      <c r="M1" s="613" t="s">
        <v>123</v>
      </c>
      <c r="N1" s="613" t="s">
        <v>124</v>
      </c>
    </row>
    <row r="2" spans="1:14">
      <c r="A2" s="615"/>
      <c r="B2" s="612"/>
      <c r="C2" s="612"/>
      <c r="D2" s="616"/>
      <c r="E2" s="616"/>
      <c r="F2" s="617"/>
      <c r="G2" s="618"/>
      <c r="H2" s="619"/>
      <c r="I2" s="621"/>
      <c r="J2" s="619"/>
      <c r="K2" s="613"/>
      <c r="L2" s="613"/>
      <c r="M2" s="613"/>
      <c r="N2" s="613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43922</v>
      </c>
      <c r="B5" s="77">
        <f>'B5'!V5</f>
        <v>267</v>
      </c>
      <c r="C5" s="77">
        <f>'B5'!AH5</f>
        <v>0</v>
      </c>
      <c r="D5" s="77">
        <f>GEN!AI3</f>
        <v>625.70042194058749</v>
      </c>
      <c r="E5" s="248">
        <f t="shared" ref="E5:E33" si="0">B5+C5+D5</f>
        <v>892.70042194058749</v>
      </c>
      <c r="F5" s="76">
        <f>WATER!L5</f>
        <v>5</v>
      </c>
      <c r="G5" s="79">
        <f>WATER!BG5</f>
        <v>-36.100000000000009</v>
      </c>
      <c r="H5" s="80">
        <f>ELEC!AF3</f>
        <v>246</v>
      </c>
      <c r="I5" s="80">
        <f>ELEC!Q3</f>
        <v>2430.9999999986758</v>
      </c>
      <c r="J5" s="80">
        <f>ELEC!R3</f>
        <v>5231.2000000015105</v>
      </c>
      <c r="K5" s="81"/>
      <c r="L5" s="3"/>
      <c r="M5" s="3"/>
      <c r="N5" s="3"/>
    </row>
    <row r="6" spans="1:14">
      <c r="A6" s="63">
        <f>'B5'!A6</f>
        <v>43923</v>
      </c>
      <c r="B6" s="77">
        <f>'B5'!V6</f>
        <v>307</v>
      </c>
      <c r="C6" s="77">
        <f>'B5'!AH6</f>
        <v>0</v>
      </c>
      <c r="D6" s="77">
        <f>GEN!AI4</f>
        <v>406.92405063294513</v>
      </c>
      <c r="E6" s="248">
        <f t="shared" si="0"/>
        <v>713.92405063294518</v>
      </c>
      <c r="F6" s="76">
        <f>WATER!L6</f>
        <v>0</v>
      </c>
      <c r="G6" s="79">
        <f>WATER!BG6</f>
        <v>127.9</v>
      </c>
      <c r="H6" s="80">
        <f>ELEC!AF4</f>
        <v>308</v>
      </c>
      <c r="I6" s="80">
        <f>ELEC!Q4</f>
        <v>1581.000000000131</v>
      </c>
      <c r="J6" s="80">
        <f>ELEC!R4</f>
        <v>5856.5999999994965</v>
      </c>
      <c r="K6" s="3"/>
      <c r="L6" s="3"/>
      <c r="M6" s="3"/>
      <c r="N6" s="3"/>
    </row>
    <row r="7" spans="1:14">
      <c r="A7" s="63">
        <f>'B5'!A7</f>
        <v>43924</v>
      </c>
      <c r="B7" s="77">
        <f>'B5'!V7</f>
        <v>351</v>
      </c>
      <c r="C7" s="77">
        <f>'B5'!AH7</f>
        <v>0</v>
      </c>
      <c r="D7" s="77">
        <f>GEN!AI5</f>
        <v>324.81856540100495</v>
      </c>
      <c r="E7" s="248">
        <f t="shared" si="0"/>
        <v>675.81856540100489</v>
      </c>
      <c r="F7" s="76">
        <f>WATER!L7</f>
        <v>0</v>
      </c>
      <c r="G7" s="79">
        <f>WATER!BG7</f>
        <v>-47.5</v>
      </c>
      <c r="H7" s="80">
        <f>ELEC!AF5</f>
        <v>519</v>
      </c>
      <c r="I7" s="80">
        <f>ELEC!Q5</f>
        <v>1262.0000000006257</v>
      </c>
      <c r="J7" s="80">
        <f>ELEC!R5</f>
        <v>7403.1999999995605</v>
      </c>
      <c r="K7" s="3"/>
      <c r="L7" s="3"/>
      <c r="M7" s="3"/>
      <c r="N7" s="3"/>
    </row>
    <row r="8" spans="1:14">
      <c r="A8" s="63">
        <f>'B5'!A8</f>
        <v>43925</v>
      </c>
      <c r="B8" s="77">
        <f>'B5'!V8</f>
        <v>271</v>
      </c>
      <c r="C8" s="77">
        <f>'B5'!AH8</f>
        <v>0</v>
      </c>
      <c r="D8" s="77">
        <f>GEN!AI6</f>
        <v>422.62447257379478</v>
      </c>
      <c r="E8" s="248">
        <f t="shared" si="0"/>
        <v>693.62447257379472</v>
      </c>
      <c r="F8" s="76">
        <f>WATER!L8</f>
        <v>0</v>
      </c>
      <c r="G8" s="79">
        <f>WATER!BG8</f>
        <v>151.09999999999997</v>
      </c>
      <c r="H8" s="80">
        <f>ELEC!AF6</f>
        <v>243</v>
      </c>
      <c r="I8" s="80">
        <f>ELEC!Q6</f>
        <v>1641.9999999998254</v>
      </c>
      <c r="J8" s="80">
        <f>ELEC!R6</f>
        <v>6028.4000000000815</v>
      </c>
      <c r="K8" s="3"/>
      <c r="L8" s="3"/>
      <c r="M8" s="3"/>
      <c r="N8" s="3"/>
    </row>
    <row r="9" spans="1:14">
      <c r="A9" s="63">
        <f>'B5'!A9</f>
        <v>43926</v>
      </c>
      <c r="B9" s="77">
        <f>'B5'!V9</f>
        <v>252</v>
      </c>
      <c r="C9" s="77">
        <f>'B5'!AH9</f>
        <v>0</v>
      </c>
      <c r="D9" s="77">
        <f>GEN!AI7</f>
        <v>435.23628692001478</v>
      </c>
      <c r="E9" s="248">
        <f t="shared" si="0"/>
        <v>687.23628692001478</v>
      </c>
      <c r="F9" s="76">
        <f>WATER!L9</f>
        <v>709</v>
      </c>
      <c r="G9" s="79">
        <f>WATER!BG9</f>
        <v>-34.399999999999977</v>
      </c>
      <c r="H9" s="80">
        <f>ELEC!AF7</f>
        <v>1921</v>
      </c>
      <c r="I9" s="80">
        <f>ELEC!Q7</f>
        <v>1691.000000000713</v>
      </c>
      <c r="J9" s="80">
        <f>ELEC!R7</f>
        <v>6847.7999999995664</v>
      </c>
      <c r="K9" s="3"/>
      <c r="L9" s="3"/>
      <c r="M9" s="3"/>
      <c r="N9" s="3"/>
    </row>
    <row r="10" spans="1:14">
      <c r="A10" s="63">
        <f>'B5'!A10</f>
        <v>43927</v>
      </c>
      <c r="B10" s="77">
        <f>'B5'!V10</f>
        <v>444</v>
      </c>
      <c r="C10" s="77">
        <f>'B5'!AH10</f>
        <v>0</v>
      </c>
      <c r="D10" s="77">
        <f>GEN!AI8</f>
        <v>460.71729957781565</v>
      </c>
      <c r="E10" s="248">
        <f t="shared" si="0"/>
        <v>904.71729957781565</v>
      </c>
      <c r="F10" s="76">
        <f>WATER!L10</f>
        <v>2</v>
      </c>
      <c r="G10" s="79">
        <f>WATER!BG10</f>
        <v>-14.699999999999989</v>
      </c>
      <c r="H10" s="80">
        <f>ELEC!AF8</f>
        <v>0</v>
      </c>
      <c r="I10" s="80">
        <f>ELEC!Q8</f>
        <v>1789.9999999990541</v>
      </c>
      <c r="J10" s="80">
        <f>ELEC!R8</f>
        <v>8267.8000000007596</v>
      </c>
      <c r="K10" s="3"/>
      <c r="L10" s="3"/>
      <c r="M10" s="3"/>
      <c r="N10" s="3"/>
    </row>
    <row r="11" spans="1:14">
      <c r="A11" s="63">
        <f>'B5'!A11</f>
        <v>43928</v>
      </c>
      <c r="B11" s="77">
        <f>'B5'!V11</f>
        <v>164</v>
      </c>
      <c r="C11" s="77">
        <f>'B5'!AH11</f>
        <v>0</v>
      </c>
      <c r="D11" s="77">
        <f>GEN!AI9</f>
        <v>360.08016877669343</v>
      </c>
      <c r="E11" s="248">
        <f t="shared" si="0"/>
        <v>524.08016877669343</v>
      </c>
      <c r="F11" s="76">
        <f>WATER!L11</f>
        <v>21</v>
      </c>
      <c r="G11" s="79">
        <f>WATER!BG11</f>
        <v>19.799999999999997</v>
      </c>
      <c r="H11" s="80">
        <f>ELEC!AF9</f>
        <v>310</v>
      </c>
      <c r="I11" s="80">
        <f>ELEC!Q9</f>
        <v>1399.0000000012515</v>
      </c>
      <c r="J11" s="80">
        <f>ELEC!R9</f>
        <v>6510.3999999986554</v>
      </c>
      <c r="K11" s="3"/>
      <c r="L11" s="3"/>
      <c r="M11" s="3"/>
      <c r="N11" s="3"/>
    </row>
    <row r="12" spans="1:14">
      <c r="A12" s="63">
        <f>'B5'!A12</f>
        <v>43929</v>
      </c>
      <c r="B12" s="77">
        <f>'B5'!V12</f>
        <v>305</v>
      </c>
      <c r="C12" s="77">
        <f>'B5'!AH12</f>
        <v>0</v>
      </c>
      <c r="D12" s="77">
        <f>GEN!AI10</f>
        <v>414.64556961998727</v>
      </c>
      <c r="E12" s="248">
        <f t="shared" si="0"/>
        <v>719.64556961998733</v>
      </c>
      <c r="F12" s="76">
        <f>WATER!L12</f>
        <v>1</v>
      </c>
      <c r="G12" s="79">
        <f>WATER!BG12</f>
        <v>-25.700000000000017</v>
      </c>
      <c r="H12" s="80">
        <f>ELEC!AF10</f>
        <v>1023</v>
      </c>
      <c r="I12" s="80">
        <f>ELEC!Q10</f>
        <v>1610.9999999989668</v>
      </c>
      <c r="J12" s="80">
        <f>ELEC!R10</f>
        <v>9204.6000000011263</v>
      </c>
      <c r="K12" s="3"/>
      <c r="L12" s="3"/>
      <c r="M12" s="3"/>
      <c r="N12" s="3"/>
    </row>
    <row r="13" spans="1:14">
      <c r="A13" s="63">
        <f>'B5'!A13</f>
        <v>43930</v>
      </c>
      <c r="B13" s="77">
        <f>'B5'!V13</f>
        <v>384</v>
      </c>
      <c r="C13" s="77">
        <f>'B5'!AH13</f>
        <v>231.70000000001164</v>
      </c>
      <c r="D13" s="77">
        <f>GEN!AI11</f>
        <v>480.53586497895168</v>
      </c>
      <c r="E13" s="248">
        <f t="shared" si="0"/>
        <v>1096.2358649789633</v>
      </c>
      <c r="F13" s="76">
        <f>WATER!L13</f>
        <v>6</v>
      </c>
      <c r="G13" s="79">
        <f>WATER!BG13</f>
        <v>-33.5</v>
      </c>
      <c r="H13" s="80">
        <f>ELEC!AF11</f>
        <v>751</v>
      </c>
      <c r="I13" s="80">
        <f>ELEC!Q11</f>
        <v>1867.0000000001892</v>
      </c>
      <c r="J13" s="80">
        <f>ELEC!R11</f>
        <v>7235.9999999998108</v>
      </c>
      <c r="K13" s="3"/>
      <c r="L13" s="3"/>
      <c r="M13" s="3"/>
      <c r="N13" s="3"/>
    </row>
    <row r="14" spans="1:14">
      <c r="A14" s="63">
        <f>'B5'!A14</f>
        <v>43931</v>
      </c>
      <c r="B14" s="77">
        <f>'B5'!V14</f>
        <v>426</v>
      </c>
      <c r="C14" s="77">
        <f>'B5'!AH14</f>
        <v>0</v>
      </c>
      <c r="D14" s="77">
        <f>GEN!AI12</f>
        <v>257.38396624472574</v>
      </c>
      <c r="E14" s="248">
        <f t="shared" si="0"/>
        <v>683.3839662447258</v>
      </c>
      <c r="F14" s="76">
        <f>WATER!L14</f>
        <v>4</v>
      </c>
      <c r="G14" s="79">
        <f>WATER!BG14</f>
        <v>145.60000000000002</v>
      </c>
      <c r="H14" s="80">
        <f>ELEC!AF12</f>
        <v>426</v>
      </c>
      <c r="I14" s="80">
        <f>ELEC!Q12</f>
        <v>1000</v>
      </c>
      <c r="J14" s="80">
        <f>ELEC!R12</f>
        <v>7022.6000000000931</v>
      </c>
      <c r="K14" s="3"/>
      <c r="L14" s="3"/>
      <c r="M14" s="3"/>
      <c r="N14" s="3"/>
    </row>
    <row r="15" spans="1:14">
      <c r="A15" s="63">
        <f>'B5'!A15</f>
        <v>43932</v>
      </c>
      <c r="B15" s="77">
        <f>'B5'!V15</f>
        <v>194</v>
      </c>
      <c r="C15" s="77">
        <f>'B5'!AH15</f>
        <v>0</v>
      </c>
      <c r="D15" s="77">
        <f>GEN!AI13</f>
        <v>514.76793248945148</v>
      </c>
      <c r="E15" s="248">
        <f t="shared" si="0"/>
        <v>708.76793248945148</v>
      </c>
      <c r="F15" s="76">
        <f>WATER!L15</f>
        <v>3</v>
      </c>
      <c r="G15" s="79">
        <f>WATER!BG15</f>
        <v>-16.099999999999966</v>
      </c>
      <c r="H15" s="80">
        <f>ELEC!AF13</f>
        <v>308</v>
      </c>
      <c r="I15" s="80">
        <f>ELEC!Q13</f>
        <v>2000</v>
      </c>
      <c r="J15" s="80">
        <f>ELEC!R13</f>
        <v>6603.3999999999069</v>
      </c>
      <c r="K15" s="3"/>
      <c r="L15" s="3"/>
      <c r="M15" s="3"/>
      <c r="N15" s="3"/>
    </row>
    <row r="16" spans="1:14">
      <c r="A16" s="63">
        <f>'B5'!A16</f>
        <v>43933</v>
      </c>
      <c r="B16" s="77">
        <f>'B5'!V16</f>
        <v>308</v>
      </c>
      <c r="C16" s="77">
        <f>'B5'!AH16</f>
        <v>0</v>
      </c>
      <c r="D16" s="77">
        <f>GEN!AI14</f>
        <v>257.38396624472574</v>
      </c>
      <c r="E16" s="248">
        <f t="shared" si="0"/>
        <v>565.3839662447258</v>
      </c>
      <c r="F16" s="76">
        <f>WATER!L16</f>
        <v>1</v>
      </c>
      <c r="G16" s="79">
        <f>WATER!BG16</f>
        <v>-20.000000000000057</v>
      </c>
      <c r="H16" s="80">
        <f>ELEC!AF14</f>
        <v>472</v>
      </c>
      <c r="I16" s="80">
        <f>ELEC!Q14</f>
        <v>1000</v>
      </c>
      <c r="J16" s="80">
        <f>ELEC!R14</f>
        <v>7743</v>
      </c>
      <c r="K16" s="3"/>
      <c r="L16" s="3"/>
      <c r="M16" s="3"/>
      <c r="N16" s="3"/>
    </row>
    <row r="17" spans="1:14">
      <c r="A17" s="63">
        <f>'B5'!A17</f>
        <v>43934</v>
      </c>
      <c r="B17" s="77">
        <f>'B5'!V17</f>
        <v>411</v>
      </c>
      <c r="C17" s="77">
        <f>'B5'!AH17</f>
        <v>0</v>
      </c>
      <c r="D17" s="77">
        <f>GEN!AI15</f>
        <v>257.38396624472574</v>
      </c>
      <c r="E17" s="248">
        <f t="shared" si="0"/>
        <v>668.3839662447258</v>
      </c>
      <c r="F17" s="76">
        <f>WATER!L17</f>
        <v>1</v>
      </c>
      <c r="G17" s="79">
        <f>WATER!BG17</f>
        <v>-51</v>
      </c>
      <c r="H17" s="80">
        <f>ELEC!AF15</f>
        <v>196</v>
      </c>
      <c r="I17" s="80">
        <f>ELEC!Q15</f>
        <v>1000</v>
      </c>
      <c r="J17" s="80">
        <f>ELEC!R15</f>
        <v>7764</v>
      </c>
      <c r="K17" s="3"/>
      <c r="L17" s="3"/>
      <c r="M17" s="3"/>
      <c r="N17" s="3"/>
    </row>
    <row r="18" spans="1:14">
      <c r="A18" s="63">
        <f>'B5'!A18</f>
        <v>43935</v>
      </c>
      <c r="B18" s="77">
        <f>'B5'!V18</f>
        <v>235</v>
      </c>
      <c r="C18" s="77">
        <f>'B5'!AH18</f>
        <v>0</v>
      </c>
      <c r="D18" s="77">
        <f>GEN!AI16</f>
        <v>544.10970464124159</v>
      </c>
      <c r="E18" s="248">
        <f t="shared" si="0"/>
        <v>779.10970464124159</v>
      </c>
      <c r="F18" s="76">
        <f>WATER!L18</f>
        <v>4</v>
      </c>
      <c r="G18" s="79">
        <f>WATER!BG18</f>
        <v>-20.200000000000003</v>
      </c>
      <c r="H18" s="80">
        <f>ELEC!AF16</f>
        <v>237</v>
      </c>
      <c r="I18" s="80">
        <f>ELEC!Q16</f>
        <v>2113.999999999578</v>
      </c>
      <c r="J18" s="80">
        <f>ELEC!R16</f>
        <v>6574.4000000003289</v>
      </c>
      <c r="K18" s="3"/>
      <c r="L18" s="3"/>
      <c r="M18" s="3"/>
      <c r="N18" s="3"/>
    </row>
    <row r="19" spans="1:14">
      <c r="A19" s="63">
        <f>'B5'!A19</f>
        <v>43936</v>
      </c>
      <c r="B19" s="77">
        <f>'B5'!V19</f>
        <v>315</v>
      </c>
      <c r="C19" s="77">
        <f>'B5'!AH19</f>
        <v>222</v>
      </c>
      <c r="D19" s="77">
        <f>GEN!AI17</f>
        <v>450.42194092827009</v>
      </c>
      <c r="E19" s="248">
        <f t="shared" si="0"/>
        <v>987.42194092827003</v>
      </c>
      <c r="F19" s="76">
        <f>WATER!L19</f>
        <v>2</v>
      </c>
      <c r="G19" s="79">
        <f>WATER!BG19</f>
        <v>-11.000000000000014</v>
      </c>
      <c r="H19" s="80">
        <f>ELEC!AF17</f>
        <v>616</v>
      </c>
      <c r="I19" s="80">
        <f>ELEC!Q17</f>
        <v>1750</v>
      </c>
      <c r="J19" s="80">
        <f>ELEC!R17</f>
        <v>7532</v>
      </c>
      <c r="K19" s="3"/>
      <c r="L19" s="3"/>
      <c r="M19" s="3"/>
      <c r="N19" s="3"/>
    </row>
    <row r="20" spans="1:14">
      <c r="A20" s="63">
        <f>'B5'!A20</f>
        <v>43937</v>
      </c>
      <c r="B20" s="77">
        <f>'B5'!V20</f>
        <v>340</v>
      </c>
      <c r="C20" s="77">
        <f>'B5'!AH20</f>
        <v>0</v>
      </c>
      <c r="D20" s="77">
        <f>GEN!AI18</f>
        <v>163.69620253175421</v>
      </c>
      <c r="E20" s="248">
        <f t="shared" si="0"/>
        <v>503.69620253175424</v>
      </c>
      <c r="F20" s="76">
        <f>WATER!L20</f>
        <v>5</v>
      </c>
      <c r="G20" s="79">
        <f>WATER!BG20</f>
        <v>-66.899999999999977</v>
      </c>
      <c r="H20" s="80">
        <f>ELEC!AF18</f>
        <v>776</v>
      </c>
      <c r="I20" s="80">
        <f>ELEC!Q18</f>
        <v>636.00000000042201</v>
      </c>
      <c r="J20" s="80">
        <f>ELEC!R18</f>
        <v>10135.599999999671</v>
      </c>
      <c r="K20" s="3"/>
      <c r="L20" s="3"/>
      <c r="M20" s="3"/>
      <c r="N20" s="3"/>
    </row>
    <row r="21" spans="1:14">
      <c r="A21" s="63">
        <f>'B5'!A21</f>
        <v>43938</v>
      </c>
      <c r="B21" s="77">
        <f>'B5'!V21</f>
        <v>247</v>
      </c>
      <c r="C21" s="77">
        <f>'B5'!AH21</f>
        <v>0</v>
      </c>
      <c r="D21" s="77">
        <f>GEN!AI19</f>
        <v>460.45991561198667</v>
      </c>
      <c r="E21" s="248">
        <f t="shared" si="0"/>
        <v>707.45991561198662</v>
      </c>
      <c r="F21" s="76">
        <f>WATER!L21</f>
        <v>0</v>
      </c>
      <c r="G21" s="79">
        <f>WATER!BG21</f>
        <v>-26.600000000000009</v>
      </c>
      <c r="H21" s="80">
        <f>ELEC!AF19</f>
        <v>548</v>
      </c>
      <c r="I21" s="80">
        <f>ELEC!Q19</f>
        <v>1789.0000000006694</v>
      </c>
      <c r="J21" s="80">
        <f>ELEC!R19</f>
        <v>6456.9999999993306</v>
      </c>
      <c r="K21" s="3"/>
      <c r="L21" s="3"/>
      <c r="M21" s="3"/>
      <c r="N21" s="3"/>
    </row>
    <row r="22" spans="1:14">
      <c r="A22" s="63">
        <f>'B5'!A22</f>
        <v>43939</v>
      </c>
      <c r="B22" s="77">
        <f>'B5'!V22</f>
        <v>295</v>
      </c>
      <c r="C22" s="77">
        <f>'B5'!AH22</f>
        <v>0</v>
      </c>
      <c r="D22" s="77">
        <f>GEN!AI20</f>
        <v>434.20675105482616</v>
      </c>
      <c r="E22" s="248">
        <f t="shared" si="0"/>
        <v>729.2067510548261</v>
      </c>
      <c r="F22" s="76">
        <f>WATER!L22</f>
        <v>0</v>
      </c>
      <c r="G22" s="79">
        <f>WATER!BG22</f>
        <v>95.899999999999977</v>
      </c>
      <c r="H22" s="80">
        <f>ELEC!AF20</f>
        <v>488</v>
      </c>
      <c r="I22" s="80">
        <f>ELEC!Q20</f>
        <v>1686.9999999998981</v>
      </c>
      <c r="J22" s="80">
        <f>ELEC!R20</f>
        <v>7936.0000000001019</v>
      </c>
      <c r="K22" s="3"/>
      <c r="L22" s="3"/>
      <c r="M22" s="3"/>
      <c r="N22" s="3"/>
    </row>
    <row r="23" spans="1:14">
      <c r="A23" s="63">
        <f>'B5'!A23</f>
        <v>43940</v>
      </c>
      <c r="B23" s="77">
        <f>'B5'!V23</f>
        <v>323</v>
      </c>
      <c r="C23" s="77">
        <f>'B5'!AH23</f>
        <v>0</v>
      </c>
      <c r="D23" s="77">
        <f>GEN!AI21</f>
        <v>92.143459915656763</v>
      </c>
      <c r="E23" s="248">
        <f t="shared" si="0"/>
        <v>415.14345991565676</v>
      </c>
      <c r="F23" s="76">
        <f>WATER!L23</f>
        <v>0</v>
      </c>
      <c r="G23" s="79">
        <f>WATER!BG23</f>
        <v>-8.0999999999999659</v>
      </c>
      <c r="H23" s="80">
        <f>ELEC!AF21</f>
        <v>735</v>
      </c>
      <c r="I23" s="80">
        <f>ELEC!Q21</f>
        <v>358.00000000017462</v>
      </c>
      <c r="J23" s="80">
        <f>ELEC!R21</f>
        <v>8691.9999999998254</v>
      </c>
      <c r="K23" s="3"/>
      <c r="L23" s="3"/>
      <c r="M23" s="3"/>
      <c r="N23" s="3"/>
    </row>
    <row r="24" spans="1:14">
      <c r="A24" s="63">
        <f>'B5'!A24</f>
        <v>43941</v>
      </c>
      <c r="B24" s="77">
        <f>'B5'!V24</f>
        <v>366</v>
      </c>
      <c r="C24" s="77">
        <f>'B5'!AH24</f>
        <v>0</v>
      </c>
      <c r="D24" s="77">
        <f>GEN!AI22</f>
        <v>0</v>
      </c>
      <c r="E24" s="248">
        <f t="shared" si="0"/>
        <v>366</v>
      </c>
      <c r="F24" s="76">
        <f>WATER!L24</f>
        <v>11</v>
      </c>
      <c r="G24" s="79">
        <f>WATER!BG24</f>
        <v>-34.299999999999997</v>
      </c>
      <c r="H24" s="80">
        <f>ELEC!AF22</f>
        <v>891</v>
      </c>
      <c r="I24" s="80">
        <f>ELEC!Q22</f>
        <v>0</v>
      </c>
      <c r="J24" s="80">
        <f>ELEC!R22</f>
        <v>9698</v>
      </c>
      <c r="K24" s="3"/>
      <c r="L24" s="3"/>
      <c r="M24" s="3"/>
      <c r="N24" s="3"/>
    </row>
    <row r="25" spans="1:14">
      <c r="A25" s="63">
        <f>'B5'!A25</f>
        <v>43942</v>
      </c>
      <c r="B25" s="77">
        <f>'B5'!V25</f>
        <v>225</v>
      </c>
      <c r="C25" s="77">
        <f>'B5'!AH25</f>
        <v>0</v>
      </c>
      <c r="D25" s="77">
        <f>GEN!AI23</f>
        <v>425.19831223629819</v>
      </c>
      <c r="E25" s="248">
        <f t="shared" si="0"/>
        <v>650.19831223629819</v>
      </c>
      <c r="F25" s="76">
        <f>WATER!L25</f>
        <v>4</v>
      </c>
      <c r="G25" s="79">
        <f>WATER!BG25</f>
        <v>-28.80000000000004</v>
      </c>
      <c r="H25" s="80">
        <f>ELEC!AF23</f>
        <v>589</v>
      </c>
      <c r="I25" s="80">
        <f>ELEC!Q23</f>
        <v>1652.0000000000437</v>
      </c>
      <c r="J25" s="80">
        <f>ELEC!R23</f>
        <v>6801.9999999999563</v>
      </c>
      <c r="K25" s="3"/>
      <c r="L25" s="3"/>
      <c r="M25" s="3"/>
      <c r="N25" s="3"/>
    </row>
    <row r="26" spans="1:14">
      <c r="A26" s="63">
        <f>'B5'!A26</f>
        <v>43943</v>
      </c>
      <c r="B26" s="77">
        <f>'B5'!V26</f>
        <v>345</v>
      </c>
      <c r="C26" s="77">
        <f>'B5'!AH26</f>
        <v>0</v>
      </c>
      <c r="D26" s="77">
        <f>GEN!AI24</f>
        <v>519.40084388186403</v>
      </c>
      <c r="E26" s="248">
        <f t="shared" si="0"/>
        <v>864.40084388186403</v>
      </c>
      <c r="F26" s="76">
        <f>WATER!L26</f>
        <v>2</v>
      </c>
      <c r="G26" s="79">
        <f>WATER!BG26</f>
        <v>-17.499999999999986</v>
      </c>
      <c r="H26" s="80">
        <f>ELEC!AF24</f>
        <v>576</v>
      </c>
      <c r="I26" s="80">
        <f>ELEC!Q24</f>
        <v>2018.0000000000291</v>
      </c>
      <c r="J26" s="80">
        <f>ELEC!R24</f>
        <v>7821.9999999999709</v>
      </c>
      <c r="K26" s="3"/>
      <c r="L26" s="3"/>
      <c r="M26" s="3"/>
      <c r="N26" s="3"/>
    </row>
    <row r="27" spans="1:14">
      <c r="A27" s="63">
        <f>'B5'!A27</f>
        <v>43944</v>
      </c>
      <c r="B27" s="77">
        <f>'B5'!V27</f>
        <v>199</v>
      </c>
      <c r="C27" s="77">
        <f>'B5'!AH27</f>
        <v>257</v>
      </c>
      <c r="D27" s="77">
        <f>GEN!AI25</f>
        <v>256.35443037953712</v>
      </c>
      <c r="E27" s="248">
        <f t="shared" si="0"/>
        <v>712.35443037953712</v>
      </c>
      <c r="F27" s="76">
        <f>WATER!L27</f>
        <v>11</v>
      </c>
      <c r="G27" s="79">
        <f>WATER!BG27</f>
        <v>-10.599999999999952</v>
      </c>
      <c r="H27" s="80">
        <f>ELEC!AF25</f>
        <v>456</v>
      </c>
      <c r="I27" s="80">
        <f>ELEC!Q25</f>
        <v>995.99999999918509</v>
      </c>
      <c r="J27" s="80">
        <f>ELEC!R25</f>
        <v>7391.0000000008149</v>
      </c>
      <c r="K27" s="3"/>
      <c r="L27" s="3"/>
      <c r="M27" s="3"/>
      <c r="N27" s="3"/>
    </row>
    <row r="28" spans="1:14">
      <c r="A28" s="63">
        <f>'B5'!A28</f>
        <v>43945</v>
      </c>
      <c r="B28" s="77">
        <f>'B5'!V28</f>
        <v>319</v>
      </c>
      <c r="C28" s="77">
        <f>'B5'!AH28</f>
        <v>0</v>
      </c>
      <c r="D28" s="77">
        <f>GEN!AI26</f>
        <v>509.62025316444465</v>
      </c>
      <c r="E28" s="248">
        <f t="shared" si="0"/>
        <v>828.62025316444465</v>
      </c>
      <c r="F28" s="76">
        <f>WATER!L28</f>
        <v>5</v>
      </c>
      <c r="G28" s="79">
        <f>WATER!BG28</f>
        <v>55.799999999999983</v>
      </c>
      <c r="H28" s="80">
        <f>ELEC!AF26</f>
        <v>1004</v>
      </c>
      <c r="I28" s="80">
        <f>ELEC!Q26</f>
        <v>1979.9999999995634</v>
      </c>
      <c r="J28" s="80">
        <f>ELEC!R26</f>
        <v>8242.4000000003434</v>
      </c>
      <c r="K28" s="3"/>
      <c r="L28" s="3"/>
      <c r="M28" s="3"/>
      <c r="N28" s="3"/>
    </row>
    <row r="29" spans="1:14">
      <c r="A29" s="63">
        <f>'B5'!A29</f>
        <v>43946</v>
      </c>
      <c r="B29" s="77">
        <f>'B5'!V29</f>
        <v>337</v>
      </c>
      <c r="C29" s="77">
        <f>'B5'!AH29</f>
        <v>0</v>
      </c>
      <c r="D29" s="77">
        <f>GEN!AI27</f>
        <v>391.22362869209553</v>
      </c>
      <c r="E29" s="78">
        <f t="shared" si="0"/>
        <v>728.22362869209553</v>
      </c>
      <c r="F29" s="76">
        <f>WATER!L29</f>
        <v>2</v>
      </c>
      <c r="G29" s="79">
        <f>WATER!BG29</f>
        <v>-11.400000000000034</v>
      </c>
      <c r="H29" s="80">
        <f>ELEC!AF27</f>
        <v>629</v>
      </c>
      <c r="I29" s="80">
        <f>ELEC!Q27</f>
        <v>1520.0000000004366</v>
      </c>
      <c r="J29" s="80">
        <f>ELEC!R27</f>
        <v>7649.5999999996566</v>
      </c>
      <c r="K29" s="3"/>
      <c r="L29" s="3"/>
      <c r="M29" s="3"/>
      <c r="N29" s="3"/>
    </row>
    <row r="30" spans="1:14">
      <c r="A30" s="63">
        <f>'B5'!A30</f>
        <v>43947</v>
      </c>
      <c r="B30" s="77">
        <f>'B5'!V30</f>
        <v>277</v>
      </c>
      <c r="C30" s="77">
        <f>'B5'!AH30</f>
        <v>0</v>
      </c>
      <c r="D30" s="77">
        <f>GEN!AI28</f>
        <v>386.07594936708864</v>
      </c>
      <c r="E30" s="78">
        <f t="shared" si="0"/>
        <v>663.0759493670887</v>
      </c>
      <c r="F30" s="76">
        <f>WATER!L30</f>
        <v>0</v>
      </c>
      <c r="G30" s="79">
        <f>WATER!BG30</f>
        <v>-40.599999999999994</v>
      </c>
      <c r="H30" s="80">
        <f>ELEC!AF28</f>
        <v>451</v>
      </c>
      <c r="I30" s="80">
        <f>ELEC!Q28</f>
        <v>1500</v>
      </c>
      <c r="J30" s="80">
        <f>ELEC!R28</f>
        <v>6900</v>
      </c>
      <c r="K30" s="3"/>
      <c r="L30" s="3"/>
      <c r="M30" s="3"/>
      <c r="N30" s="3"/>
    </row>
    <row r="31" spans="1:14">
      <c r="A31" s="63">
        <f>'B5'!A31</f>
        <v>43948</v>
      </c>
      <c r="B31" s="77">
        <f>'B5'!V31</f>
        <v>322</v>
      </c>
      <c r="C31" s="77">
        <f>'B5'!AH31</f>
        <v>0</v>
      </c>
      <c r="D31" s="77">
        <f>GEN!AI29</f>
        <v>646.80590717320933</v>
      </c>
      <c r="E31" s="78">
        <f t="shared" si="0"/>
        <v>968.80590717320933</v>
      </c>
      <c r="F31" s="76">
        <f>WATER!L31</f>
        <v>2</v>
      </c>
      <c r="G31" s="79">
        <f>WATER!BG31</f>
        <v>-4.75</v>
      </c>
      <c r="H31" s="80">
        <f>ELEC!AF29</f>
        <v>494</v>
      </c>
      <c r="I31" s="80">
        <f>ELEC!Q29</f>
        <v>2513.0000000008295</v>
      </c>
      <c r="J31" s="80">
        <f>ELEC!R29</f>
        <v>7136.9999999991705</v>
      </c>
      <c r="K31" s="3"/>
      <c r="L31" s="3"/>
      <c r="M31" s="3"/>
      <c r="N31" s="3"/>
    </row>
    <row r="32" spans="1:14">
      <c r="A32" s="63">
        <f>'B5'!A32</f>
        <v>43949</v>
      </c>
      <c r="B32" s="77">
        <f>'B5'!V32</f>
        <v>230</v>
      </c>
      <c r="C32" s="77">
        <f>'B5'!AH32</f>
        <v>0</v>
      </c>
      <c r="D32" s="77">
        <f>GEN!AI30</f>
        <v>262.27426160296727</v>
      </c>
      <c r="E32" s="78">
        <f t="shared" si="0"/>
        <v>492.27426160296727</v>
      </c>
      <c r="F32" s="76">
        <f>WATER!L32</f>
        <v>0</v>
      </c>
      <c r="G32" s="79">
        <f>WATER!BG32</f>
        <v>-40.050000000000011</v>
      </c>
      <c r="H32" s="80">
        <f>ELEC!AF30</f>
        <v>146</v>
      </c>
      <c r="I32" s="80">
        <f>ELEC!Q30</f>
        <v>1018.9999999984138</v>
      </c>
      <c r="J32" s="80">
        <f>ELEC!R30</f>
        <v>7745.0000000015862</v>
      </c>
      <c r="K32" s="3"/>
      <c r="L32" s="3"/>
      <c r="M32" s="3"/>
      <c r="N32" s="3"/>
    </row>
    <row r="33" spans="1:14">
      <c r="A33" s="63">
        <f>'B5'!A33</f>
        <v>43950</v>
      </c>
      <c r="B33" s="77">
        <f>'B5'!V33</f>
        <v>290</v>
      </c>
      <c r="C33" s="77">
        <f>'B5'!AH33</f>
        <v>12.800000000017462</v>
      </c>
      <c r="D33" s="77">
        <f>GEN!AI31</f>
        <v>334.08438818583005</v>
      </c>
      <c r="E33" s="78">
        <f t="shared" si="0"/>
        <v>636.88438818584746</v>
      </c>
      <c r="F33" s="76">
        <f>WATER!L33</f>
        <v>2</v>
      </c>
      <c r="G33" s="79">
        <f>WATER!BG33</f>
        <v>-25.799999999999955</v>
      </c>
      <c r="H33" s="80">
        <f>ELEC!AF31</f>
        <v>681</v>
      </c>
      <c r="I33" s="80">
        <f>ELEC!Q31</f>
        <v>1298.0000000006839</v>
      </c>
      <c r="J33" s="80">
        <f>ELEC!R31</f>
        <v>7770.3999999992229</v>
      </c>
      <c r="K33" s="3"/>
      <c r="L33" s="3"/>
      <c r="M33" s="3"/>
      <c r="N33" s="3"/>
    </row>
    <row r="34" spans="1:14">
      <c r="A34" s="63">
        <f>'B5'!A34</f>
        <v>43951</v>
      </c>
      <c r="B34" s="77">
        <f>'B5'!V34</f>
        <v>281</v>
      </c>
      <c r="C34" s="77">
        <f>'B5'!AH34</f>
        <v>0</v>
      </c>
      <c r="D34" s="77">
        <f>GEN!AI32</f>
        <v>455.56962025327698</v>
      </c>
      <c r="E34" s="78">
        <f>B34+C34+D34</f>
        <v>736.56962025327698</v>
      </c>
      <c r="F34" s="76">
        <f>WATER!L34</f>
        <v>11</v>
      </c>
      <c r="G34" s="79">
        <f>WATER!BG34</f>
        <v>63.299999999999955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22" t="s">
        <v>151</v>
      </c>
      <c r="U3" s="62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100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5</v>
      </c>
      <c r="E8">
        <f t="shared" si="0"/>
        <v>450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7</v>
      </c>
      <c r="E11">
        <f t="shared" si="0"/>
        <v>630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5</v>
      </c>
      <c r="E14">
        <f t="shared" si="0"/>
        <v>450</v>
      </c>
      <c r="F14">
        <f>'B5'!AM13</f>
        <v>4</v>
      </c>
      <c r="G14">
        <f t="shared" si="1"/>
        <v>428</v>
      </c>
    </row>
    <row r="15" spans="3:21">
      <c r="C15" s="100">
        <v>42439</v>
      </c>
      <c r="D15">
        <f>'B5'!AL14</f>
        <v>6</v>
      </c>
      <c r="E15">
        <f t="shared" si="0"/>
        <v>540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6</v>
      </c>
      <c r="E18">
        <f t="shared" si="0"/>
        <v>540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3</v>
      </c>
      <c r="E20">
        <f t="shared" si="0"/>
        <v>270</v>
      </c>
      <c r="F20">
        <f>'B5'!AM19</f>
        <v>4</v>
      </c>
      <c r="G20">
        <f t="shared" si="1"/>
        <v>428</v>
      </c>
    </row>
    <row r="21" spans="3:7">
      <c r="C21" s="100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3</v>
      </c>
      <c r="E22">
        <f t="shared" si="0"/>
        <v>270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5</v>
      </c>
      <c r="E23">
        <f t="shared" si="0"/>
        <v>450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4</v>
      </c>
      <c r="E25">
        <f t="shared" si="0"/>
        <v>360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5</v>
      </c>
      <c r="E27">
        <f t="shared" si="0"/>
        <v>450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3</v>
      </c>
      <c r="E28">
        <f t="shared" si="0"/>
        <v>270</v>
      </c>
      <c r="F28">
        <f>'B5'!AM27</f>
        <v>5</v>
      </c>
      <c r="G28">
        <f t="shared" si="1"/>
        <v>535</v>
      </c>
    </row>
    <row r="29" spans="3:7">
      <c r="C29" s="100">
        <v>42453</v>
      </c>
      <c r="D29">
        <f>'B5'!AL28</f>
        <v>3</v>
      </c>
      <c r="E29">
        <f t="shared" si="0"/>
        <v>270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4</v>
      </c>
      <c r="E30">
        <f t="shared" si="0"/>
        <v>360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4</v>
      </c>
      <c r="E31">
        <f t="shared" si="0"/>
        <v>360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5</v>
      </c>
      <c r="E32">
        <f t="shared" si="0"/>
        <v>450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3</v>
      </c>
      <c r="E33">
        <f t="shared" si="0"/>
        <v>270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3</v>
      </c>
      <c r="E34">
        <f t="shared" si="0"/>
        <v>270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3</v>
      </c>
      <c r="E35">
        <f t="shared" si="0"/>
        <v>270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4"/>
  <sheetViews>
    <sheetView topLeftCell="M1" zoomScaleNormal="100" workbookViewId="0">
      <pane ySplit="1" topLeftCell="A14" activePane="bottomLeft" state="frozen"/>
      <selection pane="bottomLeft" activeCell="T32" sqref="T32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29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29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6"/>
      <c r="P1" s="25" t="s">
        <v>46</v>
      </c>
      <c r="Q1" s="25" t="s">
        <v>49</v>
      </c>
      <c r="R1" s="429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6" t="s">
        <v>375</v>
      </c>
      <c r="AC1" s="296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43921</v>
      </c>
      <c r="B2" s="277">
        <v>8621</v>
      </c>
      <c r="C2" s="277">
        <v>0</v>
      </c>
      <c r="D2" s="277">
        <f>[1]GEN!D33</f>
        <v>146464</v>
      </c>
      <c r="E2" s="277">
        <f>[1]GEN!E33</f>
        <v>0</v>
      </c>
      <c r="F2" s="277">
        <f>[1]GEN!F33</f>
        <v>0</v>
      </c>
      <c r="G2" s="277" t="e">
        <f>[1]GEN!G33</f>
        <v>#REF!</v>
      </c>
      <c r="H2" s="277">
        <f>[1]GEN!H33</f>
        <v>8497</v>
      </c>
      <c r="I2" s="277" t="str">
        <f>[1]GEN!I33</f>
        <v>oil change</v>
      </c>
      <c r="J2" s="277">
        <f>[1]GEN!J33</f>
        <v>10689</v>
      </c>
      <c r="K2" s="277">
        <f>[1]GEN!K33</f>
        <v>0</v>
      </c>
      <c r="L2" s="277">
        <f>[1]GEN!L33</f>
        <v>237072.3</v>
      </c>
      <c r="M2" s="277">
        <f>[1]GEN!M33</f>
        <v>0</v>
      </c>
      <c r="N2" s="277">
        <f>[1]GEN!N33</f>
        <v>0</v>
      </c>
      <c r="O2" s="277" t="e">
        <f>[1]GEN!O33</f>
        <v>#REF!</v>
      </c>
      <c r="P2" s="277">
        <f>[1]GEN!P33</f>
        <v>10873</v>
      </c>
      <c r="Q2" s="277" t="str">
        <f>[1]GEN!Q33</f>
        <v>ok</v>
      </c>
      <c r="R2" s="277">
        <f>[1]GEN!R33</f>
        <v>11030</v>
      </c>
      <c r="S2" s="277">
        <f>[1]GEN!S33</f>
        <v>2</v>
      </c>
      <c r="T2" s="277">
        <f>[1]GEN!T33</f>
        <v>212917</v>
      </c>
      <c r="U2" s="277">
        <f>[1]GEN!U33</f>
        <v>622</v>
      </c>
      <c r="V2" s="277">
        <f>[1]GEN!V33</f>
        <v>311</v>
      </c>
      <c r="W2" s="277" t="e">
        <f>[1]GEN!W33</f>
        <v>#REF!</v>
      </c>
      <c r="X2" s="277">
        <f>[1]GEN!X33</f>
        <v>11529</v>
      </c>
      <c r="Y2" s="277" t="str">
        <f>[1]GEN!Y33</f>
        <v>ok</v>
      </c>
      <c r="Z2" s="277">
        <f>[1]GEN!Z33</f>
        <v>4</v>
      </c>
      <c r="AA2" s="277">
        <f>[1]GEN!AA33</f>
        <v>622</v>
      </c>
      <c r="AB2" s="277">
        <f>[1]GEN!AB33</f>
        <v>311</v>
      </c>
      <c r="AC2" s="277">
        <f>[1]GEN!AC33</f>
        <v>155.5</v>
      </c>
      <c r="AD2" s="277">
        <f>[1]GEN!AD33</f>
        <v>0</v>
      </c>
      <c r="AE2" s="277">
        <f>[1]GEN!AE33</f>
        <v>0</v>
      </c>
      <c r="AF2" s="277">
        <f>[1]GEN!AF33</f>
        <v>0</v>
      </c>
      <c r="AG2" s="277">
        <f>[1]GEN!AG33</f>
        <v>0</v>
      </c>
      <c r="AH2" s="277">
        <f>[1]GEN!AH33</f>
        <v>155.5</v>
      </c>
      <c r="AI2" s="277" t="e">
        <f>[1]GEN!AI33</f>
        <v>#REF!</v>
      </c>
      <c r="AJ2" s="277" t="e">
        <f>[1]GEN!AJ33</f>
        <v>#REF!</v>
      </c>
      <c r="AK2" s="277" t="e">
        <f>[1]GEN!AK33</f>
        <v>#REF!</v>
      </c>
    </row>
    <row r="3" spans="1:37">
      <c r="A3" s="4">
        <f>ELEC!C3</f>
        <v>43922</v>
      </c>
      <c r="B3" s="277">
        <v>8621</v>
      </c>
      <c r="C3" s="297">
        <f>B3-B2</f>
        <v>0</v>
      </c>
      <c r="D3" s="277">
        <f>D2</f>
        <v>146464</v>
      </c>
      <c r="E3" s="297">
        <f>SUM(D3-D2)</f>
        <v>0</v>
      </c>
      <c r="F3" s="297">
        <f t="shared" ref="F3:F32" si="0">IF(C3&gt;0,E3/C3,0)</f>
        <v>0</v>
      </c>
      <c r="G3" s="277">
        <f>[3]GEN!G32</f>
        <v>0</v>
      </c>
      <c r="H3" s="298">
        <f>H2</f>
        <v>8497</v>
      </c>
      <c r="I3" s="297" t="str">
        <f t="shared" ref="I3:I32" si="1">IF(B3-H3&lt;=0,"ok","oil change")</f>
        <v>oil change</v>
      </c>
      <c r="J3" s="277">
        <f>J2</f>
        <v>10689</v>
      </c>
      <c r="K3" s="297">
        <f t="shared" ref="K3:K32" si="2">J3-J2</f>
        <v>0</v>
      </c>
      <c r="L3" s="277">
        <f>L2</f>
        <v>237072.3</v>
      </c>
      <c r="M3" s="297">
        <f t="shared" ref="M3:M32" si="3">SUM(L3-L2)</f>
        <v>0</v>
      </c>
      <c r="N3" s="297">
        <f>IF(K3&gt;0,M3/K3,0)</f>
        <v>0</v>
      </c>
      <c r="O3" s="277">
        <f>[3]GEN!O32</f>
        <v>0</v>
      </c>
      <c r="P3" s="298">
        <f>P2</f>
        <v>10873</v>
      </c>
      <c r="Q3" s="297" t="str">
        <f t="shared" ref="Q3:Q17" si="4">IF(J3-P3&lt;=0,"ok","oil change")</f>
        <v>ok</v>
      </c>
      <c r="R3" s="277">
        <v>11033</v>
      </c>
      <c r="S3" s="297">
        <f t="shared" ref="S3:S32" si="5">R3-R2</f>
        <v>3</v>
      </c>
      <c r="T3" s="277">
        <v>213766.9</v>
      </c>
      <c r="U3" s="297">
        <f t="shared" ref="U3:U19" si="6">SUM(T3-T2)</f>
        <v>849.89999999999418</v>
      </c>
      <c r="V3" s="297">
        <f>IF(S3&gt;0,U3/S3,0)</f>
        <v>283.29999999999808</v>
      </c>
      <c r="W3" s="277">
        <f>[3]GEN!W32</f>
        <v>0</v>
      </c>
      <c r="X3" s="298">
        <f>X2</f>
        <v>11529</v>
      </c>
      <c r="Y3" s="297" t="str">
        <f t="shared" ref="Y3:Y20" si="7">IF(R3-X3&lt;=0,"ok","oil change")</f>
        <v>ok</v>
      </c>
      <c r="Z3" s="297">
        <f t="shared" ref="Z3:Z32" si="8">C3+K3+S3</f>
        <v>3</v>
      </c>
      <c r="AA3" s="297">
        <f>U3+M3+E3</f>
        <v>849.89999999999418</v>
      </c>
      <c r="AB3" s="297">
        <f>V3+N3+F3</f>
        <v>283.29999999999808</v>
      </c>
      <c r="AC3" s="297">
        <f>IF(Z3&gt;0,AA3/Z3,0)</f>
        <v>283.29999999999808</v>
      </c>
      <c r="AD3" s="74">
        <f>ELEC!Q3</f>
        <v>2430.9999999986758</v>
      </c>
      <c r="AE3" s="74">
        <f>SUM(AD3/Z3)</f>
        <v>810.33333333289193</v>
      </c>
      <c r="AF3" s="423">
        <f>SUM(AE3/1600)</f>
        <v>0.50645833333305745</v>
      </c>
      <c r="AG3" s="424">
        <f>SUM(360*AF3)</f>
        <v>182.32499999990068</v>
      </c>
      <c r="AH3" s="424">
        <f>SUM(AC3-AG3)</f>
        <v>100.9750000000974</v>
      </c>
      <c r="AI3" s="74">
        <f>AD3*AJ3</f>
        <v>625.70042194058749</v>
      </c>
      <c r="AJ3" s="299">
        <f t="shared" ref="AJ3:AJ32" si="9">305/1185</f>
        <v>0.25738396624472576</v>
      </c>
      <c r="AK3" s="299">
        <f t="shared" ref="AK3:AK8" si="10">AI3/Z3</f>
        <v>208.56680731352915</v>
      </c>
    </row>
    <row r="4" spans="1:37">
      <c r="A4" s="4">
        <f>ELEC!C4</f>
        <v>43923</v>
      </c>
      <c r="B4" s="277">
        <f t="shared" ref="B4:D32" si="11">B3</f>
        <v>8621</v>
      </c>
      <c r="C4" s="297">
        <f t="shared" ref="C4:C32" si="12">B4-B3</f>
        <v>0</v>
      </c>
      <c r="D4" s="277">
        <f t="shared" si="11"/>
        <v>146464</v>
      </c>
      <c r="E4" s="297">
        <f t="shared" ref="E4:E32" si="13">SUM(D4-D3)</f>
        <v>0</v>
      </c>
      <c r="F4" s="297">
        <f t="shared" si="0"/>
        <v>0</v>
      </c>
      <c r="G4" s="200"/>
      <c r="H4" s="298">
        <f t="shared" ref="H4:H32" si="14">H3</f>
        <v>8497</v>
      </c>
      <c r="I4" s="297" t="str">
        <f t="shared" si="1"/>
        <v>oil change</v>
      </c>
      <c r="J4" s="277">
        <f t="shared" ref="J4:L32" si="15">J3</f>
        <v>10689</v>
      </c>
      <c r="K4" s="297">
        <f t="shared" si="2"/>
        <v>0</v>
      </c>
      <c r="L4" s="277">
        <f t="shared" si="15"/>
        <v>237072.3</v>
      </c>
      <c r="M4" s="297">
        <f t="shared" si="3"/>
        <v>0</v>
      </c>
      <c r="N4" s="297">
        <f t="shared" ref="N4:N32" si="16">IF(K4&gt;0,M4/K4,0)</f>
        <v>0</v>
      </c>
      <c r="O4" s="200"/>
      <c r="P4" s="298">
        <f t="shared" ref="P4:P32" si="17">P3</f>
        <v>10873</v>
      </c>
      <c r="Q4" s="297" t="str">
        <f t="shared" si="4"/>
        <v>ok</v>
      </c>
      <c r="R4" s="277">
        <v>11036</v>
      </c>
      <c r="S4" s="297">
        <f t="shared" si="5"/>
        <v>3</v>
      </c>
      <c r="T4" s="277">
        <v>214642</v>
      </c>
      <c r="U4" s="297">
        <f t="shared" si="6"/>
        <v>875.10000000000582</v>
      </c>
      <c r="V4" s="297">
        <f t="shared" ref="V4:V32" si="18">IF(S4&gt;0,U4/S4,0)</f>
        <v>291.70000000000192</v>
      </c>
      <c r="W4" s="200"/>
      <c r="X4" s="298">
        <f t="shared" ref="X4:X32" si="19">X3</f>
        <v>11529</v>
      </c>
      <c r="Y4" s="297" t="str">
        <f t="shared" si="7"/>
        <v>ok</v>
      </c>
      <c r="Z4" s="297">
        <f>C4+K4+S4</f>
        <v>3</v>
      </c>
      <c r="AA4" s="297">
        <f t="shared" ref="AA4:AA32" si="20">U4+M4+E4</f>
        <v>875.10000000000582</v>
      </c>
      <c r="AB4" s="297">
        <f t="shared" ref="AB4:AB32" si="21">V4+N4+F4</f>
        <v>291.70000000000192</v>
      </c>
      <c r="AC4" s="297">
        <f t="shared" ref="AC4:AC32" si="22">IF(Z4&gt;0,AA4/Z4,0)</f>
        <v>291.70000000000192</v>
      </c>
      <c r="AD4" s="74">
        <f>ELEC!Q4</f>
        <v>1581.000000000131</v>
      </c>
      <c r="AE4" s="74">
        <f>SUM(AD4/Z4)</f>
        <v>527.00000000004366</v>
      </c>
      <c r="AF4" s="423">
        <f>SUM(AE4/1600)</f>
        <v>0.32937500000002728</v>
      </c>
      <c r="AG4" s="424">
        <f>SUM(360*AF4)</f>
        <v>118.57500000000982</v>
      </c>
      <c r="AH4" s="424">
        <f t="shared" ref="AH4:AH32" si="23">SUM(AC4-AG4)</f>
        <v>173.1249999999921</v>
      </c>
      <c r="AI4" s="74">
        <f>AD4*AJ4</f>
        <v>406.92405063294513</v>
      </c>
      <c r="AJ4" s="299">
        <f t="shared" si="9"/>
        <v>0.25738396624472576</v>
      </c>
      <c r="AK4" s="299">
        <f t="shared" si="10"/>
        <v>135.6413502109817</v>
      </c>
    </row>
    <row r="5" spans="1:37">
      <c r="A5" s="4">
        <f>ELEC!C5</f>
        <v>43924</v>
      </c>
      <c r="B5" s="277">
        <f t="shared" si="11"/>
        <v>8621</v>
      </c>
      <c r="C5" s="297">
        <f t="shared" si="12"/>
        <v>0</v>
      </c>
      <c r="D5" s="277">
        <f t="shared" si="11"/>
        <v>146464</v>
      </c>
      <c r="E5" s="297">
        <f t="shared" si="13"/>
        <v>0</v>
      </c>
      <c r="F5" s="297">
        <f t="shared" si="0"/>
        <v>0</v>
      </c>
      <c r="G5" s="295"/>
      <c r="H5" s="298">
        <v>8497</v>
      </c>
      <c r="I5" s="297" t="str">
        <f t="shared" si="1"/>
        <v>oil change</v>
      </c>
      <c r="J5" s="277">
        <f t="shared" si="15"/>
        <v>10689</v>
      </c>
      <c r="K5" s="297">
        <f t="shared" si="2"/>
        <v>0</v>
      </c>
      <c r="L5" s="277">
        <f t="shared" si="15"/>
        <v>237072.3</v>
      </c>
      <c r="M5" s="297">
        <f t="shared" si="3"/>
        <v>0</v>
      </c>
      <c r="N5" s="297">
        <f t="shared" si="16"/>
        <v>0</v>
      </c>
      <c r="O5" s="200"/>
      <c r="P5" s="298">
        <f>P4</f>
        <v>10873</v>
      </c>
      <c r="Q5" s="297" t="str">
        <f t="shared" si="4"/>
        <v>ok</v>
      </c>
      <c r="R5" s="277">
        <v>11039</v>
      </c>
      <c r="S5" s="297">
        <f t="shared" si="5"/>
        <v>3</v>
      </c>
      <c r="T5" s="277">
        <v>215521</v>
      </c>
      <c r="U5" s="297">
        <f t="shared" si="6"/>
        <v>879</v>
      </c>
      <c r="V5" s="297">
        <f>IF(S5&gt;0,U5/S5,0)</f>
        <v>293</v>
      </c>
      <c r="W5" s="200"/>
      <c r="X5" s="298">
        <f t="shared" si="19"/>
        <v>11529</v>
      </c>
      <c r="Y5" s="297" t="str">
        <f t="shared" si="7"/>
        <v>ok</v>
      </c>
      <c r="Z5" s="297">
        <f t="shared" si="8"/>
        <v>3</v>
      </c>
      <c r="AA5" s="297">
        <f t="shared" si="20"/>
        <v>879</v>
      </c>
      <c r="AB5" s="297">
        <f t="shared" si="21"/>
        <v>293</v>
      </c>
      <c r="AC5" s="297">
        <f t="shared" si="22"/>
        <v>293</v>
      </c>
      <c r="AD5" s="74">
        <f>ELEC!Q5</f>
        <v>1262.0000000006257</v>
      </c>
      <c r="AE5" s="74">
        <f t="shared" ref="AE5:AE32" si="24">SUM(AD5/Z5)</f>
        <v>420.66666666687524</v>
      </c>
      <c r="AF5" s="423">
        <f t="shared" ref="AF5:AF32" si="25">SUM(AE5/1600)</f>
        <v>0.26291666666679703</v>
      </c>
      <c r="AG5" s="424">
        <f t="shared" ref="AG5:AG32" si="26">SUM(320*AF5)</f>
        <v>84.133333333375049</v>
      </c>
      <c r="AH5" s="424">
        <f t="shared" si="23"/>
        <v>208.86666666662495</v>
      </c>
      <c r="AI5" s="74">
        <f t="shared" ref="AI5:AI32" si="27">AD5*AJ5</f>
        <v>324.81856540100495</v>
      </c>
      <c r="AJ5" s="299">
        <f t="shared" si="9"/>
        <v>0.25738396624472576</v>
      </c>
      <c r="AK5" s="299">
        <f t="shared" si="10"/>
        <v>108.27285513366832</v>
      </c>
    </row>
    <row r="6" spans="1:37">
      <c r="A6" s="4">
        <f>ELEC!C6</f>
        <v>43925</v>
      </c>
      <c r="B6" s="277">
        <f t="shared" si="11"/>
        <v>8621</v>
      </c>
      <c r="C6" s="297">
        <f t="shared" si="12"/>
        <v>0</v>
      </c>
      <c r="D6" s="277">
        <f t="shared" si="11"/>
        <v>146464</v>
      </c>
      <c r="E6" s="297">
        <f t="shared" si="13"/>
        <v>0</v>
      </c>
      <c r="F6" s="297">
        <f t="shared" si="0"/>
        <v>0</v>
      </c>
      <c r="G6" s="200"/>
      <c r="H6" s="298">
        <f t="shared" si="14"/>
        <v>8497</v>
      </c>
      <c r="I6" s="297" t="str">
        <f t="shared" si="1"/>
        <v>oil change</v>
      </c>
      <c r="J6" s="277">
        <f t="shared" si="15"/>
        <v>10689</v>
      </c>
      <c r="K6" s="297">
        <f t="shared" si="2"/>
        <v>0</v>
      </c>
      <c r="L6" s="277">
        <f t="shared" si="15"/>
        <v>237072.3</v>
      </c>
      <c r="M6" s="297">
        <f t="shared" si="3"/>
        <v>0</v>
      </c>
      <c r="N6" s="297">
        <f t="shared" si="16"/>
        <v>0</v>
      </c>
      <c r="O6" s="322"/>
      <c r="P6" s="298">
        <f t="shared" si="17"/>
        <v>10873</v>
      </c>
      <c r="Q6" s="297" t="str">
        <f t="shared" si="4"/>
        <v>ok</v>
      </c>
      <c r="R6" s="277">
        <v>11042.5</v>
      </c>
      <c r="S6" s="297">
        <f t="shared" si="5"/>
        <v>3.5</v>
      </c>
      <c r="T6" s="277">
        <v>216304</v>
      </c>
      <c r="U6" s="297">
        <f t="shared" si="6"/>
        <v>783</v>
      </c>
      <c r="V6" s="297">
        <f t="shared" si="18"/>
        <v>223.71428571428572</v>
      </c>
      <c r="W6" s="322"/>
      <c r="X6" s="298">
        <f t="shared" si="19"/>
        <v>11529</v>
      </c>
      <c r="Y6" s="297" t="str">
        <f t="shared" si="7"/>
        <v>ok</v>
      </c>
      <c r="Z6" s="297">
        <f t="shared" si="8"/>
        <v>3.5</v>
      </c>
      <c r="AA6" s="297">
        <f t="shared" si="20"/>
        <v>783</v>
      </c>
      <c r="AB6" s="297">
        <f t="shared" si="21"/>
        <v>223.71428571428572</v>
      </c>
      <c r="AC6" s="297">
        <f t="shared" si="22"/>
        <v>223.71428571428572</v>
      </c>
      <c r="AD6" s="74">
        <f>ELEC!Q6</f>
        <v>1641.9999999998254</v>
      </c>
      <c r="AE6" s="74">
        <f>SUM(AD6/Z6)</f>
        <v>469.14285714280726</v>
      </c>
      <c r="AF6" s="423">
        <f t="shared" si="25"/>
        <v>0.29321428571425456</v>
      </c>
      <c r="AG6" s="424">
        <f>SUM(320*AF6)</f>
        <v>93.82857142856146</v>
      </c>
      <c r="AH6" s="424">
        <f t="shared" si="23"/>
        <v>129.88571428572425</v>
      </c>
      <c r="AI6" s="74">
        <f t="shared" si="27"/>
        <v>422.62447257379478</v>
      </c>
      <c r="AJ6" s="299">
        <f t="shared" si="9"/>
        <v>0.25738396624472576</v>
      </c>
      <c r="AK6" s="299">
        <f t="shared" si="10"/>
        <v>120.74984930679851</v>
      </c>
    </row>
    <row r="7" spans="1:37">
      <c r="A7" s="4">
        <f>ELEC!C7</f>
        <v>43926</v>
      </c>
      <c r="B7" s="277">
        <f t="shared" si="11"/>
        <v>8621</v>
      </c>
      <c r="C7" s="297">
        <f t="shared" si="12"/>
        <v>0</v>
      </c>
      <c r="D7" s="277">
        <f t="shared" si="11"/>
        <v>146464</v>
      </c>
      <c r="E7" s="297">
        <f t="shared" si="13"/>
        <v>0</v>
      </c>
      <c r="F7" s="297">
        <f t="shared" si="0"/>
        <v>0</v>
      </c>
      <c r="G7" s="200"/>
      <c r="H7" s="298">
        <f t="shared" si="14"/>
        <v>8497</v>
      </c>
      <c r="I7" s="297" t="str">
        <f t="shared" si="1"/>
        <v>oil change</v>
      </c>
      <c r="J7" s="277">
        <f t="shared" si="15"/>
        <v>10689</v>
      </c>
      <c r="K7" s="297">
        <f t="shared" si="2"/>
        <v>0</v>
      </c>
      <c r="L7" s="277">
        <f t="shared" si="15"/>
        <v>237072.3</v>
      </c>
      <c r="M7" s="297">
        <f t="shared" si="3"/>
        <v>0</v>
      </c>
      <c r="N7" s="297">
        <f t="shared" si="16"/>
        <v>0</v>
      </c>
      <c r="O7" s="322"/>
      <c r="P7" s="298">
        <f t="shared" si="17"/>
        <v>10873</v>
      </c>
      <c r="Q7" s="297" t="str">
        <f t="shared" si="4"/>
        <v>ok</v>
      </c>
      <c r="R7" s="277">
        <v>11045</v>
      </c>
      <c r="S7" s="297">
        <f t="shared" si="5"/>
        <v>2.5</v>
      </c>
      <c r="T7" s="277">
        <v>216853.1</v>
      </c>
      <c r="U7" s="297">
        <f t="shared" si="6"/>
        <v>549.10000000000582</v>
      </c>
      <c r="V7" s="297">
        <f t="shared" si="18"/>
        <v>219.64000000000232</v>
      </c>
      <c r="W7" s="200"/>
      <c r="X7" s="298">
        <f t="shared" si="19"/>
        <v>11529</v>
      </c>
      <c r="Y7" s="297" t="str">
        <f t="shared" si="7"/>
        <v>ok</v>
      </c>
      <c r="Z7" s="297">
        <f t="shared" si="8"/>
        <v>2.5</v>
      </c>
      <c r="AA7" s="297">
        <f>U7+M7+E7</f>
        <v>549.10000000000582</v>
      </c>
      <c r="AB7" s="297">
        <f t="shared" si="21"/>
        <v>219.64000000000232</v>
      </c>
      <c r="AC7" s="297">
        <f t="shared" si="22"/>
        <v>219.64000000000232</v>
      </c>
      <c r="AD7" s="74">
        <f>ELEC!Q7</f>
        <v>1691.000000000713</v>
      </c>
      <c r="AE7" s="74">
        <f t="shared" si="24"/>
        <v>676.40000000028522</v>
      </c>
      <c r="AF7" s="423">
        <f t="shared" si="25"/>
        <v>0.42275000000017826</v>
      </c>
      <c r="AG7" s="531" t="s">
        <v>406</v>
      </c>
      <c r="AH7" s="424" t="e">
        <f t="shared" si="23"/>
        <v>#VALUE!</v>
      </c>
      <c r="AI7" s="74">
        <f t="shared" si="27"/>
        <v>435.23628692001478</v>
      </c>
      <c r="AJ7" s="299">
        <f t="shared" si="9"/>
        <v>0.25738396624472576</v>
      </c>
      <c r="AK7" s="299">
        <f t="shared" si="10"/>
        <v>174.09451476800592</v>
      </c>
    </row>
    <row r="8" spans="1:37">
      <c r="A8" s="4">
        <f>ELEC!C8</f>
        <v>43927</v>
      </c>
      <c r="B8" s="277">
        <v>8621</v>
      </c>
      <c r="C8" s="297">
        <f t="shared" si="12"/>
        <v>0</v>
      </c>
      <c r="D8" s="277">
        <v>146465</v>
      </c>
      <c r="E8" s="297">
        <f t="shared" si="13"/>
        <v>1</v>
      </c>
      <c r="F8" s="297">
        <f t="shared" si="0"/>
        <v>0</v>
      </c>
      <c r="G8" s="200"/>
      <c r="H8" s="298">
        <f t="shared" si="14"/>
        <v>8497</v>
      </c>
      <c r="I8" s="297" t="str">
        <f t="shared" si="1"/>
        <v>oil change</v>
      </c>
      <c r="J8" s="277">
        <v>10689</v>
      </c>
      <c r="K8" s="297">
        <f t="shared" si="2"/>
        <v>0</v>
      </c>
      <c r="L8" s="277">
        <v>237073.6</v>
      </c>
      <c r="M8" s="297">
        <f t="shared" si="3"/>
        <v>1.3000000000174623</v>
      </c>
      <c r="N8" s="297">
        <f t="shared" si="16"/>
        <v>0</v>
      </c>
      <c r="O8" s="200"/>
      <c r="P8" s="298">
        <f t="shared" si="17"/>
        <v>10873</v>
      </c>
      <c r="Q8" s="297" t="str">
        <f t="shared" si="4"/>
        <v>ok</v>
      </c>
      <c r="R8" s="277">
        <v>11048</v>
      </c>
      <c r="S8" s="297">
        <f t="shared" si="5"/>
        <v>3</v>
      </c>
      <c r="T8" s="277">
        <v>217517.1</v>
      </c>
      <c r="U8" s="297">
        <f t="shared" si="6"/>
        <v>664</v>
      </c>
      <c r="V8" s="297">
        <f t="shared" si="18"/>
        <v>221.33333333333334</v>
      </c>
      <c r="W8" s="200"/>
      <c r="X8" s="298">
        <f t="shared" si="19"/>
        <v>11529</v>
      </c>
      <c r="Y8" s="297" t="str">
        <f t="shared" si="7"/>
        <v>ok</v>
      </c>
      <c r="Z8" s="297">
        <f t="shared" si="8"/>
        <v>3</v>
      </c>
      <c r="AA8" s="297">
        <f t="shared" si="20"/>
        <v>666.30000000001746</v>
      </c>
      <c r="AB8" s="297">
        <f t="shared" si="21"/>
        <v>221.33333333333334</v>
      </c>
      <c r="AC8" s="297">
        <f t="shared" si="22"/>
        <v>222.10000000000582</v>
      </c>
      <c r="AD8" s="74">
        <f>ELEC!Q8</f>
        <v>1789.9999999990541</v>
      </c>
      <c r="AE8" s="74">
        <f t="shared" si="24"/>
        <v>596.66666666635138</v>
      </c>
      <c r="AF8" s="423">
        <f t="shared" si="25"/>
        <v>0.37291666666646961</v>
      </c>
      <c r="AG8" s="424">
        <f t="shared" si="26"/>
        <v>119.33333333327028</v>
      </c>
      <c r="AH8" s="424">
        <f t="shared" si="23"/>
        <v>102.76666666673555</v>
      </c>
      <c r="AI8" s="74">
        <f t="shared" si="27"/>
        <v>460.71729957781565</v>
      </c>
      <c r="AJ8" s="299">
        <f t="shared" si="9"/>
        <v>0.25738396624472576</v>
      </c>
      <c r="AK8" s="299">
        <f t="shared" si="10"/>
        <v>153.57243319260522</v>
      </c>
    </row>
    <row r="9" spans="1:37">
      <c r="A9" s="4">
        <f>ELEC!C9</f>
        <v>43928</v>
      </c>
      <c r="B9" s="277">
        <v>8621.06</v>
      </c>
      <c r="C9" s="297">
        <f t="shared" si="12"/>
        <v>5.9999999999490683E-2</v>
      </c>
      <c r="D9" s="277">
        <v>146465.1</v>
      </c>
      <c r="E9" s="297">
        <f t="shared" si="13"/>
        <v>0.10000000000582077</v>
      </c>
      <c r="F9" s="297">
        <f t="shared" si="0"/>
        <v>1.6666666667778272</v>
      </c>
      <c r="G9" s="200"/>
      <c r="H9" s="298">
        <f t="shared" si="14"/>
        <v>8497</v>
      </c>
      <c r="I9" s="297" t="str">
        <f t="shared" si="1"/>
        <v>oil change</v>
      </c>
      <c r="J9" s="277">
        <v>10689.42</v>
      </c>
      <c r="K9" s="297">
        <f t="shared" si="2"/>
        <v>0.42000000000007276</v>
      </c>
      <c r="L9" s="277">
        <v>237073.7</v>
      </c>
      <c r="M9" s="297">
        <f t="shared" si="3"/>
        <v>0.10000000000582077</v>
      </c>
      <c r="N9" s="297">
        <f t="shared" si="16"/>
        <v>0.23809523810905581</v>
      </c>
      <c r="O9" s="200"/>
      <c r="P9" s="298">
        <f t="shared" si="17"/>
        <v>10873</v>
      </c>
      <c r="Q9" s="297" t="str">
        <f t="shared" si="4"/>
        <v>ok</v>
      </c>
      <c r="R9" s="277">
        <v>11051</v>
      </c>
      <c r="S9" s="297">
        <f t="shared" si="5"/>
        <v>3</v>
      </c>
      <c r="T9" s="277">
        <v>218286.9</v>
      </c>
      <c r="U9" s="297">
        <f t="shared" si="6"/>
        <v>769.79999999998836</v>
      </c>
      <c r="V9" s="297">
        <f t="shared" si="18"/>
        <v>256.5999999999961</v>
      </c>
      <c r="W9" s="200"/>
      <c r="X9" s="298">
        <f t="shared" si="19"/>
        <v>11529</v>
      </c>
      <c r="Y9" s="297" t="str">
        <f t="shared" si="7"/>
        <v>ok</v>
      </c>
      <c r="Z9" s="297">
        <f t="shared" si="8"/>
        <v>3.4799999999995634</v>
      </c>
      <c r="AA9" s="297">
        <f t="shared" si="20"/>
        <v>770</v>
      </c>
      <c r="AB9" s="297">
        <f t="shared" si="21"/>
        <v>258.50476190488297</v>
      </c>
      <c r="AC9" s="297">
        <f t="shared" si="22"/>
        <v>221.26436781611972</v>
      </c>
      <c r="AD9" s="74">
        <f>ELEC!Q9</f>
        <v>1399.0000000012515</v>
      </c>
      <c r="AE9" s="74">
        <f t="shared" si="24"/>
        <v>402.01149425328362</v>
      </c>
      <c r="AF9" s="423">
        <f t="shared" si="25"/>
        <v>0.25125718390830226</v>
      </c>
      <c r="AG9" s="424">
        <f t="shared" si="26"/>
        <v>80.40229885065672</v>
      </c>
      <c r="AH9" s="424">
        <f t="shared" si="23"/>
        <v>140.86206896546298</v>
      </c>
      <c r="AI9" s="74">
        <f t="shared" si="27"/>
        <v>360.08016877669343</v>
      </c>
      <c r="AJ9" s="299">
        <v>0.25738396624472576</v>
      </c>
      <c r="AK9" s="299">
        <f t="shared" ref="AK9:AK15" si="28">IF(Z9&gt;0,AI9/Z9,0)</f>
        <v>103.4713128668789</v>
      </c>
    </row>
    <row r="10" spans="1:37">
      <c r="A10" s="4">
        <f>ELEC!C10</f>
        <v>43929</v>
      </c>
      <c r="B10" s="277">
        <v>8621</v>
      </c>
      <c r="C10" s="297">
        <f t="shared" si="12"/>
        <v>-5.9999999999490683E-2</v>
      </c>
      <c r="D10" s="277">
        <v>146465</v>
      </c>
      <c r="E10" s="297">
        <f t="shared" si="13"/>
        <v>-0.10000000000582077</v>
      </c>
      <c r="F10" s="297">
        <f t="shared" si="0"/>
        <v>0</v>
      </c>
      <c r="G10" s="200"/>
      <c r="H10" s="298">
        <f t="shared" si="14"/>
        <v>8497</v>
      </c>
      <c r="I10" s="297" t="str">
        <f t="shared" si="1"/>
        <v>oil change</v>
      </c>
      <c r="J10" s="277">
        <v>10689</v>
      </c>
      <c r="K10" s="297">
        <f t="shared" si="2"/>
        <v>-0.42000000000007276</v>
      </c>
      <c r="L10" s="277">
        <f>L9</f>
        <v>237073.7</v>
      </c>
      <c r="M10" s="297">
        <f t="shared" si="3"/>
        <v>0</v>
      </c>
      <c r="N10" s="297">
        <f t="shared" si="16"/>
        <v>0</v>
      </c>
      <c r="O10" s="200"/>
      <c r="P10" s="298">
        <v>10873</v>
      </c>
      <c r="Q10" s="297" t="str">
        <f t="shared" si="4"/>
        <v>ok</v>
      </c>
      <c r="R10" s="277">
        <v>11055</v>
      </c>
      <c r="S10" s="297">
        <f t="shared" si="5"/>
        <v>4</v>
      </c>
      <c r="T10" s="277">
        <v>219084</v>
      </c>
      <c r="U10" s="297">
        <f t="shared" si="6"/>
        <v>797.10000000000582</v>
      </c>
      <c r="V10" s="297">
        <f t="shared" si="18"/>
        <v>199.27500000000146</v>
      </c>
      <c r="W10" s="200"/>
      <c r="X10" s="298">
        <f t="shared" si="19"/>
        <v>11529</v>
      </c>
      <c r="Y10" s="297" t="str">
        <f t="shared" si="7"/>
        <v>ok</v>
      </c>
      <c r="Z10" s="297">
        <f t="shared" si="8"/>
        <v>3.5200000000004366</v>
      </c>
      <c r="AA10" s="297">
        <f t="shared" si="20"/>
        <v>797</v>
      </c>
      <c r="AB10" s="297">
        <f t="shared" si="21"/>
        <v>199.27500000000146</v>
      </c>
      <c r="AC10" s="297">
        <f t="shared" si="22"/>
        <v>226.42045454542645</v>
      </c>
      <c r="AD10" s="74">
        <f>ELEC!Q10</f>
        <v>1610.9999999989668</v>
      </c>
      <c r="AE10" s="74">
        <f t="shared" si="24"/>
        <v>457.67045454510429</v>
      </c>
      <c r="AF10" s="423">
        <f t="shared" si="25"/>
        <v>0.28604403409069018</v>
      </c>
      <c r="AG10" s="424">
        <f t="shared" si="26"/>
        <v>91.534090909020861</v>
      </c>
      <c r="AH10" s="424">
        <f t="shared" si="23"/>
        <v>134.88636363640558</v>
      </c>
      <c r="AI10" s="74">
        <f t="shared" si="27"/>
        <v>414.64556961998727</v>
      </c>
      <c r="AJ10" s="299">
        <f t="shared" si="9"/>
        <v>0.25738396624472576</v>
      </c>
      <c r="AK10" s="299">
        <f t="shared" si="28"/>
        <v>117.79703682384542</v>
      </c>
    </row>
    <row r="11" spans="1:37">
      <c r="A11" s="4">
        <f>ELEC!C11</f>
        <v>43930</v>
      </c>
      <c r="B11" s="277">
        <f t="shared" si="11"/>
        <v>8621</v>
      </c>
      <c r="C11" s="297">
        <f t="shared" si="12"/>
        <v>0</v>
      </c>
      <c r="D11" s="277">
        <f t="shared" si="11"/>
        <v>146465</v>
      </c>
      <c r="E11" s="297">
        <f t="shared" si="13"/>
        <v>0</v>
      </c>
      <c r="F11" s="297">
        <f t="shared" si="0"/>
        <v>0</v>
      </c>
      <c r="G11" s="200"/>
      <c r="H11" s="298">
        <f t="shared" si="14"/>
        <v>8497</v>
      </c>
      <c r="I11" s="297" t="str">
        <f t="shared" si="1"/>
        <v>oil change</v>
      </c>
      <c r="J11" s="277">
        <f t="shared" si="15"/>
        <v>10689</v>
      </c>
      <c r="K11" s="297">
        <f t="shared" si="2"/>
        <v>0</v>
      </c>
      <c r="L11" s="277">
        <f t="shared" si="15"/>
        <v>237073.7</v>
      </c>
      <c r="M11" s="297">
        <f t="shared" si="3"/>
        <v>0</v>
      </c>
      <c r="N11" s="297">
        <f t="shared" si="16"/>
        <v>0</v>
      </c>
      <c r="O11" s="200"/>
      <c r="P11" s="298">
        <f t="shared" si="17"/>
        <v>10873</v>
      </c>
      <c r="Q11" s="297" t="str">
        <f t="shared" si="4"/>
        <v>ok</v>
      </c>
      <c r="R11" s="277">
        <v>11058</v>
      </c>
      <c r="S11" s="297">
        <f t="shared" si="5"/>
        <v>3</v>
      </c>
      <c r="T11" s="277">
        <v>219869</v>
      </c>
      <c r="U11" s="297">
        <f t="shared" si="6"/>
        <v>785</v>
      </c>
      <c r="V11" s="297">
        <f t="shared" si="18"/>
        <v>261.66666666666669</v>
      </c>
      <c r="W11" s="200"/>
      <c r="X11" s="298">
        <f t="shared" si="19"/>
        <v>11529</v>
      </c>
      <c r="Y11" s="297" t="str">
        <f t="shared" si="7"/>
        <v>ok</v>
      </c>
      <c r="Z11" s="297">
        <f t="shared" si="8"/>
        <v>3</v>
      </c>
      <c r="AA11" s="297">
        <f t="shared" si="20"/>
        <v>785</v>
      </c>
      <c r="AB11" s="297">
        <f t="shared" si="21"/>
        <v>261.66666666666669</v>
      </c>
      <c r="AC11" s="297">
        <f t="shared" si="22"/>
        <v>261.66666666666669</v>
      </c>
      <c r="AD11" s="74">
        <f>ELEC!Q11</f>
        <v>1867.0000000001892</v>
      </c>
      <c r="AE11" s="74">
        <f t="shared" si="24"/>
        <v>622.33333333339635</v>
      </c>
      <c r="AF11" s="423">
        <f t="shared" si="25"/>
        <v>0.38895833333337271</v>
      </c>
      <c r="AG11" s="424">
        <f t="shared" si="26"/>
        <v>124.46666666667926</v>
      </c>
      <c r="AH11" s="424">
        <f t="shared" si="23"/>
        <v>137.19999999998743</v>
      </c>
      <c r="AI11" s="74">
        <f t="shared" si="27"/>
        <v>480.53586497895168</v>
      </c>
      <c r="AJ11" s="299">
        <f t="shared" si="9"/>
        <v>0.25738396624472576</v>
      </c>
      <c r="AK11" s="299">
        <f t="shared" si="28"/>
        <v>160.17862165965056</v>
      </c>
    </row>
    <row r="12" spans="1:37">
      <c r="A12" s="4">
        <f>ELEC!C12</f>
        <v>43931</v>
      </c>
      <c r="B12" s="277">
        <f t="shared" si="11"/>
        <v>8621</v>
      </c>
      <c r="C12" s="297">
        <f t="shared" si="12"/>
        <v>0</v>
      </c>
      <c r="D12" s="277">
        <f t="shared" si="11"/>
        <v>146465</v>
      </c>
      <c r="E12" s="297">
        <f t="shared" si="13"/>
        <v>0</v>
      </c>
      <c r="F12" s="297">
        <f t="shared" si="0"/>
        <v>0</v>
      </c>
      <c r="G12" s="200"/>
      <c r="H12" s="298">
        <f t="shared" si="14"/>
        <v>8497</v>
      </c>
      <c r="I12" s="297" t="str">
        <f t="shared" si="1"/>
        <v>oil change</v>
      </c>
      <c r="J12" s="277">
        <f t="shared" si="15"/>
        <v>10689</v>
      </c>
      <c r="K12" s="297">
        <f t="shared" si="2"/>
        <v>0</v>
      </c>
      <c r="L12" s="277">
        <f t="shared" si="15"/>
        <v>237073.7</v>
      </c>
      <c r="M12" s="297">
        <f t="shared" si="3"/>
        <v>0</v>
      </c>
      <c r="N12" s="297">
        <f t="shared" si="16"/>
        <v>0</v>
      </c>
      <c r="O12" s="200"/>
      <c r="P12" s="298">
        <f t="shared" si="17"/>
        <v>10873</v>
      </c>
      <c r="Q12" s="297" t="str">
        <f t="shared" si="4"/>
        <v>ok</v>
      </c>
      <c r="R12" s="277">
        <v>11061</v>
      </c>
      <c r="S12" s="297">
        <f t="shared" si="5"/>
        <v>3</v>
      </c>
      <c r="T12" s="277">
        <v>220678</v>
      </c>
      <c r="U12" s="297">
        <f t="shared" si="6"/>
        <v>809</v>
      </c>
      <c r="V12" s="297">
        <f t="shared" si="18"/>
        <v>269.66666666666669</v>
      </c>
      <c r="W12" s="200"/>
      <c r="X12" s="298">
        <f t="shared" si="19"/>
        <v>11529</v>
      </c>
      <c r="Y12" s="297" t="str">
        <f t="shared" si="7"/>
        <v>ok</v>
      </c>
      <c r="Z12" s="297">
        <f t="shared" si="8"/>
        <v>3</v>
      </c>
      <c r="AA12" s="297">
        <f t="shared" si="20"/>
        <v>809</v>
      </c>
      <c r="AB12" s="297">
        <f t="shared" si="21"/>
        <v>269.66666666666669</v>
      </c>
      <c r="AC12" s="297">
        <f t="shared" si="22"/>
        <v>269.66666666666669</v>
      </c>
      <c r="AD12" s="74">
        <f>ELEC!Q12</f>
        <v>1000</v>
      </c>
      <c r="AE12" s="74">
        <f t="shared" si="24"/>
        <v>333.33333333333331</v>
      </c>
      <c r="AF12" s="423">
        <f t="shared" si="25"/>
        <v>0.20833333333333331</v>
      </c>
      <c r="AG12" s="424">
        <f t="shared" si="26"/>
        <v>66.666666666666657</v>
      </c>
      <c r="AH12" s="424">
        <f t="shared" si="23"/>
        <v>203.00000000000003</v>
      </c>
      <c r="AI12" s="74">
        <f t="shared" si="27"/>
        <v>257.38396624472574</v>
      </c>
      <c r="AJ12" s="299">
        <f t="shared" si="9"/>
        <v>0.25738396624472576</v>
      </c>
      <c r="AK12" s="299">
        <f t="shared" si="28"/>
        <v>85.794655414908576</v>
      </c>
    </row>
    <row r="13" spans="1:37">
      <c r="A13" s="4">
        <f>ELEC!C13</f>
        <v>43932</v>
      </c>
      <c r="B13" s="277">
        <f t="shared" si="11"/>
        <v>8621</v>
      </c>
      <c r="C13" s="297">
        <f t="shared" si="12"/>
        <v>0</v>
      </c>
      <c r="D13" s="277">
        <f t="shared" si="11"/>
        <v>146465</v>
      </c>
      <c r="E13" s="297">
        <f t="shared" si="13"/>
        <v>0</v>
      </c>
      <c r="F13" s="297">
        <f t="shared" si="0"/>
        <v>0</v>
      </c>
      <c r="G13" s="200"/>
      <c r="H13" s="298">
        <f t="shared" si="14"/>
        <v>8497</v>
      </c>
      <c r="I13" s="297" t="str">
        <f t="shared" si="1"/>
        <v>oil change</v>
      </c>
      <c r="J13" s="277">
        <f t="shared" si="15"/>
        <v>10689</v>
      </c>
      <c r="K13" s="297">
        <f t="shared" si="2"/>
        <v>0</v>
      </c>
      <c r="L13" s="277">
        <f t="shared" si="15"/>
        <v>237073.7</v>
      </c>
      <c r="M13" s="297">
        <f t="shared" si="3"/>
        <v>0</v>
      </c>
      <c r="N13" s="297">
        <f t="shared" si="16"/>
        <v>0</v>
      </c>
      <c r="O13" s="200"/>
      <c r="P13" s="298">
        <f t="shared" si="17"/>
        <v>10873</v>
      </c>
      <c r="Q13" s="297" t="str">
        <f t="shared" si="4"/>
        <v>ok</v>
      </c>
      <c r="R13" s="277">
        <v>11066</v>
      </c>
      <c r="S13" s="297">
        <f t="shared" si="5"/>
        <v>5</v>
      </c>
      <c r="T13" s="277">
        <v>222252</v>
      </c>
      <c r="U13" s="297">
        <f t="shared" si="6"/>
        <v>1574</v>
      </c>
      <c r="V13" s="297">
        <f t="shared" si="18"/>
        <v>314.8</v>
      </c>
      <c r="W13" s="200"/>
      <c r="X13" s="298">
        <f>X12+180</f>
        <v>11709</v>
      </c>
      <c r="Y13" s="297" t="str">
        <f t="shared" si="7"/>
        <v>ok</v>
      </c>
      <c r="Z13" s="297">
        <f t="shared" si="8"/>
        <v>5</v>
      </c>
      <c r="AA13" s="297">
        <f t="shared" si="20"/>
        <v>1574</v>
      </c>
      <c r="AB13" s="297">
        <f t="shared" si="21"/>
        <v>314.8</v>
      </c>
      <c r="AC13" s="297">
        <f t="shared" si="22"/>
        <v>314.8</v>
      </c>
      <c r="AD13" s="74">
        <f>ELEC!Q13</f>
        <v>2000</v>
      </c>
      <c r="AE13" s="74">
        <f t="shared" si="24"/>
        <v>400</v>
      </c>
      <c r="AF13" s="423">
        <f t="shared" si="25"/>
        <v>0.25</v>
      </c>
      <c r="AG13" s="424">
        <f t="shared" si="26"/>
        <v>80</v>
      </c>
      <c r="AH13" s="424">
        <f t="shared" si="23"/>
        <v>234.8</v>
      </c>
      <c r="AI13" s="74">
        <f t="shared" si="27"/>
        <v>514.76793248945148</v>
      </c>
      <c r="AJ13" s="299">
        <f t="shared" si="9"/>
        <v>0.25738396624472576</v>
      </c>
      <c r="AK13" s="299">
        <f t="shared" si="28"/>
        <v>102.9535864978903</v>
      </c>
    </row>
    <row r="14" spans="1:37">
      <c r="A14" s="4">
        <f>ELEC!C14</f>
        <v>43933</v>
      </c>
      <c r="B14" s="277">
        <f t="shared" si="11"/>
        <v>8621</v>
      </c>
      <c r="C14" s="297">
        <f t="shared" si="12"/>
        <v>0</v>
      </c>
      <c r="D14" s="277">
        <f t="shared" si="11"/>
        <v>146465</v>
      </c>
      <c r="E14" s="297">
        <f t="shared" si="13"/>
        <v>0</v>
      </c>
      <c r="F14" s="297">
        <f t="shared" si="0"/>
        <v>0</v>
      </c>
      <c r="G14" s="200"/>
      <c r="H14" s="298">
        <f t="shared" si="14"/>
        <v>8497</v>
      </c>
      <c r="I14" s="297" t="str">
        <f t="shared" si="1"/>
        <v>oil change</v>
      </c>
      <c r="J14" s="277">
        <f t="shared" si="15"/>
        <v>10689</v>
      </c>
      <c r="K14" s="297">
        <f t="shared" si="2"/>
        <v>0</v>
      </c>
      <c r="L14" s="277">
        <f t="shared" si="15"/>
        <v>237073.7</v>
      </c>
      <c r="M14" s="297">
        <f t="shared" si="3"/>
        <v>0</v>
      </c>
      <c r="N14" s="297">
        <f t="shared" si="16"/>
        <v>0</v>
      </c>
      <c r="O14" s="200"/>
      <c r="P14" s="298">
        <f t="shared" si="17"/>
        <v>10873</v>
      </c>
      <c r="Q14" s="297" t="str">
        <f t="shared" si="4"/>
        <v>ok</v>
      </c>
      <c r="R14" s="277">
        <v>11067</v>
      </c>
      <c r="S14" s="297">
        <f t="shared" si="5"/>
        <v>1</v>
      </c>
      <c r="T14" s="277">
        <v>222748</v>
      </c>
      <c r="U14" s="297">
        <f t="shared" si="6"/>
        <v>496</v>
      </c>
      <c r="V14" s="297">
        <f t="shared" si="18"/>
        <v>496</v>
      </c>
      <c r="W14" s="200"/>
      <c r="X14" s="298">
        <f t="shared" si="19"/>
        <v>11709</v>
      </c>
      <c r="Y14" s="297" t="str">
        <f t="shared" si="7"/>
        <v>ok</v>
      </c>
      <c r="Z14" s="297">
        <f t="shared" si="8"/>
        <v>1</v>
      </c>
      <c r="AA14" s="297">
        <f t="shared" si="20"/>
        <v>496</v>
      </c>
      <c r="AB14" s="297">
        <f t="shared" si="21"/>
        <v>496</v>
      </c>
      <c r="AC14" s="297">
        <f t="shared" si="22"/>
        <v>496</v>
      </c>
      <c r="AD14" s="74">
        <f>ELEC!Q14</f>
        <v>1000</v>
      </c>
      <c r="AE14" s="74">
        <f t="shared" si="24"/>
        <v>1000</v>
      </c>
      <c r="AF14" s="423">
        <f t="shared" si="25"/>
        <v>0.625</v>
      </c>
      <c r="AG14" s="424">
        <f t="shared" si="26"/>
        <v>200</v>
      </c>
      <c r="AH14" s="424">
        <f t="shared" si="23"/>
        <v>296</v>
      </c>
      <c r="AI14" s="74">
        <f t="shared" si="27"/>
        <v>257.38396624472574</v>
      </c>
      <c r="AJ14" s="299">
        <f t="shared" si="9"/>
        <v>0.25738396624472576</v>
      </c>
      <c r="AK14" s="299">
        <f t="shared" si="28"/>
        <v>257.38396624472574</v>
      </c>
    </row>
    <row r="15" spans="1:37">
      <c r="A15" s="4">
        <f>ELEC!C15</f>
        <v>43934</v>
      </c>
      <c r="B15" s="277">
        <f t="shared" si="11"/>
        <v>8621</v>
      </c>
      <c r="C15" s="297">
        <f t="shared" si="12"/>
        <v>0</v>
      </c>
      <c r="D15" s="277">
        <f t="shared" si="11"/>
        <v>146465</v>
      </c>
      <c r="E15" s="297">
        <f t="shared" si="13"/>
        <v>0</v>
      </c>
      <c r="F15" s="297">
        <f t="shared" si="0"/>
        <v>0</v>
      </c>
      <c r="G15" s="200"/>
      <c r="H15" s="298">
        <f t="shared" si="14"/>
        <v>8497</v>
      </c>
      <c r="I15" s="297" t="str">
        <f t="shared" si="1"/>
        <v>oil change</v>
      </c>
      <c r="J15" s="277">
        <f t="shared" si="15"/>
        <v>10689</v>
      </c>
      <c r="K15" s="297">
        <f t="shared" si="2"/>
        <v>0</v>
      </c>
      <c r="L15" s="277">
        <f t="shared" si="15"/>
        <v>237073.7</v>
      </c>
      <c r="M15" s="297">
        <f t="shared" si="3"/>
        <v>0</v>
      </c>
      <c r="N15" s="297">
        <f t="shared" si="16"/>
        <v>0</v>
      </c>
      <c r="O15" s="200"/>
      <c r="P15" s="298">
        <f t="shared" si="17"/>
        <v>10873</v>
      </c>
      <c r="Q15" s="297" t="str">
        <f t="shared" si="4"/>
        <v>ok</v>
      </c>
      <c r="R15" s="277">
        <v>11070</v>
      </c>
      <c r="S15" s="297">
        <f t="shared" si="5"/>
        <v>3</v>
      </c>
      <c r="T15" s="277">
        <v>223552</v>
      </c>
      <c r="U15" s="297">
        <f t="shared" si="6"/>
        <v>804</v>
      </c>
      <c r="V15" s="297">
        <f t="shared" si="18"/>
        <v>268</v>
      </c>
      <c r="W15" s="200"/>
      <c r="X15" s="298">
        <f t="shared" si="19"/>
        <v>11709</v>
      </c>
      <c r="Y15" s="297" t="str">
        <f t="shared" si="7"/>
        <v>ok</v>
      </c>
      <c r="Z15" s="297">
        <f t="shared" si="8"/>
        <v>3</v>
      </c>
      <c r="AA15" s="297">
        <f t="shared" si="20"/>
        <v>804</v>
      </c>
      <c r="AB15" s="297">
        <f t="shared" si="21"/>
        <v>268</v>
      </c>
      <c r="AC15" s="297">
        <f t="shared" si="22"/>
        <v>268</v>
      </c>
      <c r="AD15" s="74">
        <f>ELEC!Q15</f>
        <v>1000</v>
      </c>
      <c r="AE15" s="74">
        <f t="shared" si="24"/>
        <v>333.33333333333331</v>
      </c>
      <c r="AF15" s="423">
        <f t="shared" si="25"/>
        <v>0.20833333333333331</v>
      </c>
      <c r="AG15" s="424">
        <f t="shared" si="26"/>
        <v>66.666666666666657</v>
      </c>
      <c r="AH15" s="424">
        <f t="shared" si="23"/>
        <v>201.33333333333334</v>
      </c>
      <c r="AI15" s="74">
        <f t="shared" si="27"/>
        <v>257.38396624472574</v>
      </c>
      <c r="AJ15" s="299">
        <f t="shared" si="9"/>
        <v>0.25738396624472576</v>
      </c>
      <c r="AK15" s="299">
        <f t="shared" si="28"/>
        <v>85.794655414908576</v>
      </c>
    </row>
    <row r="16" spans="1:37">
      <c r="A16" s="4">
        <f>ELEC!C16</f>
        <v>43935</v>
      </c>
      <c r="B16" s="277">
        <v>8621.08</v>
      </c>
      <c r="C16" s="297">
        <f t="shared" si="12"/>
        <v>7.999999999992724E-2</v>
      </c>
      <c r="D16" s="277">
        <v>146465.60000000001</v>
      </c>
      <c r="E16" s="297">
        <f t="shared" si="13"/>
        <v>0.60000000000582077</v>
      </c>
      <c r="F16" s="297">
        <f t="shared" si="0"/>
        <v>7.5000000000795808</v>
      </c>
      <c r="G16" s="200"/>
      <c r="H16" s="298">
        <f t="shared" si="14"/>
        <v>8497</v>
      </c>
      <c r="I16" s="297" t="str">
        <f t="shared" si="1"/>
        <v>oil change</v>
      </c>
      <c r="J16" s="277">
        <v>10689.42</v>
      </c>
      <c r="K16" s="297">
        <f t="shared" si="2"/>
        <v>0.42000000000007276</v>
      </c>
      <c r="L16" s="277">
        <v>237074.02</v>
      </c>
      <c r="M16" s="297">
        <f t="shared" si="3"/>
        <v>0.31999999997788109</v>
      </c>
      <c r="N16" s="297">
        <f t="shared" si="16"/>
        <v>0.76190476185196587</v>
      </c>
      <c r="O16" s="200"/>
      <c r="P16" s="298">
        <f t="shared" si="17"/>
        <v>10873</v>
      </c>
      <c r="Q16" s="297" t="str">
        <f t="shared" si="4"/>
        <v>ok</v>
      </c>
      <c r="R16" s="277">
        <v>11074.4</v>
      </c>
      <c r="S16" s="568">
        <f t="shared" si="5"/>
        <v>4.3999999999996362</v>
      </c>
      <c r="T16" s="277">
        <v>224558.9</v>
      </c>
      <c r="U16" s="297">
        <f t="shared" si="6"/>
        <v>1006.8999999999942</v>
      </c>
      <c r="V16" s="297">
        <f t="shared" si="18"/>
        <v>228.84090909092669</v>
      </c>
      <c r="W16" s="200"/>
      <c r="X16" s="298">
        <f t="shared" si="19"/>
        <v>11709</v>
      </c>
      <c r="Y16" s="297" t="str">
        <f t="shared" si="7"/>
        <v>ok</v>
      </c>
      <c r="Z16" s="297">
        <f>C16+K16+S16</f>
        <v>4.8999999999996362</v>
      </c>
      <c r="AA16" s="297">
        <f t="shared" si="20"/>
        <v>1007.8199999999779</v>
      </c>
      <c r="AB16" s="297">
        <f t="shared" si="21"/>
        <v>237.10281385285822</v>
      </c>
      <c r="AC16" s="297">
        <f>IF(Z16&gt;0,AA16/Z16,0)</f>
        <v>205.67755102041892</v>
      </c>
      <c r="AD16" s="74">
        <f>ELEC!Q16</f>
        <v>2113.999999999578</v>
      </c>
      <c r="AE16" s="74">
        <f>SUM(AD16/Z16)</f>
        <v>431.42857142851733</v>
      </c>
      <c r="AF16" s="423">
        <f t="shared" si="25"/>
        <v>0.26964285714282332</v>
      </c>
      <c r="AG16" s="424">
        <f t="shared" si="26"/>
        <v>86.285714285703463</v>
      </c>
      <c r="AH16" s="424">
        <f t="shared" si="23"/>
        <v>119.39183673471545</v>
      </c>
      <c r="AI16" s="74">
        <f t="shared" si="27"/>
        <v>544.10970464124159</v>
      </c>
      <c r="AJ16" s="299">
        <f t="shared" si="9"/>
        <v>0.25738396624472576</v>
      </c>
      <c r="AK16" s="299">
        <f>IF(Z16&gt;0,AI16/Z16,0)</f>
        <v>111.04279686556775</v>
      </c>
    </row>
    <row r="17" spans="1:37">
      <c r="A17" s="4">
        <f>ELEC!C17</f>
        <v>43936</v>
      </c>
      <c r="B17" s="277">
        <f>B16</f>
        <v>8621.08</v>
      </c>
      <c r="C17" s="297">
        <f t="shared" si="12"/>
        <v>0</v>
      </c>
      <c r="D17" s="277">
        <v>146479</v>
      </c>
      <c r="E17" s="297">
        <f t="shared" si="13"/>
        <v>13.399999999994179</v>
      </c>
      <c r="F17" s="297">
        <f t="shared" si="0"/>
        <v>0</v>
      </c>
      <c r="G17" s="200"/>
      <c r="H17" s="298">
        <f>H16+180</f>
        <v>8677</v>
      </c>
      <c r="I17" s="297" t="str">
        <f t="shared" si="1"/>
        <v>ok</v>
      </c>
      <c r="J17" s="277">
        <f>J16</f>
        <v>10689.42</v>
      </c>
      <c r="K17" s="297">
        <f t="shared" si="2"/>
        <v>0</v>
      </c>
      <c r="L17" s="277">
        <v>237074.2</v>
      </c>
      <c r="M17" s="297">
        <f t="shared" si="3"/>
        <v>0.18000000002211891</v>
      </c>
      <c r="N17" s="297">
        <f t="shared" si="16"/>
        <v>0</v>
      </c>
      <c r="O17" s="200"/>
      <c r="P17" s="298">
        <f t="shared" si="17"/>
        <v>10873</v>
      </c>
      <c r="Q17" s="297" t="str">
        <f t="shared" si="4"/>
        <v>ok</v>
      </c>
      <c r="R17" s="277">
        <v>11077</v>
      </c>
      <c r="S17" s="571">
        <f t="shared" si="5"/>
        <v>2.6000000000003638</v>
      </c>
      <c r="T17" s="277">
        <v>225305.5</v>
      </c>
      <c r="U17" s="297">
        <f t="shared" si="6"/>
        <v>746.60000000000582</v>
      </c>
      <c r="V17" s="297">
        <f t="shared" si="18"/>
        <v>287.15384615380822</v>
      </c>
      <c r="W17" s="200"/>
      <c r="X17" s="298">
        <f t="shared" si="19"/>
        <v>11709</v>
      </c>
      <c r="Y17" s="297" t="str">
        <f t="shared" si="7"/>
        <v>ok</v>
      </c>
      <c r="Z17" s="297">
        <f>C17+K17+S17</f>
        <v>2.6000000000003638</v>
      </c>
      <c r="AA17" s="297">
        <f t="shared" si="20"/>
        <v>760.18000000002212</v>
      </c>
      <c r="AB17" s="297">
        <f t="shared" si="21"/>
        <v>287.15384615380822</v>
      </c>
      <c r="AC17" s="297">
        <f>IF(Z17&gt;0,AA17/Z17,0)</f>
        <v>292.37692307689065</v>
      </c>
      <c r="AD17" s="74">
        <f>ELEC!Q17</f>
        <v>1750</v>
      </c>
      <c r="AE17" s="74">
        <f>SUM(AD17/Z17)</f>
        <v>673.07692307682885</v>
      </c>
      <c r="AF17" s="423">
        <f t="shared" si="25"/>
        <v>0.42067307692301803</v>
      </c>
      <c r="AG17" s="424">
        <f t="shared" si="26"/>
        <v>134.61538461536577</v>
      </c>
      <c r="AH17" s="424">
        <f t="shared" si="23"/>
        <v>157.76153846152488</v>
      </c>
      <c r="AI17" s="74">
        <f t="shared" si="27"/>
        <v>450.42194092827009</v>
      </c>
      <c r="AJ17" s="299">
        <f t="shared" si="9"/>
        <v>0.25738396624472576</v>
      </c>
      <c r="AK17" s="299">
        <f>IF(Z17&gt;0,AI17/Z17,0)</f>
        <v>173.23920804931041</v>
      </c>
    </row>
    <row r="18" spans="1:37">
      <c r="A18" s="4">
        <f>ELEC!C18</f>
        <v>43937</v>
      </c>
      <c r="B18" s="277">
        <f t="shared" si="11"/>
        <v>8621.08</v>
      </c>
      <c r="C18" s="297">
        <f t="shared" si="12"/>
        <v>0</v>
      </c>
      <c r="D18" s="277">
        <f t="shared" si="11"/>
        <v>146479</v>
      </c>
      <c r="E18" s="297">
        <f t="shared" si="13"/>
        <v>0</v>
      </c>
      <c r="F18" s="297">
        <f t="shared" si="0"/>
        <v>0</v>
      </c>
      <c r="G18" s="200"/>
      <c r="H18" s="298">
        <f t="shared" si="14"/>
        <v>8677</v>
      </c>
      <c r="I18" s="297" t="str">
        <f t="shared" si="1"/>
        <v>ok</v>
      </c>
      <c r="J18" s="277">
        <f t="shared" si="15"/>
        <v>10689.42</v>
      </c>
      <c r="K18" s="297">
        <f t="shared" si="2"/>
        <v>0</v>
      </c>
      <c r="L18" s="277">
        <f t="shared" si="15"/>
        <v>237074.2</v>
      </c>
      <c r="M18" s="297">
        <f t="shared" si="3"/>
        <v>0</v>
      </c>
      <c r="N18" s="297">
        <f t="shared" si="16"/>
        <v>0</v>
      </c>
      <c r="O18" s="200"/>
      <c r="P18" s="298">
        <f t="shared" si="17"/>
        <v>10873</v>
      </c>
      <c r="Q18" s="297" t="str">
        <f>IF(J18-P14&lt;=0,"ok","oil change")</f>
        <v>ok</v>
      </c>
      <c r="R18" s="277">
        <v>11078</v>
      </c>
      <c r="S18" s="297">
        <f t="shared" si="5"/>
        <v>1</v>
      </c>
      <c r="T18" s="277">
        <v>225501.7</v>
      </c>
      <c r="U18" s="297">
        <f t="shared" si="6"/>
        <v>196.20000000001164</v>
      </c>
      <c r="V18" s="297">
        <f t="shared" si="18"/>
        <v>196.20000000001164</v>
      </c>
      <c r="W18" s="354"/>
      <c r="X18" s="298">
        <f t="shared" si="19"/>
        <v>11709</v>
      </c>
      <c r="Y18" s="297" t="str">
        <f t="shared" si="7"/>
        <v>ok</v>
      </c>
      <c r="Z18" s="297">
        <f t="shared" si="8"/>
        <v>1</v>
      </c>
      <c r="AA18" s="297">
        <f t="shared" si="20"/>
        <v>196.20000000001164</v>
      </c>
      <c r="AB18" s="297">
        <f t="shared" si="21"/>
        <v>196.20000000001164</v>
      </c>
      <c r="AC18" s="297">
        <f t="shared" si="22"/>
        <v>196.20000000001164</v>
      </c>
      <c r="AD18" s="74">
        <f>ELEC!Q18</f>
        <v>636.00000000042201</v>
      </c>
      <c r="AE18" s="74">
        <f t="shared" si="24"/>
        <v>636.00000000042201</v>
      </c>
      <c r="AF18" s="423">
        <f t="shared" si="25"/>
        <v>0.39750000000026375</v>
      </c>
      <c r="AG18" s="424">
        <f t="shared" si="26"/>
        <v>127.2000000000844</v>
      </c>
      <c r="AH18" s="424">
        <f t="shared" si="23"/>
        <v>68.99999999992724</v>
      </c>
      <c r="AI18" s="74">
        <f t="shared" si="27"/>
        <v>163.69620253175421</v>
      </c>
      <c r="AJ18" s="299">
        <f t="shared" si="9"/>
        <v>0.25738396624472576</v>
      </c>
      <c r="AK18" s="299">
        <f t="shared" ref="AK18:AK32" si="29">IF(Z18&gt;0,AI18/Z18,0)</f>
        <v>163.69620253175421</v>
      </c>
    </row>
    <row r="19" spans="1:37">
      <c r="A19" s="4">
        <f>ELEC!C19</f>
        <v>43938</v>
      </c>
      <c r="B19" s="277">
        <f t="shared" si="11"/>
        <v>8621.08</v>
      </c>
      <c r="C19" s="297">
        <f t="shared" si="12"/>
        <v>0</v>
      </c>
      <c r="D19" s="277">
        <f t="shared" si="11"/>
        <v>146479</v>
      </c>
      <c r="E19" s="297">
        <f t="shared" si="13"/>
        <v>0</v>
      </c>
      <c r="F19" s="297">
        <f t="shared" si="0"/>
        <v>0</v>
      </c>
      <c r="G19" s="200"/>
      <c r="H19" s="298">
        <f t="shared" si="14"/>
        <v>8677</v>
      </c>
      <c r="I19" s="297" t="str">
        <f t="shared" si="1"/>
        <v>ok</v>
      </c>
      <c r="J19" s="277">
        <f t="shared" si="15"/>
        <v>10689.42</v>
      </c>
      <c r="K19" s="297">
        <f t="shared" si="2"/>
        <v>0</v>
      </c>
      <c r="L19" s="277">
        <f t="shared" si="15"/>
        <v>237074.2</v>
      </c>
      <c r="M19" s="297">
        <f t="shared" si="3"/>
        <v>0</v>
      </c>
      <c r="N19" s="297">
        <f t="shared" si="16"/>
        <v>0</v>
      </c>
      <c r="O19" s="200"/>
      <c r="P19" s="298">
        <f t="shared" si="17"/>
        <v>10873</v>
      </c>
      <c r="Q19" s="297" t="str">
        <f t="shared" ref="Q19:Q32" si="30">IF(J19-P19&lt;=0,"ok","oil change")</f>
        <v>ok</v>
      </c>
      <c r="R19" s="277">
        <v>11081</v>
      </c>
      <c r="S19" s="297">
        <f t="shared" si="5"/>
        <v>3</v>
      </c>
      <c r="T19" s="277">
        <v>226191</v>
      </c>
      <c r="U19" s="297">
        <f t="shared" si="6"/>
        <v>689.29999999998836</v>
      </c>
      <c r="V19" s="297">
        <f t="shared" si="18"/>
        <v>229.76666666666279</v>
      </c>
      <c r="W19" s="200"/>
      <c r="X19" s="298">
        <f t="shared" si="19"/>
        <v>11709</v>
      </c>
      <c r="Y19" s="297" t="str">
        <f t="shared" si="7"/>
        <v>ok</v>
      </c>
      <c r="Z19" s="297">
        <f t="shared" si="8"/>
        <v>3</v>
      </c>
      <c r="AA19" s="297">
        <f t="shared" si="20"/>
        <v>689.29999999998836</v>
      </c>
      <c r="AB19" s="297">
        <f t="shared" si="21"/>
        <v>229.76666666666279</v>
      </c>
      <c r="AC19" s="297">
        <f t="shared" si="22"/>
        <v>229.76666666666279</v>
      </c>
      <c r="AD19" s="74">
        <f>ELEC!Q19</f>
        <v>1789.0000000006694</v>
      </c>
      <c r="AE19" s="74">
        <f t="shared" si="24"/>
        <v>596.33333333355642</v>
      </c>
      <c r="AF19" s="423">
        <f t="shared" si="25"/>
        <v>0.37270833333347275</v>
      </c>
      <c r="AG19" s="424">
        <f t="shared" si="26"/>
        <v>119.26666666671127</v>
      </c>
      <c r="AH19" s="424">
        <f t="shared" si="23"/>
        <v>110.49999999995151</v>
      </c>
      <c r="AI19" s="74">
        <f t="shared" si="27"/>
        <v>460.45991561198667</v>
      </c>
      <c r="AJ19" s="299">
        <f t="shared" si="9"/>
        <v>0.25738396624472576</v>
      </c>
      <c r="AK19" s="299">
        <f t="shared" si="29"/>
        <v>153.4866385373289</v>
      </c>
    </row>
    <row r="20" spans="1:37">
      <c r="A20" s="4">
        <f>ELEC!C20</f>
        <v>43939</v>
      </c>
      <c r="B20" s="277">
        <f t="shared" si="11"/>
        <v>8621.08</v>
      </c>
      <c r="C20" s="297">
        <f>B20-B19</f>
        <v>0</v>
      </c>
      <c r="D20" s="277">
        <f t="shared" si="11"/>
        <v>146479</v>
      </c>
      <c r="E20" s="297">
        <f t="shared" si="13"/>
        <v>0</v>
      </c>
      <c r="F20" s="297">
        <f t="shared" si="0"/>
        <v>0</v>
      </c>
      <c r="G20" s="200"/>
      <c r="H20" s="298">
        <f t="shared" si="14"/>
        <v>8677</v>
      </c>
      <c r="I20" s="297" t="str">
        <f t="shared" si="1"/>
        <v>ok</v>
      </c>
      <c r="J20" s="277">
        <f t="shared" si="15"/>
        <v>10689.42</v>
      </c>
      <c r="K20" s="297">
        <f t="shared" si="2"/>
        <v>0</v>
      </c>
      <c r="L20" s="277">
        <f t="shared" si="15"/>
        <v>237074.2</v>
      </c>
      <c r="M20" s="297">
        <f t="shared" si="3"/>
        <v>0</v>
      </c>
      <c r="N20" s="297">
        <f t="shared" si="16"/>
        <v>0</v>
      </c>
      <c r="O20" s="200"/>
      <c r="P20" s="298">
        <f t="shared" si="17"/>
        <v>10873</v>
      </c>
      <c r="Q20" s="297" t="str">
        <f t="shared" si="30"/>
        <v>ok</v>
      </c>
      <c r="R20" s="277">
        <v>11084</v>
      </c>
      <c r="S20" s="297">
        <f t="shared" si="5"/>
        <v>3</v>
      </c>
      <c r="T20" s="277">
        <v>227029.6</v>
      </c>
      <c r="U20" s="297">
        <f t="shared" ref="U20:U32" si="31">SUM(T20-T19)</f>
        <v>838.60000000000582</v>
      </c>
      <c r="V20" s="297">
        <f t="shared" si="18"/>
        <v>279.53333333333529</v>
      </c>
      <c r="W20" s="200"/>
      <c r="X20" s="298">
        <f t="shared" si="19"/>
        <v>11709</v>
      </c>
      <c r="Y20" s="297" t="str">
        <f t="shared" si="7"/>
        <v>ok</v>
      </c>
      <c r="Z20" s="297">
        <f t="shared" si="8"/>
        <v>3</v>
      </c>
      <c r="AA20" s="297">
        <f t="shared" si="20"/>
        <v>838.60000000000582</v>
      </c>
      <c r="AB20" s="297">
        <f t="shared" si="21"/>
        <v>279.53333333333529</v>
      </c>
      <c r="AC20" s="297">
        <f t="shared" si="22"/>
        <v>279.53333333333529</v>
      </c>
      <c r="AD20" s="74">
        <f>ELEC!Q20</f>
        <v>1686.9999999998981</v>
      </c>
      <c r="AE20" s="74">
        <f t="shared" si="24"/>
        <v>562.33333333329938</v>
      </c>
      <c r="AF20" s="423">
        <f t="shared" si="25"/>
        <v>0.35145833333331211</v>
      </c>
      <c r="AG20" s="424">
        <f t="shared" si="26"/>
        <v>112.46666666665988</v>
      </c>
      <c r="AH20" s="424">
        <f t="shared" si="23"/>
        <v>167.06666666667542</v>
      </c>
      <c r="AI20" s="74">
        <f>AD20*AJ20</f>
        <v>434.20675105482616</v>
      </c>
      <c r="AJ20" s="299">
        <f t="shared" si="9"/>
        <v>0.25738396624472576</v>
      </c>
      <c r="AK20" s="299">
        <f t="shared" si="29"/>
        <v>144.73558368494204</v>
      </c>
    </row>
    <row r="21" spans="1:37">
      <c r="A21" s="4">
        <f>ELEC!C21</f>
        <v>43940</v>
      </c>
      <c r="B21" s="277">
        <f t="shared" si="11"/>
        <v>8621.08</v>
      </c>
      <c r="C21" s="297">
        <f t="shared" si="12"/>
        <v>0</v>
      </c>
      <c r="D21" s="277">
        <f t="shared" si="11"/>
        <v>146479</v>
      </c>
      <c r="E21" s="297">
        <f t="shared" si="13"/>
        <v>0</v>
      </c>
      <c r="F21" s="297">
        <f t="shared" si="0"/>
        <v>0</v>
      </c>
      <c r="G21" s="200"/>
      <c r="H21" s="298">
        <f t="shared" si="14"/>
        <v>8677</v>
      </c>
      <c r="I21" s="297" t="str">
        <f t="shared" si="1"/>
        <v>ok</v>
      </c>
      <c r="J21" s="277">
        <f t="shared" si="15"/>
        <v>10689.42</v>
      </c>
      <c r="K21" s="297">
        <f t="shared" si="2"/>
        <v>0</v>
      </c>
      <c r="L21" s="277">
        <f t="shared" si="15"/>
        <v>237074.2</v>
      </c>
      <c r="M21" s="297">
        <f t="shared" si="3"/>
        <v>0</v>
      </c>
      <c r="N21" s="297">
        <f t="shared" si="16"/>
        <v>0</v>
      </c>
      <c r="O21" s="200"/>
      <c r="P21" s="298">
        <f t="shared" si="17"/>
        <v>10873</v>
      </c>
      <c r="Q21" s="297" t="str">
        <f t="shared" si="30"/>
        <v>ok</v>
      </c>
      <c r="R21" s="277">
        <v>11086</v>
      </c>
      <c r="S21" s="297">
        <f t="shared" si="5"/>
        <v>2</v>
      </c>
      <c r="T21" s="277">
        <v>227396</v>
      </c>
      <c r="U21" s="297">
        <f t="shared" si="31"/>
        <v>366.39999999999418</v>
      </c>
      <c r="V21" s="297">
        <f t="shared" si="18"/>
        <v>183.19999999999709</v>
      </c>
      <c r="W21" s="200"/>
      <c r="X21" s="298">
        <f t="shared" si="19"/>
        <v>11709</v>
      </c>
      <c r="Y21" s="297" t="str">
        <f>Y20</f>
        <v>ok</v>
      </c>
      <c r="Z21" s="297">
        <f t="shared" si="8"/>
        <v>2</v>
      </c>
      <c r="AA21" s="297">
        <f t="shared" si="20"/>
        <v>366.39999999999418</v>
      </c>
      <c r="AB21" s="297">
        <f t="shared" si="21"/>
        <v>183.19999999999709</v>
      </c>
      <c r="AC21" s="297">
        <f t="shared" si="22"/>
        <v>183.19999999999709</v>
      </c>
      <c r="AD21" s="74">
        <f>ELEC!Q21</f>
        <v>358.00000000017462</v>
      </c>
      <c r="AE21" s="74">
        <f t="shared" si="24"/>
        <v>179.00000000008731</v>
      </c>
      <c r="AF21" s="423">
        <f t="shared" si="25"/>
        <v>0.11187500000005457</v>
      </c>
      <c r="AG21" s="424">
        <f t="shared" si="26"/>
        <v>35.800000000017462</v>
      </c>
      <c r="AH21" s="424">
        <f t="shared" si="23"/>
        <v>147.39999999997963</v>
      </c>
      <c r="AI21" s="74">
        <f t="shared" si="27"/>
        <v>92.143459915656763</v>
      </c>
      <c r="AJ21" s="299">
        <f t="shared" si="9"/>
        <v>0.25738396624472576</v>
      </c>
      <c r="AK21" s="299">
        <f t="shared" si="29"/>
        <v>46.071729957828381</v>
      </c>
    </row>
    <row r="22" spans="1:37">
      <c r="A22" s="4">
        <f>ELEC!C22</f>
        <v>43941</v>
      </c>
      <c r="B22" s="277">
        <f t="shared" si="11"/>
        <v>8621.08</v>
      </c>
      <c r="C22" s="297">
        <f t="shared" si="12"/>
        <v>0</v>
      </c>
      <c r="D22" s="277">
        <f t="shared" si="11"/>
        <v>146479</v>
      </c>
      <c r="E22" s="297">
        <f t="shared" si="13"/>
        <v>0</v>
      </c>
      <c r="F22" s="297">
        <f t="shared" si="0"/>
        <v>0</v>
      </c>
      <c r="G22" s="200"/>
      <c r="H22" s="298">
        <f t="shared" si="14"/>
        <v>8677</v>
      </c>
      <c r="I22" s="297" t="str">
        <f t="shared" si="1"/>
        <v>ok</v>
      </c>
      <c r="J22" s="277">
        <f t="shared" si="15"/>
        <v>10689.42</v>
      </c>
      <c r="K22" s="297">
        <f t="shared" si="2"/>
        <v>0</v>
      </c>
      <c r="L22" s="277">
        <f t="shared" si="15"/>
        <v>237074.2</v>
      </c>
      <c r="M22" s="297">
        <f t="shared" si="3"/>
        <v>0</v>
      </c>
      <c r="N22" s="297">
        <f t="shared" si="16"/>
        <v>0</v>
      </c>
      <c r="O22" s="200"/>
      <c r="P22" s="298">
        <f t="shared" si="17"/>
        <v>10873</v>
      </c>
      <c r="Q22" s="297" t="str">
        <f t="shared" si="30"/>
        <v>ok</v>
      </c>
      <c r="R22" s="277">
        <f t="shared" ref="R22:T22" si="32">R21</f>
        <v>11086</v>
      </c>
      <c r="S22" s="297">
        <f t="shared" si="5"/>
        <v>0</v>
      </c>
      <c r="T22" s="277">
        <f t="shared" si="32"/>
        <v>227396</v>
      </c>
      <c r="U22" s="297">
        <f t="shared" si="31"/>
        <v>0</v>
      </c>
      <c r="V22" s="297">
        <f t="shared" si="18"/>
        <v>0</v>
      </c>
      <c r="W22" s="200"/>
      <c r="X22" s="298">
        <f t="shared" si="19"/>
        <v>11709</v>
      </c>
      <c r="Y22" s="297" t="str">
        <f t="shared" ref="Y22:Y32" si="33">IF(R22-X22&lt;=0,"ok","oil change")</f>
        <v>ok</v>
      </c>
      <c r="Z22" s="297">
        <f t="shared" si="8"/>
        <v>0</v>
      </c>
      <c r="AA22" s="297">
        <f t="shared" si="20"/>
        <v>0</v>
      </c>
      <c r="AB22" s="297">
        <f t="shared" si="21"/>
        <v>0</v>
      </c>
      <c r="AC22" s="297">
        <f t="shared" si="22"/>
        <v>0</v>
      </c>
      <c r="AD22" s="74">
        <f>ELEC!Q22</f>
        <v>0</v>
      </c>
      <c r="AE22" s="74" t="e">
        <f t="shared" si="24"/>
        <v>#DIV/0!</v>
      </c>
      <c r="AF22" s="423" t="e">
        <f t="shared" si="25"/>
        <v>#DIV/0!</v>
      </c>
      <c r="AG22" s="424" t="e">
        <f t="shared" si="26"/>
        <v>#DIV/0!</v>
      </c>
      <c r="AH22" s="424" t="e">
        <f t="shared" si="23"/>
        <v>#DIV/0!</v>
      </c>
      <c r="AI22" s="74">
        <f t="shared" si="27"/>
        <v>0</v>
      </c>
      <c r="AJ22" s="299">
        <f t="shared" si="9"/>
        <v>0.25738396624472576</v>
      </c>
      <c r="AK22" s="299">
        <f t="shared" si="29"/>
        <v>0</v>
      </c>
    </row>
    <row r="23" spans="1:37">
      <c r="A23" s="4">
        <f>ELEC!C23</f>
        <v>43942</v>
      </c>
      <c r="B23" s="277">
        <f>B22</f>
        <v>8621.08</v>
      </c>
      <c r="C23" s="297">
        <f t="shared" si="12"/>
        <v>0</v>
      </c>
      <c r="D23" s="277">
        <f t="shared" si="11"/>
        <v>146479</v>
      </c>
      <c r="E23" s="297">
        <f t="shared" si="13"/>
        <v>0</v>
      </c>
      <c r="F23" s="297">
        <f t="shared" si="0"/>
        <v>0</v>
      </c>
      <c r="G23" s="200"/>
      <c r="H23" s="298">
        <f t="shared" si="14"/>
        <v>8677</v>
      </c>
      <c r="I23" s="297" t="str">
        <f t="shared" si="1"/>
        <v>ok</v>
      </c>
      <c r="J23" s="277">
        <f t="shared" si="15"/>
        <v>10689.42</v>
      </c>
      <c r="K23" s="297">
        <f t="shared" si="2"/>
        <v>0</v>
      </c>
      <c r="L23" s="277">
        <f t="shared" si="15"/>
        <v>237074.2</v>
      </c>
      <c r="M23" s="297">
        <f t="shared" si="3"/>
        <v>0</v>
      </c>
      <c r="N23" s="297">
        <f t="shared" si="16"/>
        <v>0</v>
      </c>
      <c r="O23" s="200"/>
      <c r="P23" s="298">
        <f t="shared" si="17"/>
        <v>10873</v>
      </c>
      <c r="Q23" s="297" t="str">
        <f t="shared" si="30"/>
        <v>ok</v>
      </c>
      <c r="R23" s="277">
        <v>11089.25</v>
      </c>
      <c r="S23" s="297">
        <f t="shared" si="5"/>
        <v>3.25</v>
      </c>
      <c r="T23" s="277">
        <v>228101.3</v>
      </c>
      <c r="U23" s="297">
        <f t="shared" si="31"/>
        <v>705.29999999998836</v>
      </c>
      <c r="V23" s="297">
        <f t="shared" si="18"/>
        <v>217.01538461538104</v>
      </c>
      <c r="W23" s="200"/>
      <c r="X23" s="298">
        <f t="shared" si="19"/>
        <v>11709</v>
      </c>
      <c r="Y23" s="297" t="str">
        <f t="shared" si="33"/>
        <v>ok</v>
      </c>
      <c r="Z23" s="297">
        <f t="shared" si="8"/>
        <v>3.25</v>
      </c>
      <c r="AA23" s="297">
        <f t="shared" si="20"/>
        <v>705.29999999998836</v>
      </c>
      <c r="AB23" s="297">
        <f t="shared" si="21"/>
        <v>217.01538461538104</v>
      </c>
      <c r="AC23" s="297">
        <f t="shared" si="22"/>
        <v>217.01538461538104</v>
      </c>
      <c r="AD23" s="74">
        <f>ELEC!Q23</f>
        <v>1652.0000000000437</v>
      </c>
      <c r="AE23" s="74">
        <f t="shared" si="24"/>
        <v>508.30769230770574</v>
      </c>
      <c r="AF23" s="423">
        <f t="shared" si="25"/>
        <v>0.3176923076923161</v>
      </c>
      <c r="AG23" s="424">
        <f t="shared" si="26"/>
        <v>101.66153846154116</v>
      </c>
      <c r="AH23" s="424">
        <f t="shared" si="23"/>
        <v>115.35384615383988</v>
      </c>
      <c r="AI23" s="74">
        <f t="shared" si="27"/>
        <v>425.19831223629819</v>
      </c>
      <c r="AJ23" s="299">
        <f t="shared" si="9"/>
        <v>0.25738396624472576</v>
      </c>
      <c r="AK23" s="299">
        <f t="shared" si="29"/>
        <v>130.83024991886097</v>
      </c>
    </row>
    <row r="24" spans="1:37">
      <c r="A24" s="4">
        <f>ELEC!C24</f>
        <v>43943</v>
      </c>
      <c r="B24" s="277">
        <f>B23</f>
        <v>8621.08</v>
      </c>
      <c r="C24" s="297">
        <f t="shared" si="12"/>
        <v>0</v>
      </c>
      <c r="D24" s="277">
        <f t="shared" si="11"/>
        <v>146479</v>
      </c>
      <c r="E24" s="297">
        <f t="shared" si="13"/>
        <v>0</v>
      </c>
      <c r="F24" s="297">
        <f t="shared" si="0"/>
        <v>0</v>
      </c>
      <c r="G24" s="200"/>
      <c r="H24" s="298">
        <f t="shared" si="14"/>
        <v>8677</v>
      </c>
      <c r="I24" s="297" t="str">
        <f t="shared" si="1"/>
        <v>ok</v>
      </c>
      <c r="J24" s="277">
        <f t="shared" si="15"/>
        <v>10689.42</v>
      </c>
      <c r="K24" s="297">
        <f t="shared" si="2"/>
        <v>0</v>
      </c>
      <c r="L24" s="277">
        <f t="shared" si="15"/>
        <v>237074.2</v>
      </c>
      <c r="M24" s="297">
        <f t="shared" si="3"/>
        <v>0</v>
      </c>
      <c r="N24" s="297">
        <f t="shared" si="16"/>
        <v>0</v>
      </c>
      <c r="O24" s="200"/>
      <c r="P24" s="298">
        <f>P23</f>
        <v>10873</v>
      </c>
      <c r="Q24" s="297" t="str">
        <f t="shared" si="30"/>
        <v>ok</v>
      </c>
      <c r="R24" s="277">
        <v>11092</v>
      </c>
      <c r="S24" s="297">
        <f t="shared" si="5"/>
        <v>2.75</v>
      </c>
      <c r="T24" s="277">
        <v>228724</v>
      </c>
      <c r="U24" s="297">
        <f t="shared" si="31"/>
        <v>622.70000000001164</v>
      </c>
      <c r="V24" s="297">
        <f t="shared" si="18"/>
        <v>226.43636363636787</v>
      </c>
      <c r="W24" s="200"/>
      <c r="X24" s="298">
        <f t="shared" si="19"/>
        <v>11709</v>
      </c>
      <c r="Y24" s="297" t="str">
        <f t="shared" si="33"/>
        <v>ok</v>
      </c>
      <c r="Z24" s="297">
        <f t="shared" si="8"/>
        <v>2.75</v>
      </c>
      <c r="AA24" s="297">
        <f t="shared" si="20"/>
        <v>622.70000000001164</v>
      </c>
      <c r="AB24" s="297">
        <f t="shared" si="21"/>
        <v>226.43636363636787</v>
      </c>
      <c r="AC24" s="297">
        <f t="shared" si="22"/>
        <v>226.43636363636787</v>
      </c>
      <c r="AD24" s="74">
        <f>ELEC!Q24</f>
        <v>2018.0000000000291</v>
      </c>
      <c r="AE24" s="74">
        <f t="shared" si="24"/>
        <v>733.81818181819244</v>
      </c>
      <c r="AF24" s="423">
        <f t="shared" si="25"/>
        <v>0.45863636363637028</v>
      </c>
      <c r="AG24" s="424">
        <f t="shared" si="26"/>
        <v>146.76363636363848</v>
      </c>
      <c r="AH24" s="424">
        <f t="shared" si="23"/>
        <v>79.672727272729389</v>
      </c>
      <c r="AI24" s="74">
        <f t="shared" si="27"/>
        <v>519.40084388186403</v>
      </c>
      <c r="AJ24" s="299">
        <f t="shared" si="9"/>
        <v>0.25738396624472576</v>
      </c>
      <c r="AK24" s="299">
        <f t="shared" si="29"/>
        <v>188.87303413885965</v>
      </c>
    </row>
    <row r="25" spans="1:37">
      <c r="A25" s="4">
        <f>ELEC!C25</f>
        <v>43944</v>
      </c>
      <c r="B25" s="277">
        <f t="shared" si="11"/>
        <v>8621.08</v>
      </c>
      <c r="C25" s="297">
        <f t="shared" si="12"/>
        <v>0</v>
      </c>
      <c r="D25" s="277">
        <f t="shared" si="11"/>
        <v>146479</v>
      </c>
      <c r="E25" s="297">
        <f t="shared" si="13"/>
        <v>0</v>
      </c>
      <c r="F25" s="297">
        <f t="shared" si="0"/>
        <v>0</v>
      </c>
      <c r="G25" s="200"/>
      <c r="H25" s="298">
        <f t="shared" si="14"/>
        <v>8677</v>
      </c>
      <c r="I25" s="297" t="str">
        <f t="shared" si="1"/>
        <v>ok</v>
      </c>
      <c r="J25" s="277">
        <f t="shared" si="15"/>
        <v>10689.42</v>
      </c>
      <c r="K25" s="297">
        <f t="shared" si="2"/>
        <v>0</v>
      </c>
      <c r="L25" s="277">
        <f t="shared" si="15"/>
        <v>237074.2</v>
      </c>
      <c r="M25" s="297">
        <f t="shared" si="3"/>
        <v>0</v>
      </c>
      <c r="N25" s="297">
        <f t="shared" si="16"/>
        <v>0</v>
      </c>
      <c r="O25" s="200"/>
      <c r="P25" s="298">
        <f t="shared" si="17"/>
        <v>10873</v>
      </c>
      <c r="Q25" s="297" t="str">
        <f t="shared" si="30"/>
        <v>ok</v>
      </c>
      <c r="R25" s="277">
        <v>11095</v>
      </c>
      <c r="S25" s="297">
        <f t="shared" si="5"/>
        <v>3</v>
      </c>
      <c r="T25" s="277">
        <v>229342</v>
      </c>
      <c r="U25" s="297">
        <f t="shared" si="31"/>
        <v>618</v>
      </c>
      <c r="V25" s="297">
        <f t="shared" si="18"/>
        <v>206</v>
      </c>
      <c r="W25" s="200"/>
      <c r="X25" s="298">
        <f t="shared" si="19"/>
        <v>11709</v>
      </c>
      <c r="Y25" s="297" t="str">
        <f t="shared" si="33"/>
        <v>ok</v>
      </c>
      <c r="Z25" s="297">
        <f t="shared" si="8"/>
        <v>3</v>
      </c>
      <c r="AA25" s="297">
        <f t="shared" si="20"/>
        <v>618</v>
      </c>
      <c r="AB25" s="297">
        <f t="shared" si="21"/>
        <v>206</v>
      </c>
      <c r="AC25" s="297">
        <f t="shared" si="22"/>
        <v>206</v>
      </c>
      <c r="AD25" s="74">
        <f>ELEC!Q25</f>
        <v>995.99999999918509</v>
      </c>
      <c r="AE25" s="74">
        <f t="shared" si="24"/>
        <v>331.99999999972835</v>
      </c>
      <c r="AF25" s="423">
        <f t="shared" si="25"/>
        <v>0.20749999999983021</v>
      </c>
      <c r="AG25" s="424">
        <f t="shared" si="26"/>
        <v>66.399999999945663</v>
      </c>
      <c r="AH25" s="424">
        <f t="shared" si="23"/>
        <v>139.60000000005434</v>
      </c>
      <c r="AI25" s="74">
        <f t="shared" si="27"/>
        <v>256.35443037953712</v>
      </c>
      <c r="AJ25" s="299">
        <f t="shared" si="9"/>
        <v>0.25738396624472576</v>
      </c>
      <c r="AK25" s="299">
        <f t="shared" si="29"/>
        <v>85.45147679317904</v>
      </c>
    </row>
    <row r="26" spans="1:37">
      <c r="A26" s="4">
        <f>ELEC!C26</f>
        <v>43945</v>
      </c>
      <c r="B26" s="277">
        <f t="shared" si="11"/>
        <v>8621.08</v>
      </c>
      <c r="C26" s="297">
        <f t="shared" si="12"/>
        <v>0</v>
      </c>
      <c r="D26" s="277">
        <f t="shared" si="11"/>
        <v>146479</v>
      </c>
      <c r="E26" s="297">
        <f t="shared" si="13"/>
        <v>0</v>
      </c>
      <c r="F26" s="297">
        <f t="shared" si="0"/>
        <v>0</v>
      </c>
      <c r="G26" s="200"/>
      <c r="H26" s="298">
        <f t="shared" si="14"/>
        <v>8677</v>
      </c>
      <c r="I26" s="297" t="str">
        <f t="shared" si="1"/>
        <v>ok</v>
      </c>
      <c r="J26" s="277">
        <f t="shared" si="15"/>
        <v>10689.42</v>
      </c>
      <c r="K26" s="297">
        <f t="shared" si="2"/>
        <v>0</v>
      </c>
      <c r="L26" s="277">
        <f t="shared" si="15"/>
        <v>237074.2</v>
      </c>
      <c r="M26" s="297">
        <f t="shared" si="3"/>
        <v>0</v>
      </c>
      <c r="N26" s="297">
        <f t="shared" si="16"/>
        <v>0</v>
      </c>
      <c r="O26" s="200"/>
      <c r="P26" s="298">
        <f t="shared" si="17"/>
        <v>10873</v>
      </c>
      <c r="Q26" s="297" t="str">
        <f t="shared" si="30"/>
        <v>ok</v>
      </c>
      <c r="R26" s="277">
        <v>11097.26</v>
      </c>
      <c r="S26" s="297">
        <f t="shared" si="5"/>
        <v>2.2600000000002183</v>
      </c>
      <c r="T26" s="277">
        <v>229680.3</v>
      </c>
      <c r="U26" s="297">
        <f t="shared" si="31"/>
        <v>338.29999999998836</v>
      </c>
      <c r="V26" s="297">
        <f t="shared" si="18"/>
        <v>149.69026548670607</v>
      </c>
      <c r="W26" s="200"/>
      <c r="X26" s="298">
        <f t="shared" si="19"/>
        <v>11709</v>
      </c>
      <c r="Y26" s="297" t="str">
        <f t="shared" si="33"/>
        <v>ok</v>
      </c>
      <c r="Z26" s="297">
        <f t="shared" si="8"/>
        <v>2.2600000000002183</v>
      </c>
      <c r="AA26" s="297">
        <f t="shared" si="20"/>
        <v>338.29999999998836</v>
      </c>
      <c r="AB26" s="297">
        <f t="shared" si="21"/>
        <v>149.69026548670607</v>
      </c>
      <c r="AC26" s="297">
        <f t="shared" si="22"/>
        <v>149.69026548670607</v>
      </c>
      <c r="AD26" s="74">
        <f>ELEC!Q26</f>
        <v>1979.9999999995634</v>
      </c>
      <c r="AE26" s="74">
        <f t="shared" si="24"/>
        <v>876.10619468998766</v>
      </c>
      <c r="AF26" s="423">
        <f t="shared" si="25"/>
        <v>0.54756637168124234</v>
      </c>
      <c r="AG26" s="424">
        <f t="shared" si="26"/>
        <v>175.22123893799755</v>
      </c>
      <c r="AH26" s="424">
        <f t="shared" si="23"/>
        <v>-25.530973451291487</v>
      </c>
      <c r="AI26" s="74">
        <f t="shared" si="27"/>
        <v>509.62025316444465</v>
      </c>
      <c r="AJ26" s="299">
        <f t="shared" si="9"/>
        <v>0.25738396624472576</v>
      </c>
      <c r="AK26" s="299">
        <f t="shared" si="29"/>
        <v>225.49568724088294</v>
      </c>
    </row>
    <row r="27" spans="1:37">
      <c r="A27" s="4">
        <f>ELEC!C27</f>
        <v>43946</v>
      </c>
      <c r="B27" s="277">
        <f t="shared" si="11"/>
        <v>8621.08</v>
      </c>
      <c r="C27" s="297">
        <f t="shared" si="12"/>
        <v>0</v>
      </c>
      <c r="D27" s="277">
        <f t="shared" si="11"/>
        <v>146479</v>
      </c>
      <c r="E27" s="297">
        <f t="shared" si="13"/>
        <v>0</v>
      </c>
      <c r="F27" s="297">
        <f t="shared" si="0"/>
        <v>0</v>
      </c>
      <c r="G27" s="200"/>
      <c r="H27" s="298">
        <f t="shared" si="14"/>
        <v>8677</v>
      </c>
      <c r="I27" s="297" t="str">
        <f>IF(B27-H27&lt;=0,"ok","oil change")</f>
        <v>ok</v>
      </c>
      <c r="J27" s="277">
        <f t="shared" si="15"/>
        <v>10689.42</v>
      </c>
      <c r="K27" s="297">
        <f t="shared" si="2"/>
        <v>0</v>
      </c>
      <c r="L27" s="277">
        <f t="shared" si="15"/>
        <v>237074.2</v>
      </c>
      <c r="M27" s="297">
        <f t="shared" si="3"/>
        <v>0</v>
      </c>
      <c r="N27" s="297">
        <f t="shared" si="16"/>
        <v>0</v>
      </c>
      <c r="O27" s="200"/>
      <c r="P27" s="298">
        <f t="shared" si="17"/>
        <v>10873</v>
      </c>
      <c r="Q27" s="297" t="str">
        <f t="shared" si="30"/>
        <v>ok</v>
      </c>
      <c r="R27" s="277">
        <v>11100.31</v>
      </c>
      <c r="S27" s="297">
        <f t="shared" si="5"/>
        <v>3.0499999999992724</v>
      </c>
      <c r="T27" s="277">
        <v>230515</v>
      </c>
      <c r="U27" s="297">
        <f t="shared" si="31"/>
        <v>834.70000000001164</v>
      </c>
      <c r="V27" s="297">
        <f t="shared" si="18"/>
        <v>273.67213114761006</v>
      </c>
      <c r="W27" s="200"/>
      <c r="X27" s="298">
        <f t="shared" si="19"/>
        <v>11709</v>
      </c>
      <c r="Y27" s="297" t="str">
        <f t="shared" si="33"/>
        <v>ok</v>
      </c>
      <c r="Z27" s="297">
        <f t="shared" si="8"/>
        <v>3.0499999999992724</v>
      </c>
      <c r="AA27" s="297">
        <f t="shared" si="20"/>
        <v>834.70000000001164</v>
      </c>
      <c r="AB27" s="297">
        <f t="shared" si="21"/>
        <v>273.67213114761006</v>
      </c>
      <c r="AC27" s="297">
        <f t="shared" si="22"/>
        <v>273.67213114761006</v>
      </c>
      <c r="AD27" s="74">
        <f>ELEC!Q27</f>
        <v>1520.0000000004366</v>
      </c>
      <c r="AE27" s="74">
        <f t="shared" si="24"/>
        <v>498.36065573796697</v>
      </c>
      <c r="AF27" s="423">
        <f t="shared" si="25"/>
        <v>0.31147540983622934</v>
      </c>
      <c r="AG27" s="424">
        <f t="shared" si="26"/>
        <v>99.67213114759339</v>
      </c>
      <c r="AH27" s="424">
        <f t="shared" si="23"/>
        <v>174.00000000001666</v>
      </c>
      <c r="AI27" s="74">
        <f t="shared" si="27"/>
        <v>391.22362869209553</v>
      </c>
      <c r="AJ27" s="299">
        <f t="shared" si="9"/>
        <v>0.25738396624472576</v>
      </c>
      <c r="AK27" s="299">
        <f t="shared" si="29"/>
        <v>128.27004219416028</v>
      </c>
    </row>
    <row r="28" spans="1:37">
      <c r="A28" s="4">
        <f>ELEC!C28</f>
        <v>43947</v>
      </c>
      <c r="B28" s="277">
        <f t="shared" si="11"/>
        <v>8621.08</v>
      </c>
      <c r="C28" s="297">
        <f t="shared" si="12"/>
        <v>0</v>
      </c>
      <c r="D28" s="277">
        <f t="shared" si="11"/>
        <v>146479</v>
      </c>
      <c r="E28" s="297">
        <f t="shared" si="13"/>
        <v>0</v>
      </c>
      <c r="F28" s="297">
        <f t="shared" si="0"/>
        <v>0</v>
      </c>
      <c r="G28" s="295"/>
      <c r="H28" s="298">
        <f t="shared" si="14"/>
        <v>8677</v>
      </c>
      <c r="I28" s="297" t="str">
        <f t="shared" si="1"/>
        <v>ok</v>
      </c>
      <c r="J28" s="277">
        <f t="shared" si="15"/>
        <v>10689.42</v>
      </c>
      <c r="K28" s="297">
        <f t="shared" si="2"/>
        <v>0</v>
      </c>
      <c r="L28" s="277">
        <f t="shared" si="15"/>
        <v>237074.2</v>
      </c>
      <c r="M28" s="297">
        <f t="shared" si="3"/>
        <v>0</v>
      </c>
      <c r="N28" s="297">
        <f t="shared" si="16"/>
        <v>0</v>
      </c>
      <c r="O28" s="200"/>
      <c r="P28" s="298">
        <f t="shared" si="17"/>
        <v>10873</v>
      </c>
      <c r="Q28" s="297" t="str">
        <f t="shared" si="30"/>
        <v>ok</v>
      </c>
      <c r="R28" s="277">
        <v>11103</v>
      </c>
      <c r="S28" s="297">
        <f t="shared" si="5"/>
        <v>2.6900000000005093</v>
      </c>
      <c r="T28" s="277">
        <v>231278</v>
      </c>
      <c r="U28" s="297">
        <f t="shared" si="31"/>
        <v>763</v>
      </c>
      <c r="V28" s="297">
        <f t="shared" si="18"/>
        <v>283.64312267652622</v>
      </c>
      <c r="W28" s="200"/>
      <c r="X28" s="298">
        <f t="shared" si="19"/>
        <v>11709</v>
      </c>
      <c r="Y28" s="297" t="str">
        <f t="shared" si="33"/>
        <v>ok</v>
      </c>
      <c r="Z28" s="297">
        <f t="shared" si="8"/>
        <v>2.6900000000005093</v>
      </c>
      <c r="AA28" s="297">
        <f t="shared" si="20"/>
        <v>763</v>
      </c>
      <c r="AB28" s="297">
        <f t="shared" si="21"/>
        <v>283.64312267652622</v>
      </c>
      <c r="AC28" s="297">
        <f t="shared" si="22"/>
        <v>283.64312267652622</v>
      </c>
      <c r="AD28" s="74">
        <f>ELEC!Q28</f>
        <v>1500</v>
      </c>
      <c r="AE28" s="74">
        <f t="shared" si="24"/>
        <v>557.62081784376062</v>
      </c>
      <c r="AF28" s="423">
        <f t="shared" si="25"/>
        <v>0.34851301115235039</v>
      </c>
      <c r="AG28" s="424">
        <f t="shared" si="26"/>
        <v>111.52416356875213</v>
      </c>
      <c r="AH28" s="424">
        <f t="shared" si="23"/>
        <v>172.11895910777409</v>
      </c>
      <c r="AI28" s="74">
        <f t="shared" si="27"/>
        <v>386.07594936708864</v>
      </c>
      <c r="AJ28" s="299">
        <f t="shared" si="9"/>
        <v>0.25738396624472576</v>
      </c>
      <c r="AK28" s="299">
        <f t="shared" si="29"/>
        <v>143.52265775725485</v>
      </c>
    </row>
    <row r="29" spans="1:37">
      <c r="A29" s="4">
        <f>ELEC!C29</f>
        <v>43948</v>
      </c>
      <c r="B29" s="277">
        <v>8621</v>
      </c>
      <c r="C29" s="297">
        <f t="shared" si="12"/>
        <v>-7.999999999992724E-2</v>
      </c>
      <c r="D29" s="277">
        <v>146479.70000000001</v>
      </c>
      <c r="E29" s="297">
        <f>SUM(D29-D28)</f>
        <v>0.70000000001164153</v>
      </c>
      <c r="F29" s="297">
        <f t="shared" si="0"/>
        <v>0</v>
      </c>
      <c r="G29" s="200"/>
      <c r="H29" s="298">
        <f t="shared" si="14"/>
        <v>8677</v>
      </c>
      <c r="I29" s="297" t="str">
        <f t="shared" si="1"/>
        <v>ok</v>
      </c>
      <c r="J29" s="277">
        <v>10689</v>
      </c>
      <c r="K29" s="297">
        <f t="shared" si="2"/>
        <v>-0.42000000000007276</v>
      </c>
      <c r="L29" s="277">
        <v>237074.8</v>
      </c>
      <c r="M29" s="297">
        <f t="shared" si="3"/>
        <v>0.59999999997671694</v>
      </c>
      <c r="N29" s="297">
        <f t="shared" si="16"/>
        <v>0</v>
      </c>
      <c r="O29" s="200"/>
      <c r="P29" s="298">
        <f t="shared" si="17"/>
        <v>10873</v>
      </c>
      <c r="Q29" s="297" t="str">
        <f t="shared" si="30"/>
        <v>ok</v>
      </c>
      <c r="R29" s="277">
        <v>11107</v>
      </c>
      <c r="S29" s="297">
        <f t="shared" si="5"/>
        <v>4</v>
      </c>
      <c r="T29" s="277">
        <v>231970</v>
      </c>
      <c r="U29" s="297">
        <f t="shared" si="31"/>
        <v>692</v>
      </c>
      <c r="V29" s="297">
        <f t="shared" si="18"/>
        <v>173</v>
      </c>
      <c r="W29" s="200"/>
      <c r="X29" s="298">
        <f t="shared" si="19"/>
        <v>11709</v>
      </c>
      <c r="Y29" s="297" t="str">
        <f t="shared" si="33"/>
        <v>ok</v>
      </c>
      <c r="Z29" s="297">
        <f t="shared" si="8"/>
        <v>3.5</v>
      </c>
      <c r="AA29" s="297">
        <f t="shared" si="20"/>
        <v>693.29999999998836</v>
      </c>
      <c r="AB29" s="297">
        <f t="shared" si="21"/>
        <v>173</v>
      </c>
      <c r="AC29" s="297">
        <f t="shared" si="22"/>
        <v>198.08571428571096</v>
      </c>
      <c r="AD29" s="74">
        <f>ELEC!Q29</f>
        <v>2513.0000000008295</v>
      </c>
      <c r="AE29" s="74">
        <f t="shared" si="24"/>
        <v>718.00000000023704</v>
      </c>
      <c r="AF29" s="423">
        <f t="shared" si="25"/>
        <v>0.44875000000014814</v>
      </c>
      <c r="AG29" s="424">
        <f t="shared" si="26"/>
        <v>143.6000000000474</v>
      </c>
      <c r="AH29" s="424">
        <f t="shared" si="23"/>
        <v>54.485714285663562</v>
      </c>
      <c r="AI29" s="74">
        <f t="shared" si="27"/>
        <v>646.80590717320933</v>
      </c>
      <c r="AJ29" s="299">
        <f t="shared" si="9"/>
        <v>0.25738396624472576</v>
      </c>
      <c r="AK29" s="299">
        <f t="shared" si="29"/>
        <v>184.80168776377408</v>
      </c>
    </row>
    <row r="30" spans="1:37">
      <c r="A30" s="4">
        <f>ELEC!C30</f>
        <v>43949</v>
      </c>
      <c r="B30" s="277">
        <v>8621</v>
      </c>
      <c r="C30" s="297">
        <f t="shared" si="12"/>
        <v>0</v>
      </c>
      <c r="D30" s="277">
        <v>146479.70000000001</v>
      </c>
      <c r="E30" s="297">
        <f t="shared" si="13"/>
        <v>0</v>
      </c>
      <c r="F30" s="297">
        <f t="shared" si="0"/>
        <v>0</v>
      </c>
      <c r="G30" s="200"/>
      <c r="H30" s="298">
        <f t="shared" si="14"/>
        <v>8677</v>
      </c>
      <c r="I30" s="297" t="str">
        <f t="shared" si="1"/>
        <v>ok</v>
      </c>
      <c r="J30" s="277">
        <v>10689.42</v>
      </c>
      <c r="K30" s="297">
        <f t="shared" si="2"/>
        <v>0.42000000000007276</v>
      </c>
      <c r="L30" s="277">
        <f t="shared" si="15"/>
        <v>237074.8</v>
      </c>
      <c r="M30" s="297">
        <f t="shared" si="3"/>
        <v>0</v>
      </c>
      <c r="N30" s="297">
        <f t="shared" si="16"/>
        <v>0</v>
      </c>
      <c r="O30" s="200"/>
      <c r="P30" s="298">
        <f t="shared" si="17"/>
        <v>10873</v>
      </c>
      <c r="Q30" s="297" t="str">
        <f t="shared" si="30"/>
        <v>ok</v>
      </c>
      <c r="R30" s="277">
        <v>11109</v>
      </c>
      <c r="S30" s="297">
        <f t="shared" si="5"/>
        <v>2</v>
      </c>
      <c r="T30" s="277">
        <v>232683.5</v>
      </c>
      <c r="U30" s="297">
        <f t="shared" si="31"/>
        <v>713.5</v>
      </c>
      <c r="V30" s="297">
        <f t="shared" si="18"/>
        <v>356.75</v>
      </c>
      <c r="W30" s="295"/>
      <c r="X30" s="298">
        <f t="shared" si="19"/>
        <v>11709</v>
      </c>
      <c r="Y30" s="297" t="str">
        <f t="shared" si="33"/>
        <v>ok</v>
      </c>
      <c r="Z30" s="297">
        <f t="shared" si="8"/>
        <v>2.4200000000000728</v>
      </c>
      <c r="AA30" s="297">
        <f t="shared" si="20"/>
        <v>713.5</v>
      </c>
      <c r="AB30" s="297">
        <f t="shared" si="21"/>
        <v>356.75</v>
      </c>
      <c r="AC30" s="297">
        <f t="shared" si="22"/>
        <v>294.83471074379281</v>
      </c>
      <c r="AD30" s="74">
        <f>ELEC!Q30</f>
        <v>1018.9999999984138</v>
      </c>
      <c r="AE30" s="74">
        <f t="shared" si="24"/>
        <v>421.07438016462118</v>
      </c>
      <c r="AF30" s="423">
        <f t="shared" si="25"/>
        <v>0.26317148760288822</v>
      </c>
      <c r="AG30" s="424">
        <f t="shared" si="26"/>
        <v>84.214876032924224</v>
      </c>
      <c r="AH30" s="424">
        <f t="shared" si="23"/>
        <v>210.61983471086859</v>
      </c>
      <c r="AI30" s="74">
        <f t="shared" si="27"/>
        <v>262.27426160296727</v>
      </c>
      <c r="AJ30" s="299">
        <f t="shared" si="9"/>
        <v>0.25738396624472576</v>
      </c>
      <c r="AK30" s="299">
        <f t="shared" si="29"/>
        <v>108.37779405080967</v>
      </c>
    </row>
    <row r="31" spans="1:37">
      <c r="A31" s="4">
        <f>ELEC!C31</f>
        <v>43950</v>
      </c>
      <c r="B31" s="277">
        <v>8621.09</v>
      </c>
      <c r="C31" s="297">
        <f t="shared" si="12"/>
        <v>9.0000000000145519E-2</v>
      </c>
      <c r="D31" s="277">
        <v>146479.79999999999</v>
      </c>
      <c r="E31" s="297">
        <f t="shared" si="13"/>
        <v>9.9999999976716936E-2</v>
      </c>
      <c r="F31" s="297">
        <f t="shared" si="0"/>
        <v>1.1111111108506138</v>
      </c>
      <c r="G31" s="200"/>
      <c r="H31" s="298">
        <f t="shared" si="14"/>
        <v>8677</v>
      </c>
      <c r="I31" s="297" t="str">
        <f t="shared" si="1"/>
        <v>ok</v>
      </c>
      <c r="J31" s="277">
        <v>10689.42</v>
      </c>
      <c r="K31" s="297">
        <f t="shared" si="2"/>
        <v>0</v>
      </c>
      <c r="L31" s="277">
        <v>237074.9</v>
      </c>
      <c r="M31" s="297">
        <f t="shared" si="3"/>
        <v>0.10000000000582077</v>
      </c>
      <c r="N31" s="297">
        <f t="shared" si="16"/>
        <v>0</v>
      </c>
      <c r="O31" s="200"/>
      <c r="P31" s="298">
        <f t="shared" si="17"/>
        <v>10873</v>
      </c>
      <c r="Q31" s="297" t="str">
        <f t="shared" si="30"/>
        <v>ok</v>
      </c>
      <c r="R31" s="277">
        <v>11112.13</v>
      </c>
      <c r="S31" s="297">
        <f t="shared" si="5"/>
        <v>3.1299999999991996</v>
      </c>
      <c r="T31" s="277">
        <v>233460</v>
      </c>
      <c r="U31" s="297">
        <f t="shared" si="31"/>
        <v>776.5</v>
      </c>
      <c r="V31" s="297">
        <f t="shared" si="18"/>
        <v>248.0830670927152</v>
      </c>
      <c r="W31" s="200"/>
      <c r="X31" s="298">
        <f t="shared" si="19"/>
        <v>11709</v>
      </c>
      <c r="Y31" s="297" t="str">
        <f t="shared" si="33"/>
        <v>ok</v>
      </c>
      <c r="Z31" s="297">
        <f t="shared" si="8"/>
        <v>3.2199999999993452</v>
      </c>
      <c r="AA31" s="297">
        <f t="shared" si="20"/>
        <v>776.69999999998254</v>
      </c>
      <c r="AB31" s="297">
        <f t="shared" si="21"/>
        <v>249.1941782035658</v>
      </c>
      <c r="AC31" s="297">
        <f t="shared" si="22"/>
        <v>241.21118012426723</v>
      </c>
      <c r="AD31" s="74">
        <f>ELEC!Q31</f>
        <v>1298.0000000006839</v>
      </c>
      <c r="AE31" s="74">
        <f t="shared" si="24"/>
        <v>403.10559006240618</v>
      </c>
      <c r="AF31" s="423">
        <f t="shared" si="25"/>
        <v>0.25194099378900386</v>
      </c>
      <c r="AG31" s="424">
        <f t="shared" si="26"/>
        <v>80.621118012481233</v>
      </c>
      <c r="AH31" s="424">
        <f t="shared" si="23"/>
        <v>160.59006211178598</v>
      </c>
      <c r="AI31" s="74">
        <f t="shared" si="27"/>
        <v>334.08438818583005</v>
      </c>
      <c r="AJ31" s="299">
        <f t="shared" si="9"/>
        <v>0.25738396624472576</v>
      </c>
      <c r="AK31" s="299">
        <f t="shared" si="29"/>
        <v>103.7529155856826</v>
      </c>
    </row>
    <row r="32" spans="1:37">
      <c r="A32" s="4">
        <f>ELEC!C32</f>
        <v>43951</v>
      </c>
      <c r="B32" s="277">
        <f t="shared" si="11"/>
        <v>8621.09</v>
      </c>
      <c r="C32" s="297">
        <f t="shared" si="12"/>
        <v>0</v>
      </c>
      <c r="D32" s="277">
        <f t="shared" si="11"/>
        <v>146479.79999999999</v>
      </c>
      <c r="E32" s="297">
        <f t="shared" si="13"/>
        <v>0</v>
      </c>
      <c r="F32" s="297">
        <f t="shared" si="0"/>
        <v>0</v>
      </c>
      <c r="G32" s="200"/>
      <c r="H32" s="298">
        <f t="shared" si="14"/>
        <v>8677</v>
      </c>
      <c r="I32" s="297" t="str">
        <f t="shared" si="1"/>
        <v>ok</v>
      </c>
      <c r="J32" s="277">
        <f t="shared" si="15"/>
        <v>10689.42</v>
      </c>
      <c r="K32" s="297">
        <f t="shared" si="2"/>
        <v>0</v>
      </c>
      <c r="L32" s="277">
        <f t="shared" si="15"/>
        <v>237074.9</v>
      </c>
      <c r="M32" s="297">
        <f t="shared" si="3"/>
        <v>0</v>
      </c>
      <c r="N32" s="297">
        <f t="shared" si="16"/>
        <v>0</v>
      </c>
      <c r="O32" s="200"/>
      <c r="P32" s="298">
        <f t="shared" si="17"/>
        <v>10873</v>
      </c>
      <c r="Q32" s="297" t="str">
        <f t="shared" si="30"/>
        <v>ok</v>
      </c>
      <c r="R32" s="277">
        <v>11115</v>
      </c>
      <c r="S32" s="297">
        <f t="shared" si="5"/>
        <v>2.8700000000008004</v>
      </c>
      <c r="T32" s="277">
        <v>234142</v>
      </c>
      <c r="U32" s="297">
        <f t="shared" si="31"/>
        <v>682</v>
      </c>
      <c r="V32" s="297">
        <f t="shared" si="18"/>
        <v>237.63066202083965</v>
      </c>
      <c r="W32" s="200"/>
      <c r="X32" s="298">
        <f t="shared" si="19"/>
        <v>11709</v>
      </c>
      <c r="Y32" s="297" t="str">
        <f t="shared" si="33"/>
        <v>ok</v>
      </c>
      <c r="Z32" s="297">
        <f t="shared" si="8"/>
        <v>2.8700000000008004</v>
      </c>
      <c r="AA32" s="297">
        <f t="shared" si="20"/>
        <v>682</v>
      </c>
      <c r="AB32" s="297">
        <f t="shared" si="21"/>
        <v>237.63066202083965</v>
      </c>
      <c r="AC32" s="297">
        <f t="shared" si="22"/>
        <v>237.63066202083965</v>
      </c>
      <c r="AD32" s="74">
        <f>ELEC!Q32</f>
        <v>1770.0000000004366</v>
      </c>
      <c r="AE32" s="74">
        <f t="shared" si="24"/>
        <v>616.72473867593828</v>
      </c>
      <c r="AF32" s="423">
        <f t="shared" si="25"/>
        <v>0.3854529616724614</v>
      </c>
      <c r="AG32" s="424">
        <f t="shared" si="26"/>
        <v>123.34494773518765</v>
      </c>
      <c r="AH32" s="424">
        <f t="shared" si="23"/>
        <v>114.28571428565201</v>
      </c>
      <c r="AI32" s="74">
        <f t="shared" si="27"/>
        <v>455.56962025327698</v>
      </c>
      <c r="AJ32" s="299">
        <f t="shared" si="9"/>
        <v>0.25738396624472576</v>
      </c>
      <c r="AK32" s="299">
        <f t="shared" si="29"/>
        <v>158.73505932165503</v>
      </c>
    </row>
    <row r="33" spans="3:26">
      <c r="H33" s="39"/>
      <c r="I33" s="274"/>
      <c r="M33" s="39"/>
      <c r="N33" s="39"/>
      <c r="O33" s="39"/>
      <c r="P33" s="83">
        <f>+O33/3</f>
        <v>0</v>
      </c>
      <c r="S33" s="39"/>
      <c r="T33" s="39"/>
      <c r="U33" s="40">
        <f>SUM(C34:S34)</f>
        <v>85.510000000000218</v>
      </c>
      <c r="V33" s="40"/>
      <c r="X33">
        <v>341</v>
      </c>
      <c r="Z33" s="442">
        <f>SUM(Z3:Z32)</f>
        <v>85.510000000000218</v>
      </c>
    </row>
    <row r="34" spans="3:26">
      <c r="C34" s="40">
        <f>SUM(C3:C32)</f>
        <v>9.0000000000145519E-2</v>
      </c>
      <c r="K34" s="40">
        <f>SUM(K3:K32)</f>
        <v>0.42000000000007276</v>
      </c>
      <c r="S34" s="40">
        <f>SUM(S3:S32)</f>
        <v>85</v>
      </c>
      <c r="U34" s="40"/>
      <c r="V34" s="40"/>
      <c r="X34" s="40"/>
    </row>
  </sheetData>
  <conditionalFormatting sqref="C3:C32 K3:K32 S3:S32 Z3:Z32">
    <cfRule type="cellIs" dxfId="3" priority="10" stopIfTrue="1" operator="equal">
      <formula>0</formula>
    </cfRule>
  </conditionalFormatting>
  <conditionalFormatting sqref="AA3:AB32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3"/>
  <sheetViews>
    <sheetView zoomScale="80" zoomScaleNormal="80" workbookViewId="0">
      <selection activeCell="J36" sqref="J3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5703125" customWidth="1"/>
    <col min="18" max="18" width="13.42578125" bestFit="1" customWidth="1"/>
    <col min="19" max="19" width="13.7109375" style="303" customWidth="1"/>
    <col min="20" max="20" width="10.28515625" style="353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3"/>
      <c r="T1" s="350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3"/>
      <c r="T2" s="350"/>
    </row>
    <row r="3" spans="1:30" ht="15.75" thickBot="1">
      <c r="A3" s="164">
        <f>ELEC!C2</f>
        <v>43921</v>
      </c>
      <c r="B3" s="271">
        <f>'[1]EDl log'!B34</f>
        <v>49709734</v>
      </c>
      <c r="C3" s="271">
        <f>'[1]EDl log'!C34</f>
        <v>3736</v>
      </c>
      <c r="D3" s="271">
        <f>'[1]EDl log'!D34</f>
        <v>3737</v>
      </c>
      <c r="E3" s="271">
        <f>'[1]EDl log'!E34</f>
        <v>49709735</v>
      </c>
      <c r="F3" s="271">
        <f>'[1]EDl log'!F34</f>
        <v>7990092</v>
      </c>
      <c r="G3" s="271">
        <f>'[1]EDl log'!G34</f>
        <v>622</v>
      </c>
      <c r="H3" s="271">
        <f>'[1]EDl log'!H34</f>
        <v>24476792</v>
      </c>
      <c r="I3" s="271">
        <f>'[1]EDl log'!I34</f>
        <v>2121</v>
      </c>
      <c r="J3" s="271">
        <f>'[1]EDl log'!J34</f>
        <v>17242851</v>
      </c>
      <c r="K3" s="271">
        <f>'[1]EDl log'!K34</f>
        <v>994</v>
      </c>
      <c r="L3" s="271">
        <f>'[1]EDl log'!L34</f>
        <v>132.03316749585406</v>
      </c>
      <c r="M3" s="271">
        <f>'[1]EDl log'!M34</f>
        <v>157.58009950248757</v>
      </c>
      <c r="N3" s="271">
        <f>'[1]EDl log'!N34</f>
        <v>52.749585406301826</v>
      </c>
      <c r="O3" s="271">
        <f>'[1]EDl log'!O34</f>
        <v>154.80303857058792</v>
      </c>
      <c r="P3" s="271">
        <f>'[1]EDl log'!P34</f>
        <v>497.16589097523138</v>
      </c>
      <c r="Q3" s="271">
        <f>'[1]EDl log'!Q34</f>
        <v>-261.54911290321883</v>
      </c>
      <c r="R3" s="271">
        <f>'[1]EDl log'!R34</f>
        <v>235.61677807201255</v>
      </c>
      <c r="S3" s="271">
        <f>'[1]EDl log'!S34</f>
        <v>8109</v>
      </c>
      <c r="T3" s="271">
        <f>'[1]EDl log'!T34</f>
        <v>2.9056206446172468E-2</v>
      </c>
      <c r="Z3" t="s">
        <v>214</v>
      </c>
      <c r="AA3">
        <v>0.1</v>
      </c>
    </row>
    <row r="4" spans="1:30">
      <c r="A4" s="164">
        <f>ELEC!C3</f>
        <v>43922</v>
      </c>
      <c r="B4" s="411">
        <v>49712965</v>
      </c>
      <c r="C4" s="280">
        <f>SUM(B4-B3)</f>
        <v>3231</v>
      </c>
      <c r="D4" s="323">
        <f>SUM(G4+I4+K4)</f>
        <v>3231</v>
      </c>
      <c r="E4" s="323">
        <f>B3+D4</f>
        <v>49712965</v>
      </c>
      <c r="F4" s="559">
        <v>7990579</v>
      </c>
      <c r="G4" s="161">
        <f t="shared" ref="G4:G32" si="0">F4-F3</f>
        <v>487</v>
      </c>
      <c r="H4" s="559">
        <v>24478404</v>
      </c>
      <c r="I4" s="162">
        <f t="shared" ref="I4:I33" si="1">H4-H3</f>
        <v>1612</v>
      </c>
      <c r="J4" s="559">
        <v>17243983</v>
      </c>
      <c r="K4" s="163">
        <f t="shared" ref="K4:K33" si="2">J4-J3</f>
        <v>1132</v>
      </c>
      <c r="L4" s="310">
        <f>SUM(G4*$Y$28)/1507.5</f>
        <v>103.37645107794361</v>
      </c>
      <c r="M4" s="310">
        <f>SUM(I4*$Y$27)/1507.5</f>
        <v>119.76384742951907</v>
      </c>
      <c r="N4" s="310">
        <f>SUM(K4*$Y$26)/1507.5</f>
        <v>60.072968490878935</v>
      </c>
      <c r="O4" s="310">
        <f t="shared" ref="O4:O33" si="3">($AC$31/$A$37)/1507.5</f>
        <v>159.96313985627418</v>
      </c>
      <c r="P4" s="311">
        <f>SUM(L4:O4)</f>
        <v>443.17640685461583</v>
      </c>
      <c r="Q4" s="311">
        <f>SUM(-tanks!AX6*tanks!$AU$36)</f>
        <v>386.67040461289974</v>
      </c>
      <c r="R4" s="311">
        <f>SUM(P4:Q4)</f>
        <v>829.84681146751564</v>
      </c>
      <c r="S4" s="314">
        <f>SUM(ELEC!N3)</f>
        <v>7662.2000000001863</v>
      </c>
      <c r="T4" s="351">
        <f>IF(S4&gt;0,R4/S4,0)</f>
        <v>0.10830398729705508</v>
      </c>
      <c r="U4" s="256"/>
      <c r="V4" s="257" t="str">
        <f>'[4]EDl log'!V21</f>
        <v xml:space="preserve">EDL </v>
      </c>
      <c r="W4" s="168">
        <v>43910</v>
      </c>
      <c r="X4" s="170"/>
      <c r="Y4" s="170"/>
      <c r="Z4" s="170" t="s">
        <v>202</v>
      </c>
      <c r="AA4" s="170"/>
      <c r="AB4" s="633"/>
      <c r="AC4" s="634"/>
    </row>
    <row r="5" spans="1:30">
      <c r="A5" s="164">
        <f>ELEC!C4</f>
        <v>43923</v>
      </c>
      <c r="B5" s="559">
        <v>49716041</v>
      </c>
      <c r="C5" s="271">
        <f t="shared" ref="C5:C33" si="4">SUM(B5-B4)</f>
        <v>3076</v>
      </c>
      <c r="D5" s="323">
        <f t="shared" ref="D5:D33" si="5">SUM(G5+I5+K5)</f>
        <v>3075</v>
      </c>
      <c r="E5" s="323">
        <f>B4+D5</f>
        <v>49716040</v>
      </c>
      <c r="F5" s="559">
        <v>7990927</v>
      </c>
      <c r="G5" s="161">
        <f t="shared" si="0"/>
        <v>348</v>
      </c>
      <c r="H5" s="559">
        <v>24479958</v>
      </c>
      <c r="I5" s="162">
        <f t="shared" si="1"/>
        <v>1554</v>
      </c>
      <c r="J5" s="559">
        <v>17245156</v>
      </c>
      <c r="K5" s="163">
        <f t="shared" si="2"/>
        <v>1173</v>
      </c>
      <c r="L5" s="310">
        <f t="shared" ref="L5:L32" si="6">SUM(G5*$Y$28)/1507.5</f>
        <v>73.870646766169159</v>
      </c>
      <c r="M5" s="310">
        <f t="shared" ref="M5:M33" si="7">SUM(I5*$Y$27)/1507.5</f>
        <v>115.4547263681592</v>
      </c>
      <c r="N5" s="310">
        <f t="shared" ref="N5:N33" si="8">SUM(K5*$Y$26)/1507.5</f>
        <v>62.24875621890547</v>
      </c>
      <c r="O5" s="310">
        <f t="shared" si="3"/>
        <v>159.96313985627418</v>
      </c>
      <c r="P5" s="311">
        <f t="shared" ref="P5:P32" si="9">SUM(L5:O5)</f>
        <v>411.537269209508</v>
      </c>
      <c r="Q5" s="311">
        <f>SUM(-tanks!AX7*tanks!$AU$36)</f>
        <v>280.81817479031628</v>
      </c>
      <c r="R5" s="311">
        <f t="shared" ref="R5:R32" si="10">SUM(P5:Q5)</f>
        <v>692.35544399982427</v>
      </c>
      <c r="S5" s="314">
        <f>SUM(ELEC!N4)</f>
        <v>7437.5999999996275</v>
      </c>
      <c r="T5" s="351">
        <f>IF(S5&gt;0,R5/S5,0)</f>
        <v>9.3088555985782903E-2</v>
      </c>
      <c r="U5" s="256"/>
      <c r="V5" s="627"/>
      <c r="W5" s="628"/>
      <c r="X5" s="628"/>
      <c r="Y5" s="629"/>
      <c r="Z5" s="26" t="s">
        <v>203</v>
      </c>
      <c r="AA5" s="271">
        <f>'[5]EDl log'!AA5</f>
        <v>5000</v>
      </c>
      <c r="AB5" s="635"/>
      <c r="AC5" s="636"/>
    </row>
    <row r="6" spans="1:30">
      <c r="A6" s="164">
        <f>ELEC!C5</f>
        <v>43924</v>
      </c>
      <c r="B6" s="562">
        <v>49719754</v>
      </c>
      <c r="C6" s="271">
        <f t="shared" si="4"/>
        <v>3713</v>
      </c>
      <c r="D6" s="323">
        <f t="shared" si="5"/>
        <v>3714</v>
      </c>
      <c r="E6" s="323">
        <f t="shared" ref="E6:E33" si="11">B5+D6</f>
        <v>49719755</v>
      </c>
      <c r="F6" s="562">
        <v>7991596</v>
      </c>
      <c r="G6" s="161">
        <f t="shared" si="0"/>
        <v>669</v>
      </c>
      <c r="H6" s="562">
        <v>24481805</v>
      </c>
      <c r="I6" s="162">
        <f t="shared" si="1"/>
        <v>1847</v>
      </c>
      <c r="J6" s="562">
        <v>17246354</v>
      </c>
      <c r="K6" s="163">
        <f t="shared" si="2"/>
        <v>1198</v>
      </c>
      <c r="L6" s="310">
        <f t="shared" si="6"/>
        <v>142.00995024875621</v>
      </c>
      <c r="M6" s="310">
        <f t="shared" si="7"/>
        <v>137.22321724709784</v>
      </c>
      <c r="N6" s="310">
        <f t="shared" si="8"/>
        <v>63.575456053067995</v>
      </c>
      <c r="O6" s="310">
        <f t="shared" si="3"/>
        <v>159.96313985627418</v>
      </c>
      <c r="P6" s="311">
        <f t="shared" si="9"/>
        <v>502.77176340519622</v>
      </c>
      <c r="Q6" s="311">
        <f>SUM(-tanks!AX8*tanks!$AU$36)</f>
        <v>101.47906614516258</v>
      </c>
      <c r="R6" s="311">
        <f t="shared" si="10"/>
        <v>604.25082955035884</v>
      </c>
      <c r="S6" s="314">
        <f>SUM(ELEC!N5)</f>
        <v>8665.2000000001863</v>
      </c>
      <c r="T6" s="351">
        <f t="shared" ref="T6:T32" si="12">IF(S6&gt;0,R6/S6,0)</f>
        <v>6.9733050541285355E-2</v>
      </c>
      <c r="V6" s="630"/>
      <c r="W6" s="631"/>
      <c r="X6" s="631"/>
      <c r="Y6" s="632"/>
      <c r="Z6" s="3"/>
      <c r="AA6" s="3"/>
      <c r="AB6" s="635"/>
      <c r="AC6" s="636"/>
    </row>
    <row r="7" spans="1:30" ht="15" customHeight="1">
      <c r="A7" s="164">
        <f>ELEC!C6</f>
        <v>43925</v>
      </c>
      <c r="B7" s="559">
        <v>49723083</v>
      </c>
      <c r="C7" s="271">
        <f t="shared" si="4"/>
        <v>3329</v>
      </c>
      <c r="D7" s="323">
        <f t="shared" si="5"/>
        <v>3328</v>
      </c>
      <c r="E7" s="323">
        <f t="shared" si="11"/>
        <v>49723082</v>
      </c>
      <c r="F7" s="559">
        <v>7992029</v>
      </c>
      <c r="G7" s="161">
        <f t="shared" si="0"/>
        <v>433</v>
      </c>
      <c r="H7" s="559">
        <v>24483647</v>
      </c>
      <c r="I7" s="162">
        <f t="shared" si="1"/>
        <v>1842</v>
      </c>
      <c r="J7" s="559">
        <v>17247407</v>
      </c>
      <c r="K7" s="163">
        <f t="shared" si="2"/>
        <v>1053</v>
      </c>
      <c r="L7" s="310">
        <f t="shared" si="6"/>
        <v>91.91376451077943</v>
      </c>
      <c r="M7" s="310">
        <f t="shared" si="7"/>
        <v>136.85174129353234</v>
      </c>
      <c r="N7" s="310">
        <f t="shared" si="8"/>
        <v>55.880597014925371</v>
      </c>
      <c r="O7" s="310">
        <f t="shared" si="3"/>
        <v>159.96313985627418</v>
      </c>
      <c r="P7" s="311">
        <f t="shared" si="9"/>
        <v>444.60924267551138</v>
      </c>
      <c r="Q7" s="311">
        <f>SUM(-tanks!AX9*tanks!$AU$36)</f>
        <v>104.53240114516701</v>
      </c>
      <c r="R7" s="311">
        <f t="shared" si="10"/>
        <v>549.14164382067838</v>
      </c>
      <c r="S7" s="314">
        <f>SUM(ELEC!N6)</f>
        <v>7670.3999999999069</v>
      </c>
      <c r="T7" s="351">
        <f t="shared" si="12"/>
        <v>7.159230859155781E-2</v>
      </c>
      <c r="V7" s="623" t="s">
        <v>204</v>
      </c>
      <c r="W7" s="624"/>
      <c r="X7" s="625" t="s">
        <v>205</v>
      </c>
      <c r="Y7" s="626"/>
      <c r="Z7" s="624"/>
      <c r="AA7" s="26"/>
      <c r="AB7" s="637"/>
      <c r="AC7" s="638"/>
    </row>
    <row r="8" spans="1:30" ht="15.75" customHeight="1">
      <c r="A8" s="164">
        <f>ELEC!C7</f>
        <v>43926</v>
      </c>
      <c r="B8" s="559">
        <v>49726666</v>
      </c>
      <c r="C8" s="271">
        <f t="shared" si="4"/>
        <v>3583</v>
      </c>
      <c r="D8" s="323">
        <f t="shared" si="5"/>
        <v>3583</v>
      </c>
      <c r="E8" s="323">
        <f t="shared" si="11"/>
        <v>49726666</v>
      </c>
      <c r="F8" s="559">
        <v>7992487</v>
      </c>
      <c r="G8" s="161">
        <f t="shared" si="0"/>
        <v>458</v>
      </c>
      <c r="H8" s="559">
        <v>24485635</v>
      </c>
      <c r="I8" s="162">
        <f t="shared" si="1"/>
        <v>1988</v>
      </c>
      <c r="J8" s="559">
        <v>17248544</v>
      </c>
      <c r="K8" s="163">
        <f>J8-J7</f>
        <v>1137</v>
      </c>
      <c r="L8" s="310">
        <f>SUM(G8*$Y$28)/1507.5</f>
        <v>97.220563847429517</v>
      </c>
      <c r="M8" s="310">
        <f>SUM(I8*$Y$27)/1507.5</f>
        <v>147.69883913764511</v>
      </c>
      <c r="N8" s="310">
        <f>SUM(K8*$Y$26)/1507.5</f>
        <v>60.338308457711442</v>
      </c>
      <c r="O8" s="310">
        <f t="shared" si="3"/>
        <v>159.96313985627418</v>
      </c>
      <c r="P8" s="311">
        <f t="shared" si="9"/>
        <v>465.2208512990602</v>
      </c>
      <c r="Q8" s="311">
        <f>SUM(-tanks!AX10*tanks!$AU$36)</f>
        <v>276.23817229032068</v>
      </c>
      <c r="R8" s="311">
        <f t="shared" si="10"/>
        <v>741.45902358938088</v>
      </c>
      <c r="S8" s="314">
        <f>SUM(ELEC!N7)</f>
        <v>8538.8000000002794</v>
      </c>
      <c r="T8" s="351">
        <f>IF(S8&gt;0,R8/S8,0)</f>
        <v>8.6834101230776756E-2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43927</v>
      </c>
      <c r="B9" s="559">
        <v>49730980</v>
      </c>
      <c r="C9" s="271">
        <f t="shared" si="4"/>
        <v>4314</v>
      </c>
      <c r="D9" s="323">
        <f t="shared" si="5"/>
        <v>4314</v>
      </c>
      <c r="E9" s="323">
        <f t="shared" si="11"/>
        <v>49730980</v>
      </c>
      <c r="F9" s="559">
        <v>7993001</v>
      </c>
      <c r="G9" s="161">
        <f t="shared" si="0"/>
        <v>514</v>
      </c>
      <c r="H9" s="559">
        <v>24488149</v>
      </c>
      <c r="I9" s="162">
        <f t="shared" si="1"/>
        <v>2514</v>
      </c>
      <c r="J9" s="559">
        <v>17249830</v>
      </c>
      <c r="K9" s="163">
        <f>J9-J8</f>
        <v>1286</v>
      </c>
      <c r="L9" s="310">
        <f>SUM(G9*$Y$28)/1507.5</f>
        <v>109.10779436152571</v>
      </c>
      <c r="M9" s="310">
        <f>SUM(I9*$Y$27)/1507.5</f>
        <v>186.77810945273632</v>
      </c>
      <c r="N9" s="310">
        <f>SUM(K9*$Y$26)/1507.5</f>
        <v>68.245439469320061</v>
      </c>
      <c r="O9" s="310">
        <f t="shared" si="3"/>
        <v>159.96313985627418</v>
      </c>
      <c r="P9" s="311">
        <f t="shared" si="9"/>
        <v>524.09448313985627</v>
      </c>
      <c r="Q9" s="311">
        <f>SUM(-tanks!AX11*tanks!$AU$36)</f>
        <v>51.709705645158131</v>
      </c>
      <c r="R9" s="311">
        <f>SUM(P9:Q9)</f>
        <v>575.80418878501439</v>
      </c>
      <c r="S9" s="314">
        <f>SUM(ELEC!N8)</f>
        <v>10057.799999999814</v>
      </c>
      <c r="T9" s="351">
        <f t="shared" si="12"/>
        <v>5.7249516672137547E-2</v>
      </c>
      <c r="V9" s="271">
        <f>'[1]EDl log'!V26</f>
        <v>17197272</v>
      </c>
      <c r="W9" s="271">
        <f>'[1]EDl log'!$W$26</f>
        <v>17242851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45579</v>
      </c>
      <c r="AB9" s="271">
        <f>'[1]EDl log'!AB26</f>
        <v>3646320</v>
      </c>
      <c r="AC9" s="271">
        <f>'[1]EDl log'!AC26</f>
        <v>1033333</v>
      </c>
      <c r="AD9" s="533">
        <f>'[2]EDl log'!AD26</f>
        <v>0.35885325131810192</v>
      </c>
    </row>
    <row r="10" spans="1:30">
      <c r="A10" s="164">
        <f>ELEC!C9</f>
        <v>43928</v>
      </c>
      <c r="B10" s="559">
        <v>49734437</v>
      </c>
      <c r="C10" s="271">
        <f t="shared" si="4"/>
        <v>3457</v>
      </c>
      <c r="D10" s="323">
        <f t="shared" si="5"/>
        <v>3458</v>
      </c>
      <c r="E10" s="323">
        <f t="shared" si="11"/>
        <v>49734438</v>
      </c>
      <c r="F10" s="559">
        <v>7993489</v>
      </c>
      <c r="G10" s="161">
        <f t="shared" si="0"/>
        <v>488</v>
      </c>
      <c r="H10" s="559">
        <v>24489854</v>
      </c>
      <c r="I10" s="162">
        <f t="shared" si="1"/>
        <v>1705</v>
      </c>
      <c r="J10" s="559">
        <v>17251095</v>
      </c>
      <c r="K10" s="163">
        <f t="shared" si="2"/>
        <v>1265</v>
      </c>
      <c r="L10" s="310">
        <f t="shared" si="6"/>
        <v>103.58872305140962</v>
      </c>
      <c r="M10" s="310">
        <f t="shared" si="7"/>
        <v>126.67330016583747</v>
      </c>
      <c r="N10" s="310">
        <f t="shared" si="8"/>
        <v>67.131011608623552</v>
      </c>
      <c r="O10" s="310">
        <f t="shared" si="3"/>
        <v>159.96313985627418</v>
      </c>
      <c r="P10" s="311">
        <f t="shared" si="9"/>
        <v>457.3561746821448</v>
      </c>
      <c r="Q10" s="311">
        <f>SUM(-tanks!AX12*tanks!$AU$36)</f>
        <v>43.564195822583507</v>
      </c>
      <c r="R10" s="311">
        <f t="shared" si="10"/>
        <v>500.92037050472828</v>
      </c>
      <c r="S10" s="314">
        <f>SUM(ELEC!N9)</f>
        <v>7909.3999999999069</v>
      </c>
      <c r="T10" s="351">
        <f t="shared" si="12"/>
        <v>6.333228443431034E-2</v>
      </c>
      <c r="V10" s="271">
        <f>'[1]EDl log'!V27</f>
        <v>24415638</v>
      </c>
      <c r="W10" s="271">
        <f>'[1]EDl log'!W27</f>
        <v>24476792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61154</v>
      </c>
      <c r="AB10" s="271">
        <f>'[1]EDl log'!AB27</f>
        <v>6849248</v>
      </c>
      <c r="AC10" s="271">
        <f>'[1]EDl log'!AC27</f>
        <v>6200000</v>
      </c>
      <c r="AD10" s="533">
        <f>'[2]EDl log'!AD27</f>
        <v>0.48316835521554841</v>
      </c>
    </row>
    <row r="11" spans="1:30">
      <c r="A11" s="164">
        <f>ELEC!C10</f>
        <v>43929</v>
      </c>
      <c r="B11" s="559">
        <v>49739175</v>
      </c>
      <c r="C11" s="271">
        <f t="shared" si="4"/>
        <v>4738</v>
      </c>
      <c r="D11" s="323">
        <f>SUM(G11+I11+K11)</f>
        <v>4737</v>
      </c>
      <c r="E11" s="323">
        <f t="shared" si="11"/>
        <v>49739174</v>
      </c>
      <c r="F11" s="559">
        <v>7993992</v>
      </c>
      <c r="G11" s="161">
        <f t="shared" si="0"/>
        <v>503</v>
      </c>
      <c r="H11" s="559">
        <v>24492975</v>
      </c>
      <c r="I11" s="162">
        <f t="shared" si="1"/>
        <v>3121</v>
      </c>
      <c r="J11" s="559">
        <v>17252208</v>
      </c>
      <c r="K11" s="163">
        <f t="shared" si="2"/>
        <v>1113</v>
      </c>
      <c r="L11" s="310">
        <f t="shared" si="6"/>
        <v>106.77280265339967</v>
      </c>
      <c r="M11" s="310">
        <f t="shared" si="7"/>
        <v>231.87529021558873</v>
      </c>
      <c r="N11" s="310">
        <f t="shared" si="8"/>
        <v>59.06467661691542</v>
      </c>
      <c r="O11" s="310">
        <f t="shared" si="3"/>
        <v>159.96313985627418</v>
      </c>
      <c r="P11" s="311">
        <f t="shared" si="9"/>
        <v>557.67590934217799</v>
      </c>
      <c r="Q11" s="311">
        <f>SUM(-tanks!AX13*tanks!$AU$36)</f>
        <v>187.78995196773718</v>
      </c>
      <c r="R11" s="311">
        <f t="shared" si="10"/>
        <v>745.46586130991523</v>
      </c>
      <c r="S11" s="314">
        <f>SUM(ELEC!N10)</f>
        <v>10815.600000000093</v>
      </c>
      <c r="T11" s="351">
        <f t="shared" si="12"/>
        <v>6.8925058370308517E-2</v>
      </c>
      <c r="V11" s="271">
        <f>'[1]EDl log'!V28</f>
        <v>7969132</v>
      </c>
      <c r="W11" s="271">
        <f>'[1]EDl log'!W28</f>
        <v>7990092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20960</v>
      </c>
      <c r="AB11" s="271">
        <f>'[1]EDl log'!AB28</f>
        <v>6707200</v>
      </c>
      <c r="AC11" s="271">
        <f>'[1]EDl log'!AC28</f>
        <v>1000</v>
      </c>
      <c r="AD11" s="533">
        <f>'[2]EDl log'!AD28</f>
        <v>0.157984854750336</v>
      </c>
    </row>
    <row r="12" spans="1:30">
      <c r="A12" s="164">
        <f>ELEC!C11</f>
        <v>43930</v>
      </c>
      <c r="B12" s="559">
        <v>49742852</v>
      </c>
      <c r="C12" s="271">
        <f t="shared" si="4"/>
        <v>3677</v>
      </c>
      <c r="D12" s="323">
        <f t="shared" si="5"/>
        <v>3778</v>
      </c>
      <c r="E12" s="323">
        <f t="shared" si="11"/>
        <v>49742953</v>
      </c>
      <c r="F12" s="559">
        <v>7994485</v>
      </c>
      <c r="G12" s="161">
        <f t="shared" si="0"/>
        <v>493</v>
      </c>
      <c r="H12" s="559">
        <v>24495012</v>
      </c>
      <c r="I12" s="162">
        <f t="shared" si="1"/>
        <v>2037</v>
      </c>
      <c r="J12" s="559">
        <v>17253456</v>
      </c>
      <c r="K12" s="163">
        <f t="shared" si="2"/>
        <v>1248</v>
      </c>
      <c r="L12" s="310">
        <f t="shared" si="6"/>
        <v>104.65008291873964</v>
      </c>
      <c r="M12" s="310">
        <f t="shared" si="7"/>
        <v>151.33930348258707</v>
      </c>
      <c r="N12" s="310">
        <f t="shared" si="8"/>
        <v>66.228855721393032</v>
      </c>
      <c r="O12" s="310">
        <f t="shared" si="3"/>
        <v>159.96313985627418</v>
      </c>
      <c r="P12" s="311">
        <f t="shared" si="9"/>
        <v>482.18138197899395</v>
      </c>
      <c r="Q12" s="311">
        <f>SUM(-tanks!AX14*tanks!$AU$36)</f>
        <v>186.56172334032604</v>
      </c>
      <c r="R12" s="311">
        <f t="shared" si="10"/>
        <v>668.74310531931997</v>
      </c>
      <c r="S12" s="314">
        <f>SUM(ELEC!N11)</f>
        <v>9103</v>
      </c>
      <c r="T12" s="351">
        <f t="shared" si="12"/>
        <v>7.3464034419347471E-2</v>
      </c>
      <c r="V12" s="271">
        <f>'[6]EDl log'!V29</f>
        <v>0</v>
      </c>
      <c r="W12" s="271">
        <f>'[6]EDl log'!W29</f>
        <v>0</v>
      </c>
      <c r="X12" s="3"/>
      <c r="Y12" s="271">
        <f>'[7]EDl log'!Y29</f>
        <v>0</v>
      </c>
      <c r="Z12" s="28"/>
      <c r="AA12" s="271">
        <f>'[1]EDl log'!AA29</f>
        <v>127693</v>
      </c>
      <c r="AB12" s="271">
        <f>'[1]EDl log'!AB29</f>
        <v>0</v>
      </c>
      <c r="AC12" s="271">
        <f>'[1]EDl log'!AC29</f>
        <v>0</v>
      </c>
    </row>
    <row r="13" spans="1:30">
      <c r="A13" s="164">
        <f>ELEC!C12</f>
        <v>43931</v>
      </c>
      <c r="B13" s="563">
        <v>49746241</v>
      </c>
      <c r="C13" s="271">
        <f t="shared" si="4"/>
        <v>3389</v>
      </c>
      <c r="D13" s="323">
        <f t="shared" si="5"/>
        <v>3291</v>
      </c>
      <c r="E13" s="323">
        <f t="shared" si="11"/>
        <v>49746143</v>
      </c>
      <c r="F13" s="563">
        <v>7994955</v>
      </c>
      <c r="G13" s="161">
        <f t="shared" si="0"/>
        <v>470</v>
      </c>
      <c r="H13" s="563">
        <v>24496577</v>
      </c>
      <c r="I13" s="162">
        <f t="shared" si="1"/>
        <v>1565</v>
      </c>
      <c r="J13" s="563">
        <v>17254712</v>
      </c>
      <c r="K13" s="163">
        <f t="shared" si="2"/>
        <v>1256</v>
      </c>
      <c r="L13" s="310">
        <f t="shared" si="6"/>
        <v>99.767827529021559</v>
      </c>
      <c r="M13" s="310">
        <f t="shared" si="7"/>
        <v>116.27197346600332</v>
      </c>
      <c r="N13" s="310">
        <f t="shared" si="8"/>
        <v>66.653399668325036</v>
      </c>
      <c r="O13" s="310">
        <f t="shared" si="3"/>
        <v>159.96313985627418</v>
      </c>
      <c r="P13" s="311">
        <f t="shared" si="9"/>
        <v>442.65634051962411</v>
      </c>
      <c r="Q13" s="311">
        <f>SUM(-tanks!AX15*tanks!$AU$36)</f>
        <v>223.11014329032514</v>
      </c>
      <c r="R13" s="311">
        <f t="shared" si="10"/>
        <v>665.76648380994925</v>
      </c>
      <c r="S13" s="314">
        <f>SUM(ELEC!N12)</f>
        <v>8022.6000000000931</v>
      </c>
      <c r="T13" s="351">
        <f t="shared" si="12"/>
        <v>8.2986373969778066E-2</v>
      </c>
      <c r="V13" s="271" t="str">
        <f>'[8]EDl log'!V30</f>
        <v>Occ %</v>
      </c>
      <c r="W13" s="533">
        <f>'[1]EDl log'!W30</f>
        <v>5.3454838709677405E-2</v>
      </c>
      <c r="X13" s="271">
        <f>'[9]EDl log'!X30</f>
        <v>0</v>
      </c>
      <c r="Y13" s="271" t="str">
        <f>'[1]EDl log'!Y30</f>
        <v>Per G</v>
      </c>
      <c r="Z13" s="3"/>
      <c r="AA13" s="3"/>
      <c r="AB13" s="271">
        <f>'[1]EDl log'!AB30</f>
        <v>17202768</v>
      </c>
      <c r="AC13" s="271">
        <f>'[1]EDl log'!AC30</f>
        <v>7234333</v>
      </c>
    </row>
    <row r="14" spans="1:30">
      <c r="A14" s="164">
        <f>ELEC!C13</f>
        <v>43932</v>
      </c>
      <c r="B14" s="564">
        <v>49749732</v>
      </c>
      <c r="C14" s="271">
        <f t="shared" si="4"/>
        <v>3491</v>
      </c>
      <c r="D14" s="323">
        <f t="shared" si="5"/>
        <v>3487</v>
      </c>
      <c r="E14" s="323">
        <f t="shared" si="11"/>
        <v>49749728</v>
      </c>
      <c r="F14" s="564">
        <v>7995252</v>
      </c>
      <c r="G14" s="161">
        <f t="shared" si="0"/>
        <v>297</v>
      </c>
      <c r="H14" s="564">
        <v>24498522</v>
      </c>
      <c r="I14" s="162">
        <f t="shared" si="1"/>
        <v>1945</v>
      </c>
      <c r="J14" s="564">
        <v>17255957</v>
      </c>
      <c r="K14" s="163">
        <f t="shared" si="2"/>
        <v>1245</v>
      </c>
      <c r="L14" s="310">
        <f t="shared" si="6"/>
        <v>63.044776119402982</v>
      </c>
      <c r="M14" s="310">
        <f t="shared" si="7"/>
        <v>144.50414593698176</v>
      </c>
      <c r="N14" s="310">
        <f t="shared" si="8"/>
        <v>66.069651741293526</v>
      </c>
      <c r="O14" s="310">
        <f t="shared" si="3"/>
        <v>159.96313985627418</v>
      </c>
      <c r="P14" s="311">
        <f t="shared" si="9"/>
        <v>433.58171365395242</v>
      </c>
      <c r="Q14" s="311">
        <f>SUM(-tanks!AX16*tanks!$AU$36)</f>
        <v>149.41642564515811</v>
      </c>
      <c r="R14" s="311">
        <f>SUM(P14:Q14)</f>
        <v>582.99813929911056</v>
      </c>
      <c r="S14" s="314">
        <f>SUM(ELEC!N13)</f>
        <v>8603.3999999999069</v>
      </c>
      <c r="T14" s="351">
        <f t="shared" si="12"/>
        <v>6.7763691017402053E-2</v>
      </c>
      <c r="V14" s="271" t="str">
        <f>'[8]EDl log'!V31</f>
        <v>Gen RH</v>
      </c>
      <c r="W14" s="271">
        <f>'[1]EDl log'!W31</f>
        <v>117.48999999999978</v>
      </c>
      <c r="X14" s="271">
        <f>'[1]EDl log'!X31</f>
        <v>3.7899999999999929</v>
      </c>
      <c r="Y14" s="271">
        <f>'[1]EDl log'!Y31</f>
        <v>1.8949999999999965</v>
      </c>
      <c r="Z14" s="3"/>
      <c r="AA14" s="3"/>
      <c r="AB14" s="271">
        <f>'[1]EDl log'!AB31</f>
        <v>24437101</v>
      </c>
      <c r="AC14" s="271">
        <f>'[1]EDl log'!AC31</f>
        <v>7234333</v>
      </c>
    </row>
    <row r="15" spans="1:30">
      <c r="A15" s="164">
        <f>ELEC!C14</f>
        <v>43933</v>
      </c>
      <c r="B15" s="559">
        <v>49754029</v>
      </c>
      <c r="C15" s="271">
        <f t="shared" si="4"/>
        <v>4297</v>
      </c>
      <c r="D15" s="323">
        <f t="shared" si="5"/>
        <v>4298</v>
      </c>
      <c r="E15" s="323">
        <f t="shared" si="11"/>
        <v>49754030</v>
      </c>
      <c r="F15" s="559">
        <v>7995815</v>
      </c>
      <c r="G15" s="161">
        <f t="shared" si="0"/>
        <v>563</v>
      </c>
      <c r="H15" s="559">
        <v>24501029</v>
      </c>
      <c r="I15" s="162">
        <f t="shared" si="1"/>
        <v>2507</v>
      </c>
      <c r="J15" s="559">
        <v>17257185</v>
      </c>
      <c r="K15" s="163">
        <f t="shared" si="2"/>
        <v>1228</v>
      </c>
      <c r="L15" s="310">
        <f t="shared" si="6"/>
        <v>119.50912106135986</v>
      </c>
      <c r="M15" s="310">
        <f t="shared" si="7"/>
        <v>186.25804311774462</v>
      </c>
      <c r="N15" s="310">
        <f t="shared" si="8"/>
        <v>65.16749585406302</v>
      </c>
      <c r="O15" s="310">
        <f t="shared" si="3"/>
        <v>159.96313985627418</v>
      </c>
      <c r="P15" s="311">
        <f t="shared" si="9"/>
        <v>530.89779988944167</v>
      </c>
      <c r="Q15" s="311">
        <f>SUM(-tanks!AX17*tanks!$AU$36)</f>
        <v>165.50060646774165</v>
      </c>
      <c r="R15" s="311">
        <f t="shared" si="10"/>
        <v>696.39840635718338</v>
      </c>
      <c r="S15" s="314">
        <f>SUM(ELEC!N14)</f>
        <v>8743</v>
      </c>
      <c r="T15" s="351">
        <f t="shared" si="12"/>
        <v>7.9652110986753219E-2</v>
      </c>
      <c r="V15" s="271" t="str">
        <f>'[8]EDl log'!V32</f>
        <v>H Deg</v>
      </c>
      <c r="W15" s="271">
        <f>'[1]EDl log'!W32</f>
        <v>-549.00000000000011</v>
      </c>
      <c r="X15" s="271">
        <f>'[1]EDl log'!X32</f>
        <v>0</v>
      </c>
      <c r="Y15" s="271">
        <f>'[1]EDl log'!Y32</f>
        <v>0</v>
      </c>
      <c r="Z15" s="3"/>
      <c r="AA15" s="3"/>
      <c r="AB15" s="271">
        <f>'[6]EDl log'!AB32</f>
        <v>0</v>
      </c>
      <c r="AC15" s="271">
        <f>'[1]EDl log'!AC32</f>
        <v>0</v>
      </c>
    </row>
    <row r="16" spans="1:30">
      <c r="A16" s="164">
        <f>ELEC!C15</f>
        <v>43934</v>
      </c>
      <c r="B16" s="565">
        <v>49757903</v>
      </c>
      <c r="C16" s="271">
        <f t="shared" si="4"/>
        <v>3874</v>
      </c>
      <c r="D16" s="323">
        <f t="shared" si="5"/>
        <v>3875</v>
      </c>
      <c r="E16" s="323">
        <f t="shared" si="11"/>
        <v>49757904</v>
      </c>
      <c r="F16" s="565">
        <v>7996311</v>
      </c>
      <c r="G16" s="161">
        <f t="shared" si="0"/>
        <v>496</v>
      </c>
      <c r="H16" s="565">
        <v>24502963</v>
      </c>
      <c r="I16" s="162">
        <f t="shared" si="1"/>
        <v>1934</v>
      </c>
      <c r="J16" s="565">
        <v>17258630</v>
      </c>
      <c r="K16" s="163">
        <f t="shared" si="2"/>
        <v>1445</v>
      </c>
      <c r="L16" s="310">
        <f t="shared" si="6"/>
        <v>105.28689883913765</v>
      </c>
      <c r="M16" s="310">
        <f t="shared" si="7"/>
        <v>143.68689883913765</v>
      </c>
      <c r="N16" s="310">
        <f t="shared" si="8"/>
        <v>76.683250414593701</v>
      </c>
      <c r="O16" s="310">
        <f t="shared" si="3"/>
        <v>159.96313985627418</v>
      </c>
      <c r="P16" s="311">
        <f t="shared" si="9"/>
        <v>485.6201879491432</v>
      </c>
      <c r="Q16" s="311">
        <f>SUM(-tanks!AX18*tanks!$AU$36)</f>
        <v>249.06349079031847</v>
      </c>
      <c r="R16" s="311">
        <f t="shared" si="10"/>
        <v>734.6836787394617</v>
      </c>
      <c r="S16" s="314">
        <f>SUM(ELEC!N15)</f>
        <v>8764</v>
      </c>
      <c r="T16" s="351">
        <f t="shared" si="12"/>
        <v>8.3829721444484445E-2</v>
      </c>
      <c r="V16" s="271" t="str">
        <f>'[8]EDl log'!V33</f>
        <v>C Deg</v>
      </c>
      <c r="W16" s="271">
        <f>'[1]EDl log'!W33</f>
        <v>0</v>
      </c>
      <c r="X16" s="271">
        <f>'[1]EDl log'!X33</f>
        <v>0</v>
      </c>
      <c r="Y16" s="271">
        <f>'[1]EDl log'!Y33</f>
        <v>0</v>
      </c>
      <c r="Z16" s="3"/>
      <c r="AA16" s="3"/>
      <c r="AB16" s="271">
        <f>'[6]EDl log'!AB33</f>
        <v>0</v>
      </c>
      <c r="AC16" s="271">
        <f>'[1]EDl log'!AC33</f>
        <v>0</v>
      </c>
    </row>
    <row r="17" spans="1:32">
      <c r="A17" s="164">
        <f>ELEC!C16</f>
        <v>43935</v>
      </c>
      <c r="B17" s="559">
        <v>49761603</v>
      </c>
      <c r="C17" s="271">
        <f t="shared" si="4"/>
        <v>3700</v>
      </c>
      <c r="D17" s="323">
        <f t="shared" si="5"/>
        <v>3700</v>
      </c>
      <c r="E17" s="323">
        <f t="shared" si="11"/>
        <v>49761603</v>
      </c>
      <c r="F17" s="559">
        <v>7996836</v>
      </c>
      <c r="G17" s="161">
        <f t="shared" si="0"/>
        <v>525</v>
      </c>
      <c r="H17" s="559">
        <v>24504815</v>
      </c>
      <c r="I17" s="162">
        <f t="shared" si="1"/>
        <v>1852</v>
      </c>
      <c r="J17" s="559">
        <v>17259953</v>
      </c>
      <c r="K17" s="163">
        <f t="shared" si="2"/>
        <v>1323</v>
      </c>
      <c r="L17" s="310">
        <f t="shared" si="6"/>
        <v>111.44278606965175</v>
      </c>
      <c r="M17" s="310">
        <f t="shared" si="7"/>
        <v>137.59469320066336</v>
      </c>
      <c r="N17" s="310">
        <f t="shared" si="8"/>
        <v>70.208955223880594</v>
      </c>
      <c r="O17" s="310">
        <f t="shared" si="3"/>
        <v>159.96313985627418</v>
      </c>
      <c r="P17" s="311">
        <f t="shared" si="9"/>
        <v>479.20957435046989</v>
      </c>
      <c r="Q17" s="311">
        <f>SUM(-tanks!AX19*tanks!$AU$36)</f>
        <v>128.34841414516035</v>
      </c>
      <c r="R17" s="311">
        <f t="shared" si="10"/>
        <v>607.5579884956303</v>
      </c>
      <c r="S17" s="314">
        <f>SUM(ELEC!N16)</f>
        <v>8688.3999999999069</v>
      </c>
      <c r="T17" s="351">
        <f t="shared" si="12"/>
        <v>6.9927488202158827E-2</v>
      </c>
      <c r="V17" s="259"/>
      <c r="W17" s="271">
        <f>'[7]EDl log'!W34</f>
        <v>0</v>
      </c>
      <c r="X17" s="17"/>
      <c r="Y17" s="453"/>
      <c r="Z17" s="271" t="str">
        <f>'[1]EDl log'!Z35</f>
        <v xml:space="preserve">VAT </v>
      </c>
      <c r="AA17" s="533">
        <f>'[1]EDl log'!AA35</f>
        <v>0.11</v>
      </c>
      <c r="AB17" s="271">
        <f>'[1]EDl log'!AB34</f>
        <v>0</v>
      </c>
      <c r="AC17" s="271"/>
    </row>
    <row r="18" spans="1:32" ht="15.75" thickBot="1">
      <c r="A18" s="164">
        <f>ELEC!C17</f>
        <v>43936</v>
      </c>
      <c r="B18" s="559">
        <v>49765525</v>
      </c>
      <c r="C18" s="271">
        <f t="shared" si="4"/>
        <v>3922</v>
      </c>
      <c r="D18" s="323">
        <f t="shared" si="5"/>
        <v>3920</v>
      </c>
      <c r="E18" s="323">
        <f t="shared" si="11"/>
        <v>49765523</v>
      </c>
      <c r="F18" s="559">
        <v>7997257</v>
      </c>
      <c r="G18" s="161">
        <f t="shared" si="0"/>
        <v>421</v>
      </c>
      <c r="H18" s="559">
        <v>24506983</v>
      </c>
      <c r="I18" s="162">
        <f t="shared" si="1"/>
        <v>2168</v>
      </c>
      <c r="J18" s="559">
        <v>17261284</v>
      </c>
      <c r="K18" s="163">
        <f t="shared" si="2"/>
        <v>1331</v>
      </c>
      <c r="L18" s="310">
        <f t="shared" si="6"/>
        <v>89.366500829187402</v>
      </c>
      <c r="M18" s="310">
        <f t="shared" si="7"/>
        <v>161.07197346600333</v>
      </c>
      <c r="N18" s="310">
        <f t="shared" si="8"/>
        <v>70.633499170812598</v>
      </c>
      <c r="O18" s="310">
        <f t="shared" si="3"/>
        <v>159.96313985627418</v>
      </c>
      <c r="P18" s="311">
        <f t="shared" si="9"/>
        <v>481.03511332227754</v>
      </c>
      <c r="Q18" s="311">
        <f>SUM(-tanks!AX20*tanks!$AU$36)</f>
        <v>-5.9096806451625801</v>
      </c>
      <c r="R18" s="311">
        <f t="shared" si="10"/>
        <v>475.12543267711499</v>
      </c>
      <c r="S18" s="314">
        <f>SUM(ELEC!N17)</f>
        <v>9282</v>
      </c>
      <c r="T18" s="351">
        <f t="shared" si="12"/>
        <v>5.1187829420072717E-2</v>
      </c>
      <c r="V18" s="233"/>
      <c r="W18" s="234"/>
      <c r="X18" s="234"/>
      <c r="Y18" s="453"/>
      <c r="Z18" s="453"/>
      <c r="AA18" s="45"/>
      <c r="AB18" s="271">
        <f>'[1]EDl log'!AB36</f>
        <v>27125182.109999999</v>
      </c>
      <c r="AC18" s="271"/>
    </row>
    <row r="19" spans="1:32" ht="15.75" thickBot="1">
      <c r="A19" s="164">
        <f>ELEC!C18</f>
        <v>43937</v>
      </c>
      <c r="B19" s="559">
        <v>49770829</v>
      </c>
      <c r="C19" s="271">
        <f t="shared" si="4"/>
        <v>5304</v>
      </c>
      <c r="D19" s="323">
        <f t="shared" si="5"/>
        <v>6006</v>
      </c>
      <c r="E19" s="323">
        <f t="shared" si="11"/>
        <v>49771531</v>
      </c>
      <c r="F19" s="559">
        <v>7997883</v>
      </c>
      <c r="G19" s="161">
        <f>F19-F18</f>
        <v>626</v>
      </c>
      <c r="H19" s="559">
        <v>24510776</v>
      </c>
      <c r="I19" s="162">
        <f t="shared" si="1"/>
        <v>3793</v>
      </c>
      <c r="J19" s="559">
        <v>17262871</v>
      </c>
      <c r="K19" s="163">
        <f t="shared" si="2"/>
        <v>1587</v>
      </c>
      <c r="L19" s="310">
        <f t="shared" si="6"/>
        <v>132.88225538971807</v>
      </c>
      <c r="M19" s="310">
        <f t="shared" si="7"/>
        <v>281.80165837479268</v>
      </c>
      <c r="N19" s="310">
        <f t="shared" si="8"/>
        <v>84.21890547263682</v>
      </c>
      <c r="O19" s="310">
        <f t="shared" si="3"/>
        <v>159.96313985627418</v>
      </c>
      <c r="P19" s="311">
        <f t="shared" si="9"/>
        <v>658.86595909342179</v>
      </c>
      <c r="Q19" s="311">
        <f>SUM(-tanks!AX21*tanks!$AU$36)</f>
        <v>83.464389645162569</v>
      </c>
      <c r="R19" s="311">
        <f t="shared" si="10"/>
        <v>742.33034873858435</v>
      </c>
      <c r="S19" s="314">
        <f>SUM(ELEC!N18)</f>
        <v>10771.600000000093</v>
      </c>
      <c r="T19" s="351">
        <f t="shared" si="12"/>
        <v>6.891551382696888E-2</v>
      </c>
      <c r="V19" s="233"/>
      <c r="W19" s="234"/>
      <c r="X19" s="234"/>
      <c r="Y19" s="453"/>
      <c r="Z19" s="453"/>
      <c r="AA19" s="234" t="s">
        <v>215</v>
      </c>
      <c r="AB19" s="271">
        <f>'[1]EDl log'!AB37</f>
        <v>16210.348922056384</v>
      </c>
      <c r="AC19" s="271"/>
    </row>
    <row r="20" spans="1:32" ht="15.75" thickBot="1">
      <c r="A20" s="164">
        <f>ELEC!C19</f>
        <v>43938</v>
      </c>
      <c r="B20" s="559">
        <v>49774184</v>
      </c>
      <c r="C20" s="271">
        <f t="shared" si="4"/>
        <v>3355</v>
      </c>
      <c r="D20" s="323">
        <f t="shared" si="5"/>
        <v>2655</v>
      </c>
      <c r="E20" s="323">
        <f t="shared" si="11"/>
        <v>49773484</v>
      </c>
      <c r="F20" s="559">
        <v>7998383</v>
      </c>
      <c r="G20" s="161">
        <f t="shared" si="0"/>
        <v>500</v>
      </c>
      <c r="H20" s="559">
        <v>24511671</v>
      </c>
      <c r="I20" s="162">
        <f t="shared" si="1"/>
        <v>895</v>
      </c>
      <c r="J20" s="559">
        <v>17264131</v>
      </c>
      <c r="K20" s="163">
        <f t="shared" si="2"/>
        <v>1260</v>
      </c>
      <c r="L20" s="310">
        <f t="shared" si="6"/>
        <v>106.13598673300166</v>
      </c>
      <c r="M20" s="310">
        <f t="shared" si="7"/>
        <v>66.494195688225545</v>
      </c>
      <c r="N20" s="310">
        <f t="shared" si="8"/>
        <v>66.865671641791039</v>
      </c>
      <c r="O20" s="310">
        <f t="shared" si="3"/>
        <v>159.96313985627418</v>
      </c>
      <c r="P20" s="311">
        <f t="shared" si="9"/>
        <v>399.45899391929242</v>
      </c>
      <c r="Q20" s="311">
        <f>SUM(-tanks!AX22*tanks!$AU$36)</f>
        <v>205.49929496774607</v>
      </c>
      <c r="R20" s="311">
        <f t="shared" si="10"/>
        <v>604.95828888703852</v>
      </c>
      <c r="S20" s="314">
        <f>SUM(ELEC!N19)</f>
        <v>8246</v>
      </c>
      <c r="T20" s="351">
        <f t="shared" si="12"/>
        <v>7.3363847791297426E-2</v>
      </c>
      <c r="AB20" s="271">
        <f>'[1]EDl log'!AB38</f>
        <v>0</v>
      </c>
      <c r="AC20" s="271"/>
    </row>
    <row r="21" spans="1:32">
      <c r="A21" s="164">
        <f>ELEC!C20</f>
        <v>43939</v>
      </c>
      <c r="B21" s="559">
        <v>49778339</v>
      </c>
      <c r="C21" s="271">
        <f t="shared" si="4"/>
        <v>4155</v>
      </c>
      <c r="D21" s="323">
        <f t="shared" si="5"/>
        <v>4203</v>
      </c>
      <c r="E21" s="323">
        <f t="shared" si="11"/>
        <v>49778387</v>
      </c>
      <c r="F21" s="559">
        <v>7998864</v>
      </c>
      <c r="G21" s="161">
        <f t="shared" si="0"/>
        <v>481</v>
      </c>
      <c r="H21" s="559">
        <v>24513762</v>
      </c>
      <c r="I21" s="162">
        <f t="shared" si="1"/>
        <v>2091</v>
      </c>
      <c r="J21" s="559">
        <v>17265762</v>
      </c>
      <c r="K21" s="163">
        <f t="shared" si="2"/>
        <v>1631</v>
      </c>
      <c r="L21" s="310">
        <f t="shared" si="6"/>
        <v>102.1028192371476</v>
      </c>
      <c r="M21" s="310">
        <f t="shared" si="7"/>
        <v>155.35124378109452</v>
      </c>
      <c r="N21" s="310">
        <f t="shared" si="8"/>
        <v>86.553897180762846</v>
      </c>
      <c r="O21" s="310">
        <f t="shared" si="3"/>
        <v>159.96313985627418</v>
      </c>
      <c r="P21" s="311">
        <f t="shared" si="9"/>
        <v>503.97110005527918</v>
      </c>
      <c r="Q21" s="311">
        <f>SUM(-tanks!AX23*tanks!$AU$36)</f>
        <v>190.84328696774165</v>
      </c>
      <c r="R21" s="311">
        <f t="shared" si="10"/>
        <v>694.8143870230208</v>
      </c>
      <c r="S21" s="314">
        <f>SUM(ELEC!N20)</f>
        <v>9623</v>
      </c>
      <c r="T21" s="351">
        <f t="shared" si="12"/>
        <v>7.2203511069627024E-2</v>
      </c>
      <c r="V21" s="167" t="s">
        <v>201</v>
      </c>
      <c r="W21" s="168">
        <v>43941</v>
      </c>
      <c r="X21" s="169"/>
      <c r="Y21" s="169"/>
      <c r="Z21" s="170" t="s">
        <v>202</v>
      </c>
      <c r="AA21" s="169"/>
      <c r="AB21" s="633"/>
      <c r="AC21" s="634"/>
    </row>
    <row r="22" spans="1:32">
      <c r="A22" s="164">
        <f>ELEC!C21</f>
        <v>43940</v>
      </c>
      <c r="B22" s="572">
        <v>49782863</v>
      </c>
      <c r="C22" s="271">
        <f t="shared" si="4"/>
        <v>4524</v>
      </c>
      <c r="D22" s="323">
        <f t="shared" si="5"/>
        <v>4475</v>
      </c>
      <c r="E22" s="323">
        <f t="shared" si="11"/>
        <v>49782814</v>
      </c>
      <c r="F22" s="559">
        <v>7999572</v>
      </c>
      <c r="G22" s="161">
        <f t="shared" si="0"/>
        <v>708</v>
      </c>
      <c r="H22" s="559">
        <v>24516305</v>
      </c>
      <c r="I22" s="162">
        <f t="shared" si="1"/>
        <v>2543</v>
      </c>
      <c r="J22" s="559">
        <v>17266986</v>
      </c>
      <c r="K22" s="163">
        <f t="shared" si="2"/>
        <v>1224</v>
      </c>
      <c r="L22" s="310">
        <f t="shared" si="6"/>
        <v>150.28855721393035</v>
      </c>
      <c r="M22" s="310">
        <f t="shared" si="7"/>
        <v>188.93266998341625</v>
      </c>
      <c r="N22" s="310">
        <f t="shared" si="8"/>
        <v>64.955223880597018</v>
      </c>
      <c r="O22" s="310">
        <f t="shared" si="3"/>
        <v>159.96313985627418</v>
      </c>
      <c r="P22" s="311">
        <f t="shared" si="9"/>
        <v>564.13959093421784</v>
      </c>
      <c r="Q22" s="311">
        <f>SUM(-tanks!AX24*tanks!$AU$36)</f>
        <v>88.655059145158134</v>
      </c>
      <c r="R22" s="311">
        <f t="shared" si="10"/>
        <v>652.79465007937597</v>
      </c>
      <c r="S22" s="314">
        <f>SUM(ELEC!N21)</f>
        <v>9050</v>
      </c>
      <c r="T22" s="351">
        <f t="shared" si="12"/>
        <v>7.2132005533632707E-2</v>
      </c>
      <c r="V22" s="639"/>
      <c r="W22" s="640"/>
      <c r="X22" s="640"/>
      <c r="Y22" s="641"/>
      <c r="Z22" s="26" t="s">
        <v>203</v>
      </c>
      <c r="AA22" s="26">
        <v>5000</v>
      </c>
      <c r="AB22" s="635"/>
      <c r="AC22" s="636"/>
    </row>
    <row r="23" spans="1:32">
      <c r="A23" s="164">
        <f>ELEC!C22</f>
        <v>43941</v>
      </c>
      <c r="B23" s="559">
        <v>49787896</v>
      </c>
      <c r="C23" s="271">
        <f t="shared" si="4"/>
        <v>5033</v>
      </c>
      <c r="D23" s="323">
        <f t="shared" si="5"/>
        <v>5034</v>
      </c>
      <c r="E23" s="323">
        <f t="shared" si="11"/>
        <v>49787897</v>
      </c>
      <c r="F23" s="559">
        <v>8000276</v>
      </c>
      <c r="G23" s="161">
        <f t="shared" si="0"/>
        <v>704</v>
      </c>
      <c r="H23" s="559">
        <v>24519333</v>
      </c>
      <c r="I23" s="162">
        <f t="shared" si="1"/>
        <v>3028</v>
      </c>
      <c r="J23" s="559">
        <v>17268288</v>
      </c>
      <c r="K23" s="163">
        <f t="shared" si="2"/>
        <v>1302</v>
      </c>
      <c r="L23" s="310">
        <f t="shared" si="6"/>
        <v>149.43946932006634</v>
      </c>
      <c r="M23" s="310">
        <f t="shared" si="7"/>
        <v>224.96583747927031</v>
      </c>
      <c r="N23" s="310">
        <f t="shared" si="8"/>
        <v>69.094527363184085</v>
      </c>
      <c r="O23" s="310">
        <f t="shared" si="3"/>
        <v>159.96313985627418</v>
      </c>
      <c r="P23" s="311">
        <f t="shared" si="9"/>
        <v>603.46297401879497</v>
      </c>
      <c r="Q23" s="311">
        <f>SUM(-tanks!AX25*tanks!$AU$36)</f>
        <v>54.152373645162577</v>
      </c>
      <c r="R23" s="311">
        <f t="shared" si="10"/>
        <v>657.61534766395755</v>
      </c>
      <c r="S23" s="314">
        <f>SUM(ELEC!N22)</f>
        <v>9698</v>
      </c>
      <c r="T23" s="351">
        <f t="shared" si="12"/>
        <v>6.780937798143509E-2</v>
      </c>
      <c r="V23" s="642"/>
      <c r="W23" s="643"/>
      <c r="X23" s="643"/>
      <c r="Y23" s="644"/>
      <c r="Z23" s="645"/>
      <c r="AA23" s="646"/>
      <c r="AB23" s="635"/>
      <c r="AC23" s="636"/>
    </row>
    <row r="24" spans="1:32" ht="15" customHeight="1">
      <c r="A24" s="164">
        <f>ELEC!C23</f>
        <v>43942</v>
      </c>
      <c r="B24" s="559">
        <v>49791459</v>
      </c>
      <c r="C24" s="271">
        <f t="shared" si="4"/>
        <v>3563</v>
      </c>
      <c r="D24" s="323">
        <f t="shared" si="5"/>
        <v>3564</v>
      </c>
      <c r="E24" s="323">
        <f t="shared" si="11"/>
        <v>49791460</v>
      </c>
      <c r="F24" s="559">
        <v>8000716</v>
      </c>
      <c r="G24" s="161">
        <f t="shared" si="0"/>
        <v>440</v>
      </c>
      <c r="H24" s="559">
        <v>24521111</v>
      </c>
      <c r="I24" s="162">
        <f t="shared" si="1"/>
        <v>1778</v>
      </c>
      <c r="J24" s="559">
        <v>17269634</v>
      </c>
      <c r="K24" s="163">
        <f t="shared" si="2"/>
        <v>1346</v>
      </c>
      <c r="L24" s="310">
        <f t="shared" si="6"/>
        <v>93.399668325041461</v>
      </c>
      <c r="M24" s="310">
        <f t="shared" si="7"/>
        <v>132.09684908789387</v>
      </c>
      <c r="N24" s="310">
        <f t="shared" si="8"/>
        <v>71.429519071310111</v>
      </c>
      <c r="O24" s="310">
        <f t="shared" si="3"/>
        <v>159.96313985627418</v>
      </c>
      <c r="P24" s="311">
        <f t="shared" si="9"/>
        <v>456.88917634051961</v>
      </c>
      <c r="Q24" s="311">
        <f>SUM(-tanks!AX26*tanks!$AU$36)</f>
        <v>139.95108714515814</v>
      </c>
      <c r="R24" s="311">
        <f t="shared" si="10"/>
        <v>596.84026348567772</v>
      </c>
      <c r="S24" s="314">
        <f>SUM(ELEC!N23)</f>
        <v>8454</v>
      </c>
      <c r="T24" s="351">
        <f t="shared" si="12"/>
        <v>7.0598564405686973E-2</v>
      </c>
      <c r="V24" s="647" t="s">
        <v>204</v>
      </c>
      <c r="W24" s="648"/>
      <c r="X24" s="649" t="s">
        <v>205</v>
      </c>
      <c r="Y24" s="650"/>
      <c r="Z24" s="651"/>
      <c r="AA24" s="171"/>
      <c r="AB24" s="637"/>
      <c r="AC24" s="638"/>
    </row>
    <row r="25" spans="1:32" ht="17.25" customHeight="1">
      <c r="A25" s="164">
        <f>ELEC!C24</f>
        <v>43943</v>
      </c>
      <c r="B25" s="559">
        <v>49795546</v>
      </c>
      <c r="C25" s="271">
        <f t="shared" si="4"/>
        <v>4087</v>
      </c>
      <c r="D25" s="323">
        <f t="shared" si="5"/>
        <v>4085</v>
      </c>
      <c r="E25" s="323">
        <f t="shared" si="11"/>
        <v>49795544</v>
      </c>
      <c r="F25" s="559">
        <v>8001310</v>
      </c>
      <c r="G25" s="161">
        <f t="shared" si="0"/>
        <v>594</v>
      </c>
      <c r="H25" s="559">
        <v>24523242</v>
      </c>
      <c r="I25" s="162">
        <f t="shared" si="1"/>
        <v>2131</v>
      </c>
      <c r="J25" s="559">
        <v>17270994</v>
      </c>
      <c r="K25" s="163">
        <f t="shared" si="2"/>
        <v>1360</v>
      </c>
      <c r="L25" s="310">
        <f t="shared" si="6"/>
        <v>126.08955223880596</v>
      </c>
      <c r="M25" s="310">
        <f t="shared" si="7"/>
        <v>158.32305140961859</v>
      </c>
      <c r="N25" s="310">
        <f t="shared" si="8"/>
        <v>72.172470978441126</v>
      </c>
      <c r="O25" s="310">
        <f t="shared" si="3"/>
        <v>159.96313985627418</v>
      </c>
      <c r="P25" s="311">
        <f t="shared" si="9"/>
        <v>516.54821448313987</v>
      </c>
      <c r="Q25" s="311">
        <f>SUM(-tanks!AX27*tanks!$AU$36)</f>
        <v>175.57661196774163</v>
      </c>
      <c r="R25" s="311">
        <f t="shared" si="10"/>
        <v>692.12482645088153</v>
      </c>
      <c r="S25" s="314">
        <f>SUM(ELEC!N24)</f>
        <v>9840</v>
      </c>
      <c r="T25" s="351">
        <f t="shared" si="12"/>
        <v>7.0337888866959505E-2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43944</v>
      </c>
      <c r="B26" s="574">
        <v>49798918</v>
      </c>
      <c r="C26" s="271">
        <f t="shared" si="4"/>
        <v>3372</v>
      </c>
      <c r="D26" s="323">
        <f t="shared" si="5"/>
        <v>3374</v>
      </c>
      <c r="E26" s="323">
        <f t="shared" si="11"/>
        <v>49798920</v>
      </c>
      <c r="F26" s="574">
        <v>8001810</v>
      </c>
      <c r="G26" s="161">
        <f t="shared" si="0"/>
        <v>500</v>
      </c>
      <c r="H26" s="574">
        <v>24524856</v>
      </c>
      <c r="I26" s="162">
        <f t="shared" si="1"/>
        <v>1614</v>
      </c>
      <c r="J26" s="574">
        <v>17272254</v>
      </c>
      <c r="K26" s="163">
        <f t="shared" si="2"/>
        <v>1260</v>
      </c>
      <c r="L26" s="310">
        <f t="shared" si="6"/>
        <v>106.13598673300166</v>
      </c>
      <c r="M26" s="310">
        <f t="shared" si="7"/>
        <v>119.91243781094528</v>
      </c>
      <c r="N26" s="310">
        <f t="shared" si="8"/>
        <v>66.865671641791039</v>
      </c>
      <c r="O26" s="310">
        <f t="shared" si="3"/>
        <v>159.96313985627418</v>
      </c>
      <c r="P26" s="311">
        <f t="shared" si="9"/>
        <v>452.87723604201221</v>
      </c>
      <c r="Q26" s="311">
        <f>SUM(-tanks!AX28*tanks!$AU$36)</f>
        <v>328.9623731129131</v>
      </c>
      <c r="R26" s="311">
        <f t="shared" si="10"/>
        <v>781.83960915492526</v>
      </c>
      <c r="S26" s="314">
        <f>SUM(ELEC!N25)</f>
        <v>8387</v>
      </c>
      <c r="T26" s="351">
        <f t="shared" si="12"/>
        <v>9.3220413634783034E-2</v>
      </c>
      <c r="V26" s="260">
        <f>W9</f>
        <v>17242851</v>
      </c>
      <c r="W26" s="171">
        <f>J33</f>
        <v>17281850</v>
      </c>
      <c r="X26" s="173" t="s">
        <v>199</v>
      </c>
      <c r="Y26" s="173">
        <v>80</v>
      </c>
      <c r="Z26" s="173">
        <v>1</v>
      </c>
      <c r="AA26" s="200">
        <f>(W26-V26)*Z26</f>
        <v>38999</v>
      </c>
      <c r="AB26" s="200">
        <f>AA26*Y26</f>
        <v>3119920</v>
      </c>
      <c r="AC26" s="255">
        <f>AC9</f>
        <v>1033333</v>
      </c>
      <c r="AD26" s="216">
        <f>SUM(K36)</f>
        <v>0.33095997827489054</v>
      </c>
    </row>
    <row r="27" spans="1:32">
      <c r="A27" s="164">
        <f>ELEC!C26</f>
        <v>43945</v>
      </c>
      <c r="B27" s="575">
        <v>49803703</v>
      </c>
      <c r="C27" s="271">
        <f t="shared" si="4"/>
        <v>4785</v>
      </c>
      <c r="D27" s="323">
        <f t="shared" si="5"/>
        <v>4783</v>
      </c>
      <c r="E27" s="323">
        <f t="shared" si="11"/>
        <v>49803701</v>
      </c>
      <c r="F27" s="575">
        <v>8002545</v>
      </c>
      <c r="G27" s="161">
        <f t="shared" si="0"/>
        <v>735</v>
      </c>
      <c r="H27" s="575">
        <v>24527767</v>
      </c>
      <c r="I27" s="162">
        <f t="shared" si="1"/>
        <v>2911</v>
      </c>
      <c r="J27" s="575">
        <v>17273391</v>
      </c>
      <c r="K27" s="163">
        <f t="shared" si="2"/>
        <v>1137</v>
      </c>
      <c r="L27" s="310">
        <f t="shared" si="6"/>
        <v>156.01990049751242</v>
      </c>
      <c r="M27" s="310">
        <f t="shared" si="7"/>
        <v>216.27330016583747</v>
      </c>
      <c r="N27" s="310">
        <f t="shared" si="8"/>
        <v>60.338308457711442</v>
      </c>
      <c r="O27" s="310">
        <f t="shared" si="3"/>
        <v>159.96313985627418</v>
      </c>
      <c r="P27" s="311">
        <f t="shared" si="9"/>
        <v>592.59464897733551</v>
      </c>
      <c r="Q27" s="311">
        <f>SUM(-tanks!AX29*tanks!$AU$36)</f>
        <v>89.876393145158133</v>
      </c>
      <c r="R27" s="311">
        <f t="shared" si="10"/>
        <v>682.4710421224936</v>
      </c>
      <c r="S27" s="314">
        <f>SUM(ELEC!N26)</f>
        <v>10222.399999999907</v>
      </c>
      <c r="T27" s="351">
        <f t="shared" si="12"/>
        <v>6.6762310428324048E-2</v>
      </c>
      <c r="V27" s="260">
        <f t="shared" ref="V27:V28" si="13">W10</f>
        <v>24476792</v>
      </c>
      <c r="W27" s="171">
        <f>H33</f>
        <v>24540104</v>
      </c>
      <c r="X27" s="173" t="s">
        <v>213</v>
      </c>
      <c r="Y27" s="173">
        <v>112</v>
      </c>
      <c r="Z27" s="173">
        <v>1</v>
      </c>
      <c r="AA27" s="200">
        <f>(W27-V27)*Z27</f>
        <v>63312</v>
      </c>
      <c r="AB27" s="200">
        <f>SUM(AA27*Y27)</f>
        <v>7090944</v>
      </c>
      <c r="AC27" s="255">
        <f>AC10</f>
        <v>6200000</v>
      </c>
      <c r="AD27" s="216">
        <f>SUM(I36)</f>
        <v>0.53728911368342447</v>
      </c>
    </row>
    <row r="28" spans="1:32">
      <c r="A28" s="164">
        <f>ELEC!C27</f>
        <v>43946</v>
      </c>
      <c r="B28" s="577">
        <v>49807640</v>
      </c>
      <c r="C28" s="271">
        <f t="shared" si="4"/>
        <v>3937</v>
      </c>
      <c r="D28" s="323">
        <f t="shared" si="5"/>
        <v>3937</v>
      </c>
      <c r="E28" s="323">
        <f t="shared" si="11"/>
        <v>49807640</v>
      </c>
      <c r="F28" s="577">
        <v>8003036</v>
      </c>
      <c r="G28" s="161">
        <f t="shared" si="0"/>
        <v>491</v>
      </c>
      <c r="H28" s="577">
        <v>24529781</v>
      </c>
      <c r="I28" s="162">
        <f t="shared" si="1"/>
        <v>2014</v>
      </c>
      <c r="J28" s="577">
        <v>17274823</v>
      </c>
      <c r="K28" s="163">
        <f t="shared" si="2"/>
        <v>1432</v>
      </c>
      <c r="L28" s="310">
        <f t="shared" si="6"/>
        <v>104.22553897180762</v>
      </c>
      <c r="M28" s="310">
        <f t="shared" si="7"/>
        <v>149.63051409618575</v>
      </c>
      <c r="N28" s="310">
        <f t="shared" si="8"/>
        <v>75.993366500829183</v>
      </c>
      <c r="O28" s="310">
        <f t="shared" si="3"/>
        <v>159.96313985627418</v>
      </c>
      <c r="P28" s="311">
        <f t="shared" si="9"/>
        <v>489.81255942509677</v>
      </c>
      <c r="Q28" s="311">
        <f>SUM(-tanks!AX30*tanks!$AU$36)</f>
        <v>210.07929746774164</v>
      </c>
      <c r="R28" s="311">
        <f t="shared" si="10"/>
        <v>699.8918568928384</v>
      </c>
      <c r="S28" s="314">
        <f>SUM(ELEC!N27)</f>
        <v>9169.6000000000931</v>
      </c>
      <c r="T28" s="351">
        <f t="shared" si="12"/>
        <v>7.6327414161231816E-2</v>
      </c>
      <c r="V28" s="260">
        <f t="shared" si="13"/>
        <v>7990092</v>
      </c>
      <c r="W28" s="171">
        <f>F33</f>
        <v>8005615</v>
      </c>
      <c r="X28" s="173" t="s">
        <v>197</v>
      </c>
      <c r="Y28" s="173">
        <v>320</v>
      </c>
      <c r="Z28" s="173">
        <v>1</v>
      </c>
      <c r="AA28" s="200">
        <f>(W28-V28)*Z28</f>
        <v>15523</v>
      </c>
      <c r="AB28" s="200">
        <f>SUM(AA28*Y28)</f>
        <v>4967360</v>
      </c>
      <c r="AC28" s="255">
        <f>AC11</f>
        <v>1000</v>
      </c>
      <c r="AD28" s="216">
        <f>SUM(G36)</f>
        <v>0.13173393529990832</v>
      </c>
      <c r="AE28" s="40">
        <f>SUM(AB28*5%)</f>
        <v>248368</v>
      </c>
      <c r="AF28" s="83">
        <f>SUM(AE28/7)*31</f>
        <v>1099915.4285714284</v>
      </c>
    </row>
    <row r="29" spans="1:32">
      <c r="A29" s="164">
        <f>ELEC!C28</f>
        <v>43947</v>
      </c>
      <c r="B29" s="578">
        <v>49811081</v>
      </c>
      <c r="C29" s="271">
        <f t="shared" si="4"/>
        <v>3441</v>
      </c>
      <c r="D29" s="323">
        <f t="shared" si="5"/>
        <v>3441</v>
      </c>
      <c r="E29" s="323">
        <f t="shared" si="11"/>
        <v>49811081</v>
      </c>
      <c r="F29" s="578">
        <v>8003519</v>
      </c>
      <c r="G29" s="161">
        <f t="shared" si="0"/>
        <v>483</v>
      </c>
      <c r="H29" s="578">
        <v>24531465</v>
      </c>
      <c r="I29" s="162">
        <f t="shared" si="1"/>
        <v>1684</v>
      </c>
      <c r="J29" s="578">
        <v>17276097</v>
      </c>
      <c r="K29" s="163">
        <f t="shared" si="2"/>
        <v>1274</v>
      </c>
      <c r="L29" s="310">
        <f t="shared" si="6"/>
        <v>102.5273631840796</v>
      </c>
      <c r="M29" s="310">
        <f t="shared" si="7"/>
        <v>125.11310116086236</v>
      </c>
      <c r="N29" s="310">
        <f t="shared" si="8"/>
        <v>67.608623548922054</v>
      </c>
      <c r="O29" s="310">
        <f t="shared" si="3"/>
        <v>159.96313985627418</v>
      </c>
      <c r="P29" s="311">
        <f t="shared" si="9"/>
        <v>455.21222775013825</v>
      </c>
      <c r="Q29" s="311">
        <f>SUM(-tanks!AX31*tanks!$AU$36)</f>
        <v>164.27927246773274</v>
      </c>
      <c r="R29" s="311">
        <f t="shared" si="10"/>
        <v>619.49150021787102</v>
      </c>
      <c r="S29" s="314">
        <f>SUM(ELEC!N28)</f>
        <v>8400</v>
      </c>
      <c r="T29" s="351">
        <f t="shared" si="12"/>
        <v>7.3748988121175127E-2</v>
      </c>
      <c r="V29" s="217"/>
      <c r="W29" s="218"/>
      <c r="X29" s="218"/>
      <c r="Y29" s="219"/>
      <c r="Z29" s="3"/>
      <c r="AA29" s="295">
        <f>SUM(AA26:AA28)</f>
        <v>117834</v>
      </c>
      <c r="AB29" s="200"/>
      <c r="AC29" s="255"/>
    </row>
    <row r="30" spans="1:32" ht="14.25" customHeight="1">
      <c r="A30" s="164">
        <f>ELEC!C29</f>
        <v>43948</v>
      </c>
      <c r="B30" s="559">
        <v>49815043</v>
      </c>
      <c r="C30" s="271">
        <f t="shared" si="4"/>
        <v>3962</v>
      </c>
      <c r="D30" s="323">
        <f t="shared" si="5"/>
        <v>3962</v>
      </c>
      <c r="E30" s="323">
        <f t="shared" si="11"/>
        <v>49815043</v>
      </c>
      <c r="F30" s="559">
        <v>8004033</v>
      </c>
      <c r="G30" s="161">
        <f t="shared" si="0"/>
        <v>514</v>
      </c>
      <c r="H30" s="559">
        <v>24533667</v>
      </c>
      <c r="I30" s="162">
        <f t="shared" si="1"/>
        <v>2202</v>
      </c>
      <c r="J30" s="559">
        <v>17277343</v>
      </c>
      <c r="K30" s="163">
        <f t="shared" si="2"/>
        <v>1246</v>
      </c>
      <c r="L30" s="310">
        <f t="shared" si="6"/>
        <v>109.10779436152571</v>
      </c>
      <c r="M30" s="310">
        <f t="shared" si="7"/>
        <v>163.59800995024875</v>
      </c>
      <c r="N30" s="310">
        <f t="shared" si="8"/>
        <v>66.122719734660038</v>
      </c>
      <c r="O30" s="310">
        <f t="shared" si="3"/>
        <v>159.96313985627418</v>
      </c>
      <c r="P30" s="311">
        <f t="shared" si="9"/>
        <v>498.79166390270871</v>
      </c>
      <c r="Q30" s="311">
        <f>SUM(-tanks!AX32*tanks!$AU$36)</f>
        <v>276.23817229032517</v>
      </c>
      <c r="R30" s="311">
        <f t="shared" si="10"/>
        <v>775.02983619303382</v>
      </c>
      <c r="S30" s="314">
        <f>SUM(ELEC!N29)</f>
        <v>9650</v>
      </c>
      <c r="T30" s="351">
        <f t="shared" si="12"/>
        <v>8.0313972662490546E-2</v>
      </c>
      <c r="V30" s="220" t="s">
        <v>317</v>
      </c>
      <c r="W30" s="466">
        <f>'General information '!F36</f>
        <v>1.5976666666666663E-2</v>
      </c>
      <c r="X30" s="221"/>
      <c r="Y30" s="222" t="s">
        <v>333</v>
      </c>
      <c r="Z30" s="3"/>
      <c r="AA30" s="295"/>
      <c r="AB30" s="200">
        <f>SUM(AB26:AB29)</f>
        <v>15178224</v>
      </c>
      <c r="AC30" s="255">
        <f>SUM(AC26:AC29)/A37*A35</f>
        <v>7234333</v>
      </c>
    </row>
    <row r="31" spans="1:32">
      <c r="A31" s="164">
        <f>ELEC!C30</f>
        <v>43949</v>
      </c>
      <c r="B31" s="559">
        <v>49819106</v>
      </c>
      <c r="C31" s="271">
        <f t="shared" si="4"/>
        <v>4063</v>
      </c>
      <c r="D31" s="323">
        <f t="shared" si="5"/>
        <v>4063</v>
      </c>
      <c r="E31" s="323">
        <f t="shared" si="11"/>
        <v>49819106</v>
      </c>
      <c r="F31" s="559">
        <v>8004621</v>
      </c>
      <c r="G31" s="161">
        <f t="shared" si="0"/>
        <v>588</v>
      </c>
      <c r="H31" s="559">
        <v>24536076</v>
      </c>
      <c r="I31" s="162">
        <f t="shared" si="1"/>
        <v>2409</v>
      </c>
      <c r="J31" s="559">
        <v>17278409</v>
      </c>
      <c r="K31" s="163">
        <f t="shared" si="2"/>
        <v>1066</v>
      </c>
      <c r="L31" s="310">
        <f t="shared" si="6"/>
        <v>124.81592039800995</v>
      </c>
      <c r="M31" s="310">
        <f t="shared" si="7"/>
        <v>178.9771144278607</v>
      </c>
      <c r="N31" s="310">
        <f t="shared" si="8"/>
        <v>56.570480928689882</v>
      </c>
      <c r="O31" s="310">
        <f t="shared" si="3"/>
        <v>159.96313985627418</v>
      </c>
      <c r="P31" s="311">
        <f t="shared" si="9"/>
        <v>520.32665561083479</v>
      </c>
      <c r="Q31" s="311">
        <f>SUM(-tanks!AX33*tanks!$AU$36)</f>
        <v>117.05107464516702</v>
      </c>
      <c r="R31" s="311">
        <f t="shared" si="10"/>
        <v>637.37773025600177</v>
      </c>
      <c r="S31" s="314">
        <f>SUM(ELEC!N30)</f>
        <v>8764</v>
      </c>
      <c r="T31" s="351">
        <f t="shared" si="12"/>
        <v>7.2726806282063183E-2</v>
      </c>
      <c r="V31" s="220" t="s">
        <v>318</v>
      </c>
      <c r="W31" s="221">
        <f>SUM(GEN!U33)</f>
        <v>85.510000000000218</v>
      </c>
      <c r="X31" s="226">
        <f>SUM(W31/A35)</f>
        <v>2.8503333333333405</v>
      </c>
      <c r="Y31" s="267">
        <f>SUM(X31/2)</f>
        <v>1.4251666666666702</v>
      </c>
      <c r="Z31" s="3"/>
      <c r="AA31" s="3"/>
      <c r="AB31" s="200">
        <f>SUM(AB30+AC31)</f>
        <v>22412557</v>
      </c>
      <c r="AC31" s="255">
        <f>SUM(AC30)</f>
        <v>7234333</v>
      </c>
    </row>
    <row r="32" spans="1:32">
      <c r="A32" s="164">
        <f>ELEC!C31</f>
        <v>43950</v>
      </c>
      <c r="B32" s="559">
        <v>49823177</v>
      </c>
      <c r="C32" s="271">
        <f t="shared" si="4"/>
        <v>4071</v>
      </c>
      <c r="D32" s="323">
        <f t="shared" si="5"/>
        <v>4071</v>
      </c>
      <c r="E32" s="323">
        <f t="shared" si="11"/>
        <v>49823177</v>
      </c>
      <c r="F32" s="559">
        <v>8005117</v>
      </c>
      <c r="G32" s="161">
        <f t="shared" si="0"/>
        <v>496</v>
      </c>
      <c r="H32" s="559">
        <v>24537919</v>
      </c>
      <c r="I32" s="162">
        <f t="shared" si="1"/>
        <v>1843</v>
      </c>
      <c r="J32" s="559">
        <v>17280141</v>
      </c>
      <c r="K32" s="163">
        <f t="shared" si="2"/>
        <v>1732</v>
      </c>
      <c r="L32" s="310">
        <f t="shared" si="6"/>
        <v>105.28689883913765</v>
      </c>
      <c r="M32" s="310">
        <f t="shared" si="7"/>
        <v>136.92603648424543</v>
      </c>
      <c r="N32" s="310">
        <f t="shared" si="8"/>
        <v>91.91376451077943</v>
      </c>
      <c r="O32" s="310">
        <f t="shared" si="3"/>
        <v>159.96313985627418</v>
      </c>
      <c r="P32" s="311">
        <f t="shared" si="9"/>
        <v>494.08983969043675</v>
      </c>
      <c r="Q32" s="311">
        <f>SUM(-tanks!AX34*tanks!$AU$36)</f>
        <v>-143.98739902581377</v>
      </c>
      <c r="R32" s="311">
        <f t="shared" si="10"/>
        <v>350.10244066462297</v>
      </c>
      <c r="S32" s="314">
        <f>SUM(ELEC!N31)</f>
        <v>9068.3999999999069</v>
      </c>
      <c r="T32" s="351">
        <f t="shared" si="12"/>
        <v>3.8606859056131905E-2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43951</v>
      </c>
      <c r="B33" s="580">
        <v>49827570</v>
      </c>
      <c r="C33" s="271">
        <f t="shared" si="4"/>
        <v>4393</v>
      </c>
      <c r="D33" s="323">
        <f t="shared" si="5"/>
        <v>4392</v>
      </c>
      <c r="E33" s="323">
        <f t="shared" si="11"/>
        <v>49827569</v>
      </c>
      <c r="F33" s="580">
        <v>8005615</v>
      </c>
      <c r="G33" s="161">
        <f>F33-F32</f>
        <v>498</v>
      </c>
      <c r="H33" s="580">
        <v>24540104</v>
      </c>
      <c r="I33" s="162">
        <f t="shared" si="1"/>
        <v>2185</v>
      </c>
      <c r="J33" s="580">
        <v>17281850</v>
      </c>
      <c r="K33" s="163">
        <f t="shared" si="2"/>
        <v>1709</v>
      </c>
      <c r="L33" s="310">
        <f>SUM(G33*$Y$28)/1507.5</f>
        <v>105.71144278606965</v>
      </c>
      <c r="M33" s="310">
        <f t="shared" si="7"/>
        <v>162.33499170812604</v>
      </c>
      <c r="N33" s="310">
        <f t="shared" si="8"/>
        <v>90.693200663349913</v>
      </c>
      <c r="O33" s="310">
        <f t="shared" si="3"/>
        <v>159.96313985627418</v>
      </c>
      <c r="P33" s="311">
        <f>SUM(L33:O33)</f>
        <v>518.70277501381975</v>
      </c>
      <c r="Q33" s="311">
        <f>SUM(-tanks!AX35*tanks!$AU$36)</f>
        <v>158.98518355644987</v>
      </c>
      <c r="R33" s="311">
        <f>SUM(P33:Q33)</f>
        <v>677.68795857026964</v>
      </c>
      <c r="S33" s="314">
        <f>SUM(ELEC!N32)</f>
        <v>10173.200000000186</v>
      </c>
      <c r="T33" s="351">
        <f>IF(S33&gt;0,R33/S33,0)</f>
        <v>6.6615023647451851E-2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/>
      <c r="B34" s="304"/>
      <c r="C34" s="305"/>
      <c r="D34" s="305"/>
      <c r="E34" s="305"/>
      <c r="F34" s="304"/>
      <c r="G34" s="306"/>
      <c r="H34" s="304"/>
      <c r="I34" s="307"/>
      <c r="J34" s="304"/>
      <c r="K34" s="177">
        <f>SUM(K4:K33)/A35</f>
        <v>1299.9666666666667</v>
      </c>
      <c r="L34" s="312">
        <f t="shared" ref="L34:S34" si="14">SUM(L4:L33)</f>
        <v>3295.0978441127691</v>
      </c>
      <c r="M34" s="312">
        <f t="shared" si="14"/>
        <v>4703.7771144278622</v>
      </c>
      <c r="N34" s="312">
        <f t="shared" si="14"/>
        <v>2069.598673300166</v>
      </c>
      <c r="O34" s="312">
        <f t="shared" si="14"/>
        <v>4798.8941956882254</v>
      </c>
      <c r="P34" s="315">
        <f t="shared" si="14"/>
        <v>14867.367827529024</v>
      </c>
      <c r="Q34" s="315">
        <f t="shared" si="14"/>
        <v>4668.5196665967578</v>
      </c>
      <c r="R34" s="315">
        <f t="shared" si="14"/>
        <v>19535.887494125782</v>
      </c>
      <c r="S34" s="315">
        <f t="shared" si="14"/>
        <v>269480.60000000009</v>
      </c>
      <c r="T34" s="352"/>
      <c r="V34" s="259"/>
      <c r="W34" s="17"/>
      <c r="X34" s="17"/>
      <c r="Y34" s="17"/>
      <c r="Z34" s="3" t="s">
        <v>214</v>
      </c>
      <c r="AA34" s="287">
        <v>0.11</v>
      </c>
      <c r="AB34" s="301">
        <f>SUM(AB31*AA34)</f>
        <v>2465381.27</v>
      </c>
      <c r="AC34" s="289"/>
    </row>
    <row r="35" spans="1:29" ht="15.75" thickBot="1">
      <c r="A35" s="284">
        <f>A37-COUNTIF(C4:C33,0)</f>
        <v>30</v>
      </c>
      <c r="C35" s="177">
        <f>SUM(C4:C33)/A35</f>
        <v>3927.8666666666668</v>
      </c>
      <c r="D35" s="177"/>
      <c r="E35" s="177"/>
      <c r="G35" s="177">
        <f>SUM(G4:G33)/A35</f>
        <v>517.43333333333328</v>
      </c>
      <c r="I35" s="177">
        <f>SUM(I4:I33)/A35</f>
        <v>2110.4</v>
      </c>
      <c r="K35" s="177"/>
      <c r="L35" s="177">
        <f>SUM(L34*1507.5)</f>
        <v>4967359.9999999991</v>
      </c>
      <c r="M35" s="177">
        <f>SUM(M34*1507.5)</f>
        <v>7090944.0000000019</v>
      </c>
      <c r="N35" s="177">
        <f>SUM(N34*1507.5)</f>
        <v>3119920</v>
      </c>
      <c r="O35" s="177">
        <f>SUM(O34*1507.5)</f>
        <v>7234333</v>
      </c>
      <c r="P35" s="177"/>
      <c r="Q35" s="177"/>
      <c r="R35" s="177"/>
      <c r="S35" s="315"/>
      <c r="V35" s="233"/>
      <c r="W35" s="234"/>
      <c r="X35" s="234"/>
      <c r="Y35" s="234"/>
      <c r="Z35" s="3"/>
      <c r="AA35" s="45"/>
      <c r="AB35" s="301">
        <f>SUM(AB31+AB34)</f>
        <v>24877938.27</v>
      </c>
      <c r="AC35" s="289"/>
    </row>
    <row r="36" spans="1:29" ht="15.75" thickBot="1">
      <c r="A36" s="214"/>
      <c r="C36" s="216">
        <f>SUM(G36:K36)</f>
        <v>0.9999830272582233</v>
      </c>
      <c r="G36" s="229">
        <f>IF(C35&gt;0,G35/C35,0)</f>
        <v>0.13173393529990832</v>
      </c>
      <c r="H36" s="216"/>
      <c r="I36" s="229">
        <f>SUM(I35/C35)</f>
        <v>0.53728911368342447</v>
      </c>
      <c r="J36" s="216"/>
      <c r="K36" s="229">
        <f>SUM(K34/C35)</f>
        <v>0.33095997827489054</v>
      </c>
      <c r="L36" s="229"/>
      <c r="M36" s="229"/>
      <c r="N36" s="229"/>
      <c r="O36" s="229"/>
      <c r="P36" s="229"/>
      <c r="Q36" s="229"/>
      <c r="R36" s="229"/>
      <c r="S36" s="316"/>
      <c r="V36" s="233"/>
      <c r="W36" s="234"/>
      <c r="X36" s="234"/>
      <c r="Y36" s="234"/>
      <c r="Z36" s="234"/>
      <c r="AA36" s="234" t="s">
        <v>215</v>
      </c>
      <c r="AB36" s="301">
        <f>SUM(AB31/1507.5)</f>
        <v>14867.367827529022</v>
      </c>
      <c r="AC36" s="289"/>
    </row>
    <row r="37" spans="1:29" ht="15.75" thickBot="1">
      <c r="A37">
        <v>30</v>
      </c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V37" s="283"/>
      <c r="W37" s="223"/>
      <c r="X37" s="223"/>
      <c r="Y37" s="224"/>
      <c r="Z37" s="175"/>
      <c r="AA37" s="175"/>
      <c r="AB37" s="263"/>
      <c r="AC37" s="176"/>
    </row>
    <row r="38" spans="1:29">
      <c r="V38" s="221"/>
      <c r="W38" s="83">
        <f>AC30/1500</f>
        <v>4822.8886666666667</v>
      </c>
      <c r="Z38" s="40"/>
      <c r="AA38" s="302" t="s">
        <v>215</v>
      </c>
      <c r="AB38" s="303">
        <f>SUM(AB36)</f>
        <v>14867.367827529022</v>
      </c>
    </row>
    <row r="39" spans="1:29">
      <c r="V39" s="221"/>
      <c r="W39" s="83">
        <f>AB30/1500</f>
        <v>10118.816000000001</v>
      </c>
      <c r="Z39" s="308">
        <f>SUM(AB38)</f>
        <v>14867.367827529022</v>
      </c>
      <c r="AA39" s="303"/>
      <c r="AB39" s="303"/>
    </row>
    <row r="40" spans="1:29">
      <c r="V40" s="17"/>
      <c r="W40" s="83">
        <f>SUM(W38:W39)</f>
        <v>14941.704666666668</v>
      </c>
      <c r="Y40" s="83"/>
      <c r="Z40" s="308">
        <f>SUM(-tanks!AX36)*tanks!AU36</f>
        <v>4668.5196665967569</v>
      </c>
      <c r="AA40" s="102">
        <f>SUM(AB31/A35)</f>
        <v>747085.23333333328</v>
      </c>
      <c r="AB40" s="367">
        <f>SUM(AA40*A37)</f>
        <v>22412557</v>
      </c>
    </row>
    <row r="41" spans="1:29" ht="18.75">
      <c r="W41" s="83">
        <f>AB30/1500</f>
        <v>10118.816000000001</v>
      </c>
      <c r="Z41" s="285">
        <f>SUM(Z39:Z40)</f>
        <v>19535.887494125778</v>
      </c>
      <c r="AA41" s="303">
        <f>SUM(AA40/1507.5)</f>
        <v>495.57892758430069</v>
      </c>
      <c r="AB41" s="366">
        <f>SUM(AB40/1507.5)</f>
        <v>14867.367827529022</v>
      </c>
    </row>
    <row r="42" spans="1:29">
      <c r="D42" s="546"/>
      <c r="E42" s="546"/>
      <c r="F42" s="546"/>
      <c r="W42" s="83">
        <f>SUM(W40:W41)</f>
        <v>25060.520666666671</v>
      </c>
      <c r="Z42" s="309" t="e">
        <f>SUM(ELEC!#REF!)</f>
        <v>#REF!</v>
      </c>
    </row>
    <row r="43" spans="1:29">
      <c r="Z43" s="303" t="e">
        <f>Z41/Z42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>
      <pane ySplit="1" topLeftCell="A17" activePane="bottomLeft" state="frozen"/>
      <selection pane="bottomLeft" activeCell="E38" sqref="E38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16" customWidth="1"/>
    <col min="12" max="12" width="26.42578125" bestFit="1" customWidth="1"/>
    <col min="14" max="14" width="14.28515625" customWidth="1"/>
  </cols>
  <sheetData>
    <row r="1" spans="1:18" ht="39.75" customHeight="1" thickBot="1">
      <c r="A1" s="652" t="s">
        <v>51</v>
      </c>
      <c r="B1" s="664" t="s">
        <v>321</v>
      </c>
      <c r="C1" s="665"/>
      <c r="D1" s="667"/>
      <c r="E1" s="664" t="s">
        <v>322</v>
      </c>
      <c r="F1" s="665"/>
      <c r="G1" s="666"/>
      <c r="H1" s="661" t="s">
        <v>327</v>
      </c>
      <c r="I1" s="658" t="s">
        <v>328</v>
      </c>
      <c r="J1" s="655" t="s">
        <v>43</v>
      </c>
    </row>
    <row r="2" spans="1:18" ht="38.25" thickBot="1">
      <c r="A2" s="653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62"/>
      <c r="I2" s="659"/>
      <c r="J2" s="656"/>
    </row>
    <row r="3" spans="1:18" ht="24" customHeight="1" thickBot="1">
      <c r="A3" s="654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63"/>
      <c r="I3" s="660"/>
      <c r="J3" s="657"/>
    </row>
    <row r="4" spans="1:18" ht="19.5" thickBot="1">
      <c r="A4" s="249"/>
      <c r="B4" s="535"/>
      <c r="C4" s="535"/>
      <c r="D4" s="535"/>
      <c r="E4" s="535"/>
      <c r="F4" s="535"/>
      <c r="G4" s="535"/>
      <c r="H4" s="250">
        <v>0</v>
      </c>
      <c r="I4" s="250"/>
      <c r="J4" s="511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34">
        <f>ELEC!C2</f>
        <v>43921</v>
      </c>
      <c r="B5" s="566">
        <f>'[2]Swimming Pool quality check '!B34</f>
        <v>1.5</v>
      </c>
      <c r="C5" s="566">
        <f>'[2]Swimming Pool quality check '!C34</f>
        <v>7.6</v>
      </c>
      <c r="D5" s="566">
        <f>'[2]Swimming Pool quality check '!D34</f>
        <v>19</v>
      </c>
      <c r="E5" s="566">
        <f>'[2]Swimming Pool quality check '!E34</f>
        <v>2</v>
      </c>
      <c r="F5" s="566">
        <f>'[2]Swimming Pool quality check '!F34</f>
        <v>8</v>
      </c>
      <c r="G5" s="566">
        <f>'[2]Swimming Pool quality check '!G34</f>
        <v>19</v>
      </c>
      <c r="H5" s="427">
        <v>5274</v>
      </c>
      <c r="I5" s="536">
        <f>'[8]Swimming Pool quality check '!I34</f>
        <v>0</v>
      </c>
      <c r="J5" s="544">
        <f>'[9]Swimming Pool quality check '!J36</f>
        <v>0.33333333333333398</v>
      </c>
      <c r="K5" s="427">
        <v>0</v>
      </c>
      <c r="L5" s="534">
        <v>43891</v>
      </c>
      <c r="M5" s="536">
        <v>5920</v>
      </c>
      <c r="N5" s="536">
        <f>'[9]Swimming Pool quality check '!N36</f>
        <v>0</v>
      </c>
      <c r="O5" s="536">
        <f>'[8]Swimming Pool quality check '!O34</f>
        <v>5916</v>
      </c>
    </row>
    <row r="6" spans="1:18" ht="15.75" customHeight="1" thickBot="1">
      <c r="A6" s="245">
        <f>ELEC!C3</f>
        <v>43922</v>
      </c>
      <c r="B6" s="566">
        <v>2.5</v>
      </c>
      <c r="C6" s="566">
        <v>7.8</v>
      </c>
      <c r="D6" s="566">
        <v>19</v>
      </c>
      <c r="E6" s="566">
        <v>1.6</v>
      </c>
      <c r="F6" s="566">
        <v>8.1</v>
      </c>
      <c r="G6" s="566">
        <v>18</v>
      </c>
      <c r="H6" s="427">
        <v>5274</v>
      </c>
      <c r="I6" s="247">
        <f>H6-H5</f>
        <v>0</v>
      </c>
      <c r="J6" s="512">
        <v>0.29166666666666669</v>
      </c>
      <c r="L6" s="100">
        <f t="shared" ref="L6:L35" si="0">A6</f>
        <v>43922</v>
      </c>
      <c r="M6" s="3">
        <f>H6</f>
        <v>5274</v>
      </c>
      <c r="N6" s="3">
        <v>0</v>
      </c>
      <c r="O6" s="3">
        <f>SUM(M6:N6)</f>
        <v>5274</v>
      </c>
    </row>
    <row r="7" spans="1:18" ht="15.75" thickBot="1">
      <c r="A7" s="245">
        <f>ELEC!C4</f>
        <v>43923</v>
      </c>
      <c r="B7" s="566">
        <v>1.5</v>
      </c>
      <c r="C7" s="566">
        <v>7.8</v>
      </c>
      <c r="D7" s="566">
        <v>19</v>
      </c>
      <c r="E7" s="566">
        <v>2</v>
      </c>
      <c r="F7" s="566">
        <v>8.1</v>
      </c>
      <c r="G7" s="566">
        <v>19</v>
      </c>
      <c r="H7" s="427">
        <v>5274</v>
      </c>
      <c r="I7" s="247">
        <f t="shared" ref="I7:I35" si="1">H7-H6</f>
        <v>0</v>
      </c>
      <c r="J7" s="513">
        <v>0.29166666666666669</v>
      </c>
      <c r="L7" s="100">
        <f t="shared" si="0"/>
        <v>43923</v>
      </c>
      <c r="M7" s="3">
        <f t="shared" ref="M7:M35" si="2">H7</f>
        <v>5274</v>
      </c>
      <c r="N7" s="3">
        <v>0</v>
      </c>
      <c r="O7" s="3">
        <f>SUM(M7:N7)</f>
        <v>5274</v>
      </c>
    </row>
    <row r="8" spans="1:18" ht="15.75" thickBot="1">
      <c r="A8" s="245">
        <f>ELEC!C5</f>
        <v>43924</v>
      </c>
      <c r="B8" s="566">
        <v>2</v>
      </c>
      <c r="C8" s="566">
        <v>7.8</v>
      </c>
      <c r="D8" s="566">
        <v>19</v>
      </c>
      <c r="E8" s="566">
        <v>1</v>
      </c>
      <c r="F8" s="566">
        <v>7.8</v>
      </c>
      <c r="G8" s="566">
        <v>19</v>
      </c>
      <c r="H8" s="427">
        <v>5274</v>
      </c>
      <c r="I8" s="247">
        <f t="shared" si="1"/>
        <v>0</v>
      </c>
      <c r="J8" s="513">
        <v>0.29166666666666669</v>
      </c>
      <c r="L8" s="100">
        <f t="shared" si="0"/>
        <v>43924</v>
      </c>
      <c r="M8" s="3">
        <f t="shared" si="2"/>
        <v>5274</v>
      </c>
      <c r="N8" s="3">
        <v>0</v>
      </c>
      <c r="O8" s="3">
        <f>SUM(M8:N8)</f>
        <v>5274</v>
      </c>
    </row>
    <row r="9" spans="1:18" ht="15.75" thickBot="1">
      <c r="A9" s="245">
        <f>ELEC!C6</f>
        <v>43925</v>
      </c>
      <c r="B9" s="566">
        <v>2</v>
      </c>
      <c r="C9" s="566">
        <v>7.8</v>
      </c>
      <c r="D9" s="566">
        <v>19</v>
      </c>
      <c r="E9" s="566">
        <v>2</v>
      </c>
      <c r="F9" s="566">
        <v>8.1</v>
      </c>
      <c r="G9" s="566">
        <v>19</v>
      </c>
      <c r="H9" s="579">
        <v>5983</v>
      </c>
      <c r="I9" s="247">
        <f t="shared" si="1"/>
        <v>709</v>
      </c>
      <c r="J9" s="513">
        <v>0.29166666666666669</v>
      </c>
      <c r="L9" s="100">
        <f t="shared" si="0"/>
        <v>43925</v>
      </c>
      <c r="M9" s="3">
        <f t="shared" si="2"/>
        <v>5983</v>
      </c>
      <c r="N9" s="3">
        <v>0</v>
      </c>
      <c r="O9" s="3">
        <f t="shared" ref="O9:O35" si="3">SUM(M9:N9)</f>
        <v>5983</v>
      </c>
    </row>
    <row r="10" spans="1:18" ht="15.75" thickBot="1">
      <c r="A10" s="245">
        <f>ELEC!C7</f>
        <v>43926</v>
      </c>
      <c r="B10" s="566">
        <v>1.8</v>
      </c>
      <c r="C10" s="566">
        <v>7.8</v>
      </c>
      <c r="D10" s="566">
        <v>19</v>
      </c>
      <c r="E10" s="566">
        <v>2</v>
      </c>
      <c r="F10" s="566">
        <v>8.1</v>
      </c>
      <c r="G10" s="566">
        <v>19</v>
      </c>
      <c r="H10" s="579">
        <v>5985</v>
      </c>
      <c r="I10" s="247">
        <f t="shared" si="1"/>
        <v>2</v>
      </c>
      <c r="J10" s="513">
        <v>0.29166666666666669</v>
      </c>
      <c r="L10" s="100">
        <f t="shared" si="0"/>
        <v>43926</v>
      </c>
      <c r="M10" s="3">
        <f t="shared" si="2"/>
        <v>5985</v>
      </c>
      <c r="N10" s="3">
        <v>0</v>
      </c>
      <c r="O10" s="3">
        <f t="shared" si="3"/>
        <v>5985</v>
      </c>
    </row>
    <row r="11" spans="1:18" ht="15.75" thickBot="1">
      <c r="A11" s="245">
        <f>ELEC!C8</f>
        <v>43927</v>
      </c>
      <c r="B11" s="566">
        <v>1.7</v>
      </c>
      <c r="C11" s="566">
        <v>8</v>
      </c>
      <c r="D11" s="566">
        <v>19</v>
      </c>
      <c r="E11" s="566">
        <v>2</v>
      </c>
      <c r="F11" s="566">
        <v>8</v>
      </c>
      <c r="G11" s="566">
        <v>19</v>
      </c>
      <c r="H11" s="579">
        <v>6006</v>
      </c>
      <c r="I11" s="247">
        <f t="shared" si="1"/>
        <v>21</v>
      </c>
      <c r="J11" s="513">
        <v>0.29166666666666669</v>
      </c>
      <c r="L11" s="100">
        <f t="shared" si="0"/>
        <v>43927</v>
      </c>
      <c r="M11" s="3">
        <f t="shared" si="2"/>
        <v>6006</v>
      </c>
      <c r="N11" s="3">
        <v>0</v>
      </c>
      <c r="O11" s="3">
        <f t="shared" si="3"/>
        <v>6006</v>
      </c>
    </row>
    <row r="12" spans="1:18" ht="16.5" thickBot="1">
      <c r="A12" s="245">
        <f>ELEC!C9</f>
        <v>43928</v>
      </c>
      <c r="B12" s="566">
        <v>1.5</v>
      </c>
      <c r="C12" s="566">
        <v>8</v>
      </c>
      <c r="D12" s="566">
        <v>19</v>
      </c>
      <c r="E12" s="566">
        <v>1.5</v>
      </c>
      <c r="F12" s="566">
        <v>8</v>
      </c>
      <c r="G12" s="566">
        <v>19</v>
      </c>
      <c r="H12" s="579">
        <v>6007</v>
      </c>
      <c r="I12" s="247">
        <f t="shared" si="1"/>
        <v>1</v>
      </c>
      <c r="J12" s="513">
        <v>0.29166666666666669</v>
      </c>
      <c r="L12" s="100">
        <f t="shared" si="0"/>
        <v>43928</v>
      </c>
      <c r="M12" s="3">
        <f t="shared" si="2"/>
        <v>6007</v>
      </c>
      <c r="N12" s="3">
        <v>0</v>
      </c>
      <c r="O12" s="3">
        <f t="shared" si="3"/>
        <v>6007</v>
      </c>
      <c r="P12" s="460"/>
      <c r="Q12" s="377"/>
      <c r="R12" s="377"/>
    </row>
    <row r="13" spans="1:18" ht="15.75" thickBot="1">
      <c r="A13" s="245">
        <f>ELEC!C10</f>
        <v>43929</v>
      </c>
      <c r="B13" s="566">
        <v>1.5</v>
      </c>
      <c r="C13" s="566">
        <v>8.1999999999999993</v>
      </c>
      <c r="D13" s="566">
        <v>19</v>
      </c>
      <c r="E13" s="566">
        <v>1.5</v>
      </c>
      <c r="F13" s="566">
        <v>8</v>
      </c>
      <c r="G13" s="566">
        <v>19</v>
      </c>
      <c r="H13" s="579">
        <v>6013</v>
      </c>
      <c r="I13" s="247">
        <f t="shared" si="1"/>
        <v>6</v>
      </c>
      <c r="J13" s="513">
        <v>0.29166666666666669</v>
      </c>
      <c r="L13" s="100">
        <f t="shared" si="0"/>
        <v>43929</v>
      </c>
      <c r="M13" s="3">
        <f t="shared" si="2"/>
        <v>6013</v>
      </c>
      <c r="N13" s="3">
        <v>0</v>
      </c>
      <c r="O13" s="3">
        <f t="shared" si="3"/>
        <v>6013</v>
      </c>
    </row>
    <row r="14" spans="1:18" ht="15.75" thickBot="1">
      <c r="A14" s="245">
        <f>ELEC!C11</f>
        <v>43930</v>
      </c>
      <c r="B14" s="566">
        <v>1.5</v>
      </c>
      <c r="C14" s="566">
        <v>8</v>
      </c>
      <c r="D14" s="566">
        <v>19</v>
      </c>
      <c r="E14" s="566">
        <v>1.5</v>
      </c>
      <c r="F14" s="566">
        <v>8</v>
      </c>
      <c r="G14" s="566">
        <v>19</v>
      </c>
      <c r="H14" s="579">
        <v>6017</v>
      </c>
      <c r="I14" s="247">
        <f t="shared" si="1"/>
        <v>4</v>
      </c>
      <c r="J14" s="513">
        <v>0.29166666666666669</v>
      </c>
      <c r="L14" s="100">
        <f t="shared" si="0"/>
        <v>43930</v>
      </c>
      <c r="M14" s="3">
        <f t="shared" si="2"/>
        <v>6017</v>
      </c>
      <c r="N14" s="3">
        <v>0</v>
      </c>
      <c r="O14" s="3">
        <f t="shared" si="3"/>
        <v>6017</v>
      </c>
    </row>
    <row r="15" spans="1:18" ht="15.75" thickBot="1">
      <c r="A15" s="245">
        <f>ELEC!C12</f>
        <v>43931</v>
      </c>
      <c r="B15" s="566">
        <v>1.5</v>
      </c>
      <c r="C15" s="566">
        <v>8</v>
      </c>
      <c r="D15" s="566">
        <v>15</v>
      </c>
      <c r="E15" s="566">
        <v>1</v>
      </c>
      <c r="F15" s="566">
        <v>8.5</v>
      </c>
      <c r="G15" s="566">
        <v>15</v>
      </c>
      <c r="H15" s="579">
        <v>6020</v>
      </c>
      <c r="I15" s="247">
        <f t="shared" si="1"/>
        <v>3</v>
      </c>
      <c r="J15" s="513">
        <v>0.29166666666666669</v>
      </c>
      <c r="L15" s="100">
        <f t="shared" si="0"/>
        <v>43931</v>
      </c>
      <c r="M15" s="3">
        <f t="shared" si="2"/>
        <v>6020</v>
      </c>
      <c r="N15" s="3">
        <v>0</v>
      </c>
      <c r="O15" s="3">
        <f t="shared" si="3"/>
        <v>6020</v>
      </c>
    </row>
    <row r="16" spans="1:18" ht="15.75" thickBot="1">
      <c r="A16" s="245">
        <f>ELEC!C13</f>
        <v>43932</v>
      </c>
      <c r="B16" s="566">
        <v>1.5</v>
      </c>
      <c r="C16" s="566">
        <v>8</v>
      </c>
      <c r="D16" s="566">
        <v>15</v>
      </c>
      <c r="E16" s="566">
        <v>1</v>
      </c>
      <c r="F16" s="566">
        <v>8</v>
      </c>
      <c r="G16" s="566">
        <v>16</v>
      </c>
      <c r="H16" s="579">
        <v>6021</v>
      </c>
      <c r="I16" s="247">
        <f t="shared" si="1"/>
        <v>1</v>
      </c>
      <c r="J16" s="513">
        <v>0.29166666666666669</v>
      </c>
      <c r="L16" s="100">
        <f t="shared" si="0"/>
        <v>43932</v>
      </c>
      <c r="M16" s="3">
        <f t="shared" si="2"/>
        <v>6021</v>
      </c>
      <c r="N16" s="3">
        <v>0</v>
      </c>
      <c r="O16" s="3">
        <f t="shared" si="3"/>
        <v>6021</v>
      </c>
    </row>
    <row r="17" spans="1:17" ht="15.75" thickBot="1">
      <c r="A17" s="245">
        <f>ELEC!C14</f>
        <v>43933</v>
      </c>
      <c r="B17" s="566">
        <v>1.5</v>
      </c>
      <c r="C17" s="566">
        <v>8</v>
      </c>
      <c r="D17" s="566">
        <v>13</v>
      </c>
      <c r="E17" s="566">
        <v>1</v>
      </c>
      <c r="F17" s="566">
        <v>8</v>
      </c>
      <c r="G17" s="566">
        <v>19</v>
      </c>
      <c r="H17" s="579">
        <v>6022</v>
      </c>
      <c r="I17" s="247">
        <f t="shared" si="1"/>
        <v>1</v>
      </c>
      <c r="J17" s="513">
        <v>0.29166666666666669</v>
      </c>
      <c r="L17" s="100">
        <f t="shared" si="0"/>
        <v>43933</v>
      </c>
      <c r="M17" s="3">
        <f t="shared" si="2"/>
        <v>6022</v>
      </c>
      <c r="N17" s="3">
        <v>0</v>
      </c>
      <c r="O17" s="3">
        <f t="shared" si="3"/>
        <v>6022</v>
      </c>
    </row>
    <row r="18" spans="1:17" ht="15.75" thickBot="1">
      <c r="A18" s="245">
        <f>ELEC!C15</f>
        <v>43934</v>
      </c>
      <c r="B18" s="566">
        <v>1.3</v>
      </c>
      <c r="C18" s="566">
        <v>8</v>
      </c>
      <c r="D18" s="566">
        <v>19</v>
      </c>
      <c r="E18" s="566">
        <v>1</v>
      </c>
      <c r="F18" s="566">
        <v>7.9</v>
      </c>
      <c r="G18" s="566">
        <v>19</v>
      </c>
      <c r="H18" s="579">
        <v>6026</v>
      </c>
      <c r="I18" s="247">
        <f t="shared" si="1"/>
        <v>4</v>
      </c>
      <c r="J18" s="513">
        <v>0.29166666666666669</v>
      </c>
      <c r="L18" s="100">
        <f t="shared" si="0"/>
        <v>43934</v>
      </c>
      <c r="M18" s="3">
        <v>5937</v>
      </c>
      <c r="N18" s="3">
        <v>0</v>
      </c>
      <c r="O18" s="3">
        <f t="shared" si="3"/>
        <v>5937</v>
      </c>
    </row>
    <row r="19" spans="1:17" ht="15.75" thickBot="1">
      <c r="A19" s="245">
        <f>ELEC!C16</f>
        <v>43935</v>
      </c>
      <c r="B19" s="566">
        <v>1.32</v>
      </c>
      <c r="C19" s="566">
        <v>8</v>
      </c>
      <c r="D19" s="566">
        <v>19</v>
      </c>
      <c r="E19" s="566">
        <v>1</v>
      </c>
      <c r="F19" s="566">
        <v>8</v>
      </c>
      <c r="G19" s="567">
        <v>19</v>
      </c>
      <c r="H19" s="579">
        <v>6028</v>
      </c>
      <c r="I19" s="247">
        <f t="shared" si="1"/>
        <v>2</v>
      </c>
      <c r="J19" s="513">
        <v>0.29166666666666669</v>
      </c>
      <c r="L19" s="100">
        <f t="shared" si="0"/>
        <v>43935</v>
      </c>
      <c r="M19" s="3">
        <f t="shared" si="2"/>
        <v>6028</v>
      </c>
      <c r="N19" s="3">
        <v>0</v>
      </c>
      <c r="O19" s="3">
        <f t="shared" si="3"/>
        <v>6028</v>
      </c>
    </row>
    <row r="20" spans="1:17" ht="15.75" thickBot="1">
      <c r="A20" s="245">
        <f>ELEC!C17</f>
        <v>43936</v>
      </c>
      <c r="B20" s="566">
        <v>1.5</v>
      </c>
      <c r="C20" s="566">
        <v>8</v>
      </c>
      <c r="D20" s="566">
        <v>20</v>
      </c>
      <c r="E20" s="566">
        <v>2</v>
      </c>
      <c r="F20" s="566">
        <v>8</v>
      </c>
      <c r="G20" s="566">
        <v>20</v>
      </c>
      <c r="H20" s="579">
        <v>6033</v>
      </c>
      <c r="I20" s="247">
        <f t="shared" si="1"/>
        <v>5</v>
      </c>
      <c r="J20" s="513">
        <v>0.29166666666666669</v>
      </c>
      <c r="L20" s="100">
        <f t="shared" si="0"/>
        <v>43936</v>
      </c>
      <c r="M20" s="3">
        <f t="shared" si="2"/>
        <v>6033</v>
      </c>
      <c r="N20" s="3">
        <v>0</v>
      </c>
      <c r="O20" s="3">
        <f t="shared" si="3"/>
        <v>6033</v>
      </c>
    </row>
    <row r="21" spans="1:17" ht="15.75" thickBot="1">
      <c r="A21" s="245">
        <f>ELEC!C18</f>
        <v>43937</v>
      </c>
      <c r="B21" s="566">
        <v>1.5</v>
      </c>
      <c r="C21" s="566">
        <v>7.8</v>
      </c>
      <c r="D21" s="566">
        <v>20</v>
      </c>
      <c r="E21" s="566">
        <v>2</v>
      </c>
      <c r="F21" s="566">
        <v>8</v>
      </c>
      <c r="G21" s="566">
        <v>20</v>
      </c>
      <c r="H21" s="579">
        <f t="shared" ref="H21:H32" si="4">H20</f>
        <v>6033</v>
      </c>
      <c r="I21" s="247">
        <f t="shared" si="1"/>
        <v>0</v>
      </c>
      <c r="J21" s="513">
        <v>0.29166666666666669</v>
      </c>
      <c r="L21" s="100">
        <f t="shared" si="0"/>
        <v>43937</v>
      </c>
      <c r="M21" s="3">
        <f t="shared" si="2"/>
        <v>6033</v>
      </c>
      <c r="N21" s="3">
        <v>0</v>
      </c>
      <c r="O21" s="3">
        <f t="shared" si="3"/>
        <v>6033</v>
      </c>
    </row>
    <row r="22" spans="1:17" ht="15.75" thickBot="1">
      <c r="A22" s="245">
        <f>ELEC!C19</f>
        <v>43938</v>
      </c>
      <c r="B22" s="566">
        <v>1.5</v>
      </c>
      <c r="C22" s="566">
        <v>7.8</v>
      </c>
      <c r="D22" s="566">
        <v>19</v>
      </c>
      <c r="E22" s="566">
        <v>1.5</v>
      </c>
      <c r="F22" s="566">
        <v>8</v>
      </c>
      <c r="G22" s="566">
        <v>19</v>
      </c>
      <c r="H22" s="579">
        <f t="shared" si="4"/>
        <v>6033</v>
      </c>
      <c r="I22" s="247">
        <f t="shared" si="1"/>
        <v>0</v>
      </c>
      <c r="J22" s="513">
        <v>0.29166666666666669</v>
      </c>
      <c r="L22" s="100">
        <f t="shared" si="0"/>
        <v>43938</v>
      </c>
      <c r="M22" s="3">
        <f t="shared" si="2"/>
        <v>6033</v>
      </c>
      <c r="N22" s="3">
        <v>0</v>
      </c>
      <c r="O22" s="3">
        <f t="shared" si="3"/>
        <v>6033</v>
      </c>
    </row>
    <row r="23" spans="1:17" ht="15.75" thickBot="1">
      <c r="A23" s="245">
        <f>ELEC!C20</f>
        <v>43939</v>
      </c>
      <c r="B23" s="566">
        <v>1.5</v>
      </c>
      <c r="C23" s="566">
        <v>7.8</v>
      </c>
      <c r="D23" s="566">
        <v>19</v>
      </c>
      <c r="E23" s="566">
        <v>2</v>
      </c>
      <c r="F23" s="566">
        <v>8.1</v>
      </c>
      <c r="G23" s="566">
        <v>19</v>
      </c>
      <c r="H23" s="579">
        <f t="shared" si="4"/>
        <v>6033</v>
      </c>
      <c r="I23" s="247">
        <f t="shared" si="1"/>
        <v>0</v>
      </c>
      <c r="J23" s="513">
        <v>0.29166666666666669</v>
      </c>
      <c r="L23" s="100">
        <f t="shared" si="0"/>
        <v>43939</v>
      </c>
      <c r="M23" s="3">
        <f t="shared" si="2"/>
        <v>6033</v>
      </c>
      <c r="N23" s="3">
        <v>0</v>
      </c>
      <c r="O23" s="3">
        <f t="shared" si="3"/>
        <v>6033</v>
      </c>
    </row>
    <row r="24" spans="1:17" ht="15.75" thickBot="1">
      <c r="A24" s="245">
        <f>ELEC!C21</f>
        <v>43940</v>
      </c>
      <c r="B24" s="566">
        <v>1.5</v>
      </c>
      <c r="C24" s="566">
        <v>7.8</v>
      </c>
      <c r="D24" s="566">
        <v>19</v>
      </c>
      <c r="E24" s="566">
        <v>2</v>
      </c>
      <c r="F24" s="566">
        <v>8.1</v>
      </c>
      <c r="G24" s="566">
        <v>19</v>
      </c>
      <c r="H24" s="579">
        <v>6044</v>
      </c>
      <c r="I24" s="247">
        <f t="shared" si="1"/>
        <v>11</v>
      </c>
      <c r="J24" s="513">
        <v>0.29166666666666702</v>
      </c>
      <c r="L24" s="100">
        <f t="shared" si="0"/>
        <v>43940</v>
      </c>
      <c r="M24" s="3">
        <f t="shared" si="2"/>
        <v>6044</v>
      </c>
      <c r="N24" s="3">
        <v>0</v>
      </c>
      <c r="O24" s="3">
        <f t="shared" si="3"/>
        <v>6044</v>
      </c>
    </row>
    <row r="25" spans="1:17" ht="15.75" thickBot="1">
      <c r="A25" s="245">
        <f>ELEC!C22</f>
        <v>43941</v>
      </c>
      <c r="B25" s="566">
        <v>1.32</v>
      </c>
      <c r="C25" s="566">
        <v>8</v>
      </c>
      <c r="D25" s="566">
        <v>21</v>
      </c>
      <c r="E25" s="566">
        <v>2</v>
      </c>
      <c r="F25" s="566">
        <v>8</v>
      </c>
      <c r="G25" s="566">
        <v>21</v>
      </c>
      <c r="H25" s="579">
        <v>6048</v>
      </c>
      <c r="I25" s="247">
        <f t="shared" si="1"/>
        <v>4</v>
      </c>
      <c r="J25" s="513">
        <v>0.29166666666666702</v>
      </c>
      <c r="L25" s="100">
        <f t="shared" si="0"/>
        <v>43941</v>
      </c>
      <c r="M25" s="3">
        <f t="shared" si="2"/>
        <v>6048</v>
      </c>
      <c r="N25" s="3">
        <v>0</v>
      </c>
      <c r="O25" s="3">
        <f t="shared" si="3"/>
        <v>6048</v>
      </c>
    </row>
    <row r="26" spans="1:17" ht="15.75" thickBot="1">
      <c r="A26" s="245">
        <f>ELEC!C23</f>
        <v>43942</v>
      </c>
      <c r="B26" s="566">
        <v>1.2</v>
      </c>
      <c r="C26" s="566">
        <v>8</v>
      </c>
      <c r="D26" s="566">
        <v>19</v>
      </c>
      <c r="E26" s="566">
        <v>2</v>
      </c>
      <c r="F26" s="566">
        <v>8</v>
      </c>
      <c r="G26" s="566">
        <v>19</v>
      </c>
      <c r="H26" s="579">
        <v>6050</v>
      </c>
      <c r="I26" s="247">
        <f t="shared" si="1"/>
        <v>2</v>
      </c>
      <c r="J26" s="513">
        <v>0.29166666666666702</v>
      </c>
      <c r="L26" s="100">
        <f t="shared" si="0"/>
        <v>43942</v>
      </c>
      <c r="M26" s="3">
        <f t="shared" si="2"/>
        <v>6050</v>
      </c>
      <c r="N26" s="3">
        <v>0</v>
      </c>
      <c r="O26" s="3">
        <f t="shared" si="3"/>
        <v>6050</v>
      </c>
    </row>
    <row r="27" spans="1:17" ht="15.75" thickBot="1">
      <c r="A27" s="245">
        <f>ELEC!C24</f>
        <v>43943</v>
      </c>
      <c r="B27" s="260">
        <v>1.2</v>
      </c>
      <c r="C27" s="574">
        <v>8</v>
      </c>
      <c r="D27" s="171">
        <v>19</v>
      </c>
      <c r="E27" s="171">
        <v>1.5</v>
      </c>
      <c r="F27" s="171">
        <v>8</v>
      </c>
      <c r="G27" s="171">
        <v>19</v>
      </c>
      <c r="H27" s="576">
        <v>6061</v>
      </c>
      <c r="I27" s="247">
        <f t="shared" si="1"/>
        <v>11</v>
      </c>
      <c r="J27" s="513">
        <v>0.29166666666666702</v>
      </c>
      <c r="L27" s="100">
        <f t="shared" si="0"/>
        <v>43943</v>
      </c>
      <c r="M27" s="3">
        <f t="shared" si="2"/>
        <v>6061</v>
      </c>
      <c r="N27" s="3">
        <v>0</v>
      </c>
      <c r="O27" s="3">
        <f t="shared" si="3"/>
        <v>6061</v>
      </c>
    </row>
    <row r="28" spans="1:17" ht="15.75" thickBot="1">
      <c r="A28" s="245">
        <f>ELEC!C25</f>
        <v>43944</v>
      </c>
      <c r="B28" s="260">
        <v>1.6</v>
      </c>
      <c r="C28" s="575">
        <v>7.8</v>
      </c>
      <c r="D28" s="171">
        <v>20</v>
      </c>
      <c r="E28" s="171">
        <v>0.9</v>
      </c>
      <c r="F28" s="171">
        <v>8.1</v>
      </c>
      <c r="G28" s="171">
        <v>19</v>
      </c>
      <c r="H28" s="576">
        <v>6066</v>
      </c>
      <c r="I28" s="247">
        <f t="shared" si="1"/>
        <v>5</v>
      </c>
      <c r="J28" s="514">
        <v>0.29166666666666702</v>
      </c>
      <c r="L28" s="100">
        <f t="shared" si="0"/>
        <v>43944</v>
      </c>
      <c r="M28" s="3">
        <f t="shared" si="2"/>
        <v>6066</v>
      </c>
      <c r="N28" s="3">
        <v>0</v>
      </c>
      <c r="O28" s="3">
        <f t="shared" si="3"/>
        <v>6066</v>
      </c>
    </row>
    <row r="29" spans="1:17" ht="15.75" thickBot="1">
      <c r="A29" s="245">
        <f>ELEC!C26</f>
        <v>43945</v>
      </c>
      <c r="B29" s="260">
        <v>1.9</v>
      </c>
      <c r="C29" s="577">
        <v>8</v>
      </c>
      <c r="D29" s="171">
        <v>19</v>
      </c>
      <c r="E29" s="566">
        <v>1</v>
      </c>
      <c r="F29" s="566">
        <v>8</v>
      </c>
      <c r="G29" s="566">
        <v>19</v>
      </c>
      <c r="H29" s="576">
        <v>6068</v>
      </c>
      <c r="I29" s="247">
        <f t="shared" si="1"/>
        <v>2</v>
      </c>
      <c r="J29" s="513">
        <v>0.29166666666666702</v>
      </c>
      <c r="L29" s="100">
        <f t="shared" si="0"/>
        <v>43945</v>
      </c>
      <c r="M29" s="3">
        <f t="shared" si="2"/>
        <v>6068</v>
      </c>
      <c r="N29" s="3">
        <v>0</v>
      </c>
      <c r="O29" s="3">
        <f t="shared" si="3"/>
        <v>6068</v>
      </c>
    </row>
    <row r="30" spans="1:17" ht="15.75" thickBot="1">
      <c r="A30" s="245">
        <f>ELEC!C27</f>
        <v>43946</v>
      </c>
      <c r="B30" s="260">
        <v>1.9</v>
      </c>
      <c r="C30" s="578">
        <v>8</v>
      </c>
      <c r="D30" s="171">
        <v>19</v>
      </c>
      <c r="E30" s="171" t="s">
        <v>415</v>
      </c>
      <c r="F30" s="171" t="s">
        <v>415</v>
      </c>
      <c r="G30" s="171" t="s">
        <v>415</v>
      </c>
      <c r="H30" s="576">
        <v>6068</v>
      </c>
      <c r="I30" s="247">
        <f t="shared" si="1"/>
        <v>0</v>
      </c>
      <c r="J30" s="513">
        <v>0.29166666666666702</v>
      </c>
      <c r="L30" s="100">
        <f t="shared" si="0"/>
        <v>43946</v>
      </c>
      <c r="M30" s="3">
        <f t="shared" si="2"/>
        <v>6068</v>
      </c>
      <c r="N30" s="3">
        <v>0</v>
      </c>
      <c r="O30" s="3">
        <f>SUM(M30:N30)</f>
        <v>6068</v>
      </c>
    </row>
    <row r="31" spans="1:17" ht="15.75" thickBot="1">
      <c r="A31" s="245">
        <f>ELEC!C28</f>
        <v>43947</v>
      </c>
      <c r="B31" s="260">
        <v>2</v>
      </c>
      <c r="C31" s="578">
        <v>8</v>
      </c>
      <c r="D31" s="171">
        <v>19</v>
      </c>
      <c r="E31" s="171" t="s">
        <v>415</v>
      </c>
      <c r="F31" s="171" t="s">
        <v>415</v>
      </c>
      <c r="G31" s="171" t="s">
        <v>415</v>
      </c>
      <c r="H31" s="576">
        <v>6070</v>
      </c>
      <c r="I31" s="247">
        <f t="shared" si="1"/>
        <v>2</v>
      </c>
      <c r="J31" s="513">
        <v>0.29166666666666702</v>
      </c>
      <c r="L31" s="100">
        <f t="shared" si="0"/>
        <v>43947</v>
      </c>
      <c r="M31" s="3">
        <f t="shared" si="2"/>
        <v>6070</v>
      </c>
      <c r="N31" s="3">
        <v>0</v>
      </c>
      <c r="O31" s="3">
        <f t="shared" si="3"/>
        <v>6070</v>
      </c>
    </row>
    <row r="32" spans="1:17" ht="15.75" thickBot="1">
      <c r="A32" s="245">
        <f>ELEC!C29</f>
        <v>43948</v>
      </c>
      <c r="B32" s="566">
        <v>1.2</v>
      </c>
      <c r="C32" s="566">
        <v>7.6</v>
      </c>
      <c r="D32" s="566">
        <v>20</v>
      </c>
      <c r="E32" s="171" t="s">
        <v>415</v>
      </c>
      <c r="F32" s="171" t="s">
        <v>415</v>
      </c>
      <c r="G32" s="171" t="s">
        <v>415</v>
      </c>
      <c r="H32" s="579">
        <f t="shared" si="4"/>
        <v>6070</v>
      </c>
      <c r="I32" s="247">
        <f t="shared" si="1"/>
        <v>0</v>
      </c>
      <c r="J32" s="513">
        <v>0.29166666666666702</v>
      </c>
      <c r="L32" s="100">
        <f t="shared" si="0"/>
        <v>43948</v>
      </c>
      <c r="M32" s="3">
        <f t="shared" si="2"/>
        <v>6070</v>
      </c>
      <c r="N32" s="3">
        <v>0</v>
      </c>
      <c r="O32" s="3">
        <f t="shared" si="3"/>
        <v>6070</v>
      </c>
    </row>
    <row r="33" spans="1:15" ht="15.75" thickBot="1">
      <c r="A33" s="245">
        <f>ELEC!C30</f>
        <v>43949</v>
      </c>
      <c r="B33" s="566">
        <v>2</v>
      </c>
      <c r="C33" s="566">
        <v>7.6</v>
      </c>
      <c r="D33" s="566">
        <v>20</v>
      </c>
      <c r="E33" s="566">
        <v>1</v>
      </c>
      <c r="F33" s="566">
        <v>8</v>
      </c>
      <c r="G33" s="566">
        <v>9</v>
      </c>
      <c r="H33" s="579">
        <v>6072</v>
      </c>
      <c r="I33" s="247">
        <f t="shared" si="1"/>
        <v>2</v>
      </c>
      <c r="J33" s="513">
        <v>0.29166666666666702</v>
      </c>
      <c r="L33" s="100">
        <f t="shared" si="0"/>
        <v>43949</v>
      </c>
      <c r="M33" s="3">
        <f t="shared" si="2"/>
        <v>6072</v>
      </c>
      <c r="N33" s="3">
        <v>0</v>
      </c>
      <c r="O33" s="3">
        <f t="shared" si="3"/>
        <v>6072</v>
      </c>
    </row>
    <row r="34" spans="1:15" ht="15.75" thickBot="1">
      <c r="A34" s="245">
        <f>ELEC!C31</f>
        <v>43950</v>
      </c>
      <c r="B34" s="566">
        <v>2</v>
      </c>
      <c r="C34" s="566">
        <v>7.6</v>
      </c>
      <c r="D34" s="566">
        <v>19</v>
      </c>
      <c r="E34" s="566">
        <v>1.2</v>
      </c>
      <c r="F34" s="566">
        <v>8</v>
      </c>
      <c r="G34" s="566">
        <v>19</v>
      </c>
      <c r="H34" s="579">
        <v>6083</v>
      </c>
      <c r="I34" s="247">
        <f t="shared" si="1"/>
        <v>11</v>
      </c>
      <c r="J34" s="513">
        <v>0.29166666666666702</v>
      </c>
      <c r="L34" s="100">
        <f t="shared" si="0"/>
        <v>43950</v>
      </c>
      <c r="M34" s="3">
        <f t="shared" si="2"/>
        <v>6083</v>
      </c>
      <c r="N34" s="3">
        <v>0</v>
      </c>
      <c r="O34" s="3">
        <f t="shared" si="3"/>
        <v>6083</v>
      </c>
    </row>
    <row r="35" spans="1:15">
      <c r="A35" s="428">
        <f>ELEC!C32</f>
        <v>43951</v>
      </c>
      <c r="B35" s="260">
        <v>1.56</v>
      </c>
      <c r="C35" s="580">
        <v>8</v>
      </c>
      <c r="D35" s="171">
        <v>20</v>
      </c>
      <c r="E35" s="580">
        <v>1</v>
      </c>
      <c r="F35" s="580">
        <v>7.5</v>
      </c>
      <c r="G35" s="580">
        <v>20</v>
      </c>
      <c r="H35" s="579">
        <v>6084</v>
      </c>
      <c r="I35" s="247">
        <f t="shared" si="1"/>
        <v>1</v>
      </c>
      <c r="J35" s="515">
        <v>0.29166666666666702</v>
      </c>
      <c r="L35" s="100">
        <f t="shared" si="0"/>
        <v>43951</v>
      </c>
      <c r="M35" s="3">
        <f t="shared" si="2"/>
        <v>6084</v>
      </c>
      <c r="N35" s="3">
        <v>0</v>
      </c>
      <c r="O35" s="3">
        <f t="shared" si="3"/>
        <v>6084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3" zoomScale="80" zoomScaleNormal="80" workbookViewId="0">
      <selection activeCell="F41" sqref="E41:F41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68" t="s">
        <v>161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  <c r="P1" s="668"/>
      <c r="Q1" s="668"/>
      <c r="R1" s="668"/>
      <c r="S1" s="668"/>
      <c r="T1" s="668"/>
      <c r="U1" s="668"/>
      <c r="V1" s="668"/>
      <c r="W1" s="668"/>
      <c r="X1" s="668"/>
    </row>
    <row r="2" spans="1:28" ht="19.5">
      <c r="A2" s="669"/>
      <c r="B2" s="669"/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69"/>
      <c r="N2" s="669"/>
      <c r="O2" s="669"/>
      <c r="P2" s="669"/>
      <c r="Q2" s="669"/>
      <c r="R2" s="669"/>
      <c r="S2" s="669"/>
      <c r="T2" s="669"/>
      <c r="U2" s="669"/>
      <c r="V2" s="669"/>
      <c r="W2" s="669"/>
      <c r="X2" s="669"/>
    </row>
    <row r="3" spans="1:28" ht="19.5">
      <c r="A3" s="669" t="s">
        <v>162</v>
      </c>
      <c r="B3" s="669"/>
      <c r="C3" s="669"/>
      <c r="D3" s="669"/>
      <c r="E3" s="669"/>
      <c r="F3" s="669"/>
      <c r="G3" s="669"/>
      <c r="H3" s="669"/>
      <c r="I3" s="669"/>
      <c r="J3" s="669"/>
      <c r="K3" s="669"/>
      <c r="L3" s="669"/>
      <c r="M3" s="669"/>
      <c r="N3" s="669"/>
      <c r="O3" s="669"/>
      <c r="P3" s="669"/>
      <c r="Q3" s="669"/>
      <c r="R3" s="669"/>
      <c r="S3" s="669"/>
      <c r="T3" s="669"/>
      <c r="U3" s="669"/>
      <c r="V3" s="669"/>
      <c r="W3" s="669"/>
      <c r="X3" s="669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69" t="s">
        <v>412</v>
      </c>
      <c r="B5" s="669"/>
      <c r="C5" s="669"/>
      <c r="D5" s="669"/>
      <c r="E5" s="669"/>
      <c r="F5" s="669"/>
      <c r="G5" s="669"/>
      <c r="H5" s="669"/>
      <c r="I5" s="669"/>
      <c r="J5" s="669"/>
      <c r="K5" s="669"/>
      <c r="L5" s="669"/>
      <c r="M5" s="669"/>
      <c r="N5" s="669"/>
      <c r="O5" s="669"/>
      <c r="P5" s="669"/>
      <c r="Q5" s="669"/>
      <c r="R5" s="669"/>
      <c r="S5" s="669"/>
      <c r="T5" s="669"/>
      <c r="U5" s="669"/>
      <c r="V5" s="669"/>
      <c r="W5" s="669"/>
      <c r="X5" s="669"/>
    </row>
    <row r="6" spans="1:28" ht="15.75" thickBot="1">
      <c r="A6" s="670"/>
      <c r="B6" s="670"/>
      <c r="C6" s="670"/>
      <c r="D6" s="670"/>
      <c r="E6" s="670"/>
      <c r="F6" s="670"/>
      <c r="G6" s="670"/>
      <c r="H6" s="670"/>
      <c r="I6" s="670"/>
      <c r="J6" s="670"/>
      <c r="K6" s="670"/>
      <c r="L6" s="670"/>
      <c r="M6" s="670"/>
      <c r="N6" s="670"/>
      <c r="O6" s="670"/>
      <c r="P6" s="670"/>
      <c r="Q6" s="670"/>
      <c r="R6" s="670"/>
      <c r="S6" s="670"/>
      <c r="T6" s="670"/>
      <c r="U6" s="670"/>
      <c r="V6" s="670"/>
      <c r="W6" s="670"/>
      <c r="X6" s="670"/>
    </row>
    <row r="7" spans="1:28" ht="15.75" thickBot="1">
      <c r="A7" s="672" t="s">
        <v>163</v>
      </c>
      <c r="B7" s="673"/>
      <c r="C7" s="674" t="s">
        <v>164</v>
      </c>
      <c r="D7" s="675"/>
      <c r="E7" s="675"/>
      <c r="F7" s="675"/>
      <c r="G7" s="675"/>
      <c r="H7" s="675"/>
      <c r="I7" s="675"/>
      <c r="J7" s="675"/>
      <c r="K7" s="676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'[2]Degree Days 2020'!B10</f>
        <v>16</v>
      </c>
      <c r="C10" s="279">
        <f>'[2]Degree Days 2020'!C10</f>
        <v>11</v>
      </c>
      <c r="D10" s="279">
        <f>'[2]Degree Days 2020'!D10</f>
        <v>-4.8000000000000007</v>
      </c>
      <c r="E10" s="558">
        <v>1</v>
      </c>
      <c r="F10" s="279">
        <f>'[2]Degree Days 2020'!F10</f>
        <v>17</v>
      </c>
      <c r="G10" s="279">
        <f>'[2]Degree Days 2020'!G10</f>
        <v>12</v>
      </c>
      <c r="H10" s="279">
        <f>'[2]Degree Days 2020'!H10</f>
        <v>-3.8000000000000007</v>
      </c>
      <c r="I10" s="558">
        <v>1</v>
      </c>
      <c r="J10" s="279">
        <f>'[1]Degree Days 2018'!J10</f>
        <v>17</v>
      </c>
      <c r="K10" s="279">
        <f>'[1]Degree Days 2018'!K10</f>
        <v>10</v>
      </c>
      <c r="L10" s="120">
        <f t="shared" ref="L10:L40" si="0">(J10+K10)/2-18.3</f>
        <v>-4.8000000000000007</v>
      </c>
      <c r="M10" s="558">
        <v>1</v>
      </c>
      <c r="N10" s="279">
        <f>'General information '!B6</f>
        <v>19</v>
      </c>
      <c r="O10" s="279">
        <f>'General information '!C6</f>
        <v>14</v>
      </c>
      <c r="P10" s="120">
        <f t="shared" ref="P10:P40" si="1">(N10+O10)/2-18.3</f>
        <v>-1.8000000000000007</v>
      </c>
      <c r="Q10" s="558">
        <v>1</v>
      </c>
      <c r="R10" s="279"/>
      <c r="S10" s="279"/>
      <c r="T10" s="279"/>
      <c r="U10" s="558">
        <v>1</v>
      </c>
      <c r="V10" s="279"/>
      <c r="W10" s="279"/>
      <c r="X10" s="279"/>
      <c r="Z10" t="s">
        <v>165</v>
      </c>
      <c r="AA10" s="279">
        <f>'[7]Degree Days 2018'!AA10</f>
        <v>-116.79999999999994</v>
      </c>
      <c r="AB10" s="279">
        <f>'[7]Degree Days 2018'!AB10</f>
        <v>0</v>
      </c>
    </row>
    <row r="11" spans="1:28">
      <c r="A11" s="118">
        <v>2</v>
      </c>
      <c r="B11" s="279">
        <f>'[2]Degree Days 2020'!B11</f>
        <v>17</v>
      </c>
      <c r="C11" s="279">
        <f>'[2]Degree Days 2020'!C11</f>
        <v>12</v>
      </c>
      <c r="D11" s="279">
        <f>'[2]Degree Days 2020'!D11</f>
        <v>-3.8000000000000007</v>
      </c>
      <c r="E11" s="558">
        <v>2</v>
      </c>
      <c r="F11" s="279">
        <f>'[2]Degree Days 2020'!F11</f>
        <v>17</v>
      </c>
      <c r="G11" s="279">
        <f>'[2]Degree Days 2020'!G11</f>
        <v>11</v>
      </c>
      <c r="H11" s="279">
        <f>'[2]Degree Days 2020'!H11</f>
        <v>-4.3000000000000007</v>
      </c>
      <c r="I11" s="558">
        <v>2</v>
      </c>
      <c r="J11" s="279">
        <f>'[1]Degree Days 2018'!J11</f>
        <v>18</v>
      </c>
      <c r="K11" s="279">
        <f>'[1]Degree Days 2018'!K11</f>
        <v>11</v>
      </c>
      <c r="L11" s="120">
        <f t="shared" si="0"/>
        <v>-3.8000000000000007</v>
      </c>
      <c r="M11" s="558">
        <v>2</v>
      </c>
      <c r="N11" s="279">
        <f>'General information '!B7</f>
        <v>19</v>
      </c>
      <c r="O11" s="279">
        <f>'General information '!C7</f>
        <v>15</v>
      </c>
      <c r="P11" s="120">
        <f t="shared" si="1"/>
        <v>-1.3000000000000007</v>
      </c>
      <c r="Q11" s="558">
        <v>2</v>
      </c>
      <c r="R11" s="279"/>
      <c r="S11" s="279"/>
      <c r="T11" s="279"/>
      <c r="U11" s="558">
        <v>2</v>
      </c>
      <c r="V11" s="279"/>
      <c r="W11" s="279"/>
      <c r="X11" s="279"/>
      <c r="Z11" t="s">
        <v>169</v>
      </c>
      <c r="AA11" s="279">
        <f>'[7]Degree Days 2018'!AA11</f>
        <v>-100.69999999999997</v>
      </c>
      <c r="AB11" s="279">
        <f>'[7]Degree Days 2018'!AB11</f>
        <v>2.2999999999999972</v>
      </c>
    </row>
    <row r="12" spans="1:28">
      <c r="A12" s="118">
        <v>3</v>
      </c>
      <c r="B12" s="279">
        <f>'[2]Degree Days 2020'!B12</f>
        <v>16</v>
      </c>
      <c r="C12" s="279">
        <f>'[2]Degree Days 2020'!C12</f>
        <v>12</v>
      </c>
      <c r="D12" s="279">
        <f>'[2]Degree Days 2020'!D12</f>
        <v>-4.3000000000000007</v>
      </c>
      <c r="E12" s="558">
        <v>3</v>
      </c>
      <c r="F12" s="279">
        <f>'[2]Degree Days 2020'!F12</f>
        <v>16</v>
      </c>
      <c r="G12" s="279">
        <f>'[2]Degree Days 2020'!G12</f>
        <v>10</v>
      </c>
      <c r="H12" s="279">
        <f>'[2]Degree Days 2020'!H12</f>
        <v>-5.3000000000000007</v>
      </c>
      <c r="I12" s="558">
        <v>3</v>
      </c>
      <c r="J12" s="279">
        <f>'[1]Degree Days 2018'!J12</f>
        <v>19</v>
      </c>
      <c r="K12" s="279">
        <f>'[1]Degree Days 2018'!K12</f>
        <v>12</v>
      </c>
      <c r="L12" s="120">
        <f t="shared" si="0"/>
        <v>-2.8000000000000007</v>
      </c>
      <c r="M12" s="558">
        <v>3</v>
      </c>
      <c r="N12" s="279">
        <f>'General information '!B8</f>
        <v>20</v>
      </c>
      <c r="O12" s="279">
        <f>'General information '!C8</f>
        <v>14</v>
      </c>
      <c r="P12" s="120">
        <f t="shared" si="1"/>
        <v>-1.3000000000000007</v>
      </c>
      <c r="Q12" s="558">
        <v>3</v>
      </c>
      <c r="R12" s="279"/>
      <c r="S12" s="279"/>
      <c r="T12" s="279"/>
      <c r="U12" s="558">
        <v>3</v>
      </c>
      <c r="V12" s="279"/>
      <c r="W12" s="279"/>
      <c r="X12" s="279"/>
      <c r="Z12" t="s">
        <v>170</v>
      </c>
      <c r="AA12" s="279">
        <f>'[7]Degree Days 2018'!AA12</f>
        <v>-87.799999999999955</v>
      </c>
      <c r="AB12" s="279">
        <f>'[7]Degree Days 2018'!AB12</f>
        <v>0</v>
      </c>
    </row>
    <row r="13" spans="1:28">
      <c r="A13" s="118">
        <v>4</v>
      </c>
      <c r="B13" s="279">
        <f>'[2]Degree Days 2020'!B13</f>
        <v>15</v>
      </c>
      <c r="C13" s="279">
        <f>'[2]Degree Days 2020'!C13</f>
        <v>11</v>
      </c>
      <c r="D13" s="279">
        <f>'[2]Degree Days 2020'!D13</f>
        <v>-5.3000000000000007</v>
      </c>
      <c r="E13" s="558">
        <v>4</v>
      </c>
      <c r="F13" s="279">
        <f>'[2]Degree Days 2020'!F13</f>
        <v>17</v>
      </c>
      <c r="G13" s="279">
        <f>'[2]Degree Days 2020'!G13</f>
        <v>13</v>
      </c>
      <c r="H13" s="279">
        <f>'[2]Degree Days 2020'!H13</f>
        <v>-3.3000000000000007</v>
      </c>
      <c r="I13" s="558">
        <v>4</v>
      </c>
      <c r="J13" s="279">
        <f>'[1]Degree Days 2018'!J13</f>
        <v>19</v>
      </c>
      <c r="K13" s="279">
        <f>'[1]Degree Days 2018'!K13</f>
        <v>12</v>
      </c>
      <c r="L13" s="120">
        <f t="shared" si="0"/>
        <v>-2.8000000000000007</v>
      </c>
      <c r="M13" s="558">
        <v>4</v>
      </c>
      <c r="N13" s="279">
        <f>'General information '!B9</f>
        <v>23</v>
      </c>
      <c r="O13" s="279">
        <f>'General information '!C9</f>
        <v>14</v>
      </c>
      <c r="P13" s="120">
        <f t="shared" si="1"/>
        <v>0.19999999999999929</v>
      </c>
      <c r="Q13" s="558">
        <v>4</v>
      </c>
      <c r="R13" s="279"/>
      <c r="S13" s="279"/>
      <c r="T13" s="279"/>
      <c r="U13" s="558">
        <v>4</v>
      </c>
      <c r="V13" s="279"/>
      <c r="W13" s="279"/>
      <c r="X13" s="279"/>
      <c r="Z13" t="s">
        <v>171</v>
      </c>
      <c r="AA13" s="279">
        <f>'[7]Degree Days 2018'!AA13</f>
        <v>-38.700000000000003</v>
      </c>
      <c r="AB13" s="279">
        <f>'[7]Degree Days 2018'!AB13</f>
        <v>33.199999999999989</v>
      </c>
    </row>
    <row r="14" spans="1:28">
      <c r="A14" s="118">
        <v>5</v>
      </c>
      <c r="B14" s="279">
        <f>'[2]Degree Days 2020'!B14</f>
        <v>15</v>
      </c>
      <c r="C14" s="279">
        <f>'[2]Degree Days 2020'!C14</f>
        <v>11</v>
      </c>
      <c r="D14" s="279">
        <f>'[2]Degree Days 2020'!D14</f>
        <v>-5.3000000000000007</v>
      </c>
      <c r="E14" s="558">
        <v>5</v>
      </c>
      <c r="F14" s="279">
        <f>'[2]Degree Days 2020'!F14</f>
        <v>20</v>
      </c>
      <c r="G14" s="279">
        <f>'[2]Degree Days 2020'!G14</f>
        <v>15</v>
      </c>
      <c r="H14" s="279">
        <f>'[2]Degree Days 2020'!H14</f>
        <v>-0.80000000000000071</v>
      </c>
      <c r="I14" s="558">
        <v>5</v>
      </c>
      <c r="J14" s="279">
        <f>'[1]Degree Days 2018'!J14</f>
        <v>19</v>
      </c>
      <c r="K14" s="279">
        <f>'[1]Degree Days 2018'!K14</f>
        <v>14</v>
      </c>
      <c r="L14" s="120">
        <f t="shared" si="0"/>
        <v>-1.8000000000000007</v>
      </c>
      <c r="M14" s="558">
        <v>5</v>
      </c>
      <c r="N14" s="279">
        <f>'General information '!B10</f>
        <v>34</v>
      </c>
      <c r="O14" s="279">
        <f>'General information '!C10</f>
        <v>17</v>
      </c>
      <c r="P14" s="120">
        <f t="shared" si="1"/>
        <v>7.1999999999999993</v>
      </c>
      <c r="Q14" s="558">
        <v>5</v>
      </c>
      <c r="R14" s="279"/>
      <c r="S14" s="279"/>
      <c r="T14" s="279"/>
      <c r="U14" s="558">
        <v>5</v>
      </c>
      <c r="V14" s="279"/>
      <c r="W14" s="279"/>
      <c r="X14" s="279"/>
      <c r="Z14" t="s">
        <v>172</v>
      </c>
      <c r="AA14" s="279">
        <f>'[7]Degree Days 2018'!AA14</f>
        <v>-18.3</v>
      </c>
      <c r="AB14" s="279">
        <f>'[7]Degree Days 2018'!AB14</f>
        <v>151</v>
      </c>
    </row>
    <row r="15" spans="1:28">
      <c r="A15" s="118">
        <v>6</v>
      </c>
      <c r="B15" s="279">
        <f>'[2]Degree Days 2020'!B15</f>
        <v>16</v>
      </c>
      <c r="C15" s="279">
        <f>'[2]Degree Days 2020'!C15</f>
        <v>12</v>
      </c>
      <c r="D15" s="279">
        <f>'[2]Degree Days 2020'!D15</f>
        <v>-4.3000000000000007</v>
      </c>
      <c r="E15" s="558">
        <v>6</v>
      </c>
      <c r="F15" s="279">
        <f>'[2]Degree Days 2020'!F15</f>
        <v>22</v>
      </c>
      <c r="G15" s="279">
        <f>'[2]Degree Days 2020'!G15</f>
        <v>16</v>
      </c>
      <c r="H15" s="279">
        <f>'[2]Degree Days 2020'!H15</f>
        <v>0.69999999999999929</v>
      </c>
      <c r="I15" s="558">
        <v>6</v>
      </c>
      <c r="J15" s="279">
        <f>'[1]Degree Days 2018'!J15</f>
        <v>18</v>
      </c>
      <c r="K15" s="279">
        <f>'[1]Degree Days 2018'!K15</f>
        <v>12</v>
      </c>
      <c r="L15" s="120">
        <f t="shared" si="0"/>
        <v>-3.3000000000000007</v>
      </c>
      <c r="M15" s="558">
        <v>6</v>
      </c>
      <c r="N15" s="279">
        <f>'General information '!B11</f>
        <v>19</v>
      </c>
      <c r="O15" s="279">
        <f>'General information '!C11</f>
        <v>17</v>
      </c>
      <c r="P15" s="120">
        <f t="shared" si="1"/>
        <v>-0.30000000000000071</v>
      </c>
      <c r="Q15" s="558">
        <v>6</v>
      </c>
      <c r="R15" s="279"/>
      <c r="S15" s="279"/>
      <c r="T15" s="279"/>
      <c r="U15" s="558">
        <v>6</v>
      </c>
      <c r="V15" s="279"/>
      <c r="W15" s="279"/>
      <c r="X15" s="279"/>
      <c r="Z15" t="s">
        <v>173</v>
      </c>
      <c r="AA15" s="279">
        <f>'[7]Degree Days 2018'!AA15</f>
        <v>-0.30000000000000071</v>
      </c>
      <c r="AB15" s="279">
        <f>'[7]Degree Days 2018'!AB15</f>
        <v>108.30000000000005</v>
      </c>
    </row>
    <row r="16" spans="1:28">
      <c r="A16" s="118">
        <v>7</v>
      </c>
      <c r="B16" s="279">
        <f>'[2]Degree Days 2020'!B16</f>
        <v>16</v>
      </c>
      <c r="C16" s="279">
        <f>'[2]Degree Days 2020'!C16</f>
        <v>12</v>
      </c>
      <c r="D16" s="279">
        <f>'[2]Degree Days 2020'!D16</f>
        <v>-4.3000000000000007</v>
      </c>
      <c r="E16" s="558">
        <v>7</v>
      </c>
      <c r="F16" s="279">
        <f>'[2]Degree Days 2020'!F16</f>
        <v>16</v>
      </c>
      <c r="G16" s="279">
        <f>'[2]Degree Days 2020'!G16</f>
        <v>10</v>
      </c>
      <c r="H16" s="279">
        <f>'[2]Degree Days 2020'!H16</f>
        <v>-5.3000000000000007</v>
      </c>
      <c r="I16" s="558">
        <v>7</v>
      </c>
      <c r="J16" s="279">
        <f>'[1]Degree Days 2018'!J16</f>
        <v>18</v>
      </c>
      <c r="K16" s="279">
        <f>'[1]Degree Days 2018'!K16</f>
        <v>12</v>
      </c>
      <c r="L16" s="120">
        <f t="shared" si="0"/>
        <v>-3.3000000000000007</v>
      </c>
      <c r="M16" s="558">
        <v>7</v>
      </c>
      <c r="N16" s="279">
        <f>'General information '!B12</f>
        <v>20</v>
      </c>
      <c r="O16" s="279">
        <f>'General information '!C12</f>
        <v>16</v>
      </c>
      <c r="P16" s="120">
        <f t="shared" si="1"/>
        <v>-0.30000000000000071</v>
      </c>
      <c r="Q16" s="558">
        <v>7</v>
      </c>
      <c r="R16" s="279"/>
      <c r="S16" s="279"/>
      <c r="T16" s="279"/>
      <c r="U16" s="558">
        <v>7</v>
      </c>
      <c r="V16" s="279"/>
      <c r="W16" s="279"/>
      <c r="X16" s="279"/>
      <c r="Z16" t="s">
        <v>176</v>
      </c>
      <c r="AA16" s="279">
        <f>'[7]Degree Days 2018'!AA16</f>
        <v>31</v>
      </c>
      <c r="AB16" s="279">
        <f>'[7]Degree Days 2018'!AB16</f>
        <v>26</v>
      </c>
    </row>
    <row r="17" spans="1:28">
      <c r="A17" s="118">
        <v>8</v>
      </c>
      <c r="B17" s="279">
        <f>'[2]Degree Days 2020'!B17</f>
        <v>14</v>
      </c>
      <c r="C17" s="279">
        <f>'[2]Degree Days 2020'!C17</f>
        <v>11</v>
      </c>
      <c r="D17" s="279">
        <f>'[2]Degree Days 2020'!D17</f>
        <v>-5.8000000000000007</v>
      </c>
      <c r="E17" s="558">
        <v>8</v>
      </c>
      <c r="F17" s="279">
        <f>'[2]Degree Days 2020'!F17</f>
        <v>14</v>
      </c>
      <c r="G17" s="279">
        <f>'[2]Degree Days 2020'!G17</f>
        <v>9</v>
      </c>
      <c r="H17" s="279">
        <f>'[2]Degree Days 2020'!H17</f>
        <v>-6.8000000000000007</v>
      </c>
      <c r="I17" s="558">
        <v>8</v>
      </c>
      <c r="J17" s="279">
        <f>'[1]Degree Days 2018'!J17</f>
        <v>19</v>
      </c>
      <c r="K17" s="279">
        <f>'[1]Degree Days 2018'!K17</f>
        <v>13</v>
      </c>
      <c r="L17" s="120">
        <f t="shared" si="0"/>
        <v>-2.3000000000000007</v>
      </c>
      <c r="M17" s="558">
        <v>8</v>
      </c>
      <c r="N17" s="279">
        <f>'General information '!B13</f>
        <v>19</v>
      </c>
      <c r="O17" s="279">
        <f>'General information '!C13</f>
        <v>15</v>
      </c>
      <c r="P17" s="120">
        <f t="shared" si="1"/>
        <v>-1.3000000000000007</v>
      </c>
      <c r="Q17" s="558">
        <v>8</v>
      </c>
      <c r="R17" s="279"/>
      <c r="S17" s="279"/>
      <c r="T17" s="279"/>
      <c r="U17" s="558">
        <v>8</v>
      </c>
      <c r="V17" s="279"/>
      <c r="W17" s="279"/>
      <c r="X17" s="279"/>
      <c r="Z17" t="s">
        <v>177</v>
      </c>
      <c r="AA17" s="279">
        <f>'[7]Degree Days 2018'!AA17</f>
        <v>31</v>
      </c>
      <c r="AB17" s="279">
        <f>'[7]Degree Days 2018'!AB17</f>
        <v>27</v>
      </c>
    </row>
    <row r="18" spans="1:28">
      <c r="A18" s="118">
        <v>9</v>
      </c>
      <c r="B18" s="279">
        <f>'[2]Degree Days 2020'!B18</f>
        <v>14</v>
      </c>
      <c r="C18" s="279">
        <f>'[2]Degree Days 2020'!C18</f>
        <v>11</v>
      </c>
      <c r="D18" s="279">
        <f>'[2]Degree Days 2020'!D18</f>
        <v>-5.8000000000000007</v>
      </c>
      <c r="E18" s="558">
        <v>9</v>
      </c>
      <c r="F18" s="279">
        <f>'[2]Degree Days 2020'!F18</f>
        <v>9</v>
      </c>
      <c r="G18" s="279">
        <f>'[2]Degree Days 2020'!G18</f>
        <v>8</v>
      </c>
      <c r="H18" s="279">
        <f>'[2]Degree Days 2020'!H18</f>
        <v>-9.8000000000000007</v>
      </c>
      <c r="I18" s="558">
        <v>9</v>
      </c>
      <c r="J18" s="279">
        <f>'[1]Degree Days 2018'!J18</f>
        <v>20</v>
      </c>
      <c r="K18" s="279">
        <f>'[1]Degree Days 2018'!K18</f>
        <v>14</v>
      </c>
      <c r="L18" s="120">
        <f t="shared" si="0"/>
        <v>-1.3000000000000007</v>
      </c>
      <c r="M18" s="558">
        <v>9</v>
      </c>
      <c r="N18" s="279">
        <f>'General information '!B14</f>
        <v>18</v>
      </c>
      <c r="O18" s="279">
        <f>'General information '!C14</f>
        <v>15</v>
      </c>
      <c r="P18" s="120">
        <f t="shared" si="1"/>
        <v>-1.8000000000000007</v>
      </c>
      <c r="Q18" s="558">
        <v>9</v>
      </c>
      <c r="R18" s="279"/>
      <c r="S18" s="279"/>
      <c r="T18" s="279"/>
      <c r="U18" s="558">
        <v>9</v>
      </c>
      <c r="V18" s="279"/>
      <c r="W18" s="279"/>
      <c r="X18" s="279"/>
      <c r="Z18" t="s">
        <v>178</v>
      </c>
      <c r="AA18" s="279">
        <f>'[7]Degree Days 2018'!AA18</f>
        <v>31</v>
      </c>
      <c r="AB18" s="279">
        <f>'[7]Degree Days 2018'!AB18</f>
        <v>26</v>
      </c>
    </row>
    <row r="19" spans="1:28">
      <c r="A19" s="118">
        <v>10</v>
      </c>
      <c r="B19" s="279">
        <f>'[2]Degree Days 2020'!B19</f>
        <v>17</v>
      </c>
      <c r="C19" s="279">
        <f>'[2]Degree Days 2020'!C19</f>
        <v>12</v>
      </c>
      <c r="D19" s="279">
        <f>'[2]Degree Days 2020'!D19</f>
        <v>-3.8000000000000007</v>
      </c>
      <c r="E19" s="558">
        <v>10</v>
      </c>
      <c r="F19" s="279">
        <f>'[2]Degree Days 2020'!F19</f>
        <v>10</v>
      </c>
      <c r="G19" s="279">
        <f>'[2]Degree Days 2020'!G19</f>
        <v>7</v>
      </c>
      <c r="H19" s="279">
        <f>'[2]Degree Days 2020'!H19</f>
        <v>-9.8000000000000007</v>
      </c>
      <c r="I19" s="558">
        <v>10</v>
      </c>
      <c r="J19" s="279">
        <f>'[1]Degree Days 2018'!J19</f>
        <v>19</v>
      </c>
      <c r="K19" s="279">
        <f>'[1]Degree Days 2018'!K19</f>
        <v>16</v>
      </c>
      <c r="L19" s="120">
        <f t="shared" si="0"/>
        <v>-0.80000000000000071</v>
      </c>
      <c r="M19" s="558">
        <v>10</v>
      </c>
      <c r="N19" s="279">
        <f>'General information '!B15</f>
        <v>16</v>
      </c>
      <c r="O19" s="279">
        <f>'General information '!C15</f>
        <v>13</v>
      </c>
      <c r="P19" s="120">
        <f t="shared" si="1"/>
        <v>-3.8000000000000007</v>
      </c>
      <c r="Q19" s="558">
        <v>10</v>
      </c>
      <c r="R19" s="279"/>
      <c r="S19" s="279"/>
      <c r="T19" s="279"/>
      <c r="U19" s="558">
        <v>10</v>
      </c>
      <c r="V19" s="279"/>
      <c r="W19" s="279"/>
      <c r="X19" s="279"/>
      <c r="Z19" t="s">
        <v>179</v>
      </c>
      <c r="AA19" s="279">
        <f>'[7]Degree Days 2018'!AA19</f>
        <v>32</v>
      </c>
      <c r="AB19" s="279">
        <f>'[7]Degree Days 2018'!AB19</f>
        <v>26</v>
      </c>
    </row>
    <row r="20" spans="1:28">
      <c r="A20" s="118">
        <v>11</v>
      </c>
      <c r="B20" s="279">
        <f>'[2]Degree Days 2020'!B20</f>
        <v>17</v>
      </c>
      <c r="C20" s="279">
        <f>'[2]Degree Days 2020'!C20</f>
        <v>13</v>
      </c>
      <c r="D20" s="279">
        <f>'[2]Degree Days 2020'!D20</f>
        <v>-3.3000000000000007</v>
      </c>
      <c r="E20" s="558">
        <v>11</v>
      </c>
      <c r="F20" s="279">
        <f>'[2]Degree Days 2020'!F20</f>
        <v>14</v>
      </c>
      <c r="G20" s="279">
        <f>'[2]Degree Days 2020'!G20</f>
        <v>8</v>
      </c>
      <c r="H20" s="279">
        <f>'[2]Degree Days 2020'!H20</f>
        <v>-7.3000000000000007</v>
      </c>
      <c r="I20" s="558">
        <v>11</v>
      </c>
      <c r="J20" s="279">
        <f>'[1]Degree Days 2018'!J20</f>
        <v>18</v>
      </c>
      <c r="K20" s="279">
        <f>'[1]Degree Days 2018'!K20</f>
        <v>14</v>
      </c>
      <c r="L20" s="120">
        <f t="shared" si="0"/>
        <v>-2.3000000000000007</v>
      </c>
      <c r="M20" s="558">
        <v>11</v>
      </c>
      <c r="N20" s="279">
        <f>'General information '!B16</f>
        <v>17</v>
      </c>
      <c r="O20" s="279">
        <f>'General information '!C16</f>
        <v>14</v>
      </c>
      <c r="P20" s="120">
        <f t="shared" si="1"/>
        <v>-2.8000000000000007</v>
      </c>
      <c r="Q20" s="558">
        <v>11</v>
      </c>
      <c r="R20" s="279"/>
      <c r="S20" s="279"/>
      <c r="T20" s="279"/>
      <c r="U20" s="558">
        <v>11</v>
      </c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'[2]Degree Days 2020'!B21</f>
        <v>16</v>
      </c>
      <c r="C21" s="279">
        <f>'[2]Degree Days 2020'!C21</f>
        <v>12</v>
      </c>
      <c r="D21" s="279">
        <f>'[2]Degree Days 2020'!D21</f>
        <v>-4.3000000000000007</v>
      </c>
      <c r="E21" s="558">
        <v>12</v>
      </c>
      <c r="F21" s="279">
        <f>'[2]Degree Days 2020'!F21</f>
        <v>16</v>
      </c>
      <c r="G21" s="279">
        <f>'[2]Degree Days 2020'!G21</f>
        <v>13</v>
      </c>
      <c r="H21" s="279">
        <f>'[2]Degree Days 2020'!H21</f>
        <v>-3.8000000000000007</v>
      </c>
      <c r="I21" s="558">
        <v>12</v>
      </c>
      <c r="J21" s="279">
        <f>'[1]Degree Days 2018'!J21</f>
        <v>27</v>
      </c>
      <c r="K21" s="279">
        <f>'[1]Degree Days 2018'!K21</f>
        <v>16</v>
      </c>
      <c r="L21" s="120">
        <f t="shared" si="0"/>
        <v>3.1999999999999993</v>
      </c>
      <c r="M21" s="558">
        <v>12</v>
      </c>
      <c r="N21" s="279">
        <f>'General information '!B17</f>
        <v>20</v>
      </c>
      <c r="O21" s="279">
        <f>'General information '!C17</f>
        <v>14</v>
      </c>
      <c r="P21" s="120">
        <f t="shared" si="1"/>
        <v>-1.3000000000000007</v>
      </c>
      <c r="Q21" s="558">
        <v>12</v>
      </c>
      <c r="R21" s="279"/>
      <c r="S21" s="279"/>
      <c r="T21" s="279"/>
      <c r="U21" s="558">
        <v>12</v>
      </c>
      <c r="V21" s="279"/>
      <c r="W21" s="279"/>
      <c r="X21" s="279"/>
      <c r="Z21" t="s">
        <v>181</v>
      </c>
      <c r="AA21" s="135">
        <f t="shared" ref="AA21" si="2">SUM(B54)</f>
        <v>0</v>
      </c>
      <c r="AB21" s="135">
        <f t="shared" ref="AB21" si="3">SUM(C54)</f>
        <v>0</v>
      </c>
    </row>
    <row r="22" spans="1:28">
      <c r="A22" s="118">
        <v>13</v>
      </c>
      <c r="B22" s="279">
        <f>'[2]Degree Days 2020'!B22</f>
        <v>17</v>
      </c>
      <c r="C22" s="279">
        <f>'[2]Degree Days 2020'!C22</f>
        <v>13</v>
      </c>
      <c r="D22" s="279">
        <f>'[2]Degree Days 2020'!D22</f>
        <v>-3.3000000000000007</v>
      </c>
      <c r="E22" s="558">
        <v>13</v>
      </c>
      <c r="F22" s="279">
        <f>'[2]Degree Days 2020'!F22</f>
        <v>17</v>
      </c>
      <c r="G22" s="279">
        <f>'[2]Degree Days 2020'!G22</f>
        <v>14</v>
      </c>
      <c r="H22" s="279">
        <f>'[2]Degree Days 2020'!H22</f>
        <v>-2.8000000000000007</v>
      </c>
      <c r="I22" s="558">
        <v>13</v>
      </c>
      <c r="J22" s="279">
        <f>'[1]Degree Days 2018'!J22</f>
        <v>26</v>
      </c>
      <c r="K22" s="279">
        <f>'[1]Degree Days 2018'!K22</f>
        <v>15</v>
      </c>
      <c r="L22" s="120">
        <f t="shared" si="0"/>
        <v>2.1999999999999993</v>
      </c>
      <c r="M22" s="558">
        <v>13</v>
      </c>
      <c r="N22" s="279">
        <f>'General information '!B18</f>
        <v>21</v>
      </c>
      <c r="O22" s="279">
        <f>'General information '!C18</f>
        <v>15</v>
      </c>
      <c r="P22" s="120">
        <f t="shared" si="1"/>
        <v>-0.30000000000000071</v>
      </c>
      <c r="Q22" s="558">
        <v>13</v>
      </c>
      <c r="R22" s="279"/>
      <c r="S22" s="279"/>
      <c r="T22" s="279"/>
      <c r="U22" s="558">
        <v>13</v>
      </c>
      <c r="V22" s="279"/>
      <c r="W22" s="279"/>
      <c r="X22" s="279"/>
    </row>
    <row r="23" spans="1:28">
      <c r="A23" s="118">
        <v>14</v>
      </c>
      <c r="B23" s="279">
        <f>'[2]Degree Days 2020'!B23</f>
        <v>16</v>
      </c>
      <c r="C23" s="279">
        <f>'[2]Degree Days 2020'!C23</f>
        <v>12</v>
      </c>
      <c r="D23" s="279">
        <f>'[2]Degree Days 2020'!D23</f>
        <v>-4.3000000000000007</v>
      </c>
      <c r="E23" s="558">
        <v>14</v>
      </c>
      <c r="F23" s="279">
        <f>'[2]Degree Days 2020'!F23</f>
        <v>17</v>
      </c>
      <c r="G23" s="279">
        <f>'[2]Degree Days 2020'!G23</f>
        <v>11</v>
      </c>
      <c r="H23" s="279">
        <f>'[2]Degree Days 2020'!H23</f>
        <v>-4.3000000000000007</v>
      </c>
      <c r="I23" s="558">
        <v>14</v>
      </c>
      <c r="J23" s="279">
        <f>'[1]Degree Days 2018'!J23</f>
        <v>19</v>
      </c>
      <c r="K23" s="279">
        <f>'[1]Degree Days 2018'!K23</f>
        <v>15</v>
      </c>
      <c r="L23" s="120">
        <f t="shared" si="0"/>
        <v>-1.3000000000000007</v>
      </c>
      <c r="M23" s="558">
        <v>14</v>
      </c>
      <c r="N23" s="279">
        <f>'General information '!B19</f>
        <v>22</v>
      </c>
      <c r="O23" s="279">
        <f>'General information '!C19</f>
        <v>16</v>
      </c>
      <c r="P23" s="120">
        <f t="shared" si="1"/>
        <v>0.69999999999999929</v>
      </c>
      <c r="Q23" s="558">
        <v>14</v>
      </c>
      <c r="R23" s="279"/>
      <c r="S23" s="279"/>
      <c r="T23" s="279"/>
      <c r="U23" s="558">
        <v>14</v>
      </c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'[2]Degree Days 2020'!B24</f>
        <v>17</v>
      </c>
      <c r="C24" s="279">
        <f>'[2]Degree Days 2020'!C24</f>
        <v>13</v>
      </c>
      <c r="D24" s="279">
        <f>'[2]Degree Days 2020'!D24</f>
        <v>-3.3000000000000007</v>
      </c>
      <c r="E24" s="558">
        <v>15</v>
      </c>
      <c r="F24" s="279">
        <f>'[2]Degree Days 2020'!F24</f>
        <v>17</v>
      </c>
      <c r="G24" s="279">
        <f>'[2]Degree Days 2020'!G24</f>
        <v>12</v>
      </c>
      <c r="H24" s="279">
        <f>'[2]Degree Days 2020'!H24</f>
        <v>-3.8000000000000007</v>
      </c>
      <c r="I24" s="558">
        <v>15</v>
      </c>
      <c r="J24" s="279">
        <f>'[1]Degree Days 2018'!J24</f>
        <v>19</v>
      </c>
      <c r="K24" s="279">
        <f>'[1]Degree Days 2018'!K24</f>
        <v>15</v>
      </c>
      <c r="L24" s="120">
        <f t="shared" si="0"/>
        <v>-1.3000000000000007</v>
      </c>
      <c r="M24" s="558">
        <v>15</v>
      </c>
      <c r="N24" s="279">
        <f>'General information '!B20</f>
        <v>20</v>
      </c>
      <c r="O24" s="279">
        <f>'General information '!C20</f>
        <v>16</v>
      </c>
      <c r="P24" s="120">
        <f t="shared" si="1"/>
        <v>-0.30000000000000071</v>
      </c>
      <c r="Q24" s="558">
        <v>15</v>
      </c>
      <c r="R24" s="279"/>
      <c r="S24" s="279"/>
      <c r="T24" s="279"/>
      <c r="U24" s="558">
        <v>15</v>
      </c>
      <c r="V24" s="279"/>
      <c r="W24" s="279"/>
      <c r="X24" s="279"/>
    </row>
    <row r="25" spans="1:28">
      <c r="A25" s="118">
        <v>16</v>
      </c>
      <c r="B25" s="279">
        <f>'[2]Degree Days 2020'!B25</f>
        <v>19</v>
      </c>
      <c r="C25" s="279">
        <f>'[2]Degree Days 2020'!C25</f>
        <v>13</v>
      </c>
      <c r="D25" s="279">
        <f>'[2]Degree Days 2020'!D25</f>
        <v>-2.3000000000000007</v>
      </c>
      <c r="E25" s="558">
        <v>16</v>
      </c>
      <c r="F25" s="279">
        <f>'[2]Degree Days 2020'!F25</f>
        <v>17</v>
      </c>
      <c r="G25" s="279">
        <f>'[2]Degree Days 2020'!G25</f>
        <v>11</v>
      </c>
      <c r="H25" s="279">
        <f>'[2]Degree Days 2020'!H25</f>
        <v>-4.3000000000000007</v>
      </c>
      <c r="I25" s="558">
        <v>16</v>
      </c>
      <c r="J25" s="279">
        <f>'[1]Degree Days 2018'!J25</f>
        <v>18</v>
      </c>
      <c r="K25" s="279">
        <f>'[1]Degree Days 2018'!K25</f>
        <v>11</v>
      </c>
      <c r="L25" s="120">
        <f t="shared" si="0"/>
        <v>-3.8000000000000007</v>
      </c>
      <c r="M25" s="558">
        <v>16</v>
      </c>
      <c r="N25" s="279">
        <f>'General information '!B21</f>
        <v>20</v>
      </c>
      <c r="O25" s="279">
        <f>'General information '!C21</f>
        <v>15</v>
      </c>
      <c r="P25" s="120">
        <f t="shared" si="1"/>
        <v>-0.80000000000000071</v>
      </c>
      <c r="Q25" s="558">
        <v>16</v>
      </c>
      <c r="R25" s="279"/>
      <c r="S25" s="279"/>
      <c r="T25" s="279"/>
      <c r="U25" s="558">
        <v>16</v>
      </c>
      <c r="V25" s="279"/>
      <c r="W25" s="279"/>
      <c r="X25" s="279"/>
    </row>
    <row r="26" spans="1:28">
      <c r="A26" s="118">
        <v>17</v>
      </c>
      <c r="B26" s="279">
        <f>'[2]Degree Days 2020'!B26</f>
        <v>20</v>
      </c>
      <c r="C26" s="279">
        <f>'[2]Degree Days 2020'!C26</f>
        <v>13</v>
      </c>
      <c r="D26" s="279">
        <f>'[2]Degree Days 2020'!D26</f>
        <v>-1.8000000000000007</v>
      </c>
      <c r="E26" s="558">
        <v>17</v>
      </c>
      <c r="F26" s="279">
        <f>'[2]Degree Days 2020'!F26</f>
        <v>16</v>
      </c>
      <c r="G26" s="279">
        <f>'[2]Degree Days 2020'!G26</f>
        <v>12</v>
      </c>
      <c r="H26" s="279">
        <f>'[2]Degree Days 2020'!H26</f>
        <v>-4.3000000000000007</v>
      </c>
      <c r="I26" s="558">
        <v>17</v>
      </c>
      <c r="J26" s="279">
        <f>'[1]Degree Days 2018'!J26</f>
        <v>19</v>
      </c>
      <c r="K26" s="279">
        <f>'[1]Degree Days 2018'!K26</f>
        <v>12</v>
      </c>
      <c r="L26" s="120">
        <f t="shared" si="0"/>
        <v>-2.8000000000000007</v>
      </c>
      <c r="M26" s="558">
        <v>17</v>
      </c>
      <c r="N26" s="279">
        <f>'General information '!B22</f>
        <v>22</v>
      </c>
      <c r="O26" s="279">
        <f>'General information '!C22</f>
        <v>17</v>
      </c>
      <c r="P26" s="120">
        <f t="shared" si="1"/>
        <v>1.1999999999999993</v>
      </c>
      <c r="Q26" s="558">
        <v>17</v>
      </c>
      <c r="R26" s="279"/>
      <c r="S26" s="279"/>
      <c r="T26" s="279"/>
      <c r="U26" s="558">
        <v>17</v>
      </c>
      <c r="V26" s="279"/>
      <c r="W26" s="279"/>
      <c r="X26" s="279"/>
    </row>
    <row r="27" spans="1:28">
      <c r="A27" s="118">
        <v>18</v>
      </c>
      <c r="B27" s="279">
        <f>'[2]Degree Days 2020'!B27</f>
        <v>14</v>
      </c>
      <c r="C27" s="279">
        <f>'[2]Degree Days 2020'!C27</f>
        <v>13</v>
      </c>
      <c r="D27" s="279">
        <f>'[2]Degree Days 2020'!D27</f>
        <v>-4.8000000000000007</v>
      </c>
      <c r="E27" s="558">
        <v>18</v>
      </c>
      <c r="F27" s="279">
        <f>'[2]Degree Days 2020'!F27</f>
        <v>17</v>
      </c>
      <c r="G27" s="279">
        <f>'[2]Degree Days 2020'!G27</f>
        <v>11</v>
      </c>
      <c r="H27" s="279">
        <f>'[2]Degree Days 2020'!H27</f>
        <v>-4.3000000000000007</v>
      </c>
      <c r="I27" s="558">
        <v>18</v>
      </c>
      <c r="J27" s="279">
        <f>'[1]Degree Days 2018'!J27</f>
        <v>15</v>
      </c>
      <c r="K27" s="279">
        <f>'[1]Degree Days 2018'!K27</f>
        <v>13</v>
      </c>
      <c r="L27" s="120">
        <f t="shared" si="0"/>
        <v>-4.3000000000000007</v>
      </c>
      <c r="M27" s="558">
        <v>18</v>
      </c>
      <c r="N27" s="279">
        <f>'General information '!B23</f>
        <v>24</v>
      </c>
      <c r="O27" s="279">
        <f>'General information '!C23</f>
        <v>17</v>
      </c>
      <c r="P27" s="120">
        <f t="shared" si="1"/>
        <v>2.1999999999999993</v>
      </c>
      <c r="Q27" s="558">
        <v>18</v>
      </c>
      <c r="R27" s="279"/>
      <c r="S27" s="279"/>
      <c r="T27" s="279"/>
      <c r="U27" s="558">
        <v>18</v>
      </c>
      <c r="V27" s="279"/>
      <c r="W27" s="279"/>
      <c r="X27" s="279"/>
    </row>
    <row r="28" spans="1:28">
      <c r="A28" s="118">
        <v>19</v>
      </c>
      <c r="B28" s="279">
        <f>'[2]Degree Days 2020'!B28</f>
        <v>15</v>
      </c>
      <c r="C28" s="279">
        <f>'[2]Degree Days 2020'!C28</f>
        <v>13</v>
      </c>
      <c r="D28" s="279">
        <f>'[2]Degree Days 2020'!D28</f>
        <v>-4.3000000000000007</v>
      </c>
      <c r="E28" s="558">
        <v>19</v>
      </c>
      <c r="F28" s="279">
        <f>'[2]Degree Days 2020'!F28</f>
        <v>17</v>
      </c>
      <c r="G28" s="279">
        <f>'[2]Degree Days 2020'!G28</f>
        <v>14</v>
      </c>
      <c r="H28" s="279">
        <f>'[2]Degree Days 2020'!H28</f>
        <v>-2.8000000000000007</v>
      </c>
      <c r="I28" s="558">
        <v>19</v>
      </c>
      <c r="J28" s="279">
        <f>'[1]Degree Days 2018'!J28</f>
        <v>17</v>
      </c>
      <c r="K28" s="279">
        <f>'[1]Degree Days 2018'!K28</f>
        <v>14</v>
      </c>
      <c r="L28" s="120">
        <f t="shared" si="0"/>
        <v>-2.8000000000000007</v>
      </c>
      <c r="M28" s="558">
        <v>19</v>
      </c>
      <c r="N28" s="279">
        <f>'General information '!B24</f>
        <v>24</v>
      </c>
      <c r="O28" s="279">
        <f>'General information '!C24</f>
        <v>17</v>
      </c>
      <c r="P28" s="120">
        <f t="shared" si="1"/>
        <v>2.1999999999999993</v>
      </c>
      <c r="Q28" s="558">
        <v>19</v>
      </c>
      <c r="R28" s="279"/>
      <c r="S28" s="279"/>
      <c r="T28" s="279"/>
      <c r="U28" s="558">
        <v>19</v>
      </c>
      <c r="V28" s="279"/>
      <c r="W28" s="279"/>
      <c r="X28" s="279"/>
    </row>
    <row r="29" spans="1:28">
      <c r="A29" s="118">
        <v>20</v>
      </c>
      <c r="B29" s="279">
        <f>'[2]Degree Days 2020'!B29</f>
        <v>15</v>
      </c>
      <c r="C29" s="279">
        <f>'[2]Degree Days 2020'!C29</f>
        <v>10</v>
      </c>
      <c r="D29" s="279">
        <f>'[2]Degree Days 2020'!D29</f>
        <v>-5.8000000000000007</v>
      </c>
      <c r="E29" s="558">
        <v>20</v>
      </c>
      <c r="F29" s="279">
        <f>'[2]Degree Days 2020'!F29</f>
        <v>17</v>
      </c>
      <c r="G29" s="279">
        <f>'[2]Degree Days 2020'!G29</f>
        <v>14</v>
      </c>
      <c r="H29" s="279">
        <f>'[2]Degree Days 2020'!H29</f>
        <v>-2.8000000000000007</v>
      </c>
      <c r="I29" s="558">
        <v>20</v>
      </c>
      <c r="J29" s="279">
        <f>'[1]Degree Days 2018'!J29</f>
        <v>16</v>
      </c>
      <c r="K29" s="279">
        <f>'[1]Degree Days 2018'!K29</f>
        <v>13</v>
      </c>
      <c r="L29" s="120">
        <f t="shared" si="0"/>
        <v>-3.8000000000000007</v>
      </c>
      <c r="M29" s="558">
        <v>20</v>
      </c>
      <c r="N29" s="279">
        <f>'General information '!B25</f>
        <v>23</v>
      </c>
      <c r="O29" s="279">
        <f>'General information '!C25</f>
        <v>18</v>
      </c>
      <c r="P29" s="120">
        <f t="shared" si="1"/>
        <v>2.1999999999999993</v>
      </c>
      <c r="Q29" s="558">
        <v>20</v>
      </c>
      <c r="R29" s="279"/>
      <c r="S29" s="279"/>
      <c r="T29" s="279"/>
      <c r="U29" s="558">
        <v>20</v>
      </c>
      <c r="V29" s="279"/>
      <c r="W29" s="279"/>
      <c r="X29" s="279"/>
    </row>
    <row r="30" spans="1:28">
      <c r="A30" s="118">
        <v>21</v>
      </c>
      <c r="B30" s="279">
        <f>'[2]Degree Days 2020'!B30</f>
        <v>13</v>
      </c>
      <c r="C30" s="279">
        <f>'[2]Degree Days 2020'!C30</f>
        <v>9</v>
      </c>
      <c r="D30" s="279">
        <f>'[2]Degree Days 2020'!D30</f>
        <v>-7.3000000000000007</v>
      </c>
      <c r="E30" s="558">
        <v>21</v>
      </c>
      <c r="F30" s="279">
        <f>'[2]Degree Days 2020'!F30</f>
        <v>16</v>
      </c>
      <c r="G30" s="279">
        <f>'[2]Degree Days 2020'!G30</f>
        <v>12</v>
      </c>
      <c r="H30" s="279">
        <f>'[2]Degree Days 2020'!H30</f>
        <v>-4.3000000000000007</v>
      </c>
      <c r="I30" s="558">
        <v>21</v>
      </c>
      <c r="J30" s="279">
        <f>'[1]Degree Days 2018'!J30</f>
        <v>17</v>
      </c>
      <c r="K30" s="279">
        <f>'[1]Degree Days 2018'!K30</f>
        <v>14</v>
      </c>
      <c r="L30" s="120">
        <f t="shared" si="0"/>
        <v>-2.8000000000000007</v>
      </c>
      <c r="M30" s="558">
        <v>21</v>
      </c>
      <c r="N30" s="279">
        <f>'General information '!B26</f>
        <v>24</v>
      </c>
      <c r="O30" s="279">
        <f>'General information '!C26</f>
        <v>18</v>
      </c>
      <c r="P30" s="120">
        <f t="shared" si="1"/>
        <v>2.6999999999999993</v>
      </c>
      <c r="Q30" s="558">
        <v>21</v>
      </c>
      <c r="R30" s="279"/>
      <c r="S30" s="279"/>
      <c r="T30" s="279"/>
      <c r="U30" s="558">
        <v>21</v>
      </c>
      <c r="V30" s="279"/>
      <c r="W30" s="279"/>
      <c r="X30" s="279"/>
    </row>
    <row r="31" spans="1:28">
      <c r="A31" s="118">
        <v>22</v>
      </c>
      <c r="B31" s="279">
        <f>'[2]Degree Days 2020'!B31</f>
        <v>14</v>
      </c>
      <c r="C31" s="279">
        <f>'[2]Degree Days 2020'!C31</f>
        <v>10</v>
      </c>
      <c r="D31" s="279">
        <f>'[2]Degree Days 2020'!D31</f>
        <v>-6.3000000000000007</v>
      </c>
      <c r="E31" s="558">
        <v>22</v>
      </c>
      <c r="F31" s="279">
        <f>'[2]Degree Days 2020'!F31</f>
        <v>17</v>
      </c>
      <c r="G31" s="279">
        <f>'[2]Degree Days 2020'!G31</f>
        <v>12</v>
      </c>
      <c r="H31" s="279">
        <f>'[2]Degree Days 2020'!H31</f>
        <v>-3.8000000000000007</v>
      </c>
      <c r="I31" s="558">
        <v>22</v>
      </c>
      <c r="J31" s="279">
        <f>'[1]Degree Days 2018'!J31</f>
        <v>19</v>
      </c>
      <c r="K31" s="279">
        <f>'[1]Degree Days 2018'!K31</f>
        <v>14</v>
      </c>
      <c r="L31" s="120">
        <f t="shared" si="0"/>
        <v>-1.8000000000000007</v>
      </c>
      <c r="M31" s="558">
        <v>22</v>
      </c>
      <c r="N31" s="279">
        <f>'General information '!B27</f>
        <v>25</v>
      </c>
      <c r="O31" s="279">
        <f>'General information '!C27</f>
        <v>18</v>
      </c>
      <c r="P31" s="120">
        <f t="shared" si="1"/>
        <v>3.1999999999999993</v>
      </c>
      <c r="Q31" s="558">
        <v>22</v>
      </c>
      <c r="R31" s="279"/>
      <c r="S31" s="279"/>
      <c r="T31" s="279"/>
      <c r="U31" s="558">
        <v>22</v>
      </c>
      <c r="V31" s="279"/>
      <c r="W31" s="279"/>
      <c r="X31" s="279"/>
    </row>
    <row r="32" spans="1:28">
      <c r="A32" s="118">
        <v>23</v>
      </c>
      <c r="B32" s="279">
        <f>'[2]Degree Days 2020'!B32</f>
        <v>13</v>
      </c>
      <c r="C32" s="279">
        <f>'[2]Degree Days 2020'!C32</f>
        <v>7</v>
      </c>
      <c r="D32" s="279">
        <f>'[2]Degree Days 2020'!D32</f>
        <v>-8.3000000000000007</v>
      </c>
      <c r="E32" s="558">
        <v>23</v>
      </c>
      <c r="F32" s="279">
        <f>'[2]Degree Days 2020'!F32</f>
        <v>16</v>
      </c>
      <c r="G32" s="279">
        <f>'[2]Degree Days 2020'!G32</f>
        <v>14</v>
      </c>
      <c r="H32" s="279">
        <f>'[2]Degree Days 2020'!H32</f>
        <v>-3.3000000000000007</v>
      </c>
      <c r="I32" s="558">
        <v>23</v>
      </c>
      <c r="J32" s="279">
        <f>'[1]Degree Days 2018'!J32</f>
        <v>21</v>
      </c>
      <c r="K32" s="279">
        <f>'[1]Degree Days 2018'!K32</f>
        <v>14</v>
      </c>
      <c r="L32" s="120">
        <f t="shared" si="0"/>
        <v>-0.80000000000000071</v>
      </c>
      <c r="M32" s="558">
        <v>23</v>
      </c>
      <c r="N32" s="279">
        <f>'General information '!B28</f>
        <v>23</v>
      </c>
      <c r="O32" s="279">
        <f>'General information '!C28</f>
        <v>15</v>
      </c>
      <c r="P32" s="120">
        <f t="shared" si="1"/>
        <v>0.69999999999999929</v>
      </c>
      <c r="Q32" s="558">
        <v>23</v>
      </c>
      <c r="R32" s="279"/>
      <c r="S32" s="279"/>
      <c r="T32" s="279"/>
      <c r="U32" s="558">
        <v>23</v>
      </c>
      <c r="V32" s="279"/>
      <c r="W32" s="279"/>
      <c r="X32" s="279"/>
    </row>
    <row r="33" spans="1:24">
      <c r="A33" s="118">
        <v>24</v>
      </c>
      <c r="B33" s="279">
        <f>'[2]Degree Days 2020'!B33</f>
        <v>14</v>
      </c>
      <c r="C33" s="279">
        <f>'[2]Degree Days 2020'!C33</f>
        <v>8</v>
      </c>
      <c r="D33" s="279">
        <f>'[2]Degree Days 2020'!D33</f>
        <v>-7.3000000000000007</v>
      </c>
      <c r="E33" s="558">
        <v>24</v>
      </c>
      <c r="F33" s="279">
        <f>'[2]Degree Days 2020'!F33</f>
        <v>17</v>
      </c>
      <c r="G33" s="279">
        <f>'[2]Degree Days 2020'!G33</f>
        <v>13</v>
      </c>
      <c r="H33" s="279">
        <f>'[2]Degree Days 2020'!H33</f>
        <v>-3.3000000000000007</v>
      </c>
      <c r="I33" s="558">
        <v>24</v>
      </c>
      <c r="J33" s="279">
        <f>'[1]Degree Days 2018'!J33</f>
        <v>22</v>
      </c>
      <c r="K33" s="279">
        <f>'[1]Degree Days 2018'!K33</f>
        <v>15</v>
      </c>
      <c r="L33" s="120">
        <f t="shared" si="0"/>
        <v>0.19999999999999929</v>
      </c>
      <c r="M33" s="558">
        <v>24</v>
      </c>
      <c r="N33" s="279">
        <f>'General information '!B29</f>
        <v>23</v>
      </c>
      <c r="O33" s="279">
        <f>'General information '!C29</f>
        <v>16</v>
      </c>
      <c r="P33" s="120">
        <f t="shared" si="1"/>
        <v>1.1999999999999993</v>
      </c>
      <c r="Q33" s="558">
        <v>24</v>
      </c>
      <c r="R33" s="279"/>
      <c r="S33" s="279"/>
      <c r="T33" s="279"/>
      <c r="U33" s="558">
        <v>24</v>
      </c>
      <c r="V33" s="279"/>
      <c r="W33" s="279"/>
      <c r="X33" s="279"/>
    </row>
    <row r="34" spans="1:24">
      <c r="A34" s="118">
        <v>25</v>
      </c>
      <c r="B34" s="279">
        <f>'[2]Degree Days 2020'!B34</f>
        <v>16</v>
      </c>
      <c r="C34" s="279">
        <f>'[2]Degree Days 2020'!C34</f>
        <v>10</v>
      </c>
      <c r="D34" s="279">
        <f>'[2]Degree Days 2020'!D34</f>
        <v>-5.3000000000000007</v>
      </c>
      <c r="E34" s="558">
        <v>25</v>
      </c>
      <c r="F34" s="279">
        <f>'[2]Degree Days 2020'!F34</f>
        <v>17</v>
      </c>
      <c r="G34" s="279">
        <f>'[2]Degree Days 2020'!G34</f>
        <v>13</v>
      </c>
      <c r="H34" s="279">
        <f>'[2]Degree Days 2020'!H34</f>
        <v>-3.3000000000000007</v>
      </c>
      <c r="I34" s="558">
        <v>25</v>
      </c>
      <c r="J34" s="279">
        <f>'[1]Degree Days 2018'!J34</f>
        <v>21</v>
      </c>
      <c r="K34" s="279">
        <f>'[1]Degree Days 2018'!K34</f>
        <v>15</v>
      </c>
      <c r="L34" s="120">
        <f t="shared" si="0"/>
        <v>-0.30000000000000071</v>
      </c>
      <c r="M34" s="558">
        <v>25</v>
      </c>
      <c r="N34" s="279">
        <f>'General information '!B30</f>
        <v>22</v>
      </c>
      <c r="O34" s="279">
        <f>'General information '!C30</f>
        <v>14</v>
      </c>
      <c r="P34" s="120">
        <f t="shared" si="1"/>
        <v>-0.30000000000000071</v>
      </c>
      <c r="Q34" s="558">
        <v>25</v>
      </c>
      <c r="R34" s="279"/>
      <c r="S34" s="279"/>
      <c r="T34" s="279"/>
      <c r="U34" s="558">
        <v>25</v>
      </c>
      <c r="V34" s="279"/>
      <c r="W34" s="279"/>
      <c r="X34" s="279"/>
    </row>
    <row r="35" spans="1:24">
      <c r="A35" s="118">
        <v>26</v>
      </c>
      <c r="B35" s="279">
        <f>'[2]Degree Days 2020'!B35</f>
        <v>15</v>
      </c>
      <c r="C35" s="279">
        <f>'[2]Degree Days 2020'!C35</f>
        <v>9</v>
      </c>
      <c r="D35" s="279">
        <f>'[2]Degree Days 2020'!D35</f>
        <v>-6.3000000000000007</v>
      </c>
      <c r="E35" s="558">
        <v>26</v>
      </c>
      <c r="F35" s="279">
        <f>'[2]Degree Days 2020'!F35</f>
        <v>18</v>
      </c>
      <c r="G35" s="279">
        <f>'[2]Degree Days 2020'!G35</f>
        <v>14</v>
      </c>
      <c r="H35" s="279">
        <f>'[2]Degree Days 2020'!H35</f>
        <v>-2.3000000000000007</v>
      </c>
      <c r="I35" s="558">
        <v>26</v>
      </c>
      <c r="J35" s="279">
        <f>'[1]Degree Days 2018'!J35</f>
        <v>21</v>
      </c>
      <c r="K35" s="279">
        <f>'[1]Degree Days 2018'!K35</f>
        <v>15</v>
      </c>
      <c r="L35" s="120">
        <f t="shared" si="0"/>
        <v>-0.30000000000000071</v>
      </c>
      <c r="M35" s="558">
        <v>26</v>
      </c>
      <c r="N35" s="279">
        <f>'General information '!B31</f>
        <v>21</v>
      </c>
      <c r="O35" s="279">
        <f>'General information '!C31</f>
        <v>17</v>
      </c>
      <c r="P35" s="120">
        <f t="shared" si="1"/>
        <v>0.69999999999999929</v>
      </c>
      <c r="Q35" s="558">
        <v>26</v>
      </c>
      <c r="R35" s="279"/>
      <c r="S35" s="279"/>
      <c r="T35" s="279"/>
      <c r="U35" s="558">
        <v>26</v>
      </c>
      <c r="V35" s="279"/>
      <c r="W35" s="279"/>
      <c r="X35" s="279"/>
    </row>
    <row r="36" spans="1:24">
      <c r="A36" s="118">
        <v>27</v>
      </c>
      <c r="B36" s="279">
        <f>'[2]Degree Days 2020'!B36</f>
        <v>17</v>
      </c>
      <c r="C36" s="279">
        <f>'[2]Degree Days 2020'!C36</f>
        <v>11</v>
      </c>
      <c r="D36" s="279">
        <f>'[2]Degree Days 2020'!D36</f>
        <v>-4.3000000000000007</v>
      </c>
      <c r="E36" s="558">
        <v>27</v>
      </c>
      <c r="F36" s="279">
        <f>'[2]Degree Days 2020'!F36</f>
        <v>19</v>
      </c>
      <c r="G36" s="279">
        <f>'[2]Degree Days 2020'!G36</f>
        <v>13</v>
      </c>
      <c r="H36" s="279">
        <f>'[2]Degree Days 2020'!H36</f>
        <v>-2.3000000000000007</v>
      </c>
      <c r="I36" s="558">
        <v>27</v>
      </c>
      <c r="J36" s="279">
        <f>'[1]Degree Days 2018'!J36</f>
        <v>18</v>
      </c>
      <c r="K36" s="279">
        <f>'[1]Degree Days 2018'!K36</f>
        <v>13</v>
      </c>
      <c r="L36" s="120">
        <f t="shared" si="0"/>
        <v>-2.8000000000000007</v>
      </c>
      <c r="M36" s="558">
        <v>27</v>
      </c>
      <c r="N36" s="279">
        <f>'General information '!B32</f>
        <v>20</v>
      </c>
      <c r="O36" s="279">
        <f>'General information '!C32</f>
        <v>16</v>
      </c>
      <c r="P36" s="120">
        <f t="shared" si="1"/>
        <v>-0.30000000000000071</v>
      </c>
      <c r="Q36" s="558">
        <v>27</v>
      </c>
      <c r="R36" s="279"/>
      <c r="S36" s="279"/>
      <c r="T36" s="279"/>
      <c r="U36" s="558">
        <v>27</v>
      </c>
      <c r="V36" s="279"/>
      <c r="W36" s="279"/>
      <c r="X36" s="279"/>
    </row>
    <row r="37" spans="1:24">
      <c r="A37" s="118">
        <v>28</v>
      </c>
      <c r="B37" s="279">
        <f>'[2]Degree Days 2020'!B37</f>
        <v>16</v>
      </c>
      <c r="C37" s="279">
        <f>'[2]Degree Days 2020'!C37</f>
        <v>10</v>
      </c>
      <c r="D37" s="279">
        <f>'[2]Degree Days 2020'!D37</f>
        <v>-5.3000000000000007</v>
      </c>
      <c r="E37" s="558">
        <v>28</v>
      </c>
      <c r="F37" s="279">
        <f>'[2]Degree Days 2020'!F37</f>
        <v>19</v>
      </c>
      <c r="G37" s="279">
        <f>'[2]Degree Days 2020'!G37</f>
        <v>14</v>
      </c>
      <c r="H37" s="279">
        <f>'[2]Degree Days 2020'!H37</f>
        <v>-1.8000000000000007</v>
      </c>
      <c r="I37" s="558">
        <v>28</v>
      </c>
      <c r="J37" s="279">
        <f>'[1]Degree Days 2018'!J37</f>
        <v>17</v>
      </c>
      <c r="K37" s="279">
        <f>'[1]Degree Days 2018'!K37</f>
        <v>13</v>
      </c>
      <c r="L37" s="120">
        <f t="shared" si="0"/>
        <v>-3.3000000000000007</v>
      </c>
      <c r="M37" s="558">
        <v>28</v>
      </c>
      <c r="N37" s="279">
        <f>'General information '!B33</f>
        <v>21</v>
      </c>
      <c r="O37" s="279">
        <f>'General information '!C33</f>
        <v>16</v>
      </c>
      <c r="P37" s="120">
        <f t="shared" si="1"/>
        <v>0.19999999999999929</v>
      </c>
      <c r="Q37" s="558">
        <v>28</v>
      </c>
      <c r="R37" s="279"/>
      <c r="S37" s="279"/>
      <c r="T37" s="279"/>
      <c r="U37" s="558">
        <v>28</v>
      </c>
      <c r="V37" s="279"/>
      <c r="W37" s="279"/>
      <c r="X37" s="279"/>
    </row>
    <row r="38" spans="1:24">
      <c r="A38" s="118">
        <v>29</v>
      </c>
      <c r="B38" s="279">
        <f>'[2]Degree Days 2020'!B38</f>
        <v>16</v>
      </c>
      <c r="C38" s="279">
        <f>'[2]Degree Days 2020'!C38</f>
        <v>10</v>
      </c>
      <c r="D38" s="279">
        <f>'[2]Degree Days 2020'!D38</f>
        <v>-5.3000000000000007</v>
      </c>
      <c r="E38" s="558">
        <v>29</v>
      </c>
      <c r="F38" s="279">
        <f>'[2]Degree Days 2020'!F38</f>
        <v>18</v>
      </c>
      <c r="G38" s="279">
        <f>'[2]Degree Days 2020'!G38</f>
        <v>13</v>
      </c>
      <c r="H38" s="279">
        <f>'[2]Degree Days 2020'!H38</f>
        <v>-2.8000000000000007</v>
      </c>
      <c r="I38" s="558">
        <v>29</v>
      </c>
      <c r="J38" s="279">
        <f>'[1]Degree Days 2018'!J38</f>
        <v>20</v>
      </c>
      <c r="K38" s="279">
        <f>'[1]Degree Days 2018'!K38</f>
        <v>16</v>
      </c>
      <c r="L38" s="120">
        <f t="shared" si="0"/>
        <v>-0.30000000000000071</v>
      </c>
      <c r="M38" s="558">
        <v>29</v>
      </c>
      <c r="N38" s="279">
        <f>'General information '!B34</f>
        <v>21</v>
      </c>
      <c r="O38" s="279">
        <f>'General information '!C34</f>
        <v>17</v>
      </c>
      <c r="P38" s="120">
        <f t="shared" si="1"/>
        <v>0.69999999999999929</v>
      </c>
      <c r="Q38" s="558">
        <v>29</v>
      </c>
      <c r="R38" s="279"/>
      <c r="S38" s="279"/>
      <c r="T38" s="279"/>
      <c r="U38" s="558">
        <v>29</v>
      </c>
      <c r="V38" s="279"/>
      <c r="W38" s="279"/>
      <c r="X38" s="279"/>
    </row>
    <row r="39" spans="1:24">
      <c r="A39" s="118">
        <v>30</v>
      </c>
      <c r="B39" s="279">
        <f>'[2]Degree Days 2020'!B39</f>
        <v>16</v>
      </c>
      <c r="C39" s="279">
        <f>'[2]Degree Days 2020'!C39</f>
        <v>11</v>
      </c>
      <c r="D39" s="279">
        <f>'[2]Degree Days 2020'!D39</f>
        <v>-4.8000000000000007</v>
      </c>
      <c r="E39" s="279"/>
      <c r="F39" s="279">
        <f>'[2]Degree Days 2020'!F39</f>
        <v>0</v>
      </c>
      <c r="G39" s="279">
        <f>'[2]Degree Days 2020'!G39</f>
        <v>0</v>
      </c>
      <c r="H39" s="279">
        <f>'[2]Degree Days 2020'!H39</f>
        <v>-18.3</v>
      </c>
      <c r="I39" s="558">
        <v>30</v>
      </c>
      <c r="J39" s="279">
        <f>'[1]Degree Days 2018'!J39</f>
        <v>20</v>
      </c>
      <c r="K39" s="279">
        <f>'[1]Degree Days 2018'!K39</f>
        <v>17</v>
      </c>
      <c r="L39" s="120">
        <f t="shared" si="0"/>
        <v>0.19999999999999929</v>
      </c>
      <c r="M39" s="558">
        <v>30</v>
      </c>
      <c r="N39" s="279">
        <f>'General information '!B35</f>
        <v>23</v>
      </c>
      <c r="O39" s="279">
        <f>'General information '!C35</f>
        <v>19</v>
      </c>
      <c r="P39" s="120">
        <f t="shared" si="1"/>
        <v>2.6999999999999993</v>
      </c>
      <c r="Q39" s="558">
        <v>30</v>
      </c>
      <c r="R39" s="279"/>
      <c r="S39" s="279"/>
      <c r="T39" s="279"/>
      <c r="U39" s="558">
        <v>30</v>
      </c>
      <c r="V39" s="279"/>
      <c r="W39" s="279"/>
      <c r="X39" s="279"/>
    </row>
    <row r="40" spans="1:24">
      <c r="A40" s="121">
        <v>31</v>
      </c>
      <c r="B40" s="279">
        <f>'[2]Degree Days 2020'!B40</f>
        <v>17</v>
      </c>
      <c r="C40" s="279">
        <f>'[2]Degree Days 2020'!C40</f>
        <v>13</v>
      </c>
      <c r="D40" s="279">
        <f>'[2]Degree Days 2020'!D40</f>
        <v>-3.3000000000000007</v>
      </c>
      <c r="E40" s="279"/>
      <c r="F40" s="279">
        <f>'[2]Degree Days 2020'!F40</f>
        <v>0</v>
      </c>
      <c r="G40" s="279">
        <f>'[2]Degree Days 2020'!G40</f>
        <v>0</v>
      </c>
      <c r="H40" s="279">
        <f>'[2]Degree Days 2020'!H40</f>
        <v>-18.3</v>
      </c>
      <c r="I40" s="558">
        <v>31</v>
      </c>
      <c r="J40" s="279">
        <f>'[1]Degree Days 2018'!J40</f>
        <v>30</v>
      </c>
      <c r="K40" s="279">
        <f>'[1]Degree Days 2018'!K40</f>
        <v>18</v>
      </c>
      <c r="L40" s="120">
        <f t="shared" si="0"/>
        <v>5.6999999999999993</v>
      </c>
      <c r="M40" s="279"/>
      <c r="N40" s="279"/>
      <c r="O40" s="279"/>
      <c r="P40" s="120">
        <f t="shared" si="1"/>
        <v>-18.3</v>
      </c>
      <c r="Q40" s="558">
        <v>31</v>
      </c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-36.300000000000011</v>
      </c>
      <c r="O43" s="120">
        <f>SUMIF(P10:P40,"&gt;0")</f>
        <v>27.999999999999989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4">(B48+C48)/2-18.3</f>
        <v>-18.3</v>
      </c>
      <c r="E48" s="118">
        <v>1</v>
      </c>
      <c r="F48" s="279"/>
      <c r="G48" s="279"/>
      <c r="H48" s="120">
        <f t="shared" ref="H48:H78" si="5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6">(V48+W48)/2-18.3</f>
        <v>-18.3</v>
      </c>
    </row>
    <row r="49" spans="1:24">
      <c r="A49" s="118">
        <v>2</v>
      </c>
      <c r="B49" s="279"/>
      <c r="C49" s="279"/>
      <c r="D49" s="120">
        <f t="shared" si="4"/>
        <v>-18.3</v>
      </c>
      <c r="E49" s="118">
        <v>2</v>
      </c>
      <c r="F49" s="279"/>
      <c r="G49" s="279"/>
      <c r="H49" s="120">
        <f t="shared" si="5"/>
        <v>-18.3</v>
      </c>
      <c r="I49" s="118">
        <v>2</v>
      </c>
      <c r="J49" s="279"/>
      <c r="K49" s="279"/>
      <c r="L49" s="120">
        <f t="shared" ref="L49:L77" si="7">(J49+K49)/2-18.3</f>
        <v>-18.3</v>
      </c>
      <c r="M49" s="118">
        <v>2</v>
      </c>
      <c r="N49" s="279"/>
      <c r="O49" s="279"/>
      <c r="P49" s="120">
        <f t="shared" ref="P49:P78" si="8">(N49+O49)/2-18.3</f>
        <v>-18.3</v>
      </c>
      <c r="Q49" s="118">
        <v>2</v>
      </c>
      <c r="R49" s="279"/>
      <c r="S49" s="279"/>
      <c r="T49" s="120">
        <f t="shared" ref="T49:T77" si="9">(R49+S49)/2-18.3</f>
        <v>-18.3</v>
      </c>
      <c r="U49" s="118">
        <v>2</v>
      </c>
      <c r="V49" s="279"/>
      <c r="W49" s="279"/>
      <c r="X49" s="120">
        <f t="shared" si="6"/>
        <v>-18.3</v>
      </c>
    </row>
    <row r="50" spans="1:24">
      <c r="A50" s="118">
        <v>3</v>
      </c>
      <c r="B50" s="279"/>
      <c r="C50" s="279"/>
      <c r="D50" s="120">
        <f t="shared" si="4"/>
        <v>-18.3</v>
      </c>
      <c r="E50" s="118">
        <v>3</v>
      </c>
      <c r="F50" s="279"/>
      <c r="G50" s="279"/>
      <c r="H50" s="120">
        <f t="shared" si="5"/>
        <v>-18.3</v>
      </c>
      <c r="I50" s="118">
        <v>3</v>
      </c>
      <c r="J50" s="279"/>
      <c r="K50" s="279"/>
      <c r="L50" s="120">
        <f t="shared" si="7"/>
        <v>-18.3</v>
      </c>
      <c r="M50" s="118">
        <v>3</v>
      </c>
      <c r="N50" s="279"/>
      <c r="O50" s="279"/>
      <c r="P50" s="120">
        <f t="shared" si="8"/>
        <v>-18.3</v>
      </c>
      <c r="Q50" s="118">
        <v>3</v>
      </c>
      <c r="R50" s="279"/>
      <c r="S50" s="279"/>
      <c r="T50" s="120">
        <f t="shared" si="9"/>
        <v>-18.3</v>
      </c>
      <c r="U50" s="118">
        <v>3</v>
      </c>
      <c r="V50" s="279"/>
      <c r="W50" s="279"/>
      <c r="X50" s="120">
        <f t="shared" si="6"/>
        <v>-18.3</v>
      </c>
    </row>
    <row r="51" spans="1:24">
      <c r="A51" s="118">
        <v>4</v>
      </c>
      <c r="B51" s="279"/>
      <c r="C51" s="279"/>
      <c r="D51" s="120">
        <f t="shared" si="4"/>
        <v>-18.3</v>
      </c>
      <c r="E51" s="118">
        <v>4</v>
      </c>
      <c r="F51" s="279"/>
      <c r="G51" s="279"/>
      <c r="H51" s="120">
        <f t="shared" si="5"/>
        <v>-18.3</v>
      </c>
      <c r="I51" s="118">
        <v>4</v>
      </c>
      <c r="J51" s="279"/>
      <c r="K51" s="279"/>
      <c r="L51" s="120">
        <f t="shared" si="7"/>
        <v>-18.3</v>
      </c>
      <c r="M51" s="118">
        <v>4</v>
      </c>
      <c r="N51" s="279"/>
      <c r="O51" s="279"/>
      <c r="P51" s="120">
        <f t="shared" si="8"/>
        <v>-18.3</v>
      </c>
      <c r="Q51" s="118">
        <v>4</v>
      </c>
      <c r="R51" s="279"/>
      <c r="S51" s="279"/>
      <c r="T51" s="120">
        <f t="shared" si="9"/>
        <v>-18.3</v>
      </c>
      <c r="U51" s="118">
        <v>4</v>
      </c>
      <c r="V51" s="279"/>
      <c r="W51" s="279"/>
      <c r="X51" s="120">
        <f t="shared" si="6"/>
        <v>-18.3</v>
      </c>
    </row>
    <row r="52" spans="1:24">
      <c r="A52" s="118">
        <v>5</v>
      </c>
      <c r="B52" s="279"/>
      <c r="C52" s="279"/>
      <c r="D52" s="120">
        <f t="shared" si="4"/>
        <v>-18.3</v>
      </c>
      <c r="E52" s="118">
        <v>5</v>
      </c>
      <c r="F52" s="279"/>
      <c r="G52" s="279"/>
      <c r="H52" s="120">
        <f t="shared" si="5"/>
        <v>-18.3</v>
      </c>
      <c r="I52" s="118">
        <v>5</v>
      </c>
      <c r="J52" s="279"/>
      <c r="K52" s="279"/>
      <c r="L52" s="120">
        <f t="shared" si="7"/>
        <v>-18.3</v>
      </c>
      <c r="M52" s="118">
        <v>5</v>
      </c>
      <c r="N52" s="279"/>
      <c r="O52" s="279"/>
      <c r="P52" s="120">
        <f t="shared" si="8"/>
        <v>-18.3</v>
      </c>
      <c r="Q52" s="118">
        <v>5</v>
      </c>
      <c r="R52" s="279"/>
      <c r="S52" s="279"/>
      <c r="T52" s="120">
        <f t="shared" si="9"/>
        <v>-18.3</v>
      </c>
      <c r="U52" s="118">
        <v>5</v>
      </c>
      <c r="V52" s="279"/>
      <c r="W52" s="279"/>
      <c r="X52" s="120">
        <f t="shared" si="6"/>
        <v>-18.3</v>
      </c>
    </row>
    <row r="53" spans="1:24">
      <c r="A53" s="118">
        <v>6</v>
      </c>
      <c r="B53" s="279"/>
      <c r="C53" s="279"/>
      <c r="D53" s="120">
        <f t="shared" si="4"/>
        <v>-18.3</v>
      </c>
      <c r="E53" s="118">
        <v>6</v>
      </c>
      <c r="F53" s="279"/>
      <c r="G53" s="279"/>
      <c r="H53" s="120">
        <f t="shared" si="5"/>
        <v>-18.3</v>
      </c>
      <c r="I53" s="118">
        <v>6</v>
      </c>
      <c r="J53" s="279"/>
      <c r="K53" s="279"/>
      <c r="L53" s="120">
        <f t="shared" si="7"/>
        <v>-18.3</v>
      </c>
      <c r="M53" s="118">
        <v>6</v>
      </c>
      <c r="N53" s="279"/>
      <c r="O53" s="279"/>
      <c r="P53" s="120">
        <f t="shared" si="8"/>
        <v>-18.3</v>
      </c>
      <c r="Q53" s="118">
        <v>6</v>
      </c>
      <c r="R53" s="279"/>
      <c r="S53" s="279"/>
      <c r="T53" s="120">
        <f t="shared" si="9"/>
        <v>-18.3</v>
      </c>
      <c r="U53" s="118">
        <v>6</v>
      </c>
      <c r="V53" s="279"/>
      <c r="W53" s="279"/>
      <c r="X53" s="120">
        <f t="shared" si="6"/>
        <v>-18.3</v>
      </c>
    </row>
    <row r="54" spans="1:24">
      <c r="A54" s="118">
        <v>7</v>
      </c>
      <c r="B54" s="279"/>
      <c r="C54" s="279"/>
      <c r="D54" s="120">
        <f t="shared" si="4"/>
        <v>-18.3</v>
      </c>
      <c r="E54" s="118">
        <v>7</v>
      </c>
      <c r="F54" s="279"/>
      <c r="G54" s="279"/>
      <c r="H54" s="120">
        <f t="shared" si="5"/>
        <v>-18.3</v>
      </c>
      <c r="I54" s="118">
        <v>7</v>
      </c>
      <c r="J54" s="279"/>
      <c r="K54" s="279"/>
      <c r="L54" s="120">
        <f t="shared" si="7"/>
        <v>-18.3</v>
      </c>
      <c r="M54" s="118">
        <v>7</v>
      </c>
      <c r="N54" s="279"/>
      <c r="O54" s="279"/>
      <c r="P54" s="120">
        <f t="shared" si="8"/>
        <v>-18.3</v>
      </c>
      <c r="Q54" s="118">
        <v>7</v>
      </c>
      <c r="R54" s="279"/>
      <c r="S54" s="279"/>
      <c r="T54" s="120">
        <f t="shared" si="9"/>
        <v>-18.3</v>
      </c>
      <c r="U54" s="118">
        <v>7</v>
      </c>
      <c r="V54" s="279"/>
      <c r="W54" s="279"/>
      <c r="X54" s="120">
        <f t="shared" si="6"/>
        <v>-18.3</v>
      </c>
    </row>
    <row r="55" spans="1:24">
      <c r="A55" s="118">
        <v>8</v>
      </c>
      <c r="B55" s="279"/>
      <c r="C55" s="279"/>
      <c r="D55" s="120">
        <f t="shared" si="4"/>
        <v>-18.3</v>
      </c>
      <c r="E55" s="118">
        <v>8</v>
      </c>
      <c r="F55" s="279"/>
      <c r="G55" s="279"/>
      <c r="H55" s="120">
        <f t="shared" si="5"/>
        <v>-18.3</v>
      </c>
      <c r="I55" s="118">
        <v>8</v>
      </c>
      <c r="J55" s="279"/>
      <c r="K55" s="279"/>
      <c r="L55" s="120">
        <f t="shared" si="7"/>
        <v>-18.3</v>
      </c>
      <c r="M55" s="118">
        <v>8</v>
      </c>
      <c r="N55" s="279"/>
      <c r="O55" s="279"/>
      <c r="P55" s="120">
        <f t="shared" si="8"/>
        <v>-18.3</v>
      </c>
      <c r="Q55" s="118">
        <v>8</v>
      </c>
      <c r="R55" s="279"/>
      <c r="S55" s="279"/>
      <c r="T55" s="120">
        <f t="shared" si="9"/>
        <v>-18.3</v>
      </c>
      <c r="U55" s="118">
        <v>8</v>
      </c>
      <c r="V55" s="279"/>
      <c r="W55" s="279"/>
      <c r="X55" s="120">
        <f t="shared" si="6"/>
        <v>-18.3</v>
      </c>
    </row>
    <row r="56" spans="1:24">
      <c r="A56" s="118">
        <v>9</v>
      </c>
      <c r="B56" s="279"/>
      <c r="C56" s="279"/>
      <c r="D56" s="120">
        <f t="shared" si="4"/>
        <v>-18.3</v>
      </c>
      <c r="E56" s="118">
        <v>9</v>
      </c>
      <c r="F56" s="279"/>
      <c r="G56" s="279"/>
      <c r="H56" s="120">
        <f t="shared" si="5"/>
        <v>-18.3</v>
      </c>
      <c r="I56" s="118">
        <v>9</v>
      </c>
      <c r="J56" s="279"/>
      <c r="K56" s="279"/>
      <c r="L56" s="120">
        <f t="shared" si="7"/>
        <v>-18.3</v>
      </c>
      <c r="M56" s="118">
        <v>9</v>
      </c>
      <c r="N56" s="279"/>
      <c r="O56" s="279"/>
      <c r="P56" s="120">
        <f t="shared" si="8"/>
        <v>-18.3</v>
      </c>
      <c r="Q56" s="118">
        <v>9</v>
      </c>
      <c r="R56" s="279"/>
      <c r="S56" s="279"/>
      <c r="T56" s="120">
        <f t="shared" si="9"/>
        <v>-18.3</v>
      </c>
      <c r="U56" s="118">
        <v>9</v>
      </c>
      <c r="V56" s="279"/>
      <c r="W56" s="279"/>
      <c r="X56" s="120">
        <f t="shared" si="6"/>
        <v>-18.3</v>
      </c>
    </row>
    <row r="57" spans="1:24">
      <c r="A57" s="118">
        <v>10</v>
      </c>
      <c r="B57" s="279"/>
      <c r="C57" s="279"/>
      <c r="D57" s="120">
        <f t="shared" ref="D57:D78" si="10">(B57+C57)/2-18.3</f>
        <v>-18.3</v>
      </c>
      <c r="E57" s="118">
        <v>10</v>
      </c>
      <c r="F57" s="279"/>
      <c r="G57" s="279"/>
      <c r="H57" s="120">
        <f t="shared" si="5"/>
        <v>-18.3</v>
      </c>
      <c r="I57" s="118">
        <v>10</v>
      </c>
      <c r="J57" s="279"/>
      <c r="K57" s="279"/>
      <c r="L57" s="120">
        <f t="shared" si="7"/>
        <v>-18.3</v>
      </c>
      <c r="M57" s="118">
        <v>10</v>
      </c>
      <c r="N57" s="279"/>
      <c r="O57" s="279"/>
      <c r="P57" s="120">
        <f t="shared" si="8"/>
        <v>-18.3</v>
      </c>
      <c r="Q57" s="118">
        <v>10</v>
      </c>
      <c r="R57" s="279"/>
      <c r="S57" s="279"/>
      <c r="T57" s="120">
        <f t="shared" si="9"/>
        <v>-18.3</v>
      </c>
      <c r="U57" s="118">
        <v>10</v>
      </c>
      <c r="V57" s="279"/>
      <c r="W57" s="279"/>
      <c r="X57" s="120">
        <f t="shared" si="6"/>
        <v>-18.3</v>
      </c>
    </row>
    <row r="58" spans="1:24">
      <c r="A58" s="118">
        <v>11</v>
      </c>
      <c r="B58" s="279"/>
      <c r="C58" s="279"/>
      <c r="D58" s="120">
        <f t="shared" si="10"/>
        <v>-18.3</v>
      </c>
      <c r="E58" s="118">
        <v>11</v>
      </c>
      <c r="F58" s="279"/>
      <c r="G58" s="279"/>
      <c r="H58" s="120">
        <f t="shared" si="5"/>
        <v>-18.3</v>
      </c>
      <c r="I58" s="118">
        <v>11</v>
      </c>
      <c r="J58" s="279"/>
      <c r="K58" s="279"/>
      <c r="L58" s="120">
        <f t="shared" si="7"/>
        <v>-18.3</v>
      </c>
      <c r="M58" s="118">
        <v>11</v>
      </c>
      <c r="N58" s="279"/>
      <c r="O58" s="279"/>
      <c r="P58" s="120">
        <f t="shared" si="8"/>
        <v>-18.3</v>
      </c>
      <c r="Q58" s="118">
        <v>11</v>
      </c>
      <c r="R58" s="279"/>
      <c r="S58" s="279"/>
      <c r="T58" s="120">
        <f t="shared" si="9"/>
        <v>-18.3</v>
      </c>
      <c r="U58" s="118">
        <v>11</v>
      </c>
      <c r="V58" s="279"/>
      <c r="W58" s="279"/>
      <c r="X58" s="120">
        <f t="shared" si="6"/>
        <v>-18.3</v>
      </c>
    </row>
    <row r="59" spans="1:24">
      <c r="A59" s="118">
        <v>12</v>
      </c>
      <c r="B59" s="279"/>
      <c r="C59" s="279"/>
      <c r="D59" s="120">
        <f t="shared" si="10"/>
        <v>-18.3</v>
      </c>
      <c r="E59" s="118">
        <v>12</v>
      </c>
      <c r="F59" s="279"/>
      <c r="G59" s="279"/>
      <c r="H59" s="120">
        <f t="shared" si="5"/>
        <v>-18.3</v>
      </c>
      <c r="I59" s="118">
        <v>12</v>
      </c>
      <c r="J59" s="279"/>
      <c r="K59" s="279"/>
      <c r="L59" s="120">
        <f t="shared" si="7"/>
        <v>-18.3</v>
      </c>
      <c r="M59" s="118">
        <v>12</v>
      </c>
      <c r="N59" s="279"/>
      <c r="O59" s="279"/>
      <c r="P59" s="120">
        <f t="shared" si="8"/>
        <v>-18.3</v>
      </c>
      <c r="Q59" s="118">
        <v>12</v>
      </c>
      <c r="R59" s="279"/>
      <c r="S59" s="279"/>
      <c r="T59" s="120">
        <f t="shared" si="9"/>
        <v>-18.3</v>
      </c>
      <c r="U59" s="118">
        <v>12</v>
      </c>
      <c r="V59" s="279"/>
      <c r="W59" s="279"/>
      <c r="X59" s="120">
        <f t="shared" si="6"/>
        <v>-18.3</v>
      </c>
    </row>
    <row r="60" spans="1:24">
      <c r="A60" s="118">
        <v>13</v>
      </c>
      <c r="B60" s="279"/>
      <c r="C60" s="279"/>
      <c r="D60" s="120">
        <f t="shared" si="10"/>
        <v>-18.3</v>
      </c>
      <c r="E60" s="118">
        <v>13</v>
      </c>
      <c r="F60" s="279"/>
      <c r="G60" s="279"/>
      <c r="H60" s="120">
        <f t="shared" si="5"/>
        <v>-18.3</v>
      </c>
      <c r="I60" s="118">
        <v>13</v>
      </c>
      <c r="J60" s="279"/>
      <c r="K60" s="279"/>
      <c r="L60" s="120">
        <f t="shared" si="7"/>
        <v>-18.3</v>
      </c>
      <c r="M60" s="118">
        <v>13</v>
      </c>
      <c r="N60" s="279"/>
      <c r="O60" s="279"/>
      <c r="P60" s="120">
        <f t="shared" si="8"/>
        <v>-18.3</v>
      </c>
      <c r="Q60" s="118">
        <v>13</v>
      </c>
      <c r="R60" s="279"/>
      <c r="S60" s="279"/>
      <c r="T60" s="120">
        <f t="shared" si="9"/>
        <v>-18.3</v>
      </c>
      <c r="U60" s="118">
        <v>13</v>
      </c>
      <c r="V60" s="279"/>
      <c r="W60" s="279"/>
      <c r="X60" s="120">
        <f t="shared" si="6"/>
        <v>-18.3</v>
      </c>
    </row>
    <row r="61" spans="1:24">
      <c r="A61" s="118">
        <v>14</v>
      </c>
      <c r="B61" s="279"/>
      <c r="C61" s="279"/>
      <c r="D61" s="120">
        <f t="shared" si="10"/>
        <v>-18.3</v>
      </c>
      <c r="E61" s="118">
        <v>14</v>
      </c>
      <c r="F61" s="279"/>
      <c r="G61" s="279"/>
      <c r="H61" s="120">
        <f t="shared" si="5"/>
        <v>-18.3</v>
      </c>
      <c r="I61" s="118">
        <v>14</v>
      </c>
      <c r="J61" s="279"/>
      <c r="K61" s="279"/>
      <c r="L61" s="120">
        <f t="shared" si="7"/>
        <v>-18.3</v>
      </c>
      <c r="M61" s="118">
        <v>14</v>
      </c>
      <c r="N61" s="279"/>
      <c r="O61" s="279"/>
      <c r="P61" s="120">
        <f t="shared" si="8"/>
        <v>-18.3</v>
      </c>
      <c r="Q61" s="118">
        <v>14</v>
      </c>
      <c r="R61" s="279"/>
      <c r="S61" s="279"/>
      <c r="T61" s="120">
        <f t="shared" si="9"/>
        <v>-18.3</v>
      </c>
      <c r="U61" s="118">
        <v>14</v>
      </c>
      <c r="V61" s="279"/>
      <c r="W61" s="279"/>
      <c r="X61" s="120">
        <f t="shared" si="6"/>
        <v>-18.3</v>
      </c>
    </row>
    <row r="62" spans="1:24">
      <c r="A62" s="118">
        <v>15</v>
      </c>
      <c r="B62" s="279"/>
      <c r="C62" s="279"/>
      <c r="D62" s="120">
        <f t="shared" si="10"/>
        <v>-18.3</v>
      </c>
      <c r="E62" s="118">
        <v>15</v>
      </c>
      <c r="F62" s="279"/>
      <c r="G62" s="279"/>
      <c r="H62" s="120">
        <f t="shared" si="5"/>
        <v>-18.3</v>
      </c>
      <c r="I62" s="118">
        <v>15</v>
      </c>
      <c r="J62" s="279"/>
      <c r="K62" s="279"/>
      <c r="L62" s="120">
        <f t="shared" si="7"/>
        <v>-18.3</v>
      </c>
      <c r="M62" s="118">
        <v>15</v>
      </c>
      <c r="N62" s="279"/>
      <c r="O62" s="279"/>
      <c r="P62" s="120">
        <f t="shared" si="8"/>
        <v>-18.3</v>
      </c>
      <c r="Q62" s="118">
        <v>15</v>
      </c>
      <c r="R62" s="279"/>
      <c r="S62" s="279"/>
      <c r="T62" s="120">
        <f t="shared" si="9"/>
        <v>-18.3</v>
      </c>
      <c r="U62" s="118">
        <v>15</v>
      </c>
      <c r="V62" s="279"/>
      <c r="W62" s="279"/>
      <c r="X62" s="120">
        <f t="shared" si="6"/>
        <v>-18.3</v>
      </c>
    </row>
    <row r="63" spans="1:24">
      <c r="A63" s="118">
        <v>16</v>
      </c>
      <c r="B63" s="279"/>
      <c r="C63" s="279"/>
      <c r="D63" s="120">
        <f t="shared" si="10"/>
        <v>-18.3</v>
      </c>
      <c r="E63" s="118">
        <v>16</v>
      </c>
      <c r="F63" s="279"/>
      <c r="G63" s="279"/>
      <c r="H63" s="120">
        <f t="shared" si="5"/>
        <v>-18.3</v>
      </c>
      <c r="I63" s="118">
        <v>16</v>
      </c>
      <c r="J63" s="279"/>
      <c r="K63" s="279"/>
      <c r="L63" s="120">
        <f t="shared" si="7"/>
        <v>-18.3</v>
      </c>
      <c r="M63" s="118">
        <v>16</v>
      </c>
      <c r="N63" s="279"/>
      <c r="O63" s="279"/>
      <c r="P63" s="120">
        <f t="shared" si="8"/>
        <v>-18.3</v>
      </c>
      <c r="Q63" s="118">
        <v>16</v>
      </c>
      <c r="R63" s="279"/>
      <c r="S63" s="279"/>
      <c r="T63" s="120">
        <f t="shared" si="9"/>
        <v>-18.3</v>
      </c>
      <c r="U63" s="118">
        <v>16</v>
      </c>
      <c r="V63" s="279"/>
      <c r="W63" s="279"/>
      <c r="X63" s="120">
        <f t="shared" si="6"/>
        <v>-18.3</v>
      </c>
    </row>
    <row r="64" spans="1:24">
      <c r="A64" s="118">
        <v>17</v>
      </c>
      <c r="B64" s="279"/>
      <c r="C64" s="279"/>
      <c r="D64" s="120">
        <f t="shared" si="10"/>
        <v>-18.3</v>
      </c>
      <c r="E64" s="118">
        <v>17</v>
      </c>
      <c r="F64" s="279"/>
      <c r="G64" s="279"/>
      <c r="H64" s="120">
        <f t="shared" si="5"/>
        <v>-18.3</v>
      </c>
      <c r="I64" s="118">
        <v>17</v>
      </c>
      <c r="J64" s="279"/>
      <c r="K64" s="279"/>
      <c r="L64" s="120">
        <f t="shared" si="7"/>
        <v>-18.3</v>
      </c>
      <c r="M64" s="118">
        <v>17</v>
      </c>
      <c r="N64" s="279"/>
      <c r="O64" s="279"/>
      <c r="P64" s="120">
        <f t="shared" si="8"/>
        <v>-18.3</v>
      </c>
      <c r="Q64" s="118">
        <v>17</v>
      </c>
      <c r="R64" s="279"/>
      <c r="S64" s="279"/>
      <c r="T64" s="120">
        <f t="shared" si="9"/>
        <v>-18.3</v>
      </c>
      <c r="U64" s="118">
        <v>17</v>
      </c>
      <c r="V64" s="279"/>
      <c r="W64" s="279"/>
      <c r="X64" s="120">
        <f t="shared" si="6"/>
        <v>-18.3</v>
      </c>
    </row>
    <row r="65" spans="1:24">
      <c r="A65" s="118">
        <v>18</v>
      </c>
      <c r="B65" s="279"/>
      <c r="C65" s="279"/>
      <c r="D65" s="120">
        <f t="shared" si="10"/>
        <v>-18.3</v>
      </c>
      <c r="E65" s="118">
        <v>18</v>
      </c>
      <c r="F65" s="279"/>
      <c r="G65" s="279"/>
      <c r="H65" s="120">
        <f t="shared" si="5"/>
        <v>-18.3</v>
      </c>
      <c r="I65" s="118">
        <v>18</v>
      </c>
      <c r="J65" s="279"/>
      <c r="K65" s="279"/>
      <c r="L65" s="120">
        <f t="shared" si="7"/>
        <v>-18.3</v>
      </c>
      <c r="M65" s="118">
        <v>18</v>
      </c>
      <c r="N65" s="279"/>
      <c r="O65" s="279"/>
      <c r="P65" s="120">
        <f t="shared" si="8"/>
        <v>-18.3</v>
      </c>
      <c r="Q65" s="118">
        <v>18</v>
      </c>
      <c r="R65" s="279"/>
      <c r="S65" s="279"/>
      <c r="T65" s="120">
        <f t="shared" si="9"/>
        <v>-18.3</v>
      </c>
      <c r="U65" s="118">
        <v>18</v>
      </c>
      <c r="V65" s="279"/>
      <c r="W65" s="279"/>
      <c r="X65" s="120">
        <f t="shared" si="6"/>
        <v>-18.3</v>
      </c>
    </row>
    <row r="66" spans="1:24">
      <c r="A66" s="118">
        <v>19</v>
      </c>
      <c r="B66" s="279"/>
      <c r="C66" s="279"/>
      <c r="D66" s="120">
        <f t="shared" si="10"/>
        <v>-18.3</v>
      </c>
      <c r="E66" s="118">
        <v>19</v>
      </c>
      <c r="F66" s="279"/>
      <c r="G66" s="279"/>
      <c r="H66" s="120">
        <f t="shared" si="5"/>
        <v>-18.3</v>
      </c>
      <c r="I66" s="118">
        <v>19</v>
      </c>
      <c r="J66" s="279"/>
      <c r="K66" s="279"/>
      <c r="L66" s="120">
        <f t="shared" si="7"/>
        <v>-18.3</v>
      </c>
      <c r="M66" s="118">
        <v>19</v>
      </c>
      <c r="N66" s="279"/>
      <c r="O66" s="279"/>
      <c r="P66" s="120">
        <f t="shared" si="8"/>
        <v>-18.3</v>
      </c>
      <c r="Q66" s="118">
        <v>19</v>
      </c>
      <c r="R66" s="279"/>
      <c r="S66" s="279"/>
      <c r="T66" s="120">
        <f t="shared" si="9"/>
        <v>-18.3</v>
      </c>
      <c r="U66" s="118">
        <v>19</v>
      </c>
      <c r="V66" s="279"/>
      <c r="W66" s="279"/>
      <c r="X66" s="120">
        <f t="shared" si="6"/>
        <v>-18.3</v>
      </c>
    </row>
    <row r="67" spans="1:24">
      <c r="A67" s="118">
        <v>20</v>
      </c>
      <c r="B67" s="279"/>
      <c r="C67" s="279"/>
      <c r="D67" s="120">
        <f t="shared" si="10"/>
        <v>-18.3</v>
      </c>
      <c r="E67" s="118">
        <v>20</v>
      </c>
      <c r="F67" s="279"/>
      <c r="G67" s="279"/>
      <c r="H67" s="120">
        <f t="shared" si="5"/>
        <v>-18.3</v>
      </c>
      <c r="I67" s="118">
        <v>20</v>
      </c>
      <c r="J67" s="279"/>
      <c r="K67" s="279"/>
      <c r="L67" s="120">
        <f t="shared" si="7"/>
        <v>-18.3</v>
      </c>
      <c r="M67" s="118">
        <v>20</v>
      </c>
      <c r="N67" s="279"/>
      <c r="O67" s="279"/>
      <c r="P67" s="120">
        <f t="shared" si="8"/>
        <v>-18.3</v>
      </c>
      <c r="Q67" s="118">
        <v>20</v>
      </c>
      <c r="R67" s="279"/>
      <c r="S67" s="279"/>
      <c r="T67" s="120">
        <f t="shared" si="9"/>
        <v>-18.3</v>
      </c>
      <c r="U67" s="118">
        <v>20</v>
      </c>
      <c r="V67" s="279"/>
      <c r="W67" s="279"/>
      <c r="X67" s="120">
        <f t="shared" si="6"/>
        <v>-18.3</v>
      </c>
    </row>
    <row r="68" spans="1:24">
      <c r="A68" s="118">
        <v>21</v>
      </c>
      <c r="B68" s="279"/>
      <c r="C68" s="279"/>
      <c r="D68" s="120">
        <f t="shared" si="10"/>
        <v>-18.3</v>
      </c>
      <c r="E68" s="118">
        <v>21</v>
      </c>
      <c r="F68" s="279"/>
      <c r="G68" s="279"/>
      <c r="H68" s="120">
        <f t="shared" si="5"/>
        <v>-18.3</v>
      </c>
      <c r="I68" s="118">
        <v>21</v>
      </c>
      <c r="J68" s="279"/>
      <c r="K68" s="279"/>
      <c r="L68" s="120">
        <f t="shared" si="7"/>
        <v>-18.3</v>
      </c>
      <c r="M68" s="118">
        <v>21</v>
      </c>
      <c r="N68" s="279"/>
      <c r="O68" s="279"/>
      <c r="P68" s="120">
        <f t="shared" si="8"/>
        <v>-18.3</v>
      </c>
      <c r="Q68" s="118">
        <v>21</v>
      </c>
      <c r="R68" s="279"/>
      <c r="S68" s="279"/>
      <c r="T68" s="120">
        <f t="shared" si="9"/>
        <v>-18.3</v>
      </c>
      <c r="U68" s="118">
        <v>21</v>
      </c>
      <c r="V68" s="279"/>
      <c r="W68" s="279"/>
      <c r="X68" s="120">
        <f t="shared" si="6"/>
        <v>-18.3</v>
      </c>
    </row>
    <row r="69" spans="1:24">
      <c r="A69" s="118">
        <v>22</v>
      </c>
      <c r="B69" s="279"/>
      <c r="C69" s="279"/>
      <c r="D69" s="120">
        <f t="shared" si="10"/>
        <v>-18.3</v>
      </c>
      <c r="E69" s="118">
        <v>22</v>
      </c>
      <c r="F69" s="279"/>
      <c r="G69" s="279"/>
      <c r="H69" s="120">
        <f t="shared" si="5"/>
        <v>-18.3</v>
      </c>
      <c r="I69" s="118">
        <v>22</v>
      </c>
      <c r="J69" s="279"/>
      <c r="K69" s="279"/>
      <c r="L69" s="120">
        <f t="shared" si="7"/>
        <v>-18.3</v>
      </c>
      <c r="M69" s="118">
        <v>22</v>
      </c>
      <c r="N69" s="279"/>
      <c r="O69" s="279"/>
      <c r="P69" s="120">
        <f t="shared" si="8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6"/>
        <v>-18.3</v>
      </c>
    </row>
    <row r="70" spans="1:24">
      <c r="A70" s="118">
        <v>23</v>
      </c>
      <c r="B70" s="279"/>
      <c r="C70" s="279"/>
      <c r="D70" s="120">
        <f t="shared" si="10"/>
        <v>-18.3</v>
      </c>
      <c r="E70" s="118">
        <v>23</v>
      </c>
      <c r="F70" s="279"/>
      <c r="G70" s="279"/>
      <c r="H70" s="120">
        <f t="shared" si="5"/>
        <v>-18.3</v>
      </c>
      <c r="I70" s="118">
        <v>23</v>
      </c>
      <c r="J70" s="279"/>
      <c r="K70" s="279"/>
      <c r="L70" s="120">
        <f t="shared" si="7"/>
        <v>-18.3</v>
      </c>
      <c r="M70" s="118">
        <v>23</v>
      </c>
      <c r="N70" s="279"/>
      <c r="O70" s="279"/>
      <c r="P70" s="120">
        <f t="shared" si="8"/>
        <v>-18.3</v>
      </c>
      <c r="Q70" s="118">
        <v>23</v>
      </c>
      <c r="R70" s="279"/>
      <c r="S70" s="279"/>
      <c r="T70" s="120">
        <f t="shared" si="9"/>
        <v>-18.3</v>
      </c>
      <c r="U70" s="118">
        <v>23</v>
      </c>
      <c r="V70" s="279"/>
      <c r="W70" s="279"/>
      <c r="X70" s="120">
        <f t="shared" si="6"/>
        <v>-18.3</v>
      </c>
    </row>
    <row r="71" spans="1:24">
      <c r="A71" s="118">
        <v>24</v>
      </c>
      <c r="B71" s="279"/>
      <c r="C71" s="279"/>
      <c r="D71" s="120">
        <f t="shared" si="10"/>
        <v>-18.3</v>
      </c>
      <c r="E71" s="118">
        <v>24</v>
      </c>
      <c r="F71" s="279"/>
      <c r="G71" s="279"/>
      <c r="H71" s="120">
        <f t="shared" si="5"/>
        <v>-18.3</v>
      </c>
      <c r="I71" s="118">
        <v>24</v>
      </c>
      <c r="J71" s="279"/>
      <c r="K71" s="279"/>
      <c r="L71" s="120">
        <f t="shared" si="7"/>
        <v>-18.3</v>
      </c>
      <c r="M71" s="118">
        <v>24</v>
      </c>
      <c r="N71" s="279"/>
      <c r="O71" s="279"/>
      <c r="P71" s="120">
        <f t="shared" si="8"/>
        <v>-18.3</v>
      </c>
      <c r="Q71" s="118">
        <v>24</v>
      </c>
      <c r="R71" s="279"/>
      <c r="S71" s="279"/>
      <c r="T71" s="120">
        <f t="shared" si="9"/>
        <v>-18.3</v>
      </c>
      <c r="U71" s="118">
        <v>24</v>
      </c>
      <c r="V71" s="279"/>
      <c r="W71" s="279"/>
      <c r="X71" s="120">
        <f t="shared" si="6"/>
        <v>-18.3</v>
      </c>
    </row>
    <row r="72" spans="1:24">
      <c r="A72" s="118">
        <v>25</v>
      </c>
      <c r="B72" s="279"/>
      <c r="C72" s="279"/>
      <c r="D72" s="120">
        <f t="shared" si="10"/>
        <v>-18.3</v>
      </c>
      <c r="E72" s="118">
        <v>25</v>
      </c>
      <c r="F72" s="279"/>
      <c r="G72" s="279"/>
      <c r="H72" s="120">
        <f t="shared" si="5"/>
        <v>-18.3</v>
      </c>
      <c r="I72" s="118">
        <v>25</v>
      </c>
      <c r="J72" s="279"/>
      <c r="K72" s="279"/>
      <c r="L72" s="120">
        <f t="shared" si="7"/>
        <v>-18.3</v>
      </c>
      <c r="M72" s="118">
        <v>25</v>
      </c>
      <c r="N72" s="279"/>
      <c r="O72" s="279"/>
      <c r="P72" s="120">
        <f t="shared" si="8"/>
        <v>-18.3</v>
      </c>
      <c r="Q72" s="118">
        <v>25</v>
      </c>
      <c r="R72" s="279"/>
      <c r="S72" s="279"/>
      <c r="T72" s="120">
        <f t="shared" si="9"/>
        <v>-18.3</v>
      </c>
      <c r="U72" s="118">
        <v>25</v>
      </c>
      <c r="V72" s="279"/>
      <c r="W72" s="279"/>
      <c r="X72" s="120">
        <f t="shared" si="6"/>
        <v>-18.3</v>
      </c>
    </row>
    <row r="73" spans="1:24">
      <c r="A73" s="118">
        <v>26</v>
      </c>
      <c r="B73" s="279"/>
      <c r="C73" s="279"/>
      <c r="D73" s="120">
        <f t="shared" si="10"/>
        <v>-18.3</v>
      </c>
      <c r="E73" s="118">
        <v>26</v>
      </c>
      <c r="F73" s="279"/>
      <c r="G73" s="279"/>
      <c r="H73" s="120">
        <f t="shared" si="5"/>
        <v>-18.3</v>
      </c>
      <c r="I73" s="118">
        <v>26</v>
      </c>
      <c r="J73" s="279"/>
      <c r="K73" s="279"/>
      <c r="L73" s="120">
        <f t="shared" si="7"/>
        <v>-18.3</v>
      </c>
      <c r="M73" s="118">
        <v>26</v>
      </c>
      <c r="N73" s="279"/>
      <c r="O73" s="279"/>
      <c r="P73" s="120">
        <f t="shared" si="8"/>
        <v>-18.3</v>
      </c>
      <c r="Q73" s="118">
        <v>26</v>
      </c>
      <c r="R73" s="279"/>
      <c r="S73" s="279"/>
      <c r="T73" s="120">
        <f t="shared" si="9"/>
        <v>-18.3</v>
      </c>
      <c r="U73" s="118">
        <v>26</v>
      </c>
      <c r="V73" s="279"/>
      <c r="W73" s="279"/>
      <c r="X73" s="120">
        <f t="shared" si="6"/>
        <v>-18.3</v>
      </c>
    </row>
    <row r="74" spans="1:24">
      <c r="A74" s="118">
        <v>27</v>
      </c>
      <c r="B74" s="279"/>
      <c r="C74" s="279"/>
      <c r="D74" s="120">
        <f t="shared" si="10"/>
        <v>-18.3</v>
      </c>
      <c r="E74" s="118">
        <v>27</v>
      </c>
      <c r="F74" s="279"/>
      <c r="G74" s="279"/>
      <c r="H74" s="120">
        <f t="shared" si="5"/>
        <v>-18.3</v>
      </c>
      <c r="I74" s="118">
        <v>27</v>
      </c>
      <c r="J74" s="279"/>
      <c r="K74" s="279"/>
      <c r="L74" s="120">
        <f t="shared" si="7"/>
        <v>-18.3</v>
      </c>
      <c r="M74" s="118">
        <v>27</v>
      </c>
      <c r="N74" s="279"/>
      <c r="O74" s="279"/>
      <c r="P74" s="120">
        <f t="shared" si="8"/>
        <v>-18.3</v>
      </c>
      <c r="Q74" s="118">
        <v>27</v>
      </c>
      <c r="R74" s="279"/>
      <c r="S74" s="279"/>
      <c r="T74" s="120">
        <f t="shared" si="9"/>
        <v>-18.3</v>
      </c>
      <c r="U74" s="118">
        <v>27</v>
      </c>
      <c r="V74" s="279"/>
      <c r="W74" s="279"/>
      <c r="X74" s="120">
        <f t="shared" si="6"/>
        <v>-18.3</v>
      </c>
    </row>
    <row r="75" spans="1:24">
      <c r="A75" s="118">
        <v>28</v>
      </c>
      <c r="B75" s="279"/>
      <c r="C75" s="279"/>
      <c r="D75" s="120">
        <f t="shared" si="10"/>
        <v>-18.3</v>
      </c>
      <c r="E75" s="118">
        <v>28</v>
      </c>
      <c r="F75" s="279"/>
      <c r="G75" s="279"/>
      <c r="H75" s="120">
        <f t="shared" si="5"/>
        <v>-18.3</v>
      </c>
      <c r="I75" s="118">
        <v>28</v>
      </c>
      <c r="J75" s="279"/>
      <c r="K75" s="279"/>
      <c r="L75" s="120">
        <f t="shared" si="7"/>
        <v>-18.3</v>
      </c>
      <c r="M75" s="118">
        <v>28</v>
      </c>
      <c r="N75" s="279"/>
      <c r="O75" s="279"/>
      <c r="P75" s="120">
        <f t="shared" si="8"/>
        <v>-18.3</v>
      </c>
      <c r="Q75" s="118">
        <v>28</v>
      </c>
      <c r="R75" s="279"/>
      <c r="S75" s="279"/>
      <c r="T75" s="120">
        <f t="shared" si="9"/>
        <v>-18.3</v>
      </c>
      <c r="U75" s="118">
        <v>28</v>
      </c>
      <c r="V75" s="279"/>
      <c r="W75" s="279"/>
      <c r="X75" s="120">
        <f t="shared" si="6"/>
        <v>-18.3</v>
      </c>
    </row>
    <row r="76" spans="1:24">
      <c r="A76" s="118">
        <v>29</v>
      </c>
      <c r="B76" s="279"/>
      <c r="C76" s="279"/>
      <c r="D76" s="120">
        <f t="shared" si="10"/>
        <v>-18.3</v>
      </c>
      <c r="E76" s="118">
        <v>29</v>
      </c>
      <c r="F76" s="279"/>
      <c r="G76" s="279"/>
      <c r="H76" s="120">
        <f t="shared" si="5"/>
        <v>-18.3</v>
      </c>
      <c r="I76" s="118">
        <v>29</v>
      </c>
      <c r="J76" s="279"/>
      <c r="K76" s="279"/>
      <c r="L76" s="120">
        <f t="shared" si="7"/>
        <v>-18.3</v>
      </c>
      <c r="M76" s="118">
        <v>29</v>
      </c>
      <c r="N76" s="279"/>
      <c r="O76" s="279"/>
      <c r="P76" s="120">
        <f t="shared" si="8"/>
        <v>-18.3</v>
      </c>
      <c r="Q76" s="118">
        <v>29</v>
      </c>
      <c r="R76" s="279"/>
      <c r="S76" s="279"/>
      <c r="T76" s="120">
        <f t="shared" si="9"/>
        <v>-18.3</v>
      </c>
      <c r="U76" s="118">
        <v>29</v>
      </c>
      <c r="V76" s="279"/>
      <c r="W76" s="279"/>
      <c r="X76" s="120">
        <f t="shared" si="6"/>
        <v>-18.3</v>
      </c>
    </row>
    <row r="77" spans="1:24">
      <c r="A77" s="118">
        <v>30</v>
      </c>
      <c r="B77" s="279"/>
      <c r="C77" s="279"/>
      <c r="D77" s="120">
        <f t="shared" si="10"/>
        <v>-18.3</v>
      </c>
      <c r="E77" s="118">
        <v>30</v>
      </c>
      <c r="F77" s="279"/>
      <c r="G77" s="279"/>
      <c r="H77" s="120">
        <f t="shared" si="5"/>
        <v>-18.3</v>
      </c>
      <c r="I77" s="118">
        <v>30</v>
      </c>
      <c r="J77" s="279"/>
      <c r="K77" s="279"/>
      <c r="L77" s="120">
        <f t="shared" si="7"/>
        <v>-18.3</v>
      </c>
      <c r="M77" s="118">
        <v>30</v>
      </c>
      <c r="N77" s="279"/>
      <c r="O77" s="279"/>
      <c r="P77" s="120">
        <f t="shared" si="8"/>
        <v>-18.3</v>
      </c>
      <c r="Q77" s="118">
        <v>30</v>
      </c>
      <c r="R77" s="279"/>
      <c r="S77" s="279"/>
      <c r="T77" s="120">
        <f t="shared" si="9"/>
        <v>-18.3</v>
      </c>
      <c r="U77" s="118">
        <v>30</v>
      </c>
      <c r="V77" s="279"/>
      <c r="W77" s="279"/>
      <c r="X77" s="120">
        <f t="shared" si="6"/>
        <v>-18.3</v>
      </c>
    </row>
    <row r="78" spans="1:24">
      <c r="A78" s="121">
        <v>31</v>
      </c>
      <c r="B78" s="279"/>
      <c r="C78" s="279"/>
      <c r="D78" s="120">
        <f t="shared" si="10"/>
        <v>-18.3</v>
      </c>
      <c r="E78" s="121">
        <v>31</v>
      </c>
      <c r="F78" s="279"/>
      <c r="G78" s="279"/>
      <c r="H78" s="120">
        <f t="shared" si="5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8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77" t="s">
        <v>174</v>
      </c>
      <c r="O84" s="677" t="s">
        <v>175</v>
      </c>
      <c r="P84" s="135"/>
      <c r="T84" s="135"/>
      <c r="X84" s="135"/>
    </row>
    <row r="85" spans="1:24" ht="20.25" thickBot="1">
      <c r="D85" s="135"/>
      <c r="I85" s="679" t="s">
        <v>182</v>
      </c>
      <c r="J85" s="680"/>
      <c r="K85" s="680"/>
      <c r="L85" s="680"/>
      <c r="N85" s="678"/>
      <c r="O85" s="678"/>
      <c r="P85" s="135"/>
      <c r="R85" s="17"/>
      <c r="S85" s="17"/>
      <c r="T85" s="141"/>
      <c r="U85" s="142"/>
      <c r="X85" s="135"/>
    </row>
    <row r="86" spans="1:24" ht="18.75" thickBot="1">
      <c r="D86" s="135"/>
      <c r="I86" s="681" t="s">
        <v>183</v>
      </c>
      <c r="J86" s="681"/>
      <c r="K86" s="681"/>
      <c r="L86" s="681"/>
      <c r="N86" s="143">
        <f>B43+F43+J43+N43+R43+V43+B81+F81+J81+N81+R81+V81</f>
        <v>-3749.3</v>
      </c>
      <c r="O86" s="143">
        <f>C43+G43+K43+O43+S43+W43+C81+G81+K81+O81+S81+W81</f>
        <v>40.199999999999989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71"/>
      <c r="C88" s="671"/>
      <c r="D88" s="671"/>
      <c r="E88" s="671"/>
      <c r="F88" s="671"/>
      <c r="G88" s="671"/>
      <c r="H88" s="671"/>
      <c r="I88" s="671"/>
      <c r="J88" s="671"/>
      <c r="K88" s="671"/>
      <c r="L88" s="671"/>
      <c r="M88" s="671"/>
      <c r="N88" s="671"/>
      <c r="O88" s="671"/>
      <c r="P88" s="671"/>
      <c r="Q88" s="671"/>
      <c r="R88" s="671"/>
      <c r="S88" s="671"/>
      <c r="T88" s="671"/>
      <c r="U88" s="671"/>
      <c r="V88" s="671"/>
      <c r="W88" s="671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I17" sqref="I17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82" t="s">
        <v>216</v>
      </c>
      <c r="B2" s="682"/>
      <c r="C2" s="682"/>
      <c r="D2" s="682"/>
      <c r="E2" s="682"/>
      <c r="F2" s="682"/>
      <c r="G2" s="682"/>
      <c r="H2" s="682"/>
      <c r="I2" s="682"/>
    </row>
    <row r="3" spans="1:11">
      <c r="A3" s="197">
        <v>43891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log'!A35</f>
        <v>30</v>
      </c>
      <c r="G4" s="199">
        <v>30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2"/>
    </row>
    <row r="6" spans="1:11">
      <c r="A6" s="188" t="s">
        <v>217</v>
      </c>
      <c r="B6" s="369">
        <f>WATER!C36</f>
        <v>0</v>
      </c>
      <c r="C6" s="344">
        <f>WATER!E4</f>
        <v>1.66</v>
      </c>
      <c r="D6" s="188">
        <f>SUM(C6*B6)*D4</f>
        <v>0</v>
      </c>
      <c r="E6" s="458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0">
        <f>7700-7500</f>
        <v>200</v>
      </c>
      <c r="J6" s="285"/>
    </row>
    <row r="7" spans="1:11">
      <c r="A7" s="188" t="s">
        <v>218</v>
      </c>
      <c r="B7" s="369">
        <f>WATER!H36</f>
        <v>1340</v>
      </c>
      <c r="C7" s="188">
        <v>7500</v>
      </c>
      <c r="D7" s="191">
        <f>SUM(C7)*D4</f>
        <v>11306250</v>
      </c>
      <c r="E7" s="189">
        <f>SUM(I7/G4)</f>
        <v>250</v>
      </c>
      <c r="F7" s="189">
        <f>SUM(E7*F4)</f>
        <v>7500</v>
      </c>
      <c r="G7" s="537">
        <v>7500</v>
      </c>
      <c r="H7" s="193">
        <f>'[10]Budget 2020'!$E$15</f>
        <v>7500</v>
      </c>
      <c r="I7" s="189">
        <v>7500</v>
      </c>
      <c r="J7" s="285">
        <v>5900</v>
      </c>
      <c r="K7" s="285"/>
    </row>
    <row r="8" spans="1:11">
      <c r="A8" s="194" t="s">
        <v>219</v>
      </c>
      <c r="B8" s="370">
        <f>tanks!AT36</f>
        <v>23015</v>
      </c>
      <c r="C8" s="519">
        <f>SUM(tanks!AU36)</f>
        <v>0.30533349999999998</v>
      </c>
      <c r="D8" s="195">
        <f>SUM(B8*C8)*D4</f>
        <v>10593580.132518748</v>
      </c>
      <c r="E8" s="196">
        <f>SUM(D8/D4/F4)</f>
        <v>234.2416834166666</v>
      </c>
      <c r="F8" s="196">
        <f>SUM(E8*F4)</f>
        <v>7027.2505024999982</v>
      </c>
      <c r="G8" s="537">
        <f>E8*$G$4</f>
        <v>7027.2505024999982</v>
      </c>
      <c r="H8" s="193">
        <f>'[10]Budget 2020'!$E$14</f>
        <v>30305.000000000004</v>
      </c>
      <c r="I8" s="196">
        <v>30000</v>
      </c>
      <c r="J8" s="285">
        <v>38000</v>
      </c>
      <c r="K8" s="285"/>
    </row>
    <row r="9" spans="1:11">
      <c r="A9" s="2" t="s">
        <v>220</v>
      </c>
      <c r="B9" s="371">
        <f>'B5'!AV35</f>
        <v>3700</v>
      </c>
      <c r="C9" s="368">
        <v>0.7</v>
      </c>
      <c r="D9" s="192">
        <f>SUM(B9*C9)*D4</f>
        <v>3904425</v>
      </c>
      <c r="E9" s="193">
        <f>SUM(C9*B9)/F4</f>
        <v>86.333333333333329</v>
      </c>
      <c r="F9" s="193">
        <f>SUM(E9*F4)</f>
        <v>2590</v>
      </c>
      <c r="G9" s="537">
        <f>E9*$G$4</f>
        <v>2590</v>
      </c>
      <c r="H9" s="193">
        <f>'[10]Budget 2020'!$E$13</f>
        <v>4200</v>
      </c>
      <c r="I9" s="193">
        <v>3800</v>
      </c>
      <c r="J9" s="285">
        <v>2500</v>
      </c>
      <c r="K9" s="285"/>
    </row>
    <row r="10" spans="1:11">
      <c r="A10" s="185" t="s">
        <v>221</v>
      </c>
      <c r="B10" s="372"/>
      <c r="C10" s="185"/>
      <c r="D10" s="187">
        <f>SUM('EDl log'!AB31)</f>
        <v>22412557</v>
      </c>
      <c r="E10" s="186">
        <f>SUM(D10/D4/F4)</f>
        <v>495.57892758430074</v>
      </c>
      <c r="F10" s="186">
        <f>SUM(E10*F4)</f>
        <v>14867.367827529022</v>
      </c>
      <c r="G10" s="537">
        <f>E10*$G$4</f>
        <v>14867.367827529022</v>
      </c>
      <c r="H10" s="193">
        <f>'[10]Budget 2020'!$E$12</f>
        <v>21838.59</v>
      </c>
      <c r="I10" s="288">
        <v>24900</v>
      </c>
      <c r="J10" s="285">
        <v>24900</v>
      </c>
      <c r="K10" s="285"/>
    </row>
    <row r="11" spans="1:11">
      <c r="I11" s="285"/>
      <c r="J11" s="285"/>
      <c r="K11" s="285"/>
    </row>
    <row r="12" spans="1:11" ht="42.75" customHeight="1">
      <c r="E12" s="451">
        <f>SUM(E6:E11)</f>
        <v>1066.1539443343006</v>
      </c>
      <c r="F12" s="184">
        <f>SUM(F6:F10)</f>
        <v>31984.618330029021</v>
      </c>
      <c r="G12" s="183">
        <f>SUM(G6:G10)</f>
        <v>31984.618330029021</v>
      </c>
      <c r="H12" s="183">
        <f>SUM(H6:H11)</f>
        <v>63843.59</v>
      </c>
      <c r="I12" s="225">
        <f>SUM(I6:I11)</f>
        <v>66400</v>
      </c>
      <c r="J12" s="285"/>
    </row>
    <row r="13" spans="1:11" ht="30">
      <c r="A13" s="3"/>
      <c r="B13" s="179" t="s">
        <v>227</v>
      </c>
      <c r="C13" s="441" t="s">
        <v>387</v>
      </c>
      <c r="D13" s="441" t="s">
        <v>391</v>
      </c>
      <c r="E13" s="441" t="s">
        <v>388</v>
      </c>
      <c r="F13" s="441" t="s">
        <v>413</v>
      </c>
      <c r="G13" s="443"/>
      <c r="H13" s="17"/>
      <c r="I13" s="17"/>
      <c r="J13" s="17"/>
    </row>
    <row r="14" spans="1:11">
      <c r="A14" s="472" t="s">
        <v>303</v>
      </c>
      <c r="B14" s="98">
        <f>'Degree Days 2018'!AB12</f>
        <v>0</v>
      </c>
      <c r="C14" s="455">
        <f>'[11]Utility Cost '!C14</f>
        <v>0</v>
      </c>
      <c r="D14" s="171"/>
      <c r="E14" s="171">
        <f t="shared" ref="E14:E18" si="0">B14-C14</f>
        <v>0</v>
      </c>
      <c r="F14" s="536">
        <v>0</v>
      </c>
      <c r="G14" s="443"/>
      <c r="H14" s="444">
        <f>SUM(G12-H12)</f>
        <v>-31858.971669970975</v>
      </c>
      <c r="I14" s="444">
        <f>SUM(G12-I12)</f>
        <v>-34415.381669970979</v>
      </c>
    </row>
    <row r="15" spans="1:11">
      <c r="A15" s="472" t="s">
        <v>304</v>
      </c>
      <c r="B15" s="98">
        <f>'Degree Days 2018'!AA12</f>
        <v>-87.799999999999955</v>
      </c>
      <c r="C15" s="455">
        <f>'[11]Utility Cost '!C15</f>
        <v>-87.799999999999955</v>
      </c>
      <c r="D15" s="171"/>
      <c r="E15" s="171">
        <f t="shared" si="0"/>
        <v>0</v>
      </c>
      <c r="F15" s="536">
        <v>0</v>
      </c>
      <c r="G15" s="443"/>
      <c r="H15" s="17"/>
      <c r="I15" s="17"/>
      <c r="J15" s="17"/>
    </row>
    <row r="16" spans="1:11">
      <c r="A16" s="472" t="s">
        <v>305</v>
      </c>
      <c r="B16" s="98">
        <f>'General information '!D37</f>
        <v>18.633333333333333</v>
      </c>
      <c r="C16" s="455">
        <f>'[11]Utility Cost '!C16</f>
        <v>18.116666666666667</v>
      </c>
      <c r="D16" s="455"/>
      <c r="E16" s="456">
        <f t="shared" si="0"/>
        <v>0.51666666666666572</v>
      </c>
      <c r="F16" s="556">
        <v>0</v>
      </c>
      <c r="G16" s="443"/>
      <c r="H16" s="17"/>
      <c r="I16" s="17"/>
      <c r="J16" s="17"/>
    </row>
    <row r="17" spans="1:10">
      <c r="A17" s="548" t="s">
        <v>317</v>
      </c>
      <c r="B17" s="551">
        <f>'General information '!F36</f>
        <v>1.5976666666666663E-2</v>
      </c>
      <c r="C17" s="550">
        <f>'[11]Utility Cost '!$C$17</f>
        <v>0.81745666666666661</v>
      </c>
      <c r="D17" s="502">
        <f>'[12]Water prod Calculation2020'!$F$82</f>
        <v>0.35670000000000002</v>
      </c>
      <c r="E17" s="550">
        <f t="shared" si="0"/>
        <v>-0.80147999999999997</v>
      </c>
      <c r="F17" s="554">
        <f>B17-D17</f>
        <v>-0.34072333333333338</v>
      </c>
      <c r="G17" s="17"/>
      <c r="H17" s="17"/>
      <c r="I17" s="17"/>
      <c r="J17" s="17"/>
    </row>
    <row r="18" spans="1:10">
      <c r="A18" s="549" t="s">
        <v>389</v>
      </c>
      <c r="B18" s="553">
        <f>GEN!Z33</f>
        <v>85.510000000000218</v>
      </c>
      <c r="C18" s="455">
        <f>[11]GEN!$Z$33</f>
        <v>100</v>
      </c>
      <c r="D18" s="453">
        <f>'[12]Other Fuel Calculation 2020'!$E$60</f>
        <v>156</v>
      </c>
      <c r="E18" s="552">
        <f t="shared" si="0"/>
        <v>-14.489999999999782</v>
      </c>
      <c r="F18" s="555">
        <f>B18-D18</f>
        <v>-70.489999999999782</v>
      </c>
    </row>
    <row r="19" spans="1:10">
      <c r="A19" s="549" t="s">
        <v>414</v>
      </c>
      <c r="B19" s="547">
        <f>SUM(B18/$F$4)</f>
        <v>2.8503333333333405</v>
      </c>
      <c r="C19" s="455">
        <f>C18/G4</f>
        <v>3.3333333333333335</v>
      </c>
      <c r="D19" s="454"/>
      <c r="E19" s="454"/>
      <c r="F19" s="53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5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2018</vt:lpstr>
      <vt:lpstr>Utility Cost </vt:lpstr>
      <vt:lpstr>MDB</vt:lpstr>
      <vt:lpstr>Sheet6</vt:lpstr>
      <vt:lpstr>Sheet2</vt:lpstr>
      <vt:lpstr>Sheet7</vt:lpstr>
      <vt:lpstr>Sheet3</vt:lpstr>
      <vt:lpstr>Sheet4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2020-04-18T04:48:19Z</cp:lastPrinted>
  <dcterms:created xsi:type="dcterms:W3CDTF">2015-01-02T09:20:21Z</dcterms:created>
  <dcterms:modified xsi:type="dcterms:W3CDTF">2020-05-02T04:11:33Z</dcterms:modified>
</cp:coreProperties>
</file>