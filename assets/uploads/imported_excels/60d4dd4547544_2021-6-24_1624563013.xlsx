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4" i="7" l="1"/>
  <c r="T24" i="10" l="1"/>
  <c r="X16" i="7" l="1"/>
  <c r="X17" i="7"/>
  <c r="CL10" i="7" l="1"/>
  <c r="F9" i="7" l="1"/>
  <c r="F8" i="7"/>
  <c r="CL9" i="7"/>
  <c r="G25" i="3" l="1"/>
  <c r="G26" i="3"/>
  <c r="G27" i="3"/>
  <c r="G28" i="3"/>
  <c r="G29" i="3"/>
  <c r="G30" i="3"/>
  <c r="G31" i="3"/>
  <c r="G32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I24" i="3" s="1"/>
  <c r="CM27" i="7"/>
  <c r="I25" i="3" s="1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4" i="3" l="1"/>
  <c r="G23" i="3"/>
  <c r="G22" i="3"/>
  <c r="G21" i="3"/>
  <c r="G20" i="3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<sst xmlns="http://schemas.openxmlformats.org/spreadsheetml/2006/main" count="313" uniqueCount="148">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</sst>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8400.0000000001437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58.100000000000364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7729.9999999997808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58.600000000000364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5.7000000000007276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5.4944999999999995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1800.0000000002458</v>
      </c>
      <c r="F23" s="32">
        <f>'FS Desroches Daily'!F25</f>
        <v>2600.0000000001578</v>
      </c>
      <c r="G23" s="31">
        <f>'FS Desroches Daily'!H25</f>
        <v>2699.9999999999245</v>
      </c>
      <c r="H23" s="32">
        <f>'FS Desroches Daily'!J25</f>
        <v>1199.9999999998679</v>
      </c>
      <c r="I23" s="31">
        <f>'FS Desroches Daily'!L25</f>
        <v>1999.9999999997797</v>
      </c>
      <c r="J23" s="32">
        <f>'FS Desroches Daily'!N25</f>
        <v>899.99999999990087</v>
      </c>
      <c r="K23" s="13">
        <f>'FS Desroches Daily'!P25</f>
        <v>8</v>
      </c>
      <c r="L23" s="31">
        <f>'FS Desroches Daily'!R25</f>
        <v>3</v>
      </c>
      <c r="M23" s="31">
        <f>'FS Desroches Daily'!T25</f>
        <v>787.19999999995343</v>
      </c>
      <c r="N23" s="31">
        <f>'FS Desroches Daily'!V25</f>
        <v>278.39999999996508</v>
      </c>
      <c r="O23" s="31">
        <f>'FS Desroches Daily'!X25</f>
        <v>279.99999999997272</v>
      </c>
      <c r="P23" s="31">
        <f>'FS Desroches Daily'!Z25</f>
        <v>2299.9999999999686</v>
      </c>
      <c r="Q23" s="31">
        <f>'FS Desroches Daily'!AB25</f>
        <v>189.99999999999773</v>
      </c>
      <c r="R23" s="31">
        <f>'FS Desroches Daily'!AD25</f>
        <v>269.99999999998181</v>
      </c>
      <c r="S23" s="31">
        <f>'FS Desroches Daily'!AF25</f>
        <v>290.00000000007731</v>
      </c>
      <c r="T23" s="31">
        <f>'FS Desroches Daily'!AH25</f>
        <v>35</v>
      </c>
      <c r="U23" s="35">
        <f>'FS Desroches Daily'!AJ25</f>
        <v>519.99999999998181</v>
      </c>
      <c r="V23" s="35">
        <f>'FS Desroches Daily'!AL25</f>
        <v>180.00000000000682</v>
      </c>
      <c r="W23" s="35">
        <f>'FS Desroches Daily'!AN25</f>
        <v>189.99999999999773</v>
      </c>
      <c r="X23" s="35">
        <f>'FS Desroches Daily'!AP25</f>
        <v>120.00000000000455</v>
      </c>
      <c r="Y23" s="35">
        <f>'FS Desroches Daily'!AR25</f>
        <v>79.999999999984084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40.000000000020464</v>
      </c>
      <c r="AC23" s="35">
        <f>'FS Desroches Daily'!AZ25</f>
        <v>40.000000000020464</v>
      </c>
      <c r="AD23" s="35">
        <f>'FS Desroches Daily'!BB25</f>
        <v>19.99999999998181</v>
      </c>
      <c r="AE23" s="35">
        <f>'FS Desroches Daily'!BD25</f>
        <v>19.99999999998181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19.99999999998181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19.99999999998181</v>
      </c>
      <c r="AL23" s="32">
        <f>'FS Desroches Daily'!BR25</f>
        <v>25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30.000000000001137</v>
      </c>
      <c r="AP23" s="32">
        <f>'FS Desroches Daily'!BZ25</f>
        <v>58</v>
      </c>
      <c r="AQ23" s="31">
        <f>'FS Desroches Daily'!CB25</f>
        <v>48</v>
      </c>
      <c r="AR23" s="31">
        <f>'FS Desroches Daily'!CD25</f>
        <v>6.8999999999996362</v>
      </c>
      <c r="AS23" s="31">
        <f>'FS Desroches Daily'!CF25</f>
        <v>2.3000000000001819</v>
      </c>
      <c r="AT23" s="31">
        <f>'FS Desroches Daily'!CH25</f>
        <v>18.099999999998545</v>
      </c>
      <c r="AU23" s="31">
        <f>'FS Desroches Daily'!CJ25</f>
        <v>280</v>
      </c>
      <c r="AV23" s="31">
        <f>'FS Desroches Daily'!CL25</f>
        <v>799.99999999995453</v>
      </c>
      <c r="AW23" s="31">
        <f>'FS Desroches Daily'!CM25</f>
        <v>58.100000000000364</v>
      </c>
      <c r="AX23" s="31">
        <f>IF(LPG!F30-LPG!F29&lt;0,"0",(LPG!F30-LPG!F29)*1.8315)</f>
        <v>9.1574999999999989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1.8314999999999999</v>
      </c>
      <c r="BB23" s="31">
        <f>IF(LPG!Q30-LPG!Q29&lt;0,"0",(LPG!Q30-LPG!Q29)*1.8315)</f>
        <v>5.4944999999999995</v>
      </c>
      <c r="BC23" s="13">
        <f>'FS Desroches Daily'!CN25</f>
        <v>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1499.9999999996128</v>
      </c>
      <c r="F24" s="32">
        <f>'FS Desroches Daily'!F26</f>
        <v>2599.9999999997135</v>
      </c>
      <c r="G24" s="31">
        <f>'FS Desroches Daily'!H26</f>
        <v>2400.0000000001796</v>
      </c>
      <c r="H24" s="32">
        <f>'FS Desroches Daily'!J26</f>
        <v>1100.000000000101</v>
      </c>
      <c r="I24" s="31">
        <f>'FS Desroches Daily'!L26</f>
        <v>1900.0000000000127</v>
      </c>
      <c r="J24" s="32">
        <f>'FS Desroches Daily'!N26</f>
        <v>800.00000000013392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892</v>
      </c>
      <c r="N24" s="31">
        <f>'FS Desroches Daily'!V26</f>
        <v>309.40000000002328</v>
      </c>
      <c r="O24" s="31">
        <f>'FS Desroches Daily'!X26</f>
        <v>270.00000000003865</v>
      </c>
      <c r="P24" s="31">
        <f>'FS Desroches Daily'!Z26</f>
        <v>2299.9999999999686</v>
      </c>
      <c r="Q24" s="31">
        <f>'FS Desroches Daily'!AB26</f>
        <v>289.99999999996362</v>
      </c>
      <c r="R24" s="31">
        <f>'FS Desroches Daily'!AD26</f>
        <v>170.00000000001592</v>
      </c>
      <c r="S24" s="31">
        <f>'FS Desroches Daily'!AF26</f>
        <v>259.99999999999091</v>
      </c>
      <c r="T24" s="31">
        <f>'FS Desroches Daily'!AH26</f>
        <v>33</v>
      </c>
      <c r="U24" s="35">
        <f>'FS Desroches Daily'!AJ26</f>
        <v>450.00000000004547</v>
      </c>
      <c r="V24" s="35">
        <f>'FS Desroches Daily'!AL26</f>
        <v>169.99999999998749</v>
      </c>
      <c r="W24" s="35">
        <f>'FS Desroches Daily'!AN26</f>
        <v>140.00000000001478</v>
      </c>
      <c r="X24" s="35">
        <f>'FS Desroches Daily'!AP26</f>
        <v>109.99999999998522</v>
      </c>
      <c r="Y24" s="35">
        <f>'FS Desroches Daily'!AR26</f>
        <v>60.000000000002274</v>
      </c>
      <c r="Z24" s="35">
        <f>'FS Desroches Daily'!AT26</f>
        <v>150.00000000003411</v>
      </c>
      <c r="AA24" s="35">
        <f>'FS Desroches Daily'!AT26</f>
        <v>150.00000000003411</v>
      </c>
      <c r="AB24" s="35">
        <f>'FS Desroches Daily'!AV26</f>
        <v>60.000000000002274</v>
      </c>
      <c r="AC24" s="35">
        <f>'FS Desroches Daily'!AZ26</f>
        <v>50.000000000011369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26</v>
      </c>
      <c r="AG24" s="32">
        <f>'FS Desroches Daily'!BH26</f>
        <v>30.000000000001137</v>
      </c>
      <c r="AH24" s="32">
        <f>'FS Desroches Daily'!BJ26</f>
        <v>29.999999999972715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29.999999999972715</v>
      </c>
      <c r="AL24" s="32">
        <f>'FS Desroches Daily'!BR26</f>
        <v>23</v>
      </c>
      <c r="AM24" s="32">
        <f>'FS Desroches Daily'!BT26</f>
        <v>9.9999999999909051</v>
      </c>
      <c r="AN24" s="32">
        <f>'FS Desroches Daily'!BV26</f>
        <v>37</v>
      </c>
      <c r="AO24" s="32">
        <f>'FS Desroches Daily'!BX26</f>
        <v>20.000000000010232</v>
      </c>
      <c r="AP24" s="32">
        <f>'FS Desroches Daily'!BZ26</f>
        <v>45</v>
      </c>
      <c r="AQ24" s="31">
        <f>'FS Desroches Daily'!CB26</f>
        <v>60.799999999999272</v>
      </c>
      <c r="AR24" s="31">
        <f>'FS Desroches Daily'!CD26</f>
        <v>6.3999999999996362</v>
      </c>
      <c r="AS24" s="31">
        <f>'FS Desroches Daily'!CF26</f>
        <v>8.3999999999996362</v>
      </c>
      <c r="AT24" s="31">
        <f>'FS Desroches Daily'!CH26</f>
        <v>33.700000000004366</v>
      </c>
      <c r="AU24" s="31">
        <f>'FS Desroches Daily'!CJ26</f>
        <v>271</v>
      </c>
      <c r="AV24" s="31">
        <f>'FS Desroches Daily'!CL26</f>
        <v>669.99999999995907</v>
      </c>
      <c r="AW24" s="31">
        <f>'FS Desroches Daily'!CM26</f>
        <v>58.600000000000364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8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43299.999999999898</v>
      </c>
      <c r="F33" s="17">
        <f t="shared" ref="F33:BC33" si="1">SUM(F2:F32)</f>
        <v>63599.999999999687</v>
      </c>
      <c r="G33" s="17">
        <f t="shared" si="1"/>
        <v>59000.000000000182</v>
      </c>
      <c r="H33" s="17">
        <f t="shared" si="1"/>
        <v>29200.000000000124</v>
      </c>
      <c r="I33" s="17">
        <f t="shared" si="1"/>
        <v>47400.000000000124</v>
      </c>
      <c r="J33" s="17">
        <f t="shared" si="1"/>
        <v>22100.000000000015</v>
      </c>
      <c r="K33" s="17">
        <f t="shared" si="1"/>
        <v>169</v>
      </c>
      <c r="L33" s="17">
        <f t="shared" si="1"/>
        <v>66</v>
      </c>
      <c r="M33" s="17">
        <f t="shared" si="1"/>
        <v>16999.199999999953</v>
      </c>
      <c r="N33" s="17">
        <f t="shared" si="1"/>
        <v>7054.7999999999884</v>
      </c>
      <c r="O33" s="17">
        <f t="shared" si="1"/>
        <v>6930.0000000000055</v>
      </c>
      <c r="P33" s="17">
        <f t="shared" si="1"/>
        <v>56299.999999999811</v>
      </c>
      <c r="Q33" s="17">
        <f t="shared" si="1"/>
        <v>6579.9999999999854</v>
      </c>
      <c r="R33" s="17">
        <f t="shared" si="1"/>
        <v>6300.0000000000109</v>
      </c>
      <c r="S33" s="17">
        <f t="shared" si="1"/>
        <v>6720.0000000000273</v>
      </c>
      <c r="T33" s="17">
        <f t="shared" si="1"/>
        <v>797</v>
      </c>
      <c r="U33" s="35">
        <f t="shared" si="1"/>
        <v>11929.999999999951</v>
      </c>
      <c r="V33" s="35">
        <f t="shared" si="1"/>
        <v>4519.9999999999818</v>
      </c>
      <c r="W33" s="35">
        <f t="shared" si="1"/>
        <v>3760.0000000000191</v>
      </c>
      <c r="X33" s="35">
        <f t="shared" si="1"/>
        <v>2430.0000000000073</v>
      </c>
      <c r="Y33" s="35">
        <f t="shared" si="1"/>
        <v>3189.9999999999973</v>
      </c>
      <c r="Z33" s="35">
        <f t="shared" si="1"/>
        <v>4944.949999999968</v>
      </c>
      <c r="AA33" s="35">
        <f t="shared" si="1"/>
        <v>4944.949999999968</v>
      </c>
      <c r="AB33" s="35">
        <f t="shared" si="1"/>
        <v>1410.000000000025</v>
      </c>
      <c r="AC33" s="35">
        <f t="shared" si="1"/>
        <v>1050.0000000000114</v>
      </c>
      <c r="AD33" s="35">
        <f t="shared" si="1"/>
        <v>589.99999999997499</v>
      </c>
      <c r="AE33" s="35">
        <f t="shared" si="1"/>
        <v>590.00000000000341</v>
      </c>
      <c r="AF33" s="17">
        <f t="shared" si="1"/>
        <v>676</v>
      </c>
      <c r="AG33" s="32">
        <f t="shared" si="1"/>
        <v>769.99999999998181</v>
      </c>
      <c r="AH33" s="32">
        <f t="shared" si="1"/>
        <v>659.99999999996817</v>
      </c>
      <c r="AI33" s="32">
        <f t="shared" si="1"/>
        <v>750</v>
      </c>
      <c r="AJ33" s="32">
        <f t="shared" si="1"/>
        <v>849.99999999999432</v>
      </c>
      <c r="AK33" s="32">
        <f t="shared" si="1"/>
        <v>679.99999999994998</v>
      </c>
      <c r="AL33" s="32">
        <f t="shared" si="1"/>
        <v>561</v>
      </c>
      <c r="AM33" s="32">
        <f t="shared" si="1"/>
        <v>549.99999999998295</v>
      </c>
      <c r="AN33" s="32">
        <f t="shared" si="1"/>
        <v>957</v>
      </c>
      <c r="AO33" s="32">
        <f t="shared" si="1"/>
        <v>600.00000000002274</v>
      </c>
      <c r="AP33" s="32">
        <f t="shared" si="1"/>
        <v>1059</v>
      </c>
      <c r="AQ33" s="17">
        <f t="shared" si="1"/>
        <v>745.5</v>
      </c>
      <c r="AR33" s="17">
        <f t="shared" si="1"/>
        <v>167.79999999999927</v>
      </c>
      <c r="AS33" s="17">
        <f t="shared" si="1"/>
        <v>109.39999999999964</v>
      </c>
      <c r="AT33" s="17">
        <f t="shared" si="1"/>
        <v>737.70000000000437</v>
      </c>
      <c r="AU33" s="17">
        <f t="shared" si="1"/>
        <v>6324</v>
      </c>
      <c r="AV33" s="17">
        <f t="shared" si="1"/>
        <v>16599.999999999909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177.65549999999996</v>
      </c>
      <c r="BC33" s="17">
        <f t="shared" si="1"/>
        <v>198</v>
      </c>
    </row>
    <row r="35" spans="5:55" x14ac:dyDescent="0.25">
      <c r="E35" s="38">
        <f>E33/E37</f>
        <v>0.20783534448828309</v>
      </c>
      <c r="G35" s="29">
        <f>G33-M36</f>
        <v>34946.00000000024</v>
      </c>
      <c r="AE35" s="35">
        <f>SUM(U33:AE33)</f>
        <v>39359.899999999907</v>
      </c>
      <c r="AG35" s="32">
        <f>SUM(AG33:AP33)</f>
        <v>7436.9999999999</v>
      </c>
    </row>
    <row r="36" spans="5:55" x14ac:dyDescent="0.25">
      <c r="G36" s="29">
        <f>G35-633*14</f>
        <v>26084.00000000024</v>
      </c>
      <c r="M36" s="29">
        <f>M33+N33</f>
        <v>24053.999999999942</v>
      </c>
    </row>
    <row r="37" spans="5:55" x14ac:dyDescent="0.25">
      <c r="E37" s="17">
        <f>E33+F33+G33+H33+J33-633*14</f>
        <v>208337.99999999988</v>
      </c>
      <c r="G37" s="37">
        <f>M36/E37</f>
        <v>0.11545661377185129</v>
      </c>
      <c r="M37" s="35">
        <f>AE35</f>
        <v>39359.899999999907</v>
      </c>
    </row>
    <row r="38" spans="5:55" x14ac:dyDescent="0.25">
      <c r="L38" s="27">
        <f>M38/E37</f>
        <v>3.5696800391670766E-2</v>
      </c>
      <c r="M38" s="29">
        <f>AG35</f>
        <v>7436.9999999999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0" zoomScaleNormal="80" workbookViewId="0">
      <pane ySplit="1" topLeftCell="A12" activePane="bottomLeft" state="frozen"/>
      <selection pane="bottomLeft" activeCell="CE26" sqref="CE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12120</v>
      </c>
      <c r="CD24" s="67">
        <f t="shared" si="33"/>
        <v>5.7000000000007276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>
        <v>2.2825000000000002</v>
      </c>
      <c r="D25" s="64">
        <f t="shared" si="0"/>
        <v>1800.0000000002458</v>
      </c>
      <c r="E25" s="58">
        <v>3.2492000000000001</v>
      </c>
      <c r="F25" s="64">
        <f t="shared" si="1"/>
        <v>2600.0000000001578</v>
      </c>
      <c r="G25" s="58">
        <v>3.3081999999999998</v>
      </c>
      <c r="H25" s="64">
        <f t="shared" si="2"/>
        <v>2699.9999999999245</v>
      </c>
      <c r="I25" s="58">
        <v>1.6314</v>
      </c>
      <c r="J25" s="64">
        <f t="shared" si="3"/>
        <v>1199.9999999998679</v>
      </c>
      <c r="K25" s="58">
        <v>2.6356999999999999</v>
      </c>
      <c r="L25" s="64">
        <f t="shared" si="4"/>
        <v>1999.9999999997797</v>
      </c>
      <c r="M25" s="58">
        <v>1.4541999999999999</v>
      </c>
      <c r="N25" s="64">
        <f t="shared" si="5"/>
        <v>899.99999999990087</v>
      </c>
      <c r="O25" s="58">
        <v>14370</v>
      </c>
      <c r="P25" s="67">
        <f t="shared" si="44"/>
        <v>8</v>
      </c>
      <c r="Q25" s="58">
        <v>1016</v>
      </c>
      <c r="R25" s="67">
        <f t="shared" si="6"/>
        <v>3</v>
      </c>
      <c r="S25" s="58">
        <v>989249.2</v>
      </c>
      <c r="T25" s="67">
        <f t="shared" si="7"/>
        <v>787.19999999995343</v>
      </c>
      <c r="U25" s="58">
        <v>415953.3</v>
      </c>
      <c r="V25" s="67">
        <f t="shared" si="8"/>
        <v>278.39999999996508</v>
      </c>
      <c r="W25" s="58">
        <v>396.89</v>
      </c>
      <c r="X25" s="65">
        <f t="shared" si="9"/>
        <v>279.99999999997272</v>
      </c>
      <c r="Y25" s="58">
        <v>2.839</v>
      </c>
      <c r="Z25" s="65">
        <f t="shared" si="10"/>
        <v>2299.9999999999686</v>
      </c>
      <c r="AA25" s="58">
        <v>394.85</v>
      </c>
      <c r="AB25" s="65">
        <f t="shared" si="11"/>
        <v>189.99999999999773</v>
      </c>
      <c r="AC25" s="58">
        <v>369.52</v>
      </c>
      <c r="AD25" s="65">
        <f t="shared" si="12"/>
        <v>269.99999999998181</v>
      </c>
      <c r="AE25" s="58">
        <v>565.33000000000004</v>
      </c>
      <c r="AF25" s="65">
        <f t="shared" si="13"/>
        <v>290.00000000007731</v>
      </c>
      <c r="AG25" s="58">
        <v>4291</v>
      </c>
      <c r="AH25" s="67">
        <f t="shared" si="14"/>
        <v>35</v>
      </c>
      <c r="AI25" s="58">
        <v>610.16999999999996</v>
      </c>
      <c r="AJ25" s="65">
        <f t="shared" si="15"/>
        <v>519.99999999998181</v>
      </c>
      <c r="AK25" s="58">
        <v>203.75</v>
      </c>
      <c r="AL25" s="65">
        <f t="shared" si="15"/>
        <v>180.00000000000682</v>
      </c>
      <c r="AM25" s="58">
        <v>194.1</v>
      </c>
      <c r="AN25" s="65">
        <f t="shared" si="15"/>
        <v>189.99999999999773</v>
      </c>
      <c r="AO25" s="58">
        <v>188.46</v>
      </c>
      <c r="AP25" s="65">
        <f t="shared" si="15"/>
        <v>120.00000000000455</v>
      </c>
      <c r="AQ25" s="58">
        <v>246.88</v>
      </c>
      <c r="AR25" s="65">
        <f t="shared" si="16"/>
        <v>79.999999999984084</v>
      </c>
      <c r="AS25" s="58">
        <v>372.21</v>
      </c>
      <c r="AT25" s="65">
        <f t="shared" si="17"/>
        <v>209.99999999997954</v>
      </c>
      <c r="AU25" s="58">
        <v>285.24</v>
      </c>
      <c r="AV25" s="65">
        <f t="shared" si="18"/>
        <v>40.000000000020464</v>
      </c>
      <c r="AW25" s="58">
        <v>319.81</v>
      </c>
      <c r="AX25" s="65">
        <f t="shared" si="19"/>
        <v>69.999999999993179</v>
      </c>
      <c r="AY25" s="58">
        <v>361.24</v>
      </c>
      <c r="AZ25" s="65">
        <f t="shared" si="20"/>
        <v>40.000000000020464</v>
      </c>
      <c r="BA25" s="58">
        <v>381.07</v>
      </c>
      <c r="BB25" s="65">
        <f t="shared" si="21"/>
        <v>19.99999999998181</v>
      </c>
      <c r="BC25" s="58">
        <v>241.7</v>
      </c>
      <c r="BD25" s="65">
        <f t="shared" si="22"/>
        <v>19.99999999998181</v>
      </c>
      <c r="BE25" s="59">
        <v>40203</v>
      </c>
      <c r="BF25" s="67">
        <f t="shared" si="39"/>
        <v>17</v>
      </c>
      <c r="BG25" s="60">
        <v>233.92</v>
      </c>
      <c r="BH25" s="65">
        <f t="shared" si="23"/>
        <v>39.999999999992042</v>
      </c>
      <c r="BI25" s="60">
        <v>293.06</v>
      </c>
      <c r="BJ25" s="65">
        <f t="shared" si="40"/>
        <v>19.99999999998181</v>
      </c>
      <c r="BK25" s="60">
        <v>236.82</v>
      </c>
      <c r="BL25" s="65">
        <f t="shared" si="24"/>
        <v>39.999999999992042</v>
      </c>
      <c r="BM25" s="60">
        <v>223.65</v>
      </c>
      <c r="BN25" s="65">
        <f t="shared" si="25"/>
        <v>39.999999999992042</v>
      </c>
      <c r="BO25" s="60">
        <v>287.5</v>
      </c>
      <c r="BP25" s="65">
        <f t="shared" si="26"/>
        <v>19.99999999998181</v>
      </c>
      <c r="BQ25" s="60">
        <v>45135</v>
      </c>
      <c r="BR25" s="65">
        <f t="shared" si="27"/>
        <v>25</v>
      </c>
      <c r="BS25" s="60">
        <v>200.66</v>
      </c>
      <c r="BT25" s="65">
        <f t="shared" si="42"/>
        <v>20.000000000010232</v>
      </c>
      <c r="BU25" s="60">
        <v>40498</v>
      </c>
      <c r="BV25" s="65">
        <f t="shared" si="29"/>
        <v>36</v>
      </c>
      <c r="BW25" s="60">
        <v>231.81</v>
      </c>
      <c r="BX25" s="65">
        <f t="shared" si="30"/>
        <v>30.000000000001137</v>
      </c>
      <c r="BY25" s="60">
        <v>59999</v>
      </c>
      <c r="BZ25" s="67">
        <f t="shared" si="31"/>
        <v>58</v>
      </c>
      <c r="CA25" s="60">
        <v>31794.7</v>
      </c>
      <c r="CB25" s="67">
        <f t="shared" si="32"/>
        <v>48</v>
      </c>
      <c r="CC25" s="60">
        <v>12126.9</v>
      </c>
      <c r="CD25" s="67">
        <f t="shared" si="33"/>
        <v>6.8999999999996362</v>
      </c>
      <c r="CE25" s="60">
        <v>6388.5</v>
      </c>
      <c r="CF25" s="67">
        <f t="shared" si="34"/>
        <v>2.3000000000001819</v>
      </c>
      <c r="CG25" s="60">
        <v>59343.6</v>
      </c>
      <c r="CH25" s="67">
        <f t="shared" si="35"/>
        <v>18.099999999998545</v>
      </c>
      <c r="CI25" s="60">
        <v>947194</v>
      </c>
      <c r="CJ25" s="67">
        <f t="shared" si="36"/>
        <v>280</v>
      </c>
      <c r="CK25" s="60">
        <v>761.01</v>
      </c>
      <c r="CL25" s="64">
        <f t="shared" si="37"/>
        <v>799.99999999995453</v>
      </c>
      <c r="CM25" s="65">
        <f t="shared" si="41"/>
        <v>58.100000000000364</v>
      </c>
      <c r="CN25" s="62">
        <v>8</v>
      </c>
      <c r="CO25" s="62">
        <v>25</v>
      </c>
      <c r="CP25" s="68">
        <v>9320.9</v>
      </c>
      <c r="CQ25" s="67">
        <f t="shared" si="38"/>
        <v>39.100000000000364</v>
      </c>
      <c r="CR25" s="68">
        <v>14073</v>
      </c>
      <c r="CS25" s="67">
        <f t="shared" si="38"/>
        <v>19</v>
      </c>
      <c r="CT25" s="75">
        <v>6388</v>
      </c>
      <c r="CU25" s="67">
        <f t="shared" si="38"/>
        <v>11</v>
      </c>
      <c r="CV25" s="68">
        <v>15223</v>
      </c>
      <c r="CW25" s="67">
        <f t="shared" si="38"/>
        <v>24</v>
      </c>
    </row>
    <row r="26" spans="1:101" ht="25.5" customHeight="1" thickBot="1" x14ac:dyDescent="0.45">
      <c r="A26" s="63">
        <v>44370</v>
      </c>
      <c r="B26" s="44"/>
      <c r="C26" s="58">
        <v>2.2839999999999998</v>
      </c>
      <c r="D26" s="64">
        <f t="shared" si="0"/>
        <v>1499.9999999996128</v>
      </c>
      <c r="E26" s="58">
        <v>3.2517999999999998</v>
      </c>
      <c r="F26" s="64">
        <f t="shared" si="1"/>
        <v>2599.9999999997135</v>
      </c>
      <c r="G26" s="58">
        <v>3.3106</v>
      </c>
      <c r="H26" s="64">
        <f t="shared" si="2"/>
        <v>2400.0000000001796</v>
      </c>
      <c r="I26" s="58">
        <v>1.6325000000000001</v>
      </c>
      <c r="J26" s="64">
        <f t="shared" si="3"/>
        <v>1100.000000000101</v>
      </c>
      <c r="K26" s="58">
        <v>2.6375999999999999</v>
      </c>
      <c r="L26" s="64">
        <f t="shared" si="4"/>
        <v>1900.0000000000127</v>
      </c>
      <c r="M26" s="58">
        <v>1.4550000000000001</v>
      </c>
      <c r="N26" s="64">
        <f t="shared" si="5"/>
        <v>800.00000000013392</v>
      </c>
      <c r="O26" s="58">
        <v>14370</v>
      </c>
      <c r="P26" s="67">
        <f t="shared" si="44"/>
        <v>0</v>
      </c>
      <c r="Q26" s="58">
        <v>1017</v>
      </c>
      <c r="R26" s="67">
        <f t="shared" si="6"/>
        <v>1</v>
      </c>
      <c r="S26" s="58">
        <v>990141.2</v>
      </c>
      <c r="T26" s="67">
        <f t="shared" si="7"/>
        <v>892</v>
      </c>
      <c r="U26" s="58">
        <v>416262.7</v>
      </c>
      <c r="V26" s="67">
        <f t="shared" si="8"/>
        <v>309.40000000002328</v>
      </c>
      <c r="W26" s="58">
        <v>397.16</v>
      </c>
      <c r="X26" s="65">
        <f t="shared" si="9"/>
        <v>270.00000000003865</v>
      </c>
      <c r="Y26" s="58">
        <v>2.8412999999999999</v>
      </c>
      <c r="Z26" s="65">
        <f t="shared" si="10"/>
        <v>2299.9999999999686</v>
      </c>
      <c r="AA26" s="58">
        <v>395.14</v>
      </c>
      <c r="AB26" s="65">
        <f t="shared" si="11"/>
        <v>289.99999999996362</v>
      </c>
      <c r="AC26" s="58">
        <v>369.69</v>
      </c>
      <c r="AD26" s="65">
        <f t="shared" si="12"/>
        <v>170.00000000001592</v>
      </c>
      <c r="AE26" s="58">
        <v>565.59</v>
      </c>
      <c r="AF26" s="65">
        <f t="shared" si="13"/>
        <v>259.99999999999091</v>
      </c>
      <c r="AG26" s="58">
        <v>4324</v>
      </c>
      <c r="AH26" s="67">
        <f t="shared" si="14"/>
        <v>33</v>
      </c>
      <c r="AI26" s="58">
        <v>610.62</v>
      </c>
      <c r="AJ26" s="65">
        <f t="shared" si="15"/>
        <v>450.00000000004547</v>
      </c>
      <c r="AK26" s="58">
        <v>203.92</v>
      </c>
      <c r="AL26" s="65">
        <f t="shared" si="15"/>
        <v>169.99999999998749</v>
      </c>
      <c r="AM26" s="58">
        <v>194.24</v>
      </c>
      <c r="AN26" s="65">
        <f t="shared" si="15"/>
        <v>140.00000000001478</v>
      </c>
      <c r="AO26" s="58">
        <v>188.57</v>
      </c>
      <c r="AP26" s="65">
        <f t="shared" si="15"/>
        <v>109.99999999998522</v>
      </c>
      <c r="AQ26" s="58">
        <v>246.94</v>
      </c>
      <c r="AR26" s="65">
        <f t="shared" si="16"/>
        <v>60.000000000002274</v>
      </c>
      <c r="AS26" s="58">
        <v>372.36</v>
      </c>
      <c r="AT26" s="65">
        <f t="shared" si="17"/>
        <v>150.00000000003411</v>
      </c>
      <c r="AU26" s="58">
        <v>285.3</v>
      </c>
      <c r="AV26" s="65">
        <f t="shared" si="18"/>
        <v>60.000000000002274</v>
      </c>
      <c r="AW26" s="58">
        <v>319.88</v>
      </c>
      <c r="AX26" s="65">
        <f t="shared" si="19"/>
        <v>69.999999999993179</v>
      </c>
      <c r="AY26" s="58">
        <v>361.29</v>
      </c>
      <c r="AZ26" s="65">
        <f t="shared" si="20"/>
        <v>50.000000000011369</v>
      </c>
      <c r="BA26" s="58">
        <v>381.09</v>
      </c>
      <c r="BB26" s="65">
        <f t="shared" si="21"/>
        <v>19.99999999998181</v>
      </c>
      <c r="BC26" s="58">
        <v>241.72</v>
      </c>
      <c r="BD26" s="65">
        <f t="shared" si="22"/>
        <v>20.000000000010232</v>
      </c>
      <c r="BE26" s="59">
        <v>40229</v>
      </c>
      <c r="BF26" s="67">
        <f t="shared" si="39"/>
        <v>26</v>
      </c>
      <c r="BG26" s="60">
        <v>233.95</v>
      </c>
      <c r="BH26" s="65">
        <f t="shared" si="23"/>
        <v>30.000000000001137</v>
      </c>
      <c r="BI26" s="60">
        <v>293.08999999999997</v>
      </c>
      <c r="BJ26" s="65">
        <f t="shared" si="40"/>
        <v>29.999999999972715</v>
      </c>
      <c r="BK26" s="60">
        <v>236.85</v>
      </c>
      <c r="BL26" s="65">
        <f t="shared" si="24"/>
        <v>30.000000000001137</v>
      </c>
      <c r="BM26" s="60">
        <v>223.69</v>
      </c>
      <c r="BN26" s="65">
        <f t="shared" si="25"/>
        <v>39.999999999992042</v>
      </c>
      <c r="BO26" s="60">
        <v>287.52999999999997</v>
      </c>
      <c r="BP26" s="65">
        <f t="shared" si="26"/>
        <v>29.999999999972715</v>
      </c>
      <c r="BQ26" s="60">
        <v>45158</v>
      </c>
      <c r="BR26" s="65">
        <f t="shared" si="27"/>
        <v>23</v>
      </c>
      <c r="BS26" s="60">
        <v>200.67</v>
      </c>
      <c r="BT26" s="65">
        <f t="shared" si="42"/>
        <v>9.9999999999909051</v>
      </c>
      <c r="BU26" s="60">
        <v>40535</v>
      </c>
      <c r="BV26" s="65">
        <f t="shared" si="29"/>
        <v>37</v>
      </c>
      <c r="BW26" s="60">
        <v>231.83</v>
      </c>
      <c r="BX26" s="65">
        <f t="shared" si="30"/>
        <v>20.000000000010232</v>
      </c>
      <c r="BY26" s="60">
        <v>60044</v>
      </c>
      <c r="BZ26" s="67">
        <f t="shared" si="31"/>
        <v>45</v>
      </c>
      <c r="CA26" s="60">
        <v>31855.5</v>
      </c>
      <c r="CB26" s="67">
        <f t="shared" si="32"/>
        <v>60.799999999999272</v>
      </c>
      <c r="CC26" s="60">
        <v>12133.3</v>
      </c>
      <c r="CD26" s="67">
        <f t="shared" si="33"/>
        <v>6.3999999999996362</v>
      </c>
      <c r="CE26" s="60">
        <v>6396.9</v>
      </c>
      <c r="CF26" s="67">
        <f t="shared" si="34"/>
        <v>8.3999999999996362</v>
      </c>
      <c r="CG26" s="60">
        <v>59377.3</v>
      </c>
      <c r="CH26" s="67">
        <f t="shared" si="35"/>
        <v>33.700000000004366</v>
      </c>
      <c r="CI26" s="60">
        <v>947465</v>
      </c>
      <c r="CJ26" s="67">
        <f t="shared" si="36"/>
        <v>271</v>
      </c>
      <c r="CK26" s="60">
        <v>761.68</v>
      </c>
      <c r="CL26" s="64">
        <f t="shared" si="37"/>
        <v>669.99999999995907</v>
      </c>
      <c r="CM26" s="65">
        <f t="shared" si="41"/>
        <v>58.600000000000364</v>
      </c>
      <c r="CN26" s="62">
        <v>8</v>
      </c>
      <c r="CO26" s="62">
        <v>25</v>
      </c>
      <c r="CP26" s="68">
        <v>9363.5</v>
      </c>
      <c r="CQ26" s="67">
        <f t="shared" si="38"/>
        <v>42.600000000000364</v>
      </c>
      <c r="CR26" s="68">
        <v>14089</v>
      </c>
      <c r="CS26" s="67">
        <f t="shared" si="38"/>
        <v>16</v>
      </c>
      <c r="CT26" s="75">
        <v>6401</v>
      </c>
      <c r="CU26" s="67">
        <f t="shared" si="38"/>
        <v>13</v>
      </c>
      <c r="CV26" s="68">
        <v>15244</v>
      </c>
      <c r="CW26" s="67">
        <f t="shared" si="38"/>
        <v>21</v>
      </c>
    </row>
    <row r="27" spans="1:101" ht="25.5" customHeight="1" thickBot="1" x14ac:dyDescent="0.45">
      <c r="A27" s="63">
        <v>44371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J32" sqref="J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8</v>
      </c>
      <c r="D29" s="40">
        <v>25</v>
      </c>
      <c r="E29" s="41">
        <v>85</v>
      </c>
      <c r="F29" s="41">
        <v>5335</v>
      </c>
      <c r="G29" s="41">
        <v>45</v>
      </c>
      <c r="H29" s="41">
        <v>1522</v>
      </c>
      <c r="I29" s="41">
        <v>85</v>
      </c>
      <c r="J29" s="41">
        <v>355</v>
      </c>
      <c r="K29" s="42">
        <v>30</v>
      </c>
      <c r="L29" s="42">
        <v>80</v>
      </c>
      <c r="M29" s="42">
        <v>1342</v>
      </c>
      <c r="N29" s="39">
        <v>85</v>
      </c>
      <c r="O29" s="39">
        <v>70</v>
      </c>
      <c r="P29" s="39">
        <v>85</v>
      </c>
      <c r="Q29" s="39">
        <v>3850</v>
      </c>
      <c r="R29" s="78">
        <v>70</v>
      </c>
      <c r="S29" s="78">
        <v>197</v>
      </c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8</v>
      </c>
      <c r="D30" s="40">
        <v>25</v>
      </c>
      <c r="E30" s="41">
        <v>85</v>
      </c>
      <c r="F30" s="41">
        <v>5340</v>
      </c>
      <c r="G30" s="41">
        <v>35</v>
      </c>
      <c r="H30" s="41">
        <v>1524</v>
      </c>
      <c r="I30" s="41">
        <v>85</v>
      </c>
      <c r="J30" s="41">
        <v>356</v>
      </c>
      <c r="K30" s="42">
        <v>30</v>
      </c>
      <c r="L30" s="42">
        <v>80</v>
      </c>
      <c r="M30" s="42">
        <v>1343</v>
      </c>
      <c r="N30" s="39">
        <v>85</v>
      </c>
      <c r="O30" s="39">
        <v>65</v>
      </c>
      <c r="P30" s="39">
        <v>85</v>
      </c>
      <c r="Q30" s="39">
        <v>3853</v>
      </c>
      <c r="R30" s="78">
        <v>70</v>
      </c>
      <c r="S30" s="78">
        <v>197</v>
      </c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-197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2021-06-24T12:28:07Z</dcterms:modified>
</cp:coreProperties>
</file>