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0" documentId="8_{9AEB3BE8-2BB0-47B9-B128-5C2E79C039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3" r:id="rId1"/>
    <sheet name="Submetering" sheetId="6" r:id="rId2"/>
    <sheet name="FS Desroches Daily" sheetId="7" r:id="rId3"/>
    <sheet name="LPG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14" i="6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X33" i="7" l="1"/>
  <c r="CW24" i="7" l="1"/>
  <c r="T24" i="10" l="1"/>
  <c r="X16" i="7" l="1"/>
  <c r="X17" i="7"/>
  <c r="CL10" i="7" l="1"/>
  <c r="F9" i="7" l="1"/>
  <c r="F8" i="7"/>
  <c r="CL9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M29" i="7" s="1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I23" i="3" s="1"/>
  <c r="CM26" i="7"/>
  <c r="I24" i="3" s="1"/>
  <c r="CM27" i="7"/>
  <c r="I25" i="3" s="1"/>
  <c r="CM28" i="7"/>
  <c r="I26" i="3" s="1"/>
  <c r="I27" i="3"/>
  <c r="CM30" i="7"/>
  <c r="I28" i="3" s="1"/>
  <c r="CM31" i="7"/>
  <c r="I29" i="3" s="1"/>
  <c r="CM32" i="7"/>
  <c r="I30" i="3" s="1"/>
  <c r="CM33" i="7"/>
  <c r="I31" i="3" s="1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AZ28" i="6"/>
  <c r="AZ29" i="6"/>
  <c r="AZ30" i="6"/>
  <c r="AZ31" i="6"/>
  <c r="AZ32" i="6"/>
  <c r="AY28" i="6"/>
  <c r="AY29" i="6"/>
  <c r="AY30" i="6"/>
  <c r="AY31" i="6"/>
  <c r="AY32" i="6"/>
  <c r="AX28" i="6"/>
  <c r="AX29" i="6"/>
  <c r="AX30" i="6"/>
  <c r="AX31" i="6"/>
  <c r="AX32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8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G28" i="3" s="1"/>
  <c r="BB29" i="6"/>
  <c r="G29" i="3" s="1"/>
  <c r="BB30" i="6"/>
  <c r="G30" i="3" s="1"/>
  <c r="BB31" i="6"/>
  <c r="G31" i="3" s="1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14" i="3" l="1"/>
  <c r="G15" i="3"/>
  <c r="G27" i="3"/>
  <c r="G26" i="3"/>
  <c r="G25" i="3"/>
  <c r="G24" i="3"/>
  <c r="G23" i="3"/>
  <c r="G22" i="3"/>
  <c r="G21" i="3"/>
  <c r="G20" i="3"/>
  <c r="G19" i="3"/>
  <c r="G18" i="3"/>
  <c r="G17" i="3"/>
  <c r="G16" i="3"/>
  <c r="G13" i="3"/>
  <c r="G11" i="3"/>
  <c r="G12" i="3"/>
  <c r="G8" i="3"/>
  <c r="G6" i="3"/>
  <c r="G7" i="3"/>
  <c r="G5" i="3"/>
  <c r="G4" i="3"/>
  <c r="G3" i="3"/>
  <c r="BB32" i="6"/>
  <c r="BC32" i="6"/>
  <c r="G2" i="3"/>
  <c r="AW2" i="6"/>
  <c r="AW32" i="6" s="1"/>
  <c r="I2" i="6"/>
  <c r="I32" i="6" s="1"/>
  <c r="G2" i="6"/>
  <c r="G32" i="6" s="1"/>
  <c r="H2" i="6"/>
  <c r="H32" i="6" s="1"/>
  <c r="F2" i="6"/>
  <c r="F32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" i="6"/>
  <c r="J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" i="6"/>
  <c r="AP2" i="6"/>
  <c r="AN3" i="6"/>
  <c r="AN2" i="6"/>
  <c r="AL3" i="6"/>
  <c r="AL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1" i="3" l="1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2" i="6" s="1"/>
  <c r="AG32" i="6"/>
  <c r="V32" i="6"/>
  <c r="AC32" i="6"/>
  <c r="AK32" i="6"/>
  <c r="AD32" i="6"/>
  <c r="AH32" i="6"/>
  <c r="AM32" i="6"/>
  <c r="AR32" i="6"/>
  <c r="AN32" i="6"/>
  <c r="Y32" i="6"/>
  <c r="R32" i="6"/>
  <c r="J32" i="6"/>
  <c r="AL32" i="6"/>
  <c r="AP32" i="6"/>
  <c r="AT32" i="6"/>
  <c r="P32" i="6"/>
  <c r="U32" i="6"/>
  <c r="AJ32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2" i="6"/>
  <c r="AS32" i="6"/>
  <c r="O32" i="6"/>
  <c r="S32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2" i="6"/>
  <c r="AU32" i="6"/>
  <c r="Q32" i="6"/>
  <c r="AB32" i="6"/>
  <c r="AE32" i="6"/>
  <c r="AI32" i="6"/>
  <c r="AO32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X32" i="6" l="1"/>
  <c r="L2" i="6"/>
  <c r="L32" i="6" s="1"/>
  <c r="K2" i="6"/>
  <c r="K32" i="6" s="1"/>
  <c r="T32" i="6"/>
  <c r="AG34" i="6"/>
  <c r="M37" i="6" s="1"/>
  <c r="M32" i="6"/>
  <c r="W32" i="6"/>
  <c r="AA32" i="6"/>
  <c r="N32" i="6"/>
  <c r="E32" i="6"/>
  <c r="Z32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M35" i="6" l="1"/>
  <c r="G34" i="6" s="1"/>
  <c r="G35" i="6" s="1"/>
  <c r="AE34" i="6"/>
  <c r="M36" i="6" s="1"/>
  <c r="E36" i="6"/>
  <c r="L37" i="6" s="1"/>
  <c r="G36" i="6" l="1"/>
  <c r="E34" i="6"/>
</calcChain>
</file>

<file path=xl/sharedStrings.xml><?xml version="1.0" encoding="utf-8"?>
<sst xmlns="http://schemas.openxmlformats.org/spreadsheetml/2006/main" count="311" uniqueCount="148">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</sst>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3"/>
  <sheetViews>
    <sheetView tabSelected="1" workbookViewId="0">
      <selection activeCell="M32" sqref="M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f>'FS Desroches Daily'!CN3</f>
        <v>6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f>'FS Desroches Daily'!CN4</f>
        <v>6</v>
      </c>
    </row>
    <row r="4" spans="1:13" s="16" customFormat="1" x14ac:dyDescent="0.25">
      <c r="A4" s="1" t="s">
        <v>11</v>
      </c>
      <c r="B4" s="15">
        <f t="shared" ref="B4:B31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1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1" si="2">H3</f>
        <v>0.99</v>
      </c>
      <c r="I4" s="12">
        <f>'FS Desroches Daily'!CM6</f>
        <v>56.400000000001455</v>
      </c>
      <c r="J4" s="11">
        <f t="shared" ref="J4:J31" si="3">J3</f>
        <v>10.487297712684205</v>
      </c>
      <c r="K4" s="13">
        <f>'FS Desroches Daily'!CN5</f>
        <v>6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f>'FS Desroches Daily'!CN6</f>
        <v>6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f>'FS Desroches Daily'!CN7</f>
        <v>6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f>'FS Desroches Daily'!CN8</f>
        <v>12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f>'FS Desroches Daily'!CN9</f>
        <v>12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f>'FS Desroches Daily'!CN10</f>
        <v>12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f>'FS Desroches Daily'!CN11</f>
        <v>12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f>'FS Desroches Daily'!CN12</f>
        <v>12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f>'FS Desroches Daily'!CN13</f>
        <v>10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f>'FS Desroches Daily'!CN14</f>
        <v>8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16.483499999999999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f>'FS Desroches Daily'!CN15</f>
        <v>8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f>'FS Desroches Daily'!CN16</f>
        <v>10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f>'FS Desroches Daily'!CN17</f>
        <v>10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f>'FS Desroches Daily'!CN18</f>
        <v>6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f>'FS Desroches Daily'!CN19</f>
        <v>6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f>'FS Desroches Daily'!CN20</f>
        <v>8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f>'FS Desroches Daily'!CN21</f>
        <v>8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f>'FS Desroches Daily'!CN22</f>
        <v>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8609.9999999997781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66.699999999998909</v>
      </c>
      <c r="J22" s="11">
        <f t="shared" si="3"/>
        <v>10.487297712684205</v>
      </c>
      <c r="K22" s="13">
        <f>'FS Desroches Daily'!CN23</f>
        <v>8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>
        <f>Submetering!E23+Submetering!F23+Submetering!G23+Submetering!H23+Submetering!J23-Submetering!AV23</f>
        <v>8400.0000000001437</v>
      </c>
      <c r="F23" s="11">
        <f t="shared" si="1"/>
        <v>0.58765030286592534</v>
      </c>
      <c r="G23" s="12">
        <f>(Submetering!AX23+Submetering!AY23+Submetering!AZ23+Submetering!BA23+Submetering!BB23)</f>
        <v>21.977999999999998</v>
      </c>
      <c r="H23" s="11">
        <f t="shared" si="2"/>
        <v>0.99</v>
      </c>
      <c r="I23" s="12">
        <f>'FS Desroches Daily'!CM25</f>
        <v>58.100000000000364</v>
      </c>
      <c r="J23" s="11">
        <f t="shared" si="3"/>
        <v>10.487297712684205</v>
      </c>
      <c r="K23" s="13">
        <f>'FS Desroches Daily'!CN24</f>
        <v>8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7729.9999999997808</v>
      </c>
      <c r="F24" s="11">
        <f t="shared" si="1"/>
        <v>0.58765030286592534</v>
      </c>
      <c r="G24" s="12">
        <f>(Submetering!AX24+Submetering!AY24+Submetering!AZ24+Submetering!BA24+Submetering!BB24)</f>
        <v>18.314999999999998</v>
      </c>
      <c r="H24" s="11">
        <f t="shared" si="2"/>
        <v>0.99</v>
      </c>
      <c r="I24" s="12">
        <f>'FS Desroches Daily'!CM26</f>
        <v>58.600000000000364</v>
      </c>
      <c r="J24" s="11">
        <f t="shared" si="3"/>
        <v>10.487297712684205</v>
      </c>
      <c r="K24" s="13">
        <f>'FS Desroches Daily'!CN25</f>
        <v>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8420.0000000000764</v>
      </c>
      <c r="F25" s="11">
        <f t="shared" si="1"/>
        <v>0.58765030286592534</v>
      </c>
      <c r="G25" s="12">
        <f>(Submetering!AX25+Submetering!AY25+Submetering!AZ25+Submetering!BA25+Submetering!BB25)</f>
        <v>18.314999999999998</v>
      </c>
      <c r="H25" s="11">
        <f t="shared" si="2"/>
        <v>0.99</v>
      </c>
      <c r="I25" s="12">
        <f>'FS Desroches Daily'!CM27</f>
        <v>69.100000000000364</v>
      </c>
      <c r="J25" s="11">
        <f t="shared" si="3"/>
        <v>10.487297712684205</v>
      </c>
      <c r="K25" s="13">
        <f>'FS Desroches Daily'!CN26</f>
        <v>8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8070.000000000191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54.600000000000364</v>
      </c>
      <c r="J26" s="11">
        <f t="shared" si="3"/>
        <v>10.487297712684205</v>
      </c>
      <c r="K26" s="13">
        <f>'FS Desroches Daily'!CN27</f>
        <v>8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8710.0000000000509</v>
      </c>
      <c r="F27" s="11">
        <f t="shared" si="1"/>
        <v>0.58765030286592534</v>
      </c>
      <c r="G27" s="12">
        <f>(Submetering!AX27+Submetering!AY27+Submetering!AZ27+Submetering!BA27+Submetering!BB27)</f>
        <v>45.787499999999994</v>
      </c>
      <c r="H27" s="11">
        <f t="shared" si="2"/>
        <v>0.99</v>
      </c>
      <c r="I27" s="12">
        <f>'FS Desroches Daily'!CM29</f>
        <v>57.799999999999272</v>
      </c>
      <c r="J27" s="11">
        <f t="shared" si="3"/>
        <v>10.487297712684205</v>
      </c>
      <c r="K27" s="13">
        <f>'FS Desroches Daily'!CN28</f>
        <v>9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8879.999999999869</v>
      </c>
      <c r="F28" s="11">
        <f t="shared" si="1"/>
        <v>0.58765030286592534</v>
      </c>
      <c r="G28" s="12">
        <f>(Submetering!AX28+Submetering!AY28+Submetering!AZ28+Submetering!BA28+Submetering!BB28)</f>
        <v>43.955999999999996</v>
      </c>
      <c r="H28" s="11">
        <f t="shared" si="2"/>
        <v>0.99</v>
      </c>
      <c r="I28" s="12">
        <f>'FS Desroches Daily'!CM30</f>
        <v>49</v>
      </c>
      <c r="J28" s="11">
        <f t="shared" si="3"/>
        <v>10.487297712684205</v>
      </c>
      <c r="K28" s="13">
        <f>'FS Desroches Daily'!CN29</f>
        <v>9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9009.9999999997999</v>
      </c>
      <c r="F29" s="11">
        <f t="shared" si="1"/>
        <v>0.58765030286592534</v>
      </c>
      <c r="G29" s="12">
        <f>(Submetering!AX29+Submetering!AY29+Submetering!AZ29+Submetering!BA29+Submetering!BB29)</f>
        <v>45.787499999999994</v>
      </c>
      <c r="H29" s="11">
        <f t="shared" si="2"/>
        <v>0.99</v>
      </c>
      <c r="I29" s="12">
        <f>'FS Desroches Daily'!CM31</f>
        <v>86</v>
      </c>
      <c r="J29" s="11">
        <f t="shared" si="3"/>
        <v>10.487297712684205</v>
      </c>
      <c r="K29" s="13">
        <f>'FS Desroches Daily'!CN30</f>
        <v>9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9600.0000000004529</v>
      </c>
      <c r="F30" s="11">
        <f t="shared" si="1"/>
        <v>0.58765030286592534</v>
      </c>
      <c r="G30" s="12">
        <f>(Submetering!AX30+Submetering!AY30+Submetering!AZ30+Submetering!BA30+Submetering!BB30)</f>
        <v>7.3259999999999996</v>
      </c>
      <c r="H30" s="11">
        <f t="shared" si="2"/>
        <v>0.99</v>
      </c>
      <c r="I30" s="12">
        <f>'FS Desroches Daily'!CM32</f>
        <v>136.60000000000036</v>
      </c>
      <c r="J30" s="11">
        <f t="shared" si="3"/>
        <v>10.487297712684205</v>
      </c>
      <c r="K30" s="13">
        <f>'FS Desroches Daily'!CN31</f>
        <v>9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7629.9999999999018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84.199999999998909</v>
      </c>
      <c r="J31" s="11">
        <f t="shared" si="3"/>
        <v>10.487297712684205</v>
      </c>
      <c r="K31" s="13">
        <f>'FS Desroches Daily'!CN32</f>
        <v>9</v>
      </c>
    </row>
    <row r="32" spans="1:11" x14ac:dyDescent="0.25">
      <c r="B32" s="15"/>
      <c r="C32" s="11"/>
      <c r="E32" s="12"/>
      <c r="F32" s="11"/>
      <c r="G32" s="12"/>
      <c r="H32" s="11"/>
      <c r="I32" s="12"/>
      <c r="J32" s="11"/>
      <c r="K32" s="13"/>
    </row>
    <row r="33" spans="9:9" x14ac:dyDescent="0.25">
      <c r="I33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BD38"/>
  <sheetViews>
    <sheetView workbookViewId="0">
      <selection activeCell="F40" sqref="F40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1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 t="str">
        <f>IF(LPG!G22-LPG!F20&lt;0,"0",(LPG!G22-LPG!F20)*1.8315)</f>
        <v>0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39.999999999992042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9.1574999999999989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1799.9999999998017</v>
      </c>
      <c r="F22" s="32">
        <f>'FS Desroches Daily'!F24</f>
        <v>2499.9999999999468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2000.0000000002237</v>
      </c>
      <c r="J22" s="32">
        <f>'FS Desroches Daily'!N24</f>
        <v>1000.0000000001119</v>
      </c>
      <c r="K22" s="13">
        <f>'FS Desroches Daily'!P24</f>
        <v>5</v>
      </c>
      <c r="L22" s="31">
        <f>'FS Desroches Daily'!R24</f>
        <v>3</v>
      </c>
      <c r="M22" s="31">
        <f>'FS Desroches Daily'!T24</f>
        <v>647.59999999997672</v>
      </c>
      <c r="N22" s="31">
        <f>'FS Desroches Daily'!V24</f>
        <v>295</v>
      </c>
      <c r="O22" s="31">
        <f>'FS Desroches Daily'!X24</f>
        <v>300.00000000001137</v>
      </c>
      <c r="P22" s="31">
        <f>'FS Desroches Daily'!Z24</f>
        <v>2200.0000000002019</v>
      </c>
      <c r="Q22" s="31">
        <f>'FS Desroches Daily'!AB24</f>
        <v>310.00000000000227</v>
      </c>
      <c r="R22" s="31">
        <f>'FS Desroches Daily'!AD24</f>
        <v>259.99999999999091</v>
      </c>
      <c r="S22" s="31">
        <f>'FS Desroches Daily'!AF24</f>
        <v>360.00000000001364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169.99999999998749</v>
      </c>
      <c r="W22" s="35">
        <f>'FS Desroches Daily'!AN24</f>
        <v>189.99999999999773</v>
      </c>
      <c r="X22" s="35">
        <f>'FS Desroches Daily'!AP24</f>
        <v>120.00000000000455</v>
      </c>
      <c r="Y22" s="35">
        <f>'FS Desroches Daily'!AR24</f>
        <v>80.000000000012506</v>
      </c>
      <c r="Z22" s="35">
        <f>'FS Desroches Daily'!AT24</f>
        <v>230.00000000001819</v>
      </c>
      <c r="AA22" s="35">
        <f>'FS Desroches Daily'!AT24</f>
        <v>230.00000000001819</v>
      </c>
      <c r="AB22" s="35">
        <f>'FS Desroches Daily'!AV24</f>
        <v>60.000000000002274</v>
      </c>
      <c r="AC22" s="35">
        <f>'FS Desroches Daily'!AZ24</f>
        <v>50.000000000011369</v>
      </c>
      <c r="AD22" s="35">
        <f>'FS Desroches Daily'!BB24</f>
        <v>30.000000000029559</v>
      </c>
      <c r="AE22" s="35">
        <f>'FS Desroches Daily'!BD24</f>
        <v>30.000000000001137</v>
      </c>
      <c r="AF22" s="31">
        <f>'FS Desroches Daily'!BF24</f>
        <v>35</v>
      </c>
      <c r="AG22" s="32">
        <f>'FS Desroches Daily'!BH24</f>
        <v>30.000000000001137</v>
      </c>
      <c r="AH22" s="32">
        <f>'FS Desroches Daily'!BJ24</f>
        <v>30.000000000029559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30.000000000029559</v>
      </c>
      <c r="AL22" s="32">
        <f>'FS Desroches Daily'!BR24</f>
        <v>29</v>
      </c>
      <c r="AM22" s="32">
        <f>'FS Desroches Daily'!BT24</f>
        <v>29.999999999972715</v>
      </c>
      <c r="AN22" s="32">
        <f>'FS Desroches Daily'!BV24</f>
        <v>38</v>
      </c>
      <c r="AO22" s="32">
        <f>'FS Desroches Daily'!BX24</f>
        <v>30.000000000001137</v>
      </c>
      <c r="AP22" s="32">
        <f>'FS Desroches Daily'!BZ24</f>
        <v>66</v>
      </c>
      <c r="AQ22" s="31">
        <f>'FS Desroches Daily'!CB24</f>
        <v>17.100000000002183</v>
      </c>
      <c r="AR22" s="31">
        <f>'FS Desroches Daily'!CD24</f>
        <v>5.7000000000007276</v>
      </c>
      <c r="AS22" s="31">
        <f>'FS Desroches Daily'!CF24</f>
        <v>7.5</v>
      </c>
      <c r="AT22" s="31">
        <f>'FS Desroches Daily'!CH24</f>
        <v>32.30000000000291</v>
      </c>
      <c r="AU22" s="31">
        <f>'FS Desroches Daily'!CJ24</f>
        <v>290</v>
      </c>
      <c r="AV22" s="31">
        <f>'FS Desroches Daily'!CL24</f>
        <v>790.00000000007731</v>
      </c>
      <c r="AW22" s="31">
        <f>'FS Desroches Daily'!CM24</f>
        <v>66.699999999998909</v>
      </c>
      <c r="AX22" s="31">
        <f>IF(LPG!F29-LPG!F28&lt;0,"0",(LPG!F29-LPG!F28)*1.8315)</f>
        <v>9.1574999999999989</v>
      </c>
      <c r="AY22" s="31">
        <f>IF(LPG!H29-LPG!H28&lt;0,"0",(LPG!H29-LPG!H28)*1.8315)</f>
        <v>1.8314999999999999</v>
      </c>
      <c r="AZ22" s="31">
        <f>IF(LPG!J29-LPG!J28&lt;0,"0",(LPG!J29-LPG!J28)*1.8315)</f>
        <v>5.4944999999999995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>
        <f>'FS Desroches Daily'!D25</f>
        <v>1800.0000000002458</v>
      </c>
      <c r="F23" s="32">
        <f>'FS Desroches Daily'!F25</f>
        <v>2600.0000000001578</v>
      </c>
      <c r="G23" s="31">
        <f>'FS Desroches Daily'!H25</f>
        <v>2699.9999999999245</v>
      </c>
      <c r="H23" s="32">
        <f>'FS Desroches Daily'!J25</f>
        <v>1199.9999999998679</v>
      </c>
      <c r="I23" s="31">
        <f>'FS Desroches Daily'!L25</f>
        <v>1999.9999999997797</v>
      </c>
      <c r="J23" s="32">
        <f>'FS Desroches Daily'!N25</f>
        <v>899.99999999990087</v>
      </c>
      <c r="K23" s="13">
        <f>'FS Desroches Daily'!P25</f>
        <v>8</v>
      </c>
      <c r="L23" s="31">
        <f>'FS Desroches Daily'!R25</f>
        <v>3</v>
      </c>
      <c r="M23" s="31">
        <f>'FS Desroches Daily'!T25</f>
        <v>787.19999999995343</v>
      </c>
      <c r="N23" s="31">
        <f>'FS Desroches Daily'!V25</f>
        <v>278.39999999996508</v>
      </c>
      <c r="O23" s="31">
        <f>'FS Desroches Daily'!X25</f>
        <v>279.99999999997272</v>
      </c>
      <c r="P23" s="31">
        <f>'FS Desroches Daily'!Z25</f>
        <v>2299.9999999999686</v>
      </c>
      <c r="Q23" s="31">
        <f>'FS Desroches Daily'!AB25</f>
        <v>189.99999999999773</v>
      </c>
      <c r="R23" s="31">
        <f>'FS Desroches Daily'!AD25</f>
        <v>269.99999999998181</v>
      </c>
      <c r="S23" s="31">
        <f>'FS Desroches Daily'!AF25</f>
        <v>290.00000000007731</v>
      </c>
      <c r="T23" s="31">
        <f>'FS Desroches Daily'!AH25</f>
        <v>35</v>
      </c>
      <c r="U23" s="35">
        <f>'FS Desroches Daily'!AJ25</f>
        <v>519.99999999998181</v>
      </c>
      <c r="V23" s="35">
        <f>'FS Desroches Daily'!AL25</f>
        <v>180.00000000000682</v>
      </c>
      <c r="W23" s="35">
        <f>'FS Desroches Daily'!AN25</f>
        <v>189.99999999999773</v>
      </c>
      <c r="X23" s="35">
        <f>'FS Desroches Daily'!AP25</f>
        <v>120.00000000000455</v>
      </c>
      <c r="Y23" s="35">
        <f>'FS Desroches Daily'!AR25</f>
        <v>79.999999999984084</v>
      </c>
      <c r="Z23" s="35">
        <f>'FS Desroches Daily'!AT25</f>
        <v>209.99999999997954</v>
      </c>
      <c r="AA23" s="35">
        <f>'FS Desroches Daily'!AT25</f>
        <v>209.99999999997954</v>
      </c>
      <c r="AB23" s="35">
        <f>'FS Desroches Daily'!AV25</f>
        <v>40.000000000020464</v>
      </c>
      <c r="AC23" s="35">
        <f>'FS Desroches Daily'!AZ25</f>
        <v>40.000000000020464</v>
      </c>
      <c r="AD23" s="35">
        <f>'FS Desroches Daily'!BB25</f>
        <v>19.99999999998181</v>
      </c>
      <c r="AE23" s="35">
        <f>'FS Desroches Daily'!BD25</f>
        <v>19.99999999998181</v>
      </c>
      <c r="AF23" s="31">
        <f>'FS Desroches Daily'!BF25</f>
        <v>17</v>
      </c>
      <c r="AG23" s="32">
        <f>'FS Desroches Daily'!BH25</f>
        <v>39.999999999992042</v>
      </c>
      <c r="AH23" s="32">
        <f>'FS Desroches Daily'!BJ25</f>
        <v>19.99999999998181</v>
      </c>
      <c r="AI23" s="32">
        <f>'FS Desroches Daily'!BL25</f>
        <v>39.999999999992042</v>
      </c>
      <c r="AJ23" s="32">
        <f>'FS Desroches Daily'!BN25</f>
        <v>39.999999999992042</v>
      </c>
      <c r="AK23" s="32">
        <f>'FS Desroches Daily'!BP25</f>
        <v>19.99999999998181</v>
      </c>
      <c r="AL23" s="32">
        <f>'FS Desroches Daily'!BR25</f>
        <v>25</v>
      </c>
      <c r="AM23" s="32">
        <f>'FS Desroches Daily'!BT25</f>
        <v>20.000000000010232</v>
      </c>
      <c r="AN23" s="32">
        <f>'FS Desroches Daily'!BV25</f>
        <v>36</v>
      </c>
      <c r="AO23" s="32">
        <f>'FS Desroches Daily'!BX25</f>
        <v>30.000000000001137</v>
      </c>
      <c r="AP23" s="32">
        <f>'FS Desroches Daily'!BZ25</f>
        <v>58</v>
      </c>
      <c r="AQ23" s="31">
        <f>'FS Desroches Daily'!CB25</f>
        <v>48</v>
      </c>
      <c r="AR23" s="31">
        <f>'FS Desroches Daily'!CD25</f>
        <v>6.8999999999996362</v>
      </c>
      <c r="AS23" s="31">
        <f>'FS Desroches Daily'!CF25</f>
        <v>2.3000000000001819</v>
      </c>
      <c r="AT23" s="31">
        <f>'FS Desroches Daily'!CH25</f>
        <v>18.099999999998545</v>
      </c>
      <c r="AU23" s="31">
        <f>'FS Desroches Daily'!CJ25</f>
        <v>280</v>
      </c>
      <c r="AV23" s="31">
        <f>'FS Desroches Daily'!CL25</f>
        <v>799.99999999995453</v>
      </c>
      <c r="AW23" s="31">
        <f>'FS Desroches Daily'!CM25</f>
        <v>58.100000000000364</v>
      </c>
      <c r="AX23" s="31">
        <f>IF(LPG!F30-LPG!F29&lt;0,"0",(LPG!F30-LPG!F29)*1.8315)</f>
        <v>9.1574999999999989</v>
      </c>
      <c r="AY23" s="31">
        <f>IF(LPG!H30-LPG!H29&lt;0,"0",(LPG!H30-LPG!H29)*1.8315)</f>
        <v>3.6629999999999998</v>
      </c>
      <c r="AZ23" s="31">
        <f>IF(LPG!J30-LPG!J29&lt;0,"0",(LPG!J30-LPG!J29)*1.8315)</f>
        <v>1.8314999999999999</v>
      </c>
      <c r="BA23" s="31">
        <f>IF(LPG!M30-LPG!M29&lt;0,"0",(LPG!M30-LPG!M29)*1.8315)</f>
        <v>1.8314999999999999</v>
      </c>
      <c r="BB23" s="31">
        <f>IF(LPG!Q30-LPG!Q29&lt;0,"0",(LPG!Q30-LPG!Q29)*1.8315)</f>
        <v>5.4944999999999995</v>
      </c>
      <c r="BC23" s="13">
        <f>'FS Desroches Daily'!CN25</f>
        <v>8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1499.9999999996128</v>
      </c>
      <c r="F24" s="32">
        <f>'FS Desroches Daily'!F26</f>
        <v>2599.9999999997135</v>
      </c>
      <c r="G24" s="31">
        <f>'FS Desroches Daily'!H26</f>
        <v>2400.0000000001796</v>
      </c>
      <c r="H24" s="32">
        <f>'FS Desroches Daily'!J26</f>
        <v>1100.000000000101</v>
      </c>
      <c r="I24" s="31">
        <f>'FS Desroches Daily'!L26</f>
        <v>1900.0000000000127</v>
      </c>
      <c r="J24" s="32">
        <f>'FS Desroches Daily'!N26</f>
        <v>800.00000000013392</v>
      </c>
      <c r="K24" s="13">
        <f>'FS Desroches Daily'!P26</f>
        <v>0</v>
      </c>
      <c r="L24" s="31">
        <f>'FS Desroches Daily'!R26</f>
        <v>1</v>
      </c>
      <c r="M24" s="31">
        <f>'FS Desroches Daily'!T26</f>
        <v>892</v>
      </c>
      <c r="N24" s="31">
        <f>'FS Desroches Daily'!V26</f>
        <v>309.40000000002328</v>
      </c>
      <c r="O24" s="31">
        <f>'FS Desroches Daily'!X26</f>
        <v>270.00000000003865</v>
      </c>
      <c r="P24" s="31">
        <f>'FS Desroches Daily'!Z26</f>
        <v>2299.9999999999686</v>
      </c>
      <c r="Q24" s="31">
        <f>'FS Desroches Daily'!AB26</f>
        <v>289.99999999996362</v>
      </c>
      <c r="R24" s="31">
        <f>'FS Desroches Daily'!AD26</f>
        <v>170.00000000001592</v>
      </c>
      <c r="S24" s="31">
        <f>'FS Desroches Daily'!AF26</f>
        <v>259.99999999999091</v>
      </c>
      <c r="T24" s="31">
        <f>'FS Desroches Daily'!AH26</f>
        <v>33</v>
      </c>
      <c r="U24" s="35">
        <f>'FS Desroches Daily'!AJ26</f>
        <v>450.00000000004547</v>
      </c>
      <c r="V24" s="35">
        <f>'FS Desroches Daily'!AL26</f>
        <v>169.99999999998749</v>
      </c>
      <c r="W24" s="35">
        <f>'FS Desroches Daily'!AN26</f>
        <v>140.00000000001478</v>
      </c>
      <c r="X24" s="35">
        <f>'FS Desroches Daily'!AP26</f>
        <v>109.99999999998522</v>
      </c>
      <c r="Y24" s="35">
        <f>'FS Desroches Daily'!AR26</f>
        <v>60.000000000002274</v>
      </c>
      <c r="Z24" s="35">
        <f>'FS Desroches Daily'!AT26</f>
        <v>150.00000000003411</v>
      </c>
      <c r="AA24" s="35">
        <f>'FS Desroches Daily'!AT26</f>
        <v>150.00000000003411</v>
      </c>
      <c r="AB24" s="35">
        <f>'FS Desroches Daily'!AV26</f>
        <v>60.000000000002274</v>
      </c>
      <c r="AC24" s="35">
        <f>'FS Desroches Daily'!AZ26</f>
        <v>50.000000000011369</v>
      </c>
      <c r="AD24" s="35">
        <f>'FS Desroches Daily'!BB26</f>
        <v>19.99999999998181</v>
      </c>
      <c r="AE24" s="35">
        <f>'FS Desroches Daily'!BD26</f>
        <v>20.000000000010232</v>
      </c>
      <c r="AF24" s="31">
        <f>'FS Desroches Daily'!BF26</f>
        <v>26</v>
      </c>
      <c r="AG24" s="32">
        <f>'FS Desroches Daily'!BH26</f>
        <v>30.000000000001137</v>
      </c>
      <c r="AH24" s="32">
        <f>'FS Desroches Daily'!BJ26</f>
        <v>29.999999999972715</v>
      </c>
      <c r="AI24" s="32">
        <f>'FS Desroches Daily'!BL26</f>
        <v>30.000000000001137</v>
      </c>
      <c r="AJ24" s="32">
        <f>'FS Desroches Daily'!BN26</f>
        <v>39.999999999992042</v>
      </c>
      <c r="AK24" s="32">
        <f>'FS Desroches Daily'!BP26</f>
        <v>29.999999999972715</v>
      </c>
      <c r="AL24" s="32">
        <f>'FS Desroches Daily'!BR26</f>
        <v>23</v>
      </c>
      <c r="AM24" s="32">
        <f>'FS Desroches Daily'!BT26</f>
        <v>9.9999999999909051</v>
      </c>
      <c r="AN24" s="32">
        <f>'FS Desroches Daily'!BV26</f>
        <v>37</v>
      </c>
      <c r="AO24" s="32">
        <f>'FS Desroches Daily'!BX26</f>
        <v>20.000000000010232</v>
      </c>
      <c r="AP24" s="32">
        <f>'FS Desroches Daily'!BZ26</f>
        <v>45</v>
      </c>
      <c r="AQ24" s="31">
        <f>'FS Desroches Daily'!CB26</f>
        <v>60.799999999999272</v>
      </c>
      <c r="AR24" s="31">
        <f>'FS Desroches Daily'!CD26</f>
        <v>6.3999999999996362</v>
      </c>
      <c r="AS24" s="31">
        <f>'FS Desroches Daily'!CF26</f>
        <v>8.3999999999996362</v>
      </c>
      <c r="AT24" s="31">
        <f>'FS Desroches Daily'!CH26</f>
        <v>33.700000000004366</v>
      </c>
      <c r="AU24" s="31">
        <f>'FS Desroches Daily'!CJ26</f>
        <v>271</v>
      </c>
      <c r="AV24" s="31">
        <f>'FS Desroches Daily'!CL26</f>
        <v>669.99999999995907</v>
      </c>
      <c r="AW24" s="31">
        <f>'FS Desroches Daily'!CM26</f>
        <v>58.600000000000364</v>
      </c>
      <c r="AX24" s="31">
        <f>IF(LPG!F31-LPG!F30&lt;0,"0",(LPG!F31-LPG!F30)*1.8315)</f>
        <v>9.1574999999999989</v>
      </c>
      <c r="AY24" s="31">
        <f>IF(LPG!H31-LPG!H30&lt;0,"0",(LPG!H31-LPG!H30)*1.8315)</f>
        <v>1.8314999999999999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8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1700.0000000000348</v>
      </c>
      <c r="F25" s="32">
        <f>'FS Desroches Daily'!F27</f>
        <v>2800.0000000001355</v>
      </c>
      <c r="G25" s="31">
        <f>'FS Desroches Daily'!H27</f>
        <v>2400.0000000001796</v>
      </c>
      <c r="H25" s="32">
        <f>'FS Desroches Daily'!J27</f>
        <v>1299.9999999998568</v>
      </c>
      <c r="I25" s="31">
        <f>'FS Desroches Daily'!L27</f>
        <v>999.99999999988984</v>
      </c>
      <c r="J25" s="32">
        <f>'FS Desroches Daily'!N27</f>
        <v>799.99999999991189</v>
      </c>
      <c r="K25" s="13">
        <f>'FS Desroches Daily'!P27</f>
        <v>5</v>
      </c>
      <c r="L25" s="31">
        <f>'FS Desroches Daily'!R27</f>
        <v>2</v>
      </c>
      <c r="M25" s="31">
        <f>'FS Desroches Daily'!T27</f>
        <v>603.40000000002328</v>
      </c>
      <c r="N25" s="31">
        <f>'FS Desroches Daily'!V27</f>
        <v>266.20000000001164</v>
      </c>
      <c r="O25" s="31">
        <f>'FS Desroches Daily'!X27</f>
        <v>279.99999999997272</v>
      </c>
      <c r="P25" s="31">
        <f>'FS Desroches Daily'!Z27</f>
        <v>2499.9999999999468</v>
      </c>
      <c r="Q25" s="31">
        <f>'FS Desroches Daily'!AB27</f>
        <v>160.00000000002501</v>
      </c>
      <c r="R25" s="31">
        <f>'FS Desroches Daily'!AD27</f>
        <v>230.00000000001819</v>
      </c>
      <c r="S25" s="31">
        <f>'FS Desroches Daily'!AF27</f>
        <v>279.99999999997272</v>
      </c>
      <c r="T25" s="31">
        <f>'FS Desroches Daily'!AH27</f>
        <v>35</v>
      </c>
      <c r="U25" s="35">
        <f>'FS Desroches Daily'!AJ27</f>
        <v>529.99999999997272</v>
      </c>
      <c r="V25" s="35">
        <f>'FS Desroches Daily'!AL27</f>
        <v>180.00000000000682</v>
      </c>
      <c r="W25" s="35">
        <f>'FS Desroches Daily'!AN27</f>
        <v>149.99999999997726</v>
      </c>
      <c r="X25" s="35">
        <f>'FS Desroches Daily'!AP27</f>
        <v>120.00000000000455</v>
      </c>
      <c r="Y25" s="35">
        <f>'FS Desroches Daily'!AR27</f>
        <v>80.000000000012506</v>
      </c>
      <c r="Z25" s="35">
        <f>'FS Desroches Daily'!AT27</f>
        <v>129.99999999999545</v>
      </c>
      <c r="AA25" s="35">
        <f>'FS Desroches Daily'!AT27</f>
        <v>129.99999999999545</v>
      </c>
      <c r="AB25" s="35">
        <f>'FS Desroches Daily'!AV27</f>
        <v>60.000000000002274</v>
      </c>
      <c r="AC25" s="35">
        <f>'FS Desroches Daily'!AZ27</f>
        <v>60.000000000002274</v>
      </c>
      <c r="AD25" s="35">
        <f>'FS Desroches Daily'!BB27</f>
        <v>30.000000000029559</v>
      </c>
      <c r="AE25" s="35">
        <f>'FS Desroches Daily'!BD27</f>
        <v>39.999999999992042</v>
      </c>
      <c r="AF25" s="31">
        <f>'FS Desroches Daily'!BF27</f>
        <v>20</v>
      </c>
      <c r="AG25" s="32">
        <f>'FS Desroches Daily'!BH27</f>
        <v>40.000000000020464</v>
      </c>
      <c r="AH25" s="32">
        <f>'FS Desroches Daily'!BJ27</f>
        <v>30.000000000029559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30.000000000029559</v>
      </c>
      <c r="AL25" s="32">
        <f>'FS Desroches Daily'!BR27</f>
        <v>27</v>
      </c>
      <c r="AM25" s="32">
        <f>'FS Desroches Daily'!BT27</f>
        <v>20.000000000010232</v>
      </c>
      <c r="AN25" s="32">
        <f>'FS Desroches Daily'!BV27</f>
        <v>36</v>
      </c>
      <c r="AO25" s="32">
        <f>'FS Desroches Daily'!BX27</f>
        <v>19.99999999998181</v>
      </c>
      <c r="AP25" s="32">
        <f>'FS Desroches Daily'!BZ27</f>
        <v>57</v>
      </c>
      <c r="AQ25" s="31">
        <f>'FS Desroches Daily'!CB27</f>
        <v>28.099999999998545</v>
      </c>
      <c r="AR25" s="31">
        <f>'FS Desroches Daily'!CD27</f>
        <v>4</v>
      </c>
      <c r="AS25" s="31">
        <f>'FS Desroches Daily'!CF27</f>
        <v>8.1000000000003638</v>
      </c>
      <c r="AT25" s="31">
        <f>'FS Desroches Daily'!CH27</f>
        <v>38.299999999995634</v>
      </c>
      <c r="AU25" s="31">
        <f>'FS Desroches Daily'!CJ27</f>
        <v>294</v>
      </c>
      <c r="AV25" s="31">
        <f>'FS Desroches Daily'!CL27</f>
        <v>580.00000000004093</v>
      </c>
      <c r="AW25" s="31">
        <f>'FS Desroches Daily'!CM27</f>
        <v>69.100000000000364</v>
      </c>
      <c r="AX25" s="31">
        <f>IF(LPG!F32-LPG!F31&lt;0,"0",(LPG!F32-LPG!F31)*1.8315)</f>
        <v>7.3259999999999996</v>
      </c>
      <c r="AY25" s="31">
        <f>IF(LPG!H32-LPG!H31&lt;0,"0",(LPG!H32-LPG!H31)*1.8315)</f>
        <v>1.8314999999999999</v>
      </c>
      <c r="AZ25" s="31">
        <f>IF(LPG!J32-LPG!J31&lt;0,"0",(LPG!J32-LPG!J31)*1.8315)</f>
        <v>1.8314999999999999</v>
      </c>
      <c r="BA25" s="31">
        <f>IF(LPG!M32-LPG!M31&lt;0,"0",(LPG!M32-LPG!M31)*1.8315)</f>
        <v>1.8314999999999999</v>
      </c>
      <c r="BB25" s="31">
        <f>IF(LPG!Q32-LPG!Q31&lt;0,"0",(LPG!Q32-LPG!Q31)*1.8315)</f>
        <v>5.4944999999999995</v>
      </c>
      <c r="BC25" s="13">
        <f>'FS Desroches Daily'!CN27</f>
        <v>8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1700.0000000000348</v>
      </c>
      <c r="F26" s="32">
        <f>'FS Desroches Daily'!F28</f>
        <v>2600.0000000001578</v>
      </c>
      <c r="G26" s="31">
        <f>'FS Desroches Daily'!H28</f>
        <v>2199.9999999997576</v>
      </c>
      <c r="H26" s="32">
        <f>'FS Desroches Daily'!J28</f>
        <v>1200.0000000000898</v>
      </c>
      <c r="I26" s="31">
        <f>'FS Desroches Daily'!L28</f>
        <v>3000.0000000001137</v>
      </c>
      <c r="J26" s="32">
        <f>'FS Desroches Daily'!N28</f>
        <v>900.0000000001229</v>
      </c>
      <c r="K26" s="13">
        <f>'FS Desroches Daily'!P28</f>
        <v>4</v>
      </c>
      <c r="L26" s="31">
        <f>'FS Desroches Daily'!R28</f>
        <v>2</v>
      </c>
      <c r="M26" s="31">
        <f>'FS Desroches Daily'!T28</f>
        <v>546.59999999997672</v>
      </c>
      <c r="N26" s="31">
        <f>'FS Desroches Daily'!V28</f>
        <v>252.89999999996508</v>
      </c>
      <c r="O26" s="31">
        <f>'FS Desroches Daily'!X28</f>
        <v>240.00000000000909</v>
      </c>
      <c r="P26" s="31">
        <f>'FS Desroches Daily'!Z28</f>
        <v>2299.9999999999686</v>
      </c>
      <c r="Q26" s="31">
        <f>'FS Desroches Daily'!AB28</f>
        <v>289.99999999996362</v>
      </c>
      <c r="R26" s="31">
        <f>'FS Desroches Daily'!AD28</f>
        <v>229.99999999996135</v>
      </c>
      <c r="S26" s="31">
        <f>'FS Desroches Daily'!AF28</f>
        <v>320.00000000005002</v>
      </c>
      <c r="T26" s="31">
        <f>'FS Desroches Daily'!AH28</f>
        <v>34</v>
      </c>
      <c r="U26" s="35">
        <f>'FS Desroches Daily'!AJ28</f>
        <v>519.99999999998181</v>
      </c>
      <c r="V26" s="35">
        <f>'FS Desroches Daily'!AL28</f>
        <v>189.99999999999773</v>
      </c>
      <c r="W26" s="35">
        <f>'FS Desroches Daily'!AN28</f>
        <v>150.00000000000568</v>
      </c>
      <c r="X26" s="35">
        <f>'FS Desroches Daily'!AP28</f>
        <v>189.99999999999773</v>
      </c>
      <c r="Y26" s="35">
        <f>'FS Desroches Daily'!AR28</f>
        <v>79.999999999984084</v>
      </c>
      <c r="Z26" s="35">
        <f>'FS Desroches Daily'!AT28</f>
        <v>99.999999999965894</v>
      </c>
      <c r="AA26" s="35">
        <f>'FS Desroches Daily'!AT28</f>
        <v>99.999999999965894</v>
      </c>
      <c r="AB26" s="35">
        <f>'FS Desroches Daily'!AV28</f>
        <v>39.99999999996362</v>
      </c>
      <c r="AC26" s="35">
        <f>'FS Desroches Daily'!AZ28</f>
        <v>49.999999999954525</v>
      </c>
      <c r="AD26" s="35">
        <f>'FS Desroches Daily'!BB28</f>
        <v>29.999999999972715</v>
      </c>
      <c r="AE26" s="35">
        <f>'FS Desroches Daily'!BD28</f>
        <v>20.000000000010232</v>
      </c>
      <c r="AF26" s="31">
        <f>'FS Desroches Daily'!BF28</f>
        <v>49</v>
      </c>
      <c r="AG26" s="32">
        <f>'FS Desroches Daily'!BH28</f>
        <v>39.999999999992042</v>
      </c>
      <c r="AH26" s="32">
        <f>'FS Desroches Daily'!BJ28</f>
        <v>9.9999999999909051</v>
      </c>
      <c r="AI26" s="32">
        <f>'FS Desroches Daily'!BL28</f>
        <v>30.000000000001137</v>
      </c>
      <c r="AJ26" s="32">
        <f>'FS Desroches Daily'!BN28</f>
        <v>30.000000000001137</v>
      </c>
      <c r="AK26" s="32">
        <f>'FS Desroches Daily'!BP28</f>
        <v>19.99999999998181</v>
      </c>
      <c r="AL26" s="32">
        <f>'FS Desroches Daily'!BR28</f>
        <v>25</v>
      </c>
      <c r="AM26" s="32">
        <f>'FS Desroches Daily'!BT28</f>
        <v>20.000000000010232</v>
      </c>
      <c r="AN26" s="32">
        <f>'FS Desroches Daily'!BV28</f>
        <v>35</v>
      </c>
      <c r="AO26" s="32">
        <f>'FS Desroches Daily'!BX28</f>
        <v>30.000000000001137</v>
      </c>
      <c r="AP26" s="32">
        <f>'FS Desroches Daily'!BZ28</f>
        <v>41</v>
      </c>
      <c r="AQ26" s="31">
        <f>'FS Desroches Daily'!CB28</f>
        <v>25.700000000000728</v>
      </c>
      <c r="AR26" s="31">
        <f>'FS Desroches Daily'!CD28</f>
        <v>6.8000000000010914</v>
      </c>
      <c r="AS26" s="31">
        <f>'FS Desroches Daily'!CF28</f>
        <v>0</v>
      </c>
      <c r="AT26" s="31">
        <f>'FS Desroches Daily'!CH28</f>
        <v>37.30000000000291</v>
      </c>
      <c r="AU26" s="31">
        <f>'FS Desroches Daily'!CJ28</f>
        <v>326</v>
      </c>
      <c r="AV26" s="31">
        <f>'FS Desroches Daily'!CL28</f>
        <v>529.99999999997272</v>
      </c>
      <c r="AW26" s="31">
        <f>'FS Desroches Daily'!CM28</f>
        <v>54.600000000000364</v>
      </c>
      <c r="AX26" s="31">
        <f>IF(LPG!F33-LPG!F32&lt;0,"0",(LPG!F33-LPG!F32)*1.8315)</f>
        <v>10.988999999999999</v>
      </c>
      <c r="AY26" s="31">
        <f>IF(LPG!H33-LPG!H32&lt;0,"0",(LPG!H33-LPG!H32)*1.8315)</f>
        <v>3.6629999999999998</v>
      </c>
      <c r="AZ26" s="31">
        <f>IF(LPG!J33-LPG!J32&lt;0,"0",(LPG!J33-LPG!J32)*1.8315)</f>
        <v>1.8314999999999999</v>
      </c>
      <c r="BA26" s="31">
        <f>IF(LPG!M33-LPG!M32&lt;0,"0",(LPG!M33-LPG!M32)*1.8315)</f>
        <v>0</v>
      </c>
      <c r="BB26" s="31">
        <f>IF(LPG!Q33-LPG!Q32&lt;0,"0",(LPG!Q33-LPG!Q32)*1.8315)</f>
        <v>9.1574999999999989</v>
      </c>
      <c r="BC26" s="13">
        <f>'FS Desroches Daily'!CN28</f>
        <v>9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1800.0000000002458</v>
      </c>
      <c r="F27" s="32">
        <f>'FS Desroches Daily'!F29</f>
        <v>2799.9999999996917</v>
      </c>
      <c r="G27" s="31">
        <f>'FS Desroches Daily'!H29</f>
        <v>2400.0000000001796</v>
      </c>
      <c r="H27" s="32">
        <f>'FS Desroches Daily'!J29</f>
        <v>1400.0000000000678</v>
      </c>
      <c r="I27" s="31">
        <f>'FS Desroches Daily'!L29</f>
        <v>2000.0000000002237</v>
      </c>
      <c r="J27" s="32">
        <f>'FS Desroches Daily'!N29</f>
        <v>899.99999999990087</v>
      </c>
      <c r="K27" s="13">
        <f>'FS Desroches Daily'!P29</f>
        <v>9</v>
      </c>
      <c r="L27" s="31">
        <f>'FS Desroches Daily'!R29</f>
        <v>3</v>
      </c>
      <c r="M27" s="31">
        <f>'FS Desroches Daily'!T29</f>
        <v>809</v>
      </c>
      <c r="N27" s="31">
        <f>'FS Desroches Daily'!V29</f>
        <v>304.90000000002328</v>
      </c>
      <c r="O27" s="31">
        <f>'FS Desroches Daily'!X29</f>
        <v>279.99999999997272</v>
      </c>
      <c r="P27" s="31">
        <f>'FS Desroches Daily'!Z29</f>
        <v>2600.0000000001578</v>
      </c>
      <c r="Q27" s="31">
        <f>'FS Desroches Daily'!AB29</f>
        <v>260.00000000004775</v>
      </c>
      <c r="R27" s="31">
        <f>'FS Desroches Daily'!AD29</f>
        <v>260.00000000004775</v>
      </c>
      <c r="S27" s="31">
        <f>'FS Desroches Daily'!AF29</f>
        <v>279.99999999997272</v>
      </c>
      <c r="T27" s="31">
        <f>'FS Desroches Daily'!AH29</f>
        <v>33</v>
      </c>
      <c r="U27" s="35">
        <f>'FS Desroches Daily'!AJ29</f>
        <v>730.00000000001819</v>
      </c>
      <c r="V27" s="35">
        <f>'FS Desroches Daily'!AL29</f>
        <v>189.99999999999773</v>
      </c>
      <c r="W27" s="35">
        <f>'FS Desroches Daily'!AN29</f>
        <v>159.99999999999659</v>
      </c>
      <c r="X27" s="35">
        <f>'FS Desroches Daily'!AP29</f>
        <v>219.99999999999886</v>
      </c>
      <c r="Y27" s="35">
        <f>'FS Desroches Daily'!AR29</f>
        <v>60.000000000002274</v>
      </c>
      <c r="Z27" s="35">
        <f>'FS Desroches Daily'!AT29</f>
        <v>110.00000000001364</v>
      </c>
      <c r="AA27" s="35">
        <f>'FS Desroches Daily'!AT29</f>
        <v>110.00000000001364</v>
      </c>
      <c r="AB27" s="35">
        <f>'FS Desroches Daily'!AV29</f>
        <v>60.000000000002274</v>
      </c>
      <c r="AC27" s="35">
        <f>'FS Desroches Daily'!AZ29</f>
        <v>40.000000000020464</v>
      </c>
      <c r="AD27" s="35">
        <f>'FS Desroches Daily'!BB29</f>
        <v>20.000000000038654</v>
      </c>
      <c r="AE27" s="35">
        <f>'FS Desroches Daily'!BD29</f>
        <v>30.000000000001137</v>
      </c>
      <c r="AF27" s="31">
        <f>'FS Desroches Daily'!BF29</f>
        <v>38</v>
      </c>
      <c r="AG27" s="32">
        <f>'FS Desroches Daily'!BH29</f>
        <v>60.000000000002274</v>
      </c>
      <c r="AH27" s="32">
        <f>'FS Desroches Daily'!BJ29</f>
        <v>30.000000000029559</v>
      </c>
      <c r="AI27" s="32">
        <f>'FS Desroches Daily'!BL29</f>
        <v>20.000000000010232</v>
      </c>
      <c r="AJ27" s="32">
        <f>'FS Desroches Daily'!BN29</f>
        <v>39.999999999992042</v>
      </c>
      <c r="AK27" s="32">
        <f>'FS Desroches Daily'!BP29</f>
        <v>30.000000000029559</v>
      </c>
      <c r="AL27" s="32">
        <f>'FS Desroches Daily'!BR29</f>
        <v>25</v>
      </c>
      <c r="AM27" s="32">
        <f>'FS Desroches Daily'!BT29</f>
        <v>30.000000000001137</v>
      </c>
      <c r="AN27" s="32">
        <f>'FS Desroches Daily'!BV29</f>
        <v>39</v>
      </c>
      <c r="AO27" s="32">
        <f>'FS Desroches Daily'!BX29</f>
        <v>30.000000000001137</v>
      </c>
      <c r="AP27" s="32">
        <f>'FS Desroches Daily'!BZ29</f>
        <v>65</v>
      </c>
      <c r="AQ27" s="31">
        <f>'FS Desroches Daily'!CB29</f>
        <v>18.100000000002183</v>
      </c>
      <c r="AR27" s="31">
        <f>'FS Desroches Daily'!CD29</f>
        <v>8.6000000000003638</v>
      </c>
      <c r="AS27" s="31">
        <f>'FS Desroches Daily'!CF29</f>
        <v>2.3000000000001819</v>
      </c>
      <c r="AT27" s="31">
        <f>'FS Desroches Daily'!CH29</f>
        <v>36.69999999999709</v>
      </c>
      <c r="AU27" s="31">
        <f>'FS Desroches Daily'!CJ29</f>
        <v>370</v>
      </c>
      <c r="AV27" s="31">
        <f>'FS Desroches Daily'!CL29</f>
        <v>590.00000000003183</v>
      </c>
      <c r="AW27" s="31">
        <f>'FS Desroches Daily'!CM29</f>
        <v>57.799999999999272</v>
      </c>
      <c r="AX27" s="31">
        <f>IF(LPG!F35-LPG!F33&lt;0,"0",(LPG!F35-LPG!F33)*1.8315)</f>
        <v>18.314999999999998</v>
      </c>
      <c r="AY27" s="31">
        <f>IF(LPG!H35-LPG!H33&lt;0,"0",(LPG!H35-LPG!H33)*1.8315)</f>
        <v>9.1574999999999989</v>
      </c>
      <c r="AZ27" s="31">
        <f>IF(LPG!J35-LPG!J33&lt;0,"0",(LPG!J35-LPG!J33)*1.8315)</f>
        <v>3.6629999999999998</v>
      </c>
      <c r="BA27" s="31">
        <f>IF(LPG!M35-LPG!M33&lt;0,"0",(LPG!M35-LPG!M33)*1.8315)</f>
        <v>5.4944999999999995</v>
      </c>
      <c r="BB27" s="31">
        <f>IF(LPG!Q34-LPG!Q33&lt;0,"0",(LPG!Q34-LPG!Q33)*1.8315)</f>
        <v>9.1574999999999989</v>
      </c>
      <c r="BC27" s="13">
        <f>'FS Desroches Daily'!CN29</f>
        <v>9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1999.9999999997797</v>
      </c>
      <c r="F28" s="32">
        <f>'FS Desroches Daily'!F30</f>
        <v>2700.0000000003688</v>
      </c>
      <c r="G28" s="31">
        <f>'FS Desroches Daily'!H30</f>
        <v>2299.9999999999686</v>
      </c>
      <c r="H28" s="32">
        <f>'FS Desroches Daily'!J30</f>
        <v>1399.9999999998458</v>
      </c>
      <c r="I28" s="31">
        <f>'FS Desroches Daily'!L30</f>
        <v>1900.0000000000127</v>
      </c>
      <c r="J28" s="32">
        <f>'FS Desroches Daily'!N30</f>
        <v>999.99999999988984</v>
      </c>
      <c r="K28" s="13">
        <f>'FS Desroches Daily'!P30</f>
        <v>9</v>
      </c>
      <c r="L28" s="31">
        <f>'FS Desroches Daily'!R30</f>
        <v>2</v>
      </c>
      <c r="M28" s="31">
        <f>'FS Desroches Daily'!T30</f>
        <v>647.20000000006985</v>
      </c>
      <c r="N28" s="31">
        <f>'FS Desroches Daily'!V30</f>
        <v>254.89999999996508</v>
      </c>
      <c r="O28" s="31">
        <f>'FS Desroches Daily'!X30</f>
        <v>260.00000000004775</v>
      </c>
      <c r="P28" s="31">
        <f>'FS Desroches Daily'!Z30</f>
        <v>2400.0000000001796</v>
      </c>
      <c r="Q28" s="31">
        <f>'FS Desroches Daily'!AB30</f>
        <v>349.99999999996589</v>
      </c>
      <c r="R28" s="31">
        <f>'FS Desroches Daily'!AD30</f>
        <v>250</v>
      </c>
      <c r="S28" s="31">
        <f>'FS Desroches Daily'!AF30</f>
        <v>279.99999999997272</v>
      </c>
      <c r="T28" s="31">
        <f>'FS Desroches Daily'!AH30</f>
        <v>36</v>
      </c>
      <c r="U28" s="35">
        <f>'FS Desroches Daily'!AJ30</f>
        <v>850.00000000002274</v>
      </c>
      <c r="V28" s="35">
        <f>'FS Desroches Daily'!AL30</f>
        <v>180.00000000000682</v>
      </c>
      <c r="W28" s="35">
        <f>'FS Desroches Daily'!AN30</f>
        <v>210.00000000000796</v>
      </c>
      <c r="X28" s="35">
        <f>'FS Desroches Daily'!AP30</f>
        <v>180.00000000000682</v>
      </c>
      <c r="Y28" s="35">
        <f>'FS Desroches Daily'!AR30</f>
        <v>80.000000000012506</v>
      </c>
      <c r="Z28" s="35">
        <f>'FS Desroches Daily'!AT30</f>
        <v>100.00000000002274</v>
      </c>
      <c r="AA28" s="35">
        <f>'FS Desroches Daily'!AT30</f>
        <v>100.00000000002274</v>
      </c>
      <c r="AB28" s="35">
        <f>'FS Desroches Daily'!AV30</f>
        <v>60.000000000002274</v>
      </c>
      <c r="AC28" s="35">
        <f>'FS Desroches Daily'!AZ30</f>
        <v>40.000000000020464</v>
      </c>
      <c r="AD28" s="35">
        <f>'FS Desroches Daily'!BB30</f>
        <v>9.9999999999909051</v>
      </c>
      <c r="AE28" s="35">
        <f>'FS Desroches Daily'!BD30</f>
        <v>9.9999999999909051</v>
      </c>
      <c r="AF28" s="31">
        <f>'FS Desroches Daily'!BF30</f>
        <v>30</v>
      </c>
      <c r="AG28" s="32">
        <f>'FS Desroches Daily'!BH30</f>
        <v>39.999999999992042</v>
      </c>
      <c r="AH28" s="32">
        <f>'FS Desroches Daily'!BJ30</f>
        <v>19.99999999998181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26</v>
      </c>
      <c r="AM28" s="32">
        <f>'FS Desroches Daily'!BT30</f>
        <v>19.99999999998181</v>
      </c>
      <c r="AN28" s="32">
        <f>'FS Desroches Daily'!BV30</f>
        <v>39</v>
      </c>
      <c r="AO28" s="32">
        <f>'FS Desroches Daily'!BX30</f>
        <v>30.000000000001137</v>
      </c>
      <c r="AP28" s="32">
        <f>'FS Desroches Daily'!BZ30</f>
        <v>71</v>
      </c>
      <c r="AQ28" s="31">
        <f>'FS Desroches Daily'!CB30</f>
        <v>31.899999999997817</v>
      </c>
      <c r="AR28" s="31">
        <f>'FS Desroches Daily'!CD30</f>
        <v>8.2999999999992724</v>
      </c>
      <c r="AS28" s="31">
        <f>'FS Desroches Daily'!CF30</f>
        <v>9</v>
      </c>
      <c r="AT28" s="31">
        <f>'FS Desroches Daily'!CH30</f>
        <v>44.200000000004366</v>
      </c>
      <c r="AU28" s="31">
        <f>'FS Desroches Daily'!CJ30</f>
        <v>286</v>
      </c>
      <c r="AV28" s="31">
        <f>'FS Desroches Daily'!CL30</f>
        <v>519.99999999998181</v>
      </c>
      <c r="AW28" s="31">
        <f>'FS Desroches Daily'!CM30</f>
        <v>49</v>
      </c>
      <c r="AX28" s="31">
        <f>IF(LPG!F36-LPG!F34&lt;0,"0",(LPG!F36-LPG!F34)*1.8315)</f>
        <v>21.977999999999998</v>
      </c>
      <c r="AY28" s="31">
        <f>IF(LPG!H36-LPG!H34&lt;0,"0",(LPG!H36-LPG!H34)*1.8315)</f>
        <v>9.1574999999999989</v>
      </c>
      <c r="AZ28" s="31">
        <f>IF(LPG!J36-LPG!J34&lt;0,"0",(LPG!J36-LPG!J34)*1.8315)</f>
        <v>1.8314999999999999</v>
      </c>
      <c r="BA28" s="31">
        <f>IF(LPG!M36-LPG!M34&lt;0,"0",(LPG!M36-LPG!M34)*1.8315)</f>
        <v>3.6629999999999998</v>
      </c>
      <c r="BB28" s="31">
        <f>IF(LPG!Q35-LPG!Q34&lt;0,"0",(LPG!Q35-LPG!Q34)*1.8315)</f>
        <v>7.3259999999999996</v>
      </c>
      <c r="BC28" s="13">
        <f>'FS Desroches Daily'!CN30</f>
        <v>9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2099.9999999999909</v>
      </c>
      <c r="F29" s="32">
        <f>'FS Desroches Daily'!F31</f>
        <v>2699.9999999999245</v>
      </c>
      <c r="G29" s="31">
        <f>'FS Desroches Daily'!H31</f>
        <v>2599.9999999997135</v>
      </c>
      <c r="H29" s="32">
        <f>'FS Desroches Daily'!J31</f>
        <v>1300.0000000000789</v>
      </c>
      <c r="I29" s="31">
        <f>'FS Desroches Daily'!L31</f>
        <v>1999.9999999997797</v>
      </c>
      <c r="J29" s="32">
        <f>'FS Desroches Daily'!N31</f>
        <v>900.0000000001229</v>
      </c>
      <c r="K29" s="13">
        <f>'FS Desroches Daily'!P31</f>
        <v>7</v>
      </c>
      <c r="L29" s="31">
        <f>'FS Desroches Daily'!R31</f>
        <v>3</v>
      </c>
      <c r="M29" s="31">
        <f>'FS Desroches Daily'!T31</f>
        <v>924.40000000002328</v>
      </c>
      <c r="N29" s="31">
        <f>'FS Desroches Daily'!V31</f>
        <v>422</v>
      </c>
      <c r="O29" s="31">
        <f>'FS Desroches Daily'!X31</f>
        <v>250</v>
      </c>
      <c r="P29" s="31">
        <f>'FS Desroches Daily'!Z31</f>
        <v>2399.9999999997358</v>
      </c>
      <c r="Q29" s="31">
        <f>'FS Desroches Daily'!AB31</f>
        <v>270.00000000003865</v>
      </c>
      <c r="R29" s="31">
        <f>'FS Desroches Daily'!AD31</f>
        <v>250</v>
      </c>
      <c r="S29" s="31">
        <f>'FS Desroches Daily'!AF31</f>
        <v>269.99999999998181</v>
      </c>
      <c r="T29" s="31">
        <f>'FS Desroches Daily'!AH31</f>
        <v>41</v>
      </c>
      <c r="U29" s="35">
        <f>'FS Desroches Daily'!AJ31</f>
        <v>809.99999999994543</v>
      </c>
      <c r="V29" s="35">
        <f>'FS Desroches Daily'!AL31</f>
        <v>189.99999999999773</v>
      </c>
      <c r="W29" s="35">
        <f>'FS Desroches Daily'!AN31</f>
        <v>200.00000000001705</v>
      </c>
      <c r="X29" s="35">
        <f>'FS Desroches Daily'!AP31</f>
        <v>150.00000000000568</v>
      </c>
      <c r="Y29" s="35">
        <f>'FS Desroches Daily'!AR31</f>
        <v>90.000000000003411</v>
      </c>
      <c r="Z29" s="35">
        <f>'FS Desroches Daily'!AT31</f>
        <v>120.00000000000455</v>
      </c>
      <c r="AA29" s="35">
        <f>'FS Desroches Daily'!AT31</f>
        <v>120.00000000000455</v>
      </c>
      <c r="AB29" s="35">
        <f>'FS Desroches Daily'!AV31</f>
        <v>80.000000000040927</v>
      </c>
      <c r="AC29" s="35">
        <f>'FS Desroches Daily'!AZ31</f>
        <v>60.000000000002274</v>
      </c>
      <c r="AD29" s="35">
        <f>'FS Desroches Daily'!BB31</f>
        <v>40.000000000020464</v>
      </c>
      <c r="AE29" s="35">
        <f>'FS Desroches Daily'!BD31</f>
        <v>40.000000000020464</v>
      </c>
      <c r="AF29" s="31">
        <f>'FS Desroches Daily'!BF31</f>
        <v>23</v>
      </c>
      <c r="AG29" s="32">
        <f>'FS Desroches Daily'!BH31</f>
        <v>60.000000000002274</v>
      </c>
      <c r="AH29" s="32">
        <f>'FS Desroches Daily'!BJ31</f>
        <v>29.999999999972715</v>
      </c>
      <c r="AI29" s="32">
        <f>'FS Desroches Daily'!BL31</f>
        <v>30.000000000001137</v>
      </c>
      <c r="AJ29" s="32">
        <f>'FS Desroches Daily'!BN31</f>
        <v>40.000000000020464</v>
      </c>
      <c r="AK29" s="32">
        <f>'FS Desroches Daily'!BP31</f>
        <v>30.000000000029559</v>
      </c>
      <c r="AL29" s="32">
        <f>'FS Desroches Daily'!BR31</f>
        <v>33</v>
      </c>
      <c r="AM29" s="32">
        <f>'FS Desroches Daily'!BT31</f>
        <v>30.000000000001137</v>
      </c>
      <c r="AN29" s="32">
        <f>'FS Desroches Daily'!BV31</f>
        <v>41</v>
      </c>
      <c r="AO29" s="32">
        <f>'FS Desroches Daily'!BX31</f>
        <v>20.000000000010232</v>
      </c>
      <c r="AP29" s="32">
        <f>'FS Desroches Daily'!BZ31</f>
        <v>76</v>
      </c>
      <c r="AQ29" s="31">
        <f>'FS Desroches Daily'!CB31</f>
        <v>36.799999999999272</v>
      </c>
      <c r="AR29" s="31">
        <f>'FS Desroches Daily'!CD31</f>
        <v>8.3999999999996362</v>
      </c>
      <c r="AS29" s="31">
        <f>'FS Desroches Daily'!CF31</f>
        <v>6</v>
      </c>
      <c r="AT29" s="31">
        <f>'FS Desroches Daily'!CH31</f>
        <v>39.799999999995634</v>
      </c>
      <c r="AU29" s="31">
        <f>'FS Desroches Daily'!CJ31</f>
        <v>289</v>
      </c>
      <c r="AV29" s="31">
        <f>'FS Desroches Daily'!CL31</f>
        <v>590.00000000003183</v>
      </c>
      <c r="AW29" s="31">
        <f>'FS Desroches Daily'!CM31</f>
        <v>86</v>
      </c>
      <c r="AX29" s="31">
        <f>IF(LPG!F37-LPG!F35&lt;0,"0",(LPG!F37-LPG!F35)*1.8315)</f>
        <v>20.1465</v>
      </c>
      <c r="AY29" s="31">
        <f>IF(LPG!H37-LPG!H35&lt;0,"0",(LPG!H37-LPG!H35)*1.8315)</f>
        <v>10.988999999999999</v>
      </c>
      <c r="AZ29" s="31">
        <f>IF(LPG!J37-LPG!J35&lt;0,"0",(LPG!J37-LPG!J35)*1.8315)</f>
        <v>0</v>
      </c>
      <c r="BA29" s="31">
        <f>IF(LPG!M37-LPG!M35&lt;0,"0",(LPG!M37-LPG!M35)*1.8315)</f>
        <v>3.6629999999999998</v>
      </c>
      <c r="BB29" s="31">
        <f>IF(LPG!Q36-LPG!Q35&lt;0,"0",(LPG!Q36-LPG!Q35)*1.8315)</f>
        <v>10.988999999999999</v>
      </c>
      <c r="BC29" s="13">
        <f>'FS Desroches Daily'!CN31</f>
        <v>9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2200.0000000002019</v>
      </c>
      <c r="F30" s="32">
        <f>'FS Desroches Daily'!F32</f>
        <v>3000.0000000001137</v>
      </c>
      <c r="G30" s="31">
        <f>'FS Desroches Daily'!H32</f>
        <v>3000.0000000001137</v>
      </c>
      <c r="H30" s="32">
        <f>'FS Desroches Daily'!J32</f>
        <v>1300.0000000000789</v>
      </c>
      <c r="I30" s="31">
        <f>'FS Desroches Daily'!L32</f>
        <v>2299.9999999999686</v>
      </c>
      <c r="J30" s="32">
        <f>'FS Desroches Daily'!N32</f>
        <v>899.99999999990087</v>
      </c>
      <c r="K30" s="13">
        <f>'FS Desroches Daily'!P32</f>
        <v>5</v>
      </c>
      <c r="L30" s="31">
        <f>'FS Desroches Daily'!R32</f>
        <v>2</v>
      </c>
      <c r="M30" s="31">
        <f>'FS Desroches Daily'!T32</f>
        <v>1093.5999999999767</v>
      </c>
      <c r="N30" s="31">
        <f>'FS Desroches Daily'!V32</f>
        <v>466.10000000003492</v>
      </c>
      <c r="O30" s="31">
        <f>'FS Desroches Daily'!X32</f>
        <v>279.99999999997272</v>
      </c>
      <c r="P30" s="31">
        <f>'FS Desroches Daily'!Z32</f>
        <v>3200.0000000000919</v>
      </c>
      <c r="Q30" s="31">
        <f>'FS Desroches Daily'!AB32</f>
        <v>229.99999999996135</v>
      </c>
      <c r="R30" s="31">
        <f>'FS Desroches Daily'!AD32</f>
        <v>299.99999999995453</v>
      </c>
      <c r="S30" s="31">
        <f>'FS Desroches Daily'!AF32</f>
        <v>310.00000000005912</v>
      </c>
      <c r="T30" s="31">
        <f>'FS Desroches Daily'!AH32</f>
        <v>43</v>
      </c>
      <c r="U30" s="35">
        <f>'FS Desroches Daily'!AJ32</f>
        <v>1070.00000000005</v>
      </c>
      <c r="V30" s="35">
        <f>'FS Desroches Daily'!AL32</f>
        <v>219.99999999999886</v>
      </c>
      <c r="W30" s="35">
        <f>'FS Desroches Daily'!AN32</f>
        <v>229.99999999998977</v>
      </c>
      <c r="X30" s="35">
        <f>'FS Desroches Daily'!AP32</f>
        <v>169.99999999998749</v>
      </c>
      <c r="Y30" s="35">
        <f>'FS Desroches Daily'!AR32</f>
        <v>99.999999999994316</v>
      </c>
      <c r="Z30" s="35">
        <f>'FS Desroches Daily'!AT32</f>
        <v>139.99999999998636</v>
      </c>
      <c r="AA30" s="35">
        <f>'FS Desroches Daily'!AT32</f>
        <v>139.99999999998636</v>
      </c>
      <c r="AB30" s="35">
        <f>'FS Desroches Daily'!AV32</f>
        <v>69.999999999993179</v>
      </c>
      <c r="AC30" s="35">
        <f>'FS Desroches Daily'!AZ32</f>
        <v>79.999999999984084</v>
      </c>
      <c r="AD30" s="35">
        <f>'FS Desroches Daily'!BB32</f>
        <v>39.99999999996362</v>
      </c>
      <c r="AE30" s="35">
        <f>'FS Desroches Daily'!BD32</f>
        <v>39.999999999992042</v>
      </c>
      <c r="AF30" s="31">
        <f>'FS Desroches Daily'!BF32</f>
        <v>42</v>
      </c>
      <c r="AG30" s="32">
        <f>'FS Desroches Daily'!BH32</f>
        <v>60.000000000002274</v>
      </c>
      <c r="AH30" s="32">
        <f>'FS Desroches Daily'!BJ32</f>
        <v>30.000000000029559</v>
      </c>
      <c r="AI30" s="32">
        <f>'FS Desroches Daily'!BL32</f>
        <v>30.000000000001137</v>
      </c>
      <c r="AJ30" s="32">
        <f>'FS Desroches Daily'!BN32</f>
        <v>49.999999999982947</v>
      </c>
      <c r="AK30" s="32">
        <f>'FS Desroches Daily'!BP32</f>
        <v>50.000000000011369</v>
      </c>
      <c r="AL30" s="32">
        <f>'FS Desroches Daily'!BR32</f>
        <v>29</v>
      </c>
      <c r="AM30" s="32">
        <f>'FS Desroches Daily'!BT32</f>
        <v>40.000000000020464</v>
      </c>
      <c r="AN30" s="32">
        <f>'FS Desroches Daily'!BV32</f>
        <v>46</v>
      </c>
      <c r="AO30" s="32">
        <f>'FS Desroches Daily'!BX32</f>
        <v>30.000000000001137</v>
      </c>
      <c r="AP30" s="32">
        <f>'FS Desroches Daily'!BZ32</f>
        <v>83</v>
      </c>
      <c r="AQ30" s="31">
        <f>'FS Desroches Daily'!CB32</f>
        <v>25.100000000002183</v>
      </c>
      <c r="AR30" s="31">
        <f>'FS Desroches Daily'!CD32</f>
        <v>12.899999999999636</v>
      </c>
      <c r="AS30" s="31">
        <f>'FS Desroches Daily'!CF32</f>
        <v>0.8000000000001819</v>
      </c>
      <c r="AT30" s="31">
        <f>'FS Desroches Daily'!CH32</f>
        <v>49.900000000001455</v>
      </c>
      <c r="AU30" s="31">
        <f>'FS Desroches Daily'!CJ32</f>
        <v>310</v>
      </c>
      <c r="AV30" s="31">
        <f>'FS Desroches Daily'!CL32</f>
        <v>799.99999999995453</v>
      </c>
      <c r="AW30" s="31">
        <f>'FS Desroches Daily'!CM32</f>
        <v>136.60000000000036</v>
      </c>
      <c r="AX30" s="31" t="str">
        <f>IF(LPG!F38-LPG!F36&lt;0,"0",(LPG!F38-LPG!F36)*1.8315)</f>
        <v>0</v>
      </c>
      <c r="AY30" s="31" t="str">
        <f>IF(LPG!H38-LPG!H36&lt;0,"0",(LPG!H38-LPG!H36)*1.8315)</f>
        <v>0</v>
      </c>
      <c r="AZ30" s="31" t="str">
        <f>IF(LPG!J38-LPG!J36&lt;0,"0",(LPG!J38-LPG!J36)*1.8315)</f>
        <v>0</v>
      </c>
      <c r="BA30" s="31" t="str">
        <f>IF(LPG!M38-LPG!M36&lt;0,"0",(LPG!M38-LPG!M36)*1.8315)</f>
        <v>0</v>
      </c>
      <c r="BB30" s="31">
        <f>IF(LPG!Q37-LPG!Q36&lt;0,"0",(LPG!Q37-LPG!Q36)*1.8315)</f>
        <v>7.3259999999999996</v>
      </c>
      <c r="BC30" s="13">
        <f>'FS Desroches Daily'!CN32</f>
        <v>9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1700.0000000000348</v>
      </c>
      <c r="F31" s="32">
        <f>'FS Desroches Daily'!F33</f>
        <v>2299.9999999999686</v>
      </c>
      <c r="G31" s="31">
        <f>'FS Desroches Daily'!H33</f>
        <v>2299.9999999999686</v>
      </c>
      <c r="H31" s="32">
        <f>'FS Desroches Daily'!J33</f>
        <v>1299.9999999998568</v>
      </c>
      <c r="I31" s="31">
        <f>'FS Desroches Daily'!L33</f>
        <v>1900.0000000000127</v>
      </c>
      <c r="J31" s="32">
        <f>'FS Desroches Daily'!N33</f>
        <v>700.00000000014495</v>
      </c>
      <c r="K31" s="13">
        <f>'FS Desroches Daily'!P33</f>
        <v>6</v>
      </c>
      <c r="L31" s="31">
        <f>'FS Desroches Daily'!R33</f>
        <v>3</v>
      </c>
      <c r="M31" s="31">
        <f>'FS Desroches Daily'!T33</f>
        <v>470</v>
      </c>
      <c r="N31" s="31">
        <f>'FS Desroches Daily'!V33</f>
        <v>204.39999999996508</v>
      </c>
      <c r="O31" s="31">
        <f>'FS Desroches Daily'!X33</f>
        <v>209.99999999997954</v>
      </c>
      <c r="P31" s="31">
        <f>'FS Desroches Daily'!Z33</f>
        <v>2099.9999999999909</v>
      </c>
      <c r="Q31" s="31">
        <f>'FS Desroches Daily'!AB33</f>
        <v>310.00000000000227</v>
      </c>
      <c r="R31" s="31">
        <f>'FS Desroches Daily'!AD33</f>
        <v>140.0000000000432</v>
      </c>
      <c r="S31" s="31">
        <f>'FS Desroches Daily'!AF33</f>
        <v>139.99999999998636</v>
      </c>
      <c r="T31" s="31">
        <f>'FS Desroches Daily'!AH33</f>
        <v>35</v>
      </c>
      <c r="U31" s="35">
        <f>'FS Desroches Daily'!AJ33</f>
        <v>730.00000000001819</v>
      </c>
      <c r="V31" s="35">
        <f>'FS Desroches Daily'!AL33</f>
        <v>159.99999999999659</v>
      </c>
      <c r="W31" s="35">
        <f>'FS Desroches Daily'!AN33</f>
        <v>180.00000000000682</v>
      </c>
      <c r="X31" s="35">
        <f>'FS Desroches Daily'!AP33</f>
        <v>129.99999999999545</v>
      </c>
      <c r="Y31" s="35">
        <f>'FS Desroches Daily'!AR33</f>
        <v>79.999999999984084</v>
      </c>
      <c r="Z31" s="35">
        <f>'FS Desroches Daily'!AT33</f>
        <v>89.999999999974989</v>
      </c>
      <c r="AA31" s="35">
        <f>'FS Desroches Daily'!AT33</f>
        <v>89.999999999974989</v>
      </c>
      <c r="AB31" s="35">
        <f>'FS Desroches Daily'!AV33</f>
        <v>39.99999999996362</v>
      </c>
      <c r="AC31" s="35">
        <f>'FS Desroches Daily'!AZ33</f>
        <v>40.000000000020464</v>
      </c>
      <c r="AD31" s="35">
        <f>'FS Desroches Daily'!BB33</f>
        <v>19.99999999998181</v>
      </c>
      <c r="AE31" s="35">
        <f>'FS Desroches Daily'!BD33</f>
        <v>30.000000000001137</v>
      </c>
      <c r="AF31" s="31">
        <f>'FS Desroches Daily'!BF33</f>
        <v>29</v>
      </c>
      <c r="AG31" s="32">
        <f>'FS Desroches Daily'!BH33</f>
        <v>30.000000000001137</v>
      </c>
      <c r="AH31" s="32">
        <f>'FS Desroches Daily'!BJ33</f>
        <v>9.9999999999909051</v>
      </c>
      <c r="AI31" s="32">
        <f>'FS Desroches Daily'!BL33</f>
        <v>19.99999999998181</v>
      </c>
      <c r="AJ31" s="32">
        <f>'FS Desroches Daily'!BN33</f>
        <v>30.000000000001137</v>
      </c>
      <c r="AK31" s="32">
        <f>'FS Desroches Daily'!BP33</f>
        <v>29.999999999972715</v>
      </c>
      <c r="AL31" s="32">
        <f>'FS Desroches Daily'!BR33</f>
        <v>21</v>
      </c>
      <c r="AM31" s="32">
        <f>'FS Desroches Daily'!BT33</f>
        <v>9.9999999999909051</v>
      </c>
      <c r="AN31" s="32">
        <f>'FS Desroches Daily'!BV33</f>
        <v>27</v>
      </c>
      <c r="AO31" s="32">
        <f>'FS Desroches Daily'!BX33</f>
        <v>19.99999999998181</v>
      </c>
      <c r="AP31" s="32">
        <f>'FS Desroches Daily'!BZ33</f>
        <v>40</v>
      </c>
      <c r="AQ31" s="31">
        <f>'FS Desroches Daily'!CB33</f>
        <v>19.200000000000728</v>
      </c>
      <c r="AR31" s="31">
        <f>'FS Desroches Daily'!CD33</f>
        <v>7.9000000000014552</v>
      </c>
      <c r="AS31" s="31">
        <f>'FS Desroches Daily'!CF33</f>
        <v>0.8999999999996362</v>
      </c>
      <c r="AT31" s="31">
        <f>'FS Desroches Daily'!CH33</f>
        <v>28.900000000001455</v>
      </c>
      <c r="AU31" s="31">
        <f>'FS Desroches Daily'!CJ33</f>
        <v>244</v>
      </c>
      <c r="AV31" s="31">
        <f>'FS Desroches Daily'!CL33</f>
        <v>670.00000000007276</v>
      </c>
      <c r="AW31" s="31">
        <f>'FS Desroches Daily'!CM33</f>
        <v>84.199999999998909</v>
      </c>
      <c r="AX31" s="31" t="str">
        <f>IF(LPG!F39-LPG!F37&lt;0,"0",(LPG!F39-LPG!F37)*1.8315)</f>
        <v>0</v>
      </c>
      <c r="AY31" s="31" t="str">
        <f>IF(LPG!H39-LPG!H37&lt;0,"0",(LPG!H39-LPG!H37)*1.8315)</f>
        <v>0</v>
      </c>
      <c r="AZ31" s="31" t="str">
        <f>IF(LPG!J39-LPG!J37&lt;0,"0",(LPG!J39-LPG!J37)*1.8315)</f>
        <v>0</v>
      </c>
      <c r="BA31" s="31" t="str">
        <f>IF(LPG!M39-LPG!M37&lt;0,"0",(LPG!M39-LPG!M37)*1.8315)</f>
        <v>0</v>
      </c>
      <c r="BB31" s="31" t="str">
        <f>IF(LPG!Q38-LPG!Q37&lt;0,"0",(LPG!Q38-LPG!Q37)*1.8315)</f>
        <v>0</v>
      </c>
      <c r="BC31" s="13">
        <f>'FS Desroches Daily'!CN33</f>
        <v>9</v>
      </c>
      <c r="BD31" s="9"/>
    </row>
    <row r="32" spans="1:56" x14ac:dyDescent="0.25">
      <c r="E32" s="35">
        <f t="shared" ref="E32:AW32" si="1">SUM(E2:E31)</f>
        <v>56500.000000000233</v>
      </c>
      <c r="F32" s="17">
        <f t="shared" si="1"/>
        <v>82500.000000000058</v>
      </c>
      <c r="G32" s="17">
        <f t="shared" si="1"/>
        <v>76200.000000000073</v>
      </c>
      <c r="H32" s="17">
        <f t="shared" si="1"/>
        <v>38400</v>
      </c>
      <c r="I32" s="17">
        <f t="shared" si="1"/>
        <v>61500.000000000138</v>
      </c>
      <c r="J32" s="17">
        <f t="shared" si="1"/>
        <v>28200.000000000015</v>
      </c>
      <c r="K32" s="17">
        <f t="shared" si="1"/>
        <v>214</v>
      </c>
      <c r="L32" s="17">
        <f t="shared" si="1"/>
        <v>83</v>
      </c>
      <c r="M32" s="17">
        <f t="shared" si="1"/>
        <v>22093.400000000023</v>
      </c>
      <c r="N32" s="17">
        <f t="shared" si="1"/>
        <v>9226.1999999999534</v>
      </c>
      <c r="O32" s="17">
        <f t="shared" si="1"/>
        <v>8729.99999999996</v>
      </c>
      <c r="P32" s="17">
        <f t="shared" si="1"/>
        <v>73799.999999999884</v>
      </c>
      <c r="Q32" s="17">
        <f t="shared" si="1"/>
        <v>8449.9999999999891</v>
      </c>
      <c r="R32" s="17">
        <f t="shared" si="1"/>
        <v>7960.0000000000364</v>
      </c>
      <c r="S32" s="17">
        <f t="shared" si="1"/>
        <v>8600.0000000000218</v>
      </c>
      <c r="T32" s="17">
        <f t="shared" si="1"/>
        <v>1054</v>
      </c>
      <c r="U32" s="35">
        <f t="shared" si="1"/>
        <v>17169.99999999996</v>
      </c>
      <c r="V32" s="35">
        <f t="shared" si="1"/>
        <v>5829.9999999999864</v>
      </c>
      <c r="W32" s="35">
        <f t="shared" si="1"/>
        <v>5040.00000000002</v>
      </c>
      <c r="X32" s="35">
        <f t="shared" si="1"/>
        <v>3590.0000000000036</v>
      </c>
      <c r="Y32" s="35">
        <f t="shared" si="1"/>
        <v>3759.9999999999914</v>
      </c>
      <c r="Z32" s="35">
        <f t="shared" si="1"/>
        <v>5734.9499999999316</v>
      </c>
      <c r="AA32" s="35">
        <f t="shared" si="1"/>
        <v>5734.9499999999316</v>
      </c>
      <c r="AB32" s="35">
        <f t="shared" si="1"/>
        <v>1819.9999999999932</v>
      </c>
      <c r="AC32" s="35">
        <f t="shared" si="1"/>
        <v>1420.0000000000159</v>
      </c>
      <c r="AD32" s="35">
        <f t="shared" si="1"/>
        <v>779.99999999997272</v>
      </c>
      <c r="AE32" s="35">
        <f t="shared" si="1"/>
        <v>800.00000000001137</v>
      </c>
      <c r="AF32" s="17">
        <f t="shared" si="1"/>
        <v>907</v>
      </c>
      <c r="AG32" s="32">
        <f t="shared" si="1"/>
        <v>1099.9999999999943</v>
      </c>
      <c r="AH32" s="32">
        <f t="shared" si="1"/>
        <v>819.99999999999318</v>
      </c>
      <c r="AI32" s="32">
        <f t="shared" si="1"/>
        <v>939.99999999999773</v>
      </c>
      <c r="AJ32" s="32">
        <f t="shared" si="1"/>
        <v>1099.9999999999943</v>
      </c>
      <c r="AK32" s="32">
        <f t="shared" si="1"/>
        <v>899.99999999997726</v>
      </c>
      <c r="AL32" s="32">
        <f t="shared" si="1"/>
        <v>747</v>
      </c>
      <c r="AM32" s="32">
        <f t="shared" si="1"/>
        <v>719.99999999999886</v>
      </c>
      <c r="AN32" s="32">
        <f t="shared" si="1"/>
        <v>1220</v>
      </c>
      <c r="AO32" s="32">
        <f t="shared" si="1"/>
        <v>780.00000000000114</v>
      </c>
      <c r="AP32" s="32">
        <f t="shared" si="1"/>
        <v>1492</v>
      </c>
      <c r="AQ32" s="17">
        <f t="shared" si="1"/>
        <v>930.40000000000146</v>
      </c>
      <c r="AR32" s="17">
        <f t="shared" si="1"/>
        <v>224.70000000000073</v>
      </c>
      <c r="AS32" s="17">
        <f t="shared" si="1"/>
        <v>136.5</v>
      </c>
      <c r="AT32" s="17">
        <f t="shared" si="1"/>
        <v>1012.8000000000029</v>
      </c>
      <c r="AU32" s="17">
        <f t="shared" si="1"/>
        <v>8443</v>
      </c>
      <c r="AV32" s="17">
        <f t="shared" si="1"/>
        <v>20879.999999999993</v>
      </c>
      <c r="AW32" s="17">
        <f t="shared" si="1"/>
        <v>2028.5999999999985</v>
      </c>
      <c r="AX32" s="31">
        <f>IF(LPG!F41-LPG!F39&lt;0,"0",(LPG!F41-LPG!F39)*1.8315)</f>
        <v>0</v>
      </c>
      <c r="AY32" s="31">
        <f>IF(LPG!H41-LPG!H39&lt;0,"0",(LPG!H41-LPG!H39)*1.8315)</f>
        <v>0</v>
      </c>
      <c r="AZ32" s="31">
        <f>IF(LPG!J41-LPG!J39&lt;0,"0",(LPG!J41-LPG!J39)*1.8315)</f>
        <v>0</v>
      </c>
      <c r="BA32" s="31">
        <f>IF(LPG!M41-LPG!M39&lt;0,"0",(LPG!M41-LPG!M39)*1.8315)</f>
        <v>0</v>
      </c>
      <c r="BB32" s="17">
        <f>SUM(BB2:BB31)</f>
        <v>234.43199999999993</v>
      </c>
      <c r="BC32" s="17">
        <f>SUM(BC2:BC31)</f>
        <v>260</v>
      </c>
    </row>
    <row r="34" spans="5:33" x14ac:dyDescent="0.25">
      <c r="E34" s="38">
        <f>E32/E36</f>
        <v>0.2070067194747531</v>
      </c>
      <c r="G34" s="29">
        <f>G32-M35</f>
        <v>44880.400000000096</v>
      </c>
      <c r="AE34" s="35">
        <f>SUM(U32:AE32)</f>
        <v>51679.899999999812</v>
      </c>
      <c r="AG34" s="32">
        <f>SUM(AG32:AP32)</f>
        <v>9818.9999999999582</v>
      </c>
    </row>
    <row r="35" spans="5:33" x14ac:dyDescent="0.25">
      <c r="G35" s="29">
        <f>G34-633*14</f>
        <v>36018.400000000096</v>
      </c>
      <c r="M35" s="29">
        <f>M32+N32</f>
        <v>31319.599999999977</v>
      </c>
    </row>
    <row r="36" spans="5:33" x14ac:dyDescent="0.25">
      <c r="E36" s="17">
        <f>E32+F32+G32+H32+J32-633*14</f>
        <v>272938.00000000035</v>
      </c>
      <c r="G36" s="37">
        <f>M35/E36</f>
        <v>0.11474986993383089</v>
      </c>
      <c r="M36" s="35">
        <f>AE34</f>
        <v>51679.899999999812</v>
      </c>
    </row>
    <row r="37" spans="5:33" x14ac:dyDescent="0.25">
      <c r="L37" s="27">
        <f>M37/E36</f>
        <v>3.5975203159691743E-2</v>
      </c>
      <c r="M37" s="29">
        <f>AG34</f>
        <v>9818.9999999999582</v>
      </c>
    </row>
    <row r="38" spans="5:33" x14ac:dyDescent="0.25">
      <c r="E38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CX38"/>
  <sheetViews>
    <sheetView topLeftCell="CC1" zoomScale="80" zoomScaleNormal="80" workbookViewId="0">
      <pane ySplit="1" topLeftCell="A11" activePane="bottomLeft" state="frozen"/>
      <selection pane="bottomLeft" activeCell="CM33" sqref="CM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3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241.65</v>
      </c>
      <c r="BD23" s="65">
        <f t="shared" si="22"/>
        <v>39.999999999992042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>
        <v>2.2806999999999999</v>
      </c>
      <c r="D24" s="64">
        <f t="shared" si="0"/>
        <v>1799.9999999998017</v>
      </c>
      <c r="E24" s="58">
        <v>3.2465999999999999</v>
      </c>
      <c r="F24" s="64">
        <f t="shared" si="1"/>
        <v>2499.9999999999468</v>
      </c>
      <c r="G24" s="58">
        <v>3.3054999999999999</v>
      </c>
      <c r="H24" s="64">
        <f t="shared" si="2"/>
        <v>2699.9999999999245</v>
      </c>
      <c r="I24" s="58">
        <v>1.6302000000000001</v>
      </c>
      <c r="J24" s="64">
        <f t="shared" si="3"/>
        <v>1400.0000000000678</v>
      </c>
      <c r="K24" s="58">
        <v>2.6337000000000002</v>
      </c>
      <c r="L24" s="64">
        <f t="shared" si="4"/>
        <v>2000.0000000002237</v>
      </c>
      <c r="M24" s="58">
        <v>1.4533</v>
      </c>
      <c r="N24" s="64">
        <f t="shared" si="5"/>
        <v>1000.0000000001119</v>
      </c>
      <c r="O24" s="58">
        <v>14362</v>
      </c>
      <c r="P24" s="67">
        <f t="shared" si="44"/>
        <v>5</v>
      </c>
      <c r="Q24" s="58">
        <v>1013</v>
      </c>
      <c r="R24" s="67">
        <f t="shared" si="6"/>
        <v>3</v>
      </c>
      <c r="S24" s="58">
        <v>988462</v>
      </c>
      <c r="T24" s="67">
        <f t="shared" si="7"/>
        <v>647.59999999997672</v>
      </c>
      <c r="U24" s="58">
        <v>415674.9</v>
      </c>
      <c r="V24" s="67">
        <f t="shared" si="8"/>
        <v>295</v>
      </c>
      <c r="W24" s="58">
        <v>396.61</v>
      </c>
      <c r="X24" s="65">
        <f t="shared" si="9"/>
        <v>300.00000000001137</v>
      </c>
      <c r="Y24" s="58">
        <v>2.8367</v>
      </c>
      <c r="Z24" s="65">
        <f t="shared" si="10"/>
        <v>2200.0000000002019</v>
      </c>
      <c r="AA24" s="58">
        <v>394.66</v>
      </c>
      <c r="AB24" s="65">
        <f t="shared" si="11"/>
        <v>310.00000000000227</v>
      </c>
      <c r="AC24" s="58">
        <v>369.25</v>
      </c>
      <c r="AD24" s="65">
        <f t="shared" si="12"/>
        <v>259.99999999999091</v>
      </c>
      <c r="AE24" s="58">
        <v>565.04</v>
      </c>
      <c r="AF24" s="65">
        <f t="shared" si="13"/>
        <v>360.00000000001364</v>
      </c>
      <c r="AG24" s="58">
        <v>4256</v>
      </c>
      <c r="AH24" s="67">
        <f t="shared" si="14"/>
        <v>36</v>
      </c>
      <c r="AI24" s="58">
        <v>609.65</v>
      </c>
      <c r="AJ24" s="65">
        <f t="shared" si="15"/>
        <v>509.99999999999091</v>
      </c>
      <c r="AK24" s="58">
        <v>203.57</v>
      </c>
      <c r="AL24" s="65">
        <f t="shared" si="15"/>
        <v>169.99999999998749</v>
      </c>
      <c r="AM24" s="58">
        <v>193.91</v>
      </c>
      <c r="AN24" s="65">
        <f t="shared" si="15"/>
        <v>189.99999999999773</v>
      </c>
      <c r="AO24" s="58">
        <v>188.34</v>
      </c>
      <c r="AP24" s="65">
        <f t="shared" si="15"/>
        <v>120.00000000000455</v>
      </c>
      <c r="AQ24" s="58">
        <v>246.8</v>
      </c>
      <c r="AR24" s="65">
        <f t="shared" si="16"/>
        <v>80.000000000012506</v>
      </c>
      <c r="AS24" s="58">
        <v>372</v>
      </c>
      <c r="AT24" s="65">
        <f t="shared" si="17"/>
        <v>230.00000000001819</v>
      </c>
      <c r="AU24" s="58">
        <v>285.2</v>
      </c>
      <c r="AV24" s="65">
        <f t="shared" si="18"/>
        <v>60.000000000002274</v>
      </c>
      <c r="AW24" s="58">
        <v>319.74</v>
      </c>
      <c r="AX24" s="65">
        <f t="shared" si="19"/>
        <v>79.999999999984084</v>
      </c>
      <c r="AY24" s="58">
        <v>361.2</v>
      </c>
      <c r="AZ24" s="65">
        <f t="shared" si="20"/>
        <v>50.000000000011369</v>
      </c>
      <c r="BA24" s="58">
        <v>381.05</v>
      </c>
      <c r="BB24" s="65">
        <f t="shared" si="21"/>
        <v>30.000000000029559</v>
      </c>
      <c r="BC24" s="58">
        <v>241.68</v>
      </c>
      <c r="BD24" s="65">
        <f t="shared" si="22"/>
        <v>30.000000000001137</v>
      </c>
      <c r="BE24" s="59">
        <v>40186</v>
      </c>
      <c r="BF24" s="67">
        <f t="shared" si="39"/>
        <v>35</v>
      </c>
      <c r="BG24" s="60">
        <v>233.88</v>
      </c>
      <c r="BH24" s="65">
        <f t="shared" si="23"/>
        <v>30.000000000001137</v>
      </c>
      <c r="BI24" s="60">
        <v>293.04000000000002</v>
      </c>
      <c r="BJ24" s="65">
        <f t="shared" si="40"/>
        <v>30.000000000029559</v>
      </c>
      <c r="BK24" s="60">
        <v>236.78</v>
      </c>
      <c r="BL24" s="65">
        <f t="shared" si="24"/>
        <v>30.000000000001137</v>
      </c>
      <c r="BM24" s="60">
        <v>223.61</v>
      </c>
      <c r="BN24" s="65">
        <f t="shared" si="25"/>
        <v>30.000000000001137</v>
      </c>
      <c r="BO24" s="60">
        <v>287.48</v>
      </c>
      <c r="BP24" s="65">
        <f t="shared" si="26"/>
        <v>30.000000000029559</v>
      </c>
      <c r="BQ24" s="60">
        <v>45110</v>
      </c>
      <c r="BR24" s="65">
        <f t="shared" si="27"/>
        <v>29</v>
      </c>
      <c r="BS24" s="60">
        <v>200.64</v>
      </c>
      <c r="BT24" s="65">
        <f t="shared" si="42"/>
        <v>29.999999999972715</v>
      </c>
      <c r="BU24" s="60">
        <v>40462</v>
      </c>
      <c r="BV24" s="65">
        <f t="shared" si="29"/>
        <v>38</v>
      </c>
      <c r="BW24" s="60">
        <v>231.78</v>
      </c>
      <c r="BX24" s="65">
        <f t="shared" si="30"/>
        <v>30.000000000001137</v>
      </c>
      <c r="BY24" s="60">
        <v>59941</v>
      </c>
      <c r="BZ24" s="67">
        <f t="shared" si="31"/>
        <v>66</v>
      </c>
      <c r="CA24" s="60">
        <v>31746.7</v>
      </c>
      <c r="CB24" s="67">
        <f t="shared" si="32"/>
        <v>17.100000000002183</v>
      </c>
      <c r="CC24" s="60">
        <v>12120</v>
      </c>
      <c r="CD24" s="67">
        <f t="shared" si="33"/>
        <v>5.7000000000007276</v>
      </c>
      <c r="CE24" s="60">
        <v>6386.2</v>
      </c>
      <c r="CF24" s="67">
        <f t="shared" si="34"/>
        <v>7.5</v>
      </c>
      <c r="CG24" s="60">
        <v>59325.5</v>
      </c>
      <c r="CH24" s="67">
        <f t="shared" si="35"/>
        <v>32.30000000000291</v>
      </c>
      <c r="CI24" s="60">
        <v>946914</v>
      </c>
      <c r="CJ24" s="67">
        <f t="shared" si="36"/>
        <v>290</v>
      </c>
      <c r="CK24" s="60">
        <v>760.21</v>
      </c>
      <c r="CL24" s="64">
        <f t="shared" si="37"/>
        <v>790.00000000007731</v>
      </c>
      <c r="CM24" s="65">
        <f t="shared" si="41"/>
        <v>66.699999999998909</v>
      </c>
      <c r="CN24" s="62">
        <v>8</v>
      </c>
      <c r="CO24" s="62">
        <v>25</v>
      </c>
      <c r="CP24" s="68">
        <v>9281.7999999999993</v>
      </c>
      <c r="CQ24" s="67">
        <f t="shared" si="38"/>
        <v>44.699999999998909</v>
      </c>
      <c r="CR24" s="68">
        <v>14054</v>
      </c>
      <c r="CS24" s="67">
        <f t="shared" si="38"/>
        <v>22</v>
      </c>
      <c r="CT24" s="75">
        <v>6377</v>
      </c>
      <c r="CU24" s="67">
        <f t="shared" si="38"/>
        <v>15</v>
      </c>
      <c r="CV24" s="68">
        <v>15199</v>
      </c>
      <c r="CW24" s="67">
        <f t="shared" si="38"/>
        <v>17</v>
      </c>
    </row>
    <row r="25" spans="1:101" ht="25.5" customHeight="1" thickBot="1" x14ac:dyDescent="0.45">
      <c r="A25" s="63">
        <v>44369</v>
      </c>
      <c r="B25" s="44"/>
      <c r="C25" s="58">
        <v>2.2825000000000002</v>
      </c>
      <c r="D25" s="64">
        <f t="shared" si="0"/>
        <v>1800.0000000002458</v>
      </c>
      <c r="E25" s="58">
        <v>3.2492000000000001</v>
      </c>
      <c r="F25" s="64">
        <f t="shared" si="1"/>
        <v>2600.0000000001578</v>
      </c>
      <c r="G25" s="58">
        <v>3.3081999999999998</v>
      </c>
      <c r="H25" s="64">
        <f t="shared" si="2"/>
        <v>2699.9999999999245</v>
      </c>
      <c r="I25" s="58">
        <v>1.6314</v>
      </c>
      <c r="J25" s="64">
        <f t="shared" si="3"/>
        <v>1199.9999999998679</v>
      </c>
      <c r="K25" s="58">
        <v>2.6356999999999999</v>
      </c>
      <c r="L25" s="64">
        <f t="shared" si="4"/>
        <v>1999.9999999997797</v>
      </c>
      <c r="M25" s="58">
        <v>1.4541999999999999</v>
      </c>
      <c r="N25" s="64">
        <f t="shared" si="5"/>
        <v>899.99999999990087</v>
      </c>
      <c r="O25" s="58">
        <v>14370</v>
      </c>
      <c r="P25" s="67">
        <f t="shared" si="44"/>
        <v>8</v>
      </c>
      <c r="Q25" s="58">
        <v>1016</v>
      </c>
      <c r="R25" s="67">
        <f t="shared" si="6"/>
        <v>3</v>
      </c>
      <c r="S25" s="58">
        <v>989249.2</v>
      </c>
      <c r="T25" s="67">
        <f t="shared" si="7"/>
        <v>787.19999999995343</v>
      </c>
      <c r="U25" s="58">
        <v>415953.3</v>
      </c>
      <c r="V25" s="67">
        <f t="shared" si="8"/>
        <v>278.39999999996508</v>
      </c>
      <c r="W25" s="58">
        <v>396.89</v>
      </c>
      <c r="X25" s="65">
        <f t="shared" si="9"/>
        <v>279.99999999997272</v>
      </c>
      <c r="Y25" s="58">
        <v>2.839</v>
      </c>
      <c r="Z25" s="65">
        <f t="shared" si="10"/>
        <v>2299.9999999999686</v>
      </c>
      <c r="AA25" s="58">
        <v>394.85</v>
      </c>
      <c r="AB25" s="65">
        <f t="shared" si="11"/>
        <v>189.99999999999773</v>
      </c>
      <c r="AC25" s="58">
        <v>369.52</v>
      </c>
      <c r="AD25" s="65">
        <f t="shared" si="12"/>
        <v>269.99999999998181</v>
      </c>
      <c r="AE25" s="58">
        <v>565.33000000000004</v>
      </c>
      <c r="AF25" s="65">
        <f t="shared" si="13"/>
        <v>290.00000000007731</v>
      </c>
      <c r="AG25" s="58">
        <v>4291</v>
      </c>
      <c r="AH25" s="67">
        <f t="shared" si="14"/>
        <v>35</v>
      </c>
      <c r="AI25" s="58">
        <v>610.16999999999996</v>
      </c>
      <c r="AJ25" s="65">
        <f t="shared" si="15"/>
        <v>519.99999999998181</v>
      </c>
      <c r="AK25" s="58">
        <v>203.75</v>
      </c>
      <c r="AL25" s="65">
        <f t="shared" si="15"/>
        <v>180.00000000000682</v>
      </c>
      <c r="AM25" s="58">
        <v>194.1</v>
      </c>
      <c r="AN25" s="65">
        <f t="shared" si="15"/>
        <v>189.99999999999773</v>
      </c>
      <c r="AO25" s="58">
        <v>188.46</v>
      </c>
      <c r="AP25" s="65">
        <f t="shared" si="15"/>
        <v>120.00000000000455</v>
      </c>
      <c r="AQ25" s="58">
        <v>246.88</v>
      </c>
      <c r="AR25" s="65">
        <f t="shared" si="16"/>
        <v>79.999999999984084</v>
      </c>
      <c r="AS25" s="58">
        <v>372.21</v>
      </c>
      <c r="AT25" s="65">
        <f t="shared" si="17"/>
        <v>209.99999999997954</v>
      </c>
      <c r="AU25" s="58">
        <v>285.24</v>
      </c>
      <c r="AV25" s="65">
        <f t="shared" si="18"/>
        <v>40.000000000020464</v>
      </c>
      <c r="AW25" s="58">
        <v>319.81</v>
      </c>
      <c r="AX25" s="65">
        <f t="shared" si="19"/>
        <v>69.999999999993179</v>
      </c>
      <c r="AY25" s="58">
        <v>361.24</v>
      </c>
      <c r="AZ25" s="65">
        <f t="shared" si="20"/>
        <v>40.000000000020464</v>
      </c>
      <c r="BA25" s="58">
        <v>381.07</v>
      </c>
      <c r="BB25" s="65">
        <f t="shared" si="21"/>
        <v>19.99999999998181</v>
      </c>
      <c r="BC25" s="58">
        <v>241.7</v>
      </c>
      <c r="BD25" s="65">
        <f t="shared" si="22"/>
        <v>19.99999999998181</v>
      </c>
      <c r="BE25" s="59">
        <v>40203</v>
      </c>
      <c r="BF25" s="67">
        <f t="shared" si="39"/>
        <v>17</v>
      </c>
      <c r="BG25" s="60">
        <v>233.92</v>
      </c>
      <c r="BH25" s="65">
        <f t="shared" si="23"/>
        <v>39.999999999992042</v>
      </c>
      <c r="BI25" s="60">
        <v>293.06</v>
      </c>
      <c r="BJ25" s="65">
        <f t="shared" si="40"/>
        <v>19.99999999998181</v>
      </c>
      <c r="BK25" s="60">
        <v>236.82</v>
      </c>
      <c r="BL25" s="65">
        <f t="shared" si="24"/>
        <v>39.999999999992042</v>
      </c>
      <c r="BM25" s="60">
        <v>223.65</v>
      </c>
      <c r="BN25" s="65">
        <f t="shared" si="25"/>
        <v>39.999999999992042</v>
      </c>
      <c r="BO25" s="60">
        <v>287.5</v>
      </c>
      <c r="BP25" s="65">
        <f t="shared" si="26"/>
        <v>19.99999999998181</v>
      </c>
      <c r="BQ25" s="60">
        <v>45135</v>
      </c>
      <c r="BR25" s="65">
        <f t="shared" si="27"/>
        <v>25</v>
      </c>
      <c r="BS25" s="60">
        <v>200.66</v>
      </c>
      <c r="BT25" s="65">
        <f t="shared" si="42"/>
        <v>20.000000000010232</v>
      </c>
      <c r="BU25" s="60">
        <v>40498</v>
      </c>
      <c r="BV25" s="65">
        <f t="shared" si="29"/>
        <v>36</v>
      </c>
      <c r="BW25" s="60">
        <v>231.81</v>
      </c>
      <c r="BX25" s="65">
        <f t="shared" si="30"/>
        <v>30.000000000001137</v>
      </c>
      <c r="BY25" s="60">
        <v>59999</v>
      </c>
      <c r="BZ25" s="67">
        <f t="shared" si="31"/>
        <v>58</v>
      </c>
      <c r="CA25" s="60">
        <v>31794.7</v>
      </c>
      <c r="CB25" s="67">
        <f t="shared" si="32"/>
        <v>48</v>
      </c>
      <c r="CC25" s="60">
        <v>12126.9</v>
      </c>
      <c r="CD25" s="67">
        <f t="shared" si="33"/>
        <v>6.8999999999996362</v>
      </c>
      <c r="CE25" s="60">
        <v>6388.5</v>
      </c>
      <c r="CF25" s="67">
        <f t="shared" si="34"/>
        <v>2.3000000000001819</v>
      </c>
      <c r="CG25" s="60">
        <v>59343.6</v>
      </c>
      <c r="CH25" s="67">
        <f t="shared" si="35"/>
        <v>18.099999999998545</v>
      </c>
      <c r="CI25" s="60">
        <v>947194</v>
      </c>
      <c r="CJ25" s="67">
        <f t="shared" si="36"/>
        <v>280</v>
      </c>
      <c r="CK25" s="60">
        <v>761.01</v>
      </c>
      <c r="CL25" s="64">
        <f t="shared" si="37"/>
        <v>799.99999999995453</v>
      </c>
      <c r="CM25" s="65">
        <f t="shared" si="41"/>
        <v>58.100000000000364</v>
      </c>
      <c r="CN25" s="62">
        <v>8</v>
      </c>
      <c r="CO25" s="62">
        <v>25</v>
      </c>
      <c r="CP25" s="68">
        <v>9320.9</v>
      </c>
      <c r="CQ25" s="67">
        <f t="shared" si="38"/>
        <v>39.100000000000364</v>
      </c>
      <c r="CR25" s="68">
        <v>14073</v>
      </c>
      <c r="CS25" s="67">
        <f t="shared" si="38"/>
        <v>19</v>
      </c>
      <c r="CT25" s="75">
        <v>6388</v>
      </c>
      <c r="CU25" s="67">
        <f t="shared" si="38"/>
        <v>11</v>
      </c>
      <c r="CV25" s="68">
        <v>15223</v>
      </c>
      <c r="CW25" s="67">
        <f t="shared" si="38"/>
        <v>24</v>
      </c>
    </row>
    <row r="26" spans="1:101" ht="25.5" customHeight="1" thickBot="1" x14ac:dyDescent="0.45">
      <c r="A26" s="63">
        <v>44370</v>
      </c>
      <c r="B26" s="44"/>
      <c r="C26" s="58">
        <v>2.2839999999999998</v>
      </c>
      <c r="D26" s="64">
        <f t="shared" si="0"/>
        <v>1499.9999999996128</v>
      </c>
      <c r="E26" s="58">
        <v>3.2517999999999998</v>
      </c>
      <c r="F26" s="64">
        <f t="shared" si="1"/>
        <v>2599.9999999997135</v>
      </c>
      <c r="G26" s="58">
        <v>3.3106</v>
      </c>
      <c r="H26" s="64">
        <f t="shared" si="2"/>
        <v>2400.0000000001796</v>
      </c>
      <c r="I26" s="58">
        <v>1.6325000000000001</v>
      </c>
      <c r="J26" s="64">
        <f t="shared" si="3"/>
        <v>1100.000000000101</v>
      </c>
      <c r="K26" s="58">
        <v>2.6375999999999999</v>
      </c>
      <c r="L26" s="64">
        <f t="shared" si="4"/>
        <v>1900.0000000000127</v>
      </c>
      <c r="M26" s="58">
        <v>1.4550000000000001</v>
      </c>
      <c r="N26" s="64">
        <f t="shared" si="5"/>
        <v>800.00000000013392</v>
      </c>
      <c r="O26" s="58">
        <v>14370</v>
      </c>
      <c r="P26" s="67">
        <f t="shared" si="44"/>
        <v>0</v>
      </c>
      <c r="Q26" s="58">
        <v>1017</v>
      </c>
      <c r="R26" s="67">
        <f t="shared" si="6"/>
        <v>1</v>
      </c>
      <c r="S26" s="58">
        <v>990141.2</v>
      </c>
      <c r="T26" s="67">
        <f t="shared" si="7"/>
        <v>892</v>
      </c>
      <c r="U26" s="58">
        <v>416262.7</v>
      </c>
      <c r="V26" s="67">
        <f t="shared" si="8"/>
        <v>309.40000000002328</v>
      </c>
      <c r="W26" s="58">
        <v>397.16</v>
      </c>
      <c r="X26" s="65">
        <f t="shared" si="9"/>
        <v>270.00000000003865</v>
      </c>
      <c r="Y26" s="58">
        <v>2.8412999999999999</v>
      </c>
      <c r="Z26" s="65">
        <f t="shared" si="10"/>
        <v>2299.9999999999686</v>
      </c>
      <c r="AA26" s="58">
        <v>395.14</v>
      </c>
      <c r="AB26" s="65">
        <f t="shared" si="11"/>
        <v>289.99999999996362</v>
      </c>
      <c r="AC26" s="58">
        <v>369.69</v>
      </c>
      <c r="AD26" s="65">
        <f t="shared" si="12"/>
        <v>170.00000000001592</v>
      </c>
      <c r="AE26" s="58">
        <v>565.59</v>
      </c>
      <c r="AF26" s="65">
        <f t="shared" si="13"/>
        <v>259.99999999999091</v>
      </c>
      <c r="AG26" s="58">
        <v>4324</v>
      </c>
      <c r="AH26" s="67">
        <f t="shared" si="14"/>
        <v>33</v>
      </c>
      <c r="AI26" s="58">
        <v>610.62</v>
      </c>
      <c r="AJ26" s="65">
        <f t="shared" si="15"/>
        <v>450.00000000004547</v>
      </c>
      <c r="AK26" s="58">
        <v>203.92</v>
      </c>
      <c r="AL26" s="65">
        <f t="shared" si="15"/>
        <v>169.99999999998749</v>
      </c>
      <c r="AM26" s="58">
        <v>194.24</v>
      </c>
      <c r="AN26" s="65">
        <f t="shared" si="15"/>
        <v>140.00000000001478</v>
      </c>
      <c r="AO26" s="58">
        <v>188.57</v>
      </c>
      <c r="AP26" s="65">
        <f t="shared" si="15"/>
        <v>109.99999999998522</v>
      </c>
      <c r="AQ26" s="58">
        <v>246.94</v>
      </c>
      <c r="AR26" s="65">
        <f t="shared" si="16"/>
        <v>60.000000000002274</v>
      </c>
      <c r="AS26" s="58">
        <v>372.36</v>
      </c>
      <c r="AT26" s="65">
        <f t="shared" si="17"/>
        <v>150.00000000003411</v>
      </c>
      <c r="AU26" s="58">
        <v>285.3</v>
      </c>
      <c r="AV26" s="65">
        <f t="shared" si="18"/>
        <v>60.000000000002274</v>
      </c>
      <c r="AW26" s="58">
        <v>319.88</v>
      </c>
      <c r="AX26" s="65">
        <f t="shared" si="19"/>
        <v>69.999999999993179</v>
      </c>
      <c r="AY26" s="58">
        <v>361.29</v>
      </c>
      <c r="AZ26" s="65">
        <f t="shared" si="20"/>
        <v>50.000000000011369</v>
      </c>
      <c r="BA26" s="58">
        <v>381.09</v>
      </c>
      <c r="BB26" s="65">
        <f t="shared" si="21"/>
        <v>19.99999999998181</v>
      </c>
      <c r="BC26" s="58">
        <v>241.72</v>
      </c>
      <c r="BD26" s="65">
        <f t="shared" si="22"/>
        <v>20.000000000010232</v>
      </c>
      <c r="BE26" s="59">
        <v>40229</v>
      </c>
      <c r="BF26" s="67">
        <f t="shared" si="39"/>
        <v>26</v>
      </c>
      <c r="BG26" s="60">
        <v>233.95</v>
      </c>
      <c r="BH26" s="65">
        <f t="shared" si="23"/>
        <v>30.000000000001137</v>
      </c>
      <c r="BI26" s="60">
        <v>293.08999999999997</v>
      </c>
      <c r="BJ26" s="65">
        <f t="shared" si="40"/>
        <v>29.999999999972715</v>
      </c>
      <c r="BK26" s="60">
        <v>236.85</v>
      </c>
      <c r="BL26" s="65">
        <f t="shared" si="24"/>
        <v>30.000000000001137</v>
      </c>
      <c r="BM26" s="60">
        <v>223.69</v>
      </c>
      <c r="BN26" s="65">
        <f t="shared" si="25"/>
        <v>39.999999999992042</v>
      </c>
      <c r="BO26" s="60">
        <v>287.52999999999997</v>
      </c>
      <c r="BP26" s="65">
        <f t="shared" si="26"/>
        <v>29.999999999972715</v>
      </c>
      <c r="BQ26" s="60">
        <v>45158</v>
      </c>
      <c r="BR26" s="65">
        <f t="shared" si="27"/>
        <v>23</v>
      </c>
      <c r="BS26" s="60">
        <v>200.67</v>
      </c>
      <c r="BT26" s="65">
        <f t="shared" si="42"/>
        <v>9.9999999999909051</v>
      </c>
      <c r="BU26" s="60">
        <v>40535</v>
      </c>
      <c r="BV26" s="65">
        <f t="shared" si="29"/>
        <v>37</v>
      </c>
      <c r="BW26" s="60">
        <v>231.83</v>
      </c>
      <c r="BX26" s="65">
        <f t="shared" si="30"/>
        <v>20.000000000010232</v>
      </c>
      <c r="BY26" s="60">
        <v>60044</v>
      </c>
      <c r="BZ26" s="67">
        <f t="shared" si="31"/>
        <v>45</v>
      </c>
      <c r="CA26" s="60">
        <v>31855.5</v>
      </c>
      <c r="CB26" s="67">
        <f t="shared" si="32"/>
        <v>60.799999999999272</v>
      </c>
      <c r="CC26" s="60">
        <v>12133.3</v>
      </c>
      <c r="CD26" s="67">
        <f t="shared" si="33"/>
        <v>6.3999999999996362</v>
      </c>
      <c r="CE26" s="60">
        <v>6396.9</v>
      </c>
      <c r="CF26" s="67">
        <f t="shared" si="34"/>
        <v>8.3999999999996362</v>
      </c>
      <c r="CG26" s="60">
        <v>59377.3</v>
      </c>
      <c r="CH26" s="67">
        <f t="shared" si="35"/>
        <v>33.700000000004366</v>
      </c>
      <c r="CI26" s="60">
        <v>947465</v>
      </c>
      <c r="CJ26" s="67">
        <f t="shared" si="36"/>
        <v>271</v>
      </c>
      <c r="CK26" s="60">
        <v>761.68</v>
      </c>
      <c r="CL26" s="64">
        <f t="shared" si="37"/>
        <v>669.99999999995907</v>
      </c>
      <c r="CM26" s="65">
        <f t="shared" si="41"/>
        <v>58.600000000000364</v>
      </c>
      <c r="CN26" s="62">
        <v>8</v>
      </c>
      <c r="CO26" s="62">
        <v>25</v>
      </c>
      <c r="CP26" s="68">
        <v>9363.5</v>
      </c>
      <c r="CQ26" s="67">
        <f t="shared" si="38"/>
        <v>42.600000000000364</v>
      </c>
      <c r="CR26" s="68">
        <v>14089</v>
      </c>
      <c r="CS26" s="67">
        <f t="shared" si="38"/>
        <v>16</v>
      </c>
      <c r="CT26" s="75">
        <v>6401</v>
      </c>
      <c r="CU26" s="67">
        <f t="shared" si="38"/>
        <v>13</v>
      </c>
      <c r="CV26" s="68">
        <v>15244</v>
      </c>
      <c r="CW26" s="67">
        <f t="shared" si="38"/>
        <v>21</v>
      </c>
    </row>
    <row r="27" spans="1:101" ht="25.5" customHeight="1" thickBot="1" x14ac:dyDescent="0.45">
      <c r="A27" s="63">
        <v>44371</v>
      </c>
      <c r="B27" s="44"/>
      <c r="C27" s="58">
        <v>2.2856999999999998</v>
      </c>
      <c r="D27" s="64">
        <f t="shared" si="0"/>
        <v>1700.0000000000348</v>
      </c>
      <c r="E27" s="58">
        <v>3.2545999999999999</v>
      </c>
      <c r="F27" s="64">
        <f t="shared" si="1"/>
        <v>2800.0000000001355</v>
      </c>
      <c r="G27" s="58">
        <v>3.3130000000000002</v>
      </c>
      <c r="H27" s="64">
        <f t="shared" si="2"/>
        <v>2400.0000000001796</v>
      </c>
      <c r="I27" s="58">
        <v>1.6337999999999999</v>
      </c>
      <c r="J27" s="64">
        <f t="shared" si="3"/>
        <v>1299.9999999998568</v>
      </c>
      <c r="K27" s="58">
        <v>2.6385999999999998</v>
      </c>
      <c r="L27" s="64">
        <f t="shared" si="4"/>
        <v>999.99999999988984</v>
      </c>
      <c r="M27" s="58">
        <v>1.4558</v>
      </c>
      <c r="N27" s="64">
        <f t="shared" si="5"/>
        <v>799.99999999991189</v>
      </c>
      <c r="O27" s="58">
        <v>14375</v>
      </c>
      <c r="P27" s="67">
        <f t="shared" si="44"/>
        <v>5</v>
      </c>
      <c r="Q27" s="58">
        <v>1019</v>
      </c>
      <c r="R27" s="67">
        <f t="shared" si="6"/>
        <v>2</v>
      </c>
      <c r="S27" s="58">
        <v>990744.6</v>
      </c>
      <c r="T27" s="67">
        <f t="shared" si="7"/>
        <v>603.40000000002328</v>
      </c>
      <c r="U27" s="58">
        <v>416528.9</v>
      </c>
      <c r="V27" s="67">
        <f t="shared" si="8"/>
        <v>266.20000000001164</v>
      </c>
      <c r="W27" s="58">
        <v>397.44</v>
      </c>
      <c r="X27" s="65">
        <f t="shared" si="9"/>
        <v>279.99999999997272</v>
      </c>
      <c r="Y27" s="58">
        <v>2.8437999999999999</v>
      </c>
      <c r="Z27" s="65">
        <f t="shared" si="10"/>
        <v>2499.9999999999468</v>
      </c>
      <c r="AA27" s="58">
        <v>395.3</v>
      </c>
      <c r="AB27" s="65">
        <f t="shared" si="11"/>
        <v>160.00000000002501</v>
      </c>
      <c r="AC27" s="58">
        <v>369.92</v>
      </c>
      <c r="AD27" s="65">
        <f t="shared" si="12"/>
        <v>230.00000000001819</v>
      </c>
      <c r="AE27" s="58">
        <v>565.87</v>
      </c>
      <c r="AF27" s="65">
        <f t="shared" si="13"/>
        <v>279.99999999997272</v>
      </c>
      <c r="AG27" s="58">
        <v>4359</v>
      </c>
      <c r="AH27" s="67">
        <f t="shared" si="14"/>
        <v>35</v>
      </c>
      <c r="AI27" s="58">
        <v>611.15</v>
      </c>
      <c r="AJ27" s="65">
        <f t="shared" si="15"/>
        <v>529.99999999997272</v>
      </c>
      <c r="AK27" s="58">
        <v>204.1</v>
      </c>
      <c r="AL27" s="65">
        <f t="shared" si="15"/>
        <v>180.00000000000682</v>
      </c>
      <c r="AM27" s="58">
        <v>194.39</v>
      </c>
      <c r="AN27" s="65">
        <f t="shared" si="15"/>
        <v>149.99999999997726</v>
      </c>
      <c r="AO27" s="58">
        <v>188.69</v>
      </c>
      <c r="AP27" s="65">
        <f t="shared" si="15"/>
        <v>120.00000000000455</v>
      </c>
      <c r="AQ27" s="58">
        <v>247.02</v>
      </c>
      <c r="AR27" s="65">
        <f t="shared" si="16"/>
        <v>80.000000000012506</v>
      </c>
      <c r="AS27" s="58">
        <v>372.49</v>
      </c>
      <c r="AT27" s="65">
        <f t="shared" si="17"/>
        <v>129.99999999999545</v>
      </c>
      <c r="AU27" s="58">
        <v>285.36</v>
      </c>
      <c r="AV27" s="65">
        <f t="shared" si="18"/>
        <v>60.000000000002274</v>
      </c>
      <c r="AW27" s="58">
        <v>319.95999999999998</v>
      </c>
      <c r="AX27" s="65">
        <f t="shared" si="19"/>
        <v>79.999999999984084</v>
      </c>
      <c r="AY27" s="58">
        <v>361.35</v>
      </c>
      <c r="AZ27" s="65">
        <f t="shared" si="20"/>
        <v>60.000000000002274</v>
      </c>
      <c r="BA27" s="58">
        <v>381.12</v>
      </c>
      <c r="BB27" s="65">
        <f t="shared" si="21"/>
        <v>30.000000000029559</v>
      </c>
      <c r="BC27" s="58">
        <v>241.76</v>
      </c>
      <c r="BD27" s="65">
        <f t="shared" si="22"/>
        <v>39.999999999992042</v>
      </c>
      <c r="BE27" s="59">
        <v>40249</v>
      </c>
      <c r="BF27" s="67">
        <f t="shared" si="39"/>
        <v>20</v>
      </c>
      <c r="BG27" s="60">
        <v>233.99</v>
      </c>
      <c r="BH27" s="65">
        <f t="shared" si="23"/>
        <v>40.000000000020464</v>
      </c>
      <c r="BI27" s="60">
        <v>293.12</v>
      </c>
      <c r="BJ27" s="65">
        <f t="shared" si="40"/>
        <v>30.000000000029559</v>
      </c>
      <c r="BK27" s="60">
        <v>236.88</v>
      </c>
      <c r="BL27" s="65">
        <f t="shared" si="24"/>
        <v>30.000000000001137</v>
      </c>
      <c r="BM27" s="60">
        <v>223.72</v>
      </c>
      <c r="BN27" s="65">
        <f t="shared" si="25"/>
        <v>30.000000000001137</v>
      </c>
      <c r="BO27" s="60">
        <v>287.56</v>
      </c>
      <c r="BP27" s="65">
        <f t="shared" si="26"/>
        <v>30.000000000029559</v>
      </c>
      <c r="BQ27" s="60">
        <v>45185</v>
      </c>
      <c r="BR27" s="65">
        <f t="shared" si="27"/>
        <v>27</v>
      </c>
      <c r="BS27" s="60">
        <v>200.69</v>
      </c>
      <c r="BT27" s="65">
        <f t="shared" si="42"/>
        <v>20.000000000010232</v>
      </c>
      <c r="BU27" s="60">
        <v>40571</v>
      </c>
      <c r="BV27" s="65">
        <f t="shared" si="29"/>
        <v>36</v>
      </c>
      <c r="BW27" s="60">
        <v>231.85</v>
      </c>
      <c r="BX27" s="65">
        <f t="shared" si="30"/>
        <v>19.99999999998181</v>
      </c>
      <c r="BY27" s="60">
        <v>60101</v>
      </c>
      <c r="BZ27" s="67">
        <f t="shared" si="31"/>
        <v>57</v>
      </c>
      <c r="CA27" s="60">
        <v>31883.599999999999</v>
      </c>
      <c r="CB27" s="67">
        <f t="shared" si="32"/>
        <v>28.099999999998545</v>
      </c>
      <c r="CC27" s="60">
        <v>12137.3</v>
      </c>
      <c r="CD27" s="67">
        <f t="shared" si="33"/>
        <v>4</v>
      </c>
      <c r="CE27" s="60">
        <v>6405</v>
      </c>
      <c r="CF27" s="67">
        <f t="shared" si="34"/>
        <v>8.1000000000003638</v>
      </c>
      <c r="CG27" s="60">
        <v>59415.6</v>
      </c>
      <c r="CH27" s="67">
        <f t="shared" si="35"/>
        <v>38.299999999995634</v>
      </c>
      <c r="CI27" s="60">
        <v>947759</v>
      </c>
      <c r="CJ27" s="67">
        <f t="shared" si="36"/>
        <v>294</v>
      </c>
      <c r="CK27" s="60">
        <v>762.26</v>
      </c>
      <c r="CL27" s="64">
        <f t="shared" si="37"/>
        <v>580.00000000004093</v>
      </c>
      <c r="CM27" s="65">
        <f t="shared" si="41"/>
        <v>69.100000000000364</v>
      </c>
      <c r="CN27" s="62">
        <v>8</v>
      </c>
      <c r="CO27" s="62">
        <v>25</v>
      </c>
      <c r="CP27" s="68">
        <v>9405.6</v>
      </c>
      <c r="CQ27" s="67">
        <f t="shared" si="38"/>
        <v>42.100000000000364</v>
      </c>
      <c r="CR27" s="68">
        <v>14116</v>
      </c>
      <c r="CS27" s="67">
        <f t="shared" si="38"/>
        <v>27</v>
      </c>
      <c r="CT27" s="75">
        <v>6412</v>
      </c>
      <c r="CU27" s="67">
        <f t="shared" si="38"/>
        <v>11</v>
      </c>
      <c r="CV27" s="68">
        <v>15260</v>
      </c>
      <c r="CW27" s="67">
        <f t="shared" si="38"/>
        <v>16</v>
      </c>
    </row>
    <row r="28" spans="1:101" ht="25.5" customHeight="1" thickBot="1" x14ac:dyDescent="0.45">
      <c r="A28" s="63">
        <v>44372</v>
      </c>
      <c r="B28" s="44"/>
      <c r="C28" s="58">
        <v>2.2873999999999999</v>
      </c>
      <c r="D28" s="64">
        <f t="shared" si="0"/>
        <v>1700.0000000000348</v>
      </c>
      <c r="E28" s="58">
        <v>3.2572000000000001</v>
      </c>
      <c r="F28" s="64">
        <f t="shared" si="1"/>
        <v>2600.0000000001578</v>
      </c>
      <c r="G28" s="58">
        <v>3.3151999999999999</v>
      </c>
      <c r="H28" s="64">
        <f t="shared" si="2"/>
        <v>2199.9999999997576</v>
      </c>
      <c r="I28" s="58">
        <v>1.635</v>
      </c>
      <c r="J28" s="64">
        <f t="shared" si="3"/>
        <v>1200.0000000000898</v>
      </c>
      <c r="K28" s="58">
        <v>2.6415999999999999</v>
      </c>
      <c r="L28" s="64">
        <f t="shared" si="4"/>
        <v>3000.0000000001137</v>
      </c>
      <c r="M28" s="58">
        <v>1.4567000000000001</v>
      </c>
      <c r="N28" s="64">
        <f t="shared" si="5"/>
        <v>900.0000000001229</v>
      </c>
      <c r="O28" s="58">
        <v>14379</v>
      </c>
      <c r="P28" s="67">
        <f t="shared" si="44"/>
        <v>4</v>
      </c>
      <c r="Q28" s="58">
        <v>1021</v>
      </c>
      <c r="R28" s="67">
        <f t="shared" si="6"/>
        <v>2</v>
      </c>
      <c r="S28" s="58">
        <v>991291.2</v>
      </c>
      <c r="T28" s="67">
        <f t="shared" si="7"/>
        <v>546.59999999997672</v>
      </c>
      <c r="U28" s="58">
        <v>416781.8</v>
      </c>
      <c r="V28" s="67">
        <f t="shared" si="8"/>
        <v>252.89999999996508</v>
      </c>
      <c r="W28" s="58">
        <v>397.68</v>
      </c>
      <c r="X28" s="65">
        <f t="shared" si="9"/>
        <v>240.00000000000909</v>
      </c>
      <c r="Y28" s="58">
        <v>2.8460999999999999</v>
      </c>
      <c r="Z28" s="65">
        <f t="shared" si="10"/>
        <v>2299.9999999999686</v>
      </c>
      <c r="AA28" s="58">
        <v>395.59</v>
      </c>
      <c r="AB28" s="65">
        <f t="shared" si="11"/>
        <v>289.99999999996362</v>
      </c>
      <c r="AC28" s="58">
        <v>370.15</v>
      </c>
      <c r="AD28" s="65">
        <f t="shared" si="12"/>
        <v>229.99999999996135</v>
      </c>
      <c r="AE28" s="58">
        <v>566.19000000000005</v>
      </c>
      <c r="AF28" s="65">
        <f t="shared" si="13"/>
        <v>320.00000000005002</v>
      </c>
      <c r="AG28" s="58">
        <v>4393</v>
      </c>
      <c r="AH28" s="67">
        <f t="shared" si="14"/>
        <v>34</v>
      </c>
      <c r="AI28" s="58">
        <v>611.66999999999996</v>
      </c>
      <c r="AJ28" s="65">
        <f t="shared" si="15"/>
        <v>519.99999999998181</v>
      </c>
      <c r="AK28" s="58">
        <v>204.29</v>
      </c>
      <c r="AL28" s="65">
        <f t="shared" si="15"/>
        <v>189.99999999999773</v>
      </c>
      <c r="AM28" s="58">
        <v>194.54</v>
      </c>
      <c r="AN28" s="65">
        <f t="shared" si="15"/>
        <v>150.00000000000568</v>
      </c>
      <c r="AO28" s="58">
        <v>188.88</v>
      </c>
      <c r="AP28" s="65">
        <f t="shared" si="15"/>
        <v>189.99999999999773</v>
      </c>
      <c r="AQ28" s="58">
        <v>247.1</v>
      </c>
      <c r="AR28" s="65">
        <f t="shared" si="16"/>
        <v>79.999999999984084</v>
      </c>
      <c r="AS28" s="58">
        <v>372.59</v>
      </c>
      <c r="AT28" s="65">
        <f t="shared" si="17"/>
        <v>99.999999999965894</v>
      </c>
      <c r="AU28" s="58">
        <v>285.39999999999998</v>
      </c>
      <c r="AV28" s="65">
        <f t="shared" si="18"/>
        <v>39.99999999996362</v>
      </c>
      <c r="AW28" s="58">
        <v>320.04000000000002</v>
      </c>
      <c r="AX28" s="65">
        <f t="shared" si="19"/>
        <v>80.000000000040927</v>
      </c>
      <c r="AY28" s="58">
        <v>361.4</v>
      </c>
      <c r="AZ28" s="65">
        <f t="shared" si="20"/>
        <v>49.999999999954525</v>
      </c>
      <c r="BA28" s="58">
        <v>381.15</v>
      </c>
      <c r="BB28" s="65">
        <f t="shared" si="21"/>
        <v>29.999999999972715</v>
      </c>
      <c r="BC28" s="58">
        <v>241.78</v>
      </c>
      <c r="BD28" s="65">
        <f t="shared" si="22"/>
        <v>20.000000000010232</v>
      </c>
      <c r="BE28" s="59">
        <v>40298</v>
      </c>
      <c r="BF28" s="67">
        <f t="shared" si="39"/>
        <v>49</v>
      </c>
      <c r="BG28" s="60">
        <v>234.03</v>
      </c>
      <c r="BH28" s="65">
        <f t="shared" si="23"/>
        <v>39.999999999992042</v>
      </c>
      <c r="BI28" s="60">
        <v>293.13</v>
      </c>
      <c r="BJ28" s="65">
        <f t="shared" si="40"/>
        <v>9.9999999999909051</v>
      </c>
      <c r="BK28" s="60">
        <v>236.91</v>
      </c>
      <c r="BL28" s="65">
        <f t="shared" si="24"/>
        <v>30.000000000001137</v>
      </c>
      <c r="BM28" s="60">
        <v>223.75</v>
      </c>
      <c r="BN28" s="65">
        <f t="shared" si="25"/>
        <v>30.000000000001137</v>
      </c>
      <c r="BO28" s="60">
        <v>287.58</v>
      </c>
      <c r="BP28" s="65">
        <f t="shared" si="26"/>
        <v>19.99999999998181</v>
      </c>
      <c r="BQ28" s="60">
        <v>45210</v>
      </c>
      <c r="BR28" s="65">
        <f t="shared" si="27"/>
        <v>25</v>
      </c>
      <c r="BS28" s="60">
        <v>200.71</v>
      </c>
      <c r="BT28" s="65">
        <f t="shared" si="42"/>
        <v>20.000000000010232</v>
      </c>
      <c r="BU28" s="60">
        <v>40606</v>
      </c>
      <c r="BV28" s="65">
        <f t="shared" si="29"/>
        <v>35</v>
      </c>
      <c r="BW28" s="60">
        <v>231.88</v>
      </c>
      <c r="BX28" s="65">
        <f t="shared" si="30"/>
        <v>30.000000000001137</v>
      </c>
      <c r="BY28" s="60">
        <v>60142</v>
      </c>
      <c r="BZ28" s="67">
        <f t="shared" si="31"/>
        <v>41</v>
      </c>
      <c r="CA28" s="60">
        <v>31909.3</v>
      </c>
      <c r="CB28" s="67">
        <f t="shared" si="32"/>
        <v>25.700000000000728</v>
      </c>
      <c r="CC28" s="60">
        <v>12144.1</v>
      </c>
      <c r="CD28" s="67">
        <f t="shared" si="33"/>
        <v>6.8000000000010914</v>
      </c>
      <c r="CE28" s="60">
        <v>6405</v>
      </c>
      <c r="CF28" s="67">
        <f t="shared" si="34"/>
        <v>0</v>
      </c>
      <c r="CG28" s="60">
        <v>59452.9</v>
      </c>
      <c r="CH28" s="67">
        <f t="shared" si="35"/>
        <v>37.30000000000291</v>
      </c>
      <c r="CI28" s="60">
        <v>948085</v>
      </c>
      <c r="CJ28" s="67">
        <f t="shared" si="36"/>
        <v>326</v>
      </c>
      <c r="CK28" s="60">
        <v>762.79</v>
      </c>
      <c r="CL28" s="64">
        <f t="shared" si="37"/>
        <v>529.99999999997272</v>
      </c>
      <c r="CM28" s="65">
        <f t="shared" si="41"/>
        <v>54.600000000000364</v>
      </c>
      <c r="CN28" s="62">
        <v>9</v>
      </c>
      <c r="CO28" s="62">
        <v>26</v>
      </c>
      <c r="CP28" s="68">
        <v>9437.2000000000007</v>
      </c>
      <c r="CQ28" s="67">
        <f t="shared" si="38"/>
        <v>31.600000000000364</v>
      </c>
      <c r="CR28" s="68">
        <v>14139</v>
      </c>
      <c r="CS28" s="67">
        <f t="shared" si="38"/>
        <v>23</v>
      </c>
      <c r="CT28" s="75">
        <v>6424</v>
      </c>
      <c r="CU28" s="67">
        <f t="shared" si="38"/>
        <v>12</v>
      </c>
      <c r="CV28" s="68">
        <v>15283</v>
      </c>
      <c r="CW28" s="67">
        <f t="shared" si="38"/>
        <v>23</v>
      </c>
    </row>
    <row r="29" spans="1:101" ht="25.5" customHeight="1" thickBot="1" x14ac:dyDescent="0.45">
      <c r="A29" s="63">
        <v>44373</v>
      </c>
      <c r="B29" s="44"/>
      <c r="C29" s="58">
        <v>2.2892000000000001</v>
      </c>
      <c r="D29" s="64">
        <f t="shared" si="0"/>
        <v>1800.0000000002458</v>
      </c>
      <c r="E29" s="58">
        <v>3.26</v>
      </c>
      <c r="F29" s="64">
        <f t="shared" si="1"/>
        <v>2799.9999999996917</v>
      </c>
      <c r="G29" s="58">
        <v>3.3176000000000001</v>
      </c>
      <c r="H29" s="64">
        <f t="shared" si="2"/>
        <v>2400.0000000001796</v>
      </c>
      <c r="I29" s="58">
        <v>1.6364000000000001</v>
      </c>
      <c r="J29" s="64">
        <f t="shared" si="3"/>
        <v>1400.0000000000678</v>
      </c>
      <c r="K29" s="58">
        <v>2.6436000000000002</v>
      </c>
      <c r="L29" s="64">
        <f t="shared" si="4"/>
        <v>2000.0000000002237</v>
      </c>
      <c r="M29" s="58">
        <v>1.4576</v>
      </c>
      <c r="N29" s="64">
        <f t="shared" si="5"/>
        <v>899.99999999990087</v>
      </c>
      <c r="O29" s="58">
        <v>14388</v>
      </c>
      <c r="P29" s="67">
        <f t="shared" si="44"/>
        <v>9</v>
      </c>
      <c r="Q29" s="58">
        <v>1024</v>
      </c>
      <c r="R29" s="67">
        <f t="shared" si="6"/>
        <v>3</v>
      </c>
      <c r="S29" s="58">
        <v>992100.2</v>
      </c>
      <c r="T29" s="67">
        <f t="shared" si="7"/>
        <v>809</v>
      </c>
      <c r="U29" s="58">
        <v>417086.7</v>
      </c>
      <c r="V29" s="67">
        <f t="shared" si="8"/>
        <v>304.90000000002328</v>
      </c>
      <c r="W29" s="58">
        <v>397.96</v>
      </c>
      <c r="X29" s="65">
        <f t="shared" si="9"/>
        <v>279.99999999997272</v>
      </c>
      <c r="Y29" s="58">
        <v>2.8487</v>
      </c>
      <c r="Z29" s="65">
        <f t="shared" si="10"/>
        <v>2600.0000000001578</v>
      </c>
      <c r="AA29" s="58">
        <v>395.85</v>
      </c>
      <c r="AB29" s="65">
        <f t="shared" si="11"/>
        <v>260.00000000004775</v>
      </c>
      <c r="AC29" s="58">
        <v>370.41</v>
      </c>
      <c r="AD29" s="65">
        <f t="shared" si="12"/>
        <v>260.00000000004775</v>
      </c>
      <c r="AE29" s="58">
        <v>566.47</v>
      </c>
      <c r="AF29" s="65">
        <f t="shared" si="13"/>
        <v>279.99999999997272</v>
      </c>
      <c r="AG29" s="58">
        <v>4426</v>
      </c>
      <c r="AH29" s="67">
        <f t="shared" si="14"/>
        <v>33</v>
      </c>
      <c r="AI29" s="58">
        <v>612.4</v>
      </c>
      <c r="AJ29" s="65">
        <f t="shared" si="15"/>
        <v>730.00000000001819</v>
      </c>
      <c r="AK29" s="58">
        <v>204.48</v>
      </c>
      <c r="AL29" s="65">
        <f t="shared" si="15"/>
        <v>189.99999999999773</v>
      </c>
      <c r="AM29" s="58">
        <v>194.7</v>
      </c>
      <c r="AN29" s="65">
        <f t="shared" si="15"/>
        <v>159.99999999999659</v>
      </c>
      <c r="AO29" s="58">
        <v>189.1</v>
      </c>
      <c r="AP29" s="65">
        <f t="shared" si="15"/>
        <v>219.99999999999886</v>
      </c>
      <c r="AQ29" s="58">
        <v>247.16</v>
      </c>
      <c r="AR29" s="65">
        <f t="shared" si="16"/>
        <v>60.000000000002274</v>
      </c>
      <c r="AS29" s="58">
        <v>372.7</v>
      </c>
      <c r="AT29" s="65">
        <f t="shared" si="17"/>
        <v>110.00000000001364</v>
      </c>
      <c r="AU29" s="58">
        <v>285.45999999999998</v>
      </c>
      <c r="AV29" s="65">
        <f t="shared" si="18"/>
        <v>60.000000000002274</v>
      </c>
      <c r="AW29" s="58">
        <v>320.11</v>
      </c>
      <c r="AX29" s="65">
        <f t="shared" si="19"/>
        <v>69.999999999993179</v>
      </c>
      <c r="AY29" s="58">
        <v>361.44</v>
      </c>
      <c r="AZ29" s="65">
        <f t="shared" si="20"/>
        <v>40.000000000020464</v>
      </c>
      <c r="BA29" s="58">
        <v>381.17</v>
      </c>
      <c r="BB29" s="65">
        <f t="shared" si="21"/>
        <v>20.000000000038654</v>
      </c>
      <c r="BC29" s="58">
        <v>241.81</v>
      </c>
      <c r="BD29" s="65">
        <f t="shared" si="22"/>
        <v>30.000000000001137</v>
      </c>
      <c r="BE29" s="59">
        <v>40336</v>
      </c>
      <c r="BF29" s="67">
        <f t="shared" si="39"/>
        <v>38</v>
      </c>
      <c r="BG29" s="60">
        <v>234.09</v>
      </c>
      <c r="BH29" s="65">
        <f t="shared" si="23"/>
        <v>60.000000000002274</v>
      </c>
      <c r="BI29" s="60">
        <v>293.16000000000003</v>
      </c>
      <c r="BJ29" s="65">
        <f t="shared" si="40"/>
        <v>30.000000000029559</v>
      </c>
      <c r="BK29" s="60">
        <v>236.93</v>
      </c>
      <c r="BL29" s="65">
        <f t="shared" si="24"/>
        <v>20.000000000010232</v>
      </c>
      <c r="BM29" s="60">
        <v>223.79</v>
      </c>
      <c r="BN29" s="65">
        <f t="shared" si="25"/>
        <v>39.999999999992042</v>
      </c>
      <c r="BO29" s="60">
        <v>287.61</v>
      </c>
      <c r="BP29" s="65">
        <f t="shared" si="26"/>
        <v>30.000000000029559</v>
      </c>
      <c r="BQ29" s="60">
        <v>45235</v>
      </c>
      <c r="BR29" s="65">
        <f t="shared" si="27"/>
        <v>25</v>
      </c>
      <c r="BS29" s="60">
        <v>200.74</v>
      </c>
      <c r="BT29" s="65">
        <f t="shared" si="42"/>
        <v>30.000000000001137</v>
      </c>
      <c r="BU29" s="60">
        <v>40645</v>
      </c>
      <c r="BV29" s="65">
        <f t="shared" si="29"/>
        <v>39</v>
      </c>
      <c r="BW29" s="60">
        <v>231.91</v>
      </c>
      <c r="BX29" s="65">
        <f t="shared" si="30"/>
        <v>30.000000000001137</v>
      </c>
      <c r="BY29" s="60">
        <v>60207</v>
      </c>
      <c r="BZ29" s="67">
        <f t="shared" si="31"/>
        <v>65</v>
      </c>
      <c r="CA29" s="60">
        <v>31927.4</v>
      </c>
      <c r="CB29" s="67">
        <f t="shared" si="32"/>
        <v>18.100000000002183</v>
      </c>
      <c r="CC29" s="60">
        <v>12152.7</v>
      </c>
      <c r="CD29" s="67">
        <f t="shared" si="33"/>
        <v>8.6000000000003638</v>
      </c>
      <c r="CE29" s="60">
        <v>6407.3</v>
      </c>
      <c r="CF29" s="67">
        <f t="shared" si="34"/>
        <v>2.3000000000001819</v>
      </c>
      <c r="CG29" s="60">
        <v>59489.599999999999</v>
      </c>
      <c r="CH29" s="67">
        <f t="shared" si="35"/>
        <v>36.69999999999709</v>
      </c>
      <c r="CI29" s="60">
        <v>948455</v>
      </c>
      <c r="CJ29" s="67">
        <f t="shared" si="36"/>
        <v>370</v>
      </c>
      <c r="CK29" s="60">
        <v>763.38</v>
      </c>
      <c r="CL29" s="64">
        <f t="shared" si="37"/>
        <v>590.00000000003183</v>
      </c>
      <c r="CM29" s="65">
        <f t="shared" si="41"/>
        <v>57.799999999999272</v>
      </c>
      <c r="CN29" s="62">
        <v>9</v>
      </c>
      <c r="CO29" s="62">
        <v>22</v>
      </c>
      <c r="CP29" s="68">
        <v>9475</v>
      </c>
      <c r="CQ29" s="67">
        <f t="shared" si="38"/>
        <v>37.799999999999272</v>
      </c>
      <c r="CR29" s="68">
        <v>14159</v>
      </c>
      <c r="CS29" s="67">
        <f t="shared" si="38"/>
        <v>20</v>
      </c>
      <c r="CT29" s="75">
        <v>6436</v>
      </c>
      <c r="CU29" s="67">
        <f t="shared" si="38"/>
        <v>12</v>
      </c>
      <c r="CV29" s="68">
        <v>15307</v>
      </c>
      <c r="CW29" s="67">
        <f t="shared" si="38"/>
        <v>24</v>
      </c>
    </row>
    <row r="30" spans="1:101" ht="25.5" customHeight="1" thickBot="1" x14ac:dyDescent="0.45">
      <c r="A30" s="63">
        <v>44374</v>
      </c>
      <c r="B30" s="44"/>
      <c r="C30" s="58">
        <v>2.2911999999999999</v>
      </c>
      <c r="D30" s="64">
        <f t="shared" si="0"/>
        <v>1999.9999999997797</v>
      </c>
      <c r="E30" s="58">
        <v>3.2627000000000002</v>
      </c>
      <c r="F30" s="64">
        <f t="shared" si="1"/>
        <v>2700.0000000003688</v>
      </c>
      <c r="G30" s="58">
        <v>3.3199000000000001</v>
      </c>
      <c r="H30" s="64">
        <f t="shared" si="2"/>
        <v>2299.9999999999686</v>
      </c>
      <c r="I30" s="58">
        <v>1.6377999999999999</v>
      </c>
      <c r="J30" s="64">
        <f t="shared" si="3"/>
        <v>1399.9999999998458</v>
      </c>
      <c r="K30" s="58">
        <v>2.6455000000000002</v>
      </c>
      <c r="L30" s="64">
        <f t="shared" si="4"/>
        <v>1900.0000000000127</v>
      </c>
      <c r="M30" s="58">
        <v>1.4585999999999999</v>
      </c>
      <c r="N30" s="64">
        <f t="shared" si="5"/>
        <v>999.99999999988984</v>
      </c>
      <c r="O30" s="58">
        <v>14397</v>
      </c>
      <c r="P30" s="67">
        <f t="shared" si="44"/>
        <v>9</v>
      </c>
      <c r="Q30" s="58">
        <v>1026</v>
      </c>
      <c r="R30" s="67">
        <f t="shared" si="6"/>
        <v>2</v>
      </c>
      <c r="S30" s="58">
        <v>992747.4</v>
      </c>
      <c r="T30" s="67">
        <f t="shared" si="7"/>
        <v>647.20000000006985</v>
      </c>
      <c r="U30" s="58">
        <v>417341.6</v>
      </c>
      <c r="V30" s="67">
        <f t="shared" si="8"/>
        <v>254.89999999996508</v>
      </c>
      <c r="W30" s="58">
        <v>398.22</v>
      </c>
      <c r="X30" s="65">
        <f t="shared" si="9"/>
        <v>260.00000000004775</v>
      </c>
      <c r="Y30" s="58">
        <v>2.8511000000000002</v>
      </c>
      <c r="Z30" s="65">
        <f t="shared" si="10"/>
        <v>2400.0000000001796</v>
      </c>
      <c r="AA30" s="58">
        <v>396.2</v>
      </c>
      <c r="AB30" s="65">
        <f t="shared" si="11"/>
        <v>349.99999999996589</v>
      </c>
      <c r="AC30" s="58">
        <v>370.66</v>
      </c>
      <c r="AD30" s="65">
        <f t="shared" si="12"/>
        <v>250</v>
      </c>
      <c r="AE30" s="58">
        <v>566.75</v>
      </c>
      <c r="AF30" s="65">
        <f t="shared" si="13"/>
        <v>279.99999999997272</v>
      </c>
      <c r="AG30" s="58">
        <v>4462</v>
      </c>
      <c r="AH30" s="67">
        <f t="shared" si="14"/>
        <v>36</v>
      </c>
      <c r="AI30" s="58">
        <v>613.25</v>
      </c>
      <c r="AJ30" s="65">
        <f t="shared" si="15"/>
        <v>850.00000000002274</v>
      </c>
      <c r="AK30" s="58">
        <v>204.66</v>
      </c>
      <c r="AL30" s="65">
        <f t="shared" si="15"/>
        <v>180.00000000000682</v>
      </c>
      <c r="AM30" s="58">
        <v>194.91</v>
      </c>
      <c r="AN30" s="65">
        <f t="shared" si="15"/>
        <v>210.00000000000796</v>
      </c>
      <c r="AO30" s="58">
        <v>189.28</v>
      </c>
      <c r="AP30" s="65">
        <f t="shared" si="15"/>
        <v>180.00000000000682</v>
      </c>
      <c r="AQ30" s="58">
        <v>247.24</v>
      </c>
      <c r="AR30" s="65">
        <f t="shared" si="16"/>
        <v>80.000000000012506</v>
      </c>
      <c r="AS30" s="58">
        <v>372.8</v>
      </c>
      <c r="AT30" s="65">
        <f t="shared" si="17"/>
        <v>100.00000000002274</v>
      </c>
      <c r="AU30" s="58">
        <v>285.52</v>
      </c>
      <c r="AV30" s="65">
        <f t="shared" si="18"/>
        <v>60.000000000002274</v>
      </c>
      <c r="AW30" s="58">
        <v>320.17</v>
      </c>
      <c r="AX30" s="65">
        <f t="shared" si="19"/>
        <v>60.000000000002274</v>
      </c>
      <c r="AY30" s="58">
        <v>361.48</v>
      </c>
      <c r="AZ30" s="65">
        <f t="shared" si="20"/>
        <v>40.000000000020464</v>
      </c>
      <c r="BA30" s="58">
        <v>381.18</v>
      </c>
      <c r="BB30" s="65">
        <f t="shared" si="21"/>
        <v>9.9999999999909051</v>
      </c>
      <c r="BC30" s="58">
        <v>241.82</v>
      </c>
      <c r="BD30" s="65">
        <f t="shared" si="22"/>
        <v>9.9999999999909051</v>
      </c>
      <c r="BE30" s="59">
        <v>40366</v>
      </c>
      <c r="BF30" s="67">
        <f t="shared" si="39"/>
        <v>30</v>
      </c>
      <c r="BG30" s="60">
        <v>234.13</v>
      </c>
      <c r="BH30" s="65">
        <f t="shared" si="23"/>
        <v>39.999999999992042</v>
      </c>
      <c r="BI30" s="60">
        <v>293.18</v>
      </c>
      <c r="BJ30" s="65">
        <f t="shared" si="40"/>
        <v>19.99999999998181</v>
      </c>
      <c r="BK30" s="60">
        <v>236.96</v>
      </c>
      <c r="BL30" s="65">
        <f t="shared" si="24"/>
        <v>30.000000000001137</v>
      </c>
      <c r="BM30" s="60">
        <v>223.82</v>
      </c>
      <c r="BN30" s="65">
        <f t="shared" si="25"/>
        <v>30.000000000001137</v>
      </c>
      <c r="BO30" s="60">
        <v>287.64</v>
      </c>
      <c r="BP30" s="65">
        <f t="shared" si="26"/>
        <v>29.999999999972715</v>
      </c>
      <c r="BQ30" s="60">
        <v>45261</v>
      </c>
      <c r="BR30" s="65">
        <f t="shared" si="27"/>
        <v>26</v>
      </c>
      <c r="BS30" s="60">
        <v>200.76</v>
      </c>
      <c r="BT30" s="65">
        <f t="shared" si="42"/>
        <v>19.99999999998181</v>
      </c>
      <c r="BU30" s="60">
        <v>40684</v>
      </c>
      <c r="BV30" s="65">
        <f t="shared" si="29"/>
        <v>39</v>
      </c>
      <c r="BW30" s="60">
        <v>231.94</v>
      </c>
      <c r="BX30" s="65">
        <f t="shared" si="30"/>
        <v>30.000000000001137</v>
      </c>
      <c r="BY30" s="60">
        <v>60278</v>
      </c>
      <c r="BZ30" s="67">
        <f t="shared" si="31"/>
        <v>71</v>
      </c>
      <c r="CA30" s="60">
        <v>31959.3</v>
      </c>
      <c r="CB30" s="67">
        <f t="shared" si="32"/>
        <v>31.899999999997817</v>
      </c>
      <c r="CC30" s="60">
        <v>12161</v>
      </c>
      <c r="CD30" s="67">
        <f t="shared" si="33"/>
        <v>8.2999999999992724</v>
      </c>
      <c r="CE30" s="60">
        <v>6416.3</v>
      </c>
      <c r="CF30" s="67">
        <f t="shared" si="34"/>
        <v>9</v>
      </c>
      <c r="CG30" s="60">
        <v>59533.8</v>
      </c>
      <c r="CH30" s="67">
        <f t="shared" si="35"/>
        <v>44.200000000004366</v>
      </c>
      <c r="CI30" s="60">
        <v>948741</v>
      </c>
      <c r="CJ30" s="67">
        <f t="shared" si="36"/>
        <v>286</v>
      </c>
      <c r="CK30" s="60">
        <v>763.9</v>
      </c>
      <c r="CL30" s="64">
        <f t="shared" si="37"/>
        <v>519.99999999998181</v>
      </c>
      <c r="CM30" s="65">
        <f t="shared" si="41"/>
        <v>49</v>
      </c>
      <c r="CN30" s="62">
        <v>9</v>
      </c>
      <c r="CO30" s="62">
        <v>25</v>
      </c>
      <c r="CP30" s="68">
        <v>9513</v>
      </c>
      <c r="CQ30" s="67">
        <f t="shared" si="38"/>
        <v>38</v>
      </c>
      <c r="CR30" s="68">
        <v>14170</v>
      </c>
      <c r="CS30" s="67">
        <f t="shared" si="38"/>
        <v>11</v>
      </c>
      <c r="CT30" s="75">
        <v>6448</v>
      </c>
      <c r="CU30" s="67">
        <f t="shared" si="38"/>
        <v>12</v>
      </c>
      <c r="CV30" s="68">
        <v>15328</v>
      </c>
      <c r="CW30" s="67">
        <f t="shared" si="38"/>
        <v>21</v>
      </c>
    </row>
    <row r="31" spans="1:101" ht="25.5" customHeight="1" thickBot="1" x14ac:dyDescent="0.45">
      <c r="A31" s="63">
        <v>44375</v>
      </c>
      <c r="B31" s="66"/>
      <c r="C31" s="58">
        <v>2.2932999999999999</v>
      </c>
      <c r="D31" s="64">
        <f t="shared" si="0"/>
        <v>2099.9999999999909</v>
      </c>
      <c r="E31" s="58">
        <v>3.2654000000000001</v>
      </c>
      <c r="F31" s="64">
        <f t="shared" si="1"/>
        <v>2699.9999999999245</v>
      </c>
      <c r="G31" s="58">
        <v>3.3224999999999998</v>
      </c>
      <c r="H31" s="64">
        <f t="shared" si="2"/>
        <v>2599.9999999997135</v>
      </c>
      <c r="I31" s="58">
        <v>1.6391</v>
      </c>
      <c r="J31" s="64">
        <f t="shared" si="3"/>
        <v>1300.0000000000789</v>
      </c>
      <c r="K31" s="58">
        <v>2.6475</v>
      </c>
      <c r="L31" s="64">
        <f t="shared" si="4"/>
        <v>1999.9999999997797</v>
      </c>
      <c r="M31" s="58">
        <v>1.4595</v>
      </c>
      <c r="N31" s="64">
        <f t="shared" si="5"/>
        <v>900.0000000001229</v>
      </c>
      <c r="O31" s="58">
        <v>14404</v>
      </c>
      <c r="P31" s="67">
        <f t="shared" si="44"/>
        <v>7</v>
      </c>
      <c r="Q31" s="58">
        <v>1029</v>
      </c>
      <c r="R31" s="67">
        <f t="shared" si="6"/>
        <v>3</v>
      </c>
      <c r="S31" s="58">
        <v>993671.8</v>
      </c>
      <c r="T31" s="67">
        <f t="shared" si="7"/>
        <v>924.40000000002328</v>
      </c>
      <c r="U31" s="58">
        <v>417763.6</v>
      </c>
      <c r="V31" s="67">
        <f t="shared" si="8"/>
        <v>422</v>
      </c>
      <c r="W31" s="58">
        <v>398.47</v>
      </c>
      <c r="X31" s="65">
        <f t="shared" si="9"/>
        <v>250</v>
      </c>
      <c r="Y31" s="58">
        <v>2.8534999999999999</v>
      </c>
      <c r="Z31" s="65">
        <f t="shared" si="10"/>
        <v>2399.9999999997358</v>
      </c>
      <c r="AA31" s="58">
        <v>396.47</v>
      </c>
      <c r="AB31" s="65">
        <f t="shared" si="11"/>
        <v>270.00000000003865</v>
      </c>
      <c r="AC31" s="58">
        <v>370.91</v>
      </c>
      <c r="AD31" s="65">
        <f t="shared" si="12"/>
        <v>250</v>
      </c>
      <c r="AE31" s="58">
        <v>567.02</v>
      </c>
      <c r="AF31" s="65">
        <f t="shared" si="13"/>
        <v>269.99999999998181</v>
      </c>
      <c r="AG31" s="58">
        <v>4503</v>
      </c>
      <c r="AH31" s="67">
        <f t="shared" si="14"/>
        <v>41</v>
      </c>
      <c r="AI31" s="58">
        <v>614.05999999999995</v>
      </c>
      <c r="AJ31" s="65">
        <f t="shared" si="15"/>
        <v>809.99999999994543</v>
      </c>
      <c r="AK31" s="58">
        <v>204.85</v>
      </c>
      <c r="AL31" s="65">
        <f t="shared" si="15"/>
        <v>189.99999999999773</v>
      </c>
      <c r="AM31" s="58">
        <v>195.11</v>
      </c>
      <c r="AN31" s="65">
        <f t="shared" si="15"/>
        <v>200.00000000001705</v>
      </c>
      <c r="AO31" s="58">
        <v>189.43</v>
      </c>
      <c r="AP31" s="65">
        <f t="shared" si="15"/>
        <v>150.00000000000568</v>
      </c>
      <c r="AQ31" s="58">
        <v>247.33</v>
      </c>
      <c r="AR31" s="65">
        <f t="shared" si="16"/>
        <v>90.000000000003411</v>
      </c>
      <c r="AS31" s="58">
        <v>372.92</v>
      </c>
      <c r="AT31" s="65">
        <f t="shared" si="17"/>
        <v>120.00000000000455</v>
      </c>
      <c r="AU31" s="58">
        <v>285.60000000000002</v>
      </c>
      <c r="AV31" s="65">
        <f t="shared" si="18"/>
        <v>80.000000000040927</v>
      </c>
      <c r="AW31" s="58">
        <v>320.26</v>
      </c>
      <c r="AX31" s="65">
        <f t="shared" si="19"/>
        <v>89.999999999974989</v>
      </c>
      <c r="AY31" s="58">
        <v>361.54</v>
      </c>
      <c r="AZ31" s="65">
        <f t="shared" si="20"/>
        <v>60.000000000002274</v>
      </c>
      <c r="BA31" s="58">
        <v>381.22</v>
      </c>
      <c r="BB31" s="65">
        <f t="shared" si="21"/>
        <v>40.000000000020464</v>
      </c>
      <c r="BC31" s="58">
        <v>241.86</v>
      </c>
      <c r="BD31" s="65">
        <f t="shared" si="22"/>
        <v>40.000000000020464</v>
      </c>
      <c r="BE31" s="59">
        <v>40389</v>
      </c>
      <c r="BF31" s="67">
        <f t="shared" si="39"/>
        <v>23</v>
      </c>
      <c r="BG31" s="60">
        <v>234.19</v>
      </c>
      <c r="BH31" s="65">
        <f t="shared" si="23"/>
        <v>60.000000000002274</v>
      </c>
      <c r="BI31" s="60">
        <v>293.20999999999998</v>
      </c>
      <c r="BJ31" s="65">
        <f t="shared" si="40"/>
        <v>29.999999999972715</v>
      </c>
      <c r="BK31" s="60">
        <v>236.99</v>
      </c>
      <c r="BL31" s="65">
        <f t="shared" si="24"/>
        <v>30.000000000001137</v>
      </c>
      <c r="BM31" s="60">
        <v>223.86</v>
      </c>
      <c r="BN31" s="65">
        <f t="shared" si="25"/>
        <v>40.000000000020464</v>
      </c>
      <c r="BO31" s="60">
        <v>287.67</v>
      </c>
      <c r="BP31" s="65">
        <f t="shared" si="26"/>
        <v>30.000000000029559</v>
      </c>
      <c r="BQ31" s="60">
        <v>45294</v>
      </c>
      <c r="BR31" s="65">
        <f t="shared" si="27"/>
        <v>33</v>
      </c>
      <c r="BS31" s="60">
        <v>200.79</v>
      </c>
      <c r="BT31" s="65">
        <f t="shared" si="42"/>
        <v>30.000000000001137</v>
      </c>
      <c r="BU31" s="60">
        <v>40725</v>
      </c>
      <c r="BV31" s="65">
        <f t="shared" si="29"/>
        <v>41</v>
      </c>
      <c r="BW31" s="60">
        <v>231.96</v>
      </c>
      <c r="BX31" s="65">
        <f t="shared" si="30"/>
        <v>20.000000000010232</v>
      </c>
      <c r="BY31" s="60">
        <v>60354</v>
      </c>
      <c r="BZ31" s="67">
        <f t="shared" si="31"/>
        <v>76</v>
      </c>
      <c r="CA31" s="60">
        <v>31996.1</v>
      </c>
      <c r="CB31" s="67">
        <f t="shared" si="32"/>
        <v>36.799999999999272</v>
      </c>
      <c r="CC31" s="60">
        <v>12169.4</v>
      </c>
      <c r="CD31" s="67">
        <f t="shared" si="33"/>
        <v>8.3999999999996362</v>
      </c>
      <c r="CE31" s="60">
        <v>6422.3</v>
      </c>
      <c r="CF31" s="67">
        <f t="shared" si="34"/>
        <v>6</v>
      </c>
      <c r="CG31" s="60">
        <v>59573.599999999999</v>
      </c>
      <c r="CH31" s="67">
        <f t="shared" si="35"/>
        <v>39.799999999995634</v>
      </c>
      <c r="CI31" s="60">
        <v>949030</v>
      </c>
      <c r="CJ31" s="67">
        <f t="shared" si="36"/>
        <v>289</v>
      </c>
      <c r="CK31" s="60">
        <v>764.49</v>
      </c>
      <c r="CL31" s="64">
        <f t="shared" si="37"/>
        <v>590.00000000003183</v>
      </c>
      <c r="CM31" s="65">
        <f t="shared" si="41"/>
        <v>86</v>
      </c>
      <c r="CN31" s="62">
        <v>9</v>
      </c>
      <c r="CO31" s="62">
        <v>25</v>
      </c>
      <c r="CP31" s="68">
        <v>9561</v>
      </c>
      <c r="CQ31" s="67">
        <f t="shared" si="38"/>
        <v>48</v>
      </c>
      <c r="CR31" s="68">
        <v>14208</v>
      </c>
      <c r="CS31" s="67">
        <f t="shared" si="38"/>
        <v>38</v>
      </c>
      <c r="CT31" s="75">
        <v>6460</v>
      </c>
      <c r="CU31" s="67">
        <f t="shared" si="38"/>
        <v>12</v>
      </c>
      <c r="CV31" s="68">
        <v>15358</v>
      </c>
      <c r="CW31" s="67">
        <f t="shared" si="38"/>
        <v>30</v>
      </c>
    </row>
    <row r="32" spans="1:101" ht="25.5" customHeight="1" thickBot="1" x14ac:dyDescent="0.45">
      <c r="A32" s="63">
        <v>44376</v>
      </c>
      <c r="B32" s="68"/>
      <c r="C32" s="58">
        <v>2.2955000000000001</v>
      </c>
      <c r="D32" s="64">
        <f t="shared" si="0"/>
        <v>2200.0000000002019</v>
      </c>
      <c r="E32" s="58">
        <v>3.2684000000000002</v>
      </c>
      <c r="F32" s="64">
        <f t="shared" si="1"/>
        <v>3000.0000000001137</v>
      </c>
      <c r="G32" s="58">
        <v>3.3254999999999999</v>
      </c>
      <c r="H32" s="64">
        <f t="shared" si="2"/>
        <v>3000.0000000001137</v>
      </c>
      <c r="I32" s="58">
        <v>1.6404000000000001</v>
      </c>
      <c r="J32" s="64">
        <f t="shared" si="3"/>
        <v>1300.0000000000789</v>
      </c>
      <c r="K32" s="58">
        <v>2.6497999999999999</v>
      </c>
      <c r="L32" s="64">
        <f t="shared" si="4"/>
        <v>2299.9999999999686</v>
      </c>
      <c r="M32" s="58">
        <v>1.4603999999999999</v>
      </c>
      <c r="N32" s="64">
        <f t="shared" si="5"/>
        <v>899.99999999990087</v>
      </c>
      <c r="O32" s="58">
        <v>14409</v>
      </c>
      <c r="P32" s="67">
        <f t="shared" si="44"/>
        <v>5</v>
      </c>
      <c r="Q32" s="58">
        <v>1031</v>
      </c>
      <c r="R32" s="67">
        <f t="shared" si="6"/>
        <v>2</v>
      </c>
      <c r="S32" s="58">
        <v>994765.4</v>
      </c>
      <c r="T32" s="67">
        <f t="shared" si="7"/>
        <v>1093.5999999999767</v>
      </c>
      <c r="U32" s="58">
        <v>418229.7</v>
      </c>
      <c r="V32" s="67">
        <f t="shared" si="8"/>
        <v>466.10000000003492</v>
      </c>
      <c r="W32" s="58">
        <v>398.75</v>
      </c>
      <c r="X32" s="65">
        <f t="shared" si="9"/>
        <v>279.99999999997272</v>
      </c>
      <c r="Y32" s="58">
        <v>2.8567</v>
      </c>
      <c r="Z32" s="65">
        <f t="shared" si="10"/>
        <v>3200.0000000000919</v>
      </c>
      <c r="AA32" s="58">
        <v>396.7</v>
      </c>
      <c r="AB32" s="65">
        <f t="shared" si="11"/>
        <v>229.99999999996135</v>
      </c>
      <c r="AC32" s="58">
        <v>371.21</v>
      </c>
      <c r="AD32" s="65">
        <f t="shared" si="12"/>
        <v>299.99999999995453</v>
      </c>
      <c r="AE32" s="58">
        <v>567.33000000000004</v>
      </c>
      <c r="AF32" s="65">
        <f t="shared" si="13"/>
        <v>310.00000000005912</v>
      </c>
      <c r="AG32" s="58">
        <v>4546</v>
      </c>
      <c r="AH32" s="67">
        <f t="shared" si="14"/>
        <v>43</v>
      </c>
      <c r="AI32" s="58">
        <v>615.13</v>
      </c>
      <c r="AJ32" s="65">
        <f t="shared" si="15"/>
        <v>1070.00000000005</v>
      </c>
      <c r="AK32" s="58">
        <v>205.07</v>
      </c>
      <c r="AL32" s="65">
        <f t="shared" si="15"/>
        <v>219.99999999999886</v>
      </c>
      <c r="AM32" s="58">
        <v>195.34</v>
      </c>
      <c r="AN32" s="65">
        <f t="shared" si="15"/>
        <v>229.99999999998977</v>
      </c>
      <c r="AO32" s="58">
        <v>189.6</v>
      </c>
      <c r="AP32" s="65">
        <f t="shared" si="15"/>
        <v>169.99999999998749</v>
      </c>
      <c r="AQ32" s="58">
        <v>247.43</v>
      </c>
      <c r="AR32" s="65">
        <f t="shared" si="16"/>
        <v>99.999999999994316</v>
      </c>
      <c r="AS32" s="58">
        <v>373.06</v>
      </c>
      <c r="AT32" s="65">
        <f t="shared" si="17"/>
        <v>139.99999999998636</v>
      </c>
      <c r="AU32" s="58">
        <v>285.67</v>
      </c>
      <c r="AV32" s="65">
        <f t="shared" si="18"/>
        <v>69.999999999993179</v>
      </c>
      <c r="AW32" s="58">
        <v>320.33999999999997</v>
      </c>
      <c r="AX32" s="65">
        <f t="shared" si="19"/>
        <v>79.999999999984084</v>
      </c>
      <c r="AY32" s="58">
        <v>361.62</v>
      </c>
      <c r="AZ32" s="65">
        <f t="shared" si="20"/>
        <v>79.999999999984084</v>
      </c>
      <c r="BA32" s="58">
        <v>381.26</v>
      </c>
      <c r="BB32" s="65">
        <f t="shared" si="21"/>
        <v>39.99999999996362</v>
      </c>
      <c r="BC32" s="58">
        <v>241.9</v>
      </c>
      <c r="BD32" s="65">
        <f t="shared" si="22"/>
        <v>39.999999999992042</v>
      </c>
      <c r="BE32" s="59">
        <v>40431</v>
      </c>
      <c r="BF32" s="67">
        <f t="shared" si="39"/>
        <v>42</v>
      </c>
      <c r="BG32" s="60">
        <v>234.25</v>
      </c>
      <c r="BH32" s="65">
        <f t="shared" si="23"/>
        <v>60.000000000002274</v>
      </c>
      <c r="BI32" s="60">
        <v>293.24</v>
      </c>
      <c r="BJ32" s="65">
        <f t="shared" si="40"/>
        <v>30.000000000029559</v>
      </c>
      <c r="BK32" s="60">
        <v>237.02</v>
      </c>
      <c r="BL32" s="65">
        <f t="shared" si="24"/>
        <v>30.000000000001137</v>
      </c>
      <c r="BM32" s="60">
        <v>223.91</v>
      </c>
      <c r="BN32" s="65">
        <f t="shared" si="25"/>
        <v>49.999999999982947</v>
      </c>
      <c r="BO32" s="60">
        <v>287.72000000000003</v>
      </c>
      <c r="BP32" s="65">
        <f t="shared" si="26"/>
        <v>50.000000000011369</v>
      </c>
      <c r="BQ32" s="60">
        <v>45323</v>
      </c>
      <c r="BR32" s="65">
        <f t="shared" si="27"/>
        <v>29</v>
      </c>
      <c r="BS32" s="60">
        <v>200.83</v>
      </c>
      <c r="BT32" s="65">
        <f t="shared" si="42"/>
        <v>40.000000000020464</v>
      </c>
      <c r="BU32" s="60">
        <v>40771</v>
      </c>
      <c r="BV32" s="65">
        <f t="shared" si="29"/>
        <v>46</v>
      </c>
      <c r="BW32" s="60">
        <v>231.99</v>
      </c>
      <c r="BX32" s="65">
        <f t="shared" si="30"/>
        <v>30.000000000001137</v>
      </c>
      <c r="BY32" s="60">
        <v>60437</v>
      </c>
      <c r="BZ32" s="67">
        <f t="shared" si="31"/>
        <v>83</v>
      </c>
      <c r="CA32" s="60">
        <v>32021.200000000001</v>
      </c>
      <c r="CB32" s="67">
        <f t="shared" si="32"/>
        <v>25.100000000002183</v>
      </c>
      <c r="CC32" s="60">
        <v>12182.3</v>
      </c>
      <c r="CD32" s="67">
        <f t="shared" si="33"/>
        <v>12.899999999999636</v>
      </c>
      <c r="CE32" s="60">
        <v>6423.1</v>
      </c>
      <c r="CF32" s="67">
        <f t="shared" si="34"/>
        <v>0.8000000000001819</v>
      </c>
      <c r="CG32" s="60">
        <v>59623.5</v>
      </c>
      <c r="CH32" s="67">
        <f t="shared" si="35"/>
        <v>49.900000000001455</v>
      </c>
      <c r="CI32" s="60">
        <v>949340</v>
      </c>
      <c r="CJ32" s="67">
        <f t="shared" si="36"/>
        <v>310</v>
      </c>
      <c r="CK32" s="60">
        <v>765.29</v>
      </c>
      <c r="CL32" s="64">
        <f t="shared" si="37"/>
        <v>799.99999999995453</v>
      </c>
      <c r="CM32" s="65">
        <f t="shared" si="41"/>
        <v>136.60000000000036</v>
      </c>
      <c r="CN32" s="62">
        <v>9</v>
      </c>
      <c r="CO32" s="62">
        <v>25</v>
      </c>
      <c r="CP32" s="68">
        <v>9676.6</v>
      </c>
      <c r="CQ32" s="67">
        <f t="shared" si="38"/>
        <v>115.60000000000036</v>
      </c>
      <c r="CR32" s="68">
        <v>14229</v>
      </c>
      <c r="CS32" s="67">
        <f t="shared" si="38"/>
        <v>21</v>
      </c>
      <c r="CT32" s="75">
        <v>6475</v>
      </c>
      <c r="CU32" s="67">
        <f t="shared" si="38"/>
        <v>15</v>
      </c>
      <c r="CV32" s="68">
        <v>15386</v>
      </c>
      <c r="CW32" s="67">
        <f t="shared" si="38"/>
        <v>28</v>
      </c>
    </row>
    <row r="33" spans="1:101" ht="25.5" customHeight="1" thickBot="1" x14ac:dyDescent="0.45">
      <c r="A33" s="63">
        <v>44377</v>
      </c>
      <c r="B33" s="68"/>
      <c r="C33" s="58">
        <v>2.2972000000000001</v>
      </c>
      <c r="D33" s="64">
        <f t="shared" si="0"/>
        <v>1700.0000000000348</v>
      </c>
      <c r="E33" s="58">
        <v>3.2707000000000002</v>
      </c>
      <c r="F33" s="64">
        <f t="shared" si="1"/>
        <v>2299.9999999999686</v>
      </c>
      <c r="G33" s="58">
        <v>3.3277999999999999</v>
      </c>
      <c r="H33" s="64">
        <f t="shared" si="2"/>
        <v>2299.9999999999686</v>
      </c>
      <c r="I33" s="58">
        <v>1.6416999999999999</v>
      </c>
      <c r="J33" s="64">
        <f t="shared" si="3"/>
        <v>1299.9999999998568</v>
      </c>
      <c r="K33" s="58">
        <v>2.6516999999999999</v>
      </c>
      <c r="L33" s="64">
        <f t="shared" si="4"/>
        <v>1900.0000000000127</v>
      </c>
      <c r="M33" s="58">
        <v>1.4611000000000001</v>
      </c>
      <c r="N33" s="64">
        <f t="shared" si="5"/>
        <v>700.00000000014495</v>
      </c>
      <c r="O33" s="58">
        <v>14415</v>
      </c>
      <c r="P33" s="67">
        <f t="shared" si="44"/>
        <v>6</v>
      </c>
      <c r="Q33" s="58">
        <v>1034</v>
      </c>
      <c r="R33" s="67">
        <f t="shared" si="6"/>
        <v>3</v>
      </c>
      <c r="S33" s="58">
        <v>995235.4</v>
      </c>
      <c r="T33" s="67">
        <f t="shared" si="7"/>
        <v>470</v>
      </c>
      <c r="U33" s="58">
        <v>418434.1</v>
      </c>
      <c r="V33" s="67">
        <f t="shared" si="8"/>
        <v>204.39999999996508</v>
      </c>
      <c r="W33" s="58">
        <v>398.96</v>
      </c>
      <c r="X33" s="65">
        <f t="shared" si="9"/>
        <v>209.99999999997954</v>
      </c>
      <c r="Y33" s="58">
        <v>2.8588</v>
      </c>
      <c r="Z33" s="65">
        <f t="shared" si="10"/>
        <v>2099.9999999999909</v>
      </c>
      <c r="AA33" s="58">
        <v>397.01</v>
      </c>
      <c r="AB33" s="65">
        <f t="shared" si="11"/>
        <v>310.00000000000227</v>
      </c>
      <c r="AC33" s="58">
        <v>371.35</v>
      </c>
      <c r="AD33" s="65">
        <f t="shared" si="12"/>
        <v>140.0000000000432</v>
      </c>
      <c r="AE33" s="58">
        <v>567.47</v>
      </c>
      <c r="AF33" s="65">
        <f t="shared" si="13"/>
        <v>139.99999999998636</v>
      </c>
      <c r="AG33" s="58">
        <v>4581</v>
      </c>
      <c r="AH33" s="67">
        <f t="shared" si="14"/>
        <v>35</v>
      </c>
      <c r="AI33" s="58">
        <v>615.86</v>
      </c>
      <c r="AJ33" s="65">
        <f t="shared" si="15"/>
        <v>730.00000000001819</v>
      </c>
      <c r="AK33" s="58">
        <v>205.23</v>
      </c>
      <c r="AL33" s="65">
        <f t="shared" si="15"/>
        <v>159.99999999999659</v>
      </c>
      <c r="AM33" s="58">
        <v>195.52</v>
      </c>
      <c r="AN33" s="65">
        <f t="shared" si="15"/>
        <v>180.00000000000682</v>
      </c>
      <c r="AO33" s="58">
        <v>189.73</v>
      </c>
      <c r="AP33" s="65">
        <f t="shared" si="15"/>
        <v>129.99999999999545</v>
      </c>
      <c r="AQ33" s="58">
        <v>247.51</v>
      </c>
      <c r="AR33" s="65">
        <f t="shared" si="16"/>
        <v>79.999999999984084</v>
      </c>
      <c r="AS33" s="58">
        <v>373.15</v>
      </c>
      <c r="AT33" s="65">
        <f t="shared" si="17"/>
        <v>89.999999999974989</v>
      </c>
      <c r="AU33" s="58">
        <v>285.70999999999998</v>
      </c>
      <c r="AV33" s="65">
        <f t="shared" si="18"/>
        <v>39.99999999996362</v>
      </c>
      <c r="AW33" s="58">
        <v>320.38</v>
      </c>
      <c r="AX33" s="65">
        <f t="shared" si="19"/>
        <v>40.000000000020464</v>
      </c>
      <c r="AY33" s="58">
        <v>361.66</v>
      </c>
      <c r="AZ33" s="65">
        <f t="shared" si="20"/>
        <v>40.000000000020464</v>
      </c>
      <c r="BA33" s="58">
        <v>381.28</v>
      </c>
      <c r="BB33" s="65">
        <f t="shared" si="21"/>
        <v>19.99999999998181</v>
      </c>
      <c r="BC33" s="58">
        <v>241.93</v>
      </c>
      <c r="BD33" s="65">
        <f t="shared" si="22"/>
        <v>30.000000000001137</v>
      </c>
      <c r="BE33" s="59">
        <v>40460</v>
      </c>
      <c r="BF33" s="67">
        <f t="shared" si="39"/>
        <v>29</v>
      </c>
      <c r="BG33" s="60">
        <v>234.28</v>
      </c>
      <c r="BH33" s="65">
        <f t="shared" si="23"/>
        <v>30.000000000001137</v>
      </c>
      <c r="BI33" s="60">
        <v>293.25</v>
      </c>
      <c r="BJ33" s="65">
        <f t="shared" si="40"/>
        <v>9.9999999999909051</v>
      </c>
      <c r="BK33" s="60">
        <v>237.04</v>
      </c>
      <c r="BL33" s="65">
        <f t="shared" si="24"/>
        <v>19.99999999998181</v>
      </c>
      <c r="BM33" s="60">
        <v>223.94</v>
      </c>
      <c r="BN33" s="65">
        <f t="shared" si="25"/>
        <v>30.000000000001137</v>
      </c>
      <c r="BO33" s="60">
        <v>287.75</v>
      </c>
      <c r="BP33" s="65">
        <f t="shared" si="26"/>
        <v>29.999999999972715</v>
      </c>
      <c r="BQ33" s="60">
        <v>45344</v>
      </c>
      <c r="BR33" s="65">
        <f t="shared" si="27"/>
        <v>21</v>
      </c>
      <c r="BS33" s="60">
        <v>200.84</v>
      </c>
      <c r="BT33" s="65">
        <f t="shared" si="42"/>
        <v>9.9999999999909051</v>
      </c>
      <c r="BU33" s="60">
        <v>40798</v>
      </c>
      <c r="BV33" s="65">
        <f t="shared" si="29"/>
        <v>27</v>
      </c>
      <c r="BW33" s="60">
        <v>232.01</v>
      </c>
      <c r="BX33" s="65">
        <f t="shared" si="30"/>
        <v>19.99999999998181</v>
      </c>
      <c r="BY33" s="60">
        <v>60477</v>
      </c>
      <c r="BZ33" s="67">
        <f t="shared" si="31"/>
        <v>40</v>
      </c>
      <c r="CA33" s="60">
        <v>32040.400000000001</v>
      </c>
      <c r="CB33" s="67">
        <f t="shared" si="32"/>
        <v>19.200000000000728</v>
      </c>
      <c r="CC33" s="60">
        <v>12190.2</v>
      </c>
      <c r="CD33" s="67">
        <f t="shared" si="33"/>
        <v>7.9000000000014552</v>
      </c>
      <c r="CE33" s="60">
        <v>6424</v>
      </c>
      <c r="CF33" s="67">
        <f t="shared" si="34"/>
        <v>0.8999999999996362</v>
      </c>
      <c r="CG33" s="60">
        <v>59652.4</v>
      </c>
      <c r="CH33" s="67">
        <f t="shared" si="35"/>
        <v>28.900000000001455</v>
      </c>
      <c r="CI33" s="60">
        <v>949584</v>
      </c>
      <c r="CJ33" s="67">
        <f t="shared" si="36"/>
        <v>244</v>
      </c>
      <c r="CK33" s="60">
        <v>765.96</v>
      </c>
      <c r="CL33" s="64">
        <f t="shared" si="37"/>
        <v>670.00000000007276</v>
      </c>
      <c r="CM33" s="65">
        <f t="shared" si="41"/>
        <v>84.199999999998909</v>
      </c>
      <c r="CN33" s="62">
        <v>9</v>
      </c>
      <c r="CO33" s="62">
        <v>25</v>
      </c>
      <c r="CP33" s="68">
        <v>9741.7999999999993</v>
      </c>
      <c r="CQ33" s="67">
        <f t="shared" si="38"/>
        <v>65.199999999998909</v>
      </c>
      <c r="CR33" s="68">
        <v>14248</v>
      </c>
      <c r="CS33" s="67">
        <f t="shared" si="38"/>
        <v>19</v>
      </c>
      <c r="CT33" s="75">
        <v>6490</v>
      </c>
      <c r="CU33" s="67">
        <f t="shared" si="38"/>
        <v>15</v>
      </c>
      <c r="CV33" s="68">
        <v>15410</v>
      </c>
      <c r="CW33" s="67">
        <f t="shared" si="38"/>
        <v>24</v>
      </c>
    </row>
    <row r="34" spans="1:101" ht="25.5" customHeight="1" thickBot="1" x14ac:dyDescent="0.45">
      <c r="A34" s="63">
        <v>44378</v>
      </c>
      <c r="B34" s="68"/>
      <c r="C34" s="58"/>
      <c r="D34" s="64" t="str">
        <f t="shared" si="0"/>
        <v>0</v>
      </c>
      <c r="E34" s="58"/>
      <c r="F34" s="64" t="str">
        <f t="shared" si="1"/>
        <v>0</v>
      </c>
      <c r="G34" s="58"/>
      <c r="H34" s="64" t="str">
        <f t="shared" si="2"/>
        <v>0</v>
      </c>
      <c r="I34" s="58"/>
      <c r="J34" s="64" t="str">
        <f t="shared" si="3"/>
        <v>0</v>
      </c>
      <c r="K34" s="58"/>
      <c r="L34" s="64" t="str">
        <f t="shared" si="4"/>
        <v>0</v>
      </c>
      <c r="M34" s="58"/>
      <c r="N34" s="64" t="str">
        <f t="shared" si="5"/>
        <v/>
      </c>
      <c r="O34" s="58"/>
      <c r="P34" s="67" t="str">
        <f t="shared" si="44"/>
        <v/>
      </c>
      <c r="Q34" s="58"/>
      <c r="R34" s="67" t="str">
        <f t="shared" si="6"/>
        <v/>
      </c>
      <c r="S34" s="58"/>
      <c r="T34" s="67" t="str">
        <f t="shared" si="7"/>
        <v/>
      </c>
      <c r="U34" s="58"/>
      <c r="V34" s="67" t="str">
        <f t="shared" si="8"/>
        <v/>
      </c>
      <c r="W34" s="58"/>
      <c r="X34" s="65" t="str">
        <f t="shared" si="9"/>
        <v/>
      </c>
      <c r="Y34" s="58"/>
      <c r="Z34" s="65" t="str">
        <f t="shared" si="10"/>
        <v/>
      </c>
      <c r="AA34" s="58"/>
      <c r="AB34" s="65" t="str">
        <f t="shared" si="11"/>
        <v/>
      </c>
      <c r="AC34" s="58"/>
      <c r="AD34" s="65" t="str">
        <f t="shared" si="12"/>
        <v/>
      </c>
      <c r="AE34" s="58"/>
      <c r="AF34" s="65" t="str">
        <f t="shared" si="13"/>
        <v/>
      </c>
      <c r="AG34" s="58"/>
      <c r="AH34" s="67" t="str">
        <f t="shared" si="14"/>
        <v/>
      </c>
      <c r="AI34" s="58"/>
      <c r="AJ34" s="65" t="str">
        <f t="shared" si="15"/>
        <v/>
      </c>
      <c r="AK34" s="58"/>
      <c r="AL34" s="65" t="str">
        <f t="shared" si="15"/>
        <v/>
      </c>
      <c r="AM34" s="58"/>
      <c r="AN34" s="65" t="str">
        <f t="shared" si="15"/>
        <v/>
      </c>
      <c r="AO34" s="58"/>
      <c r="AP34" s="65" t="str">
        <f t="shared" si="15"/>
        <v/>
      </c>
      <c r="AQ34" s="58"/>
      <c r="AR34" s="65" t="str">
        <f t="shared" si="16"/>
        <v/>
      </c>
      <c r="AS34" s="58"/>
      <c r="AT34" s="65" t="str">
        <f t="shared" si="17"/>
        <v/>
      </c>
      <c r="AU34" s="58"/>
      <c r="AV34" s="65" t="str">
        <f t="shared" si="18"/>
        <v/>
      </c>
      <c r="AW34" s="58"/>
      <c r="AX34" s="65" t="str">
        <f t="shared" si="19"/>
        <v/>
      </c>
      <c r="AY34" s="58"/>
      <c r="AZ34" s="65" t="str">
        <f t="shared" si="20"/>
        <v/>
      </c>
      <c r="BA34" s="58"/>
      <c r="BB34" s="65" t="str">
        <f t="shared" si="21"/>
        <v/>
      </c>
      <c r="BC34" s="58"/>
      <c r="BD34" s="65" t="str">
        <f t="shared" si="22"/>
        <v/>
      </c>
      <c r="BE34" s="59"/>
      <c r="BF34" s="67" t="str">
        <f t="shared" si="39"/>
        <v/>
      </c>
      <c r="BG34" s="60"/>
      <c r="BH34" s="65" t="str">
        <f t="shared" si="23"/>
        <v/>
      </c>
      <c r="BI34" s="60"/>
      <c r="BJ34" s="65" t="str">
        <f t="shared" si="40"/>
        <v/>
      </c>
      <c r="BK34" s="60"/>
      <c r="BL34" s="65" t="str">
        <f t="shared" si="24"/>
        <v/>
      </c>
      <c r="BM34" s="60"/>
      <c r="BN34" s="65" t="str">
        <f>IF((BM34-BM33&lt;0), "",(BM34-BM33)*1000)</f>
        <v/>
      </c>
      <c r="BO34" s="60"/>
      <c r="BP34" s="65" t="str">
        <f t="shared" si="26"/>
        <v/>
      </c>
      <c r="BQ34" s="60"/>
      <c r="BR34" s="65" t="str">
        <f t="shared" si="27"/>
        <v/>
      </c>
      <c r="BS34" s="60"/>
      <c r="BT34" s="65" t="str">
        <f t="shared" si="42"/>
        <v/>
      </c>
      <c r="BU34" s="60"/>
      <c r="BV34" s="65" t="str">
        <f t="shared" si="29"/>
        <v/>
      </c>
      <c r="BW34" s="60"/>
      <c r="BX34" s="65" t="str">
        <f t="shared" si="30"/>
        <v/>
      </c>
      <c r="BY34" s="60"/>
      <c r="BZ34" s="67" t="str">
        <f t="shared" si="31"/>
        <v/>
      </c>
      <c r="CA34" s="60"/>
      <c r="CB34" s="67" t="str">
        <f t="shared" ref="CB34" si="45">IF((CA34-CA33&lt;0), "",CA34-CA33)</f>
        <v/>
      </c>
      <c r="CC34" s="60"/>
      <c r="CD34" s="67" t="str">
        <f t="shared" si="33"/>
        <v/>
      </c>
      <c r="CE34" s="60"/>
      <c r="CF34" s="67" t="str">
        <f t="shared" ref="CF34" si="46">IF((CE34-CE33&lt;0), "",CE34-CE33)</f>
        <v/>
      </c>
      <c r="CG34" s="60"/>
      <c r="CH34" s="67" t="str">
        <f t="shared" si="35"/>
        <v/>
      </c>
      <c r="CI34" s="60"/>
      <c r="CJ34" s="67" t="str">
        <f t="shared" si="36"/>
        <v/>
      </c>
      <c r="CK34" s="60"/>
      <c r="CL34" s="64" t="str">
        <f t="shared" si="37"/>
        <v/>
      </c>
      <c r="CM34" s="65"/>
      <c r="CN34" s="62">
        <v>0</v>
      </c>
      <c r="CO34" s="62">
        <v>0</v>
      </c>
      <c r="CP34" s="68"/>
      <c r="CQ34" s="67" t="str">
        <f t="shared" si="38"/>
        <v/>
      </c>
      <c r="CR34" s="68"/>
      <c r="CS34" s="67" t="str">
        <f t="shared" si="38"/>
        <v/>
      </c>
      <c r="CT34" s="75"/>
      <c r="CU34" s="67" t="str">
        <f t="shared" si="38"/>
        <v/>
      </c>
      <c r="CV34" s="68"/>
      <c r="CW34" s="67" t="str">
        <f t="shared" si="38"/>
        <v/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3:T39"/>
  <sheetViews>
    <sheetView topLeftCell="A25" zoomScaleNormal="100" workbookViewId="0">
      <selection activeCell="O48" sqref="O48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8</v>
      </c>
      <c r="D28" s="40">
        <v>25</v>
      </c>
      <c r="E28" s="41">
        <v>85</v>
      </c>
      <c r="F28" s="41">
        <v>5330</v>
      </c>
      <c r="G28" s="41">
        <v>55</v>
      </c>
      <c r="H28" s="41">
        <v>1521</v>
      </c>
      <c r="I28" s="41">
        <v>85</v>
      </c>
      <c r="J28" s="41">
        <v>352</v>
      </c>
      <c r="K28" s="42">
        <v>30</v>
      </c>
      <c r="L28" s="42">
        <v>80</v>
      </c>
      <c r="M28" s="42">
        <v>1342</v>
      </c>
      <c r="N28" s="39">
        <v>85</v>
      </c>
      <c r="O28" s="39">
        <v>73</v>
      </c>
      <c r="P28" s="39">
        <v>85</v>
      </c>
      <c r="Q28" s="39">
        <v>3846</v>
      </c>
      <c r="R28" s="78">
        <v>70</v>
      </c>
      <c r="S28" s="78">
        <v>197</v>
      </c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8</v>
      </c>
      <c r="D29" s="40">
        <v>25</v>
      </c>
      <c r="E29" s="41">
        <v>85</v>
      </c>
      <c r="F29" s="41">
        <v>5335</v>
      </c>
      <c r="G29" s="41">
        <v>45</v>
      </c>
      <c r="H29" s="41">
        <v>1522</v>
      </c>
      <c r="I29" s="41">
        <v>85</v>
      </c>
      <c r="J29" s="41">
        <v>355</v>
      </c>
      <c r="K29" s="42">
        <v>30</v>
      </c>
      <c r="L29" s="42">
        <v>80</v>
      </c>
      <c r="M29" s="42">
        <v>1342</v>
      </c>
      <c r="N29" s="39">
        <v>85</v>
      </c>
      <c r="O29" s="39">
        <v>70</v>
      </c>
      <c r="P29" s="39">
        <v>85</v>
      </c>
      <c r="Q29" s="39">
        <v>3850</v>
      </c>
      <c r="R29" s="78">
        <v>70</v>
      </c>
      <c r="S29" s="78">
        <v>197</v>
      </c>
      <c r="T29">
        <f t="shared" si="0"/>
        <v>0</v>
      </c>
    </row>
    <row r="30" spans="1:20" x14ac:dyDescent="0.25">
      <c r="A30" s="73">
        <v>44370</v>
      </c>
      <c r="B30" s="40">
        <v>0</v>
      </c>
      <c r="C30" s="40">
        <v>8</v>
      </c>
      <c r="D30" s="40">
        <v>25</v>
      </c>
      <c r="E30" s="41">
        <v>85</v>
      </c>
      <c r="F30" s="41">
        <v>5340</v>
      </c>
      <c r="G30" s="41">
        <v>35</v>
      </c>
      <c r="H30" s="41">
        <v>1524</v>
      </c>
      <c r="I30" s="41">
        <v>85</v>
      </c>
      <c r="J30" s="41">
        <v>356</v>
      </c>
      <c r="K30" s="42">
        <v>30</v>
      </c>
      <c r="L30" s="42">
        <v>80</v>
      </c>
      <c r="M30" s="42">
        <v>1343</v>
      </c>
      <c r="N30" s="39">
        <v>85</v>
      </c>
      <c r="O30" s="39">
        <v>65</v>
      </c>
      <c r="P30" s="39">
        <v>85</v>
      </c>
      <c r="Q30" s="39">
        <v>3853</v>
      </c>
      <c r="R30" s="78">
        <v>70</v>
      </c>
      <c r="S30" s="78">
        <v>197</v>
      </c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8</v>
      </c>
      <c r="D31" s="40">
        <v>25</v>
      </c>
      <c r="E31" s="41">
        <v>85</v>
      </c>
      <c r="F31" s="41">
        <v>5345</v>
      </c>
      <c r="G31" s="41">
        <v>30</v>
      </c>
      <c r="H31" s="41">
        <v>1525</v>
      </c>
      <c r="I31" s="41">
        <v>85</v>
      </c>
      <c r="J31" s="41">
        <v>356</v>
      </c>
      <c r="K31" s="42">
        <v>30</v>
      </c>
      <c r="L31" s="42">
        <v>80</v>
      </c>
      <c r="M31" s="42">
        <v>1343</v>
      </c>
      <c r="N31" s="39">
        <v>85</v>
      </c>
      <c r="O31" s="39">
        <v>60</v>
      </c>
      <c r="P31" s="39">
        <v>85</v>
      </c>
      <c r="Q31" s="39">
        <v>3857</v>
      </c>
      <c r="R31" s="78">
        <v>70</v>
      </c>
      <c r="S31" s="78">
        <v>197</v>
      </c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9</v>
      </c>
      <c r="D32" s="40">
        <v>26</v>
      </c>
      <c r="E32" s="41">
        <v>85</v>
      </c>
      <c r="F32" s="41">
        <v>5349</v>
      </c>
      <c r="G32" s="41">
        <v>15</v>
      </c>
      <c r="H32" s="41">
        <v>1526</v>
      </c>
      <c r="I32" s="41">
        <v>85</v>
      </c>
      <c r="J32" s="41">
        <v>357</v>
      </c>
      <c r="K32" s="42">
        <v>25</v>
      </c>
      <c r="L32" s="42">
        <v>80</v>
      </c>
      <c r="M32" s="42">
        <v>1344</v>
      </c>
      <c r="N32" s="39">
        <v>85</v>
      </c>
      <c r="O32" s="39">
        <v>55</v>
      </c>
      <c r="P32" s="39">
        <v>85</v>
      </c>
      <c r="Q32" s="39">
        <v>3860</v>
      </c>
      <c r="R32" s="78">
        <v>70</v>
      </c>
      <c r="S32" s="78">
        <v>198</v>
      </c>
      <c r="T32">
        <f t="shared" si="0"/>
        <v>1</v>
      </c>
    </row>
    <row r="33" spans="1:20" x14ac:dyDescent="0.25">
      <c r="A33" s="73">
        <v>44373</v>
      </c>
      <c r="B33" s="40">
        <v>0</v>
      </c>
      <c r="C33" s="40">
        <v>9</v>
      </c>
      <c r="D33" s="40">
        <v>22</v>
      </c>
      <c r="E33" s="41">
        <v>85</v>
      </c>
      <c r="F33" s="41">
        <v>5355</v>
      </c>
      <c r="G33" s="41">
        <v>80</v>
      </c>
      <c r="H33" s="41">
        <v>1528</v>
      </c>
      <c r="I33" s="41">
        <v>85</v>
      </c>
      <c r="J33" s="41">
        <v>358</v>
      </c>
      <c r="K33" s="42">
        <v>85</v>
      </c>
      <c r="L33" s="42">
        <v>80</v>
      </c>
      <c r="M33" s="42">
        <v>1344</v>
      </c>
      <c r="N33" s="39">
        <v>85</v>
      </c>
      <c r="O33" s="39">
        <v>85</v>
      </c>
      <c r="P33" s="39">
        <v>85</v>
      </c>
      <c r="Q33" s="39">
        <v>3865</v>
      </c>
      <c r="R33" s="78">
        <v>70</v>
      </c>
      <c r="S33" s="78">
        <v>198</v>
      </c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9</v>
      </c>
      <c r="D34" s="40">
        <v>25</v>
      </c>
      <c r="E34" s="41">
        <v>85</v>
      </c>
      <c r="F34" s="41">
        <v>5360</v>
      </c>
      <c r="G34" s="41">
        <v>70</v>
      </c>
      <c r="H34" s="41">
        <v>1531</v>
      </c>
      <c r="I34" s="41">
        <v>85</v>
      </c>
      <c r="J34" s="41">
        <v>359</v>
      </c>
      <c r="K34" s="42">
        <v>85</v>
      </c>
      <c r="L34" s="42">
        <v>80</v>
      </c>
      <c r="M34" s="42">
        <v>1346</v>
      </c>
      <c r="N34" s="39">
        <v>85</v>
      </c>
      <c r="O34" s="39">
        <v>80</v>
      </c>
      <c r="P34" s="39">
        <v>85</v>
      </c>
      <c r="Q34" s="39">
        <v>3870</v>
      </c>
      <c r="R34" s="78">
        <v>70</v>
      </c>
      <c r="S34" s="78">
        <v>198</v>
      </c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9</v>
      </c>
      <c r="D35" s="40">
        <v>25</v>
      </c>
      <c r="E35" s="41">
        <v>85</v>
      </c>
      <c r="F35" s="41">
        <v>5365</v>
      </c>
      <c r="G35" s="41">
        <v>60</v>
      </c>
      <c r="H35" s="41">
        <v>1533</v>
      </c>
      <c r="I35" s="41">
        <v>85</v>
      </c>
      <c r="J35" s="41">
        <v>360</v>
      </c>
      <c r="K35" s="42">
        <v>85</v>
      </c>
      <c r="L35" s="42">
        <v>80</v>
      </c>
      <c r="M35" s="42">
        <v>1347</v>
      </c>
      <c r="N35" s="39">
        <v>85</v>
      </c>
      <c r="O35" s="39">
        <v>79</v>
      </c>
      <c r="P35" s="39">
        <v>85</v>
      </c>
      <c r="Q35" s="39">
        <v>3874</v>
      </c>
      <c r="R35" s="78">
        <v>70</v>
      </c>
      <c r="S35" s="78">
        <v>198</v>
      </c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9</v>
      </c>
      <c r="D36" s="40">
        <v>25</v>
      </c>
      <c r="E36" s="41">
        <v>85</v>
      </c>
      <c r="F36" s="41">
        <v>5372</v>
      </c>
      <c r="G36" s="41">
        <v>50</v>
      </c>
      <c r="H36" s="41">
        <v>1536</v>
      </c>
      <c r="I36" s="41">
        <v>85</v>
      </c>
      <c r="J36" s="41">
        <v>360</v>
      </c>
      <c r="K36" s="42">
        <v>85</v>
      </c>
      <c r="L36" s="42">
        <v>80</v>
      </c>
      <c r="M36" s="42">
        <v>1348</v>
      </c>
      <c r="N36" s="39">
        <v>85</v>
      </c>
      <c r="O36" s="39">
        <v>70</v>
      </c>
      <c r="P36" s="39">
        <v>85</v>
      </c>
      <c r="Q36" s="39">
        <v>3880</v>
      </c>
      <c r="R36" s="78">
        <v>70</v>
      </c>
      <c r="S36" s="78">
        <v>198</v>
      </c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9</v>
      </c>
      <c r="D37" s="40">
        <v>25</v>
      </c>
      <c r="E37" s="41">
        <v>85</v>
      </c>
      <c r="F37" s="41">
        <v>5376</v>
      </c>
      <c r="G37" s="41">
        <v>40</v>
      </c>
      <c r="H37" s="41">
        <v>1539</v>
      </c>
      <c r="I37" s="41">
        <v>85</v>
      </c>
      <c r="J37" s="41">
        <v>360</v>
      </c>
      <c r="K37" s="42">
        <v>85</v>
      </c>
      <c r="L37" s="42">
        <v>80</v>
      </c>
      <c r="M37" s="42">
        <v>1349</v>
      </c>
      <c r="N37" s="39">
        <v>85</v>
      </c>
      <c r="O37" s="39">
        <v>65</v>
      </c>
      <c r="P37" s="39">
        <v>85</v>
      </c>
      <c r="Q37" s="39">
        <v>3884</v>
      </c>
      <c r="R37" s="78">
        <v>70</v>
      </c>
      <c r="S37" s="78">
        <v>198</v>
      </c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-198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Joe El Khoury</cp:lastModifiedBy>
  <dcterms:created xsi:type="dcterms:W3CDTF">2019-08-14T08:16:24Z</dcterms:created>
  <dcterms:modified xsi:type="dcterms:W3CDTF">2021-08-10T08:05:25Z</dcterms:modified>
</cp:coreProperties>
</file>