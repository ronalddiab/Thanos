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E32" i="5"/>
  <c r="E31" i="5" l="1"/>
  <c r="E30" i="5"/>
  <c r="L25" i="3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E28" i="5"/>
  <c r="E27" i="5"/>
  <c r="E26" i="5"/>
  <c r="L19" i="3" l="1"/>
  <c r="K19" i="3"/>
  <c r="I19" i="3"/>
  <c r="G19" i="3"/>
  <c r="E19" i="3"/>
  <c r="J19" i="2"/>
  <c r="I19" i="2"/>
  <c r="H19" i="2"/>
  <c r="F19" i="2"/>
  <c r="E19" i="2"/>
  <c r="E25" i="5"/>
  <c r="L18" i="3" l="1"/>
  <c r="K18" i="3"/>
  <c r="I18" i="3"/>
  <c r="G18" i="3"/>
  <c r="E18" i="3"/>
  <c r="J18" i="2"/>
  <c r="I18" i="2"/>
  <c r="H18" i="2"/>
  <c r="F18" i="2"/>
  <c r="E18" i="2"/>
  <c r="E24" i="5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<sst xmlns="http://schemas.openxmlformats.org/spreadsheetml/2006/main" count="109" uniqueCount="40">
  <si>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</si>
  <si>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</si>
  <si>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</si>
  <si>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</si>
  <si>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</si>
  <si>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</si>
  <si>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</si>
  <si>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</si>
  <si>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</si>
  <si>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</si>
  <si>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</si>
  <si>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</si>
  <si>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</si>
  <si>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</si>
  <si>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</si>
  <si>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</si>
  <si>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</si>
  <si>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</si>
  <si>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</si>
  <si>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</si>
  <si>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</si>
  <si>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</si>
  <si>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</si>
  <si>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</si>
  <si>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</si>
  <si>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</si>
  <si>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</si>
  <si>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</si>
  <si>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</si>
  <si>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</si>
  <si>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</si>
  <si>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</si>
  <si>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</si>
  <si>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</si>
  <si>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</si>
  <si>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</si>
  <si>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</si>
  <si>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</si>
  <si>
    <t>4000 liters</t>
  </si>
  <si>
    <t>Main kitchen new Gas meter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</si>
</sst>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wrapText="1"/>
    </xf>
    <xf numFmtId="1" fontId="4" fillId="0" borderId="12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3" fontId="5" fillId="0" borderId="15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6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8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R4" sqref="R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9165</v>
      </c>
      <c r="F18" s="14">
        <v>0.11799999999999999</v>
      </c>
      <c r="G18" s="16">
        <f>'03 - 2022'!D24-'03 - 2022'!D23+'03 - 2022'!E24-'03 - 2022'!E23</f>
        <v>19.150000000000091</v>
      </c>
      <c r="H18" s="14">
        <v>0.99</v>
      </c>
      <c r="I18" s="16">
        <f>'03 - 2022'!J24-'03 - 2022'!J23</f>
        <v>19246</v>
      </c>
      <c r="J18" s="14">
        <v>8.1000000000000003E-2</v>
      </c>
      <c r="K18" s="23">
        <f>'03 - 2022'!H24-'03 - 2022'!H23</f>
        <v>0</v>
      </c>
      <c r="L18" s="16">
        <f>'03 - 2022'!I24-'03 - 2022'!I23</f>
        <v>112</v>
      </c>
      <c r="M18" s="15">
        <v>4.393629424766913</v>
      </c>
      <c r="N18" s="16">
        <v>102</v>
      </c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9973</v>
      </c>
      <c r="F19" s="14">
        <v>0.11799999999999999</v>
      </c>
      <c r="G19" s="16">
        <f>'03 - 2022'!D25-'03 - 2022'!D24+'03 - 2022'!E25-'03 - 2022'!E24</f>
        <v>27.880000000000109</v>
      </c>
      <c r="H19" s="14">
        <v>0.99</v>
      </c>
      <c r="I19" s="16">
        <f>'03 - 2022'!J25-'03 - 2022'!J24</f>
        <v>18138</v>
      </c>
      <c r="J19" s="14">
        <v>8.1000000000000003E-2</v>
      </c>
      <c r="K19" s="23">
        <f>'03 - 2022'!H25-'03 - 2022'!H24</f>
        <v>0</v>
      </c>
      <c r="L19" s="16">
        <f>'03 - 2022'!I25-'03 - 2022'!I24</f>
        <v>119</v>
      </c>
      <c r="M19" s="15">
        <v>4.393629424766913</v>
      </c>
      <c r="N19" s="16">
        <v>100</v>
      </c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10030</v>
      </c>
      <c r="F20" s="14">
        <v>0.11799999999999999</v>
      </c>
      <c r="G20" s="16">
        <f>'03 - 2022'!D26-'03 - 2022'!D25+'03 - 2022'!E26-'03 - 2022'!E25</f>
        <v>23.099999999999909</v>
      </c>
      <c r="H20" s="14">
        <v>0.99</v>
      </c>
      <c r="I20" s="16">
        <f>'03 - 2022'!J26-'03 - 2022'!J25</f>
        <v>15116</v>
      </c>
      <c r="J20" s="14">
        <v>8.1000000000000003E-2</v>
      </c>
      <c r="K20" s="23">
        <f>'03 - 2022'!H26-'03 - 2022'!H25</f>
        <v>0</v>
      </c>
      <c r="L20" s="16">
        <f>'03 - 2022'!I26-'03 - 2022'!I25</f>
        <v>125</v>
      </c>
      <c r="M20" s="15">
        <v>4.393629424766913</v>
      </c>
      <c r="N20" s="16">
        <v>100</v>
      </c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9868</v>
      </c>
      <c r="F21" s="14">
        <v>0.11799999999999999</v>
      </c>
      <c r="G21" s="16">
        <f>'03 - 2022'!D27-'03 - 2022'!D26+'03 - 2022'!E27-'03 - 2022'!E26</f>
        <v>26.420000000000073</v>
      </c>
      <c r="H21" s="14">
        <v>0.99</v>
      </c>
      <c r="I21" s="16">
        <f>'03 - 2022'!J27-'03 - 2022'!J26</f>
        <v>15374</v>
      </c>
      <c r="J21" s="14">
        <v>8.1000000000000003E-2</v>
      </c>
      <c r="K21" s="23">
        <f>'03 - 2022'!H27-'03 - 2022'!H26</f>
        <v>0</v>
      </c>
      <c r="L21" s="16">
        <f>'03 - 2022'!I27-'03 - 2022'!I26</f>
        <v>126</v>
      </c>
      <c r="M21" s="15">
        <v>4.393629424766913</v>
      </c>
      <c r="N21" s="16">
        <v>91</v>
      </c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9328</v>
      </c>
      <c r="F22" s="14">
        <v>0.11799999999999999</v>
      </c>
      <c r="G22" s="16">
        <f>'03 - 2022'!D28-'03 - 2022'!D27+'03 - 2022'!E28-'03 - 2022'!E27</f>
        <v>24.119999999999891</v>
      </c>
      <c r="H22" s="14">
        <v>0.99</v>
      </c>
      <c r="I22" s="16">
        <f>'03 - 2022'!J28-'03 - 2022'!J27</f>
        <v>16278</v>
      </c>
      <c r="J22" s="14">
        <v>8.1000000000000003E-2</v>
      </c>
      <c r="K22" s="23">
        <f>'03 - 2022'!H28-'03 - 2022'!H27</f>
        <v>0</v>
      </c>
      <c r="L22" s="16">
        <f>'03 - 2022'!I28-'03 - 2022'!I27</f>
        <v>108</v>
      </c>
      <c r="M22" s="15">
        <v>4.393629424766913</v>
      </c>
      <c r="N22" s="16">
        <v>88</v>
      </c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9626</v>
      </c>
      <c r="F23" s="14">
        <v>0.11799999999999999</v>
      </c>
      <c r="G23" s="16">
        <f>'03 - 2022'!D29-'03 - 2022'!D28+'03 - 2022'!E29-'03 - 2022'!E28</f>
        <v>27.550000000000637</v>
      </c>
      <c r="H23" s="14">
        <v>0.99</v>
      </c>
      <c r="I23" s="16">
        <f>'03 - 2022'!J29-'03 - 2022'!J28</f>
        <v>17212</v>
      </c>
      <c r="J23" s="14">
        <v>8.1000000000000003E-2</v>
      </c>
      <c r="K23" s="23">
        <f>'03 - 2022'!H29-'03 - 2022'!H28</f>
        <v>0</v>
      </c>
      <c r="L23" s="16">
        <f>'03 - 2022'!I29-'03 - 2022'!I28</f>
        <v>122</v>
      </c>
      <c r="M23" s="15">
        <v>4.393629424766913</v>
      </c>
      <c r="N23" s="16">
        <v>96</v>
      </c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9116</v>
      </c>
      <c r="F24" s="14">
        <v>0.11799999999999999</v>
      </c>
      <c r="G24" s="16">
        <f>'03 - 2022'!D30-'03 - 2022'!D29+'03 - 2022'!E30-'03 - 2022'!E29</f>
        <v>26.019999999999982</v>
      </c>
      <c r="H24" s="14">
        <v>0.99</v>
      </c>
      <c r="I24" s="16">
        <f>'03 - 2022'!J30-'03 - 2022'!J29</f>
        <v>17192</v>
      </c>
      <c r="J24" s="14">
        <v>8.1000000000000003E-2</v>
      </c>
      <c r="K24" s="23">
        <f>'03 - 2022'!H30-'03 - 2022'!H29</f>
        <v>0</v>
      </c>
      <c r="L24" s="16">
        <f>'03 - 2022'!I30-'03 - 2022'!I29</f>
        <v>101</v>
      </c>
      <c r="M24" s="15">
        <v>4.393629424766913</v>
      </c>
      <c r="N24" s="16">
        <v>99</v>
      </c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9550</v>
      </c>
      <c r="F25" s="14">
        <v>0.11799999999999999</v>
      </c>
      <c r="G25" s="16">
        <f>'03 - 2022'!D31-'03 - 2022'!D30+'03 - 2022'!E31-'03 - 2022'!E30</f>
        <v>28.8100000000004</v>
      </c>
      <c r="H25" s="14">
        <v>0.99</v>
      </c>
      <c r="I25" s="16">
        <f>'03 - 2022'!J31-'03 - 2022'!J30</f>
        <v>17851</v>
      </c>
      <c r="J25" s="14">
        <v>8.1000000000000003E-2</v>
      </c>
      <c r="K25" s="23">
        <f>'03 - 2022'!H31-'03 - 2022'!H30</f>
        <v>0</v>
      </c>
      <c r="L25" s="16">
        <f>'03 - 2022'!I31-'03 - 2022'!I30</f>
        <v>125</v>
      </c>
      <c r="M25" s="15">
        <v>4.393629424766913</v>
      </c>
      <c r="N25" s="16">
        <v>104</v>
      </c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9470</v>
      </c>
      <c r="F26" s="14">
        <v>0.11799999999999999</v>
      </c>
      <c r="G26" s="16">
        <f>'03 - 2022'!D32-'03 - 2022'!D31+'03 - 2022'!E32-'03 - 2022'!E31</f>
        <v>26.5</v>
      </c>
      <c r="H26" s="14">
        <v>0.99</v>
      </c>
      <c r="I26" s="16">
        <f>'03 - 2022'!J32-'03 - 2022'!J31</f>
        <v>18192</v>
      </c>
      <c r="J26" s="14">
        <v>8.1000000000000003E-2</v>
      </c>
      <c r="K26" s="23">
        <f>'03 - 2022'!H32-'03 - 2022'!H31</f>
        <v>0</v>
      </c>
      <c r="L26" s="16">
        <f>'03 - 2022'!I32-'03 - 2022'!I31</f>
        <v>120</v>
      </c>
      <c r="M26" s="15">
        <v>4.393629424766913</v>
      </c>
      <c r="N26" s="16">
        <v>103</v>
      </c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v>0</v>
      </c>
      <c r="F27" s="14">
        <v>0.11799999999999999</v>
      </c>
      <c r="G27" s="16">
        <v>0</v>
      </c>
      <c r="H27" s="14">
        <v>0.99</v>
      </c>
      <c r="I27" s="16">
        <v>0</v>
      </c>
      <c r="J27" s="14">
        <v>8.1000000000000003E-2</v>
      </c>
      <c r="K27" s="23">
        <v>0</v>
      </c>
      <c r="L27" s="16"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7" sqref="P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3562</v>
      </c>
      <c r="F18" s="16">
        <f>'03 - 2022'!C24-'03 - 2022'!C23</f>
        <v>5603</v>
      </c>
      <c r="G18" s="14">
        <v>0.11799999999999999</v>
      </c>
      <c r="H18" s="16">
        <f>'03 - 2022'!E24-'03 - 2022'!E23</f>
        <v>18.619999999999891</v>
      </c>
      <c r="I18" s="16">
        <f>'03 - 2022'!F24-'03 - 2022'!F23</f>
        <v>7.1099999999999</v>
      </c>
      <c r="J18" s="16">
        <f>'03 - 2022'!G24-'03 - 2022'!G23</f>
        <v>38.220000000001164</v>
      </c>
      <c r="K18" s="14">
        <v>0.74</v>
      </c>
      <c r="L18" s="16">
        <v>102</v>
      </c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4152</v>
      </c>
      <c r="F19" s="16">
        <f>'03 - 2022'!C25-'03 - 2022'!C24</f>
        <v>5821</v>
      </c>
      <c r="G19" s="14">
        <v>0.11799999999999999</v>
      </c>
      <c r="H19" s="16">
        <f>'03 - 2022'!E25-'03 - 2022'!E24</f>
        <v>27.980000000000018</v>
      </c>
      <c r="I19" s="16">
        <f>'03 - 2022'!F25-'03 - 2022'!F24</f>
        <v>8.4200000000000728</v>
      </c>
      <c r="J19" s="16">
        <f>'03 - 2022'!G25-'03 - 2022'!G24</f>
        <v>43.57999999999447</v>
      </c>
      <c r="K19" s="14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4154</v>
      </c>
      <c r="F20" s="16">
        <f>'03 - 2022'!C26-'03 - 2022'!C25</f>
        <v>5876</v>
      </c>
      <c r="G20" s="14">
        <v>0.11799999999999999</v>
      </c>
      <c r="H20" s="16">
        <f>'03 - 2022'!E26-'03 - 2022'!E25</f>
        <v>23.199999999999818</v>
      </c>
      <c r="I20" s="16">
        <f>'03 - 2022'!F26-'03 - 2022'!F25</f>
        <v>7.8700000000001182</v>
      </c>
      <c r="J20" s="16">
        <f>'03 - 2022'!G26-'03 - 2022'!G25</f>
        <v>43.880000000004657</v>
      </c>
      <c r="K20" s="14">
        <v>0.74</v>
      </c>
      <c r="L20" s="4">
        <v>100</v>
      </c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4047</v>
      </c>
      <c r="F21" s="16">
        <f>'03 - 2022'!C27-'03 - 2022'!C26</f>
        <v>5821</v>
      </c>
      <c r="G21" s="14">
        <v>0.11799999999999999</v>
      </c>
      <c r="H21" s="16">
        <f>'03 - 2022'!E27-'03 - 2022'!E26</f>
        <v>26.519999999999982</v>
      </c>
      <c r="I21" s="16">
        <f>'03 - 2022'!F27-'03 - 2022'!F26</f>
        <v>7.0999999999999091</v>
      </c>
      <c r="J21" s="16">
        <f>'03 - 2022'!G27-'03 - 2022'!G26</f>
        <v>44.349999999998545</v>
      </c>
      <c r="K21" s="14">
        <v>0.74</v>
      </c>
      <c r="L21" s="4">
        <v>91</v>
      </c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3791</v>
      </c>
      <c r="F22" s="16">
        <f>'03 - 2022'!C28-'03 - 2022'!C27</f>
        <v>5537</v>
      </c>
      <c r="G22" s="14">
        <v>0.11799999999999999</v>
      </c>
      <c r="H22" s="16">
        <f>'03 - 2022'!E28-'03 - 2022'!E27</f>
        <v>24.2199999999998</v>
      </c>
      <c r="I22" s="16">
        <f>'03 - 2022'!F28-'03 - 2022'!F27</f>
        <v>6.3599999999999</v>
      </c>
      <c r="J22" s="16">
        <f>'03 - 2022'!G28-'03 - 2022'!G27</f>
        <v>41.099999999998545</v>
      </c>
      <c r="K22" s="14">
        <v>0.74</v>
      </c>
      <c r="L22" s="16">
        <v>88</v>
      </c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3918</v>
      </c>
      <c r="F23" s="16">
        <f>'03 - 2022'!C29-'03 - 2022'!C28</f>
        <v>5708</v>
      </c>
      <c r="G23" s="14">
        <v>0.11799999999999999</v>
      </c>
      <c r="H23" s="16">
        <f>'03 - 2022'!E29-'03 - 2022'!E28</f>
        <v>27.640000000000782</v>
      </c>
      <c r="I23" s="16">
        <f>'03 - 2022'!F29-'03 - 2022'!F28</f>
        <v>7.4100000000000819</v>
      </c>
      <c r="J23" s="16">
        <f>'03 - 2022'!G29-'03 - 2022'!G28</f>
        <v>43.099999999998545</v>
      </c>
      <c r="K23" s="14">
        <v>0.74</v>
      </c>
      <c r="L23" s="16">
        <v>96</v>
      </c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3636</v>
      </c>
      <c r="F24" s="16">
        <f>'03 - 2022'!C30-'03 - 2022'!C29</f>
        <v>5480</v>
      </c>
      <c r="G24" s="14">
        <v>0.11799999999999999</v>
      </c>
      <c r="H24" s="16">
        <f>'03 - 2022'!E30-'03 - 2022'!E29</f>
        <v>26.079999999999927</v>
      </c>
      <c r="I24" s="16">
        <f>'03 - 2022'!F30-'03 - 2022'!F29</f>
        <v>6.8900000000001</v>
      </c>
      <c r="J24" s="16">
        <f>'03 - 2022'!G30-'03 - 2022'!G29</f>
        <v>36.710000000006403</v>
      </c>
      <c r="K24" s="14">
        <v>0.74</v>
      </c>
      <c r="L24" s="16">
        <v>99</v>
      </c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3833</v>
      </c>
      <c r="F25" s="16">
        <f>'03 - 2022'!C31-'03 - 2022'!C30</f>
        <v>5717</v>
      </c>
      <c r="G25" s="14">
        <v>0.11799999999999999</v>
      </c>
      <c r="H25" s="16">
        <f>'03 - 2022'!E31-'03 - 2022'!E30</f>
        <v>28.2800000000002</v>
      </c>
      <c r="I25" s="16">
        <f>'03 - 2022'!F31-'03 - 2022'!F30</f>
        <v>7.8499999999999091</v>
      </c>
      <c r="J25" s="16">
        <f>'03 - 2022'!G31-'03 - 2022'!G30</f>
        <v>42.979999999995925</v>
      </c>
      <c r="K25" s="14">
        <v>0.74</v>
      </c>
      <c r="L25" s="4">
        <v>104</v>
      </c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3830</v>
      </c>
      <c r="F26" s="16">
        <f>'03 - 2022'!C32-'03 - 2022'!C31</f>
        <v>5640</v>
      </c>
      <c r="G26" s="14">
        <v>0.11799999999999999</v>
      </c>
      <c r="H26" s="16">
        <f>'03 - 2022'!E32-'03 - 2022'!E31</f>
        <v>26.599999999999909</v>
      </c>
      <c r="I26" s="16">
        <f>'03 - 2022'!F32-'03 - 2022'!F31</f>
        <v>7.3199999999999363</v>
      </c>
      <c r="J26" s="16">
        <f>'03 - 2022'!G32-'03 - 2022'!G31</f>
        <v>41.879999999997381</v>
      </c>
      <c r="K26" s="14">
        <v>0.74</v>
      </c>
      <c r="L26" s="4">
        <v>103</v>
      </c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v>0</v>
      </c>
      <c r="F27" s="16">
        <v>0</v>
      </c>
      <c r="G27" s="14">
        <v>0.11799999999999999</v>
      </c>
      <c r="H27" s="16">
        <v>0</v>
      </c>
      <c r="I27" s="16">
        <v>0</v>
      </c>
      <c r="J27" s="16"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7" zoomScaleNormal="100" workbookViewId="0">
      <selection activeCell="J44" sqref="J44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40"/>
      <c r="B5" s="88" t="s">
        <v>36</v>
      </c>
      <c r="C5" s="88"/>
      <c r="D5" s="88" t="s">
        <v>0</v>
      </c>
      <c r="E5" s="88"/>
      <c r="F5" s="88"/>
      <c r="G5" s="88"/>
      <c r="H5" s="88" t="s">
        <v>1</v>
      </c>
      <c r="I5" s="88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5" t="s">
        <v>32</v>
      </c>
    </row>
    <row r="7" spans="1:17" s="12" customFormat="1" ht="12.95" customHeight="1" x14ac:dyDescent="0.25">
      <c r="A7" s="73">
        <v>44620</v>
      </c>
      <c r="B7" s="74">
        <v>766849</v>
      </c>
      <c r="C7" s="75">
        <v>396625</v>
      </c>
      <c r="D7" s="76">
        <v>0.43</v>
      </c>
      <c r="E7" s="62">
        <v>2836.86</v>
      </c>
      <c r="F7" s="62">
        <v>1639.39</v>
      </c>
      <c r="G7" s="62">
        <v>38892.370000000003</v>
      </c>
      <c r="H7" s="74">
        <v>14528</v>
      </c>
      <c r="I7" s="74">
        <v>148993</v>
      </c>
      <c r="J7" s="74">
        <v>53864590</v>
      </c>
      <c r="K7" s="49"/>
      <c r="L7" s="66"/>
      <c r="M7" s="17"/>
    </row>
    <row r="8" spans="1:17" s="28" customFormat="1" ht="12.95" customHeight="1" x14ac:dyDescent="0.25">
      <c r="A8" s="48">
        <f>A7+1</f>
        <v>44621</v>
      </c>
      <c r="B8" s="77">
        <v>770869</v>
      </c>
      <c r="C8" s="77">
        <v>402301</v>
      </c>
      <c r="D8" s="78">
        <v>0.36</v>
      </c>
      <c r="E8" s="72">
        <v>2855.67</v>
      </c>
      <c r="F8" s="72">
        <v>1647.44</v>
      </c>
      <c r="G8" s="77">
        <v>38929.230000000003</v>
      </c>
      <c r="H8" s="77">
        <v>14528</v>
      </c>
      <c r="I8" s="77">
        <v>149104</v>
      </c>
      <c r="J8" s="77">
        <v>53879396</v>
      </c>
      <c r="K8" s="38"/>
      <c r="L8" s="67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68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79">
        <v>0.76</v>
      </c>
      <c r="E10" s="26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0">
        <v>53906394</v>
      </c>
      <c r="K10" s="38"/>
      <c r="L10" s="68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79">
        <v>0.68</v>
      </c>
      <c r="E11" s="26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68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79">
        <v>0.59</v>
      </c>
      <c r="E12" s="82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68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79">
        <v>0.52</v>
      </c>
      <c r="E13" s="26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68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79">
        <v>0.42</v>
      </c>
      <c r="E14" s="26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68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68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/>
      <c r="L16" s="68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1">
        <v>0.77</v>
      </c>
      <c r="E17" s="26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68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79">
        <v>0.68</v>
      </c>
      <c r="E18" s="26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68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79">
        <v>0.59</v>
      </c>
      <c r="E19" s="5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68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79">
        <v>0.51</v>
      </c>
      <c r="E20" s="5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68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79">
        <v>0.42</v>
      </c>
      <c r="E21" s="5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68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68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83" t="s">
        <v>39</v>
      </c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>
        <v>832308</v>
      </c>
      <c r="C24" s="54">
        <v>493712</v>
      </c>
      <c r="D24" s="79">
        <v>0.8</v>
      </c>
      <c r="E24" s="62">
        <f>E23+18.62</f>
        <v>3150.2</v>
      </c>
      <c r="F24" s="26">
        <v>1777.12</v>
      </c>
      <c r="G24" s="55">
        <v>39572.69</v>
      </c>
      <c r="H24" s="37">
        <v>14528</v>
      </c>
      <c r="I24" s="54">
        <v>150862</v>
      </c>
      <c r="J24" s="54">
        <v>54154974</v>
      </c>
      <c r="K24" s="38" t="s">
        <v>38</v>
      </c>
      <c r="L24" s="69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>
        <v>836460</v>
      </c>
      <c r="C25" s="55">
        <v>499533</v>
      </c>
      <c r="D25" s="81">
        <v>0.7</v>
      </c>
      <c r="E25" s="84">
        <f>E24+27.98</f>
        <v>3178.18</v>
      </c>
      <c r="F25" s="26">
        <v>1785.54</v>
      </c>
      <c r="G25" s="55">
        <v>39616.269999999997</v>
      </c>
      <c r="H25" s="37">
        <v>14528</v>
      </c>
      <c r="I25" s="54">
        <v>150981</v>
      </c>
      <c r="J25" s="54">
        <v>54173112</v>
      </c>
      <c r="K25" s="39"/>
      <c r="L25" s="69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>
        <v>840614</v>
      </c>
      <c r="C26" s="55">
        <v>505409</v>
      </c>
      <c r="D26" s="81">
        <v>0.6</v>
      </c>
      <c r="E26" s="84">
        <f>E25+23.2</f>
        <v>3201.3799999999997</v>
      </c>
      <c r="F26" s="26">
        <v>1793.41</v>
      </c>
      <c r="G26" s="55">
        <v>39660.15</v>
      </c>
      <c r="H26" s="37">
        <v>14528</v>
      </c>
      <c r="I26" s="54">
        <v>151106</v>
      </c>
      <c r="J26" s="54">
        <v>54188228</v>
      </c>
      <c r="K26" s="38"/>
      <c r="L26" s="69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>
        <v>844661</v>
      </c>
      <c r="C27" s="54">
        <v>511230</v>
      </c>
      <c r="D27" s="79">
        <v>0.5</v>
      </c>
      <c r="E27" s="84">
        <f>E26+26.52</f>
        <v>3227.8999999999996</v>
      </c>
      <c r="F27" s="26">
        <v>1800.51</v>
      </c>
      <c r="G27" s="55">
        <v>39704.5</v>
      </c>
      <c r="H27" s="37">
        <v>14528</v>
      </c>
      <c r="I27" s="54">
        <v>151232</v>
      </c>
      <c r="J27" s="54">
        <v>54203602</v>
      </c>
      <c r="K27" s="38"/>
      <c r="L27" s="68"/>
      <c r="M27" s="27"/>
    </row>
    <row r="28" spans="1:19" s="28" customFormat="1" ht="12.95" customHeight="1" x14ac:dyDescent="0.25">
      <c r="A28" s="48">
        <f t="shared" si="0"/>
        <v>44641</v>
      </c>
      <c r="B28" s="56">
        <v>848452</v>
      </c>
      <c r="C28" s="54">
        <v>516767</v>
      </c>
      <c r="D28" s="79">
        <v>0.4</v>
      </c>
      <c r="E28" s="84">
        <f>E27+24.22</f>
        <v>3252.1199999999994</v>
      </c>
      <c r="F28" s="26">
        <v>1806.87</v>
      </c>
      <c r="G28" s="55">
        <v>39745.599999999999</v>
      </c>
      <c r="H28" s="37">
        <v>14528</v>
      </c>
      <c r="I28" s="54">
        <v>151340</v>
      </c>
      <c r="J28" s="54">
        <v>54219880</v>
      </c>
      <c r="K28" s="38"/>
      <c r="L28" s="68"/>
      <c r="M28" s="27"/>
    </row>
    <row r="29" spans="1:19" s="28" customFormat="1" ht="12.95" customHeight="1" x14ac:dyDescent="0.25">
      <c r="A29" s="48">
        <f t="shared" si="0"/>
        <v>44642</v>
      </c>
      <c r="B29" s="54">
        <v>852370</v>
      </c>
      <c r="C29" s="54">
        <v>522475</v>
      </c>
      <c r="D29" s="29">
        <v>0.31</v>
      </c>
      <c r="E29" s="84">
        <v>3279.76</v>
      </c>
      <c r="F29" s="26">
        <v>1814.28</v>
      </c>
      <c r="G29" s="55">
        <v>39788.699999999997</v>
      </c>
      <c r="H29" s="37">
        <v>14528</v>
      </c>
      <c r="I29" s="54">
        <v>151462</v>
      </c>
      <c r="J29" s="54">
        <v>54237092</v>
      </c>
      <c r="K29" s="38"/>
      <c r="L29" s="68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>
        <v>856006</v>
      </c>
      <c r="C30" s="54">
        <v>527955</v>
      </c>
      <c r="D30" s="79">
        <v>0.25</v>
      </c>
      <c r="E30" s="84">
        <f>E29+26.08</f>
        <v>3305.84</v>
      </c>
      <c r="F30" s="26">
        <v>1821.17</v>
      </c>
      <c r="G30" s="55">
        <v>39825.410000000003</v>
      </c>
      <c r="H30" s="37">
        <v>14528</v>
      </c>
      <c r="I30" s="54">
        <v>151563</v>
      </c>
      <c r="J30" s="54">
        <v>54254284</v>
      </c>
      <c r="K30" s="38"/>
      <c r="L30" s="68"/>
      <c r="M30" s="27"/>
    </row>
    <row r="31" spans="1:19" s="28" customFormat="1" ht="12.95" customHeight="1" x14ac:dyDescent="0.25">
      <c r="A31" s="48">
        <f t="shared" si="0"/>
        <v>44644</v>
      </c>
      <c r="B31" s="54">
        <v>859839</v>
      </c>
      <c r="C31" s="54">
        <v>533672</v>
      </c>
      <c r="D31" s="79">
        <v>0.78</v>
      </c>
      <c r="E31" s="84">
        <f>E30+28.28</f>
        <v>3334.1200000000003</v>
      </c>
      <c r="F31" s="26">
        <v>1829.02</v>
      </c>
      <c r="G31" s="55">
        <v>39868.39</v>
      </c>
      <c r="H31" s="37">
        <v>14528</v>
      </c>
      <c r="I31" s="54">
        <v>151688</v>
      </c>
      <c r="J31" s="54">
        <v>54272135</v>
      </c>
      <c r="K31" s="38"/>
      <c r="L31" s="70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>
        <v>863669</v>
      </c>
      <c r="C32" s="54">
        <v>539312</v>
      </c>
      <c r="D32" s="79">
        <v>0.68</v>
      </c>
      <c r="E32" s="84">
        <f>E31+26.6</f>
        <v>3360.7200000000003</v>
      </c>
      <c r="F32" s="26">
        <v>1836.34</v>
      </c>
      <c r="G32" s="55">
        <v>39910.269999999997</v>
      </c>
      <c r="H32" s="37">
        <v>14528</v>
      </c>
      <c r="I32" s="54">
        <v>151808</v>
      </c>
      <c r="J32" s="54">
        <v>54290327</v>
      </c>
      <c r="K32" s="38"/>
      <c r="L32" s="70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84"/>
      <c r="F33" s="26"/>
      <c r="G33" s="55"/>
      <c r="H33" s="35"/>
      <c r="I33" s="61"/>
      <c r="J33" s="61"/>
      <c r="K33" s="38"/>
      <c r="L33" s="68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84"/>
      <c r="F34" s="26"/>
      <c r="G34" s="55"/>
      <c r="H34" s="37"/>
      <c r="I34" s="55"/>
      <c r="J34" s="55"/>
      <c r="K34" s="38"/>
      <c r="L34" s="68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3"/>
      <c r="D35" s="29"/>
      <c r="E35" s="62"/>
      <c r="F35" s="36"/>
      <c r="G35" s="36"/>
      <c r="H35" s="37"/>
      <c r="I35" s="37"/>
      <c r="J35" s="37"/>
      <c r="K35" s="38"/>
      <c r="L35" s="68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3"/>
      <c r="D36" s="29"/>
      <c r="E36" s="62"/>
      <c r="F36" s="36"/>
      <c r="G36" s="36"/>
      <c r="H36" s="37"/>
      <c r="I36" s="37"/>
      <c r="J36" s="37"/>
      <c r="K36" s="38"/>
      <c r="L36" s="68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3"/>
      <c r="D37" s="29"/>
      <c r="E37" s="62"/>
      <c r="F37" s="36"/>
      <c r="G37" s="36"/>
      <c r="H37" s="37"/>
      <c r="I37" s="37"/>
      <c r="J37" s="37"/>
      <c r="K37" s="38"/>
      <c r="L37" s="68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4"/>
      <c r="E38" s="85"/>
      <c r="F38" s="60"/>
      <c r="G38" s="60"/>
      <c r="H38" s="58"/>
      <c r="I38" s="58"/>
      <c r="J38" s="58"/>
      <c r="K38" s="50"/>
      <c r="L38" s="71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2022-03-25T07:07:15Z</dcterms:modified>
</cp:coreProperties>
</file>