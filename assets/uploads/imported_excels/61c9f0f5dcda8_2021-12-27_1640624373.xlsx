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711" documentId="8_{A61DAC58-60B6-4A85-A856-410E2D059BAD}" xr6:coauthVersionLast="47" xr6:coauthVersionMax="47" xr10:uidLastSave="{575BD860-7DD7-443E-878D-437CA5445921}"/>
  <bookViews>
    <workbookView xWindow="-120" yWindow="-120" windowWidth="16440" windowHeight="28440" firstSheet="5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62" i="5" l="1"/>
  <c r="AZ62" i="5"/>
  <c r="AX62" i="5"/>
  <c r="AV62" i="5"/>
  <c r="BB61" i="5"/>
  <c r="AZ61" i="5"/>
  <c r="AX61" i="5"/>
  <c r="AV61" i="5"/>
  <c r="AL62" i="5"/>
  <c r="AJ62" i="5"/>
  <c r="AG62" i="5"/>
  <c r="AD62" i="5"/>
  <c r="AA62" i="5"/>
  <c r="X62" i="5"/>
  <c r="U62" i="5"/>
  <c r="R62" i="5"/>
  <c r="O62" i="5"/>
  <c r="L62" i="5"/>
  <c r="I62" i="5"/>
  <c r="F62" i="5"/>
  <c r="AL61" i="5"/>
  <c r="AJ61" i="5"/>
  <c r="AG61" i="5"/>
  <c r="AD61" i="5"/>
  <c r="AA61" i="5"/>
  <c r="X61" i="5"/>
  <c r="U61" i="5"/>
  <c r="R61" i="5"/>
  <c r="O61" i="5"/>
  <c r="L61" i="5"/>
  <c r="I61" i="5"/>
  <c r="F61" i="5"/>
  <c r="BF62" i="6"/>
  <c r="BD62" i="6"/>
  <c r="BB62" i="6"/>
  <c r="AY62" i="6"/>
  <c r="AW62" i="6"/>
  <c r="AZ62" i="6" s="1"/>
  <c r="AX60" i="3" s="1"/>
  <c r="AT62" i="6"/>
  <c r="BF61" i="6"/>
  <c r="BD61" i="6"/>
  <c r="BB61" i="6"/>
  <c r="AZ61" i="6"/>
  <c r="AX59" i="3" s="1"/>
  <c r="AY61" i="6"/>
  <c r="AW61" i="6"/>
  <c r="AT61" i="6"/>
  <c r="AP62" i="6"/>
  <c r="AN62" i="6"/>
  <c r="AL62" i="6"/>
  <c r="AJ62" i="6"/>
  <c r="AH62" i="6"/>
  <c r="AF62" i="6"/>
  <c r="AD62" i="6"/>
  <c r="AB62" i="6"/>
  <c r="AP61" i="6"/>
  <c r="AN61" i="6"/>
  <c r="AL61" i="6"/>
  <c r="AJ61" i="6"/>
  <c r="AQ59" i="3" s="1"/>
  <c r="AH61" i="6"/>
  <c r="AF61" i="6"/>
  <c r="AD61" i="6"/>
  <c r="AB61" i="6"/>
  <c r="BF60" i="6"/>
  <c r="BD60" i="6"/>
  <c r="BB60" i="6"/>
  <c r="AY60" i="6"/>
  <c r="AW60" i="6"/>
  <c r="AZ60" i="6" s="1"/>
  <c r="AX58" i="3" s="1"/>
  <c r="AT60" i="6"/>
  <c r="AP60" i="6"/>
  <c r="AN60" i="6"/>
  <c r="AL60" i="6"/>
  <c r="AJ60" i="6"/>
  <c r="AH60" i="6"/>
  <c r="AF60" i="6"/>
  <c r="AD60" i="6"/>
  <c r="AB60" i="6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BF59" i="6"/>
  <c r="BD59" i="6"/>
  <c r="BB59" i="6"/>
  <c r="AY59" i="6"/>
  <c r="AW57" i="3" s="1"/>
  <c r="AW59" i="6"/>
  <c r="AZ59" i="6" s="1"/>
  <c r="AX57" i="3" s="1"/>
  <c r="AT59" i="6"/>
  <c r="AP59" i="6"/>
  <c r="AN59" i="6"/>
  <c r="AL59" i="6"/>
  <c r="AJ59" i="6"/>
  <c r="AH59" i="6"/>
  <c r="AF59" i="6"/>
  <c r="AD59" i="6"/>
  <c r="AB59" i="6"/>
  <c r="BF58" i="6"/>
  <c r="BD58" i="6"/>
  <c r="BB58" i="6"/>
  <c r="AY58" i="6"/>
  <c r="AW58" i="6"/>
  <c r="AZ58" i="6" s="1"/>
  <c r="AX56" i="3" s="1"/>
  <c r="AT58" i="6"/>
  <c r="BB58" i="5"/>
  <c r="AZ58" i="5"/>
  <c r="AX58" i="5"/>
  <c r="AV58" i="5"/>
  <c r="C63" i="5"/>
  <c r="C62" i="5"/>
  <c r="C61" i="5"/>
  <c r="C60" i="5"/>
  <c r="C59" i="5"/>
  <c r="C58" i="5"/>
  <c r="AL58" i="5"/>
  <c r="AJ58" i="5"/>
  <c r="AG58" i="5"/>
  <c r="AD58" i="5"/>
  <c r="AA58" i="5"/>
  <c r="X58" i="5"/>
  <c r="U58" i="5"/>
  <c r="R58" i="5"/>
  <c r="O58" i="5"/>
  <c r="L58" i="5"/>
  <c r="I58" i="5"/>
  <c r="F58" i="5"/>
  <c r="AP58" i="6"/>
  <c r="AN58" i="6"/>
  <c r="AL58" i="6"/>
  <c r="AJ58" i="6"/>
  <c r="AQ56" i="3" s="1"/>
  <c r="AH58" i="6"/>
  <c r="AF58" i="6"/>
  <c r="AD58" i="6"/>
  <c r="AB58" i="6"/>
  <c r="BF57" i="6"/>
  <c r="BD57" i="6"/>
  <c r="BB57" i="6"/>
  <c r="AY57" i="6"/>
  <c r="AW57" i="6"/>
  <c r="AZ57" i="6" s="1"/>
  <c r="AX55" i="3" s="1"/>
  <c r="AT57" i="6"/>
  <c r="AP57" i="6"/>
  <c r="AN57" i="6"/>
  <c r="AL57" i="6"/>
  <c r="AJ57" i="6"/>
  <c r="AH57" i="6"/>
  <c r="AF57" i="6"/>
  <c r="AD57" i="6"/>
  <c r="AB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BB56" i="5"/>
  <c r="AZ56" i="5"/>
  <c r="AX56" i="5"/>
  <c r="AV56" i="5"/>
  <c r="AM58" i="5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M59" i="5"/>
  <c r="AM60" i="5"/>
  <c r="AM61" i="5"/>
  <c r="AM62" i="5"/>
  <c r="AM63" i="5"/>
  <c r="AO63" i="5" s="1"/>
  <c r="AM64" i="5"/>
  <c r="AO64" i="5" s="1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63" i="6"/>
  <c r="AP64" i="6"/>
  <c r="AT62" i="3" s="1"/>
  <c r="AN63" i="6"/>
  <c r="AN64" i="6"/>
  <c r="AS62" i="3" s="1"/>
  <c r="AR52" i="3"/>
  <c r="AR57" i="3"/>
  <c r="AR59" i="3"/>
  <c r="AL63" i="6"/>
  <c r="AL64" i="6"/>
  <c r="AR62" i="3" s="1"/>
  <c r="AQ52" i="3"/>
  <c r="AQ57" i="3"/>
  <c r="AQ58" i="3"/>
  <c r="AJ63" i="6"/>
  <c r="AQ61" i="3" s="1"/>
  <c r="AJ64" i="6"/>
  <c r="AQ62" i="3" s="1"/>
  <c r="AP53" i="3"/>
  <c r="AP55" i="3"/>
  <c r="AP57" i="3"/>
  <c r="AH63" i="6"/>
  <c r="AH64" i="6"/>
  <c r="AP62" i="3" s="1"/>
  <c r="AO53" i="3"/>
  <c r="AO54" i="3"/>
  <c r="AF63" i="6"/>
  <c r="AF64" i="6"/>
  <c r="AO62" i="3" s="1"/>
  <c r="AN53" i="3"/>
  <c r="AN55" i="3"/>
  <c r="AN57" i="3"/>
  <c r="AN60" i="3"/>
  <c r="AD63" i="6"/>
  <c r="AD64" i="6"/>
  <c r="AN62" i="3" s="1"/>
  <c r="AM56" i="3"/>
  <c r="AB63" i="6"/>
  <c r="AM61" i="3" s="1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X59" i="6"/>
  <c r="AL57" i="3" s="1"/>
  <c r="X60" i="6"/>
  <c r="X61" i="6"/>
  <c r="X62" i="6"/>
  <c r="Y62" i="6"/>
  <c r="X63" i="6"/>
  <c r="AL61" i="3" s="1"/>
  <c r="X64" i="6"/>
  <c r="Y64" i="6" s="1"/>
  <c r="U52" i="6"/>
  <c r="U53" i="6"/>
  <c r="U54" i="6"/>
  <c r="U55" i="6"/>
  <c r="U56" i="6"/>
  <c r="U57" i="6"/>
  <c r="U58" i="6"/>
  <c r="U59" i="6"/>
  <c r="AK57" i="3" s="1"/>
  <c r="U60" i="6"/>
  <c r="AK58" i="3" s="1"/>
  <c r="U61" i="6"/>
  <c r="AK59" i="3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AJ60" i="3" s="1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AI56" i="3" s="1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AH55" i="3" s="1"/>
  <c r="K58" i="6"/>
  <c r="AH56" i="3" s="1"/>
  <c r="K59" i="6"/>
  <c r="K60" i="6"/>
  <c r="K61" i="6"/>
  <c r="K62" i="6"/>
  <c r="K63" i="6"/>
  <c r="K64" i="6"/>
  <c r="H52" i="6"/>
  <c r="H53" i="6"/>
  <c r="AG51" i="3" s="1"/>
  <c r="H54" i="6"/>
  <c r="H55" i="6"/>
  <c r="H56" i="6"/>
  <c r="AG54" i="3" s="1"/>
  <c r="H57" i="6"/>
  <c r="AG55" i="3" s="1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AF56" i="3" s="1"/>
  <c r="E59" i="6"/>
  <c r="AF57" i="3" s="1"/>
  <c r="E60" i="6"/>
  <c r="AF58" i="3" s="1"/>
  <c r="E61" i="6"/>
  <c r="AF59" i="3" s="1"/>
  <c r="E62" i="6"/>
  <c r="E63" i="6"/>
  <c r="AF61" i="3" s="1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I42" i="1"/>
  <c r="J42" i="1" s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1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L62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J62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H61" i="3"/>
  <c r="AH62" i="3"/>
  <c r="AG45" i="3"/>
  <c r="AG50" i="3"/>
  <c r="AG52" i="3"/>
  <c r="AG53" i="3"/>
  <c r="AG56" i="3"/>
  <c r="AG58" i="3"/>
  <c r="AG59" i="3"/>
  <c r="AG60" i="3"/>
  <c r="AG62" i="3"/>
  <c r="AF45" i="3"/>
  <c r="AF50" i="3"/>
  <c r="AF51" i="3"/>
  <c r="AF52" i="3"/>
  <c r="AF55" i="3"/>
  <c r="AF60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AO62" i="5" l="1"/>
  <c r="AO61" i="5"/>
  <c r="AQ61" i="5" s="1"/>
  <c r="G59" i="1"/>
  <c r="Y63" i="6"/>
  <c r="G58" i="1"/>
  <c r="Y61" i="6"/>
  <c r="AO60" i="5"/>
  <c r="AQ60" i="5" s="1"/>
  <c r="AO59" i="5"/>
  <c r="AQ59" i="5" s="1"/>
  <c r="G56" i="1"/>
  <c r="Y60" i="6"/>
  <c r="AO58" i="5"/>
  <c r="G55" i="1"/>
  <c r="Y59" i="6"/>
  <c r="Y58" i="6"/>
  <c r="AO57" i="5"/>
  <c r="AQ57" i="5" s="1"/>
  <c r="AQ58" i="5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Y47" i="6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<sst xmlns="http://schemas.openxmlformats.org/spreadsheetml/2006/main" count="2628" uniqueCount="469">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</sst>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B63" sqref="B6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10783.290400000002</v>
      </c>
      <c r="J46" s="11">
        <f>((Submetering!AG47+Submetering!BA47)*0.8868+(1712.96+1070.52)/30+(Submetering!AF47+Submetering!AY47+Submetering!AV47+Submetering!AZ47)*1.1251+(2076.11+129.67+207.57+207.57)/30+(11680.53+56.61)/30)/I46</f>
        <v>0.31739432146116237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25512.854921999999</v>
      </c>
      <c r="J47" s="11">
        <f>((Submetering!AG48+Submetering!BA48)*0.8868+(1712.96+1070.52)/30+(Submetering!AF48+Submetering!AY48+Submetering!AV48+Submetering!AZ48)*1.1251+(2076.11+129.67+207.57+207.57)/30+(11680.53+56.61)/30)/I47</f>
        <v>0.28548377108224071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26521.498992000004</v>
      </c>
      <c r="J48" s="11">
        <f>((Submetering!AG49+Submetering!BA49)*0.8868+(1712.96+1070.52)/30+(Submetering!AF49+Submetering!AY49+Submetering!AV49+Submetering!AZ49)*1.1251+(2076.11+129.67+207.57+207.57)/30+(11680.53+56.61)/30)/I48</f>
        <v>0.29312910432897088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24216.997997999999</v>
      </c>
      <c r="J49" s="11">
        <f>((Submetering!AG50+Submetering!BA50)*0.8868+(1712.96+1070.52)/30+(Submetering!AF50+Submetering!AY50+Submetering!AV50+Submetering!AZ50)*1.1251+(2076.11+129.67+207.57+207.57)/30+(11680.53+56.61)/30)/I49</f>
        <v>0.30605388269341949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20422.210533999998</v>
      </c>
      <c r="J50" s="11">
        <f>((Submetering!AG51+Submetering!BA51)*0.8868+(1712.96+1070.52)/30+(Submetering!AF51+Submetering!AY51+Submetering!AV51+Submetering!AZ51)*1.1251+(2076.11+129.67+207.57+207.57)/30+(11680.53+56.61)/30)/I50</f>
        <v>0.29090846999915992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19922.988915999998</v>
      </c>
      <c r="J51" s="11">
        <f>((Submetering!AG52+Submetering!BA52)*0.8868+(1712.96+1070.52)/30+(Submetering!AF52+Submetering!AY52+Submetering!AV52+Submetering!AZ52)*1.1251+(2076.11+129.67+207.57+207.57)/30+(11680.53+56.61)/30)/I51</f>
        <v>0.3775003129026821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17709.963118</v>
      </c>
      <c r="J52" s="11">
        <f>((Submetering!AG53+Submetering!BA53)*0.8868+(1712.96+1070.52)/30+(Submetering!AF53+Submetering!AY53+Submetering!AV53+Submetering!AZ53)*1.1251+(2076.11+129.67+207.57+207.57)/30+(11680.53+56.61)/30)/I52</f>
        <v>0.34816710170783244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18132.651634000005</v>
      </c>
      <c r="J53" s="11">
        <f>((Submetering!AG54+Submetering!BA54)*0.8868+(1712.96+1070.52)/30+(Submetering!AF54+Submetering!AY54+Submetering!AV54+Submetering!AZ54)*1.1251+(2076.11+129.67+207.57+207.57)/30+(11680.53+56.61)/30)/I53</f>
        <v>0.32155926550938918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269170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8.0791111019801617E-2</v>
      </c>
      <c r="G54" s="4">
        <f>Submetering!AK55+Submetering!AL55+Submetering!AU55</f>
        <v>7397.5360000000001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14590.686568000001</v>
      </c>
      <c r="J54" s="11">
        <f>((Submetering!AG55+Submetering!BA55)*0.8868+(1712.96+1070.52)/30+(Submetering!AF55+Submetering!AY55+Submetering!AV55+Submetering!AZ55)*1.1251+(2076.11+129.67+207.57+207.57)/30+(11680.53+56.61)/30)/I54</f>
        <v>0.40005698785473809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77248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8.0774363955053857E-2</v>
      </c>
      <c r="G55" s="4">
        <f>Submetering!AK56+Submetering!AL56+Submetering!AU56</f>
        <v>5927.8137999999999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3875.8574619999995</v>
      </c>
      <c r="J55" s="11">
        <f>((Submetering!AG56+Submetering!BA56)*0.8868+(1712.96+1070.52)/30+(Submetering!AF56+Submetering!AY56+Submetering!AV56+Submetering!AZ56)*1.1251+(2076.11+129.67+207.57+207.57)/30+(11680.53+56.61)/30)/I55</f>
        <v>0.51992345773903159</v>
      </c>
      <c r="K55" s="4">
        <f>Elect!C58</f>
        <v>371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202052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8.0809914928830204E-2</v>
      </c>
      <c r="G56" s="4">
        <f>Submetering!AK57+Submetering!AL57+Submetering!AU57</f>
        <v>1145.9698000000001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11263.672986000005</v>
      </c>
      <c r="J56" s="11">
        <f>((Submetering!AG57+Submetering!BA57)*0.8868+(1712.96+1070.52)/30+(Submetering!AF57+Submetering!AY57+Submetering!AV57+Submetering!AZ57)*1.1251+(2076.11+129.67+207.57+207.57)/30+(11680.53+56.61)/30)/I56</f>
        <v>0.40498360430353719</v>
      </c>
      <c r="K56" s="4">
        <f>Elect!C59</f>
        <v>1157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323239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8.0676152940703322E-2</v>
      </c>
      <c r="G57" s="4">
        <f>Submetering!AK58+Submetering!AL58+Submetering!AU58</f>
        <v>4469.2939999999999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19816.347159999998</v>
      </c>
      <c r="J57" s="11">
        <f>((Submetering!AG58+Submetering!BA58)*0.8868+(1712.96+1070.52)/30+(Submetering!AF58+Submetering!AY58+Submetering!AV58+Submetering!AZ58)*1.1251+(2076.11+129.67+207.57+207.57)/30+(11680.53+56.61)/30)/I57</f>
        <v>0.32336579848688252</v>
      </c>
      <c r="K57" s="4">
        <f>Elect!C60</f>
        <v>1689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331138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8.0662989002772259E-2</v>
      </c>
      <c r="G58" s="4">
        <f>Submetering!AK59+Submetering!AL59+Submetering!AU59</f>
        <v>4678.18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22357.106656</v>
      </c>
      <c r="J58" s="11">
        <f>((Submetering!AG59+Submetering!BA59)*0.8868+(1712.96+1070.52)/30+(Submetering!AF59+Submetering!AY59+Submetering!AV59+Submetering!AZ59)*1.1251+(2076.11+129.67+207.57+207.57)/30+(11680.53+56.61)/30)/I58</f>
        <v>0.3140799855450967</v>
      </c>
      <c r="K58" s="4">
        <f>Elect!C61</f>
        <v>1425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290795</v>
      </c>
      <c r="F59" s="10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8.0763171593734431E-2</v>
      </c>
      <c r="G59" s="4">
        <f>Submetering!AK60+Submetering!AL60+Submetering!AU60</f>
        <v>7193.2936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15482.664938</v>
      </c>
      <c r="J59" s="11">
        <f>((Submetering!AG60+Submetering!BA60)*0.8868+(1712.96+1070.52)/30+(Submetering!AF60+Submetering!AY60+Submetering!AV60+Submetering!AZ60)*1.1251+(2076.11+129.67+207.57+207.57)/30+(11680.53+56.61)/30)/I59</f>
        <v>0.39353783615456461</v>
      </c>
      <c r="K59" s="4">
        <f>Elect!C62</f>
        <v>1755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1430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611</v>
      </c>
      <c r="F55" s="47">
        <f>IF(Elect!I57&lt;0,"0",Elect!I57)</f>
        <v>50560</v>
      </c>
      <c r="G55" s="47">
        <f>Elect!H57</f>
        <v>2.39</v>
      </c>
      <c r="H55" s="47">
        <f>IF(Elect!F57&lt;0,"0",Elect!F57)</f>
        <v>41280</v>
      </c>
      <c r="I55" s="47">
        <f>Elect!E57</f>
        <v>1.978</v>
      </c>
      <c r="J55" s="47">
        <f>IF(Elect!U57&lt;0,"0",Elect!U57)</f>
        <v>33900</v>
      </c>
      <c r="K55" s="47">
        <f>Elect!T57</f>
        <v>1.377</v>
      </c>
      <c r="L55" s="47">
        <f>IF(Elect!AJ57&lt;0,"0",Elect!AJ57)</f>
        <v>1520</v>
      </c>
      <c r="M55" s="47">
        <f>Elect!AI57</f>
        <v>0.315</v>
      </c>
      <c r="N55" s="47">
        <f>IF(Elect!X57&lt;0,"0",Elect!X57)</f>
        <v>28800</v>
      </c>
      <c r="O55" s="47">
        <f>Elect!W57</f>
        <v>1.4330000000000001</v>
      </c>
      <c r="P55" s="47">
        <f>IF(Elect!O57&lt;0,"0",Elect!O57)</f>
        <v>12400</v>
      </c>
      <c r="Q55" s="47">
        <f>Elect!N57</f>
        <v>2.78</v>
      </c>
      <c r="R55" s="47">
        <f>IF(Elect!L57&lt;0,"0",Elect!L57)</f>
        <v>13200</v>
      </c>
      <c r="S55" s="47">
        <f>Elect!K57</f>
        <v>3.07</v>
      </c>
      <c r="T55" s="47">
        <f>IF(Elect!R57&lt;0,"0",Elect!R57)</f>
        <v>12400</v>
      </c>
      <c r="U55" s="47">
        <f>Elect!Q57</f>
        <v>2.96</v>
      </c>
      <c r="V55" s="47">
        <f>IF(Elect!AA57&lt;0,"0",Elect!AA57)</f>
        <v>4960</v>
      </c>
      <c r="W55" s="47">
        <f>Elect!Z57</f>
        <v>2.59</v>
      </c>
      <c r="X55" s="47">
        <f>IF(Elect!AD57&lt;0,"0",Elect!AD57)</f>
        <v>3040</v>
      </c>
      <c r="Y55" s="47">
        <f>Elect!AC57</f>
        <v>1.89</v>
      </c>
      <c r="Z55" s="47">
        <f>IF(Elect!AG57&lt;0,"0",Elect!AG57)</f>
        <v>51200</v>
      </c>
      <c r="AA55" s="47">
        <f>Elect!AF57</f>
        <v>2.2519999999999998</v>
      </c>
      <c r="AB55" s="47">
        <f>IF(Elect!AX57&lt;0,"0",Elect!AX57)</f>
        <v>1500</v>
      </c>
      <c r="AC55" s="47">
        <f>IF(Elect!AV57&lt;0,"0",Elect!AV57)</f>
        <v>11900</v>
      </c>
      <c r="AD55" s="47">
        <f>IF(Elect!AZ57&lt;0,"0",Elect!AZ57)</f>
        <v>750</v>
      </c>
      <c r="AE55" s="47">
        <f>IF(Elect!BB57&lt;0,"0",Elect!BB57)</f>
        <v>1760</v>
      </c>
      <c r="AF55" s="228">
        <f>IF('Wtr-Gas'!E57&lt;0,"0",('Wtr-Gas'!E57)*0.0038)</f>
        <v>4080.364</v>
      </c>
      <c r="AG55" s="228">
        <f>IF('Wtr-Gas'!H57&lt;0,"0",('Wtr-Gas'!H57)*0.0038)</f>
        <v>500.916</v>
      </c>
      <c r="AH55" s="228">
        <f>IF('Wtr-Gas'!K57&lt;0,"0",('Wtr-Gas'!K57)*0.0038)</f>
        <v>0.22800000000000001</v>
      </c>
      <c r="AI55" s="228">
        <f>IF('Wtr-Gas'!N57&lt;0,"0",('Wtr-Gas'!N57)*0.0038)</f>
        <v>2929.8</v>
      </c>
      <c r="AJ55" s="228">
        <f>IF('Wtr-Gas'!Q57&lt;0,"0",('Wtr-Gas'!Q57)*0.0038)</f>
        <v>134.52000000000001</v>
      </c>
      <c r="AK55" s="229">
        <f>IF('Wtr-Gas'!U57&lt;0,"0",('Wtr-Gas'!U57)*0.0038)</f>
        <v>918.08</v>
      </c>
      <c r="AL55" s="229">
        <f>IF('Wtr-Gas'!X57&lt;0,"0",('Wtr-Gas'!X57)*0.0038)</f>
        <v>6479</v>
      </c>
      <c r="AM55" s="228">
        <f>IF('Wtr-Gas'!AB57&lt;0,"0",('Wtr-Gas'!AB57)*0.0038)</f>
        <v>4256</v>
      </c>
      <c r="AN55" s="228">
        <f>IF('Wtr-Gas'!AD57&lt;0,"0",('Wtr-Gas'!AD57)*0.0038)</f>
        <v>1610.06</v>
      </c>
      <c r="AO55" s="228">
        <f>IF('Wtr-Gas'!AF57&lt;0,"0",('Wtr-Gas'!AF57)*0.0038)</f>
        <v>7.4480000000000004</v>
      </c>
      <c r="AP55" s="228">
        <f>IF('Wtr-Gas'!AH57&lt;0,"0",('Wtr-Gas'!AH57)*0.0038)</f>
        <v>153.44399999999999</v>
      </c>
      <c r="AQ55" s="228">
        <f>IF('Wtr-Gas'!AJ57&lt;0,"0",('Wtr-Gas'!AJ57)*0.0038)</f>
        <v>40.409199999999998</v>
      </c>
      <c r="AR55" s="228">
        <f>IF('Wtr-Gas'!AL57&lt;0,"0",('Wtr-Gas'!AL57)*0.0038)</f>
        <v>661.2</v>
      </c>
      <c r="AS55" s="228">
        <f>IF('Wtr-Gas'!AN57&lt;0,"0",('Wtr-Gas'!AN57)*0.0038)</f>
        <v>3.04E-2</v>
      </c>
      <c r="AT55" s="228">
        <f>IF('Wtr-Gas'!AP57&lt;0,"0",('Wtr-Gas'!AP57)*0.0038)</f>
        <v>13.3</v>
      </c>
      <c r="AU55" s="249">
        <f>IF('Wtr-Gas'!AT57&lt;0,"0",('Wtr-Gas'!AT57)*0.0038)</f>
        <v>0.45600000000000002</v>
      </c>
      <c r="AV55" s="228">
        <f>IF('Wtr-Gas'!AW57&lt;0,"0",('Wtr-Gas'!AW57)*0.0038)</f>
        <v>192.489</v>
      </c>
      <c r="AW55" s="228">
        <f>IF('Wtr-Gas'!AY57&lt;0,"0",('Wtr-Gas'!AY57)*0.0038)</f>
        <v>151.36676800000001</v>
      </c>
      <c r="AX55" s="228">
        <f>IF('Wtr-Gas'!AZ57&lt;0,"0",('Wtr-Gas'!AZ57)*0.0038)</f>
        <v>41.122231999999997</v>
      </c>
      <c r="AY55" s="228">
        <f>IF('Wtr-Gas'!BB57&lt;0,"0",('Wtr-Gas'!BB57)*0.0038)</f>
        <v>11.02</v>
      </c>
      <c r="AZ55" s="228">
        <f>IF('Wtr-Gas'!BD57&lt;0,"0",('Wtr-Gas'!BD57)*0.0038)</f>
        <v>1.52</v>
      </c>
      <c r="BA55" s="228">
        <f>IF('Wtr-Gas'!BF57&lt;0,"0",('Wtr-Gas'!BF57)*0.0038)</f>
        <v>1.52E-2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61</v>
      </c>
      <c r="F56" s="47">
        <f>IF(Elect!I58&lt;0,"0",Elect!I58)</f>
        <v>14240</v>
      </c>
      <c r="G56" s="47">
        <f>Elect!H58</f>
        <v>2.39</v>
      </c>
      <c r="H56" s="47">
        <f>IF(Elect!F58&lt;0,"0",Elect!F58)</f>
        <v>11840</v>
      </c>
      <c r="I56" s="47">
        <f>Elect!E58</f>
        <v>1.978</v>
      </c>
      <c r="J56" s="47">
        <f>IF(Elect!U58&lt;0,"0",Elect!U58)</f>
        <v>9000</v>
      </c>
      <c r="K56" s="47">
        <f>Elect!T58</f>
        <v>1.377</v>
      </c>
      <c r="L56" s="47">
        <f>IF(Elect!AJ58&lt;0,"0",Elect!AJ58)</f>
        <v>480</v>
      </c>
      <c r="M56" s="47">
        <f>Elect!AI58</f>
        <v>0.315</v>
      </c>
      <c r="N56" s="47">
        <f>IF(Elect!X58&lt;0,"0",Elect!X58)</f>
        <v>7200</v>
      </c>
      <c r="O56" s="47">
        <f>Elect!W58</f>
        <v>1.4330000000000001</v>
      </c>
      <c r="P56" s="47">
        <f>IF(Elect!O58&lt;0,"0",Elect!O58)</f>
        <v>3200</v>
      </c>
      <c r="Q56" s="47">
        <f>Elect!N58</f>
        <v>2.78</v>
      </c>
      <c r="R56" s="47">
        <f>IF(Elect!L58&lt;0,"0",Elect!L58)</f>
        <v>3600</v>
      </c>
      <c r="S56" s="47">
        <f>Elect!K58</f>
        <v>3.07</v>
      </c>
      <c r="T56" s="47">
        <f>IF(Elect!R58&lt;0,"0",Elect!R58)</f>
        <v>3600</v>
      </c>
      <c r="U56" s="47">
        <f>Elect!Q58</f>
        <v>2.96</v>
      </c>
      <c r="V56" s="47">
        <f>IF(Elect!AA58&lt;0,"0",Elect!AA58)</f>
        <v>1600</v>
      </c>
      <c r="W56" s="47">
        <f>Elect!Z58</f>
        <v>2.65</v>
      </c>
      <c r="X56" s="47">
        <f>IF(Elect!AD58&lt;0,"0",Elect!AD58)</f>
        <v>800</v>
      </c>
      <c r="Y56" s="47">
        <f>Elect!AC58</f>
        <v>1.89</v>
      </c>
      <c r="Z56" s="47">
        <f>IF(Elect!AG58&lt;0,"0",Elect!AG58)</f>
        <v>15000</v>
      </c>
      <c r="AA56" s="47">
        <f>Elect!AF58</f>
        <v>2.2519999999999998</v>
      </c>
      <c r="AB56" s="47">
        <f>IF(Elect!AX58&lt;0,"0",Elect!AX58)</f>
        <v>700</v>
      </c>
      <c r="AC56" s="47">
        <f>IF(Elect!AV58&lt;0,"0",Elect!AV58)</f>
        <v>4700</v>
      </c>
      <c r="AD56" s="47">
        <f>IF(Elect!AZ58&lt;0,"0",Elect!AZ58)</f>
        <v>328</v>
      </c>
      <c r="AE56" s="47">
        <f>IF(Elect!BB58&lt;0,"0",Elect!BB58)</f>
        <v>960</v>
      </c>
      <c r="AF56" s="228">
        <f>IF('Wtr-Gas'!E58&lt;0,"0",('Wtr-Gas'!E58)*0.0038)</f>
        <v>1079.4659999999999</v>
      </c>
      <c r="AG56" s="228">
        <f>IF('Wtr-Gas'!H58&lt;0,"0",('Wtr-Gas'!H58)*0.0038)</f>
        <v>151.392</v>
      </c>
      <c r="AH56" s="228">
        <f>IF('Wtr-Gas'!K58&lt;0,"0",('Wtr-Gas'!K58)*0.0038)</f>
        <v>0.56999999999999995</v>
      </c>
      <c r="AI56" s="228">
        <f>IF('Wtr-Gas'!N58&lt;0,"0",('Wtr-Gas'!N58)*0.0038)</f>
        <v>699.2</v>
      </c>
      <c r="AJ56" s="228">
        <f>IF('Wtr-Gas'!Q58&lt;0,"0",('Wtr-Gas'!Q58)*0.0038)</f>
        <v>41.04</v>
      </c>
      <c r="AK56" s="229">
        <f>IF('Wtr-Gas'!U58&lt;0,"0",('Wtr-Gas'!U58)*0.0038)</f>
        <v>270.18</v>
      </c>
      <c r="AL56" s="229">
        <f>IF('Wtr-Gas'!X58&lt;0,"0",('Wtr-Gas'!X58)*0.0038)</f>
        <v>5657.44</v>
      </c>
      <c r="AM56" s="228">
        <f>IF('Wtr-Gas'!AB58&lt;0,"0",('Wtr-Gas'!AB58)*0.0038)</f>
        <v>1026</v>
      </c>
      <c r="AN56" s="228">
        <f>IF('Wtr-Gas'!AD58&lt;0,"0",('Wtr-Gas'!AD58)*0.0038)</f>
        <v>478.952</v>
      </c>
      <c r="AO56" s="228">
        <f>IF('Wtr-Gas'!AF58&lt;0,"0",('Wtr-Gas'!AF58)*0.0038)</f>
        <v>1.3680000000000001</v>
      </c>
      <c r="AP56" s="228">
        <f>IF('Wtr-Gas'!AH58&lt;0,"0",('Wtr-Gas'!AH58)*0.0038)</f>
        <v>59.887999999999998</v>
      </c>
      <c r="AQ56" s="228">
        <f>IF('Wtr-Gas'!AJ58&lt;0,"0",('Wtr-Gas'!AJ58)*0.0038)</f>
        <v>10.0852</v>
      </c>
      <c r="AR56" s="228">
        <f>IF('Wtr-Gas'!AL58&lt;0,"0",('Wtr-Gas'!AL58)*0.0038)</f>
        <v>224.2</v>
      </c>
      <c r="AS56" s="228">
        <f>IF('Wtr-Gas'!AN58&lt;0,"0",('Wtr-Gas'!AN58)*0.0038)</f>
        <v>1.14E-2</v>
      </c>
      <c r="AT56" s="228">
        <f>IF('Wtr-Gas'!AP58&lt;0,"0",('Wtr-Gas'!AP58)*0.0038)</f>
        <v>14.06</v>
      </c>
      <c r="AU56" s="249">
        <f>IF('Wtr-Gas'!AT58&lt;0,"0",('Wtr-Gas'!AT58)*0.0038)</f>
        <v>0.1938</v>
      </c>
      <c r="AV56" s="228">
        <f>IF('Wtr-Gas'!AW58&lt;0,"0",('Wtr-Gas'!AW58)*0.0038)</f>
        <v>78.340800000000002</v>
      </c>
      <c r="AW56" s="228">
        <f>IF('Wtr-Gas'!AY58&lt;0,"0",('Wtr-Gas'!AY58)*0.0038)</f>
        <v>64.864062000000004</v>
      </c>
      <c r="AX56" s="228">
        <f>IF('Wtr-Gas'!AZ58&lt;0,"0",('Wtr-Gas'!AZ58)*0.0038)</f>
        <v>13.476737999999994</v>
      </c>
      <c r="AY56" s="228">
        <f>IF('Wtr-Gas'!BB58&lt;0,"0",('Wtr-Gas'!BB58)*0.0038)</f>
        <v>4.9400000000000004</v>
      </c>
      <c r="AZ56" s="228">
        <f>IF('Wtr-Gas'!BD58&lt;0,"0",('Wtr-Gas'!BD58)*0.0038)</f>
        <v>0.38</v>
      </c>
      <c r="BA56" s="228">
        <f>IF('Wtr-Gas'!BF58&lt;0,"0",('Wtr-Gas'!BF58)*0.0038)</f>
        <v>0.98799999999999999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524</v>
      </c>
      <c r="F57" s="47">
        <f>IF(Elect!I59&lt;0,"0",Elect!I59)</f>
        <v>35520</v>
      </c>
      <c r="G57" s="47">
        <f>Elect!H59</f>
        <v>2.39</v>
      </c>
      <c r="H57" s="47">
        <f>IF(Elect!F59&lt;0,"0",Elect!F59)</f>
        <v>29440</v>
      </c>
      <c r="I57" s="47">
        <f>Elect!E59</f>
        <v>1.978</v>
      </c>
      <c r="J57" s="47">
        <f>IF(Elect!U59&lt;0,"0",Elect!U59)</f>
        <v>31200</v>
      </c>
      <c r="K57" s="47">
        <f>Elect!T59</f>
        <v>1.7849999999999999</v>
      </c>
      <c r="L57" s="47">
        <f>IF(Elect!AJ59&lt;0,"0",Elect!AJ59)</f>
        <v>1080</v>
      </c>
      <c r="M57" s="47">
        <f>Elect!AI59</f>
        <v>0.315</v>
      </c>
      <c r="N57" s="47">
        <f>IF(Elect!X59&lt;0,"0",Elect!X59)</f>
        <v>25800</v>
      </c>
      <c r="O57" s="47">
        <f>Elect!W59</f>
        <v>1.641</v>
      </c>
      <c r="P57" s="47">
        <f>IF(Elect!O59&lt;0,"0",Elect!O59)</f>
        <v>8800</v>
      </c>
      <c r="Q57" s="47">
        <f>Elect!N59</f>
        <v>2.78</v>
      </c>
      <c r="R57" s="47">
        <f>IF(Elect!L59&lt;0,"0",Elect!L59)</f>
        <v>8800</v>
      </c>
      <c r="S57" s="47">
        <f>Elect!K59</f>
        <v>3.07</v>
      </c>
      <c r="T57" s="47">
        <f>IF(Elect!R59&lt;0,"0",Elect!R59)</f>
        <v>8000</v>
      </c>
      <c r="U57" s="47">
        <f>Elect!Q59</f>
        <v>2.96</v>
      </c>
      <c r="V57" s="47">
        <f>IF(Elect!AA59&lt;0,"0",Elect!AA59)</f>
        <v>4480</v>
      </c>
      <c r="W57" s="47">
        <f>Elect!Z59</f>
        <v>3.24</v>
      </c>
      <c r="X57" s="47">
        <f>IF(Elect!AD59&lt;0,"0",Elect!AD59)</f>
        <v>3040</v>
      </c>
      <c r="Y57" s="47">
        <f>Elect!AC59</f>
        <v>2.74</v>
      </c>
      <c r="Z57" s="47">
        <f>IF(Elect!AG59&lt;0,"0",Elect!AG59)</f>
        <v>36200</v>
      </c>
      <c r="AA57" s="47">
        <f>Elect!AF59</f>
        <v>2.2519999999999998</v>
      </c>
      <c r="AB57" s="47">
        <f>IF(Elect!AX59&lt;0,"0",Elect!AX59)</f>
        <v>900</v>
      </c>
      <c r="AC57" s="47">
        <f>IF(Elect!AV59&lt;0,"0",Elect!AV59)</f>
        <v>7100</v>
      </c>
      <c r="AD57" s="47">
        <f>IF(Elect!AZ59&lt;0,"0",Elect!AZ59)</f>
        <v>452</v>
      </c>
      <c r="AE57" s="47">
        <f>IF(Elect!BB59&lt;0,"0",Elect!BB59)</f>
        <v>1240</v>
      </c>
      <c r="AF57" s="228">
        <f>IF('Wtr-Gas'!E59&lt;0,"0",('Wtr-Gas'!E59)*0.0038)</f>
        <v>3186.87</v>
      </c>
      <c r="AG57" s="228">
        <f>IF('Wtr-Gas'!H59&lt;0,"0",('Wtr-Gas'!H59)*0.0038)</f>
        <v>307.87599999999998</v>
      </c>
      <c r="AH57" s="228">
        <f>IF('Wtr-Gas'!K59&lt;0,"0",('Wtr-Gas'!K59)*0.0038)</f>
        <v>0.26600000000000001</v>
      </c>
      <c r="AI57" s="228">
        <f>IF('Wtr-Gas'!N59&lt;0,"0",('Wtr-Gas'!N59)*0.0038)</f>
        <v>2238.1999999999998</v>
      </c>
      <c r="AJ57" s="228">
        <f>IF('Wtr-Gas'!Q59&lt;0,"0",('Wtr-Gas'!Q59)*0.0038)</f>
        <v>100.7</v>
      </c>
      <c r="AK57" s="229">
        <f>IF('Wtr-Gas'!U59&lt;0,"0",('Wtr-Gas'!U59)*0.0038)</f>
        <v>704.14</v>
      </c>
      <c r="AL57" s="229">
        <f>IF('Wtr-Gas'!X59&lt;0,"0",('Wtr-Gas'!X59)*0.0038)</f>
        <v>441.56</v>
      </c>
      <c r="AM57" s="228">
        <f>IF('Wtr-Gas'!AB59&lt;0,"0",('Wtr-Gas'!AB59)*0.0038)</f>
        <v>3572</v>
      </c>
      <c r="AN57" s="228">
        <f>IF('Wtr-Gas'!AD59&lt;0,"0",('Wtr-Gas'!AD59)*0.0038)</f>
        <v>1121.3420000000001</v>
      </c>
      <c r="AO57" s="228">
        <f>IF('Wtr-Gas'!AF59&lt;0,"0",('Wtr-Gas'!AF59)*0.0038)</f>
        <v>6.0039999999999996</v>
      </c>
      <c r="AP57" s="228">
        <f>IF('Wtr-Gas'!AH59&lt;0,"0",('Wtr-Gas'!AH59)*0.0038)</f>
        <v>212.154</v>
      </c>
      <c r="AQ57" s="228">
        <f>IF('Wtr-Gas'!AJ59&lt;0,"0",('Wtr-Gas'!AJ59)*0.0038)</f>
        <v>25.8704</v>
      </c>
      <c r="AR57" s="228">
        <f>IF('Wtr-Gas'!AL59&lt;0,"0",('Wtr-Gas'!AL59)*0.0038)</f>
        <v>490.2</v>
      </c>
      <c r="AS57" s="228">
        <f>IF('Wtr-Gas'!AN59&lt;0,"0",('Wtr-Gas'!AN59)*0.0038)</f>
        <v>1.9E-2</v>
      </c>
      <c r="AT57" s="228">
        <f>IF('Wtr-Gas'!AP59&lt;0,"0",('Wtr-Gas'!AP59)*0.0038)</f>
        <v>12.54</v>
      </c>
      <c r="AU57" s="249">
        <f>IF('Wtr-Gas'!AT59&lt;0,"0",('Wtr-Gas'!AT59)*0.0038)</f>
        <v>0.26979999999999998</v>
      </c>
      <c r="AV57" s="228">
        <f>IF('Wtr-Gas'!AW59&lt;0,"0",('Wtr-Gas'!AW59)*0.0038)</f>
        <v>109.39060000000001</v>
      </c>
      <c r="AW57" s="228">
        <f>IF('Wtr-Gas'!AY59&lt;0,"0",('Wtr-Gas'!AY59)*0.0038)</f>
        <v>84.772186000000005</v>
      </c>
      <c r="AX57" s="228">
        <f>IF('Wtr-Gas'!AZ59&lt;0,"0",('Wtr-Gas'!AZ59)*0.0038)</f>
        <v>24.618413999999994</v>
      </c>
      <c r="AY57" s="228">
        <f>IF('Wtr-Gas'!BB59&lt;0,"0",('Wtr-Gas'!BB59)*0.0038)</f>
        <v>6.84</v>
      </c>
      <c r="AZ57" s="228">
        <f>IF('Wtr-Gas'!BD59&lt;0,"0",('Wtr-Gas'!BD59)*0.0038)</f>
        <v>0.76</v>
      </c>
      <c r="BA57" s="228">
        <f>IF('Wtr-Gas'!BF59&lt;0,"0",('Wtr-Gas'!BF59)*0.0038)</f>
        <v>2.2800000000000001E-2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608</v>
      </c>
      <c r="F58" s="47">
        <f>IF(Elect!I60&lt;0,"0",Elect!I60)</f>
        <v>48480</v>
      </c>
      <c r="G58" s="47">
        <f>Elect!H60</f>
        <v>2.39</v>
      </c>
      <c r="H58" s="47">
        <f>IF(Elect!F60&lt;0,"0",Elect!F60)</f>
        <v>41120</v>
      </c>
      <c r="I58" s="47">
        <f>Elect!E60</f>
        <v>1.978</v>
      </c>
      <c r="J58" s="47">
        <f>IF(Elect!U60&lt;0,"0",Elect!U60)</f>
        <v>48600</v>
      </c>
      <c r="K58" s="47">
        <f>Elect!T60</f>
        <v>1.7849999999999999</v>
      </c>
      <c r="L58" s="47">
        <f>IF(Elect!AJ60&lt;0,"0",Elect!AJ60)</f>
        <v>1560</v>
      </c>
      <c r="M58" s="47">
        <f>Elect!AI60</f>
        <v>0.315</v>
      </c>
      <c r="N58" s="47">
        <f>IF(Elect!X60&lt;0,"0",Elect!X60)</f>
        <v>69900</v>
      </c>
      <c r="O58" s="47">
        <f>Elect!W60</f>
        <v>1.9379999999999999</v>
      </c>
      <c r="P58" s="47">
        <f>IF(Elect!O60&lt;0,"0",Elect!O60)</f>
        <v>12400</v>
      </c>
      <c r="Q58" s="47">
        <f>Elect!N60</f>
        <v>2.78</v>
      </c>
      <c r="R58" s="47">
        <f>IF(Elect!L60&lt;0,"0",Elect!L60)</f>
        <v>12000</v>
      </c>
      <c r="S58" s="47">
        <f>Elect!K60</f>
        <v>3.07</v>
      </c>
      <c r="T58" s="47">
        <f>IF(Elect!R60&lt;0,"0",Elect!R60)</f>
        <v>10800</v>
      </c>
      <c r="U58" s="47">
        <f>Elect!Q60</f>
        <v>2.96</v>
      </c>
      <c r="V58" s="47">
        <f>IF(Elect!AA60&lt;0,"0",Elect!AA60)</f>
        <v>6400</v>
      </c>
      <c r="W58" s="47">
        <f>Elect!Z60</f>
        <v>3.31</v>
      </c>
      <c r="X58" s="47">
        <f>IF(Elect!AD60&lt;0,"0",Elect!AD60)</f>
        <v>4480</v>
      </c>
      <c r="Y58" s="47">
        <f>Elect!AC60</f>
        <v>2.83</v>
      </c>
      <c r="Z58" s="47">
        <f>IF(Elect!AG60&lt;0,"0",Elect!AG60)</f>
        <v>48400</v>
      </c>
      <c r="AA58" s="47">
        <f>Elect!AF60</f>
        <v>2.2519999999999998</v>
      </c>
      <c r="AB58" s="47">
        <f>IF(Elect!AX60&lt;0,"0",Elect!AX60)</f>
        <v>1600</v>
      </c>
      <c r="AC58" s="47">
        <f>IF(Elect!AV60&lt;0,"0",Elect!AV60)</f>
        <v>14300</v>
      </c>
      <c r="AD58" s="47">
        <f>IF(Elect!AZ60&lt;0,"0",Elect!AZ60)</f>
        <v>759</v>
      </c>
      <c r="AE58" s="47">
        <f>IF(Elect!BB60&lt;0,"0",Elect!BB60)</f>
        <v>2440</v>
      </c>
      <c r="AF58" s="228">
        <f>IF('Wtr-Gas'!E60&lt;0,"0",('Wtr-Gas'!E60)*0.0038)</f>
        <v>4709.4539999999997</v>
      </c>
      <c r="AG58" s="228">
        <f>IF('Wtr-Gas'!H60&lt;0,"0",('Wtr-Gas'!H60)*0.0038)</f>
        <v>341.65800000000002</v>
      </c>
      <c r="AH58" s="228">
        <f>IF('Wtr-Gas'!K60&lt;0,"0",('Wtr-Gas'!K60)*0.0038)</f>
        <v>0.83599999999999997</v>
      </c>
      <c r="AI58" s="228">
        <f>IF('Wtr-Gas'!N60&lt;0,"0",('Wtr-Gas'!N60)*0.0038)</f>
        <v>3332.6</v>
      </c>
      <c r="AJ58" s="228">
        <f>IF('Wtr-Gas'!Q60&lt;0,"0",('Wtr-Gas'!Q60)*0.0038)</f>
        <v>143.26</v>
      </c>
      <c r="AK58" s="229">
        <f>IF('Wtr-Gas'!U60&lt;0,"0",('Wtr-Gas'!U60)*0.0038)</f>
        <v>927.2</v>
      </c>
      <c r="AL58" s="229">
        <f>IF('Wtr-Gas'!X60&lt;0,"0",('Wtr-Gas'!X60)*0.0038)</f>
        <v>3541.6</v>
      </c>
      <c r="AM58" s="228">
        <f>IF('Wtr-Gas'!AB60&lt;0,"0",('Wtr-Gas'!AB60)*0.0038)</f>
        <v>7904</v>
      </c>
      <c r="AN58" s="228">
        <f>IF('Wtr-Gas'!AD60&lt;0,"0",('Wtr-Gas'!AD60)*0.0038)</f>
        <v>2261.3420000000001</v>
      </c>
      <c r="AO58" s="228">
        <f>IF('Wtr-Gas'!AF60&lt;0,"0",('Wtr-Gas'!AF60)*0.0038)</f>
        <v>9.5</v>
      </c>
      <c r="AP58" s="228">
        <f>IF('Wtr-Gas'!AH60&lt;0,"0",('Wtr-Gas'!AH60)*0.0038)</f>
        <v>278.464</v>
      </c>
      <c r="AQ58" s="228">
        <f>IF('Wtr-Gas'!AJ60&lt;0,"0",('Wtr-Gas'!AJ60)*0.0038)</f>
        <v>48.883200000000002</v>
      </c>
      <c r="AR58" s="228">
        <f>IF('Wtr-Gas'!AL60&lt;0,"0",('Wtr-Gas'!AL60)*0.0038)</f>
        <v>691.6</v>
      </c>
      <c r="AS58" s="228">
        <f>IF('Wtr-Gas'!AN60&lt;0,"0",('Wtr-Gas'!AN60)*0.0038)</f>
        <v>1.9E-2</v>
      </c>
      <c r="AT58" s="228">
        <f>IF('Wtr-Gas'!AP60&lt;0,"0",('Wtr-Gas'!AP60)*0.0038)</f>
        <v>16.34</v>
      </c>
      <c r="AU58" s="249">
        <f>IF('Wtr-Gas'!AT60&lt;0,"0",('Wtr-Gas'!AT60)*0.0038)</f>
        <v>0.49399999999999999</v>
      </c>
      <c r="AV58" s="228">
        <f>IF('Wtr-Gas'!AW60&lt;0,"0",('Wtr-Gas'!AW60)*0.0038)</f>
        <v>192.84620000000001</v>
      </c>
      <c r="AW58" s="228">
        <f>IF('Wtr-Gas'!AY60&lt;0,"0",('Wtr-Gas'!AY60)*0.0038)</f>
        <v>147.91575999999998</v>
      </c>
      <c r="AX58" s="228">
        <f>IF('Wtr-Gas'!AZ60&lt;0,"0",('Wtr-Gas'!AZ60)*0.0038)</f>
        <v>44.930440000000011</v>
      </c>
      <c r="AY58" s="228">
        <f>IF('Wtr-Gas'!BB60&lt;0,"0",('Wtr-Gas'!BB60)*0.0038)</f>
        <v>14.82</v>
      </c>
      <c r="AZ58" s="228">
        <f>IF('Wtr-Gas'!BD60&lt;0,"0",('Wtr-Gas'!BD60)*0.0038)</f>
        <v>0.76</v>
      </c>
      <c r="BA58" s="228">
        <f>IF('Wtr-Gas'!BF60&lt;0,"0",('Wtr-Gas'!BF60)*0.0038)</f>
        <v>0.51300000000000001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599</v>
      </c>
      <c r="F59" s="47">
        <f>IF(Elect!I61&lt;0,"0",Elect!I61)</f>
        <v>47520</v>
      </c>
      <c r="G59" s="47">
        <f>Elect!H61</f>
        <v>2.39</v>
      </c>
      <c r="H59" s="47">
        <f>IF(Elect!F61&lt;0,"0",Elect!F61)</f>
        <v>41120</v>
      </c>
      <c r="I59" s="47">
        <f>Elect!E61</f>
        <v>1.978</v>
      </c>
      <c r="J59" s="47">
        <f>IF(Elect!U61&lt;0,"0",Elect!U61)</f>
        <v>51300</v>
      </c>
      <c r="K59" s="47">
        <f>Elect!T61</f>
        <v>1.8340000000000001</v>
      </c>
      <c r="L59" s="47">
        <f>IF(Elect!AJ61&lt;0,"0",Elect!AJ61)</f>
        <v>1560</v>
      </c>
      <c r="M59" s="47">
        <f>Elect!AI61</f>
        <v>0.315</v>
      </c>
      <c r="N59" s="47">
        <f>IF(Elect!X61&lt;0,"0",Elect!X61)</f>
        <v>76500</v>
      </c>
      <c r="O59" s="47">
        <f>Elect!W61</f>
        <v>2.1680000000000001</v>
      </c>
      <c r="P59" s="47">
        <f>IF(Elect!O61&lt;0,"0",Elect!O61)</f>
        <v>11600</v>
      </c>
      <c r="Q59" s="47">
        <f>Elect!N61</f>
        <v>2.78</v>
      </c>
      <c r="R59" s="47">
        <f>IF(Elect!L61&lt;0,"0",Elect!L61)</f>
        <v>12800</v>
      </c>
      <c r="S59" s="47">
        <f>Elect!K61</f>
        <v>3.07</v>
      </c>
      <c r="T59" s="47">
        <f>IF(Elect!R61&lt;0,"0",Elect!R61)</f>
        <v>11600</v>
      </c>
      <c r="U59" s="47">
        <f>Elect!Q61</f>
        <v>2.96</v>
      </c>
      <c r="V59" s="47">
        <f>IF(Elect!AA61&lt;0,"0",Elect!AA61)</f>
        <v>6400</v>
      </c>
      <c r="W59" s="47">
        <f>Elect!Z61</f>
        <v>3.76</v>
      </c>
      <c r="X59" s="47">
        <f>IF(Elect!AD61&lt;0,"0",Elect!AD61)</f>
        <v>4160</v>
      </c>
      <c r="Y59" s="47">
        <f>Elect!AC61</f>
        <v>3.07</v>
      </c>
      <c r="Z59" s="47">
        <f>IF(Elect!AG61&lt;0,"0",Elect!AG61)</f>
        <v>50600</v>
      </c>
      <c r="AA59" s="47">
        <f>Elect!AF61</f>
        <v>2.2519999999999998</v>
      </c>
      <c r="AB59" s="47">
        <f>IF(Elect!AX61&lt;0,"0",Elect!AX61)</f>
        <v>1500</v>
      </c>
      <c r="AC59" s="47">
        <f>IF(Elect!AV61&lt;0,"0",Elect!AV61)</f>
        <v>12500</v>
      </c>
      <c r="AD59" s="47">
        <f>IF(Elect!AZ61&lt;0,"0",Elect!AZ61)</f>
        <v>778</v>
      </c>
      <c r="AE59" s="47">
        <f>IF(Elect!BB61&lt;0,"0",Elect!BB61)</f>
        <v>1200</v>
      </c>
      <c r="AF59" s="228">
        <f>IF('Wtr-Gas'!E61&lt;0,"0",('Wtr-Gas'!E61)*0.0038)</f>
        <v>5086.49</v>
      </c>
      <c r="AG59" s="228">
        <f>IF('Wtr-Gas'!H61&lt;0,"0",('Wtr-Gas'!H61)*0.0038)</f>
        <v>550.84799999999996</v>
      </c>
      <c r="AH59" s="228">
        <f>IF('Wtr-Gas'!K61&lt;0,"0",('Wtr-Gas'!K61)*0.0038)</f>
        <v>0.874</v>
      </c>
      <c r="AI59" s="228">
        <f>IF('Wtr-Gas'!N61&lt;0,"0",('Wtr-Gas'!N61)*0.0038)</f>
        <v>3689.8</v>
      </c>
      <c r="AJ59" s="228">
        <f>IF('Wtr-Gas'!Q61&lt;0,"0",('Wtr-Gas'!Q61)*0.0038)</f>
        <v>145.16</v>
      </c>
      <c r="AK59" s="229">
        <f>IF('Wtr-Gas'!U61&lt;0,"0",('Wtr-Gas'!U61)*0.0038)</f>
        <v>961.78</v>
      </c>
      <c r="AL59" s="229">
        <f>IF('Wtr-Gas'!X61&lt;0,"0",('Wtr-Gas'!X61)*0.0038)</f>
        <v>3716.4</v>
      </c>
      <c r="AM59" s="228">
        <f>IF('Wtr-Gas'!AB61&lt;0,"0",('Wtr-Gas'!AB61)*0.0038)</f>
        <v>9044</v>
      </c>
      <c r="AN59" s="228">
        <f>IF('Wtr-Gas'!AD61&lt;0,"0",('Wtr-Gas'!AD61)*0.0038)</f>
        <v>2614.9699999999998</v>
      </c>
      <c r="AO59" s="228">
        <f>IF('Wtr-Gas'!AF61&lt;0,"0",('Wtr-Gas'!AF61)*0.0038)</f>
        <v>8.702</v>
      </c>
      <c r="AP59" s="228">
        <f>IF('Wtr-Gas'!AH61&lt;0,"0",('Wtr-Gas'!AH61)*0.0038)</f>
        <v>308.06599999999997</v>
      </c>
      <c r="AQ59" s="228">
        <f>IF('Wtr-Gas'!AJ61&lt;0,"0",('Wtr-Gas'!AJ61)*0.0038)</f>
        <v>42.499200000000002</v>
      </c>
      <c r="AR59" s="228">
        <f>IF('Wtr-Gas'!AL61&lt;0,"0",('Wtr-Gas'!AL61)*0.0038)</f>
        <v>714.4</v>
      </c>
      <c r="AS59" s="228">
        <f>IF('Wtr-Gas'!AN61&lt;0,"0",('Wtr-Gas'!AN61)*0.0038)</f>
        <v>2.2800000000000001E-2</v>
      </c>
      <c r="AT59" s="228">
        <f>IF('Wtr-Gas'!AP61&lt;0,"0",('Wtr-Gas'!AP61)*0.0038)</f>
        <v>25.08</v>
      </c>
      <c r="AU59" s="249">
        <f>IF('Wtr-Gas'!AT61&lt;0,"0",('Wtr-Gas'!AT61)*0.0038)</f>
        <v>0</v>
      </c>
      <c r="AV59" s="228">
        <f>IF('Wtr-Gas'!AW61&lt;0,"0",('Wtr-Gas'!AW61)*0.0038)</f>
        <v>202.18279999999999</v>
      </c>
      <c r="AW59" s="228">
        <f>IF('Wtr-Gas'!AY61&lt;0,"0",('Wtr-Gas'!AY61)*0.0038)</f>
        <v>221.62785600000001</v>
      </c>
      <c r="AX59" s="228" t="str">
        <f>IF('Wtr-Gas'!AZ61&lt;0,"0",('Wtr-Gas'!AZ61)*0.0038)</f>
        <v>0</v>
      </c>
      <c r="AY59" s="228">
        <f>IF('Wtr-Gas'!BB61&lt;0,"0",('Wtr-Gas'!BB61)*0.0038)</f>
        <v>9.5</v>
      </c>
      <c r="AZ59" s="228">
        <f>IF('Wtr-Gas'!BD61&lt;0,"0",('Wtr-Gas'!BD61)*0.0038)</f>
        <v>0.95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648</v>
      </c>
      <c r="F60" s="47">
        <f>IF(Elect!I62&lt;0,"0",Elect!I62)</f>
        <v>52000</v>
      </c>
      <c r="G60" s="47">
        <f>Elect!H62</f>
        <v>2.5649999999999999</v>
      </c>
      <c r="H60" s="47">
        <f>IF(Elect!F62&lt;0,"0",Elect!F62)</f>
        <v>42400</v>
      </c>
      <c r="I60" s="47">
        <f>Elect!E62</f>
        <v>1.8779999999999999</v>
      </c>
      <c r="J60" s="47">
        <f>IF(Elect!U62&lt;0,"0",Elect!U62)</f>
        <v>23700</v>
      </c>
      <c r="K60" s="47">
        <f>Elect!T62</f>
        <v>1.3640000000000001</v>
      </c>
      <c r="L60" s="47">
        <f>IF(Elect!AJ62&lt;0,"0",Elect!AJ62)</f>
        <v>1520</v>
      </c>
      <c r="M60" s="47">
        <f>Elect!AI62</f>
        <v>0.29399999999999998</v>
      </c>
      <c r="N60" s="47">
        <f>IF(Elect!X62&lt;0,"0",Elect!X62)</f>
        <v>50100</v>
      </c>
      <c r="O60" s="47">
        <f>Elect!W62</f>
        <v>1.671</v>
      </c>
      <c r="P60" s="47">
        <f>IF(Elect!O62&lt;0,"0",Elect!O62)</f>
        <v>13200</v>
      </c>
      <c r="Q60" s="47">
        <f>Elect!N62</f>
        <v>2.73</v>
      </c>
      <c r="R60" s="47">
        <f>IF(Elect!L62&lt;0,"0",Elect!L62)</f>
        <v>13600</v>
      </c>
      <c r="S60" s="47">
        <f>Elect!K62</f>
        <v>3.65</v>
      </c>
      <c r="T60" s="47">
        <f>IF(Elect!R62&lt;0,"0",Elect!R62)</f>
        <v>12800</v>
      </c>
      <c r="U60" s="47">
        <f>Elect!Q62</f>
        <v>3.73</v>
      </c>
      <c r="V60" s="47">
        <f>IF(Elect!AA62&lt;0,"0",Elect!AA62)</f>
        <v>5280</v>
      </c>
      <c r="W60" s="47">
        <f>Elect!Z62</f>
        <v>2.71</v>
      </c>
      <c r="X60" s="47">
        <f>IF(Elect!AD62&lt;0,"0",Elect!AD62)</f>
        <v>3360</v>
      </c>
      <c r="Y60" s="47">
        <f>Elect!AC62</f>
        <v>1.87</v>
      </c>
      <c r="Z60" s="47">
        <f>IF(Elect!AG62&lt;0,"0",Elect!AG62)</f>
        <v>55200</v>
      </c>
      <c r="AA60" s="47">
        <f>Elect!AF62</f>
        <v>2.1659999999999999</v>
      </c>
      <c r="AB60" s="47">
        <f>IF(Elect!AX62&lt;0,"0",Elect!AX62)</f>
        <v>1600</v>
      </c>
      <c r="AC60" s="47">
        <f>IF(Elect!AV62&lt;0,"0",Elect!AV62)</f>
        <v>14000</v>
      </c>
      <c r="AD60" s="47">
        <f>IF(Elect!AZ62&lt;0,"0",Elect!AZ62)</f>
        <v>755</v>
      </c>
      <c r="AE60" s="47">
        <f>IF(Elect!BB62&lt;0,"0",Elect!BB62)</f>
        <v>1280</v>
      </c>
      <c r="AF60" s="228">
        <f>IF('Wtr-Gas'!E62&lt;0,"0",('Wtr-Gas'!E62)*0.0038)</f>
        <v>4480.2</v>
      </c>
      <c r="AG60" s="228">
        <f>IF('Wtr-Gas'!H62&lt;0,"0",('Wtr-Gas'!H62)*0.0038)</f>
        <v>295.488</v>
      </c>
      <c r="AH60" s="228">
        <f>IF('Wtr-Gas'!K62&lt;0,"0",('Wtr-Gas'!K62)*0.0038)</f>
        <v>0.79800000000000004</v>
      </c>
      <c r="AI60" s="228">
        <f>IF('Wtr-Gas'!N62&lt;0,"0",('Wtr-Gas'!N62)*0.0038)</f>
        <v>3173</v>
      </c>
      <c r="AJ60" s="228">
        <f>IF('Wtr-Gas'!Q62&lt;0,"0",('Wtr-Gas'!Q62)*0.0038)</f>
        <v>145.91999999999999</v>
      </c>
      <c r="AK60" s="229">
        <f>IF('Wtr-Gas'!U62&lt;0,"0",('Wtr-Gas'!U62)*0.0038)</f>
        <v>975.46</v>
      </c>
      <c r="AL60" s="229">
        <f>IF('Wtr-Gas'!X62&lt;0,"0",('Wtr-Gas'!X62)*0.0038)</f>
        <v>6216.8</v>
      </c>
      <c r="AM60" s="228">
        <f>IF('Wtr-Gas'!AB62&lt;0,"0",('Wtr-Gas'!AB62)*0.0038)</f>
        <v>4788</v>
      </c>
      <c r="AN60" s="228">
        <f>IF('Wtr-Gas'!AD62&lt;0,"0",('Wtr-Gas'!AD62)*0.0038)</f>
        <v>1678.498</v>
      </c>
      <c r="AO60" s="228">
        <f>IF('Wtr-Gas'!AF62&lt;0,"0",('Wtr-Gas'!AF62)*0.0038)</f>
        <v>4.4080000000000004</v>
      </c>
      <c r="AP60" s="228">
        <f>IF('Wtr-Gas'!AH62&lt;0,"0",('Wtr-Gas'!AH62)*0.0038)</f>
        <v>297.04599999999999</v>
      </c>
      <c r="AQ60" s="228">
        <f>IF('Wtr-Gas'!AJ62&lt;0,"0",('Wtr-Gas'!AJ62)*0.0038)</f>
        <v>36.324199999999998</v>
      </c>
      <c r="AR60" s="228">
        <f>IF('Wtr-Gas'!AL62&lt;0,"0",('Wtr-Gas'!AL62)*0.0038)</f>
        <v>600.4</v>
      </c>
      <c r="AS60" s="228">
        <f>IF('Wtr-Gas'!AN62&lt;0,"0",('Wtr-Gas'!AN62)*0.0038)</f>
        <v>4.1799999999999997E-2</v>
      </c>
      <c r="AT60" s="228">
        <f>IF('Wtr-Gas'!AP62&lt;0,"0",('Wtr-Gas'!AP62)*0.0038)</f>
        <v>6.08</v>
      </c>
      <c r="AU60" s="249">
        <f>IF('Wtr-Gas'!AT62&lt;0,"0",('Wtr-Gas'!AT62)*0.0038)</f>
        <v>1.0336000000000001</v>
      </c>
      <c r="AV60" s="228">
        <f>IF('Wtr-Gas'!AW62&lt;0,"0",('Wtr-Gas'!AW62)*0.0038)</f>
        <v>184.06059999999999</v>
      </c>
      <c r="AW60" s="228">
        <f>IF('Wtr-Gas'!AY62&lt;0,"0",('Wtr-Gas'!AY62)*0.0038)</f>
        <v>78.91273799999999</v>
      </c>
      <c r="AX60" s="228">
        <f>IF('Wtr-Gas'!AZ62&lt;0,"0",('Wtr-Gas'!AZ62)*0.0038)</f>
        <v>105.147862</v>
      </c>
      <c r="AY60" s="228">
        <f>IF('Wtr-Gas'!BB62&lt;0,"0",('Wtr-Gas'!BB62)*0.0038)</f>
        <v>9.5</v>
      </c>
      <c r="AZ60" s="228">
        <f>IF('Wtr-Gas'!BD62&lt;0,"0",('Wtr-Gas'!BD62)*0.0038)</f>
        <v>0.95</v>
      </c>
      <c r="BA60" s="228">
        <f>IF('Wtr-Gas'!BF62&lt;0,"0",('Wtr-Gas'!BF62)*0.0038)</f>
        <v>8.3599999999999994E-2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 t="str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 t="str">
        <f>IF('Wtr-Gas'!E63&lt;0,"0",('Wtr-Gas'!E63)*0.0038)</f>
        <v>0</v>
      </c>
      <c r="AG61" s="228" t="str">
        <f>IF('Wtr-Gas'!H63&lt;0,"0",('Wtr-Gas'!H63)*0.0038)</f>
        <v>0</v>
      </c>
      <c r="AH61" s="228" t="str">
        <f>IF('Wtr-Gas'!K63&lt;0,"0",('Wtr-Gas'!K63)*0.0038)</f>
        <v>0</v>
      </c>
      <c r="AI61" s="228" t="str">
        <f>IF('Wtr-Gas'!N63&lt;0,"0",('Wtr-Gas'!N63)*0.0038)</f>
        <v>0</v>
      </c>
      <c r="AJ61" s="228" t="str">
        <f>IF('Wtr-Gas'!Q63&lt;0,"0",('Wtr-Gas'!Q63)*0.0038)</f>
        <v>0</v>
      </c>
      <c r="AK61" s="229" t="str">
        <f>IF('Wtr-Gas'!U63&lt;0,"0",('Wtr-Gas'!U63)*0.0038)</f>
        <v>0</v>
      </c>
      <c r="AL61" s="229" t="str">
        <f>IF('Wtr-Gas'!X63&lt;0,"0",('Wtr-Gas'!X63)*0.0038)</f>
        <v>0</v>
      </c>
      <c r="AM61" s="228" t="str">
        <f>IF('Wtr-Gas'!AB63&lt;0,"0",('Wtr-Gas'!AB63)*0.0038)</f>
        <v>0</v>
      </c>
      <c r="AN61" s="228" t="str">
        <f>IF('Wtr-Gas'!AD63&lt;0,"0",('Wtr-Gas'!AD63)*0.0038)</f>
        <v>0</v>
      </c>
      <c r="AO61" s="228" t="str">
        <f>IF('Wtr-Gas'!AF63&lt;0,"0",('Wtr-Gas'!AF63)*0.0038)</f>
        <v>0</v>
      </c>
      <c r="AP61" s="228" t="str">
        <f>IF('Wtr-Gas'!AH63&lt;0,"0",('Wtr-Gas'!AH63)*0.0038)</f>
        <v>0</v>
      </c>
      <c r="AQ61" s="228" t="str">
        <f>IF('Wtr-Gas'!AJ63&lt;0,"0",('Wtr-Gas'!AJ63)*0.0038)</f>
        <v>0</v>
      </c>
      <c r="AR61" s="228" t="str">
        <f>IF('Wtr-Gas'!AL63&lt;0,"0",('Wtr-Gas'!AL63)*0.0038)</f>
        <v>0</v>
      </c>
      <c r="AS61" s="228" t="str">
        <f>IF('Wtr-Gas'!AN63&lt;0,"0",('Wtr-Gas'!AN63)*0.0038)</f>
        <v>0</v>
      </c>
      <c r="AT61" s="228" t="str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307">
        <v>74860172</v>
      </c>
      <c r="C4" s="308"/>
      <c r="D4" s="307">
        <v>74860173</v>
      </c>
      <c r="E4" s="308"/>
      <c r="F4" s="307">
        <v>44553004</v>
      </c>
      <c r="G4" s="308"/>
      <c r="H4" s="307">
        <v>70275191</v>
      </c>
      <c r="I4" s="308"/>
      <c r="J4" s="307">
        <v>2130521</v>
      </c>
      <c r="K4" s="308"/>
      <c r="L4" s="307" t="s">
        <v>169</v>
      </c>
      <c r="M4" s="308"/>
      <c r="N4" s="315">
        <v>93477704</v>
      </c>
      <c r="O4" s="316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91" t="s">
        <v>183</v>
      </c>
      <c r="C6" s="292"/>
      <c r="D6" s="291" t="s">
        <v>184</v>
      </c>
      <c r="E6" s="292"/>
      <c r="F6" s="291" t="s">
        <v>185</v>
      </c>
      <c r="G6" s="292"/>
      <c r="H6" s="291" t="s">
        <v>186</v>
      </c>
      <c r="I6" s="292"/>
      <c r="J6" s="291" t="s">
        <v>187</v>
      </c>
      <c r="K6" s="292"/>
      <c r="L6" s="291" t="s">
        <v>188</v>
      </c>
      <c r="M6" s="292"/>
      <c r="N6" s="139" t="s">
        <v>189</v>
      </c>
      <c r="O6" s="140"/>
      <c r="S6" s="141"/>
    </row>
    <row r="7" spans="1:19" ht="26.25" customHeight="1" x14ac:dyDescent="0.5">
      <c r="A7" s="142"/>
      <c r="B7" s="293"/>
      <c r="C7" s="293"/>
      <c r="D7" s="293"/>
      <c r="E7" s="293"/>
      <c r="F7" s="293"/>
      <c r="G7" s="293"/>
      <c r="H7" s="293"/>
      <c r="I7" s="293"/>
      <c r="J7" s="285"/>
      <c r="K7" s="286"/>
      <c r="L7" s="285"/>
      <c r="M7" s="286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98">
        <v>85492530</v>
      </c>
      <c r="C9" s="299"/>
      <c r="D9" s="298">
        <v>79305675</v>
      </c>
      <c r="E9" s="299"/>
      <c r="F9" s="298">
        <v>79190041</v>
      </c>
      <c r="G9" s="299"/>
      <c r="H9" s="298" t="s">
        <v>49</v>
      </c>
      <c r="I9" s="299"/>
      <c r="J9" s="298">
        <v>79190039</v>
      </c>
      <c r="K9" s="299"/>
      <c r="L9" s="298">
        <v>79324776</v>
      </c>
      <c r="M9" s="299"/>
      <c r="N9" s="148"/>
      <c r="O9" s="149"/>
    </row>
    <row r="10" spans="1:19" x14ac:dyDescent="0.25">
      <c r="B10" s="307" t="s">
        <v>146</v>
      </c>
      <c r="C10" s="308"/>
      <c r="D10" s="307" t="s">
        <v>146</v>
      </c>
      <c r="E10" s="308"/>
      <c r="F10" s="307" t="s">
        <v>150</v>
      </c>
      <c r="G10" s="308"/>
      <c r="H10" s="307" t="s">
        <v>150</v>
      </c>
      <c r="I10" s="308"/>
      <c r="J10" s="307" t="s">
        <v>154</v>
      </c>
      <c r="K10" s="308"/>
      <c r="L10" s="307" t="s">
        <v>155</v>
      </c>
      <c r="M10" s="308"/>
      <c r="N10" s="311" t="s">
        <v>190</v>
      </c>
      <c r="O10" s="312"/>
    </row>
    <row r="11" spans="1:19" x14ac:dyDescent="0.25">
      <c r="B11" s="291" t="s">
        <v>191</v>
      </c>
      <c r="C11" s="292"/>
      <c r="D11" s="291" t="s">
        <v>192</v>
      </c>
      <c r="E11" s="292"/>
      <c r="F11" s="291" t="s">
        <v>153</v>
      </c>
      <c r="G11" s="292"/>
      <c r="H11" s="291" t="s">
        <v>193</v>
      </c>
      <c r="I11" s="292"/>
      <c r="J11" s="291" t="s">
        <v>193</v>
      </c>
      <c r="K11" s="292"/>
      <c r="L11" s="291" t="s">
        <v>153</v>
      </c>
      <c r="M11" s="292"/>
      <c r="N11" s="313" t="s">
        <v>194</v>
      </c>
      <c r="O11" s="314"/>
    </row>
    <row r="12" spans="1:19" ht="29.25" customHeight="1" x14ac:dyDescent="0.5">
      <c r="A12" s="142"/>
      <c r="B12" s="293"/>
      <c r="C12" s="293"/>
      <c r="D12" s="293"/>
      <c r="E12" s="293"/>
      <c r="F12" s="293"/>
      <c r="G12" s="293"/>
      <c r="H12" s="293"/>
      <c r="I12" s="293"/>
      <c r="J12" s="285"/>
      <c r="K12" s="286"/>
      <c r="L12" s="285"/>
      <c r="M12" s="286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309" t="s">
        <v>195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135"/>
      <c r="O14" s="136"/>
    </row>
    <row r="15" spans="1:19" x14ac:dyDescent="0.25">
      <c r="B15" s="307" t="s">
        <v>72</v>
      </c>
      <c r="C15" s="308"/>
      <c r="D15" s="307" t="s">
        <v>76</v>
      </c>
      <c r="E15" s="308"/>
      <c r="F15" s="307" t="s">
        <v>80</v>
      </c>
      <c r="G15" s="308"/>
      <c r="H15" s="307" t="s">
        <v>84</v>
      </c>
      <c r="I15" s="308"/>
      <c r="J15" s="307" t="s">
        <v>88</v>
      </c>
      <c r="K15" s="308"/>
      <c r="L15" s="300"/>
      <c r="M15" s="301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302" t="s">
        <v>198</v>
      </c>
      <c r="C20" s="303"/>
      <c r="D20" s="303"/>
      <c r="E20" s="303"/>
      <c r="F20" s="303"/>
      <c r="G20" s="303"/>
      <c r="H20" s="303"/>
      <c r="I20" s="304"/>
      <c r="J20" s="305" t="s">
        <v>150</v>
      </c>
      <c r="K20" s="303"/>
      <c r="L20" s="303"/>
      <c r="M20" s="303"/>
      <c r="N20" s="303"/>
      <c r="O20" s="161"/>
    </row>
    <row r="21" spans="1:15" x14ac:dyDescent="0.25">
      <c r="B21" s="298" t="s">
        <v>93</v>
      </c>
      <c r="C21" s="299"/>
      <c r="D21" s="298" t="s">
        <v>97</v>
      </c>
      <c r="E21" s="299"/>
      <c r="F21" s="298" t="s">
        <v>100</v>
      </c>
      <c r="G21" s="299"/>
      <c r="H21" s="298" t="s">
        <v>104</v>
      </c>
      <c r="I21" s="299"/>
      <c r="J21" s="306" t="s">
        <v>108</v>
      </c>
      <c r="K21" s="306"/>
      <c r="L21" s="298" t="s">
        <v>112</v>
      </c>
      <c r="M21" s="299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294" t="s">
        <v>199</v>
      </c>
      <c r="C26" s="295"/>
      <c r="D26" s="294" t="s">
        <v>200</v>
      </c>
      <c r="E26" s="295"/>
      <c r="F26" s="164"/>
      <c r="G26" s="164"/>
      <c r="H26" s="164"/>
      <c r="I26" s="164"/>
      <c r="J26" s="296">
        <v>112014001775</v>
      </c>
      <c r="K26" s="297"/>
      <c r="L26" s="296">
        <v>112014001771</v>
      </c>
      <c r="M26" s="297"/>
      <c r="N26" s="162"/>
      <c r="O26" s="163"/>
    </row>
    <row r="27" spans="1:15" x14ac:dyDescent="0.25">
      <c r="B27" s="298" t="s">
        <v>117</v>
      </c>
      <c r="C27" s="299"/>
      <c r="D27" s="298" t="s">
        <v>201</v>
      </c>
      <c r="E27" s="299"/>
      <c r="F27" s="147"/>
      <c r="G27" s="147"/>
      <c r="H27" s="147"/>
      <c r="I27" s="147"/>
      <c r="J27" s="298" t="s">
        <v>158</v>
      </c>
      <c r="K27" s="299"/>
      <c r="L27" s="298" t="s">
        <v>69</v>
      </c>
      <c r="M27" s="299"/>
      <c r="N27" s="165"/>
      <c r="O27" s="166"/>
    </row>
    <row r="28" spans="1:15" x14ac:dyDescent="0.25">
      <c r="B28" s="261" t="s">
        <v>116</v>
      </c>
      <c r="C28" s="261" t="s">
        <v>115</v>
      </c>
      <c r="D28" s="287" t="s">
        <v>202</v>
      </c>
      <c r="E28" s="288"/>
      <c r="F28" s="147"/>
      <c r="G28" s="147"/>
      <c r="H28" s="147"/>
      <c r="I28" s="147"/>
      <c r="J28" s="289" t="s">
        <v>203</v>
      </c>
      <c r="K28" s="290"/>
      <c r="L28" s="291" t="s">
        <v>204</v>
      </c>
      <c r="M28" s="292"/>
      <c r="N28" s="154"/>
      <c r="O28" s="155"/>
    </row>
    <row r="29" spans="1:15" x14ac:dyDescent="0.25">
      <c r="B29" s="287" t="s">
        <v>196</v>
      </c>
      <c r="C29" s="288"/>
      <c r="D29" s="287" t="s">
        <v>205</v>
      </c>
      <c r="E29" s="288"/>
      <c r="F29" s="147"/>
      <c r="G29" s="147"/>
      <c r="H29" s="147"/>
      <c r="I29" s="147"/>
      <c r="J29" s="293" t="s">
        <v>206</v>
      </c>
      <c r="K29" s="293"/>
      <c r="L29" s="293" t="s">
        <v>206</v>
      </c>
      <c r="M29" s="293"/>
      <c r="N29" s="162"/>
      <c r="O29" s="163"/>
    </row>
    <row r="30" spans="1:15" ht="33.75" x14ac:dyDescent="0.5">
      <c r="A30" s="142"/>
      <c r="B30" s="285"/>
      <c r="C30" s="286"/>
      <c r="D30" s="285"/>
      <c r="E30" s="286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25" t="s">
        <v>207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</row>
    <row r="3" spans="1:13" x14ac:dyDescent="0.25">
      <c r="B3" s="326">
        <v>73337589</v>
      </c>
      <c r="C3" s="327"/>
      <c r="D3" s="326">
        <v>65956268</v>
      </c>
      <c r="E3" s="327"/>
      <c r="F3" s="326">
        <v>1334021</v>
      </c>
      <c r="G3" s="327"/>
      <c r="H3" s="326">
        <v>63265094</v>
      </c>
      <c r="I3" s="327"/>
      <c r="J3" s="326">
        <v>80606729</v>
      </c>
      <c r="K3" s="327"/>
      <c r="L3" s="326" t="s">
        <v>113</v>
      </c>
      <c r="M3" s="327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17" t="s">
        <v>208</v>
      </c>
      <c r="C5" s="318"/>
      <c r="D5" s="317" t="s">
        <v>209</v>
      </c>
      <c r="E5" s="318"/>
      <c r="F5" s="317" t="s">
        <v>119</v>
      </c>
      <c r="G5" s="318"/>
      <c r="H5" s="317" t="s">
        <v>126</v>
      </c>
      <c r="I5" s="318"/>
      <c r="J5" s="317" t="s">
        <v>210</v>
      </c>
      <c r="K5" s="318"/>
      <c r="L5" s="317" t="s">
        <v>113</v>
      </c>
      <c r="M5" s="318"/>
    </row>
    <row r="6" spans="1:13" ht="33.75" x14ac:dyDescent="0.5">
      <c r="A6" s="142"/>
      <c r="B6" s="319"/>
      <c r="C6" s="319"/>
      <c r="D6" s="319"/>
      <c r="E6" s="319"/>
      <c r="F6" s="319"/>
      <c r="G6" s="319"/>
      <c r="H6" s="319"/>
      <c r="I6" s="319"/>
      <c r="J6" s="321"/>
      <c r="K6" s="322"/>
      <c r="L6" s="321"/>
      <c r="M6" s="322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25" t="s">
        <v>211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</row>
    <row r="9" spans="1:13" x14ac:dyDescent="0.25">
      <c r="B9" s="326" t="s">
        <v>123</v>
      </c>
      <c r="C9" s="327"/>
      <c r="D9" s="326" t="s">
        <v>120</v>
      </c>
      <c r="E9" s="327"/>
      <c r="F9" s="326"/>
      <c r="G9" s="327"/>
      <c r="H9" s="326" t="s">
        <v>212</v>
      </c>
      <c r="I9" s="327"/>
      <c r="J9" s="326" t="s">
        <v>128</v>
      </c>
      <c r="K9" s="327"/>
      <c r="L9" s="326" t="s">
        <v>113</v>
      </c>
      <c r="M9" s="327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23" t="s">
        <v>216</v>
      </c>
      <c r="K10" s="324"/>
      <c r="L10" s="30" t="s">
        <v>113</v>
      </c>
      <c r="M10" s="31" t="s">
        <v>113</v>
      </c>
    </row>
    <row r="11" spans="1:13" x14ac:dyDescent="0.25">
      <c r="B11" s="317" t="s">
        <v>208</v>
      </c>
      <c r="C11" s="318"/>
      <c r="D11" s="317" t="s">
        <v>119</v>
      </c>
      <c r="E11" s="318"/>
      <c r="F11" s="317"/>
      <c r="G11" s="318"/>
      <c r="H11" s="317" t="s">
        <v>126</v>
      </c>
      <c r="I11" s="318"/>
      <c r="J11" s="317" t="s">
        <v>129</v>
      </c>
      <c r="K11" s="318"/>
      <c r="L11" s="317" t="s">
        <v>113</v>
      </c>
      <c r="M11" s="318"/>
    </row>
    <row r="12" spans="1:13" ht="33.75" x14ac:dyDescent="0.5">
      <c r="A12" s="142"/>
      <c r="B12" s="319"/>
      <c r="C12" s="319"/>
      <c r="D12" s="319"/>
      <c r="E12" s="319"/>
      <c r="F12" s="319"/>
      <c r="G12" s="319"/>
      <c r="H12" s="320"/>
      <c r="I12" s="320"/>
      <c r="J12" s="321"/>
      <c r="K12" s="322"/>
      <c r="L12" s="321"/>
      <c r="M12" s="322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25" t="s">
        <v>217</v>
      </c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</row>
    <row r="15" spans="1:13" x14ac:dyDescent="0.25">
      <c r="B15" s="326" t="s">
        <v>218</v>
      </c>
      <c r="C15" s="327"/>
      <c r="D15" s="326" t="s">
        <v>219</v>
      </c>
      <c r="E15" s="327"/>
      <c r="F15" s="326" t="s">
        <v>220</v>
      </c>
      <c r="G15" s="327"/>
      <c r="H15" s="326" t="s">
        <v>221</v>
      </c>
      <c r="I15" s="327"/>
      <c r="J15" s="326" t="s">
        <v>222</v>
      </c>
      <c r="K15" s="327"/>
      <c r="L15" s="326" t="s">
        <v>223</v>
      </c>
      <c r="M15" s="327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23" t="s">
        <v>113</v>
      </c>
      <c r="K16" s="324"/>
      <c r="L16" s="30" t="s">
        <v>113</v>
      </c>
      <c r="M16" s="31" t="s">
        <v>113</v>
      </c>
    </row>
    <row r="17" spans="1:13" x14ac:dyDescent="0.25">
      <c r="B17" s="317" t="s">
        <v>224</v>
      </c>
      <c r="C17" s="318"/>
      <c r="D17" s="317" t="s">
        <v>119</v>
      </c>
      <c r="E17" s="318"/>
      <c r="F17" s="317" t="s">
        <v>119</v>
      </c>
      <c r="G17" s="318"/>
      <c r="H17" s="317" t="s">
        <v>225</v>
      </c>
      <c r="I17" s="318"/>
      <c r="J17" s="317" t="s">
        <v>119</v>
      </c>
      <c r="K17" s="318"/>
      <c r="L17" s="317" t="s">
        <v>119</v>
      </c>
      <c r="M17" s="318"/>
    </row>
    <row r="18" spans="1:13" ht="33.75" x14ac:dyDescent="0.5">
      <c r="A18" s="142"/>
      <c r="B18" s="319"/>
      <c r="C18" s="319"/>
      <c r="D18" s="319"/>
      <c r="E18" s="319"/>
      <c r="F18" s="319"/>
      <c r="G18" s="319"/>
      <c r="H18" s="320"/>
      <c r="I18" s="320"/>
      <c r="J18" s="321"/>
      <c r="K18" s="322"/>
      <c r="L18" s="321"/>
      <c r="M18" s="322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34">
        <v>73337589</v>
      </c>
      <c r="BZ20" s="334"/>
      <c r="CA20" s="334"/>
      <c r="CB20" s="334"/>
      <c r="CC20" s="334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32">
        <v>44553004</v>
      </c>
      <c r="AZ21" s="332"/>
      <c r="BA21" s="332"/>
      <c r="BB21" s="332"/>
      <c r="BC21" s="332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32">
        <v>65956268</v>
      </c>
      <c r="CM21" s="332"/>
      <c r="CN21" s="332"/>
      <c r="CO21" s="332"/>
      <c r="CP21" s="332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33">
        <v>74860172</v>
      </c>
      <c r="AB24" s="333"/>
      <c r="AC24" s="333"/>
      <c r="AD24" s="333"/>
      <c r="AE24" s="333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33">
        <v>70275191</v>
      </c>
      <c r="AZ27" s="333"/>
      <c r="BA27" s="333"/>
      <c r="BB27" s="333"/>
      <c r="BC27" s="333"/>
      <c r="BD27" s="31"/>
      <c r="BS27" s="31"/>
      <c r="BX27" s="30"/>
      <c r="BY27" s="334">
        <v>1334021</v>
      </c>
      <c r="BZ27" s="334"/>
      <c r="CA27" s="334"/>
      <c r="CB27" s="334"/>
      <c r="CC27" s="334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34">
        <v>67327447</v>
      </c>
      <c r="CL30" s="334"/>
      <c r="CM30" s="334"/>
      <c r="CN30" s="334"/>
      <c r="CO30" s="334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33">
        <v>74860173</v>
      </c>
      <c r="AB31" s="333"/>
      <c r="AC31" s="333"/>
      <c r="AD31" s="333"/>
      <c r="AE31" s="333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34">
        <v>63265094</v>
      </c>
      <c r="BZ34" s="334"/>
      <c r="CA34" s="334"/>
      <c r="CB34" s="334"/>
      <c r="CC34" s="334"/>
      <c r="CD34" s="31"/>
    </row>
    <row r="35" spans="3:82" x14ac:dyDescent="0.25">
      <c r="AL35" s="31"/>
      <c r="AS35" s="31"/>
      <c r="AW35" s="31"/>
      <c r="AY35" s="333">
        <v>2130521</v>
      </c>
      <c r="AZ35" s="333"/>
      <c r="BA35" s="333"/>
      <c r="BB35" s="333"/>
      <c r="BC35" s="333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28"/>
      <c r="E36" s="328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33">
        <v>79177804</v>
      </c>
      <c r="AZ42" s="333"/>
      <c r="BA42" s="333"/>
      <c r="BB42" s="333"/>
      <c r="BC42" s="333"/>
      <c r="BD42" s="31"/>
      <c r="BJ42" s="31"/>
      <c r="BL42" t="s">
        <v>277</v>
      </c>
      <c r="BP42" s="31"/>
    </row>
    <row r="43" spans="3:82" x14ac:dyDescent="0.25">
      <c r="V43" s="31"/>
      <c r="Z43" s="30"/>
      <c r="AA43" s="330">
        <v>93477704</v>
      </c>
      <c r="AB43" s="331"/>
      <c r="AC43" s="331"/>
      <c r="AD43" s="331"/>
      <c r="AE43" s="331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32">
        <v>79305675</v>
      </c>
      <c r="BM43" s="332"/>
      <c r="BN43" s="332"/>
      <c r="BO43" s="332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33">
        <v>79190041</v>
      </c>
      <c r="AZ49" s="333"/>
      <c r="BA49" s="333"/>
      <c r="BB49" s="333"/>
      <c r="BC49" s="333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33">
        <v>79190039</v>
      </c>
      <c r="AZ56" s="333"/>
      <c r="BA56" s="333"/>
      <c r="BB56" s="333"/>
      <c r="BC56" s="333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33">
        <v>79324776</v>
      </c>
      <c r="AZ63" s="333"/>
      <c r="BA63" s="333"/>
      <c r="BB63" s="333"/>
      <c r="BC63" s="333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29" t="s">
        <v>160</v>
      </c>
      <c r="AZ71" s="329"/>
      <c r="BA71" s="329"/>
      <c r="BB71" s="329"/>
      <c r="BC71" s="329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29" t="s">
        <v>162</v>
      </c>
      <c r="AZ78" s="329"/>
      <c r="BA78" s="329"/>
      <c r="BB78" s="329"/>
      <c r="BC78" s="329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AZ37" zoomScale="115" zoomScaleNormal="115" workbookViewId="0">
      <selection activeCell="AU61" sqref="AU61:BB62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5" t="s">
        <v>72</v>
      </c>
      <c r="E1" s="336"/>
      <c r="F1" s="336"/>
      <c r="G1" s="335" t="s">
        <v>76</v>
      </c>
      <c r="H1" s="336"/>
      <c r="I1" s="336"/>
      <c r="J1" s="335" t="s">
        <v>80</v>
      </c>
      <c r="K1" s="336"/>
      <c r="L1" s="336"/>
      <c r="M1" s="335" t="s">
        <v>84</v>
      </c>
      <c r="N1" s="336"/>
      <c r="O1" s="336"/>
      <c r="P1" s="335" t="s">
        <v>88</v>
      </c>
      <c r="Q1" s="336"/>
      <c r="R1" s="336"/>
      <c r="S1" s="335" t="s">
        <v>93</v>
      </c>
      <c r="T1" s="336"/>
      <c r="U1" s="336"/>
      <c r="V1" s="335" t="s">
        <v>97</v>
      </c>
      <c r="W1" s="336"/>
      <c r="X1" s="336"/>
      <c r="Y1" s="335" t="s">
        <v>100</v>
      </c>
      <c r="Z1" s="336"/>
      <c r="AA1" s="336"/>
      <c r="AB1" s="335" t="s">
        <v>104</v>
      </c>
      <c r="AC1" s="336"/>
      <c r="AD1" s="336"/>
      <c r="AE1" s="335" t="s">
        <v>108</v>
      </c>
      <c r="AF1" s="336"/>
      <c r="AG1" s="336"/>
      <c r="AH1" s="335" t="s">
        <v>112</v>
      </c>
      <c r="AI1" s="336"/>
      <c r="AJ1" s="336"/>
      <c r="AK1" s="335" t="s">
        <v>117</v>
      </c>
      <c r="AL1" s="336"/>
      <c r="AM1" s="336"/>
      <c r="AN1" s="81"/>
      <c r="AO1" s="81"/>
      <c r="AP1" s="82" t="s">
        <v>359</v>
      </c>
      <c r="AQ1" s="82" t="s">
        <v>360</v>
      </c>
      <c r="AR1" s="82"/>
      <c r="AS1" s="81"/>
      <c r="AT1" s="81"/>
      <c r="AU1" s="335" t="s">
        <v>123</v>
      </c>
      <c r="AV1" s="336"/>
      <c r="AW1" s="335" t="s">
        <v>120</v>
      </c>
      <c r="AX1" s="336"/>
      <c r="AY1" s="335" t="s">
        <v>125</v>
      </c>
      <c r="AZ1" s="336"/>
      <c r="BA1" s="335" t="s">
        <v>361</v>
      </c>
      <c r="BB1" s="336"/>
      <c r="BC1" s="77"/>
      <c r="BD1" s="77"/>
      <c r="BE1" s="77"/>
      <c r="BF1" s="15" t="s">
        <v>196</v>
      </c>
      <c r="BG1" s="77"/>
      <c r="BJ1" s="337" t="s">
        <v>362</v>
      </c>
      <c r="BK1" s="338"/>
      <c r="BL1" s="338"/>
      <c r="BM1" s="339"/>
      <c r="BN1" s="337" t="s">
        <v>363</v>
      </c>
      <c r="BO1" s="338"/>
      <c r="BP1" s="338"/>
      <c r="BQ1" s="338"/>
      <c r="BR1" s="338"/>
      <c r="BS1" s="338"/>
      <c r="BT1" s="338"/>
      <c r="BU1" s="338"/>
      <c r="BV1" s="339"/>
      <c r="BW1" s="337" t="s">
        <v>364</v>
      </c>
      <c r="BX1" s="338"/>
      <c r="BY1" s="338"/>
      <c r="BZ1" s="338"/>
      <c r="CA1" s="338"/>
      <c r="CB1" s="338"/>
      <c r="CC1" s="338"/>
      <c r="CD1" s="338"/>
      <c r="CE1" s="339"/>
      <c r="CF1" s="337" t="s">
        <v>365</v>
      </c>
      <c r="CG1" s="338"/>
      <c r="CH1" s="338"/>
      <c r="CI1" s="338"/>
      <c r="CJ1" s="338"/>
      <c r="CK1" s="338"/>
      <c r="CL1" s="338"/>
      <c r="CM1" s="338"/>
      <c r="CN1" s="339"/>
      <c r="CO1" s="337" t="s">
        <v>366</v>
      </c>
      <c r="CP1" s="338"/>
      <c r="CQ1" s="338"/>
      <c r="CR1" s="338"/>
      <c r="CS1" s="338"/>
      <c r="CT1" s="338"/>
      <c r="CU1" s="338"/>
      <c r="CV1" s="338"/>
      <c r="CW1" s="339"/>
      <c r="CX1" s="337" t="s">
        <v>367</v>
      </c>
      <c r="CY1" s="338"/>
      <c r="CZ1" s="338"/>
      <c r="DA1" s="338"/>
      <c r="DB1" s="338"/>
      <c r="DC1" s="338"/>
      <c r="DD1" s="338"/>
      <c r="DE1" s="338"/>
      <c r="DF1" s="339"/>
      <c r="DG1" s="337" t="s">
        <v>368</v>
      </c>
      <c r="DH1" s="338"/>
      <c r="DI1" s="338"/>
      <c r="DJ1" s="338"/>
      <c r="DK1" s="338"/>
      <c r="DL1" s="338"/>
      <c r="DM1" s="338"/>
      <c r="DN1" s="338"/>
      <c r="DO1" s="339"/>
      <c r="DP1" s="337" t="s">
        <v>369</v>
      </c>
      <c r="DQ1" s="338"/>
      <c r="DR1" s="338"/>
      <c r="DS1" s="338"/>
      <c r="DT1" s="338"/>
      <c r="DU1" s="338"/>
      <c r="DV1" s="338"/>
      <c r="DW1" s="338"/>
      <c r="DX1" s="339"/>
      <c r="DY1" s="337" t="s">
        <v>370</v>
      </c>
      <c r="DZ1" s="338"/>
      <c r="EA1" s="338"/>
      <c r="EB1" s="338"/>
      <c r="EC1" s="338"/>
      <c r="ED1" s="338"/>
      <c r="EE1" s="338"/>
      <c r="EF1" s="338"/>
      <c r="EG1" s="339"/>
      <c r="EH1" s="337" t="s">
        <v>371</v>
      </c>
      <c r="EI1" s="338"/>
      <c r="EJ1" s="338"/>
      <c r="EK1" s="338"/>
      <c r="EL1" s="338"/>
      <c r="EM1" s="338"/>
      <c r="EN1" s="338"/>
      <c r="EO1" s="338"/>
      <c r="EP1" s="339"/>
      <c r="EQ1" s="337" t="s">
        <v>372</v>
      </c>
      <c r="ER1" s="338"/>
      <c r="ES1" s="338"/>
      <c r="ET1" s="338"/>
      <c r="EU1" s="338"/>
      <c r="EV1" s="338"/>
      <c r="EW1" s="338"/>
      <c r="EX1" s="338"/>
      <c r="EY1" s="339"/>
      <c r="EZ1" s="337" t="s">
        <v>373</v>
      </c>
      <c r="FA1" s="338"/>
      <c r="FB1" s="338"/>
      <c r="FC1" s="338"/>
      <c r="FD1" s="338"/>
      <c r="FE1" s="338"/>
      <c r="FF1" s="338"/>
      <c r="FG1" s="338"/>
      <c r="FH1" s="339"/>
      <c r="FI1" s="57"/>
      <c r="FJ1" s="83"/>
      <c r="FK1" s="84" t="s">
        <v>374</v>
      </c>
      <c r="FL1" s="84" t="s">
        <v>113</v>
      </c>
      <c r="FM1" s="84"/>
      <c r="FN1" s="14"/>
      <c r="FO1" s="84"/>
      <c r="FP1" s="337" t="s">
        <v>375</v>
      </c>
      <c r="FQ1" s="338"/>
      <c r="FR1" s="338"/>
      <c r="FS1" s="338"/>
      <c r="FT1" s="338"/>
      <c r="FU1" s="338"/>
      <c r="FV1" s="338"/>
      <c r="FW1" s="338"/>
      <c r="FX1" s="339"/>
      <c r="FY1" s="337" t="s">
        <v>376</v>
      </c>
      <c r="FZ1" s="338"/>
      <c r="GA1" s="338"/>
      <c r="GB1" s="338"/>
      <c r="GC1" s="338"/>
      <c r="GD1" s="338"/>
      <c r="GE1" s="338"/>
      <c r="GF1" s="338"/>
      <c r="GG1" s="339"/>
      <c r="GH1" s="337" t="s">
        <v>377</v>
      </c>
      <c r="GI1" s="338"/>
      <c r="GJ1" s="338"/>
      <c r="GK1" s="338"/>
      <c r="GL1" s="338"/>
      <c r="GM1" s="339"/>
      <c r="GN1" s="337" t="s">
        <v>378</v>
      </c>
      <c r="GO1" s="338"/>
      <c r="GP1" s="338"/>
      <c r="GQ1" s="338"/>
      <c r="GR1" s="338"/>
      <c r="GS1" s="338"/>
      <c r="GT1" s="338"/>
      <c r="GU1" s="338"/>
      <c r="GV1" s="339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21" t="s">
        <v>116</v>
      </c>
      <c r="AL2" s="322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40" t="s">
        <v>385</v>
      </c>
      <c r="BK2" s="341"/>
      <c r="BL2" s="341"/>
      <c r="BM2" s="341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21" t="s">
        <v>196</v>
      </c>
      <c r="AL3" s="322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62" si="75">SUM(J50-J49)*400</f>
        <v>10400</v>
      </c>
      <c r="M50" s="20">
        <v>11762</v>
      </c>
      <c r="N50" s="20">
        <v>2.1</v>
      </c>
      <c r="O50" s="41">
        <f t="shared" ref="O50:O62" si="76">SUM(M50-M49)*400</f>
        <v>9600</v>
      </c>
      <c r="P50" s="20">
        <v>12389</v>
      </c>
      <c r="Q50" s="20">
        <v>1.99</v>
      </c>
      <c r="R50" s="41">
        <f t="shared" ref="R50:R62" si="77">SUM(P50-P49)*400</f>
        <v>9200</v>
      </c>
      <c r="S50" s="20">
        <v>85194</v>
      </c>
      <c r="T50" s="20">
        <v>2.33</v>
      </c>
      <c r="U50" s="41">
        <f t="shared" ref="U50:U62" si="78">SUM(S50-S49)*300</f>
        <v>72300</v>
      </c>
      <c r="V50" s="20">
        <v>81676</v>
      </c>
      <c r="W50" s="20">
        <v>2.0859999999999999</v>
      </c>
      <c r="X50" s="41">
        <f t="shared" ref="X50:X62" si="79">SUM(V50-V49)*300</f>
        <v>76800</v>
      </c>
      <c r="Y50" s="20">
        <v>19308</v>
      </c>
      <c r="Z50" s="20">
        <v>3.71</v>
      </c>
      <c r="AA50" s="41">
        <f t="shared" ref="AA50:AA62" si="80">SUM(Y50-Y49)*160</f>
        <v>5760</v>
      </c>
      <c r="AB50" s="20">
        <v>12591</v>
      </c>
      <c r="AC50" s="20">
        <v>2.86</v>
      </c>
      <c r="AD50" s="41">
        <f t="shared" ref="AD50:AD62" si="81">SUM(AB50-AB49)*160</f>
        <v>3520</v>
      </c>
      <c r="AE50" s="20">
        <v>3532</v>
      </c>
      <c r="AF50" s="20">
        <v>2.1549999999999998</v>
      </c>
      <c r="AG50" s="41">
        <f t="shared" ref="AG50:AG62" si="82">SUM(AE50-AE49)*200</f>
        <v>55400</v>
      </c>
      <c r="AH50" s="20">
        <v>18967</v>
      </c>
      <c r="AI50" s="20">
        <v>0.33300000000000002</v>
      </c>
      <c r="AJ50" s="41">
        <f t="shared" ref="AJ50:AJ62" si="83">SUM(AH50-AH49)*40</f>
        <v>1640</v>
      </c>
      <c r="AK50" s="273">
        <v>89894</v>
      </c>
      <c r="AL50" s="41">
        <f t="shared" ref="AL50:AL62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62" si="87">SUM(AY50-AY49)</f>
        <v>671</v>
      </c>
      <c r="BA50" s="20">
        <v>2948</v>
      </c>
      <c r="BB50" s="41">
        <f t="shared" ref="BB50:BB62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62" si="100">SUM(AU52-AU51)*100</f>
        <v>16300</v>
      </c>
      <c r="AW52" s="20">
        <v>8853</v>
      </c>
      <c r="AX52" s="41">
        <f t="shared" ref="AX52:AX62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>
        <v>10141</v>
      </c>
      <c r="E57" s="20">
        <v>1.978</v>
      </c>
      <c r="F57" s="41">
        <f t="shared" ref="F57" si="112">SUM(D57-D56)*160</f>
        <v>41280</v>
      </c>
      <c r="G57" s="20">
        <v>8627</v>
      </c>
      <c r="H57" s="20">
        <v>2.39</v>
      </c>
      <c r="I57" s="41">
        <f t="shared" ref="I57" si="113">SUM(G57-G56)*160</f>
        <v>50560</v>
      </c>
      <c r="J57" s="20">
        <v>12135</v>
      </c>
      <c r="K57" s="20">
        <v>3.07</v>
      </c>
      <c r="L57" s="41">
        <f t="shared" si="75"/>
        <v>13200</v>
      </c>
      <c r="M57" s="20">
        <v>11953</v>
      </c>
      <c r="N57" s="20">
        <v>2.78</v>
      </c>
      <c r="O57" s="41">
        <f t="shared" si="76"/>
        <v>12400</v>
      </c>
      <c r="P57" s="20">
        <v>12585</v>
      </c>
      <c r="Q57" s="20">
        <v>2.96</v>
      </c>
      <c r="R57" s="41">
        <f t="shared" si="77"/>
        <v>12400</v>
      </c>
      <c r="S57" s="20">
        <v>86473</v>
      </c>
      <c r="T57" s="20">
        <v>1.377</v>
      </c>
      <c r="U57" s="41">
        <f t="shared" si="78"/>
        <v>33900</v>
      </c>
      <c r="V57" s="20">
        <v>82968</v>
      </c>
      <c r="W57" s="20">
        <v>1.4330000000000001</v>
      </c>
      <c r="X57" s="41">
        <f t="shared" si="79"/>
        <v>28800</v>
      </c>
      <c r="Y57" s="20">
        <v>19584</v>
      </c>
      <c r="Z57" s="20">
        <v>2.59</v>
      </c>
      <c r="AA57" s="41">
        <f t="shared" si="80"/>
        <v>4960</v>
      </c>
      <c r="AB57" s="20">
        <v>12771</v>
      </c>
      <c r="AC57" s="20">
        <v>1.89</v>
      </c>
      <c r="AD57" s="41">
        <f t="shared" si="81"/>
        <v>3040</v>
      </c>
      <c r="AE57" s="20">
        <v>5377</v>
      </c>
      <c r="AF57" s="20">
        <v>2.2519999999999998</v>
      </c>
      <c r="AG57" s="41">
        <f t="shared" si="82"/>
        <v>51200</v>
      </c>
      <c r="AH57" s="20">
        <v>19242</v>
      </c>
      <c r="AI57" s="20">
        <v>0.315</v>
      </c>
      <c r="AJ57" s="41">
        <f t="shared" si="83"/>
        <v>1520</v>
      </c>
      <c r="AK57" s="280">
        <v>94039</v>
      </c>
      <c r="AL57" s="41">
        <f t="shared" si="84"/>
        <v>611</v>
      </c>
      <c r="AM57" s="41">
        <f t="shared" si="53"/>
        <v>611</v>
      </c>
      <c r="AO57" s="41">
        <f t="shared" si="97"/>
        <v>253871</v>
      </c>
      <c r="AP57" s="20">
        <f t="shared" si="98"/>
        <v>52720</v>
      </c>
      <c r="AQ57" s="20">
        <f t="shared" si="99"/>
        <v>0.20766452253309753</v>
      </c>
      <c r="AR57" s="20"/>
      <c r="AS57" s="14"/>
      <c r="AT57" s="71">
        <f t="shared" si="111"/>
        <v>44529</v>
      </c>
      <c r="AU57" s="20">
        <v>69924</v>
      </c>
      <c r="AV57" s="41">
        <f t="shared" si="100"/>
        <v>11900</v>
      </c>
      <c r="AW57" s="20">
        <v>8931</v>
      </c>
      <c r="AX57" s="41">
        <f t="shared" si="101"/>
        <v>1500</v>
      </c>
      <c r="AY57" s="92">
        <v>68983</v>
      </c>
      <c r="AZ57" s="93">
        <f t="shared" si="87"/>
        <v>750</v>
      </c>
      <c r="BA57" s="20">
        <v>3325</v>
      </c>
      <c r="BB57" s="41">
        <f t="shared" si="88"/>
        <v>1760</v>
      </c>
      <c r="BC57" s="72"/>
      <c r="BD57" s="25">
        <f t="shared" si="21"/>
        <v>15910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>
        <f>SUM(Essbase!J341:J342)</f>
        <v>371</v>
      </c>
      <c r="D58" s="20">
        <v>10215</v>
      </c>
      <c r="E58" s="20">
        <v>1.978</v>
      </c>
      <c r="F58" s="41">
        <f t="shared" ref="F58" si="114">SUM(D58-D57)*160</f>
        <v>11840</v>
      </c>
      <c r="G58" s="20">
        <v>8716</v>
      </c>
      <c r="H58" s="20">
        <v>2.39</v>
      </c>
      <c r="I58" s="41">
        <f t="shared" ref="I58" si="115">SUM(G58-G57)*160</f>
        <v>14240</v>
      </c>
      <c r="J58" s="20">
        <v>12144</v>
      </c>
      <c r="K58" s="20">
        <v>3.07</v>
      </c>
      <c r="L58" s="41">
        <f t="shared" si="75"/>
        <v>3600</v>
      </c>
      <c r="M58" s="20">
        <v>11961</v>
      </c>
      <c r="N58" s="20">
        <v>2.78</v>
      </c>
      <c r="O58" s="41">
        <f t="shared" si="76"/>
        <v>3200</v>
      </c>
      <c r="P58" s="20">
        <v>12594</v>
      </c>
      <c r="Q58" s="20">
        <v>2.96</v>
      </c>
      <c r="R58" s="41">
        <f t="shared" si="77"/>
        <v>3600</v>
      </c>
      <c r="S58" s="20">
        <v>86503</v>
      </c>
      <c r="T58" s="20">
        <v>1.377</v>
      </c>
      <c r="U58" s="41">
        <f t="shared" si="78"/>
        <v>9000</v>
      </c>
      <c r="V58" s="20">
        <v>82992</v>
      </c>
      <c r="W58" s="20">
        <v>1.4330000000000001</v>
      </c>
      <c r="X58" s="41">
        <f t="shared" si="79"/>
        <v>7200</v>
      </c>
      <c r="Y58" s="20">
        <v>19594</v>
      </c>
      <c r="Z58" s="20">
        <v>2.65</v>
      </c>
      <c r="AA58" s="41">
        <f t="shared" si="80"/>
        <v>1600</v>
      </c>
      <c r="AB58" s="20">
        <v>12776</v>
      </c>
      <c r="AC58" s="20">
        <v>1.89</v>
      </c>
      <c r="AD58" s="41">
        <f t="shared" si="81"/>
        <v>800</v>
      </c>
      <c r="AE58" s="20">
        <v>5452</v>
      </c>
      <c r="AF58" s="20">
        <v>2.2519999999999998</v>
      </c>
      <c r="AG58" s="41">
        <f t="shared" si="82"/>
        <v>15000</v>
      </c>
      <c r="AH58" s="20">
        <v>19254</v>
      </c>
      <c r="AI58" s="20">
        <v>0.315</v>
      </c>
      <c r="AJ58" s="41">
        <f t="shared" si="83"/>
        <v>480</v>
      </c>
      <c r="AK58" s="281">
        <v>94100</v>
      </c>
      <c r="AL58" s="41">
        <f t="shared" si="84"/>
        <v>61</v>
      </c>
      <c r="AM58" s="41">
        <f t="shared" si="53"/>
        <v>61</v>
      </c>
      <c r="AO58" s="41">
        <f t="shared" si="97"/>
        <v>70621</v>
      </c>
      <c r="AP58" s="20">
        <f t="shared" si="98"/>
        <v>15480</v>
      </c>
      <c r="AQ58" s="20">
        <f t="shared" si="99"/>
        <v>0.21919825547641636</v>
      </c>
      <c r="AR58" s="20"/>
      <c r="AS58" s="14"/>
      <c r="AT58" s="71">
        <f t="shared" si="111"/>
        <v>44536</v>
      </c>
      <c r="AU58" s="20">
        <v>69971</v>
      </c>
      <c r="AV58" s="41">
        <f t="shared" si="100"/>
        <v>4700</v>
      </c>
      <c r="AW58" s="20">
        <v>8938</v>
      </c>
      <c r="AX58" s="41">
        <f t="shared" si="101"/>
        <v>700</v>
      </c>
      <c r="AY58" s="92">
        <v>69311</v>
      </c>
      <c r="AZ58" s="93">
        <f t="shared" si="87"/>
        <v>328</v>
      </c>
      <c r="BA58" s="20">
        <v>3349</v>
      </c>
      <c r="BB58" s="41">
        <f t="shared" si="88"/>
        <v>960</v>
      </c>
      <c r="BC58" s="72"/>
      <c r="BD58" s="25">
        <f t="shared" si="21"/>
        <v>6688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>
        <f>SUM(Essbase!J343:J348)</f>
        <v>1157</v>
      </c>
      <c r="D59" s="20">
        <v>10399</v>
      </c>
      <c r="E59" s="20">
        <v>1.978</v>
      </c>
      <c r="F59" s="41">
        <f t="shared" ref="F59" si="116">SUM(D59-D58)*160</f>
        <v>29440</v>
      </c>
      <c r="G59" s="20">
        <v>8938</v>
      </c>
      <c r="H59" s="20">
        <v>2.39</v>
      </c>
      <c r="I59" s="41">
        <f t="shared" ref="I59" si="117">SUM(G59-G58)*160</f>
        <v>35520</v>
      </c>
      <c r="J59" s="20">
        <v>12166</v>
      </c>
      <c r="K59" s="20">
        <v>3.07</v>
      </c>
      <c r="L59" s="41">
        <f t="shared" si="75"/>
        <v>8800</v>
      </c>
      <c r="M59" s="20">
        <v>11983</v>
      </c>
      <c r="N59" s="20">
        <v>2.78</v>
      </c>
      <c r="O59" s="41">
        <f t="shared" si="76"/>
        <v>8800</v>
      </c>
      <c r="P59" s="20">
        <v>12614</v>
      </c>
      <c r="Q59" s="20">
        <v>2.96</v>
      </c>
      <c r="R59" s="41">
        <f t="shared" si="77"/>
        <v>8000</v>
      </c>
      <c r="S59" s="20">
        <v>86607</v>
      </c>
      <c r="T59" s="20">
        <v>1.7849999999999999</v>
      </c>
      <c r="U59" s="41">
        <f t="shared" si="78"/>
        <v>31200</v>
      </c>
      <c r="V59" s="20">
        <v>83078</v>
      </c>
      <c r="W59" s="20">
        <v>1.641</v>
      </c>
      <c r="X59" s="41">
        <f t="shared" si="79"/>
        <v>25800</v>
      </c>
      <c r="Y59" s="20">
        <v>19622</v>
      </c>
      <c r="Z59" s="20">
        <v>3.24</v>
      </c>
      <c r="AA59" s="41">
        <f t="shared" si="80"/>
        <v>4480</v>
      </c>
      <c r="AB59" s="20">
        <v>12795</v>
      </c>
      <c r="AC59" s="20">
        <v>2.74</v>
      </c>
      <c r="AD59" s="41">
        <f t="shared" si="81"/>
        <v>3040</v>
      </c>
      <c r="AE59" s="20">
        <v>5633</v>
      </c>
      <c r="AF59" s="20">
        <v>2.2519999999999998</v>
      </c>
      <c r="AG59" s="41">
        <f t="shared" si="82"/>
        <v>36200</v>
      </c>
      <c r="AH59" s="20">
        <v>19281</v>
      </c>
      <c r="AI59" s="20">
        <v>0.315</v>
      </c>
      <c r="AJ59" s="41">
        <f t="shared" si="83"/>
        <v>1080</v>
      </c>
      <c r="AK59" s="282">
        <v>94624</v>
      </c>
      <c r="AL59" s="41">
        <f t="shared" si="84"/>
        <v>524</v>
      </c>
      <c r="AM59" s="41">
        <f>SUM(AK59-AK58)</f>
        <v>524</v>
      </c>
      <c r="AO59" s="41">
        <f t="shared" si="97"/>
        <v>192884</v>
      </c>
      <c r="AP59" s="20">
        <f t="shared" si="98"/>
        <v>37280</v>
      </c>
      <c r="AQ59" s="20">
        <f t="shared" si="99"/>
        <v>0.1932767881213579</v>
      </c>
      <c r="AR59" s="20"/>
      <c r="AS59" s="14"/>
      <c r="AT59" s="71">
        <v>44531</v>
      </c>
      <c r="AU59" s="20">
        <v>70042</v>
      </c>
      <c r="AV59" s="41">
        <f t="shared" si="100"/>
        <v>7100</v>
      </c>
      <c r="AW59" s="20">
        <v>8947</v>
      </c>
      <c r="AX59" s="41">
        <f t="shared" si="101"/>
        <v>900</v>
      </c>
      <c r="AY59" s="92">
        <v>69763</v>
      </c>
      <c r="AZ59" s="93">
        <f t="shared" si="87"/>
        <v>452</v>
      </c>
      <c r="BA59" s="20">
        <v>3380</v>
      </c>
      <c r="BB59" s="41">
        <f t="shared" si="88"/>
        <v>1240</v>
      </c>
      <c r="BC59" s="72"/>
      <c r="BD59" s="25">
        <f t="shared" si="21"/>
        <v>9692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>
        <f>SUM(Essbase!J349:J355)</f>
        <v>1689</v>
      </c>
      <c r="D60" s="20">
        <v>10656</v>
      </c>
      <c r="E60" s="20">
        <v>1.978</v>
      </c>
      <c r="F60" s="41">
        <f t="shared" ref="F60" si="118">SUM(D60-D59)*160</f>
        <v>41120</v>
      </c>
      <c r="G60" s="20">
        <v>9241</v>
      </c>
      <c r="H60" s="20">
        <v>2.39</v>
      </c>
      <c r="I60" s="41">
        <f t="shared" ref="I60" si="119">SUM(G60-G59)*160</f>
        <v>48480</v>
      </c>
      <c r="J60" s="20">
        <v>12196</v>
      </c>
      <c r="K60" s="20">
        <v>3.07</v>
      </c>
      <c r="L60" s="41">
        <f t="shared" si="75"/>
        <v>12000</v>
      </c>
      <c r="M60" s="20">
        <v>12014</v>
      </c>
      <c r="N60" s="20">
        <v>2.78</v>
      </c>
      <c r="O60" s="41">
        <f t="shared" si="76"/>
        <v>12400</v>
      </c>
      <c r="P60" s="20">
        <v>12641</v>
      </c>
      <c r="Q60" s="20">
        <v>2.96</v>
      </c>
      <c r="R60" s="41">
        <f t="shared" si="77"/>
        <v>10800</v>
      </c>
      <c r="S60" s="20">
        <v>86769</v>
      </c>
      <c r="T60" s="20">
        <v>1.7849999999999999</v>
      </c>
      <c r="U60" s="41">
        <f t="shared" si="78"/>
        <v>48600</v>
      </c>
      <c r="V60" s="20">
        <v>83311</v>
      </c>
      <c r="W60" s="20">
        <v>1.9379999999999999</v>
      </c>
      <c r="X60" s="41">
        <f t="shared" si="79"/>
        <v>69900</v>
      </c>
      <c r="Y60" s="20">
        <v>19662</v>
      </c>
      <c r="Z60" s="20">
        <v>3.31</v>
      </c>
      <c r="AA60" s="41">
        <f t="shared" si="80"/>
        <v>6400</v>
      </c>
      <c r="AB60" s="20">
        <v>12823</v>
      </c>
      <c r="AC60" s="20">
        <v>2.83</v>
      </c>
      <c r="AD60" s="41">
        <f t="shared" si="81"/>
        <v>4480</v>
      </c>
      <c r="AE60" s="20">
        <v>5875</v>
      </c>
      <c r="AF60" s="20">
        <v>2.2519999999999998</v>
      </c>
      <c r="AG60" s="41">
        <f t="shared" si="82"/>
        <v>48400</v>
      </c>
      <c r="AH60" s="20">
        <v>19320</v>
      </c>
      <c r="AI60" s="20">
        <v>0.315</v>
      </c>
      <c r="AJ60" s="41">
        <f t="shared" si="83"/>
        <v>1560</v>
      </c>
      <c r="AK60" s="283">
        <v>95232</v>
      </c>
      <c r="AL60" s="41">
        <f t="shared" si="84"/>
        <v>608</v>
      </c>
      <c r="AM60" s="41">
        <f t="shared" si="53"/>
        <v>608</v>
      </c>
      <c r="AO60" s="41">
        <f t="shared" si="97"/>
        <v>304748</v>
      </c>
      <c r="AP60" s="20">
        <f t="shared" si="98"/>
        <v>49960</v>
      </c>
      <c r="AQ60" s="20">
        <f t="shared" si="99"/>
        <v>0.16393872970454276</v>
      </c>
      <c r="AR60" s="20"/>
      <c r="AS60" s="14"/>
      <c r="AT60" s="71">
        <v>44537</v>
      </c>
      <c r="AU60" s="20">
        <v>70185</v>
      </c>
      <c r="AV60" s="41">
        <f t="shared" si="100"/>
        <v>14300</v>
      </c>
      <c r="AW60" s="20">
        <v>8963</v>
      </c>
      <c r="AX60" s="41">
        <f t="shared" si="101"/>
        <v>1600</v>
      </c>
      <c r="AY60" s="92">
        <v>70522</v>
      </c>
      <c r="AZ60" s="93">
        <f t="shared" si="87"/>
        <v>759</v>
      </c>
      <c r="BA60" s="20">
        <v>3441</v>
      </c>
      <c r="BB60" s="41">
        <f t="shared" si="88"/>
        <v>2440</v>
      </c>
      <c r="BC60" s="72"/>
      <c r="BD60" s="25">
        <f t="shared" si="21"/>
        <v>19099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>
        <f>SUM(Essbase!J356:J362)</f>
        <v>1425</v>
      </c>
      <c r="D61" s="20">
        <v>10913</v>
      </c>
      <c r="E61" s="20">
        <v>1.978</v>
      </c>
      <c r="F61" s="41">
        <f t="shared" ref="F61:F62" si="120">SUM(D61-D60)*160</f>
        <v>41120</v>
      </c>
      <c r="G61" s="20">
        <v>9538</v>
      </c>
      <c r="H61" s="20">
        <v>2.39</v>
      </c>
      <c r="I61" s="41">
        <f t="shared" ref="I61:I62" si="121">SUM(G61-G60)*160</f>
        <v>47520</v>
      </c>
      <c r="J61" s="20">
        <v>12228</v>
      </c>
      <c r="K61" s="20">
        <v>3.07</v>
      </c>
      <c r="L61" s="41">
        <f t="shared" si="75"/>
        <v>12800</v>
      </c>
      <c r="M61" s="20">
        <v>12043</v>
      </c>
      <c r="N61" s="20">
        <v>2.78</v>
      </c>
      <c r="O61" s="41">
        <f t="shared" si="76"/>
        <v>11600</v>
      </c>
      <c r="P61" s="20">
        <v>12670</v>
      </c>
      <c r="Q61" s="20">
        <v>2.96</v>
      </c>
      <c r="R61" s="41">
        <f t="shared" si="77"/>
        <v>11600</v>
      </c>
      <c r="S61" s="20">
        <v>86940</v>
      </c>
      <c r="T61" s="20">
        <v>1.8340000000000001</v>
      </c>
      <c r="U61" s="41">
        <f t="shared" si="78"/>
        <v>51300</v>
      </c>
      <c r="V61" s="20">
        <v>83566</v>
      </c>
      <c r="W61" s="20">
        <v>2.1680000000000001</v>
      </c>
      <c r="X61" s="41">
        <f t="shared" si="79"/>
        <v>76500</v>
      </c>
      <c r="Y61" s="20">
        <v>19702</v>
      </c>
      <c r="Z61" s="20">
        <v>3.76</v>
      </c>
      <c r="AA61" s="41">
        <f t="shared" si="80"/>
        <v>6400</v>
      </c>
      <c r="AB61" s="20">
        <v>12849</v>
      </c>
      <c r="AC61" s="20">
        <v>3.07</v>
      </c>
      <c r="AD61" s="41">
        <f t="shared" si="81"/>
        <v>4160</v>
      </c>
      <c r="AE61" s="20">
        <v>6128</v>
      </c>
      <c r="AF61" s="20">
        <v>2.2519999999999998</v>
      </c>
      <c r="AG61" s="41">
        <f t="shared" si="82"/>
        <v>50600</v>
      </c>
      <c r="AH61" s="20">
        <v>19359</v>
      </c>
      <c r="AI61" s="20">
        <v>0.315</v>
      </c>
      <c r="AJ61" s="41">
        <f t="shared" si="83"/>
        <v>1560</v>
      </c>
      <c r="AK61" s="284">
        <v>95831</v>
      </c>
      <c r="AL61" s="41">
        <f t="shared" si="84"/>
        <v>599</v>
      </c>
      <c r="AM61" s="41">
        <f t="shared" si="53"/>
        <v>599</v>
      </c>
      <c r="AO61" s="41">
        <f t="shared" si="97"/>
        <v>315759</v>
      </c>
      <c r="AP61" s="20">
        <f t="shared" si="98"/>
        <v>52160</v>
      </c>
      <c r="AQ61" s="20">
        <f t="shared" si="99"/>
        <v>0.16518927409828382</v>
      </c>
      <c r="AR61" s="20"/>
      <c r="AS61" s="14"/>
      <c r="AT61" s="71">
        <f>AT60+7</f>
        <v>44544</v>
      </c>
      <c r="AU61" s="20">
        <v>70310</v>
      </c>
      <c r="AV61" s="41">
        <f t="shared" si="100"/>
        <v>12500</v>
      </c>
      <c r="AW61" s="20">
        <v>8978</v>
      </c>
      <c r="AX61" s="41">
        <f t="shared" si="101"/>
        <v>1500</v>
      </c>
      <c r="AY61" s="92">
        <v>71300</v>
      </c>
      <c r="AZ61" s="93">
        <f t="shared" si="87"/>
        <v>778</v>
      </c>
      <c r="BA61" s="20">
        <v>3471</v>
      </c>
      <c r="BB61" s="41">
        <f t="shared" si="88"/>
        <v>1200</v>
      </c>
      <c r="BC61" s="72"/>
      <c r="BD61" s="25">
        <f t="shared" si="21"/>
        <v>15978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22">B61+7</f>
        <v>44551</v>
      </c>
      <c r="C62" s="204">
        <f>SUM(Essbase!J363:J369)</f>
        <v>1755</v>
      </c>
      <c r="D62" s="20">
        <v>11178</v>
      </c>
      <c r="E62" s="20">
        <v>1.8779999999999999</v>
      </c>
      <c r="F62" s="41">
        <f t="shared" si="120"/>
        <v>42400</v>
      </c>
      <c r="G62" s="20">
        <v>9863</v>
      </c>
      <c r="H62" s="20">
        <v>2.5649999999999999</v>
      </c>
      <c r="I62" s="41">
        <f t="shared" si="121"/>
        <v>52000</v>
      </c>
      <c r="J62" s="20">
        <v>12262</v>
      </c>
      <c r="K62" s="20">
        <v>3.65</v>
      </c>
      <c r="L62" s="41">
        <f t="shared" si="75"/>
        <v>13600</v>
      </c>
      <c r="M62" s="20">
        <v>12076</v>
      </c>
      <c r="N62" s="20">
        <v>2.73</v>
      </c>
      <c r="O62" s="41">
        <f t="shared" si="76"/>
        <v>13200</v>
      </c>
      <c r="P62" s="20">
        <v>12702</v>
      </c>
      <c r="Q62" s="20">
        <v>3.73</v>
      </c>
      <c r="R62" s="41">
        <f t="shared" si="77"/>
        <v>12800</v>
      </c>
      <c r="S62" s="20">
        <v>87019</v>
      </c>
      <c r="T62" s="20">
        <v>1.3640000000000001</v>
      </c>
      <c r="U62" s="41">
        <f t="shared" si="78"/>
        <v>23700</v>
      </c>
      <c r="V62" s="20">
        <v>83733</v>
      </c>
      <c r="W62" s="20">
        <v>1.671</v>
      </c>
      <c r="X62" s="41">
        <f t="shared" si="79"/>
        <v>50100</v>
      </c>
      <c r="Y62" s="20">
        <v>19735</v>
      </c>
      <c r="Z62" s="20">
        <v>2.71</v>
      </c>
      <c r="AA62" s="41">
        <f t="shared" si="80"/>
        <v>5280</v>
      </c>
      <c r="AB62" s="20">
        <v>12870</v>
      </c>
      <c r="AC62" s="20">
        <v>1.87</v>
      </c>
      <c r="AD62" s="41">
        <f t="shared" si="81"/>
        <v>3360</v>
      </c>
      <c r="AE62" s="20">
        <v>6404</v>
      </c>
      <c r="AF62" s="20">
        <v>2.1659999999999999</v>
      </c>
      <c r="AG62" s="41">
        <f t="shared" si="82"/>
        <v>55200</v>
      </c>
      <c r="AH62" s="20">
        <v>19397</v>
      </c>
      <c r="AI62" s="20">
        <v>0.29399999999999998</v>
      </c>
      <c r="AJ62" s="41">
        <f t="shared" si="83"/>
        <v>1520</v>
      </c>
      <c r="AK62" s="284">
        <v>96479</v>
      </c>
      <c r="AL62" s="41">
        <f t="shared" si="84"/>
        <v>648</v>
      </c>
      <c r="AM62" s="41">
        <f t="shared" si="53"/>
        <v>648</v>
      </c>
      <c r="AO62" s="41">
        <f t="shared" si="97"/>
        <v>273808</v>
      </c>
      <c r="AP62" s="20">
        <f t="shared" si="98"/>
        <v>56720</v>
      </c>
      <c r="AQ62" s="20">
        <f t="shared" si="99"/>
        <v>0.20715245719628353</v>
      </c>
      <c r="AR62" s="20"/>
      <c r="AS62" s="14"/>
      <c r="AT62" s="71">
        <f t="shared" ref="AT62:AT63" si="123">AT61+7</f>
        <v>44551</v>
      </c>
      <c r="AU62" s="20">
        <v>70450</v>
      </c>
      <c r="AV62" s="41">
        <f t="shared" si="100"/>
        <v>14000</v>
      </c>
      <c r="AW62" s="20">
        <v>8994</v>
      </c>
      <c r="AX62" s="41">
        <f t="shared" si="101"/>
        <v>1600</v>
      </c>
      <c r="AY62" s="92">
        <v>72055</v>
      </c>
      <c r="AZ62" s="93">
        <f t="shared" si="87"/>
        <v>755</v>
      </c>
      <c r="BA62" s="20">
        <v>3503</v>
      </c>
      <c r="BB62" s="41">
        <f t="shared" si="88"/>
        <v>1280</v>
      </c>
      <c r="BC62" s="72"/>
      <c r="BD62" s="25">
        <f t="shared" si="21"/>
        <v>17635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22"/>
        <v>44558</v>
      </c>
      <c r="C63" s="204">
        <f>SUM(Essbase!J370:J373)</f>
        <v>1430</v>
      </c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19"/>
      <c r="AL63" s="319"/>
      <c r="AM63" s="41">
        <f t="shared" si="53"/>
        <v>-96479</v>
      </c>
      <c r="AO63" s="41">
        <f t="shared" si="97"/>
        <v>-96479</v>
      </c>
      <c r="AP63" s="20">
        <f t="shared" si="98"/>
        <v>0</v>
      </c>
      <c r="AQ63" s="20">
        <f t="shared" si="99"/>
        <v>0</v>
      </c>
      <c r="AR63" s="20"/>
      <c r="AS63" s="14"/>
      <c r="AT63" s="71">
        <f t="shared" si="123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>
        <f t="shared" si="21"/>
        <v>0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19"/>
      <c r="AL64" s="319"/>
      <c r="AM64" s="41">
        <f t="shared" si="53"/>
        <v>0</v>
      </c>
      <c r="AO64" s="41">
        <f t="shared" si="97"/>
        <v>0</v>
      </c>
      <c r="AP64" s="20">
        <f t="shared" si="98"/>
        <v>0</v>
      </c>
      <c r="AQ64" s="20" t="e">
        <f t="shared" si="99"/>
        <v>#DIV/0!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37"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S1:U1"/>
    <mergeCell ref="V1:X1"/>
    <mergeCell ref="Y1:AA1"/>
    <mergeCell ref="AB1:AD1"/>
    <mergeCell ref="AE1:AG1"/>
    <mergeCell ref="D1:F1"/>
    <mergeCell ref="G1:I1"/>
    <mergeCell ref="J1:L1"/>
    <mergeCell ref="M1:O1"/>
    <mergeCell ref="P1:R1"/>
    <mergeCell ref="AK63:AL63"/>
    <mergeCell ref="AK64:AL64"/>
    <mergeCell ref="AH1:AJ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O13" zoomScale="85" zoomScaleNormal="85" workbookViewId="0">
      <selection activeCell="AV65" sqref="AV6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51">
        <v>74860172</v>
      </c>
      <c r="D1" s="352"/>
      <c r="E1" s="353"/>
      <c r="F1" s="351">
        <v>74860173</v>
      </c>
      <c r="G1" s="352"/>
      <c r="H1" s="353"/>
      <c r="I1" s="351">
        <v>44553004</v>
      </c>
      <c r="J1" s="352"/>
      <c r="K1" s="353"/>
      <c r="L1" s="351">
        <v>70275191</v>
      </c>
      <c r="M1" s="352"/>
      <c r="N1" s="353"/>
      <c r="O1" s="351">
        <v>2130521</v>
      </c>
      <c r="P1" s="352"/>
      <c r="Q1" s="353"/>
      <c r="R1" s="17"/>
      <c r="S1" s="354" t="s">
        <v>166</v>
      </c>
      <c r="T1" s="352"/>
      <c r="U1" s="353"/>
      <c r="V1" s="344">
        <v>93477704</v>
      </c>
      <c r="W1" s="345"/>
      <c r="X1" s="346"/>
      <c r="Y1" s="28" t="s">
        <v>405</v>
      </c>
      <c r="Z1" s="17"/>
      <c r="AA1" s="347">
        <v>79177804</v>
      </c>
      <c r="AB1" s="348"/>
      <c r="AC1" s="347">
        <v>79305675</v>
      </c>
      <c r="AD1" s="348"/>
      <c r="AE1" s="347">
        <v>79190041</v>
      </c>
      <c r="AF1" s="348"/>
      <c r="AG1" s="347" t="s">
        <v>49</v>
      </c>
      <c r="AH1" s="348"/>
      <c r="AI1" s="347">
        <v>79190039</v>
      </c>
      <c r="AJ1" s="348"/>
      <c r="AK1" s="347">
        <v>79324776</v>
      </c>
      <c r="AL1" s="348"/>
      <c r="AM1" s="347" t="s">
        <v>160</v>
      </c>
      <c r="AN1" s="348"/>
      <c r="AO1" s="347" t="s">
        <v>162</v>
      </c>
      <c r="AP1" s="348"/>
      <c r="AQ1" s="14"/>
      <c r="AS1" s="351" t="s">
        <v>218</v>
      </c>
      <c r="AT1" s="353"/>
      <c r="AU1" s="14"/>
      <c r="AV1" s="351" t="s">
        <v>55</v>
      </c>
      <c r="AW1" s="353"/>
      <c r="AX1" s="351">
        <v>65956268</v>
      </c>
      <c r="AY1" s="353"/>
      <c r="AZ1" s="29" t="s">
        <v>57</v>
      </c>
      <c r="BA1" s="351">
        <v>1334021</v>
      </c>
      <c r="BB1" s="353"/>
      <c r="BC1" s="351">
        <v>63265094</v>
      </c>
      <c r="BD1" s="353"/>
      <c r="BE1" s="351" t="s">
        <v>406</v>
      </c>
      <c r="BF1" s="353"/>
      <c r="BI1" s="347" t="s">
        <v>407</v>
      </c>
      <c r="BJ1" s="355"/>
      <c r="BK1" s="355"/>
      <c r="BL1" s="355"/>
      <c r="BM1" s="348"/>
      <c r="BN1" s="347" t="s">
        <v>408</v>
      </c>
      <c r="BO1" s="355"/>
      <c r="BP1" s="355"/>
      <c r="BQ1" s="348"/>
      <c r="BR1" s="347" t="s">
        <v>276</v>
      </c>
      <c r="BS1" s="355"/>
      <c r="BT1" s="355"/>
      <c r="BU1" s="348"/>
      <c r="BV1" s="356" t="s">
        <v>276</v>
      </c>
      <c r="BW1" s="357"/>
      <c r="BX1" s="357"/>
      <c r="BY1" s="358"/>
      <c r="BZ1" s="16" t="s">
        <v>409</v>
      </c>
      <c r="CA1" s="112" t="s">
        <v>410</v>
      </c>
      <c r="CB1" s="51"/>
      <c r="CC1" s="347" t="s">
        <v>411</v>
      </c>
      <c r="CD1" s="355"/>
      <c r="CE1" s="355"/>
      <c r="CF1" s="355"/>
      <c r="CG1" s="359" t="s">
        <v>119</v>
      </c>
      <c r="CH1" s="359"/>
      <c r="CI1" s="347" t="s">
        <v>412</v>
      </c>
      <c r="CJ1" s="355"/>
      <c r="CK1" s="355"/>
      <c r="CL1" s="348"/>
      <c r="CM1" s="113"/>
      <c r="CN1" s="347" t="s">
        <v>413</v>
      </c>
      <c r="CO1" s="355"/>
      <c r="CP1" s="355"/>
      <c r="CQ1" s="348"/>
      <c r="CR1" s="347" t="s">
        <v>414</v>
      </c>
      <c r="CS1" s="355"/>
      <c r="CT1" s="355"/>
      <c r="CU1" s="348"/>
      <c r="CV1" s="362" t="s">
        <v>415</v>
      </c>
      <c r="CW1" s="347" t="s">
        <v>416</v>
      </c>
      <c r="CX1" s="355"/>
      <c r="CY1" s="355"/>
      <c r="CZ1" s="348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26" t="s">
        <v>138</v>
      </c>
      <c r="P2" s="327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17" t="s">
        <v>424</v>
      </c>
      <c r="AB2" s="318"/>
      <c r="AC2" s="317" t="s">
        <v>425</v>
      </c>
      <c r="AD2" s="318"/>
      <c r="AE2" s="317" t="s">
        <v>426</v>
      </c>
      <c r="AF2" s="318"/>
      <c r="AG2" s="317" t="s">
        <v>427</v>
      </c>
      <c r="AH2" s="318"/>
      <c r="AI2" s="317" t="s">
        <v>286</v>
      </c>
      <c r="AJ2" s="318"/>
      <c r="AK2" s="317" t="s">
        <v>428</v>
      </c>
      <c r="AL2" s="318"/>
      <c r="AM2" s="317" t="s">
        <v>429</v>
      </c>
      <c r="AN2" s="318"/>
      <c r="AO2" s="317" t="s">
        <v>430</v>
      </c>
      <c r="AP2" s="318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17" t="s">
        <v>432</v>
      </c>
      <c r="BJ2" s="332"/>
      <c r="BK2" s="332"/>
      <c r="BL2" s="332"/>
      <c r="BM2" s="318"/>
      <c r="BN2" s="317" t="s">
        <v>433</v>
      </c>
      <c r="BO2" s="332"/>
      <c r="BP2" s="332"/>
      <c r="BQ2" s="318"/>
      <c r="BR2" s="317" t="s">
        <v>434</v>
      </c>
      <c r="BS2" s="332"/>
      <c r="BT2" s="332"/>
      <c r="BU2" s="318"/>
      <c r="BV2" s="317" t="s">
        <v>434</v>
      </c>
      <c r="BW2" s="332"/>
      <c r="BX2" s="332"/>
      <c r="BY2" s="318"/>
      <c r="BZ2" s="100" t="s">
        <v>435</v>
      </c>
      <c r="CA2" s="101" t="s">
        <v>436</v>
      </c>
      <c r="CB2" s="14"/>
      <c r="CC2" s="317" t="s">
        <v>437</v>
      </c>
      <c r="CD2" s="332"/>
      <c r="CE2" s="332"/>
      <c r="CF2" s="332"/>
      <c r="CG2" s="360" t="s">
        <v>438</v>
      </c>
      <c r="CH2" s="360" t="s">
        <v>439</v>
      </c>
      <c r="CI2" s="317" t="s">
        <v>440</v>
      </c>
      <c r="CJ2" s="332"/>
      <c r="CK2" s="332"/>
      <c r="CL2" s="318"/>
      <c r="CM2" s="362" t="s">
        <v>438</v>
      </c>
      <c r="CN2" s="317" t="s">
        <v>441</v>
      </c>
      <c r="CO2" s="332"/>
      <c r="CP2" s="332"/>
      <c r="CQ2" s="318"/>
      <c r="CR2" s="317" t="s">
        <v>442</v>
      </c>
      <c r="CS2" s="332"/>
      <c r="CT2" s="332"/>
      <c r="CU2" s="318"/>
      <c r="CV2" s="364"/>
      <c r="CW2" s="317" t="s">
        <v>443</v>
      </c>
      <c r="CX2" s="332"/>
      <c r="CY2" s="332"/>
      <c r="CZ2" s="318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17" t="s">
        <v>183</v>
      </c>
      <c r="D3" s="318"/>
      <c r="E3" s="22" t="s">
        <v>444</v>
      </c>
      <c r="F3" s="317" t="s">
        <v>184</v>
      </c>
      <c r="G3" s="318"/>
      <c r="H3" s="22" t="s">
        <v>444</v>
      </c>
      <c r="I3" s="317" t="s">
        <v>185</v>
      </c>
      <c r="J3" s="318"/>
      <c r="K3" s="22"/>
      <c r="L3" s="317" t="s">
        <v>445</v>
      </c>
      <c r="M3" s="318"/>
      <c r="N3" s="22"/>
      <c r="O3" s="317" t="s">
        <v>187</v>
      </c>
      <c r="P3" s="318"/>
      <c r="Q3" s="22" t="s">
        <v>444</v>
      </c>
      <c r="R3" s="35"/>
      <c r="S3" s="317" t="s">
        <v>446</v>
      </c>
      <c r="T3" s="318"/>
      <c r="U3" s="23"/>
      <c r="V3" s="317" t="s">
        <v>446</v>
      </c>
      <c r="W3" s="318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61"/>
      <c r="CH3" s="361"/>
      <c r="CI3" s="27" t="s">
        <v>398</v>
      </c>
      <c r="CJ3" s="263" t="s">
        <v>399</v>
      </c>
      <c r="CK3" s="27" t="s">
        <v>374</v>
      </c>
      <c r="CL3" s="102" t="s">
        <v>384</v>
      </c>
      <c r="CM3" s="363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63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9">
        <v>41067492</v>
      </c>
      <c r="D4" s="350"/>
      <c r="E4" s="232">
        <v>0</v>
      </c>
      <c r="F4" s="349">
        <v>4762937</v>
      </c>
      <c r="G4" s="350"/>
      <c r="H4" s="232">
        <v>0</v>
      </c>
      <c r="I4" s="349">
        <v>16838</v>
      </c>
      <c r="J4" s="350"/>
      <c r="K4" s="232">
        <v>0</v>
      </c>
      <c r="L4" s="349">
        <v>298034</v>
      </c>
      <c r="M4" s="350"/>
      <c r="N4" s="232">
        <v>0</v>
      </c>
      <c r="O4" s="349">
        <v>5674</v>
      </c>
      <c r="P4" s="350"/>
      <c r="Q4" s="232">
        <v>0</v>
      </c>
      <c r="R4" s="233"/>
      <c r="S4" s="349">
        <v>692861</v>
      </c>
      <c r="T4" s="350"/>
      <c r="U4" s="232">
        <v>0</v>
      </c>
      <c r="V4" s="349">
        <v>409965</v>
      </c>
      <c r="W4" s="350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42">
        <v>41120218</v>
      </c>
      <c r="D5" s="343"/>
      <c r="E5" s="36">
        <f t="shared" ref="E5:E11" si="10">SUM(C5-C4)*10</f>
        <v>527260</v>
      </c>
      <c r="F5" s="342">
        <v>4802785</v>
      </c>
      <c r="G5" s="343"/>
      <c r="H5" s="36">
        <f t="shared" ref="H5" si="11">SUM(F5-F4)*10</f>
        <v>398480</v>
      </c>
      <c r="I5" s="342">
        <v>16844</v>
      </c>
      <c r="J5" s="343"/>
      <c r="K5" s="36">
        <f t="shared" ref="K5:K6" si="12">SUM(I5-I4)*10</f>
        <v>60</v>
      </c>
      <c r="L5" s="342">
        <v>298406</v>
      </c>
      <c r="M5" s="343"/>
      <c r="N5" s="36">
        <f t="shared" ref="N5:N64" si="13">SUM(L5-L4)*1000</f>
        <v>372000</v>
      </c>
      <c r="O5" s="342">
        <v>5752</v>
      </c>
      <c r="P5" s="343"/>
      <c r="Q5" s="36">
        <f t="shared" ref="Q5:Q27" si="14">SUM(O5-O4)*100</f>
        <v>7800</v>
      </c>
      <c r="R5" s="37"/>
      <c r="S5" s="342">
        <v>693978</v>
      </c>
      <c r="T5" s="343"/>
      <c r="U5" s="36">
        <f t="shared" ref="U5:U27" si="15">SUM(S5-S4)*100</f>
        <v>111700</v>
      </c>
      <c r="V5" s="342">
        <v>415680</v>
      </c>
      <c r="W5" s="343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42">
        <v>41203342</v>
      </c>
      <c r="D6" s="343"/>
      <c r="E6" s="36">
        <f t="shared" si="10"/>
        <v>831240</v>
      </c>
      <c r="F6" s="342">
        <v>4831226</v>
      </c>
      <c r="G6" s="343"/>
      <c r="H6" s="36">
        <f t="shared" ref="H6" si="18">SUM(F6-F5)*10</f>
        <v>284410</v>
      </c>
      <c r="I6" s="342">
        <v>16872</v>
      </c>
      <c r="J6" s="343"/>
      <c r="K6" s="36">
        <f t="shared" si="12"/>
        <v>280</v>
      </c>
      <c r="L6" s="342">
        <v>298860</v>
      </c>
      <c r="M6" s="343"/>
      <c r="N6" s="36">
        <f t="shared" si="13"/>
        <v>454000</v>
      </c>
      <c r="O6" s="342">
        <v>5962</v>
      </c>
      <c r="P6" s="343"/>
      <c r="Q6" s="36">
        <f t="shared" si="14"/>
        <v>21000</v>
      </c>
      <c r="R6" s="37"/>
      <c r="S6" s="342">
        <v>695965</v>
      </c>
      <c r="T6" s="343"/>
      <c r="U6" s="36">
        <f t="shared" si="15"/>
        <v>198700</v>
      </c>
      <c r="V6" s="342">
        <v>436482</v>
      </c>
      <c r="W6" s="343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42">
        <v>41286715</v>
      </c>
      <c r="D7" s="343"/>
      <c r="E7" s="36">
        <f t="shared" si="10"/>
        <v>833730</v>
      </c>
      <c r="F7" s="342">
        <v>4858480</v>
      </c>
      <c r="G7" s="343"/>
      <c r="H7" s="36">
        <f t="shared" ref="H7" si="20">SUM(F7-F6)*10</f>
        <v>272540</v>
      </c>
      <c r="I7" s="342">
        <v>16902</v>
      </c>
      <c r="J7" s="343"/>
      <c r="K7" s="36">
        <f t="shared" ref="K7" si="21">SUM(I7-I6)*10</f>
        <v>300</v>
      </c>
      <c r="L7" s="342">
        <v>299340</v>
      </c>
      <c r="M7" s="343"/>
      <c r="N7" s="36">
        <f t="shared" si="13"/>
        <v>480000</v>
      </c>
      <c r="O7" s="342">
        <v>6179</v>
      </c>
      <c r="P7" s="343"/>
      <c r="Q7" s="36">
        <f t="shared" si="14"/>
        <v>21700</v>
      </c>
      <c r="R7" s="37"/>
      <c r="S7" s="342">
        <v>697993</v>
      </c>
      <c r="T7" s="343"/>
      <c r="U7" s="36">
        <f t="shared" si="15"/>
        <v>202800</v>
      </c>
      <c r="V7" s="342">
        <v>455710</v>
      </c>
      <c r="W7" s="343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42">
        <v>41389319</v>
      </c>
      <c r="D8" s="343"/>
      <c r="E8" s="36">
        <f t="shared" si="10"/>
        <v>1026040</v>
      </c>
      <c r="F8" s="342">
        <v>4884847</v>
      </c>
      <c r="G8" s="343"/>
      <c r="H8" s="36">
        <f t="shared" ref="H8:H9" si="22">SUM(F8-F7)*10</f>
        <v>263670</v>
      </c>
      <c r="I8" s="342">
        <v>16956</v>
      </c>
      <c r="J8" s="343"/>
      <c r="K8" s="36">
        <f t="shared" ref="K8:K9" si="23">SUM(I8-I7)*10</f>
        <v>540</v>
      </c>
      <c r="L8" s="342">
        <v>299990</v>
      </c>
      <c r="M8" s="343"/>
      <c r="N8" s="36">
        <f t="shared" si="13"/>
        <v>650000</v>
      </c>
      <c r="O8" s="342">
        <v>6441</v>
      </c>
      <c r="P8" s="343"/>
      <c r="Q8" s="36">
        <f t="shared" si="14"/>
        <v>26200</v>
      </c>
      <c r="R8" s="37"/>
      <c r="S8" s="342">
        <v>700375</v>
      </c>
      <c r="T8" s="343"/>
      <c r="U8" s="36">
        <f t="shared" si="15"/>
        <v>238200</v>
      </c>
      <c r="V8" s="342">
        <v>473300</v>
      </c>
      <c r="W8" s="343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42">
        <v>41493266</v>
      </c>
      <c r="D9" s="343"/>
      <c r="E9" s="36">
        <f t="shared" si="10"/>
        <v>1039470</v>
      </c>
      <c r="F9" s="342">
        <v>4905120</v>
      </c>
      <c r="G9" s="343"/>
      <c r="H9" s="36">
        <f t="shared" si="22"/>
        <v>202730</v>
      </c>
      <c r="I9" s="342">
        <v>16988</v>
      </c>
      <c r="J9" s="343"/>
      <c r="K9" s="36">
        <f t="shared" si="23"/>
        <v>320</v>
      </c>
      <c r="L9" s="342">
        <v>300667</v>
      </c>
      <c r="M9" s="343"/>
      <c r="N9" s="36">
        <f t="shared" si="13"/>
        <v>677000</v>
      </c>
      <c r="O9" s="342">
        <v>6680</v>
      </c>
      <c r="P9" s="343"/>
      <c r="Q9" s="36">
        <f t="shared" si="14"/>
        <v>23900</v>
      </c>
      <c r="R9" s="37"/>
      <c r="S9" s="342">
        <v>702411</v>
      </c>
      <c r="T9" s="343"/>
      <c r="U9" s="36">
        <f t="shared" si="15"/>
        <v>203600</v>
      </c>
      <c r="V9" s="342">
        <v>488510</v>
      </c>
      <c r="W9" s="343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42">
        <v>41582675</v>
      </c>
      <c r="D10" s="343"/>
      <c r="E10" s="36">
        <f t="shared" si="10"/>
        <v>894090</v>
      </c>
      <c r="F10" s="342">
        <v>4923577</v>
      </c>
      <c r="G10" s="343"/>
      <c r="H10" s="36">
        <f t="shared" ref="H10" si="25">SUM(F10-F9)*10</f>
        <v>184570</v>
      </c>
      <c r="I10" s="342">
        <v>17009</v>
      </c>
      <c r="J10" s="343"/>
      <c r="K10" s="36">
        <f>SUM(I10-I9)*10</f>
        <v>210</v>
      </c>
      <c r="L10" s="342">
        <v>301233</v>
      </c>
      <c r="M10" s="343"/>
      <c r="N10" s="36">
        <f t="shared" si="13"/>
        <v>566000</v>
      </c>
      <c r="O10" s="342">
        <v>6901</v>
      </c>
      <c r="P10" s="343"/>
      <c r="Q10" s="36">
        <f t="shared" si="14"/>
        <v>22100</v>
      </c>
      <c r="R10" s="37"/>
      <c r="S10" s="342">
        <v>704509</v>
      </c>
      <c r="T10" s="343"/>
      <c r="U10" s="36">
        <f t="shared" si="15"/>
        <v>209800</v>
      </c>
      <c r="V10" s="342">
        <v>506180</v>
      </c>
      <c r="W10" s="343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42">
        <v>41680144</v>
      </c>
      <c r="D11" s="343"/>
      <c r="E11" s="36">
        <f t="shared" si="10"/>
        <v>974690</v>
      </c>
      <c r="F11" s="342">
        <v>4948299</v>
      </c>
      <c r="G11" s="343"/>
      <c r="H11" s="36">
        <f t="shared" ref="H11:H13" si="26">SUM(F11-F10)*10</f>
        <v>247220</v>
      </c>
      <c r="I11" s="342">
        <v>17080</v>
      </c>
      <c r="J11" s="343"/>
      <c r="K11" s="36">
        <f t="shared" ref="K11:K64" si="27">SUM(I11-I10)*10</f>
        <v>710</v>
      </c>
      <c r="L11" s="342">
        <v>302004</v>
      </c>
      <c r="M11" s="343"/>
      <c r="N11" s="36">
        <f t="shared" si="13"/>
        <v>771000</v>
      </c>
      <c r="O11" s="342">
        <v>7135</v>
      </c>
      <c r="P11" s="343"/>
      <c r="Q11" s="36">
        <f t="shared" si="14"/>
        <v>23400</v>
      </c>
      <c r="R11" s="37"/>
      <c r="S11" s="342">
        <v>706679</v>
      </c>
      <c r="T11" s="343"/>
      <c r="U11" s="36">
        <f t="shared" si="15"/>
        <v>217000</v>
      </c>
      <c r="V11" s="342">
        <v>515250</v>
      </c>
      <c r="W11" s="343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42">
        <v>41772388</v>
      </c>
      <c r="D12" s="343"/>
      <c r="E12" s="36">
        <f t="shared" ref="E12:E13" si="28">SUM(C12-C11)*10</f>
        <v>922440</v>
      </c>
      <c r="F12" s="342">
        <v>4973934</v>
      </c>
      <c r="G12" s="343"/>
      <c r="H12" s="36">
        <f t="shared" si="26"/>
        <v>256350</v>
      </c>
      <c r="I12" s="342">
        <v>17096</v>
      </c>
      <c r="J12" s="343"/>
      <c r="K12" s="36">
        <f t="shared" si="27"/>
        <v>160</v>
      </c>
      <c r="L12" s="342">
        <v>302639</v>
      </c>
      <c r="M12" s="343"/>
      <c r="N12" s="36">
        <f t="shared" si="13"/>
        <v>635000</v>
      </c>
      <c r="O12" s="342">
        <v>7397</v>
      </c>
      <c r="P12" s="343"/>
      <c r="Q12" s="36">
        <f t="shared" si="14"/>
        <v>26200</v>
      </c>
      <c r="R12" s="37"/>
      <c r="S12" s="342">
        <v>708899</v>
      </c>
      <c r="T12" s="343"/>
      <c r="U12" s="36">
        <f t="shared" si="15"/>
        <v>222000</v>
      </c>
      <c r="V12" s="342">
        <v>527880</v>
      </c>
      <c r="W12" s="343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42">
        <v>41871884</v>
      </c>
      <c r="D13" s="343"/>
      <c r="E13" s="36">
        <f t="shared" si="28"/>
        <v>994960</v>
      </c>
      <c r="F13" s="342">
        <v>4992820</v>
      </c>
      <c r="G13" s="343"/>
      <c r="H13" s="36">
        <f t="shared" si="26"/>
        <v>188860</v>
      </c>
      <c r="I13" s="342">
        <v>17123</v>
      </c>
      <c r="J13" s="343"/>
      <c r="K13" s="36">
        <f t="shared" si="27"/>
        <v>270</v>
      </c>
      <c r="L13" s="342">
        <v>303354</v>
      </c>
      <c r="M13" s="343"/>
      <c r="N13" s="36">
        <f t="shared" si="13"/>
        <v>715000</v>
      </c>
      <c r="O13" s="342">
        <v>7665</v>
      </c>
      <c r="P13" s="343"/>
      <c r="Q13" s="36">
        <f t="shared" si="14"/>
        <v>26800</v>
      </c>
      <c r="R13" s="37"/>
      <c r="S13" s="342">
        <v>711151</v>
      </c>
      <c r="T13" s="343"/>
      <c r="U13" s="36">
        <f t="shared" si="15"/>
        <v>225200</v>
      </c>
      <c r="V13" s="342">
        <v>539040</v>
      </c>
      <c r="W13" s="343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65">
        <v>41968713</v>
      </c>
      <c r="D14" s="366"/>
      <c r="E14" s="226">
        <f t="shared" ref="E14" si="30">SUM(C14-C13)*10</f>
        <v>968290</v>
      </c>
      <c r="F14" s="365">
        <v>5014115</v>
      </c>
      <c r="G14" s="366"/>
      <c r="H14" s="226">
        <f t="shared" ref="H14" si="31">SUM(F14-F13)*10</f>
        <v>212950</v>
      </c>
      <c r="I14" s="365">
        <v>17207</v>
      </c>
      <c r="J14" s="366"/>
      <c r="K14" s="226">
        <f t="shared" si="27"/>
        <v>840</v>
      </c>
      <c r="L14" s="365">
        <v>304019</v>
      </c>
      <c r="M14" s="366"/>
      <c r="N14" s="226">
        <f t="shared" si="13"/>
        <v>665000</v>
      </c>
      <c r="O14" s="365">
        <v>7941</v>
      </c>
      <c r="P14" s="366"/>
      <c r="Q14" s="226">
        <f t="shared" si="14"/>
        <v>27600</v>
      </c>
      <c r="R14" s="37"/>
      <c r="S14" s="365">
        <v>713466</v>
      </c>
      <c r="T14" s="366"/>
      <c r="U14" s="210">
        <f t="shared" si="15"/>
        <v>231500</v>
      </c>
      <c r="V14" s="365">
        <v>552590</v>
      </c>
      <c r="W14" s="366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42">
        <v>42078527</v>
      </c>
      <c r="D15" s="343"/>
      <c r="E15" s="36">
        <f t="shared" ref="E15:E17" si="32">SUM(C15-C14)*10</f>
        <v>1098140</v>
      </c>
      <c r="F15" s="342">
        <v>5035319</v>
      </c>
      <c r="G15" s="343"/>
      <c r="H15" s="36">
        <f t="shared" ref="H15:H17" si="33">SUM(F15-F14)*10</f>
        <v>212040</v>
      </c>
      <c r="I15" s="342">
        <v>17282</v>
      </c>
      <c r="J15" s="343"/>
      <c r="K15" s="36">
        <f t="shared" si="27"/>
        <v>750</v>
      </c>
      <c r="L15" s="342">
        <v>304702</v>
      </c>
      <c r="M15" s="343"/>
      <c r="N15" s="36">
        <f t="shared" si="13"/>
        <v>683000</v>
      </c>
      <c r="O15" s="342">
        <v>8184</v>
      </c>
      <c r="P15" s="343"/>
      <c r="Q15" s="36">
        <f t="shared" si="14"/>
        <v>24300</v>
      </c>
      <c r="R15" s="37"/>
      <c r="S15" s="342">
        <v>715638</v>
      </c>
      <c r="T15" s="343"/>
      <c r="U15" s="36">
        <f t="shared" si="15"/>
        <v>217200</v>
      </c>
      <c r="V15" s="342">
        <v>567070</v>
      </c>
      <c r="W15" s="343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42">
        <v>42199864</v>
      </c>
      <c r="D16" s="343"/>
      <c r="E16" s="36">
        <f t="shared" si="32"/>
        <v>1213370</v>
      </c>
      <c r="F16" s="342">
        <v>5052481</v>
      </c>
      <c r="G16" s="343"/>
      <c r="H16" s="36">
        <f t="shared" si="33"/>
        <v>171620</v>
      </c>
      <c r="I16" s="342">
        <v>17332</v>
      </c>
      <c r="J16" s="343"/>
      <c r="K16" s="36">
        <f t="shared" si="27"/>
        <v>500</v>
      </c>
      <c r="L16" s="342">
        <v>305512</v>
      </c>
      <c r="M16" s="343"/>
      <c r="N16" s="36">
        <f t="shared" si="13"/>
        <v>810000</v>
      </c>
      <c r="O16" s="342">
        <v>8440</v>
      </c>
      <c r="P16" s="343"/>
      <c r="Q16" s="36">
        <f t="shared" si="14"/>
        <v>25600</v>
      </c>
      <c r="R16" s="37"/>
      <c r="S16" s="342">
        <v>718028</v>
      </c>
      <c r="T16" s="343"/>
      <c r="U16" s="36">
        <f t="shared" si="15"/>
        <v>239000</v>
      </c>
      <c r="V16" s="342">
        <v>578990</v>
      </c>
      <c r="W16" s="343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42">
        <v>42322643</v>
      </c>
      <c r="D17" s="343"/>
      <c r="E17" s="36">
        <f t="shared" si="32"/>
        <v>1227790</v>
      </c>
      <c r="F17" s="342">
        <v>5066255</v>
      </c>
      <c r="G17" s="343"/>
      <c r="H17" s="36">
        <f t="shared" si="33"/>
        <v>137740</v>
      </c>
      <c r="I17" s="342">
        <v>17357</v>
      </c>
      <c r="J17" s="343"/>
      <c r="K17" s="36">
        <f t="shared" si="27"/>
        <v>250</v>
      </c>
      <c r="L17" s="342">
        <v>306355</v>
      </c>
      <c r="M17" s="343"/>
      <c r="N17" s="36">
        <f t="shared" si="13"/>
        <v>843000</v>
      </c>
      <c r="O17" s="342">
        <v>8691</v>
      </c>
      <c r="P17" s="343"/>
      <c r="Q17" s="36">
        <f t="shared" si="14"/>
        <v>25100</v>
      </c>
      <c r="R17" s="37"/>
      <c r="S17" s="342">
        <v>720009</v>
      </c>
      <c r="T17" s="343"/>
      <c r="U17" s="36">
        <f t="shared" si="15"/>
        <v>198100</v>
      </c>
      <c r="V17" s="342">
        <v>588000</v>
      </c>
      <c r="W17" s="343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42">
        <v>42373834</v>
      </c>
      <c r="D18" s="343"/>
      <c r="E18" s="36">
        <f t="shared" ref="E18" si="35">SUM(C18-C17)*10</f>
        <v>511910</v>
      </c>
      <c r="F18" s="342">
        <v>5066261</v>
      </c>
      <c r="G18" s="343"/>
      <c r="H18" s="36">
        <f t="shared" ref="H18" si="36">SUM(F18-F17)*10</f>
        <v>60</v>
      </c>
      <c r="I18" s="342">
        <v>17361</v>
      </c>
      <c r="J18" s="343"/>
      <c r="K18" s="36">
        <f t="shared" si="27"/>
        <v>40</v>
      </c>
      <c r="L18" s="342">
        <v>306733</v>
      </c>
      <c r="M18" s="343"/>
      <c r="N18" s="36">
        <f t="shared" si="13"/>
        <v>378000</v>
      </c>
      <c r="O18" s="342">
        <v>8805</v>
      </c>
      <c r="P18" s="343"/>
      <c r="Q18" s="36">
        <f t="shared" si="14"/>
        <v>11400</v>
      </c>
      <c r="R18" s="37"/>
      <c r="S18" s="342">
        <v>720863</v>
      </c>
      <c r="T18" s="343"/>
      <c r="U18" s="36">
        <f t="shared" si="15"/>
        <v>85400</v>
      </c>
      <c r="V18" s="342">
        <v>590883</v>
      </c>
      <c r="W18" s="343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42">
        <v>42437140</v>
      </c>
      <c r="D19" s="343"/>
      <c r="E19" s="36">
        <f t="shared" ref="E19:E22" si="37">SUM(C19-C18)*10</f>
        <v>633060</v>
      </c>
      <c r="F19" s="342">
        <v>5066890</v>
      </c>
      <c r="G19" s="343"/>
      <c r="H19" s="36">
        <f t="shared" ref="H19:H22" si="38">SUM(F19-F18)*10</f>
        <v>6290</v>
      </c>
      <c r="I19" s="342">
        <v>17378</v>
      </c>
      <c r="J19" s="343"/>
      <c r="K19" s="36">
        <f t="shared" si="27"/>
        <v>170</v>
      </c>
      <c r="L19" s="342">
        <v>307188</v>
      </c>
      <c r="M19" s="343"/>
      <c r="N19" s="36">
        <f t="shared" si="13"/>
        <v>455000</v>
      </c>
      <c r="O19" s="342">
        <v>8957</v>
      </c>
      <c r="P19" s="343"/>
      <c r="Q19" s="36">
        <f t="shared" si="14"/>
        <v>15200</v>
      </c>
      <c r="R19" s="37"/>
      <c r="S19" s="342">
        <v>722010</v>
      </c>
      <c r="T19" s="343"/>
      <c r="U19" s="36">
        <f t="shared" si="15"/>
        <v>114700</v>
      </c>
      <c r="V19" s="342">
        <v>600120</v>
      </c>
      <c r="W19" s="343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42">
        <v>42556871</v>
      </c>
      <c r="D20" s="343"/>
      <c r="E20" s="36">
        <f t="shared" si="37"/>
        <v>1197310</v>
      </c>
      <c r="F20" s="342">
        <v>5089790</v>
      </c>
      <c r="G20" s="343"/>
      <c r="H20" s="36">
        <f t="shared" si="38"/>
        <v>229000</v>
      </c>
      <c r="I20" s="342">
        <v>17388</v>
      </c>
      <c r="J20" s="343"/>
      <c r="K20" s="36">
        <f t="shared" si="27"/>
        <v>100</v>
      </c>
      <c r="L20" s="342">
        <v>307992</v>
      </c>
      <c r="M20" s="343"/>
      <c r="N20" s="36">
        <f t="shared" si="13"/>
        <v>804000</v>
      </c>
      <c r="O20" s="342">
        <v>9227</v>
      </c>
      <c r="P20" s="343"/>
      <c r="Q20" s="36">
        <f t="shared" si="14"/>
        <v>27000</v>
      </c>
      <c r="R20" s="37"/>
      <c r="S20" s="342">
        <v>723886</v>
      </c>
      <c r="T20" s="343"/>
      <c r="U20" s="36">
        <f t="shared" si="15"/>
        <v>187600</v>
      </c>
      <c r="V20" s="342">
        <v>610730</v>
      </c>
      <c r="W20" s="343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42">
        <v>42673826</v>
      </c>
      <c r="D21" s="343"/>
      <c r="E21" s="36">
        <f t="shared" si="37"/>
        <v>1169550</v>
      </c>
      <c r="F21" s="342">
        <v>5107929</v>
      </c>
      <c r="G21" s="343"/>
      <c r="H21" s="36">
        <f t="shared" si="38"/>
        <v>181390</v>
      </c>
      <c r="I21" s="342">
        <v>17462</v>
      </c>
      <c r="J21" s="343"/>
      <c r="K21" s="36">
        <f t="shared" si="27"/>
        <v>740</v>
      </c>
      <c r="L21" s="342">
        <v>308814</v>
      </c>
      <c r="M21" s="343"/>
      <c r="N21" s="36">
        <f t="shared" si="13"/>
        <v>822000</v>
      </c>
      <c r="O21" s="342">
        <v>9501</v>
      </c>
      <c r="P21" s="343"/>
      <c r="Q21" s="36">
        <f t="shared" si="14"/>
        <v>27400</v>
      </c>
      <c r="R21" s="37"/>
      <c r="S21" s="342">
        <v>726083</v>
      </c>
      <c r="T21" s="343"/>
      <c r="U21" s="36">
        <f t="shared" si="15"/>
        <v>219700</v>
      </c>
      <c r="V21" s="342">
        <v>647380</v>
      </c>
      <c r="W21" s="343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42">
        <v>42785897</v>
      </c>
      <c r="D22" s="343"/>
      <c r="E22" s="36">
        <f t="shared" si="37"/>
        <v>1120710</v>
      </c>
      <c r="F22" s="342">
        <v>5136925</v>
      </c>
      <c r="G22" s="343"/>
      <c r="H22" s="36">
        <f t="shared" si="38"/>
        <v>289960</v>
      </c>
      <c r="I22" s="342">
        <v>17483</v>
      </c>
      <c r="J22" s="343"/>
      <c r="K22" s="36">
        <f t="shared" si="27"/>
        <v>210</v>
      </c>
      <c r="L22" s="342">
        <v>309598</v>
      </c>
      <c r="M22" s="343"/>
      <c r="N22" s="36">
        <f t="shared" si="13"/>
        <v>784000</v>
      </c>
      <c r="O22" s="342">
        <v>9774</v>
      </c>
      <c r="P22" s="343"/>
      <c r="Q22" s="36">
        <f t="shared" si="14"/>
        <v>27300</v>
      </c>
      <c r="R22" s="37"/>
      <c r="S22" s="342">
        <v>728215</v>
      </c>
      <c r="T22" s="343"/>
      <c r="U22" s="36">
        <f t="shared" si="15"/>
        <v>213200</v>
      </c>
      <c r="V22" s="342">
        <v>625370</v>
      </c>
      <c r="W22" s="343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42">
        <v>42875405</v>
      </c>
      <c r="D23" s="343"/>
      <c r="E23" s="36">
        <f t="shared" ref="E23:E24" si="39">SUM(C23-C22)*10</f>
        <v>895080</v>
      </c>
      <c r="F23" s="342">
        <v>5158237</v>
      </c>
      <c r="G23" s="343"/>
      <c r="H23" s="36">
        <f t="shared" ref="H23:H24" si="40">SUM(F23-F22)*10</f>
        <v>213120</v>
      </c>
      <c r="I23" s="342">
        <v>17501</v>
      </c>
      <c r="J23" s="343"/>
      <c r="K23" s="36">
        <f t="shared" si="27"/>
        <v>180</v>
      </c>
      <c r="L23" s="342">
        <v>310198</v>
      </c>
      <c r="M23" s="343"/>
      <c r="N23" s="36">
        <f t="shared" si="13"/>
        <v>600000</v>
      </c>
      <c r="O23" s="342">
        <v>9996</v>
      </c>
      <c r="P23" s="343"/>
      <c r="Q23" s="36">
        <f t="shared" si="14"/>
        <v>22200</v>
      </c>
      <c r="R23" s="37"/>
      <c r="S23" s="342">
        <v>729750</v>
      </c>
      <c r="T23" s="343"/>
      <c r="U23" s="36">
        <f t="shared" si="15"/>
        <v>153500</v>
      </c>
      <c r="V23" s="342">
        <v>630250</v>
      </c>
      <c r="W23" s="343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42">
        <v>42907750</v>
      </c>
      <c r="D24" s="343"/>
      <c r="E24" s="36">
        <f t="shared" si="39"/>
        <v>323450</v>
      </c>
      <c r="F24" s="342">
        <v>5167405</v>
      </c>
      <c r="G24" s="343"/>
      <c r="H24" s="36">
        <f t="shared" si="40"/>
        <v>91680</v>
      </c>
      <c r="I24" s="342">
        <v>17504</v>
      </c>
      <c r="J24" s="343"/>
      <c r="K24" s="36">
        <f t="shared" si="27"/>
        <v>30</v>
      </c>
      <c r="L24" s="342">
        <v>310436</v>
      </c>
      <c r="M24" s="343"/>
      <c r="N24" s="36">
        <f t="shared" si="13"/>
        <v>238000</v>
      </c>
      <c r="O24" s="342">
        <v>10072</v>
      </c>
      <c r="P24" s="343"/>
      <c r="Q24" s="36">
        <f t="shared" si="14"/>
        <v>7600</v>
      </c>
      <c r="R24" s="37"/>
      <c r="S24" s="342">
        <v>730348</v>
      </c>
      <c r="T24" s="343"/>
      <c r="U24" s="36">
        <f t="shared" si="15"/>
        <v>59800</v>
      </c>
      <c r="V24" s="342">
        <v>631010</v>
      </c>
      <c r="W24" s="343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42">
        <v>43056254</v>
      </c>
      <c r="D25" s="343"/>
      <c r="E25" s="36">
        <f t="shared" ref="E25:E28" si="42">SUM(C25-C24)*10</f>
        <v>1485040</v>
      </c>
      <c r="F25" s="342">
        <v>5177230</v>
      </c>
      <c r="G25" s="343"/>
      <c r="H25" s="36">
        <f t="shared" ref="H25:H28" si="43">SUM(F25-F24)*10</f>
        <v>98250</v>
      </c>
      <c r="I25" s="342">
        <v>17522</v>
      </c>
      <c r="J25" s="343"/>
      <c r="K25" s="36">
        <f t="shared" si="27"/>
        <v>180</v>
      </c>
      <c r="L25" s="342">
        <v>311482</v>
      </c>
      <c r="M25" s="343"/>
      <c r="N25" s="36">
        <f t="shared" si="13"/>
        <v>1046000</v>
      </c>
      <c r="O25" s="342">
        <v>10357</v>
      </c>
      <c r="P25" s="343"/>
      <c r="Q25" s="36">
        <f t="shared" si="14"/>
        <v>28500</v>
      </c>
      <c r="R25" s="37"/>
      <c r="S25" s="342">
        <v>732562</v>
      </c>
      <c r="T25" s="343"/>
      <c r="U25" s="36">
        <f t="shared" si="15"/>
        <v>221400</v>
      </c>
      <c r="V25" s="342">
        <v>635165</v>
      </c>
      <c r="W25" s="343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42">
        <v>43185205</v>
      </c>
      <c r="D26" s="343"/>
      <c r="E26" s="36">
        <f t="shared" si="42"/>
        <v>1289510</v>
      </c>
      <c r="F26" s="342">
        <v>5189472</v>
      </c>
      <c r="G26" s="343"/>
      <c r="H26" s="36">
        <f t="shared" si="43"/>
        <v>122420</v>
      </c>
      <c r="I26" s="342">
        <v>17540</v>
      </c>
      <c r="J26" s="343"/>
      <c r="K26" s="36">
        <f t="shared" si="27"/>
        <v>180</v>
      </c>
      <c r="L26" s="342">
        <v>312388</v>
      </c>
      <c r="M26" s="343"/>
      <c r="N26" s="36">
        <f t="shared" si="13"/>
        <v>906000</v>
      </c>
      <c r="O26" s="342">
        <v>10631</v>
      </c>
      <c r="P26" s="343"/>
      <c r="Q26" s="36">
        <f t="shared" si="14"/>
        <v>27400</v>
      </c>
      <c r="R26" s="37"/>
      <c r="S26" s="342">
        <v>734602</v>
      </c>
      <c r="T26" s="343"/>
      <c r="U26" s="36">
        <f t="shared" si="15"/>
        <v>204000</v>
      </c>
      <c r="V26" s="342">
        <v>641340</v>
      </c>
      <c r="W26" s="343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42">
        <v>43325547</v>
      </c>
      <c r="D27" s="343"/>
      <c r="E27" s="36">
        <f t="shared" si="42"/>
        <v>1403420</v>
      </c>
      <c r="F27" s="342">
        <v>5210730</v>
      </c>
      <c r="G27" s="343"/>
      <c r="H27" s="36">
        <f t="shared" si="43"/>
        <v>212580</v>
      </c>
      <c r="I27" s="342">
        <v>17558</v>
      </c>
      <c r="J27" s="343"/>
      <c r="K27" s="36">
        <f t="shared" si="27"/>
        <v>180</v>
      </c>
      <c r="L27" s="342">
        <v>313370</v>
      </c>
      <c r="M27" s="343"/>
      <c r="N27" s="36">
        <f t="shared" si="13"/>
        <v>982000</v>
      </c>
      <c r="O27" s="342">
        <v>10932</v>
      </c>
      <c r="P27" s="343"/>
      <c r="Q27" s="36">
        <f t="shared" si="14"/>
        <v>30100</v>
      </c>
      <c r="R27" s="37"/>
      <c r="S27" s="342">
        <v>736863</v>
      </c>
      <c r="T27" s="343"/>
      <c r="U27" s="36">
        <f t="shared" si="15"/>
        <v>226100</v>
      </c>
      <c r="V27" s="342">
        <v>649510</v>
      </c>
      <c r="W27" s="343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42">
        <v>43453174</v>
      </c>
      <c r="D28" s="343"/>
      <c r="E28" s="36">
        <f t="shared" si="42"/>
        <v>1276270</v>
      </c>
      <c r="F28" s="342">
        <v>5237077</v>
      </c>
      <c r="G28" s="343"/>
      <c r="H28" s="36">
        <f t="shared" si="43"/>
        <v>263470</v>
      </c>
      <c r="I28" s="342">
        <v>17576</v>
      </c>
      <c r="J28" s="343"/>
      <c r="K28" s="36">
        <f t="shared" si="27"/>
        <v>180</v>
      </c>
      <c r="L28" s="342">
        <v>314282</v>
      </c>
      <c r="M28" s="343"/>
      <c r="N28" s="36">
        <f t="shared" si="13"/>
        <v>912000</v>
      </c>
      <c r="O28" s="342">
        <v>11219</v>
      </c>
      <c r="P28" s="343"/>
      <c r="Q28" s="36">
        <f t="shared" ref="Q28" si="48">SUM(O28-O27)*100</f>
        <v>28700</v>
      </c>
      <c r="R28" s="37"/>
      <c r="S28" s="342">
        <v>738933</v>
      </c>
      <c r="T28" s="343"/>
      <c r="U28" s="36">
        <f t="shared" ref="U28" si="49">SUM(S28-S27)*100</f>
        <v>207000</v>
      </c>
      <c r="V28" s="342">
        <v>653320</v>
      </c>
      <c r="W28" s="343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42">
        <v>43589715</v>
      </c>
      <c r="D29" s="343"/>
      <c r="E29" s="36">
        <f t="shared" ref="E29" si="51">SUM(C29-C28)*10</f>
        <v>1365410</v>
      </c>
      <c r="F29" s="342">
        <v>5260868</v>
      </c>
      <c r="G29" s="343"/>
      <c r="H29" s="36">
        <f t="shared" ref="H29" si="52">SUM(F29-F28)*10</f>
        <v>237910</v>
      </c>
      <c r="I29" s="342">
        <v>17598</v>
      </c>
      <c r="J29" s="343"/>
      <c r="K29" s="36">
        <f t="shared" si="27"/>
        <v>220</v>
      </c>
      <c r="L29" s="342">
        <v>315320</v>
      </c>
      <c r="M29" s="343"/>
      <c r="N29" s="36">
        <f t="shared" si="13"/>
        <v>1038000</v>
      </c>
      <c r="O29" s="342">
        <v>11509</v>
      </c>
      <c r="P29" s="343"/>
      <c r="Q29" s="36">
        <f t="shared" ref="Q29:Q64" si="53">SUM(O29-O28)*100</f>
        <v>29000</v>
      </c>
      <c r="R29" s="37"/>
      <c r="S29" s="342">
        <v>740950</v>
      </c>
      <c r="T29" s="343"/>
      <c r="U29" s="36">
        <f t="shared" ref="U29:U64" si="54">SUM(S29-S28)*100</f>
        <v>201700</v>
      </c>
      <c r="V29" s="342">
        <v>656020</v>
      </c>
      <c r="W29" s="343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42">
        <v>43724992</v>
      </c>
      <c r="D30" s="343"/>
      <c r="E30" s="36">
        <f t="shared" ref="E30:E33" si="55">SUM(C30-C29)*10</f>
        <v>1352770</v>
      </c>
      <c r="F30" s="342">
        <v>5303547</v>
      </c>
      <c r="G30" s="343"/>
      <c r="H30" s="36">
        <f t="shared" ref="H30:H33" si="56">SUM(F30-F29)*10</f>
        <v>426790</v>
      </c>
      <c r="I30" s="342">
        <v>17653</v>
      </c>
      <c r="J30" s="343"/>
      <c r="K30" s="36">
        <f t="shared" si="27"/>
        <v>550</v>
      </c>
      <c r="L30" s="342">
        <v>316377</v>
      </c>
      <c r="M30" s="343"/>
      <c r="N30" s="36">
        <f t="shared" si="13"/>
        <v>1057000</v>
      </c>
      <c r="O30" s="342">
        <v>11784</v>
      </c>
      <c r="P30" s="343"/>
      <c r="Q30" s="36">
        <f t="shared" si="53"/>
        <v>27500</v>
      </c>
      <c r="R30" s="37"/>
      <c r="S30" s="342">
        <v>742948</v>
      </c>
      <c r="T30" s="343"/>
      <c r="U30" s="36">
        <f t="shared" si="54"/>
        <v>199800</v>
      </c>
      <c r="V30" s="342">
        <v>658610</v>
      </c>
      <c r="W30" s="343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42">
        <v>43849679</v>
      </c>
      <c r="D31" s="343"/>
      <c r="E31" s="36">
        <f t="shared" si="55"/>
        <v>1246870</v>
      </c>
      <c r="F31" s="342">
        <v>5319566</v>
      </c>
      <c r="G31" s="343"/>
      <c r="H31" s="36">
        <f t="shared" si="56"/>
        <v>160190</v>
      </c>
      <c r="I31" s="342">
        <v>17669</v>
      </c>
      <c r="J31" s="343"/>
      <c r="K31" s="36">
        <f t="shared" si="27"/>
        <v>160</v>
      </c>
      <c r="L31" s="342">
        <v>317399</v>
      </c>
      <c r="M31" s="343"/>
      <c r="N31" s="36">
        <f t="shared" si="13"/>
        <v>1022000</v>
      </c>
      <c r="O31" s="342">
        <v>12052</v>
      </c>
      <c r="P31" s="343"/>
      <c r="Q31" s="36">
        <f t="shared" si="53"/>
        <v>26800</v>
      </c>
      <c r="R31" s="37"/>
      <c r="S31" s="342">
        <v>744841</v>
      </c>
      <c r="T31" s="343"/>
      <c r="U31" s="36">
        <f t="shared" si="54"/>
        <v>189300</v>
      </c>
      <c r="V31" s="342">
        <v>661220</v>
      </c>
      <c r="W31" s="343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42">
        <v>43977794</v>
      </c>
      <c r="D32" s="343"/>
      <c r="E32" s="36">
        <f t="shared" si="55"/>
        <v>1281150</v>
      </c>
      <c r="F32" s="342">
        <v>5323051</v>
      </c>
      <c r="G32" s="343"/>
      <c r="H32" s="36">
        <f t="shared" si="56"/>
        <v>34850</v>
      </c>
      <c r="I32" s="342">
        <v>17685</v>
      </c>
      <c r="J32" s="343"/>
      <c r="K32" s="36">
        <f t="shared" si="27"/>
        <v>160</v>
      </c>
      <c r="L32" s="342">
        <v>318480</v>
      </c>
      <c r="M32" s="343"/>
      <c r="N32" s="36">
        <f t="shared" si="13"/>
        <v>1081000</v>
      </c>
      <c r="O32" s="342">
        <v>12345</v>
      </c>
      <c r="P32" s="343"/>
      <c r="Q32" s="36">
        <v>129</v>
      </c>
      <c r="R32" s="37"/>
      <c r="S32" s="342">
        <v>746881</v>
      </c>
      <c r="T32" s="343"/>
      <c r="U32" s="36">
        <f t="shared" si="54"/>
        <v>204000</v>
      </c>
      <c r="V32" s="342">
        <v>664240</v>
      </c>
      <c r="W32" s="343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19">
        <v>44014765</v>
      </c>
      <c r="D33" s="319"/>
      <c r="E33" s="36">
        <f t="shared" si="55"/>
        <v>369710</v>
      </c>
      <c r="F33" s="319">
        <v>5328320</v>
      </c>
      <c r="G33" s="319"/>
      <c r="H33" s="36">
        <f t="shared" si="56"/>
        <v>52690</v>
      </c>
      <c r="I33" s="319">
        <v>17698</v>
      </c>
      <c r="J33" s="319"/>
      <c r="K33" s="36">
        <f t="shared" si="27"/>
        <v>130</v>
      </c>
      <c r="L33" s="319">
        <v>318771</v>
      </c>
      <c r="M33" s="319"/>
      <c r="N33" s="36">
        <f t="shared" si="13"/>
        <v>291000</v>
      </c>
      <c r="O33" s="319">
        <v>12431</v>
      </c>
      <c r="P33" s="319"/>
      <c r="Q33" s="36">
        <f t="shared" si="53"/>
        <v>8600</v>
      </c>
      <c r="R33" s="37"/>
      <c r="S33" s="319">
        <v>747434</v>
      </c>
      <c r="T33" s="319"/>
      <c r="U33" s="36">
        <f t="shared" si="54"/>
        <v>55300</v>
      </c>
      <c r="V33" s="319">
        <v>665790</v>
      </c>
      <c r="W33" s="319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42">
        <v>44103262</v>
      </c>
      <c r="D34" s="343"/>
      <c r="E34" s="36">
        <f t="shared" ref="E34" si="73">SUM(C34-C33)*10</f>
        <v>884970</v>
      </c>
      <c r="F34" s="342">
        <v>5328323</v>
      </c>
      <c r="G34" s="343"/>
      <c r="H34" s="36">
        <f t="shared" ref="H34" si="74">SUM(F34-F33)*10</f>
        <v>30</v>
      </c>
      <c r="I34" s="342">
        <v>17702</v>
      </c>
      <c r="J34" s="343"/>
      <c r="K34" s="36">
        <f t="shared" si="27"/>
        <v>40</v>
      </c>
      <c r="L34" s="342">
        <v>319511</v>
      </c>
      <c r="M34" s="343"/>
      <c r="N34" s="36">
        <f t="shared" si="13"/>
        <v>740000</v>
      </c>
      <c r="O34" s="342">
        <v>12642</v>
      </c>
      <c r="P34" s="343"/>
      <c r="Q34" s="36">
        <f t="shared" si="53"/>
        <v>21100</v>
      </c>
      <c r="R34" s="37"/>
      <c r="S34" s="342">
        <v>748840</v>
      </c>
      <c r="T34" s="343"/>
      <c r="U34" s="36">
        <f t="shared" si="54"/>
        <v>140600</v>
      </c>
      <c r="V34" s="342">
        <v>669050</v>
      </c>
      <c r="W34" s="343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42">
        <v>44225593</v>
      </c>
      <c r="D35" s="343"/>
      <c r="E35" s="36">
        <f t="shared" ref="E35:E38" si="75">SUM(C35-C34)*10</f>
        <v>1223310</v>
      </c>
      <c r="F35" s="342">
        <v>5329014</v>
      </c>
      <c r="G35" s="343"/>
      <c r="H35" s="36">
        <f t="shared" ref="H35:H38" si="76">SUM(F35-F34)*10</f>
        <v>6910</v>
      </c>
      <c r="I35" s="342">
        <v>17718</v>
      </c>
      <c r="J35" s="343"/>
      <c r="K35" s="36">
        <f t="shared" si="27"/>
        <v>160</v>
      </c>
      <c r="L35" s="342">
        <v>320471</v>
      </c>
      <c r="M35" s="343"/>
      <c r="N35" s="36">
        <f t="shared" si="13"/>
        <v>960000</v>
      </c>
      <c r="O35" s="342">
        <v>12946</v>
      </c>
      <c r="P35" s="343"/>
      <c r="Q35" s="36">
        <f t="shared" si="53"/>
        <v>30400</v>
      </c>
      <c r="R35" s="37"/>
      <c r="S35" s="342">
        <v>750876</v>
      </c>
      <c r="T35" s="343"/>
      <c r="U35" s="36">
        <f t="shared" si="54"/>
        <v>203600</v>
      </c>
      <c r="V35" s="342">
        <v>671370</v>
      </c>
      <c r="W35" s="343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42">
        <v>44356049</v>
      </c>
      <c r="D36" s="343"/>
      <c r="E36" s="36">
        <f t="shared" si="75"/>
        <v>1304560</v>
      </c>
      <c r="F36" s="342">
        <v>5345906</v>
      </c>
      <c r="G36" s="343"/>
      <c r="H36" s="36">
        <f t="shared" si="76"/>
        <v>168920</v>
      </c>
      <c r="I36" s="342">
        <v>17734</v>
      </c>
      <c r="J36" s="343"/>
      <c r="K36" s="36">
        <f t="shared" si="27"/>
        <v>160</v>
      </c>
      <c r="L36" s="342">
        <v>321473</v>
      </c>
      <c r="M36" s="343"/>
      <c r="N36" s="36">
        <f t="shared" si="13"/>
        <v>1002000</v>
      </c>
      <c r="O36" s="342">
        <v>13244</v>
      </c>
      <c r="P36" s="343"/>
      <c r="Q36" s="36">
        <f t="shared" si="53"/>
        <v>29800</v>
      </c>
      <c r="R36" s="37"/>
      <c r="S36" s="342">
        <v>752775</v>
      </c>
      <c r="T36" s="343"/>
      <c r="U36" s="36">
        <f t="shared" si="54"/>
        <v>189900</v>
      </c>
      <c r="V36" s="342">
        <v>673770</v>
      </c>
      <c r="W36" s="343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42">
        <v>44490935</v>
      </c>
      <c r="D37" s="343"/>
      <c r="E37" s="36">
        <f t="shared" si="75"/>
        <v>1348860</v>
      </c>
      <c r="F37" s="342">
        <v>5366120</v>
      </c>
      <c r="G37" s="343"/>
      <c r="H37" s="36">
        <f t="shared" si="76"/>
        <v>202140</v>
      </c>
      <c r="I37" s="342">
        <v>17750</v>
      </c>
      <c r="J37" s="343"/>
      <c r="K37" s="36">
        <f t="shared" si="27"/>
        <v>160</v>
      </c>
      <c r="L37" s="342">
        <v>322540</v>
      </c>
      <c r="M37" s="343"/>
      <c r="N37" s="36">
        <f t="shared" si="13"/>
        <v>1067000</v>
      </c>
      <c r="O37" s="342">
        <v>13526</v>
      </c>
      <c r="P37" s="343"/>
      <c r="Q37" s="36">
        <f t="shared" si="53"/>
        <v>28200</v>
      </c>
      <c r="R37" s="37"/>
      <c r="S37" s="342">
        <v>754649</v>
      </c>
      <c r="T37" s="343"/>
      <c r="U37" s="36">
        <f t="shared" si="54"/>
        <v>187400</v>
      </c>
      <c r="V37" s="342">
        <v>675310</v>
      </c>
      <c r="W37" s="343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42">
        <v>44612370</v>
      </c>
      <c r="D38" s="343"/>
      <c r="E38" s="36">
        <f t="shared" si="75"/>
        <v>1214350</v>
      </c>
      <c r="F38" s="342">
        <v>5391164</v>
      </c>
      <c r="G38" s="343"/>
      <c r="H38" s="36">
        <f t="shared" si="76"/>
        <v>250440</v>
      </c>
      <c r="I38" s="342">
        <v>17768</v>
      </c>
      <c r="J38" s="343"/>
      <c r="K38" s="36">
        <f t="shared" si="27"/>
        <v>180</v>
      </c>
      <c r="L38" s="342">
        <v>323597</v>
      </c>
      <c r="M38" s="343"/>
      <c r="N38" s="36">
        <f t="shared" si="13"/>
        <v>1057000</v>
      </c>
      <c r="O38" s="342">
        <v>13803</v>
      </c>
      <c r="P38" s="343"/>
      <c r="Q38" s="36">
        <f t="shared" si="53"/>
        <v>27700</v>
      </c>
      <c r="R38" s="37"/>
      <c r="S38" s="342">
        <v>756555</v>
      </c>
      <c r="T38" s="343"/>
      <c r="U38" s="36">
        <f t="shared" si="54"/>
        <v>190600</v>
      </c>
      <c r="V38" s="342">
        <v>676900</v>
      </c>
      <c r="W38" s="343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42">
        <v>44612370</v>
      </c>
      <c r="D39" s="343"/>
      <c r="E39" s="36">
        <f t="shared" ref="E39:E40" si="78">SUM(C39-C38)*10</f>
        <v>0</v>
      </c>
      <c r="F39" s="342">
        <v>5391164</v>
      </c>
      <c r="G39" s="343"/>
      <c r="H39" s="36">
        <f t="shared" ref="H39:H40" si="79">SUM(F39-F38)*10</f>
        <v>0</v>
      </c>
      <c r="I39" s="342">
        <v>17768</v>
      </c>
      <c r="J39" s="343"/>
      <c r="K39" s="36">
        <f t="shared" si="27"/>
        <v>0</v>
      </c>
      <c r="L39" s="342">
        <v>323597</v>
      </c>
      <c r="M39" s="343"/>
      <c r="N39" s="36">
        <f t="shared" si="13"/>
        <v>0</v>
      </c>
      <c r="O39" s="342">
        <v>13803</v>
      </c>
      <c r="P39" s="343"/>
      <c r="Q39" s="36">
        <f t="shared" si="53"/>
        <v>0</v>
      </c>
      <c r="R39" s="37"/>
      <c r="S39" s="342">
        <v>756555</v>
      </c>
      <c r="T39" s="343"/>
      <c r="U39" s="36">
        <f t="shared" si="54"/>
        <v>0</v>
      </c>
      <c r="V39" s="342">
        <v>676900</v>
      </c>
      <c r="W39" s="343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42">
        <v>44745503</v>
      </c>
      <c r="D40" s="343"/>
      <c r="E40" s="36">
        <f t="shared" si="78"/>
        <v>1331330</v>
      </c>
      <c r="F40" s="342">
        <v>5416794</v>
      </c>
      <c r="G40" s="343"/>
      <c r="H40" s="36">
        <f t="shared" si="79"/>
        <v>256300</v>
      </c>
      <c r="I40" s="342">
        <v>17808</v>
      </c>
      <c r="J40" s="343"/>
      <c r="K40" s="36">
        <f t="shared" si="27"/>
        <v>400</v>
      </c>
      <c r="L40" s="342">
        <v>324659</v>
      </c>
      <c r="M40" s="343"/>
      <c r="N40" s="36">
        <f t="shared" si="13"/>
        <v>1062000</v>
      </c>
      <c r="O40" s="342">
        <v>14107</v>
      </c>
      <c r="P40" s="343"/>
      <c r="Q40" s="36">
        <f t="shared" si="53"/>
        <v>30400</v>
      </c>
      <c r="R40" s="37"/>
      <c r="S40" s="342">
        <v>758560</v>
      </c>
      <c r="T40" s="343"/>
      <c r="U40" s="36">
        <f t="shared" si="54"/>
        <v>200500</v>
      </c>
      <c r="V40" s="342">
        <v>678300</v>
      </c>
      <c r="W40" s="343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42">
        <v>44878224</v>
      </c>
      <c r="D41" s="343"/>
      <c r="E41" s="36">
        <f t="shared" ref="E41" si="80">SUM(C41-C40)*10</f>
        <v>1327210</v>
      </c>
      <c r="F41" s="342">
        <v>5441168</v>
      </c>
      <c r="G41" s="343"/>
      <c r="H41" s="36">
        <f t="shared" ref="H41" si="81">SUM(F41-F40)*10</f>
        <v>243740</v>
      </c>
      <c r="I41" s="342">
        <v>17825</v>
      </c>
      <c r="J41" s="343"/>
      <c r="K41" s="36">
        <f t="shared" si="27"/>
        <v>170</v>
      </c>
      <c r="L41" s="342">
        <v>325682</v>
      </c>
      <c r="M41" s="343"/>
      <c r="N41" s="36">
        <f t="shared" si="13"/>
        <v>1023000</v>
      </c>
      <c r="O41" s="342">
        <v>14425</v>
      </c>
      <c r="P41" s="343"/>
      <c r="Q41" s="36">
        <f t="shared" si="53"/>
        <v>31800</v>
      </c>
      <c r="R41" s="37"/>
      <c r="S41" s="342">
        <v>760590</v>
      </c>
      <c r="T41" s="343"/>
      <c r="U41" s="36">
        <f t="shared" si="54"/>
        <v>203000</v>
      </c>
      <c r="V41" s="342">
        <v>680690</v>
      </c>
      <c r="W41" s="343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42">
        <v>45000415</v>
      </c>
      <c r="D42" s="343"/>
      <c r="E42" s="36">
        <f t="shared" ref="E42" si="82">SUM(C42-C41)*10</f>
        <v>1221910</v>
      </c>
      <c r="F42" s="342">
        <v>5455166</v>
      </c>
      <c r="G42" s="343"/>
      <c r="H42" s="36">
        <f t="shared" ref="H42" si="83">SUM(F42-F41)*10</f>
        <v>139980</v>
      </c>
      <c r="I42" s="342">
        <v>17845</v>
      </c>
      <c r="J42" s="343"/>
      <c r="K42" s="36">
        <f t="shared" si="27"/>
        <v>200</v>
      </c>
      <c r="L42" s="342">
        <v>326620</v>
      </c>
      <c r="M42" s="343"/>
      <c r="N42" s="36">
        <f t="shared" si="13"/>
        <v>938000</v>
      </c>
      <c r="O42" s="342">
        <v>14714</v>
      </c>
      <c r="P42" s="343"/>
      <c r="Q42" s="36">
        <f t="shared" si="53"/>
        <v>28900</v>
      </c>
      <c r="R42" s="37"/>
      <c r="S42" s="342">
        <v>762356</v>
      </c>
      <c r="T42" s="343"/>
      <c r="U42" s="36">
        <f t="shared" si="54"/>
        <v>176600</v>
      </c>
      <c r="V42" s="342">
        <v>681810</v>
      </c>
      <c r="W42" s="343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19">
        <v>45102317</v>
      </c>
      <c r="D43" s="319"/>
      <c r="E43" s="36">
        <f t="shared" ref="E43" si="84">SUM(C43-C42)*10</f>
        <v>1019020</v>
      </c>
      <c r="F43" s="319">
        <v>5455194</v>
      </c>
      <c r="G43" s="319"/>
      <c r="H43" s="36">
        <f t="shared" ref="H43" si="85">SUM(F43-F42)*10</f>
        <v>280</v>
      </c>
      <c r="I43" s="319">
        <v>17869</v>
      </c>
      <c r="J43" s="319"/>
      <c r="K43" s="36">
        <f t="shared" si="27"/>
        <v>240</v>
      </c>
      <c r="L43" s="319">
        <v>327393</v>
      </c>
      <c r="M43" s="319"/>
      <c r="N43" s="36">
        <f t="shared" si="13"/>
        <v>773000</v>
      </c>
      <c r="O43" s="319">
        <v>15029</v>
      </c>
      <c r="P43" s="319"/>
      <c r="Q43" s="36">
        <f t="shared" si="53"/>
        <v>31500</v>
      </c>
      <c r="R43" s="37"/>
      <c r="S43" s="319">
        <v>764038</v>
      </c>
      <c r="T43" s="319"/>
      <c r="U43" s="36">
        <f t="shared" si="54"/>
        <v>168200</v>
      </c>
      <c r="V43" s="319">
        <v>683590</v>
      </c>
      <c r="W43" s="319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19">
        <v>45220825</v>
      </c>
      <c r="D44" s="319"/>
      <c r="E44" s="36">
        <f t="shared" ref="E44:E64" si="101">SUM(C44-C43)*10</f>
        <v>1185080</v>
      </c>
      <c r="F44" s="319">
        <v>5467166</v>
      </c>
      <c r="G44" s="319"/>
      <c r="H44" s="36">
        <f t="shared" ref="H44:H64" si="102">SUM(F44-F43)*10</f>
        <v>119720</v>
      </c>
      <c r="I44" s="319">
        <v>17888</v>
      </c>
      <c r="J44" s="319"/>
      <c r="K44" s="36">
        <f t="shared" si="27"/>
        <v>190</v>
      </c>
      <c r="L44" s="319">
        <v>328296</v>
      </c>
      <c r="M44" s="319"/>
      <c r="N44" s="36">
        <f t="shared" si="13"/>
        <v>903000</v>
      </c>
      <c r="O44" s="319">
        <v>15358</v>
      </c>
      <c r="P44" s="319"/>
      <c r="Q44" s="36">
        <f>SUM(O44-O43)*100</f>
        <v>32900</v>
      </c>
      <c r="R44" s="37"/>
      <c r="S44" s="319">
        <v>765892</v>
      </c>
      <c r="T44" s="319"/>
      <c r="U44" s="36">
        <f t="shared" si="54"/>
        <v>185400</v>
      </c>
      <c r="V44" s="319">
        <v>685410</v>
      </c>
      <c r="W44" s="319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42">
        <v>45330216</v>
      </c>
      <c r="D45" s="343"/>
      <c r="E45" s="36">
        <f t="shared" si="101"/>
        <v>1093910</v>
      </c>
      <c r="F45" s="342">
        <v>5491142</v>
      </c>
      <c r="G45" s="343"/>
      <c r="H45" s="36">
        <f t="shared" si="102"/>
        <v>239760</v>
      </c>
      <c r="I45" s="342">
        <v>17903</v>
      </c>
      <c r="J45" s="343"/>
      <c r="K45" s="36">
        <f t="shared" si="27"/>
        <v>150</v>
      </c>
      <c r="L45" s="342">
        <v>329137</v>
      </c>
      <c r="M45" s="343"/>
      <c r="N45" s="36">
        <f t="shared" si="13"/>
        <v>841000</v>
      </c>
      <c r="O45" s="342">
        <v>15687</v>
      </c>
      <c r="P45" s="343"/>
      <c r="Q45" s="36">
        <f t="shared" si="53"/>
        <v>32900</v>
      </c>
      <c r="R45" s="37"/>
      <c r="S45" s="342">
        <v>767753</v>
      </c>
      <c r="T45" s="343"/>
      <c r="U45" s="36">
        <f t="shared" si="54"/>
        <v>186100</v>
      </c>
      <c r="V45" s="342">
        <v>687260</v>
      </c>
      <c r="W45" s="343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19">
        <v>45450054</v>
      </c>
      <c r="D46" s="319"/>
      <c r="E46" s="36">
        <f>SUM(C46-C45)*10</f>
        <v>1198380</v>
      </c>
      <c r="F46" s="319">
        <v>5504897</v>
      </c>
      <c r="G46" s="319"/>
      <c r="H46" s="36">
        <f t="shared" si="102"/>
        <v>137550</v>
      </c>
      <c r="I46" s="319">
        <v>17916</v>
      </c>
      <c r="J46" s="319"/>
      <c r="K46" s="36">
        <f t="shared" si="27"/>
        <v>130</v>
      </c>
      <c r="L46" s="319">
        <v>330018</v>
      </c>
      <c r="M46" s="319"/>
      <c r="N46" s="36">
        <f>SUM(L46-L45)*1000</f>
        <v>881000</v>
      </c>
      <c r="O46" s="319">
        <v>15994</v>
      </c>
      <c r="P46" s="319"/>
      <c r="Q46" s="36">
        <f t="shared" si="53"/>
        <v>30700</v>
      </c>
      <c r="R46" s="37"/>
      <c r="S46" s="319">
        <v>769692</v>
      </c>
      <c r="T46" s="319"/>
      <c r="U46" s="36">
        <f t="shared" si="54"/>
        <v>193900</v>
      </c>
      <c r="V46" s="319">
        <v>689310</v>
      </c>
      <c r="W46" s="319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42">
        <v>45582999</v>
      </c>
      <c r="D47" s="343"/>
      <c r="E47" s="36">
        <f t="shared" si="101"/>
        <v>1329450</v>
      </c>
      <c r="F47" s="342">
        <v>5523510</v>
      </c>
      <c r="G47" s="343"/>
      <c r="H47" s="36">
        <f t="shared" si="102"/>
        <v>186130</v>
      </c>
      <c r="I47" s="342">
        <v>17930</v>
      </c>
      <c r="J47" s="343"/>
      <c r="K47" s="36">
        <f t="shared" si="27"/>
        <v>140</v>
      </c>
      <c r="L47" s="342">
        <v>330935</v>
      </c>
      <c r="M47" s="343"/>
      <c r="N47" s="36">
        <f t="shared" si="13"/>
        <v>917000</v>
      </c>
      <c r="O47" s="342">
        <v>16302</v>
      </c>
      <c r="P47" s="343"/>
      <c r="Q47" s="36">
        <f t="shared" si="53"/>
        <v>30800</v>
      </c>
      <c r="R47" s="37"/>
      <c r="S47" s="342">
        <v>771724</v>
      </c>
      <c r="T47" s="343"/>
      <c r="U47" s="36">
        <f t="shared" si="54"/>
        <v>203200</v>
      </c>
      <c r="V47" s="342">
        <v>691940</v>
      </c>
      <c r="W47" s="343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42">
        <v>45649242</v>
      </c>
      <c r="D48" s="343"/>
      <c r="E48" s="36">
        <f t="shared" si="101"/>
        <v>662430</v>
      </c>
      <c r="F48" s="342">
        <v>5534451</v>
      </c>
      <c r="G48" s="343"/>
      <c r="H48" s="36">
        <f t="shared" si="102"/>
        <v>109410</v>
      </c>
      <c r="I48" s="342">
        <v>17943</v>
      </c>
      <c r="J48" s="343"/>
      <c r="K48" s="36">
        <f t="shared" si="27"/>
        <v>130</v>
      </c>
      <c r="L48" s="342">
        <v>331383</v>
      </c>
      <c r="M48" s="343"/>
      <c r="N48" s="36">
        <f t="shared" si="13"/>
        <v>448000</v>
      </c>
      <c r="O48" s="342">
        <v>16482</v>
      </c>
      <c r="P48" s="343"/>
      <c r="Q48" s="36">
        <f t="shared" si="53"/>
        <v>18000</v>
      </c>
      <c r="R48" s="37"/>
      <c r="S48" s="342">
        <v>772800</v>
      </c>
      <c r="T48" s="343"/>
      <c r="U48" s="36">
        <f t="shared" si="54"/>
        <v>107600</v>
      </c>
      <c r="V48" s="342">
        <v>694740</v>
      </c>
      <c r="W48" s="343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42">
        <v>45706737</v>
      </c>
      <c r="D49" s="343"/>
      <c r="E49" s="36">
        <f t="shared" si="101"/>
        <v>574950</v>
      </c>
      <c r="F49" s="342">
        <v>5543250</v>
      </c>
      <c r="G49" s="343"/>
      <c r="H49" s="36">
        <f t="shared" si="102"/>
        <v>87990</v>
      </c>
      <c r="I49" s="342">
        <v>17945</v>
      </c>
      <c r="J49" s="343"/>
      <c r="K49" s="36">
        <f t="shared" si="27"/>
        <v>20</v>
      </c>
      <c r="L49" s="342">
        <v>331804</v>
      </c>
      <c r="M49" s="343"/>
      <c r="N49" s="36">
        <f t="shared" si="13"/>
        <v>421000</v>
      </c>
      <c r="O49" s="342">
        <v>16630</v>
      </c>
      <c r="P49" s="343"/>
      <c r="Q49" s="36">
        <f t="shared" si="53"/>
        <v>14800</v>
      </c>
      <c r="R49" s="37"/>
      <c r="S49" s="342">
        <v>773698</v>
      </c>
      <c r="T49" s="343"/>
      <c r="U49" s="36">
        <f t="shared" si="54"/>
        <v>89800</v>
      </c>
      <c r="V49" s="342">
        <v>696900</v>
      </c>
      <c r="W49" s="343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19">
        <v>45839266</v>
      </c>
      <c r="D50" s="319"/>
      <c r="E50" s="36">
        <f t="shared" si="101"/>
        <v>1325290</v>
      </c>
      <c r="F50" s="319">
        <v>5566840</v>
      </c>
      <c r="G50" s="319"/>
      <c r="H50" s="36">
        <f t="shared" si="102"/>
        <v>235900</v>
      </c>
      <c r="I50" s="319">
        <v>17960</v>
      </c>
      <c r="J50" s="319"/>
      <c r="K50" s="36">
        <f t="shared" si="27"/>
        <v>150</v>
      </c>
      <c r="L50" s="319">
        <v>332755</v>
      </c>
      <c r="M50" s="319"/>
      <c r="N50" s="36">
        <f t="shared" si="13"/>
        <v>951000</v>
      </c>
      <c r="O50" s="319">
        <v>17014</v>
      </c>
      <c r="P50" s="319"/>
      <c r="Q50" s="36">
        <f t="shared" si="53"/>
        <v>38400</v>
      </c>
      <c r="R50" s="37"/>
      <c r="S50" s="319">
        <v>775701</v>
      </c>
      <c r="T50" s="319"/>
      <c r="U50" s="36">
        <f t="shared" si="54"/>
        <v>200300</v>
      </c>
      <c r="V50" s="319">
        <v>700690</v>
      </c>
      <c r="W50" s="319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62" si="131">SUM(AS50-AS49)</f>
        <v>71</v>
      </c>
      <c r="AU50" s="14"/>
      <c r="AV50" s="20">
        <v>1500017</v>
      </c>
      <c r="AW50" s="41">
        <f t="shared" ref="AW50:AW62" si="132">SUM(AV50-AV49)</f>
        <v>53091</v>
      </c>
      <c r="AX50" s="20">
        <v>604212152</v>
      </c>
      <c r="AY50" s="42">
        <f t="shared" ref="AY50:AY62" si="133">SUM(AX50-AX49)/100</f>
        <v>43513.19</v>
      </c>
      <c r="AZ50" s="41">
        <f t="shared" ref="AZ50:AZ62" si="134">SUM(AW50-AY50)</f>
        <v>9577.8099999999977</v>
      </c>
      <c r="BA50" s="20">
        <v>7093800</v>
      </c>
      <c r="BB50" s="258">
        <f t="shared" ref="BB50:BB62" si="135">SUM(BA50-BA49)</f>
        <v>3800</v>
      </c>
      <c r="BC50" s="92">
        <v>3783100</v>
      </c>
      <c r="BD50" s="93">
        <f t="shared" ref="BD50:BD62" si="136">SUM(BC50-BC49)</f>
        <v>1800</v>
      </c>
      <c r="BE50" s="20">
        <v>1132394</v>
      </c>
      <c r="BF50" s="41">
        <f t="shared" ref="BF50:BF62" si="137">SUM(BE50-BE49)</f>
        <v>39</v>
      </c>
    </row>
    <row r="51" spans="2:58" x14ac:dyDescent="0.25">
      <c r="B51" s="71">
        <f t="shared" ref="B51:B52" si="138">B50+7</f>
        <v>44487</v>
      </c>
      <c r="C51" s="319">
        <v>45980053</v>
      </c>
      <c r="D51" s="319"/>
      <c r="E51" s="36">
        <f t="shared" si="101"/>
        <v>1407870</v>
      </c>
      <c r="F51" s="319">
        <v>5592095</v>
      </c>
      <c r="G51" s="319"/>
      <c r="H51" s="36">
        <f t="shared" si="102"/>
        <v>252550</v>
      </c>
      <c r="I51" s="319">
        <v>17975</v>
      </c>
      <c r="J51" s="319"/>
      <c r="K51" s="36">
        <f t="shared" si="27"/>
        <v>150</v>
      </c>
      <c r="L51" s="319">
        <v>333795</v>
      </c>
      <c r="M51" s="319"/>
      <c r="N51" s="36">
        <f t="shared" si="13"/>
        <v>1040000</v>
      </c>
      <c r="O51" s="319">
        <v>17393</v>
      </c>
      <c r="P51" s="319"/>
      <c r="Q51" s="36">
        <f t="shared" si="53"/>
        <v>37900</v>
      </c>
      <c r="R51" s="37"/>
      <c r="S51" s="319">
        <v>778031</v>
      </c>
      <c r="T51" s="319"/>
      <c r="U51" s="36">
        <f t="shared" si="54"/>
        <v>233000</v>
      </c>
      <c r="V51" s="319">
        <v>705540</v>
      </c>
      <c r="W51" s="319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19">
        <v>46117078</v>
      </c>
      <c r="D52" s="319"/>
      <c r="E52" s="36">
        <f t="shared" si="101"/>
        <v>1370250</v>
      </c>
      <c r="F52" s="319">
        <v>5613340</v>
      </c>
      <c r="G52" s="319"/>
      <c r="H52" s="36">
        <f t="shared" si="102"/>
        <v>212450</v>
      </c>
      <c r="I52" s="319">
        <v>17991</v>
      </c>
      <c r="J52" s="319"/>
      <c r="K52" s="36">
        <f t="shared" si="27"/>
        <v>160</v>
      </c>
      <c r="L52" s="319">
        <v>334782</v>
      </c>
      <c r="M52" s="319"/>
      <c r="N52" s="36">
        <f t="shared" si="13"/>
        <v>987000</v>
      </c>
      <c r="O52" s="319">
        <v>17745</v>
      </c>
      <c r="P52" s="319"/>
      <c r="Q52" s="36">
        <f t="shared" si="53"/>
        <v>35200</v>
      </c>
      <c r="R52" s="37"/>
      <c r="S52" s="319">
        <v>780277</v>
      </c>
      <c r="T52" s="319"/>
      <c r="U52" s="36">
        <f t="shared" si="54"/>
        <v>224600</v>
      </c>
      <c r="V52" s="319">
        <v>712620</v>
      </c>
      <c r="W52" s="319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19">
        <v>46225250</v>
      </c>
      <c r="D53" s="319"/>
      <c r="E53" s="36">
        <f t="shared" si="101"/>
        <v>1081720</v>
      </c>
      <c r="F53" s="319">
        <v>5630511</v>
      </c>
      <c r="G53" s="319"/>
      <c r="H53" s="36">
        <f t="shared" si="102"/>
        <v>171710</v>
      </c>
      <c r="I53" s="319">
        <v>18007</v>
      </c>
      <c r="J53" s="319"/>
      <c r="K53" s="36">
        <f t="shared" si="27"/>
        <v>160</v>
      </c>
      <c r="L53" s="319">
        <v>335771</v>
      </c>
      <c r="M53" s="319"/>
      <c r="N53" s="36">
        <f t="shared" si="13"/>
        <v>989000</v>
      </c>
      <c r="O53" s="319">
        <v>18124</v>
      </c>
      <c r="P53" s="319"/>
      <c r="Q53" s="36">
        <f t="shared" si="53"/>
        <v>37900</v>
      </c>
      <c r="R53" s="37"/>
      <c r="S53" s="319">
        <v>782724</v>
      </c>
      <c r="T53" s="319"/>
      <c r="U53" s="36">
        <f t="shared" si="54"/>
        <v>244700</v>
      </c>
      <c r="V53" s="319">
        <v>721110</v>
      </c>
      <c r="W53" s="319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19">
        <v>46368276</v>
      </c>
      <c r="D54" s="319"/>
      <c r="E54" s="36">
        <f t="shared" si="101"/>
        <v>1430260</v>
      </c>
      <c r="F54" s="319">
        <v>5646797</v>
      </c>
      <c r="G54" s="319"/>
      <c r="H54" s="36">
        <f t="shared" si="102"/>
        <v>162860</v>
      </c>
      <c r="I54" s="319">
        <v>18023</v>
      </c>
      <c r="J54" s="319"/>
      <c r="K54" s="36">
        <f t="shared" si="27"/>
        <v>160</v>
      </c>
      <c r="L54" s="319">
        <v>336736</v>
      </c>
      <c r="M54" s="319"/>
      <c r="N54" s="36">
        <f t="shared" si="13"/>
        <v>965000</v>
      </c>
      <c r="O54" s="319">
        <v>18489</v>
      </c>
      <c r="P54" s="319"/>
      <c r="Q54" s="36">
        <f t="shared" si="53"/>
        <v>36500</v>
      </c>
      <c r="R54" s="37"/>
      <c r="S54" s="319">
        <v>795257</v>
      </c>
      <c r="T54" s="319"/>
      <c r="U54" s="36">
        <f t="shared" si="54"/>
        <v>1253300</v>
      </c>
      <c r="V54" s="319">
        <v>736250</v>
      </c>
      <c r="W54" s="319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19">
        <v>46479637</v>
      </c>
      <c r="D55" s="319"/>
      <c r="E55" s="36">
        <f t="shared" si="101"/>
        <v>1113610</v>
      </c>
      <c r="F55" s="319">
        <v>5664517</v>
      </c>
      <c r="G55" s="319"/>
      <c r="H55" s="36">
        <f t="shared" si="102"/>
        <v>177200</v>
      </c>
      <c r="I55" s="319">
        <v>18041</v>
      </c>
      <c r="J55" s="319"/>
      <c r="K55" s="36">
        <f t="shared" si="27"/>
        <v>180</v>
      </c>
      <c r="L55" s="319">
        <v>337582</v>
      </c>
      <c r="M55" s="319"/>
      <c r="N55" s="36">
        <f t="shared" si="13"/>
        <v>846000</v>
      </c>
      <c r="O55" s="319">
        <v>18824</v>
      </c>
      <c r="P55" s="319"/>
      <c r="Q55" s="36">
        <f t="shared" si="53"/>
        <v>33500</v>
      </c>
      <c r="R55" s="37"/>
      <c r="S55" s="321">
        <v>797555</v>
      </c>
      <c r="T55" s="322"/>
      <c r="U55" s="36">
        <f t="shared" si="54"/>
        <v>229800</v>
      </c>
      <c r="V55" s="319">
        <v>748180</v>
      </c>
      <c r="W55" s="319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19">
        <v>46590887</v>
      </c>
      <c r="D56" s="319"/>
      <c r="E56" s="36">
        <f t="shared" si="101"/>
        <v>1112500</v>
      </c>
      <c r="F56" s="319">
        <v>5672670</v>
      </c>
      <c r="G56" s="319"/>
      <c r="H56" s="36">
        <f t="shared" si="102"/>
        <v>81530</v>
      </c>
      <c r="I56" s="319">
        <v>18071</v>
      </c>
      <c r="J56" s="319"/>
      <c r="K56" s="36">
        <f t="shared" si="27"/>
        <v>300</v>
      </c>
      <c r="L56" s="319">
        <v>338418</v>
      </c>
      <c r="M56" s="319"/>
      <c r="N56" s="36">
        <f t="shared" si="13"/>
        <v>836000</v>
      </c>
      <c r="O56" s="319">
        <v>19195</v>
      </c>
      <c r="P56" s="319"/>
      <c r="Q56" s="36">
        <f t="shared" si="53"/>
        <v>37100</v>
      </c>
      <c r="R56" s="37"/>
      <c r="S56" s="321">
        <v>790041</v>
      </c>
      <c r="T56" s="322"/>
      <c r="U56" s="36">
        <f t="shared" si="54"/>
        <v>-751400</v>
      </c>
      <c r="V56" s="319">
        <v>761230</v>
      </c>
      <c r="W56" s="319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C57" s="319">
        <v>46698265</v>
      </c>
      <c r="D57" s="319"/>
      <c r="E57" s="36">
        <f t="shared" si="101"/>
        <v>1073780</v>
      </c>
      <c r="F57" s="319">
        <v>5685852</v>
      </c>
      <c r="G57" s="319"/>
      <c r="H57" s="36">
        <f t="shared" si="102"/>
        <v>131820</v>
      </c>
      <c r="I57" s="319">
        <v>18077</v>
      </c>
      <c r="J57" s="319"/>
      <c r="K57" s="36">
        <f t="shared" si="27"/>
        <v>60</v>
      </c>
      <c r="L57" s="319">
        <v>339189</v>
      </c>
      <c r="M57" s="319"/>
      <c r="N57" s="36">
        <f t="shared" si="13"/>
        <v>771000</v>
      </c>
      <c r="O57" s="319">
        <v>19549</v>
      </c>
      <c r="P57" s="319"/>
      <c r="Q57" s="36">
        <f t="shared" si="53"/>
        <v>35400</v>
      </c>
      <c r="R57" s="37"/>
      <c r="S57" s="321">
        <v>792457</v>
      </c>
      <c r="T57" s="322"/>
      <c r="U57" s="36">
        <f t="shared" si="54"/>
        <v>241600</v>
      </c>
      <c r="V57" s="319">
        <v>778280</v>
      </c>
      <c r="W57" s="319"/>
      <c r="X57" s="36">
        <f t="shared" si="139"/>
        <v>1705000</v>
      </c>
      <c r="Y57" s="40">
        <f t="shared" si="140"/>
        <v>1946600</v>
      </c>
      <c r="Z57" s="38"/>
      <c r="AA57" s="20">
        <v>24993</v>
      </c>
      <c r="AB57" s="41">
        <f t="shared" si="123"/>
        <v>1120000</v>
      </c>
      <c r="AC57" s="20">
        <v>674196200</v>
      </c>
      <c r="AD57" s="41">
        <f t="shared" si="124"/>
        <v>423700</v>
      </c>
      <c r="AE57" s="20">
        <v>119554</v>
      </c>
      <c r="AF57" s="41">
        <f t="shared" si="125"/>
        <v>1960</v>
      </c>
      <c r="AG57" s="20">
        <v>3687840</v>
      </c>
      <c r="AH57" s="41">
        <f t="shared" si="126"/>
        <v>40380</v>
      </c>
      <c r="AI57" s="20">
        <v>4548552</v>
      </c>
      <c r="AJ57" s="41">
        <f t="shared" si="127"/>
        <v>10634</v>
      </c>
      <c r="AK57" s="20">
        <v>24605</v>
      </c>
      <c r="AL57" s="41">
        <f t="shared" si="128"/>
        <v>174000</v>
      </c>
      <c r="AM57" s="20">
        <v>1255</v>
      </c>
      <c r="AN57" s="41">
        <f t="shared" si="129"/>
        <v>8</v>
      </c>
      <c r="AO57" s="20">
        <v>13155</v>
      </c>
      <c r="AP57" s="41">
        <f t="shared" si="130"/>
        <v>3500</v>
      </c>
      <c r="AQ57" s="39"/>
      <c r="AR57" s="118">
        <f t="shared" si="0"/>
        <v>44529</v>
      </c>
      <c r="AS57" s="20">
        <v>3447</v>
      </c>
      <c r="AT57" s="41">
        <f t="shared" si="131"/>
        <v>120</v>
      </c>
      <c r="AU57" s="14"/>
      <c r="AV57" s="20">
        <v>1877642</v>
      </c>
      <c r="AW57" s="41">
        <f t="shared" si="132"/>
        <v>50655</v>
      </c>
      <c r="AX57" s="20">
        <v>634637372</v>
      </c>
      <c r="AY57" s="42">
        <f t="shared" si="133"/>
        <v>39833.360000000001</v>
      </c>
      <c r="AZ57" s="41">
        <f t="shared" si="134"/>
        <v>10821.64</v>
      </c>
      <c r="BA57" s="20">
        <v>7117500</v>
      </c>
      <c r="BB57" s="258">
        <f t="shared" si="135"/>
        <v>2900</v>
      </c>
      <c r="BC57" s="92">
        <v>3790000</v>
      </c>
      <c r="BD57" s="93">
        <f t="shared" si="136"/>
        <v>400</v>
      </c>
      <c r="BE57" s="20">
        <v>1132607</v>
      </c>
      <c r="BF57" s="41">
        <f t="shared" si="137"/>
        <v>4</v>
      </c>
    </row>
    <row r="58" spans="2:58" x14ac:dyDescent="0.25">
      <c r="B58" s="71">
        <f t="shared" si="141"/>
        <v>44536</v>
      </c>
      <c r="C58" s="319">
        <v>46726672</v>
      </c>
      <c r="D58" s="319"/>
      <c r="E58" s="36">
        <f t="shared" si="101"/>
        <v>284070</v>
      </c>
      <c r="F58" s="319">
        <v>5689836</v>
      </c>
      <c r="G58" s="319"/>
      <c r="H58" s="36">
        <f t="shared" si="102"/>
        <v>39840</v>
      </c>
      <c r="I58" s="319">
        <v>18092</v>
      </c>
      <c r="J58" s="319"/>
      <c r="K58" s="36">
        <f t="shared" si="27"/>
        <v>150</v>
      </c>
      <c r="L58" s="319">
        <v>339373</v>
      </c>
      <c r="M58" s="319"/>
      <c r="N58" s="36">
        <f t="shared" si="13"/>
        <v>184000</v>
      </c>
      <c r="O58" s="319">
        <v>19657</v>
      </c>
      <c r="P58" s="319"/>
      <c r="Q58" s="36">
        <f t="shared" si="53"/>
        <v>10800</v>
      </c>
      <c r="R58" s="37"/>
      <c r="S58" s="321">
        <v>793168</v>
      </c>
      <c r="T58" s="322"/>
      <c r="U58" s="36">
        <f t="shared" si="54"/>
        <v>71100</v>
      </c>
      <c r="V58" s="319">
        <v>793168</v>
      </c>
      <c r="W58" s="319"/>
      <c r="X58" s="36">
        <f t="shared" si="139"/>
        <v>1488800</v>
      </c>
      <c r="Y58" s="40">
        <f t="shared" si="140"/>
        <v>1559900</v>
      </c>
      <c r="Z58" s="38"/>
      <c r="AA58" s="20">
        <v>25020</v>
      </c>
      <c r="AB58" s="41">
        <f t="shared" si="123"/>
        <v>270000</v>
      </c>
      <c r="AC58" s="20">
        <v>675456600</v>
      </c>
      <c r="AD58" s="41">
        <f t="shared" si="124"/>
        <v>126040</v>
      </c>
      <c r="AE58" s="20">
        <v>119590</v>
      </c>
      <c r="AF58" s="41">
        <f t="shared" si="125"/>
        <v>360</v>
      </c>
      <c r="AG58" s="20">
        <v>3689416</v>
      </c>
      <c r="AH58" s="41">
        <f t="shared" si="126"/>
        <v>15760</v>
      </c>
      <c r="AI58" s="20">
        <v>4551206</v>
      </c>
      <c r="AJ58" s="41">
        <f t="shared" si="127"/>
        <v>2654</v>
      </c>
      <c r="AK58" s="20">
        <v>24664</v>
      </c>
      <c r="AL58" s="41">
        <f t="shared" si="128"/>
        <v>59000</v>
      </c>
      <c r="AM58" s="20">
        <v>1258</v>
      </c>
      <c r="AN58" s="41">
        <f t="shared" si="129"/>
        <v>3</v>
      </c>
      <c r="AO58" s="20">
        <v>13192</v>
      </c>
      <c r="AP58" s="41">
        <f t="shared" si="130"/>
        <v>3700</v>
      </c>
      <c r="AQ58" s="39"/>
      <c r="AR58" s="118">
        <f t="shared" si="0"/>
        <v>44536</v>
      </c>
      <c r="AS58" s="20">
        <v>3498</v>
      </c>
      <c r="AT58" s="41">
        <f t="shared" si="131"/>
        <v>51</v>
      </c>
      <c r="AU58" s="14"/>
      <c r="AV58" s="20">
        <v>1898258</v>
      </c>
      <c r="AW58" s="41">
        <f t="shared" si="132"/>
        <v>20616</v>
      </c>
      <c r="AX58" s="20">
        <v>636344321</v>
      </c>
      <c r="AY58" s="42">
        <f t="shared" si="133"/>
        <v>17069.490000000002</v>
      </c>
      <c r="AZ58" s="41">
        <f t="shared" si="134"/>
        <v>3546.5099999999984</v>
      </c>
      <c r="BA58" s="20">
        <v>7118800</v>
      </c>
      <c r="BB58" s="258">
        <f t="shared" si="135"/>
        <v>1300</v>
      </c>
      <c r="BC58" s="92">
        <v>3790100</v>
      </c>
      <c r="BD58" s="93">
        <f t="shared" si="136"/>
        <v>100</v>
      </c>
      <c r="BE58" s="20">
        <v>1132867</v>
      </c>
      <c r="BF58" s="41">
        <f t="shared" si="137"/>
        <v>260</v>
      </c>
    </row>
    <row r="59" spans="2:58" x14ac:dyDescent="0.25">
      <c r="B59" s="71">
        <v>44531</v>
      </c>
      <c r="C59" s="319">
        <v>46810537</v>
      </c>
      <c r="D59" s="319"/>
      <c r="E59" s="36">
        <f t="shared" si="101"/>
        <v>838650</v>
      </c>
      <c r="F59" s="319">
        <v>5697938</v>
      </c>
      <c r="G59" s="319"/>
      <c r="H59" s="36">
        <f t="shared" si="102"/>
        <v>81020</v>
      </c>
      <c r="I59" s="319">
        <v>18099</v>
      </c>
      <c r="J59" s="319"/>
      <c r="K59" s="36">
        <f t="shared" si="27"/>
        <v>70</v>
      </c>
      <c r="L59" s="319">
        <v>339962</v>
      </c>
      <c r="M59" s="319"/>
      <c r="N59" s="36">
        <f t="shared" si="13"/>
        <v>589000</v>
      </c>
      <c r="O59" s="319">
        <v>19922</v>
      </c>
      <c r="P59" s="319"/>
      <c r="Q59" s="36">
        <f t="shared" si="53"/>
        <v>26500</v>
      </c>
      <c r="R59" s="37"/>
      <c r="S59" s="321">
        <v>795021</v>
      </c>
      <c r="T59" s="322"/>
      <c r="U59" s="36">
        <f t="shared" si="54"/>
        <v>185300</v>
      </c>
      <c r="V59" s="319">
        <v>794330</v>
      </c>
      <c r="W59" s="319"/>
      <c r="X59" s="36">
        <f t="shared" si="139"/>
        <v>116200</v>
      </c>
      <c r="Y59" s="40">
        <f t="shared" si="140"/>
        <v>301500</v>
      </c>
      <c r="Z59" s="38"/>
      <c r="AA59" s="20">
        <v>25114</v>
      </c>
      <c r="AB59" s="41">
        <f t="shared" si="123"/>
        <v>940000</v>
      </c>
      <c r="AC59" s="20">
        <v>678407500</v>
      </c>
      <c r="AD59" s="41">
        <f t="shared" si="124"/>
        <v>295090</v>
      </c>
      <c r="AE59" s="20">
        <v>119748</v>
      </c>
      <c r="AF59" s="41">
        <f t="shared" si="125"/>
        <v>1580</v>
      </c>
      <c r="AG59" s="20">
        <v>3694999</v>
      </c>
      <c r="AH59" s="41">
        <f t="shared" si="126"/>
        <v>55830</v>
      </c>
      <c r="AI59" s="20">
        <v>4558014</v>
      </c>
      <c r="AJ59" s="41">
        <f t="shared" si="127"/>
        <v>6808</v>
      </c>
      <c r="AK59" s="20">
        <v>24793</v>
      </c>
      <c r="AL59" s="41">
        <f t="shared" si="128"/>
        <v>129000</v>
      </c>
      <c r="AM59" s="20">
        <v>1263</v>
      </c>
      <c r="AN59" s="41">
        <f t="shared" si="129"/>
        <v>5</v>
      </c>
      <c r="AO59" s="20">
        <v>13225</v>
      </c>
      <c r="AP59" s="41">
        <f t="shared" si="130"/>
        <v>3300</v>
      </c>
      <c r="AQ59" s="39"/>
      <c r="AR59" s="118">
        <f t="shared" si="0"/>
        <v>44531</v>
      </c>
      <c r="AS59" s="20">
        <v>3569</v>
      </c>
      <c r="AT59" s="41">
        <f t="shared" si="131"/>
        <v>71</v>
      </c>
      <c r="AU59" s="14"/>
      <c r="AV59" s="20">
        <v>1927045</v>
      </c>
      <c r="AW59" s="41">
        <f t="shared" si="132"/>
        <v>28787</v>
      </c>
      <c r="AX59" s="20">
        <v>638575168</v>
      </c>
      <c r="AY59" s="42">
        <f t="shared" si="133"/>
        <v>22308.47</v>
      </c>
      <c r="AZ59" s="41">
        <f t="shared" si="134"/>
        <v>6478.5299999999988</v>
      </c>
      <c r="BA59" s="20">
        <v>7120600</v>
      </c>
      <c r="BB59" s="258">
        <f t="shared" si="135"/>
        <v>1800</v>
      </c>
      <c r="BC59" s="92">
        <v>3790300</v>
      </c>
      <c r="BD59" s="93">
        <f t="shared" si="136"/>
        <v>200</v>
      </c>
      <c r="BE59" s="20">
        <v>1132873</v>
      </c>
      <c r="BF59" s="41">
        <f t="shared" si="137"/>
        <v>6</v>
      </c>
    </row>
    <row r="60" spans="2:58" x14ac:dyDescent="0.25">
      <c r="B60" s="71">
        <v>44537</v>
      </c>
      <c r="C60" s="319">
        <v>46934470</v>
      </c>
      <c r="D60" s="319"/>
      <c r="E60" s="36">
        <f t="shared" si="101"/>
        <v>1239330</v>
      </c>
      <c r="F60" s="319">
        <v>5706929</v>
      </c>
      <c r="G60" s="319"/>
      <c r="H60" s="36">
        <f t="shared" si="102"/>
        <v>89910</v>
      </c>
      <c r="I60" s="319">
        <v>18121</v>
      </c>
      <c r="J60" s="319"/>
      <c r="K60" s="36">
        <f t="shared" si="27"/>
        <v>220</v>
      </c>
      <c r="L60" s="319">
        <v>340839</v>
      </c>
      <c r="M60" s="319"/>
      <c r="N60" s="36">
        <f t="shared" si="13"/>
        <v>877000</v>
      </c>
      <c r="O60" s="319">
        <v>20299</v>
      </c>
      <c r="P60" s="319"/>
      <c r="Q60" s="36">
        <f t="shared" si="53"/>
        <v>37700</v>
      </c>
      <c r="R60" s="37"/>
      <c r="S60" s="321">
        <v>797461</v>
      </c>
      <c r="T60" s="322"/>
      <c r="U60" s="36">
        <f t="shared" si="54"/>
        <v>244000</v>
      </c>
      <c r="V60" s="319">
        <v>803650</v>
      </c>
      <c r="W60" s="319"/>
      <c r="X60" s="36">
        <f t="shared" si="139"/>
        <v>932000</v>
      </c>
      <c r="Y60" s="40">
        <f t="shared" si="140"/>
        <v>1176000</v>
      </c>
      <c r="Z60" s="38"/>
      <c r="AA60" s="20">
        <v>25322</v>
      </c>
      <c r="AB60" s="41">
        <f t="shared" si="123"/>
        <v>2080000</v>
      </c>
      <c r="AC60" s="20">
        <v>684358400</v>
      </c>
      <c r="AD60" s="41">
        <f t="shared" si="124"/>
        <v>595090</v>
      </c>
      <c r="AE60" s="20">
        <v>119998</v>
      </c>
      <c r="AF60" s="41">
        <f t="shared" si="125"/>
        <v>2500</v>
      </c>
      <c r="AG60" s="20">
        <v>3702327</v>
      </c>
      <c r="AH60" s="41">
        <f t="shared" si="126"/>
        <v>73280</v>
      </c>
      <c r="AI60" s="20">
        <v>4570878</v>
      </c>
      <c r="AJ60" s="41">
        <f t="shared" si="127"/>
        <v>12864</v>
      </c>
      <c r="AK60" s="20">
        <v>24975</v>
      </c>
      <c r="AL60" s="41">
        <f t="shared" si="128"/>
        <v>182000</v>
      </c>
      <c r="AM60" s="20">
        <v>1268</v>
      </c>
      <c r="AN60" s="41">
        <f t="shared" si="129"/>
        <v>5</v>
      </c>
      <c r="AO60" s="20">
        <v>13268</v>
      </c>
      <c r="AP60" s="41">
        <f t="shared" si="130"/>
        <v>4300</v>
      </c>
      <c r="AQ60" s="39"/>
      <c r="AR60" s="118">
        <f t="shared" si="0"/>
        <v>44537</v>
      </c>
      <c r="AS60" s="20">
        <v>3699</v>
      </c>
      <c r="AT60" s="41">
        <f t="shared" si="131"/>
        <v>130</v>
      </c>
      <c r="AU60" s="14"/>
      <c r="AV60" s="20">
        <v>1977794</v>
      </c>
      <c r="AW60" s="41">
        <f t="shared" si="132"/>
        <v>50749</v>
      </c>
      <c r="AX60" s="20">
        <v>642467688</v>
      </c>
      <c r="AY60" s="42">
        <f t="shared" si="133"/>
        <v>38925.199999999997</v>
      </c>
      <c r="AZ60" s="41">
        <f t="shared" si="134"/>
        <v>11823.800000000003</v>
      </c>
      <c r="BA60" s="20">
        <v>7124500</v>
      </c>
      <c r="BB60" s="258">
        <f t="shared" si="135"/>
        <v>3900</v>
      </c>
      <c r="BC60" s="92">
        <v>3790500</v>
      </c>
      <c r="BD60" s="93">
        <f t="shared" si="136"/>
        <v>200</v>
      </c>
      <c r="BE60" s="20">
        <v>1133008</v>
      </c>
      <c r="BF60" s="41">
        <f t="shared" si="137"/>
        <v>135</v>
      </c>
    </row>
    <row r="61" spans="2:58" x14ac:dyDescent="0.25">
      <c r="B61" s="71">
        <f>B60+7</f>
        <v>44544</v>
      </c>
      <c r="C61" s="319">
        <v>47068325</v>
      </c>
      <c r="D61" s="319"/>
      <c r="E61" s="36">
        <f t="shared" si="101"/>
        <v>1338550</v>
      </c>
      <c r="F61" s="319">
        <v>5721425</v>
      </c>
      <c r="G61" s="319"/>
      <c r="H61" s="36">
        <f t="shared" si="102"/>
        <v>144960</v>
      </c>
      <c r="I61" s="319">
        <v>18144</v>
      </c>
      <c r="J61" s="319"/>
      <c r="K61" s="36">
        <f t="shared" si="27"/>
        <v>230</v>
      </c>
      <c r="L61" s="319">
        <v>341810</v>
      </c>
      <c r="M61" s="319"/>
      <c r="N61" s="36">
        <f t="shared" si="13"/>
        <v>971000</v>
      </c>
      <c r="O61" s="319">
        <v>20681</v>
      </c>
      <c r="P61" s="319"/>
      <c r="Q61" s="36">
        <f t="shared" si="53"/>
        <v>38200</v>
      </c>
      <c r="R61" s="37"/>
      <c r="S61" s="321">
        <v>799992</v>
      </c>
      <c r="T61" s="322"/>
      <c r="U61" s="36">
        <f t="shared" si="54"/>
        <v>253100</v>
      </c>
      <c r="V61" s="319">
        <v>813430</v>
      </c>
      <c r="W61" s="319"/>
      <c r="X61" s="36">
        <f t="shared" si="139"/>
        <v>978000</v>
      </c>
      <c r="Y61" s="40">
        <f t="shared" si="140"/>
        <v>1231100</v>
      </c>
      <c r="Z61" s="38"/>
      <c r="AA61" s="20">
        <v>25560</v>
      </c>
      <c r="AB61" s="41">
        <f t="shared" si="123"/>
        <v>2380000</v>
      </c>
      <c r="AC61" s="20">
        <v>691239900</v>
      </c>
      <c r="AD61" s="41">
        <f t="shared" si="124"/>
        <v>688150</v>
      </c>
      <c r="AE61" s="20">
        <v>120227</v>
      </c>
      <c r="AF61" s="41">
        <f t="shared" si="125"/>
        <v>2290</v>
      </c>
      <c r="AG61" s="20">
        <v>3710434</v>
      </c>
      <c r="AH61" s="41">
        <f t="shared" si="126"/>
        <v>81070</v>
      </c>
      <c r="AI61" s="20">
        <v>4582062</v>
      </c>
      <c r="AJ61" s="41">
        <f t="shared" si="127"/>
        <v>11184</v>
      </c>
      <c r="AK61" s="20">
        <v>25163</v>
      </c>
      <c r="AL61" s="41">
        <f t="shared" si="128"/>
        <v>188000</v>
      </c>
      <c r="AM61" s="20">
        <v>1274</v>
      </c>
      <c r="AN61" s="41">
        <f t="shared" si="129"/>
        <v>6</v>
      </c>
      <c r="AO61" s="20">
        <v>13334</v>
      </c>
      <c r="AP61" s="41">
        <f t="shared" si="130"/>
        <v>6600</v>
      </c>
      <c r="AQ61" s="39"/>
      <c r="AR61" s="118">
        <f t="shared" si="0"/>
        <v>44544</v>
      </c>
      <c r="AS61" s="20">
        <v>3699</v>
      </c>
      <c r="AT61" s="41">
        <f t="shared" si="131"/>
        <v>0</v>
      </c>
      <c r="AU61" s="14"/>
      <c r="AV61" s="20">
        <v>2031000</v>
      </c>
      <c r="AW61" s="41">
        <f t="shared" si="132"/>
        <v>53206</v>
      </c>
      <c r="AX61" s="20">
        <v>648300000</v>
      </c>
      <c r="AY61" s="42">
        <f t="shared" si="133"/>
        <v>58323.12</v>
      </c>
      <c r="AZ61" s="41">
        <f t="shared" si="134"/>
        <v>-5117.1200000000026</v>
      </c>
      <c r="BA61" s="20">
        <v>7127000</v>
      </c>
      <c r="BB61" s="258">
        <f t="shared" si="135"/>
        <v>2500</v>
      </c>
      <c r="BC61" s="92">
        <v>3790750</v>
      </c>
      <c r="BD61" s="93">
        <f t="shared" si="136"/>
        <v>250</v>
      </c>
      <c r="BE61" s="20">
        <v>1133008</v>
      </c>
      <c r="BF61" s="41">
        <f t="shared" si="137"/>
        <v>0</v>
      </c>
    </row>
    <row r="62" spans="2:58" x14ac:dyDescent="0.25">
      <c r="B62" s="71">
        <f t="shared" ref="B62:B63" si="142">B61+7</f>
        <v>44551</v>
      </c>
      <c r="C62" s="319">
        <v>47186225</v>
      </c>
      <c r="D62" s="319"/>
      <c r="E62" s="36">
        <f t="shared" si="101"/>
        <v>1179000</v>
      </c>
      <c r="F62" s="319">
        <v>5729201</v>
      </c>
      <c r="G62" s="319"/>
      <c r="H62" s="36">
        <f t="shared" si="102"/>
        <v>77760</v>
      </c>
      <c r="I62" s="319">
        <v>18165</v>
      </c>
      <c r="J62" s="319"/>
      <c r="K62" s="36">
        <f t="shared" si="27"/>
        <v>210</v>
      </c>
      <c r="L62" s="319">
        <v>342645</v>
      </c>
      <c r="M62" s="319"/>
      <c r="N62" s="36">
        <f t="shared" si="13"/>
        <v>835000</v>
      </c>
      <c r="O62" s="319">
        <v>21065</v>
      </c>
      <c r="P62" s="319"/>
      <c r="Q62" s="36">
        <f t="shared" si="53"/>
        <v>38400</v>
      </c>
      <c r="R62" s="37"/>
      <c r="S62" s="321">
        <v>802559</v>
      </c>
      <c r="T62" s="322"/>
      <c r="U62" s="36">
        <f t="shared" si="54"/>
        <v>256700</v>
      </c>
      <c r="V62" s="319">
        <v>829790</v>
      </c>
      <c r="W62" s="319"/>
      <c r="X62" s="36">
        <f t="shared" si="139"/>
        <v>1636000</v>
      </c>
      <c r="Y62" s="40">
        <f t="shared" si="140"/>
        <v>1892700</v>
      </c>
      <c r="Z62" s="38"/>
      <c r="AA62" s="20">
        <v>25686</v>
      </c>
      <c r="AB62" s="41">
        <f t="shared" si="123"/>
        <v>1260000</v>
      </c>
      <c r="AC62" s="20">
        <v>695657000</v>
      </c>
      <c r="AD62" s="41">
        <f t="shared" si="124"/>
        <v>441710</v>
      </c>
      <c r="AE62" s="20">
        <v>120343</v>
      </c>
      <c r="AF62" s="41">
        <f t="shared" si="125"/>
        <v>1160</v>
      </c>
      <c r="AG62" s="20">
        <v>3718251</v>
      </c>
      <c r="AH62" s="41">
        <f t="shared" si="126"/>
        <v>78170</v>
      </c>
      <c r="AI62" s="20">
        <v>4591621</v>
      </c>
      <c r="AJ62" s="41">
        <f t="shared" si="127"/>
        <v>9559</v>
      </c>
      <c r="AK62" s="20">
        <v>25321</v>
      </c>
      <c r="AL62" s="41">
        <f t="shared" si="128"/>
        <v>158000</v>
      </c>
      <c r="AM62" s="20">
        <v>1285</v>
      </c>
      <c r="AN62" s="41">
        <f t="shared" si="129"/>
        <v>11</v>
      </c>
      <c r="AO62" s="20">
        <v>13350</v>
      </c>
      <c r="AP62" s="41">
        <f t="shared" si="130"/>
        <v>1600</v>
      </c>
      <c r="AQ62" s="39"/>
      <c r="AR62" s="118">
        <f t="shared" si="0"/>
        <v>44551</v>
      </c>
      <c r="AS62" s="20">
        <v>3971</v>
      </c>
      <c r="AT62" s="41">
        <f t="shared" si="131"/>
        <v>272</v>
      </c>
      <c r="AU62" s="14"/>
      <c r="AV62" s="20">
        <v>2079437</v>
      </c>
      <c r="AW62" s="41">
        <f t="shared" si="132"/>
        <v>48437</v>
      </c>
      <c r="AX62" s="20">
        <v>650376651</v>
      </c>
      <c r="AY62" s="42">
        <f t="shared" si="133"/>
        <v>20766.509999999998</v>
      </c>
      <c r="AZ62" s="41">
        <f t="shared" si="134"/>
        <v>27670.49</v>
      </c>
      <c r="BA62" s="20">
        <v>7129500</v>
      </c>
      <c r="BB62" s="258">
        <f t="shared" si="135"/>
        <v>2500</v>
      </c>
      <c r="BC62" s="92">
        <v>3791000</v>
      </c>
      <c r="BD62" s="93">
        <f t="shared" si="136"/>
        <v>250</v>
      </c>
      <c r="BE62" s="20">
        <v>1133030</v>
      </c>
      <c r="BF62" s="41">
        <f t="shared" si="137"/>
        <v>22</v>
      </c>
    </row>
    <row r="63" spans="2:58" x14ac:dyDescent="0.25">
      <c r="B63" s="71">
        <f t="shared" si="142"/>
        <v>44558</v>
      </c>
      <c r="E63" s="36">
        <f t="shared" si="101"/>
        <v>-471862250</v>
      </c>
      <c r="H63" s="36">
        <f t="shared" si="102"/>
        <v>-57292010</v>
      </c>
      <c r="K63" s="36">
        <f t="shared" si="27"/>
        <v>-181650</v>
      </c>
      <c r="N63" s="36">
        <f t="shared" si="13"/>
        <v>-342645000</v>
      </c>
      <c r="Q63" s="36">
        <f t="shared" si="53"/>
        <v>-2106500</v>
      </c>
      <c r="R63" s="37"/>
      <c r="U63" s="36">
        <f t="shared" si="54"/>
        <v>-80255900</v>
      </c>
      <c r="X63" s="36">
        <f t="shared" si="139"/>
        <v>-82979000</v>
      </c>
      <c r="Y63" s="40">
        <f t="shared" si="140"/>
        <v>-163234900</v>
      </c>
      <c r="Z63" s="38"/>
      <c r="AB63" s="41">
        <f t="shared" si="123"/>
        <v>-256860000</v>
      </c>
      <c r="AD63" s="41">
        <f t="shared" si="124"/>
        <v>-69565700</v>
      </c>
      <c r="AF63" s="41">
        <f t="shared" si="125"/>
        <v>-1203430</v>
      </c>
      <c r="AH63" s="41">
        <f t="shared" si="126"/>
        <v>-37182510</v>
      </c>
      <c r="AJ63" s="41">
        <f t="shared" si="127"/>
        <v>-4591621</v>
      </c>
      <c r="AL63" s="41">
        <f t="shared" si="128"/>
        <v>-25321000</v>
      </c>
      <c r="AN63" s="41">
        <f t="shared" si="129"/>
        <v>-1285</v>
      </c>
      <c r="AP63" s="41">
        <f t="shared" si="130"/>
        <v>-1335000</v>
      </c>
      <c r="AQ63" s="39"/>
      <c r="AR63" s="118">
        <f t="shared" si="0"/>
        <v>44558</v>
      </c>
      <c r="AU63" s="14"/>
    </row>
    <row r="64" spans="2:58" x14ac:dyDescent="0.25">
      <c r="B64" s="71">
        <v>44562</v>
      </c>
      <c r="E64" s="36">
        <f t="shared" si="101"/>
        <v>0</v>
      </c>
      <c r="H64" s="36">
        <f t="shared" si="102"/>
        <v>0</v>
      </c>
      <c r="K64" s="36">
        <f t="shared" si="27"/>
        <v>0</v>
      </c>
      <c r="N64" s="36">
        <f t="shared" si="13"/>
        <v>0</v>
      </c>
      <c r="Q64" s="36">
        <f t="shared" si="53"/>
        <v>0</v>
      </c>
      <c r="R64" s="37"/>
      <c r="U64" s="36">
        <f t="shared" si="54"/>
        <v>0</v>
      </c>
      <c r="X64" s="36">
        <f t="shared" si="139"/>
        <v>0</v>
      </c>
      <c r="Y64" s="40">
        <f t="shared" si="140"/>
        <v>0</v>
      </c>
      <c r="Z64" s="38"/>
      <c r="AB64" s="41">
        <f t="shared" si="123"/>
        <v>0</v>
      </c>
      <c r="AD64" s="41">
        <f t="shared" si="124"/>
        <v>0</v>
      </c>
      <c r="AF64" s="41">
        <f t="shared" si="125"/>
        <v>0</v>
      </c>
      <c r="AH64" s="41">
        <f t="shared" si="126"/>
        <v>0</v>
      </c>
      <c r="AJ64" s="41">
        <f t="shared" si="127"/>
        <v>0</v>
      </c>
      <c r="AL64" s="41">
        <f t="shared" si="128"/>
        <v>0</v>
      </c>
      <c r="AN64" s="41">
        <f t="shared" si="129"/>
        <v>0</v>
      </c>
      <c r="AP64" s="41">
        <f t="shared" si="130"/>
        <v>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73"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S47:T47"/>
    <mergeCell ref="V47:W47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51:W51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L54:M54"/>
    <mergeCell ref="O54:P54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55:D55"/>
    <mergeCell ref="F55:G55"/>
    <mergeCell ref="I55:J55"/>
    <mergeCell ref="L55:M55"/>
    <mergeCell ref="O55:P55"/>
    <mergeCell ref="S54:T54"/>
    <mergeCell ref="V54:W54"/>
    <mergeCell ref="C59:D59"/>
    <mergeCell ref="F59:G59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308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2021-12-27T16:57:29Z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