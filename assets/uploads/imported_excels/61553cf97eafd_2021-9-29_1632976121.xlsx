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8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3" l="1"/>
  <c r="G26" i="3"/>
  <c r="G27" i="3"/>
  <c r="G25" i="2" l="1"/>
  <c r="T22" i="1" l="1"/>
  <c r="B32" i="2" l="1"/>
  <c r="B33" i="2" s="1"/>
  <c r="P19" i="2" l="1"/>
  <c r="P20" i="2" s="1"/>
  <c r="P21" i="2" s="1"/>
  <c r="P22" i="2" s="1"/>
  <c r="P23" i="2" s="1"/>
  <c r="P25" i="2" s="1"/>
  <c r="P26" i="2" s="1"/>
  <c r="P27" i="2" s="1"/>
  <c r="P28" i="2" s="1"/>
  <c r="P29" i="2" s="1"/>
  <c r="P30" i="2" s="1"/>
  <c r="P32" i="2" s="1"/>
  <c r="P33" i="2" s="1"/>
  <c r="D32" i="2" l="1"/>
  <c r="D33" i="2" s="1"/>
  <c r="T32" i="2" l="1"/>
  <c r="T33" i="2" s="1"/>
  <c r="R14" i="2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32" i="2"/>
  <c r="N33" i="2" s="1"/>
  <c r="L32" i="2"/>
  <c r="L33" i="2" s="1"/>
  <c r="J15" i="2"/>
  <c r="J16" i="2" s="1"/>
  <c r="J17" i="2" s="1"/>
  <c r="J18" i="2" s="1"/>
  <c r="J22" i="2" s="1"/>
  <c r="J23" i="2" s="1"/>
  <c r="J32" i="2" s="1"/>
  <c r="J33" i="2" s="1"/>
  <c r="H32" i="2"/>
  <c r="H33" i="2" s="1"/>
  <c r="F32" i="2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4" i="1" l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<sst xmlns="http://schemas.openxmlformats.org/spreadsheetml/2006/main" count="445" uniqueCount="150">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</sst>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0" sqref="K3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69003.639668000003</v>
      </c>
      <c r="F18" s="146">
        <v>1.27</v>
      </c>
      <c r="G18" s="42">
        <f>Gas!C19*0.9147</f>
        <v>2285.8352999999997</v>
      </c>
      <c r="H18" s="147">
        <v>3.65</v>
      </c>
      <c r="I18" s="149">
        <f>Submetering!H18+Submetering!AD18+Submetering!AE18</f>
        <v>886.00000000000011</v>
      </c>
      <c r="J18" s="149">
        <v>10.029999999999999</v>
      </c>
      <c r="K18" s="42">
        <f>ELECT.!B19</f>
        <v>263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57497.495688000003</v>
      </c>
      <c r="F19" s="146">
        <v>1.27</v>
      </c>
      <c r="G19" s="42">
        <f>Gas!C20*0.9147</f>
        <v>2233.6974</v>
      </c>
      <c r="H19" s="147">
        <v>3.65</v>
      </c>
      <c r="I19" s="149">
        <f>Submetering!H19+Submetering!AD19+Submetering!AE19</f>
        <v>746</v>
      </c>
      <c r="J19" s="149">
        <v>10.029999999999999</v>
      </c>
      <c r="K19" s="42">
        <f>ELECT.!B20</f>
        <v>229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79205.779816000009</v>
      </c>
      <c r="F20" s="146">
        <v>1.27</v>
      </c>
      <c r="G20" s="42">
        <f>Gas!C21*0.9147</f>
        <v>1683.048</v>
      </c>
      <c r="H20" s="147">
        <v>3.65</v>
      </c>
      <c r="I20" s="149">
        <f>Submetering!H20+Submetering!AD20+Submetering!AE20</f>
        <v>616</v>
      </c>
      <c r="J20" s="149">
        <v>10.029999999999999</v>
      </c>
      <c r="K20" s="42">
        <f>ELECT.!B21</f>
        <v>227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49486.100464000003</v>
      </c>
      <c r="F21" s="146">
        <v>1.27</v>
      </c>
      <c r="G21" s="42">
        <f>Gas!C22*0.9147</f>
        <v>2037.0368999999998</v>
      </c>
      <c r="H21" s="147">
        <v>3.65</v>
      </c>
      <c r="I21" s="149">
        <f>Submetering!H21+Submetering!AD21+Submetering!AE21</f>
        <v>826.00000000000011</v>
      </c>
      <c r="J21" s="149">
        <v>10.029999999999999</v>
      </c>
      <c r="K21" s="42">
        <f>ELECT.!B22</f>
        <v>247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85760.437639999989</v>
      </c>
      <c r="F22" s="146">
        <v>1.27</v>
      </c>
      <c r="G22" s="42">
        <f>Gas!C23*0.9147</f>
        <v>1951.9697999999999</v>
      </c>
      <c r="H22" s="147">
        <v>3.65</v>
      </c>
      <c r="I22" s="149">
        <f>Submetering!H22+Submetering!AD22+Submetering!AE22</f>
        <v>966.00000000000023</v>
      </c>
      <c r="J22" s="149">
        <v>10.029999999999999</v>
      </c>
      <c r="K22" s="42">
        <f>ELECT.!B23</f>
        <v>247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58749.396628000002</v>
      </c>
      <c r="F23" s="146">
        <v>1.27</v>
      </c>
      <c r="G23" s="42">
        <f>Gas!C24*0.9147</f>
        <v>2026.0604999999998</v>
      </c>
      <c r="H23" s="147">
        <v>3.65</v>
      </c>
      <c r="I23" s="149">
        <f>Submetering!H23+Submetering!AD23+Submetering!AE23</f>
        <v>1516</v>
      </c>
      <c r="J23" s="149">
        <v>10.029999999999999</v>
      </c>
      <c r="K23" s="42">
        <f>ELECT.!B24</f>
        <v>312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58672.568108000007</v>
      </c>
      <c r="F24" s="146">
        <v>1.27</v>
      </c>
      <c r="G24" s="42">
        <f>Gas!C25*0.9147</f>
        <v>2083.6866</v>
      </c>
      <c r="H24" s="147">
        <v>3.65</v>
      </c>
      <c r="I24" s="149">
        <f>Submetering!H24+Submetering!AD24+Submetering!AE24</f>
        <v>886.00000000000011</v>
      </c>
      <c r="J24" s="149">
        <v>10.029999999999999</v>
      </c>
      <c r="K24" s="42">
        <f>ELECT.!B25</f>
        <v>257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74385.420688000013</v>
      </c>
      <c r="F25" s="146">
        <v>1.27</v>
      </c>
      <c r="G25" s="42">
        <f>Gas!C26*0.9147</f>
        <v>2169.6684</v>
      </c>
      <c r="H25" s="147">
        <v>3.65</v>
      </c>
      <c r="I25" s="149">
        <f>Submetering!H25+Submetering!AD25+Submetering!AE25</f>
        <v>1056</v>
      </c>
      <c r="J25" s="149">
        <v>10.029999999999999</v>
      </c>
      <c r="K25" s="42">
        <f>ELECT.!B26</f>
        <v>316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64883.788959999998</v>
      </c>
      <c r="F26" s="146">
        <v>1.27</v>
      </c>
      <c r="G26" s="42">
        <f>Gas!C27*0.9147</f>
        <v>2082.7718999999997</v>
      </c>
      <c r="H26" s="147">
        <v>3.65</v>
      </c>
      <c r="I26" s="149">
        <f>Submetering!H26+Submetering!AD26+Submetering!AE26</f>
        <v>855.99999999999989</v>
      </c>
      <c r="J26" s="149">
        <v>10.029999999999999</v>
      </c>
      <c r="K26" s="42">
        <f>ELECT.!B27</f>
        <v>196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74542.904924000002</v>
      </c>
      <c r="F27" s="146">
        <v>1.27</v>
      </c>
      <c r="G27" s="42">
        <f>Gas!C28*0.9147</f>
        <v>1952.8844999999999</v>
      </c>
      <c r="H27" s="147">
        <v>3.65</v>
      </c>
      <c r="I27" s="149">
        <f>Submetering!H27+Submetering!AD27+Submetering!AE27</f>
        <v>756</v>
      </c>
      <c r="J27" s="149">
        <v>10.029999999999999</v>
      </c>
      <c r="K27" s="42">
        <f>ELECT.!B28</f>
        <v>267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53582.162255999996</v>
      </c>
      <c r="F28" s="146">
        <v>1.27</v>
      </c>
      <c r="G28" s="42">
        <f>Gas!C29*0.9147</f>
        <v>1925.4434999999999</v>
      </c>
      <c r="H28" s="147">
        <v>3.65</v>
      </c>
      <c r="I28" s="149">
        <f>Submetering!H28+Submetering!AD28+Submetering!AE28</f>
        <v>1016.0000000000001</v>
      </c>
      <c r="J28" s="149">
        <v>10.029999999999999</v>
      </c>
      <c r="K28" s="42">
        <f>ELECT.!B29</f>
        <v>253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50517.128103999996</v>
      </c>
      <c r="F29" s="146">
        <v>1.27</v>
      </c>
      <c r="G29" s="42">
        <f>Gas!C30*0.9147</f>
        <v>2182.4742000000001</v>
      </c>
      <c r="H29" s="147">
        <v>3.65</v>
      </c>
      <c r="I29" s="149">
        <f>Submetering!H29+Submetering!AD29+Submetering!AE29</f>
        <v>906</v>
      </c>
      <c r="J29" s="149">
        <v>10.029999999999999</v>
      </c>
      <c r="K29" s="42">
        <f>ELECT.!B30</f>
        <v>266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121550.9297224</v>
      </c>
      <c r="F30" s="146">
        <v>1.27</v>
      </c>
      <c r="G30" s="42">
        <f>Gas!C31*0.9147</f>
        <v>1940.0786999999998</v>
      </c>
      <c r="H30" s="147">
        <v>3.65</v>
      </c>
      <c r="I30" s="149">
        <f>Submetering!H30+Submetering!AD30+Submetering!AE30</f>
        <v>1216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46" sqref="G4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526.5</v>
      </c>
      <c r="H18" s="42">
        <f>Water!I19</f>
        <v>4.0229999999999997</v>
      </c>
      <c r="I18" s="42">
        <f>ELECT.!F19</f>
        <v>13308</v>
      </c>
      <c r="J18" s="42">
        <f>ELECT.!H19</f>
        <v>58621</v>
      </c>
      <c r="K18" s="42">
        <f>ELECT.!K19</f>
        <v>5805</v>
      </c>
      <c r="L18" s="42">
        <f>ELECT.!M19</f>
        <v>4687</v>
      </c>
      <c r="M18" s="42">
        <f>ELECT.!O19</f>
        <v>8426</v>
      </c>
      <c r="N18" s="42">
        <f>ELECT.!Q19</f>
        <v>14936</v>
      </c>
      <c r="O18" s="42">
        <f>ELECT.!S19</f>
        <v>10985</v>
      </c>
      <c r="P18" s="42">
        <f>ELECT.!W19*2</f>
        <v>25142</v>
      </c>
      <c r="Q18" s="42">
        <f>ELECT.!D19</f>
        <v>800</v>
      </c>
      <c r="R18" s="43">
        <f>BTU!C19</f>
        <v>10.610000000000582</v>
      </c>
      <c r="S18" s="43">
        <f>BTU!F19</f>
        <v>1.7280000000000655</v>
      </c>
      <c r="T18" s="43">
        <f>BTU!I19</f>
        <v>7</v>
      </c>
      <c r="U18" s="43">
        <f>BTU!O19</f>
        <v>1.5349999999998545</v>
      </c>
      <c r="V18" s="43">
        <f>BTU!L19</f>
        <v>1.4699999999993452</v>
      </c>
      <c r="W18" s="43">
        <f>BTU!R19</f>
        <v>3.680000000000291</v>
      </c>
      <c r="X18" s="40">
        <f>ELECT.!B19</f>
        <v>263</v>
      </c>
      <c r="Y18" s="40">
        <f t="shared" si="0"/>
        <v>1948</v>
      </c>
      <c r="Z18">
        <f>'Mall, Citadel, Rotana'!C19+'Mall, Citadel, Rotana'!E19+'Mall, Citadel, Rotana'!G19+'Mall, Citadel, Rotana'!I19</f>
        <v>1398</v>
      </c>
      <c r="AA18">
        <f>'Mall, Citadel, Rotana'!K19+'Mall, Citadel, Rotana'!M19</f>
        <v>480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116.24456860000001</v>
      </c>
      <c r="AE18" s="40">
        <f t="shared" si="2"/>
        <v>765.73243140000011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940</v>
      </c>
      <c r="F19" s="42">
        <f>Water!E20</f>
        <v>0</v>
      </c>
      <c r="G19" s="42">
        <f>Water!G20</f>
        <v>480.6</v>
      </c>
      <c r="H19" s="42">
        <f>Water!I20</f>
        <v>4.8869999999999996</v>
      </c>
      <c r="I19" s="42">
        <f>ELECT.!F20</f>
        <v>7975</v>
      </c>
      <c r="J19" s="42">
        <f>ELECT.!H20</f>
        <v>51912</v>
      </c>
      <c r="K19" s="42">
        <f>ELECT.!K20</f>
        <v>4937</v>
      </c>
      <c r="L19" s="42">
        <f>ELECT.!M20</f>
        <v>4158</v>
      </c>
      <c r="M19" s="42">
        <f>ELECT.!O20</f>
        <v>3710</v>
      </c>
      <c r="N19" s="42">
        <f>ELECT.!Q20</f>
        <v>16997</v>
      </c>
      <c r="O19" s="42">
        <f>ELECT.!S20</f>
        <v>8836</v>
      </c>
      <c r="P19" s="42">
        <f>ELECT.!W20*2</f>
        <v>19946</v>
      </c>
      <c r="Q19" s="42">
        <f>ELECT.!D20</f>
        <v>960</v>
      </c>
      <c r="R19" s="43">
        <f>BTU!C20</f>
        <v>11.56000000000131</v>
      </c>
      <c r="S19" s="43">
        <f>BTU!F20</f>
        <v>1.8809999999998581</v>
      </c>
      <c r="T19" s="43">
        <f>BTU!I20</f>
        <v>7</v>
      </c>
      <c r="U19" s="43">
        <f>BTU!O20</f>
        <v>1.6199999999998909</v>
      </c>
      <c r="V19" s="43">
        <f>BTU!L20</f>
        <v>1.4700000000011642</v>
      </c>
      <c r="W19" s="43">
        <f>BTU!R20</f>
        <v>3.2700000000004366</v>
      </c>
      <c r="X19" s="40">
        <f>ELECT.!B20</f>
        <v>229</v>
      </c>
      <c r="Y19" s="40">
        <f t="shared" si="0"/>
        <v>1303</v>
      </c>
      <c r="Z19">
        <f>'Mall, Citadel, Rotana'!C20+'Mall, Citadel, Rotana'!E20+'Mall, Citadel, Rotana'!G20+'Mall, Citadel, Rotana'!I20</f>
        <v>1222</v>
      </c>
      <c r="AA19">
        <f>'Mall, Citadel, Rotana'!K20+'Mall, Citadel, Rotana'!M20</f>
        <v>320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97.678693400000014</v>
      </c>
      <c r="AE19" s="40">
        <f t="shared" si="2"/>
        <v>643.43430660000001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810</v>
      </c>
      <c r="F20" s="42">
        <f>Water!E21</f>
        <v>0</v>
      </c>
      <c r="G20" s="42">
        <f>Water!G21</f>
        <v>491.4</v>
      </c>
      <c r="H20" s="42">
        <f>Water!I21</f>
        <v>5.9669999999999996</v>
      </c>
      <c r="I20" s="42">
        <f>ELECT.!F21</f>
        <v>10900</v>
      </c>
      <c r="J20" s="42">
        <f>ELECT.!H21</f>
        <v>71517</v>
      </c>
      <c r="K20" s="42">
        <f>ELECT.!K21</f>
        <v>6542</v>
      </c>
      <c r="L20" s="42">
        <f>ELECT.!M21</f>
        <v>5656</v>
      </c>
      <c r="M20" s="42">
        <f>ELECT.!O21</f>
        <v>5068</v>
      </c>
      <c r="N20" s="42">
        <f>ELECT.!Q21</f>
        <v>23599</v>
      </c>
      <c r="O20" s="42">
        <f>ELECT.!S21</f>
        <v>12118</v>
      </c>
      <c r="P20" s="42">
        <f>ELECT.!W21*2</f>
        <v>27356</v>
      </c>
      <c r="Q20" s="42">
        <f>ELECT.!D21</f>
        <v>1280</v>
      </c>
      <c r="R20" s="43">
        <f>BTU!C21</f>
        <v>9.5649999999986903</v>
      </c>
      <c r="S20" s="43">
        <f>BTU!F21</f>
        <v>1.956000000000131</v>
      </c>
      <c r="T20" s="43">
        <f>BTU!I21</f>
        <v>6</v>
      </c>
      <c r="U20" s="43">
        <f>BTU!O21</f>
        <v>1.3440000000000509</v>
      </c>
      <c r="V20" s="43">
        <f>BTU!L21</f>
        <v>0.13999999999941792</v>
      </c>
      <c r="W20" s="43">
        <f>BTU!R21</f>
        <v>3.3299999999999272</v>
      </c>
      <c r="X20" s="40">
        <f>ELECT.!B21</f>
        <v>227</v>
      </c>
      <c r="Y20" s="40">
        <f t="shared" si="0"/>
        <v>2078</v>
      </c>
      <c r="Z20">
        <f>'Mall, Citadel, Rotana'!C21+'Mall, Citadel, Rotana'!E21+'Mall, Citadel, Rotana'!G21+'Mall, Citadel, Rotana'!I21</f>
        <v>1386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80.402349400000006</v>
      </c>
      <c r="AE20" s="40">
        <f t="shared" si="2"/>
        <v>529.63065059999997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1020</v>
      </c>
      <c r="F21" s="42">
        <f>Water!E22</f>
        <v>0</v>
      </c>
      <c r="G21" s="42">
        <f>Water!G22</f>
        <v>623.70000000000005</v>
      </c>
      <c r="H21" s="42">
        <f>Water!I22</f>
        <v>5.319</v>
      </c>
      <c r="I21" s="42">
        <f>ELECT.!F22</f>
        <v>8891</v>
      </c>
      <c r="J21" s="42">
        <f>ELECT.!H22</f>
        <v>43590</v>
      </c>
      <c r="K21" s="42">
        <f>ELECT.!K22</f>
        <v>4423</v>
      </c>
      <c r="L21" s="42">
        <f>ELECT.!M22</f>
        <v>3566</v>
      </c>
      <c r="M21" s="42">
        <f>ELECT.!O22</f>
        <v>5224</v>
      </c>
      <c r="N21" s="42">
        <f>ELECT.!Q22</f>
        <v>13211</v>
      </c>
      <c r="O21" s="42">
        <f>ELECT.!S22</f>
        <v>7700</v>
      </c>
      <c r="P21" s="42">
        <f>ELECT.!W22*2</f>
        <v>17296</v>
      </c>
      <c r="Q21" s="42">
        <f>ELECT.!D22</f>
        <v>640</v>
      </c>
      <c r="R21" s="43">
        <f>BTU!C22</f>
        <v>12.006000000001222</v>
      </c>
      <c r="S21" s="43">
        <f>BTU!F22</f>
        <v>2.9669999999996435</v>
      </c>
      <c r="T21" s="43">
        <f>BTU!I22</f>
        <v>8</v>
      </c>
      <c r="U21" s="43">
        <f>BTU!O22</f>
        <v>1.5979999999999563</v>
      </c>
      <c r="V21" s="43">
        <f>BTU!L22</f>
        <v>2.2700000000004366</v>
      </c>
      <c r="W21" s="43">
        <f>BTU!R22</f>
        <v>1.4899999999997817</v>
      </c>
      <c r="X21" s="40">
        <f>ELECT.!B22</f>
        <v>247</v>
      </c>
      <c r="Y21" s="40">
        <f t="shared" si="0"/>
        <v>1061</v>
      </c>
      <c r="Z21">
        <f>'Mall, Citadel, Rotana'!C22+'Mall, Citadel, Rotana'!E22+'Mall, Citadel, Rotana'!G22+'Mall, Citadel, Rotana'!I22</f>
        <v>1576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0</v>
      </c>
      <c r="AD21" s="40">
        <f t="shared" si="1"/>
        <v>108.1657558</v>
      </c>
      <c r="AE21" s="40">
        <f t="shared" si="2"/>
        <v>712.5152442000001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1160</v>
      </c>
      <c r="F22" s="42">
        <f>Water!E23</f>
        <v>0</v>
      </c>
      <c r="G22" s="42">
        <f>Water!G23</f>
        <v>537.29999999999995</v>
      </c>
      <c r="H22" s="42">
        <f>Water!I23</f>
        <v>4.7249999999999996</v>
      </c>
      <c r="I22" s="42">
        <f>ELECT.!F23</f>
        <v>20497</v>
      </c>
      <c r="J22" s="42">
        <f>ELECT.!H23</f>
        <v>68430</v>
      </c>
      <c r="K22" s="42">
        <f>ELECT.!K23</f>
        <v>7319</v>
      </c>
      <c r="L22" s="42">
        <f>ELECT.!M23</f>
        <v>6787</v>
      </c>
      <c r="M22" s="42">
        <f>ELECT.!O23</f>
        <v>13504</v>
      </c>
      <c r="N22" s="42">
        <f>ELECT.!Q23</f>
        <v>16169</v>
      </c>
      <c r="O22" s="42">
        <f>ELECT.!S23</f>
        <v>13046</v>
      </c>
      <c r="P22" s="42">
        <f>ELECT.!W23*2</f>
        <v>29964</v>
      </c>
      <c r="Q22" s="42">
        <f>ELECT.!D23</f>
        <v>800</v>
      </c>
      <c r="R22" s="43">
        <f>BTU!C23</f>
        <v>13.97099999999773</v>
      </c>
      <c r="S22" s="43">
        <f>BTU!F23</f>
        <v>3.2890000000002146</v>
      </c>
      <c r="T22" s="43">
        <f>BTU!I23</f>
        <v>9</v>
      </c>
      <c r="U22" s="43">
        <f>BTU!O23</f>
        <v>1.7069999999998799</v>
      </c>
      <c r="V22" s="43">
        <f>BTU!L23</f>
        <v>2.6399999999994179</v>
      </c>
      <c r="W22" s="43">
        <f>BTU!R23</f>
        <v>3.8400000000001455</v>
      </c>
      <c r="X22" s="40">
        <f>ELECT.!B23</f>
        <v>247</v>
      </c>
      <c r="Y22" s="40">
        <f t="shared" si="0"/>
        <v>2138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640</v>
      </c>
      <c r="AB22">
        <f>'Mall, Citadel, Rotana'!O23</f>
        <v>2</v>
      </c>
      <c r="AC22">
        <f>'Mall, Citadel, Rotana'!Q23+'Mall, Citadel, Rotana'!S23</f>
        <v>0</v>
      </c>
      <c r="AD22" s="40">
        <f t="shared" si="1"/>
        <v>126.69604500000001</v>
      </c>
      <c r="AE22" s="40">
        <f t="shared" si="2"/>
        <v>834.57895500000018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1710</v>
      </c>
      <c r="F23" s="42">
        <f>Water!E24</f>
        <v>0</v>
      </c>
      <c r="G23" s="42">
        <f>Water!G24</f>
        <v>718.2</v>
      </c>
      <c r="H23" s="42">
        <f>Water!I24</f>
        <v>5.8049999999999997</v>
      </c>
      <c r="I23" s="42">
        <f>ELECT.!F24</f>
        <v>13951</v>
      </c>
      <c r="J23" s="42">
        <f>ELECT.!H24</f>
        <v>47647</v>
      </c>
      <c r="K23" s="42">
        <f>ELECT.!K24</f>
        <v>4893</v>
      </c>
      <c r="L23" s="42">
        <f>ELECT.!M24</f>
        <v>4679</v>
      </c>
      <c r="M23" s="42">
        <f>ELECT.!O24</f>
        <v>9108</v>
      </c>
      <c r="N23" s="42">
        <f>ELECT.!Q24</f>
        <v>11093</v>
      </c>
      <c r="O23" s="42">
        <f>ELECT.!S24</f>
        <v>9501</v>
      </c>
      <c r="P23" s="42">
        <f>ELECT.!W24*2</f>
        <v>20766</v>
      </c>
      <c r="Q23" s="42">
        <f>ELECT.!D24</f>
        <v>1120</v>
      </c>
      <c r="R23" s="43">
        <f>BTU!C24</f>
        <v>13.366000000001804</v>
      </c>
      <c r="S23" s="43">
        <f>BTU!F24</f>
        <v>3.4929999999999382</v>
      </c>
      <c r="T23" s="43">
        <f>BTU!I24</f>
        <v>8</v>
      </c>
      <c r="U23" s="43">
        <f>BTU!O24</f>
        <v>1.818000000000211</v>
      </c>
      <c r="V23" s="43">
        <f>BTU!L24</f>
        <v>2.6300000000010186</v>
      </c>
      <c r="W23" s="43">
        <f>BTU!R24</f>
        <v>3.8499999999994543</v>
      </c>
      <c r="X23" s="40">
        <f>ELECT.!B24</f>
        <v>312</v>
      </c>
      <c r="Y23" s="40">
        <f t="shared" si="0"/>
        <v>1558</v>
      </c>
      <c r="Z23">
        <f>'Mall, Citadel, Rotana'!C24+'Mall, Citadel, Rotana'!E24+'Mall, Citadel, Rotana'!G24+'Mall, Citadel, Rotana'!I24</f>
        <v>1379</v>
      </c>
      <c r="AA23">
        <f>'Mall, Citadel, Rotana'!K24+'Mall, Citadel, Rotana'!M24</f>
        <v>640</v>
      </c>
      <c r="AB23">
        <f>'Mall, Citadel, Rotana'!O24</f>
        <v>4</v>
      </c>
      <c r="AC23">
        <f>'Mall, Citadel, Rotana'!Q24+'Mall, Citadel, Rotana'!S24</f>
        <v>0</v>
      </c>
      <c r="AD23" s="40">
        <f t="shared" si="1"/>
        <v>199.043701</v>
      </c>
      <c r="AE23" s="40">
        <f t="shared" si="2"/>
        <v>1311.1512989999999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1080</v>
      </c>
      <c r="F24" s="42">
        <f>Water!E25</f>
        <v>0</v>
      </c>
      <c r="G24" s="42">
        <f>Water!G25</f>
        <v>634.5</v>
      </c>
      <c r="H24" s="42">
        <f>Water!I25</f>
        <v>5.5620000000000003</v>
      </c>
      <c r="I24" s="42">
        <f>ELECT.!F25</f>
        <v>14008</v>
      </c>
      <c r="J24" s="42">
        <f>ELECT.!H25</f>
        <v>47569</v>
      </c>
      <c r="K24" s="42">
        <f>ELECT.!K25</f>
        <v>4916</v>
      </c>
      <c r="L24" s="42">
        <f>ELECT.!M25</f>
        <v>4751</v>
      </c>
      <c r="M24" s="42">
        <f>ELECT.!O25</f>
        <v>9106</v>
      </c>
      <c r="N24" s="42">
        <f>ELECT.!Q25</f>
        <v>10895</v>
      </c>
      <c r="O24" s="42">
        <f>ELECT.!S25</f>
        <v>9675</v>
      </c>
      <c r="P24" s="42">
        <f>ELECT.!W25*2</f>
        <v>20762</v>
      </c>
      <c r="Q24" s="42">
        <f>ELECT.!D25</f>
        <v>960</v>
      </c>
      <c r="R24" s="43">
        <f>BTU!C25</f>
        <v>11.842000000000553</v>
      </c>
      <c r="S24" s="43">
        <f>BTU!F25</f>
        <v>2.8159999999998035</v>
      </c>
      <c r="T24" s="43">
        <f>BTU!I25</f>
        <v>7</v>
      </c>
      <c r="U24" s="43">
        <f>BTU!O25</f>
        <v>1.5650000000000546</v>
      </c>
      <c r="V24" s="43">
        <f>BTU!L25</f>
        <v>2.2799999999988358</v>
      </c>
      <c r="W24" s="43">
        <f>BTU!R25</f>
        <v>3.4200000000000728</v>
      </c>
      <c r="X24" s="40">
        <f>ELECT.!B25</f>
        <v>257</v>
      </c>
      <c r="Y24" s="40">
        <f t="shared" si="0"/>
        <v>1472</v>
      </c>
      <c r="Z24">
        <f>'Mall, Citadel, Rotana'!C25+'Mall, Citadel, Rotana'!E25+'Mall, Citadel, Rotana'!G25+'Mall, Citadel, Rotana'!I25</f>
        <v>1421</v>
      </c>
      <c r="AA24">
        <f>'Mall, Citadel, Rotana'!K25+'Mall, Citadel, Rotana'!M25</f>
        <v>640</v>
      </c>
      <c r="AB24">
        <f>'Mall, Citadel, Rotana'!O25</f>
        <v>2</v>
      </c>
      <c r="AC24">
        <f>'Mall, Citadel, Rotana'!Q25+'Mall, Citadel, Rotana'!S25</f>
        <v>0</v>
      </c>
      <c r="AD24" s="40">
        <f t="shared" si="1"/>
        <v>116.04172840000001</v>
      </c>
      <c r="AE24" s="40">
        <f t="shared" si="2"/>
        <v>764.39627160000009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1250</v>
      </c>
      <c r="F25" s="42">
        <f>Water!E26</f>
        <v>0</v>
      </c>
      <c r="G25" s="42">
        <f>Water!G26</f>
        <v>583.20000000000005</v>
      </c>
      <c r="H25" s="42">
        <f>Water!I26</f>
        <v>4.6440000000000001</v>
      </c>
      <c r="I25" s="42">
        <f>ELECT.!F26</f>
        <v>17518</v>
      </c>
      <c r="J25" s="42">
        <f>ELECT.!H26</f>
        <v>59869</v>
      </c>
      <c r="K25" s="42">
        <f>ELECT.!K26</f>
        <v>5809</v>
      </c>
      <c r="L25" s="42">
        <f>ELECT.!M26</f>
        <v>5894</v>
      </c>
      <c r="M25" s="42">
        <f>ELECT.!O26</f>
        <v>11392</v>
      </c>
      <c r="N25" s="42">
        <f>ELECT.!Q26</f>
        <v>13152</v>
      </c>
      <c r="O25" s="42">
        <f>ELECT.!S26</f>
        <v>12482</v>
      </c>
      <c r="P25" s="42">
        <f>ELECT.!W26*2</f>
        <v>26650</v>
      </c>
      <c r="Q25" s="42">
        <f>ELECT.!D26</f>
        <v>960</v>
      </c>
      <c r="R25" s="43">
        <f>BTU!C26</f>
        <v>11.55199999999968</v>
      </c>
      <c r="S25" s="43">
        <f>BTU!F26</f>
        <v>1.5650000000000546</v>
      </c>
      <c r="T25" s="43">
        <f>BTU!I26</f>
        <v>6</v>
      </c>
      <c r="U25" s="43">
        <f>BTU!O26</f>
        <v>1.4159999999997126</v>
      </c>
      <c r="V25" s="43">
        <f>BTU!L26</f>
        <v>2.2200000000011642</v>
      </c>
      <c r="W25" s="43">
        <f>BTU!R26</f>
        <v>3.3900000000003274</v>
      </c>
      <c r="X25" s="40">
        <f>ELECT.!B26</f>
        <v>316</v>
      </c>
      <c r="Y25" s="40">
        <f t="shared" si="0"/>
        <v>2008</v>
      </c>
      <c r="Z25">
        <f>'Mall, Citadel, Rotana'!C26+'Mall, Citadel, Rotana'!E26+'Mall, Citadel, Rotana'!G26+'Mall, Citadel, Rotana'!I26</f>
        <v>1430</v>
      </c>
      <c r="AA25">
        <f>'Mall, Citadel, Rotana'!K26+'Mall, Citadel, Rotana'!M26</f>
        <v>480</v>
      </c>
      <c r="AB25">
        <f>'Mall, Citadel, Rotana'!O26</f>
        <v>4</v>
      </c>
      <c r="AC25">
        <f>'Mall, Citadel, Rotana'!Q26+'Mall, Citadel, Rotana'!S26</f>
        <v>0</v>
      </c>
      <c r="AD25" s="40">
        <f t="shared" si="1"/>
        <v>138.56872079999999</v>
      </c>
      <c r="AE25" s="40">
        <f t="shared" si="2"/>
        <v>912.78727920000006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1050</v>
      </c>
      <c r="F26" s="42">
        <f>Water!E27</f>
        <v>0</v>
      </c>
      <c r="G26" s="42">
        <f>Water!G27</f>
        <v>442.8</v>
      </c>
      <c r="H26" s="42">
        <f>Water!I27</f>
        <v>4.5629999999999997</v>
      </c>
      <c r="I26" s="42">
        <f>ELECT.!F27</f>
        <v>19601</v>
      </c>
      <c r="J26" s="42">
        <f>ELECT.!H27</f>
        <v>48343</v>
      </c>
      <c r="K26" s="42">
        <f>ELECT.!K27</f>
        <v>5245</v>
      </c>
      <c r="L26" s="42">
        <f>ELECT.!M27</f>
        <v>4550</v>
      </c>
      <c r="M26" s="42">
        <f>ELECT.!O27</f>
        <v>8902</v>
      </c>
      <c r="N26" s="42">
        <f>ELECT.!Q27</f>
        <v>9991</v>
      </c>
      <c r="O26" s="42">
        <f>ELECT.!S27</f>
        <v>10250</v>
      </c>
      <c r="P26" s="42">
        <f>ELECT.!W27*2</f>
        <v>21890</v>
      </c>
      <c r="Q26" s="42">
        <f>ELECT.!D27</f>
        <v>960</v>
      </c>
      <c r="R26" s="43">
        <f>BTU!C27</f>
        <v>9.6569999999992433</v>
      </c>
      <c r="S26" s="43">
        <f>BTU!F27</f>
        <v>1.6190000000001419</v>
      </c>
      <c r="T26" s="43">
        <f>BTU!I27</f>
        <v>6</v>
      </c>
      <c r="U26" s="43">
        <f>BTU!O27</f>
        <v>1.468000000000302</v>
      </c>
      <c r="V26" s="43">
        <f>BTU!L27</f>
        <v>2.4200000000000728</v>
      </c>
      <c r="W26" s="43">
        <f>BTU!R27</f>
        <v>2.6899999999995998</v>
      </c>
      <c r="X26" s="40">
        <f>ELECT.!B27</f>
        <v>196</v>
      </c>
      <c r="Y26" s="40">
        <f t="shared" si="0"/>
        <v>7116</v>
      </c>
      <c r="Z26">
        <f>'Mall, Citadel, Rotana'!C27+'Mall, Citadel, Rotana'!E27+'Mall, Citadel, Rotana'!G27+'Mall, Citadel, Rotana'!I27</f>
        <v>1570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0</v>
      </c>
      <c r="AD26" s="40">
        <f t="shared" si="1"/>
        <v>112.21939659999998</v>
      </c>
      <c r="AE26" s="40">
        <f t="shared" si="2"/>
        <v>739.21760339999992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950</v>
      </c>
      <c r="F27" s="42">
        <f>Water!E28</f>
        <v>0</v>
      </c>
      <c r="G27" s="42">
        <f>Water!G28</f>
        <v>521.1</v>
      </c>
      <c r="H27" s="42">
        <f>Water!I28</f>
        <v>5.157</v>
      </c>
      <c r="I27" s="42">
        <f>ELECT.!F28</f>
        <v>15361</v>
      </c>
      <c r="J27" s="42">
        <f>ELECT.!H28</f>
        <v>63305</v>
      </c>
      <c r="K27" s="42">
        <f>ELECT.!K28</f>
        <v>6239</v>
      </c>
      <c r="L27" s="42">
        <f>ELECT.!M28</f>
        <v>5959</v>
      </c>
      <c r="M27" s="42">
        <f>ELECT.!O28</f>
        <v>11880</v>
      </c>
      <c r="N27" s="42">
        <f>ELECT.!Q28</f>
        <v>13327</v>
      </c>
      <c r="O27" s="42">
        <f>ELECT.!S28</f>
        <v>12877</v>
      </c>
      <c r="P27" s="42">
        <f>ELECT.!W28*2</f>
        <v>28484</v>
      </c>
      <c r="Q27" s="42">
        <f>ELECT.!D28</f>
        <v>640</v>
      </c>
      <c r="R27" s="43">
        <f>BTU!C28</f>
        <v>8.6270000000004075</v>
      </c>
      <c r="S27" s="43">
        <f>BTU!F28</f>
        <v>2.3200000000001637</v>
      </c>
      <c r="T27" s="43">
        <f>BTU!I28</f>
        <v>6</v>
      </c>
      <c r="U27" s="43">
        <f>BTU!O28</f>
        <v>1.5239999999998872</v>
      </c>
      <c r="V27" s="43">
        <f>BTU!L28</f>
        <v>2.4399999999986903</v>
      </c>
      <c r="W27" s="43">
        <f>BTU!R28</f>
        <v>1.1400000000003274</v>
      </c>
      <c r="X27" s="40">
        <f>ELECT.!B28</f>
        <v>267</v>
      </c>
      <c r="Y27" s="40">
        <f t="shared" si="0"/>
        <v>-100</v>
      </c>
      <c r="Z27">
        <f>'Mall, Citadel, Rotana'!C28+'Mall, Citadel, Rotana'!E28+'Mall, Citadel, Rotana'!G28+'Mall, Citadel, Rotana'!I28</f>
        <v>2363</v>
      </c>
      <c r="AA27">
        <f>'Mall, Citadel, Rotana'!K28+'Mall, Citadel, Rotana'!M28</f>
        <v>640</v>
      </c>
      <c r="AB27">
        <f>'Mall, Citadel, Rotana'!O28</f>
        <v>13</v>
      </c>
      <c r="AC27">
        <f>'Mall, Citadel, Rotana'!Q28+'Mall, Citadel, Rotana'!S28</f>
        <v>0</v>
      </c>
      <c r="AD27" s="40">
        <f t="shared" si="1"/>
        <v>98.961107399999989</v>
      </c>
      <c r="AE27" s="40">
        <f t="shared" si="2"/>
        <v>651.88189260000001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1210</v>
      </c>
      <c r="F28" s="42">
        <f>Water!E29</f>
        <v>0</v>
      </c>
      <c r="G28" s="42">
        <f>Water!G29</f>
        <v>639.9</v>
      </c>
      <c r="H28" s="42">
        <f>Water!I29</f>
        <v>5.2919999999999998</v>
      </c>
      <c r="I28" s="42">
        <f>ELECT.!F29</f>
        <v>10168</v>
      </c>
      <c r="J28" s="42">
        <f>ELECT.!H29</f>
        <v>46996</v>
      </c>
      <c r="K28" s="42">
        <f>ELECT.!K29</f>
        <v>5132</v>
      </c>
      <c r="L28" s="42">
        <f>ELECT.!M29</f>
        <v>4592</v>
      </c>
      <c r="M28" s="42">
        <f>ELECT.!O29</f>
        <v>2756</v>
      </c>
      <c r="N28" s="42">
        <f>ELECT.!Q29</f>
        <v>10381</v>
      </c>
      <c r="O28" s="42">
        <f>ELECT.!S29</f>
        <v>9356</v>
      </c>
      <c r="P28" s="42">
        <f>ELECT.!W29*2</f>
        <v>21328</v>
      </c>
      <c r="Q28" s="42">
        <f>ELECT.!D29</f>
        <v>800</v>
      </c>
      <c r="R28" s="43">
        <f>BTU!C29</f>
        <v>10.335999999999331</v>
      </c>
      <c r="S28" s="43">
        <f>BTU!F29</f>
        <v>3.4519999999997708</v>
      </c>
      <c r="T28" s="43">
        <f>BTU!I29</f>
        <v>7</v>
      </c>
      <c r="U28" s="43">
        <f>BTU!O29</f>
        <v>1.8769999999999527</v>
      </c>
      <c r="V28" s="43">
        <f>BTU!L29</f>
        <v>3.1599999999998545</v>
      </c>
      <c r="W28" s="43">
        <f>BTU!R29</f>
        <v>2.0100000000002183</v>
      </c>
      <c r="X28" s="40">
        <f>ELECT.!B29</f>
        <v>253</v>
      </c>
      <c r="Y28" s="40">
        <f t="shared" si="0"/>
        <v>3619</v>
      </c>
      <c r="Z28">
        <f>'Mall, Citadel, Rotana'!C29+'Mall, Citadel, Rotana'!E29+'Mall, Citadel, Rotana'!G29+'Mall, Citadel, Rotana'!I29</f>
        <v>2227</v>
      </c>
      <c r="AA28">
        <f>'Mall, Citadel, Rotana'!K29+'Mall, Citadel, Rotana'!M29</f>
        <v>640</v>
      </c>
      <c r="AB28">
        <f>'Mall, Citadel, Rotana'!O29</f>
        <v>4</v>
      </c>
      <c r="AC28">
        <f>'Mall, Citadel, Rotana'!Q29+'Mall, Citadel, Rotana'!S29</f>
        <v>0</v>
      </c>
      <c r="AD28" s="40">
        <f t="shared" si="1"/>
        <v>133.21131440000002</v>
      </c>
      <c r="AE28" s="40">
        <f t="shared" si="2"/>
        <v>877.49668560000009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1100</v>
      </c>
      <c r="F29" s="42">
        <f>Water!E30</f>
        <v>0</v>
      </c>
      <c r="G29" s="42">
        <f>Water!G30</f>
        <v>634.5</v>
      </c>
      <c r="H29" s="42">
        <f>Water!I30</f>
        <v>5.0759999999999996</v>
      </c>
      <c r="I29" s="42">
        <f>ELECT.!F30</f>
        <v>11317</v>
      </c>
      <c r="J29" s="42">
        <f>ELECT.!H30</f>
        <v>40361</v>
      </c>
      <c r="K29" s="42">
        <f>ELECT.!K30</f>
        <v>3673</v>
      </c>
      <c r="L29" s="42">
        <f>ELECT.!M30</f>
        <v>3706</v>
      </c>
      <c r="M29" s="42">
        <f>ELECT.!O30</f>
        <v>13468</v>
      </c>
      <c r="N29" s="42">
        <f>ELECT.!Q30</f>
        <v>8741</v>
      </c>
      <c r="O29" s="42">
        <f>ELECT.!S30</f>
        <v>8192</v>
      </c>
      <c r="P29" s="42">
        <f>ELECT.!W30*2</f>
        <v>18114</v>
      </c>
      <c r="Q29" s="42">
        <f>ELECT.!D30</f>
        <v>800</v>
      </c>
      <c r="R29" s="43">
        <f>BTU!C30</f>
        <v>6.8280000000013388</v>
      </c>
      <c r="S29" s="43">
        <f>BTU!F30</f>
        <v>1.956000000000131</v>
      </c>
      <c r="T29" s="43">
        <f>BTU!I30</f>
        <v>4</v>
      </c>
      <c r="U29" s="43">
        <f>BTU!O30</f>
        <v>1.3530000000000655</v>
      </c>
      <c r="V29" s="43">
        <f>BTU!L30</f>
        <v>1.7600000000002183</v>
      </c>
      <c r="W29" s="43">
        <f>BTU!R30</f>
        <v>0.52999999999974534</v>
      </c>
      <c r="X29" s="40">
        <f>ELECT.!B30</f>
        <v>266</v>
      </c>
      <c r="Y29" s="40">
        <f t="shared" si="0"/>
        <v>-4216</v>
      </c>
      <c r="Z29">
        <f>'Mall, Citadel, Rotana'!C30+'Mall, Citadel, Rotana'!E30+'Mall, Citadel, Rotana'!G30+'Mall, Citadel, Rotana'!I30</f>
        <v>-195</v>
      </c>
      <c r="AA29">
        <f>'Mall, Citadel, Rotana'!K30+'Mall, Citadel, Rotana'!M30</f>
        <v>640</v>
      </c>
      <c r="AB29">
        <f>'Mall, Citadel, Rotana'!O30</f>
        <v>3</v>
      </c>
      <c r="AC29">
        <f>'Mall, Citadel, Rotana'!Q30+'Mall, Citadel, Rotana'!S30</f>
        <v>0</v>
      </c>
      <c r="AD29" s="40">
        <f t="shared" si="1"/>
        <v>118.7417832</v>
      </c>
      <c r="AE29" s="40">
        <f t="shared" si="2"/>
        <v>782.18221679999999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1410</v>
      </c>
      <c r="F30" s="42">
        <f>Water!E31</f>
        <v>0</v>
      </c>
      <c r="G30" s="42">
        <f>Water!E31</f>
        <v>0</v>
      </c>
      <c r="H30" s="42">
        <f>Water!I31</f>
        <v>6.2910000000000004</v>
      </c>
      <c r="I30" s="42">
        <f>Water!G31</f>
        <v>731.7</v>
      </c>
      <c r="J30" s="42" t="str">
        <f>ELECT.!H31</f>
        <v>0</v>
      </c>
      <c r="K30" s="42">
        <f>Water!I31</f>
        <v>6.2910000000000004</v>
      </c>
      <c r="L30" s="42">
        <f>Water!J31</f>
        <v>2147.991</v>
      </c>
      <c r="M30" s="42">
        <f>Water!K31</f>
        <v>12587.227260000001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9.3849999999983993</v>
      </c>
      <c r="S30" s="43">
        <f>BTU!F31</f>
        <v>2.944999999999709</v>
      </c>
      <c r="T30" s="43">
        <f>BTU!I31</f>
        <v>6</v>
      </c>
      <c r="U30" s="43">
        <f>BTU!O31</f>
        <v>1.512000000000171</v>
      </c>
      <c r="V30" s="43">
        <f>BTU!L31</f>
        <v>2.6700000000000728</v>
      </c>
      <c r="W30" s="43">
        <f>BTU!R31</f>
        <v>2.2399999999997817</v>
      </c>
      <c r="X30" s="40">
        <f>ELECT.!B31</f>
        <v>0</v>
      </c>
      <c r="Y30" s="40">
        <f t="shared" si="0"/>
        <v>-14009.809260000002</v>
      </c>
      <c r="Z30">
        <f>'Mall, Citadel, Rotana'!C31+'Mall, Citadel, Rotana'!E31+'Mall, Citadel, Rotana'!G31+'Mall, Citadel, Rotana'!I31</f>
        <v>1407</v>
      </c>
      <c r="AA30">
        <f>'Mall, Citadel, Rotana'!K31+'Mall, Citadel, Rotana'!M31</f>
        <v>640</v>
      </c>
      <c r="AB30">
        <f>'Mall, Citadel, Rotana'!O31</f>
        <v>-7</v>
      </c>
      <c r="AC30">
        <f>'Mall, Citadel, Rotana'!Q31+'Mall, Citadel, Rotana'!S31</f>
        <v>-122812</v>
      </c>
      <c r="AD30" s="40">
        <f t="shared" si="1"/>
        <v>159.4396462</v>
      </c>
      <c r="AE30" s="40">
        <f t="shared" si="2"/>
        <v>1050.2693538000001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 t="str">
        <f>BTU!C32</f>
        <v>0</v>
      </c>
      <c r="S31" s="43" t="str">
        <f>BTU!F32</f>
        <v>0</v>
      </c>
      <c r="T31" s="43" t="str">
        <f>BTU!I32</f>
        <v>0</v>
      </c>
      <c r="U31" s="43" t="str">
        <f>BTU!O32</f>
        <v>0</v>
      </c>
      <c r="V31" s="43" t="str">
        <f>BTU!L32</f>
        <v>0</v>
      </c>
      <c r="W31" s="43" t="str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V31" sqref="V3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v>45918</v>
      </c>
      <c r="C19" s="16">
        <f t="shared" si="0"/>
        <v>800</v>
      </c>
      <c r="D19" s="37">
        <v>39855</v>
      </c>
      <c r="E19" s="16">
        <f t="shared" si="1"/>
        <v>480</v>
      </c>
      <c r="F19" s="37">
        <v>20795</v>
      </c>
      <c r="G19" s="16">
        <f t="shared" si="2"/>
        <v>60</v>
      </c>
      <c r="H19" s="37">
        <v>248388</v>
      </c>
      <c r="I19" s="16">
        <f t="shared" si="3"/>
        <v>58</v>
      </c>
      <c r="J19" s="37">
        <v>303517</v>
      </c>
      <c r="K19" s="16">
        <f t="shared" si="4"/>
        <v>0</v>
      </c>
      <c r="L19" s="37">
        <v>25384</v>
      </c>
      <c r="M19" s="16">
        <f t="shared" si="5"/>
        <v>480</v>
      </c>
      <c r="N19" s="37">
        <v>215891</v>
      </c>
      <c r="O19" s="16">
        <f t="shared" si="6"/>
        <v>4</v>
      </c>
      <c r="P19" s="37">
        <f t="shared" ref="P19:P33" si="12">P18</f>
        <v>122812</v>
      </c>
      <c r="Q19" s="16">
        <f t="shared" si="7"/>
        <v>0</v>
      </c>
      <c r="R19" s="1">
        <v>55047</v>
      </c>
      <c r="S19" s="16">
        <f t="shared" si="8"/>
        <v>0</v>
      </c>
      <c r="T19" s="37">
        <v>3774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44457</v>
      </c>
      <c r="B20" s="37">
        <v>45923</v>
      </c>
      <c r="C20" s="16">
        <f t="shared" si="0"/>
        <v>800</v>
      </c>
      <c r="D20" s="37">
        <v>39857</v>
      </c>
      <c r="E20" s="16">
        <f t="shared" si="1"/>
        <v>320</v>
      </c>
      <c r="F20" s="37">
        <v>20799</v>
      </c>
      <c r="G20" s="16">
        <f t="shared" si="2"/>
        <v>80</v>
      </c>
      <c r="H20" s="37">
        <v>248410</v>
      </c>
      <c r="I20" s="16">
        <f t="shared" si="3"/>
        <v>22</v>
      </c>
      <c r="J20" s="37">
        <v>303517</v>
      </c>
      <c r="K20" s="16">
        <v>0</v>
      </c>
      <c r="L20" s="37">
        <v>25386</v>
      </c>
      <c r="M20" s="16">
        <f t="shared" si="5"/>
        <v>320</v>
      </c>
      <c r="N20" s="37">
        <v>215894</v>
      </c>
      <c r="O20" s="16">
        <f t="shared" si="6"/>
        <v>3</v>
      </c>
      <c r="P20" s="37">
        <f t="shared" si="12"/>
        <v>122812</v>
      </c>
      <c r="Q20" s="16">
        <f>P20-P19</f>
        <v>0</v>
      </c>
      <c r="R20" s="1">
        <v>55047</v>
      </c>
      <c r="S20" s="16">
        <f t="shared" si="8"/>
        <v>0</v>
      </c>
      <c r="T20" s="37">
        <v>3775</v>
      </c>
      <c r="U20" s="16">
        <f t="shared" si="9"/>
        <v>160</v>
      </c>
    </row>
    <row r="21" spans="1:23" ht="13.5" thickBot="1" x14ac:dyDescent="0.25">
      <c r="A21" s="10">
        <v>44458</v>
      </c>
      <c r="B21" s="37">
        <v>45928</v>
      </c>
      <c r="C21" s="16">
        <f t="shared" si="0"/>
        <v>800</v>
      </c>
      <c r="D21" s="37">
        <v>39860</v>
      </c>
      <c r="E21" s="16">
        <f t="shared" si="1"/>
        <v>480</v>
      </c>
      <c r="F21" s="37">
        <v>20802</v>
      </c>
      <c r="G21" s="16">
        <f t="shared" si="2"/>
        <v>60</v>
      </c>
      <c r="H21" s="37">
        <v>248456</v>
      </c>
      <c r="I21" s="16">
        <f t="shared" si="3"/>
        <v>46</v>
      </c>
      <c r="J21" s="37">
        <v>303517</v>
      </c>
      <c r="K21" s="16">
        <f t="shared" si="4"/>
        <v>0</v>
      </c>
      <c r="L21" s="37">
        <v>25390</v>
      </c>
      <c r="M21" s="16">
        <f t="shared" si="5"/>
        <v>640</v>
      </c>
      <c r="N21" s="37">
        <v>215897</v>
      </c>
      <c r="O21" s="16">
        <f t="shared" si="6"/>
        <v>3</v>
      </c>
      <c r="P21" s="37">
        <f t="shared" si="12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v>3776</v>
      </c>
      <c r="U21" s="16">
        <f t="shared" si="9"/>
        <v>160</v>
      </c>
    </row>
    <row r="22" spans="1:23" ht="13.5" thickBot="1" x14ac:dyDescent="0.25">
      <c r="A22" s="10">
        <v>44459</v>
      </c>
      <c r="B22" s="37">
        <v>45934</v>
      </c>
      <c r="C22" s="16">
        <f t="shared" si="0"/>
        <v>960</v>
      </c>
      <c r="D22" s="37">
        <v>39863</v>
      </c>
      <c r="E22" s="16">
        <f t="shared" si="1"/>
        <v>480</v>
      </c>
      <c r="F22" s="37">
        <v>20806</v>
      </c>
      <c r="G22" s="16">
        <f t="shared" si="2"/>
        <v>80</v>
      </c>
      <c r="H22" s="37">
        <v>248512</v>
      </c>
      <c r="I22" s="16">
        <f t="shared" si="3"/>
        <v>56</v>
      </c>
      <c r="J22" s="37">
        <f t="shared" si="11"/>
        <v>303517</v>
      </c>
      <c r="K22" s="16">
        <f t="shared" si="4"/>
        <v>0</v>
      </c>
      <c r="L22" s="37">
        <v>25394</v>
      </c>
      <c r="M22" s="16">
        <f t="shared" si="5"/>
        <v>640</v>
      </c>
      <c r="N22" s="37">
        <v>215901</v>
      </c>
      <c r="O22" s="16">
        <f t="shared" si="6"/>
        <v>4</v>
      </c>
      <c r="P22" s="37">
        <f t="shared" si="12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v>3777</v>
      </c>
      <c r="U22" s="16">
        <f t="shared" si="9"/>
        <v>160</v>
      </c>
    </row>
    <row r="23" spans="1:23" ht="13.5" thickBot="1" x14ac:dyDescent="0.25">
      <c r="A23" s="10">
        <v>44460</v>
      </c>
      <c r="B23" s="37">
        <v>45939</v>
      </c>
      <c r="C23" s="16">
        <f t="shared" si="0"/>
        <v>800</v>
      </c>
      <c r="D23" s="37">
        <v>39865</v>
      </c>
      <c r="E23" s="16">
        <f t="shared" si="1"/>
        <v>320</v>
      </c>
      <c r="F23" s="37">
        <v>20809</v>
      </c>
      <c r="G23" s="16">
        <f t="shared" si="2"/>
        <v>60</v>
      </c>
      <c r="H23" s="37">
        <v>248536</v>
      </c>
      <c r="I23" s="16">
        <f t="shared" si="3"/>
        <v>24</v>
      </c>
      <c r="J23" s="37">
        <f t="shared" si="11"/>
        <v>303517</v>
      </c>
      <c r="K23" s="16">
        <f t="shared" si="4"/>
        <v>0</v>
      </c>
      <c r="L23" s="37">
        <v>25398</v>
      </c>
      <c r="M23" s="16">
        <f t="shared" si="5"/>
        <v>640</v>
      </c>
      <c r="N23" s="37">
        <v>215903</v>
      </c>
      <c r="O23" s="16">
        <f t="shared" si="6"/>
        <v>2</v>
      </c>
      <c r="P23" s="37">
        <f t="shared" si="12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v>3779</v>
      </c>
      <c r="U23" s="16">
        <f t="shared" si="9"/>
        <v>320</v>
      </c>
    </row>
    <row r="24" spans="1:23" s="138" customFormat="1" ht="13.5" thickBot="1" x14ac:dyDescent="0.25">
      <c r="A24" s="10">
        <v>44461</v>
      </c>
      <c r="B24" s="37">
        <v>45944</v>
      </c>
      <c r="C24" s="16">
        <f t="shared" si="0"/>
        <v>800</v>
      </c>
      <c r="D24" s="37">
        <v>39868</v>
      </c>
      <c r="E24" s="16">
        <f t="shared" si="1"/>
        <v>480</v>
      </c>
      <c r="F24" s="37">
        <v>20812</v>
      </c>
      <c r="G24" s="16">
        <f t="shared" si="2"/>
        <v>60</v>
      </c>
      <c r="H24" s="37">
        <v>248575</v>
      </c>
      <c r="I24" s="16">
        <f t="shared" si="3"/>
        <v>39</v>
      </c>
      <c r="J24" s="37">
        <v>303517</v>
      </c>
      <c r="K24" s="16">
        <f t="shared" si="4"/>
        <v>0</v>
      </c>
      <c r="L24" s="37">
        <v>25402</v>
      </c>
      <c r="M24" s="16">
        <f t="shared" si="5"/>
        <v>640</v>
      </c>
      <c r="N24" s="37">
        <v>215907</v>
      </c>
      <c r="O24" s="16">
        <f t="shared" si="6"/>
        <v>4</v>
      </c>
      <c r="P24" s="37"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v>3780</v>
      </c>
      <c r="U24" s="16">
        <f t="shared" si="9"/>
        <v>160</v>
      </c>
    </row>
    <row r="25" spans="1:23" ht="13.5" thickBot="1" x14ac:dyDescent="0.25">
      <c r="A25" s="10">
        <v>44462</v>
      </c>
      <c r="B25" s="37">
        <v>45949</v>
      </c>
      <c r="C25" s="16">
        <f t="shared" si="0"/>
        <v>800</v>
      </c>
      <c r="D25" s="37">
        <v>39871</v>
      </c>
      <c r="E25" s="16">
        <f t="shared" si="1"/>
        <v>480</v>
      </c>
      <c r="F25" s="37">
        <v>20816</v>
      </c>
      <c r="G25" s="16">
        <f t="shared" si="2"/>
        <v>80</v>
      </c>
      <c r="H25" s="37">
        <v>248636</v>
      </c>
      <c r="I25" s="16">
        <f t="shared" si="3"/>
        <v>61</v>
      </c>
      <c r="J25" s="37">
        <v>303517</v>
      </c>
      <c r="K25" s="16">
        <f t="shared" si="4"/>
        <v>0</v>
      </c>
      <c r="L25" s="37">
        <v>25406</v>
      </c>
      <c r="M25" s="16">
        <f t="shared" si="5"/>
        <v>640</v>
      </c>
      <c r="N25" s="37">
        <v>215909</v>
      </c>
      <c r="O25" s="16">
        <f t="shared" si="6"/>
        <v>2</v>
      </c>
      <c r="P25" s="37">
        <f t="shared" si="12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v>3781</v>
      </c>
      <c r="U25" s="16">
        <f t="shared" si="9"/>
        <v>160</v>
      </c>
      <c r="V25" t="s">
        <v>12</v>
      </c>
    </row>
    <row r="26" spans="1:23" ht="12.75" customHeight="1" thickBot="1" x14ac:dyDescent="0.25">
      <c r="A26" s="10">
        <v>44463</v>
      </c>
      <c r="B26" s="37">
        <v>45954</v>
      </c>
      <c r="C26" s="16">
        <f t="shared" si="0"/>
        <v>800</v>
      </c>
      <c r="D26" s="37">
        <v>39874</v>
      </c>
      <c r="E26" s="16">
        <f t="shared" si="1"/>
        <v>480</v>
      </c>
      <c r="F26" s="37">
        <v>20821</v>
      </c>
      <c r="G26" s="16">
        <f t="shared" si="2"/>
        <v>100</v>
      </c>
      <c r="H26" s="37">
        <v>248686</v>
      </c>
      <c r="I26" s="16">
        <f t="shared" si="3"/>
        <v>50</v>
      </c>
      <c r="J26" s="37">
        <v>303517</v>
      </c>
      <c r="K26" s="16">
        <f t="shared" si="4"/>
        <v>0</v>
      </c>
      <c r="L26" s="37">
        <v>25409</v>
      </c>
      <c r="M26" s="16">
        <f t="shared" si="5"/>
        <v>480</v>
      </c>
      <c r="N26" s="37">
        <v>215913</v>
      </c>
      <c r="O26" s="16">
        <f t="shared" si="6"/>
        <v>4</v>
      </c>
      <c r="P26" s="37">
        <f t="shared" si="12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v>3782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44464</v>
      </c>
      <c r="B27" s="37">
        <v>45959</v>
      </c>
      <c r="C27" s="16">
        <f t="shared" si="0"/>
        <v>800</v>
      </c>
      <c r="D27" s="37">
        <v>39878</v>
      </c>
      <c r="E27" s="16">
        <f t="shared" si="1"/>
        <v>640</v>
      </c>
      <c r="F27" s="37">
        <v>20824</v>
      </c>
      <c r="G27" s="16">
        <f t="shared" si="2"/>
        <v>60</v>
      </c>
      <c r="H27" s="37">
        <v>248756</v>
      </c>
      <c r="I27" s="16">
        <f t="shared" si="3"/>
        <v>70</v>
      </c>
      <c r="J27" s="37">
        <v>303517</v>
      </c>
      <c r="K27" s="16">
        <f t="shared" si="4"/>
        <v>0</v>
      </c>
      <c r="L27" s="37">
        <v>25412</v>
      </c>
      <c r="M27" s="16">
        <f t="shared" si="5"/>
        <v>480</v>
      </c>
      <c r="N27" s="37">
        <v>215916</v>
      </c>
      <c r="O27" s="16">
        <f t="shared" si="6"/>
        <v>3</v>
      </c>
      <c r="P27" s="37">
        <f t="shared" si="12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v>3783</v>
      </c>
      <c r="U27" s="16">
        <f t="shared" si="9"/>
        <v>160</v>
      </c>
    </row>
    <row r="28" spans="1:23" ht="13.5" thickBot="1" x14ac:dyDescent="0.25">
      <c r="A28" s="10">
        <v>44465</v>
      </c>
      <c r="B28" s="37">
        <v>45964</v>
      </c>
      <c r="C28" s="16">
        <f t="shared" si="0"/>
        <v>800</v>
      </c>
      <c r="D28" s="37">
        <v>39887</v>
      </c>
      <c r="E28" s="16">
        <f t="shared" si="1"/>
        <v>1440</v>
      </c>
      <c r="F28" s="37">
        <v>20827</v>
      </c>
      <c r="G28" s="16">
        <f t="shared" si="2"/>
        <v>60</v>
      </c>
      <c r="H28" s="37">
        <v>248819</v>
      </c>
      <c r="I28" s="16">
        <f t="shared" si="3"/>
        <v>63</v>
      </c>
      <c r="J28" s="37">
        <v>303517</v>
      </c>
      <c r="K28" s="16">
        <f t="shared" si="4"/>
        <v>0</v>
      </c>
      <c r="L28" s="37">
        <v>25416</v>
      </c>
      <c r="M28" s="16">
        <f t="shared" si="5"/>
        <v>640</v>
      </c>
      <c r="N28" s="37">
        <v>215929</v>
      </c>
      <c r="O28" s="16">
        <f t="shared" si="6"/>
        <v>13</v>
      </c>
      <c r="P28" s="37">
        <f t="shared" si="12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v>3784</v>
      </c>
      <c r="U28" s="16">
        <f t="shared" si="9"/>
        <v>160</v>
      </c>
    </row>
    <row r="29" spans="1:23" ht="13.5" thickBot="1" x14ac:dyDescent="0.25">
      <c r="A29" s="10">
        <v>44466</v>
      </c>
      <c r="B29" s="37">
        <v>45969</v>
      </c>
      <c r="C29" s="16">
        <f t="shared" si="0"/>
        <v>800</v>
      </c>
      <c r="D29" s="37">
        <v>39895</v>
      </c>
      <c r="E29" s="16">
        <f t="shared" si="1"/>
        <v>1280</v>
      </c>
      <c r="F29" s="37">
        <v>20831</v>
      </c>
      <c r="G29" s="16">
        <f t="shared" si="2"/>
        <v>80</v>
      </c>
      <c r="H29" s="37">
        <v>248886</v>
      </c>
      <c r="I29" s="16">
        <f t="shared" si="3"/>
        <v>67</v>
      </c>
      <c r="J29" s="37">
        <v>303517</v>
      </c>
      <c r="K29" s="16">
        <f t="shared" si="4"/>
        <v>0</v>
      </c>
      <c r="L29" s="37">
        <v>25420</v>
      </c>
      <c r="M29" s="16">
        <f t="shared" si="5"/>
        <v>640</v>
      </c>
      <c r="N29" s="37">
        <v>215933</v>
      </c>
      <c r="O29" s="16">
        <f t="shared" si="6"/>
        <v>4</v>
      </c>
      <c r="P29" s="37">
        <f t="shared" si="12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v>3785</v>
      </c>
      <c r="U29" s="16">
        <f t="shared" si="9"/>
        <v>160</v>
      </c>
    </row>
    <row r="30" spans="1:23" ht="13.5" thickBot="1" x14ac:dyDescent="0.25">
      <c r="A30" s="10">
        <v>44467</v>
      </c>
      <c r="B30" s="37">
        <v>45974</v>
      </c>
      <c r="C30" s="16">
        <f t="shared" si="0"/>
        <v>800</v>
      </c>
      <c r="D30" s="37">
        <v>39888</v>
      </c>
      <c r="E30" s="16">
        <f t="shared" si="1"/>
        <v>-1120</v>
      </c>
      <c r="F30" s="37">
        <v>20834</v>
      </c>
      <c r="G30" s="16">
        <f t="shared" si="2"/>
        <v>60</v>
      </c>
      <c r="H30" s="37">
        <v>248951</v>
      </c>
      <c r="I30" s="16">
        <f t="shared" si="3"/>
        <v>65</v>
      </c>
      <c r="J30" s="37">
        <v>303517</v>
      </c>
      <c r="K30" s="16">
        <f t="shared" si="4"/>
        <v>0</v>
      </c>
      <c r="L30" s="37">
        <v>25424</v>
      </c>
      <c r="M30" s="16">
        <f t="shared" si="5"/>
        <v>640</v>
      </c>
      <c r="N30" s="37">
        <v>215936</v>
      </c>
      <c r="O30" s="16">
        <f t="shared" si="6"/>
        <v>3</v>
      </c>
      <c r="P30" s="37">
        <f t="shared" si="12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v>3786</v>
      </c>
      <c r="U30" s="16">
        <f t="shared" si="9"/>
        <v>160</v>
      </c>
    </row>
    <row r="31" spans="1:23" ht="13.5" thickBot="1" x14ac:dyDescent="0.25">
      <c r="A31" s="10">
        <v>44468</v>
      </c>
      <c r="B31" s="37">
        <v>45979</v>
      </c>
      <c r="C31" s="16">
        <f t="shared" si="0"/>
        <v>800</v>
      </c>
      <c r="D31" s="37">
        <v>39891</v>
      </c>
      <c r="E31" s="16">
        <f t="shared" si="1"/>
        <v>480</v>
      </c>
      <c r="F31" s="37">
        <v>20837</v>
      </c>
      <c r="G31" s="16">
        <f t="shared" si="2"/>
        <v>60</v>
      </c>
      <c r="H31" s="37">
        <v>249018</v>
      </c>
      <c r="I31" s="16">
        <f t="shared" si="3"/>
        <v>67</v>
      </c>
      <c r="J31" s="37">
        <v>303517</v>
      </c>
      <c r="K31" s="16">
        <f t="shared" si="4"/>
        <v>0</v>
      </c>
      <c r="L31" s="37">
        <v>25428</v>
      </c>
      <c r="M31" s="16">
        <f t="shared" si="5"/>
        <v>640</v>
      </c>
      <c r="N31" s="37">
        <v>215929</v>
      </c>
      <c r="O31" s="16">
        <f t="shared" si="6"/>
        <v>-7</v>
      </c>
      <c r="P31" s="37"/>
      <c r="Q31" s="16">
        <f t="shared" si="7"/>
        <v>-122812</v>
      </c>
      <c r="R31" s="1">
        <f t="shared" si="10"/>
        <v>55047</v>
      </c>
      <c r="S31" s="16">
        <f t="shared" si="8"/>
        <v>0</v>
      </c>
      <c r="T31" s="37">
        <v>3787</v>
      </c>
      <c r="U31" s="16">
        <f t="shared" si="9"/>
        <v>160</v>
      </c>
    </row>
    <row r="32" spans="1:23" ht="15" customHeight="1" thickBot="1" x14ac:dyDescent="0.25">
      <c r="A32" s="10">
        <v>44469</v>
      </c>
      <c r="B32" s="37">
        <f t="shared" ref="B31:B33" si="13">B31</f>
        <v>45979</v>
      </c>
      <c r="C32" s="16">
        <f t="shared" si="0"/>
        <v>0</v>
      </c>
      <c r="D32" s="37">
        <f t="shared" ref="D31:D33" si="14">D31</f>
        <v>39891</v>
      </c>
      <c r="E32" s="16">
        <f t="shared" si="1"/>
        <v>0</v>
      </c>
      <c r="F32" s="37">
        <f t="shared" ref="F31:F33" si="15">F31</f>
        <v>20837</v>
      </c>
      <c r="G32" s="16">
        <f t="shared" si="2"/>
        <v>0</v>
      </c>
      <c r="H32" s="37">
        <f t="shared" ref="H31:H33" si="16">H31</f>
        <v>249018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ref="L31:L33" si="17">L31</f>
        <v>25428</v>
      </c>
      <c r="M32" s="16">
        <f t="shared" si="5"/>
        <v>0</v>
      </c>
      <c r="N32" s="37">
        <f t="shared" ref="N31:N33" si="18">N31</f>
        <v>215929</v>
      </c>
      <c r="O32" s="16">
        <f t="shared" si="6"/>
        <v>0</v>
      </c>
      <c r="P32" s="37">
        <f t="shared" si="12"/>
        <v>0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3787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3"/>
        <v>45979</v>
      </c>
      <c r="C33" s="16">
        <f t="shared" si="0"/>
        <v>0</v>
      </c>
      <c r="D33" s="37">
        <f t="shared" si="14"/>
        <v>39891</v>
      </c>
      <c r="E33" s="16">
        <f t="shared" si="1"/>
        <v>0</v>
      </c>
      <c r="F33" s="37">
        <f t="shared" si="15"/>
        <v>20837</v>
      </c>
      <c r="G33" s="16">
        <f t="shared" si="2"/>
        <v>0</v>
      </c>
      <c r="H33" s="37">
        <f t="shared" si="16"/>
        <v>249018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7"/>
        <v>25428</v>
      </c>
      <c r="M33" s="16">
        <f t="shared" si="5"/>
        <v>0</v>
      </c>
      <c r="N33" s="37">
        <f t="shared" si="18"/>
        <v>215929</v>
      </c>
      <c r="O33" s="16">
        <f t="shared" si="6"/>
        <v>0</v>
      </c>
      <c r="P33" s="37">
        <f t="shared" si="12"/>
        <v>0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ref="T31:T33" si="19">T32</f>
        <v>3787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24320</v>
      </c>
      <c r="D34" s="13"/>
      <c r="E34" s="11">
        <f>SUM(E3:E33)</f>
        <v>13760</v>
      </c>
      <c r="F34" s="13"/>
      <c r="G34" s="11">
        <f>SUM(G3:G33)</f>
        <v>2040</v>
      </c>
      <c r="H34" s="13"/>
      <c r="I34" s="11">
        <f>SUM(I3:I33)</f>
        <v>1288</v>
      </c>
      <c r="J34" s="13"/>
      <c r="K34" s="11">
        <f>SUM(K3:K33)</f>
        <v>0</v>
      </c>
      <c r="L34" s="13"/>
      <c r="M34" s="11">
        <f>SUM(M3:M33)</f>
        <v>17120</v>
      </c>
      <c r="N34" s="38"/>
      <c r="O34" s="11">
        <f>SUM(O3:O33)</f>
        <v>93</v>
      </c>
      <c r="P34" s="13"/>
      <c r="Q34" s="11">
        <f>SUM(Q3:Q33)</f>
        <v>-120493</v>
      </c>
      <c r="R34" s="1"/>
      <c r="S34" s="11">
        <f>SUM(S3:S33)</f>
        <v>0</v>
      </c>
      <c r="T34" s="1"/>
      <c r="U34" s="11">
        <f>SUM(U3:U33)</f>
        <v>4960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B30" sqref="B30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>
        <v>263</v>
      </c>
      <c r="C19" s="152">
        <v>18851</v>
      </c>
      <c r="D19" s="44">
        <f t="shared" si="0"/>
        <v>800</v>
      </c>
      <c r="E19" s="153">
        <v>27986003</v>
      </c>
      <c r="F19" s="44">
        <f t="shared" si="1"/>
        <v>13308</v>
      </c>
      <c r="G19" s="154">
        <v>88544363</v>
      </c>
      <c r="H19" s="44">
        <f t="shared" si="2"/>
        <v>58621</v>
      </c>
      <c r="I19" s="159">
        <f t="shared" si="3"/>
        <v>71929</v>
      </c>
      <c r="J19" s="153">
        <v>8705881</v>
      </c>
      <c r="K19" s="44">
        <f t="shared" si="4"/>
        <v>5805</v>
      </c>
      <c r="L19" s="156">
        <v>8663296</v>
      </c>
      <c r="M19" s="135">
        <f t="shared" si="5"/>
        <v>4687</v>
      </c>
      <c r="N19" s="153">
        <v>5825673</v>
      </c>
      <c r="O19" s="135">
        <f t="shared" si="12"/>
        <v>8426</v>
      </c>
      <c r="P19" s="156">
        <v>4909866</v>
      </c>
      <c r="Q19" s="135">
        <f t="shared" si="6"/>
        <v>14936</v>
      </c>
      <c r="R19" s="153">
        <v>18693144</v>
      </c>
      <c r="S19" s="135">
        <f t="shared" si="7"/>
        <v>10985</v>
      </c>
      <c r="T19" s="160">
        <v>0</v>
      </c>
      <c r="U19" s="157"/>
      <c r="V19" s="153">
        <v>6483936</v>
      </c>
      <c r="W19" s="135">
        <f t="shared" si="8"/>
        <v>12571</v>
      </c>
      <c r="X19" s="22">
        <f t="shared" si="9"/>
        <v>57410</v>
      </c>
      <c r="Y19" s="161">
        <f t="shared" si="10"/>
        <v>14519</v>
      </c>
      <c r="Z19" s="162">
        <f t="shared" si="11"/>
        <v>9099.4692671999983</v>
      </c>
      <c r="AA19" s="162">
        <f t="shared" si="13"/>
        <v>35550.460961599994</v>
      </c>
    </row>
    <row r="20" spans="1:27" s="136" customFormat="1" ht="16.5" thickBot="1" x14ac:dyDescent="0.3">
      <c r="A20" s="10">
        <v>44457</v>
      </c>
      <c r="B20" s="135">
        <v>229</v>
      </c>
      <c r="C20" s="152">
        <v>18857</v>
      </c>
      <c r="D20" s="44">
        <f t="shared" si="0"/>
        <v>960</v>
      </c>
      <c r="E20" s="153">
        <v>27993978</v>
      </c>
      <c r="F20" s="44">
        <f t="shared" si="1"/>
        <v>7975</v>
      </c>
      <c r="G20" s="154">
        <v>88596275</v>
      </c>
      <c r="H20" s="44">
        <f t="shared" si="2"/>
        <v>51912</v>
      </c>
      <c r="I20" s="159">
        <f t="shared" si="3"/>
        <v>59887</v>
      </c>
      <c r="J20" s="153">
        <v>8710818</v>
      </c>
      <c r="K20" s="44">
        <f t="shared" si="4"/>
        <v>4937</v>
      </c>
      <c r="L20" s="156">
        <v>8667454</v>
      </c>
      <c r="M20" s="135">
        <f t="shared" si="5"/>
        <v>4158</v>
      </c>
      <c r="N20" s="153">
        <v>5827528</v>
      </c>
      <c r="O20" s="135">
        <f t="shared" si="12"/>
        <v>3710</v>
      </c>
      <c r="P20" s="156">
        <v>4926863</v>
      </c>
      <c r="Q20" s="135">
        <f t="shared" si="6"/>
        <v>16997</v>
      </c>
      <c r="R20" s="153">
        <v>18701980</v>
      </c>
      <c r="S20" s="135">
        <f t="shared" si="7"/>
        <v>8836</v>
      </c>
      <c r="T20" s="160">
        <v>0</v>
      </c>
      <c r="U20" s="157"/>
      <c r="V20" s="153">
        <v>6493909</v>
      </c>
      <c r="W20" s="135">
        <f t="shared" si="8"/>
        <v>9973</v>
      </c>
      <c r="X20" s="22">
        <f t="shared" si="9"/>
        <v>48611</v>
      </c>
      <c r="Y20" s="161">
        <f t="shared" si="10"/>
        <v>11276</v>
      </c>
      <c r="Z20" s="162">
        <f t="shared" si="11"/>
        <v>7562.9411727999995</v>
      </c>
      <c r="AA20" s="162">
        <f t="shared" si="13"/>
        <v>35709.505020799996</v>
      </c>
    </row>
    <row r="21" spans="1:27" s="136" customFormat="1" ht="16.5" thickBot="1" x14ac:dyDescent="0.3">
      <c r="A21" s="10">
        <v>44458</v>
      </c>
      <c r="B21" s="135">
        <v>227</v>
      </c>
      <c r="C21" s="152">
        <v>18865</v>
      </c>
      <c r="D21" s="44">
        <f t="shared" si="0"/>
        <v>1280</v>
      </c>
      <c r="E21" s="153">
        <v>28004878</v>
      </c>
      <c r="F21" s="44">
        <f t="shared" si="1"/>
        <v>10900</v>
      </c>
      <c r="G21" s="154">
        <v>88667792</v>
      </c>
      <c r="H21" s="44">
        <f t="shared" si="2"/>
        <v>71517</v>
      </c>
      <c r="I21" s="159">
        <f t="shared" si="3"/>
        <v>82417</v>
      </c>
      <c r="J21" s="153">
        <v>8717360</v>
      </c>
      <c r="K21" s="44">
        <f t="shared" si="4"/>
        <v>6542</v>
      </c>
      <c r="L21" s="156">
        <v>8673110</v>
      </c>
      <c r="M21" s="135">
        <f t="shared" si="5"/>
        <v>5656</v>
      </c>
      <c r="N21" s="153">
        <v>5830062</v>
      </c>
      <c r="O21" s="135">
        <f t="shared" si="12"/>
        <v>5068</v>
      </c>
      <c r="P21" s="156">
        <v>4950462</v>
      </c>
      <c r="Q21" s="135">
        <f t="shared" si="6"/>
        <v>23599</v>
      </c>
      <c r="R21" s="153">
        <v>18714098</v>
      </c>
      <c r="S21" s="135">
        <f t="shared" si="7"/>
        <v>12118</v>
      </c>
      <c r="T21" s="160">
        <v>0</v>
      </c>
      <c r="U21" s="157"/>
      <c r="V21" s="153">
        <v>6507587</v>
      </c>
      <c r="W21" s="135">
        <f t="shared" si="8"/>
        <v>13678</v>
      </c>
      <c r="X21" s="22">
        <f t="shared" si="9"/>
        <v>66661</v>
      </c>
      <c r="Y21" s="161">
        <f t="shared" si="10"/>
        <v>15756</v>
      </c>
      <c r="Z21" s="162">
        <f t="shared" si="11"/>
        <v>10411.145555200001</v>
      </c>
      <c r="AA21" s="162">
        <f t="shared" si="13"/>
        <v>38218.809012800004</v>
      </c>
    </row>
    <row r="22" spans="1:27" ht="16.5" thickBot="1" x14ac:dyDescent="0.3">
      <c r="A22" s="10">
        <v>44459</v>
      </c>
      <c r="B22" s="44">
        <v>247</v>
      </c>
      <c r="C22" s="152">
        <v>18869</v>
      </c>
      <c r="D22" s="44">
        <f t="shared" si="0"/>
        <v>640</v>
      </c>
      <c r="E22" s="153">
        <v>28013769</v>
      </c>
      <c r="F22" s="44">
        <f t="shared" si="1"/>
        <v>8891</v>
      </c>
      <c r="G22" s="154">
        <v>88711382</v>
      </c>
      <c r="H22" s="44">
        <f t="shared" si="2"/>
        <v>43590</v>
      </c>
      <c r="I22" s="155">
        <f t="shared" si="3"/>
        <v>52481</v>
      </c>
      <c r="J22" s="153">
        <v>8721783</v>
      </c>
      <c r="K22" s="44">
        <f t="shared" si="4"/>
        <v>4423</v>
      </c>
      <c r="L22" s="156">
        <v>8676676</v>
      </c>
      <c r="M22" s="44">
        <f t="shared" si="5"/>
        <v>3566</v>
      </c>
      <c r="N22" s="153">
        <v>5832674</v>
      </c>
      <c r="O22" s="44">
        <f t="shared" si="12"/>
        <v>5224</v>
      </c>
      <c r="P22" s="156">
        <v>4963673</v>
      </c>
      <c r="Q22" s="44">
        <f t="shared" si="6"/>
        <v>13211</v>
      </c>
      <c r="R22" s="153">
        <v>18721798</v>
      </c>
      <c r="S22" s="44">
        <f t="shared" si="7"/>
        <v>7700</v>
      </c>
      <c r="T22" s="153">
        <v>0</v>
      </c>
      <c r="U22" s="157"/>
      <c r="V22" s="153">
        <v>6516235</v>
      </c>
      <c r="W22" s="44">
        <f t="shared" si="8"/>
        <v>8648</v>
      </c>
      <c r="X22" s="22">
        <f t="shared" si="9"/>
        <v>42772</v>
      </c>
      <c r="Y22" s="158">
        <f t="shared" si="10"/>
        <v>9709</v>
      </c>
      <c r="Z22" s="3">
        <f t="shared" si="11"/>
        <v>6636.7061696000001</v>
      </c>
      <c r="AA22" s="3">
        <f t="shared" si="13"/>
        <v>33710.262164799999</v>
      </c>
    </row>
    <row r="23" spans="1:27" ht="16.5" thickBot="1" x14ac:dyDescent="0.3">
      <c r="A23" s="10">
        <v>44460</v>
      </c>
      <c r="B23" s="44">
        <v>247</v>
      </c>
      <c r="C23" s="152">
        <v>18874</v>
      </c>
      <c r="D23" s="44">
        <f t="shared" si="0"/>
        <v>800</v>
      </c>
      <c r="E23" s="153">
        <v>28034266</v>
      </c>
      <c r="F23" s="44">
        <f t="shared" si="1"/>
        <v>20497</v>
      </c>
      <c r="G23" s="154">
        <v>88779812</v>
      </c>
      <c r="H23" s="44">
        <f t="shared" si="2"/>
        <v>68430</v>
      </c>
      <c r="I23" s="155">
        <f t="shared" si="3"/>
        <v>88927</v>
      </c>
      <c r="J23" s="153">
        <v>8729102</v>
      </c>
      <c r="K23" s="44">
        <f t="shared" si="4"/>
        <v>7319</v>
      </c>
      <c r="L23" s="156">
        <v>8683463</v>
      </c>
      <c r="M23" s="44">
        <f t="shared" si="5"/>
        <v>6787</v>
      </c>
      <c r="N23" s="153">
        <v>5839426</v>
      </c>
      <c r="O23" s="44">
        <f t="shared" si="12"/>
        <v>13504</v>
      </c>
      <c r="P23" s="156">
        <v>4979842</v>
      </c>
      <c r="Q23" s="44">
        <f t="shared" si="6"/>
        <v>16169</v>
      </c>
      <c r="R23" s="153">
        <v>18734844</v>
      </c>
      <c r="S23" s="44">
        <f t="shared" si="7"/>
        <v>13046</v>
      </c>
      <c r="T23" s="153">
        <v>0</v>
      </c>
      <c r="U23" s="157"/>
      <c r="V23" s="153">
        <v>6531217</v>
      </c>
      <c r="W23" s="44">
        <f t="shared" si="8"/>
        <v>14982</v>
      </c>
      <c r="X23" s="22">
        <f t="shared" si="9"/>
        <v>71807</v>
      </c>
      <c r="Y23" s="158">
        <f t="shared" si="10"/>
        <v>17120</v>
      </c>
      <c r="Z23" s="3">
        <f t="shared" si="11"/>
        <v>11098.5224896</v>
      </c>
      <c r="AA23" s="3">
        <f t="shared" si="13"/>
        <v>35709.315387200004</v>
      </c>
    </row>
    <row r="24" spans="1:27" ht="16.5" thickBot="1" x14ac:dyDescent="0.3">
      <c r="A24" s="10">
        <v>44461</v>
      </c>
      <c r="B24" s="44">
        <v>312</v>
      </c>
      <c r="C24" s="152">
        <v>18881</v>
      </c>
      <c r="D24" s="44">
        <f t="shared" si="0"/>
        <v>1120</v>
      </c>
      <c r="E24" s="153">
        <v>28048217</v>
      </c>
      <c r="F24" s="44">
        <f t="shared" si="1"/>
        <v>13951</v>
      </c>
      <c r="G24" s="154">
        <v>88827459</v>
      </c>
      <c r="H24" s="44">
        <f t="shared" si="2"/>
        <v>47647</v>
      </c>
      <c r="I24" s="155">
        <f t="shared" si="3"/>
        <v>61598</v>
      </c>
      <c r="J24" s="153">
        <v>8733995</v>
      </c>
      <c r="K24" s="44">
        <f t="shared" si="4"/>
        <v>4893</v>
      </c>
      <c r="L24" s="156">
        <v>8688142</v>
      </c>
      <c r="M24" s="44">
        <f t="shared" si="5"/>
        <v>4679</v>
      </c>
      <c r="N24" s="153">
        <v>5843980</v>
      </c>
      <c r="O24" s="44">
        <f t="shared" si="12"/>
        <v>9108</v>
      </c>
      <c r="P24" s="156">
        <v>4990935</v>
      </c>
      <c r="Q24" s="44">
        <f t="shared" si="6"/>
        <v>11093</v>
      </c>
      <c r="R24" s="153">
        <v>18744345</v>
      </c>
      <c r="S24" s="44">
        <f t="shared" si="7"/>
        <v>9501</v>
      </c>
      <c r="T24" s="153">
        <v>0</v>
      </c>
      <c r="U24" s="157"/>
      <c r="V24" s="153">
        <v>6541600</v>
      </c>
      <c r="W24" s="44">
        <f t="shared" si="8"/>
        <v>10383</v>
      </c>
      <c r="X24" s="22">
        <f t="shared" si="9"/>
        <v>49657</v>
      </c>
      <c r="Y24" s="158">
        <f t="shared" si="10"/>
        <v>11941</v>
      </c>
      <c r="Z24" s="3">
        <f t="shared" si="11"/>
        <v>7750.6074048</v>
      </c>
      <c r="AA24" s="3">
        <f t="shared" si="13"/>
        <v>35896.9816192</v>
      </c>
    </row>
    <row r="25" spans="1:27" ht="16.5" thickBot="1" x14ac:dyDescent="0.3">
      <c r="A25" s="10">
        <v>44462</v>
      </c>
      <c r="B25" s="44">
        <v>257</v>
      </c>
      <c r="C25" s="152">
        <v>18887</v>
      </c>
      <c r="D25" s="44">
        <f t="shared" si="0"/>
        <v>960</v>
      </c>
      <c r="E25" s="153">
        <v>28062225</v>
      </c>
      <c r="F25" s="44">
        <f t="shared" si="1"/>
        <v>14008</v>
      </c>
      <c r="G25" s="154">
        <v>88875028</v>
      </c>
      <c r="H25" s="44">
        <f t="shared" si="2"/>
        <v>47569</v>
      </c>
      <c r="I25" s="155">
        <f t="shared" si="3"/>
        <v>61577</v>
      </c>
      <c r="J25" s="153">
        <v>8738911</v>
      </c>
      <c r="K25" s="44">
        <f t="shared" si="4"/>
        <v>4916</v>
      </c>
      <c r="L25" s="156">
        <v>8692893</v>
      </c>
      <c r="M25" s="44">
        <f t="shared" si="5"/>
        <v>4751</v>
      </c>
      <c r="N25" s="153">
        <v>5848533</v>
      </c>
      <c r="O25" s="44">
        <f t="shared" si="12"/>
        <v>9106</v>
      </c>
      <c r="P25" s="156">
        <v>5001830</v>
      </c>
      <c r="Q25" s="44">
        <f t="shared" si="6"/>
        <v>10895</v>
      </c>
      <c r="R25" s="153">
        <v>18754020</v>
      </c>
      <c r="S25" s="44">
        <f t="shared" si="7"/>
        <v>9675</v>
      </c>
      <c r="T25" s="153">
        <v>0</v>
      </c>
      <c r="U25" s="157"/>
      <c r="V25" s="153">
        <v>6551981</v>
      </c>
      <c r="W25" s="44">
        <f t="shared" si="8"/>
        <v>10381</v>
      </c>
      <c r="X25" s="22">
        <f t="shared" si="9"/>
        <v>49724</v>
      </c>
      <c r="Y25" s="158">
        <f t="shared" si="10"/>
        <v>11853</v>
      </c>
      <c r="Z25" s="3">
        <f t="shared" si="11"/>
        <v>7763.4008192000001</v>
      </c>
      <c r="AA25" s="3">
        <f t="shared" si="13"/>
        <v>33249.236883200007</v>
      </c>
    </row>
    <row r="26" spans="1:27" ht="16.5" thickBot="1" x14ac:dyDescent="0.3">
      <c r="A26" s="10">
        <v>44463</v>
      </c>
      <c r="B26" s="44">
        <v>316</v>
      </c>
      <c r="C26" s="152">
        <v>18893</v>
      </c>
      <c r="D26" s="44">
        <f t="shared" si="0"/>
        <v>960</v>
      </c>
      <c r="E26" s="153">
        <v>28079743</v>
      </c>
      <c r="F26" s="44">
        <f t="shared" si="1"/>
        <v>17518</v>
      </c>
      <c r="G26" s="154">
        <v>88934897</v>
      </c>
      <c r="H26" s="44">
        <f t="shared" si="2"/>
        <v>59869</v>
      </c>
      <c r="I26" s="155">
        <f t="shared" si="3"/>
        <v>77387</v>
      </c>
      <c r="J26" s="153">
        <v>8744720</v>
      </c>
      <c r="K26" s="44">
        <f t="shared" si="4"/>
        <v>5809</v>
      </c>
      <c r="L26" s="156">
        <v>8698787</v>
      </c>
      <c r="M26" s="44">
        <f t="shared" si="5"/>
        <v>5894</v>
      </c>
      <c r="N26" s="153">
        <v>5854229</v>
      </c>
      <c r="O26" s="44">
        <f t="shared" si="12"/>
        <v>11392</v>
      </c>
      <c r="P26" s="156">
        <v>5014982</v>
      </c>
      <c r="Q26" s="44">
        <f t="shared" si="6"/>
        <v>13152</v>
      </c>
      <c r="R26" s="153">
        <v>18766502</v>
      </c>
      <c r="S26" s="44">
        <f t="shared" si="7"/>
        <v>12482</v>
      </c>
      <c r="T26" s="153">
        <v>0</v>
      </c>
      <c r="U26" s="157"/>
      <c r="V26" s="153">
        <v>6565306</v>
      </c>
      <c r="W26" s="44">
        <f t="shared" si="8"/>
        <v>13325</v>
      </c>
      <c r="X26" s="22">
        <f t="shared" si="9"/>
        <v>62054</v>
      </c>
      <c r="Y26" s="158">
        <f t="shared" si="10"/>
        <v>15333</v>
      </c>
      <c r="Z26" s="3">
        <f t="shared" si="11"/>
        <v>9816.9369584000015</v>
      </c>
      <c r="AA26" s="3">
        <f t="shared" si="13"/>
        <v>36429.467671999999</v>
      </c>
    </row>
    <row r="27" spans="1:27" ht="16.5" thickBot="1" x14ac:dyDescent="0.3">
      <c r="A27" s="10">
        <v>44464</v>
      </c>
      <c r="B27" s="44">
        <v>196</v>
      </c>
      <c r="C27" s="152">
        <v>18899</v>
      </c>
      <c r="D27" s="44">
        <f t="shared" si="0"/>
        <v>960</v>
      </c>
      <c r="E27" s="153">
        <v>28099344</v>
      </c>
      <c r="F27" s="44">
        <f t="shared" si="1"/>
        <v>19601</v>
      </c>
      <c r="G27" s="154">
        <v>88983240</v>
      </c>
      <c r="H27" s="44">
        <f t="shared" si="2"/>
        <v>48343</v>
      </c>
      <c r="I27" s="155">
        <f t="shared" si="3"/>
        <v>67944</v>
      </c>
      <c r="J27" s="153">
        <v>8749965</v>
      </c>
      <c r="K27" s="44">
        <f t="shared" si="4"/>
        <v>5245</v>
      </c>
      <c r="L27" s="156">
        <v>8703337</v>
      </c>
      <c r="M27" s="44">
        <f t="shared" si="5"/>
        <v>4550</v>
      </c>
      <c r="N27" s="153">
        <v>5858680</v>
      </c>
      <c r="O27" s="44">
        <f t="shared" si="12"/>
        <v>8902</v>
      </c>
      <c r="P27" s="156">
        <v>5024973</v>
      </c>
      <c r="Q27" s="44">
        <f t="shared" si="6"/>
        <v>9991</v>
      </c>
      <c r="R27" s="153">
        <v>18776752</v>
      </c>
      <c r="S27" s="44">
        <f t="shared" si="7"/>
        <v>10250</v>
      </c>
      <c r="T27" s="153">
        <v>0</v>
      </c>
      <c r="U27" s="157"/>
      <c r="V27" s="153">
        <v>6576251</v>
      </c>
      <c r="W27" s="44">
        <f t="shared" si="8"/>
        <v>10945</v>
      </c>
      <c r="X27" s="22">
        <f t="shared" si="9"/>
        <v>49883</v>
      </c>
      <c r="Y27" s="158">
        <f t="shared" si="10"/>
        <v>18061</v>
      </c>
      <c r="Z27" s="3">
        <f t="shared" si="11"/>
        <v>7879.4504879999995</v>
      </c>
      <c r="AA27" s="3">
        <f t="shared" si="13"/>
        <v>33210.395670400001</v>
      </c>
    </row>
    <row r="28" spans="1:27" ht="16.5" thickBot="1" x14ac:dyDescent="0.3">
      <c r="A28" s="10">
        <v>44465</v>
      </c>
      <c r="B28" s="44">
        <v>267</v>
      </c>
      <c r="C28" s="152">
        <v>18903</v>
      </c>
      <c r="D28" s="44">
        <f t="shared" si="0"/>
        <v>640</v>
      </c>
      <c r="E28" s="153">
        <v>28114705</v>
      </c>
      <c r="F28" s="44">
        <f t="shared" si="1"/>
        <v>15361</v>
      </c>
      <c r="G28" s="154">
        <v>89046545</v>
      </c>
      <c r="H28" s="44">
        <f t="shared" si="2"/>
        <v>63305</v>
      </c>
      <c r="I28" s="155">
        <f t="shared" si="3"/>
        <v>78666</v>
      </c>
      <c r="J28" s="153">
        <v>8756204</v>
      </c>
      <c r="K28" s="44">
        <f t="shared" si="4"/>
        <v>6239</v>
      </c>
      <c r="L28" s="156">
        <v>8709296</v>
      </c>
      <c r="M28" s="44">
        <f t="shared" si="5"/>
        <v>5959</v>
      </c>
      <c r="N28" s="153">
        <v>5864620</v>
      </c>
      <c r="O28" s="44">
        <f t="shared" si="12"/>
        <v>11880</v>
      </c>
      <c r="P28" s="156">
        <v>5038300</v>
      </c>
      <c r="Q28" s="44">
        <f t="shared" si="6"/>
        <v>13327</v>
      </c>
      <c r="R28" s="153">
        <v>18789629</v>
      </c>
      <c r="S28" s="44">
        <f t="shared" si="7"/>
        <v>12877</v>
      </c>
      <c r="T28" s="153">
        <v>0</v>
      </c>
      <c r="U28" s="157"/>
      <c r="V28" s="153">
        <v>6590493</v>
      </c>
      <c r="W28" s="44">
        <f t="shared" si="8"/>
        <v>14242</v>
      </c>
      <c r="X28" s="22">
        <f t="shared" si="9"/>
        <v>64524</v>
      </c>
      <c r="Y28" s="158">
        <f t="shared" si="10"/>
        <v>14142</v>
      </c>
      <c r="Z28" s="3">
        <f t="shared" si="11"/>
        <v>10231.360484800001</v>
      </c>
      <c r="AA28" s="3">
        <f t="shared" si="13"/>
        <v>35691.148750400003</v>
      </c>
    </row>
    <row r="29" spans="1:27" ht="16.5" thickBot="1" x14ac:dyDescent="0.3">
      <c r="A29" s="10">
        <v>44466</v>
      </c>
      <c r="B29" s="44">
        <v>253</v>
      </c>
      <c r="C29" s="152">
        <v>18908</v>
      </c>
      <c r="D29" s="44">
        <f t="shared" si="0"/>
        <v>800</v>
      </c>
      <c r="E29" s="153">
        <v>28124873</v>
      </c>
      <c r="F29" s="44">
        <f t="shared" si="1"/>
        <v>10168</v>
      </c>
      <c r="G29" s="154">
        <v>89093541</v>
      </c>
      <c r="H29" s="44">
        <f t="shared" si="2"/>
        <v>46996</v>
      </c>
      <c r="I29" s="155">
        <f t="shared" si="3"/>
        <v>57164</v>
      </c>
      <c r="J29" s="153">
        <v>8761336</v>
      </c>
      <c r="K29" s="44">
        <f t="shared" si="4"/>
        <v>5132</v>
      </c>
      <c r="L29" s="156">
        <v>8713888</v>
      </c>
      <c r="M29" s="44">
        <f t="shared" si="5"/>
        <v>4592</v>
      </c>
      <c r="N29" s="153">
        <v>5865998</v>
      </c>
      <c r="O29" s="44">
        <f t="shared" si="12"/>
        <v>2756</v>
      </c>
      <c r="P29" s="156">
        <v>5048681</v>
      </c>
      <c r="Q29" s="44">
        <f t="shared" si="6"/>
        <v>10381</v>
      </c>
      <c r="R29" s="153">
        <v>18798985</v>
      </c>
      <c r="S29" s="44">
        <f t="shared" si="7"/>
        <v>9356</v>
      </c>
      <c r="T29" s="153">
        <v>0</v>
      </c>
      <c r="U29" s="157"/>
      <c r="V29" s="153">
        <v>6601157</v>
      </c>
      <c r="W29" s="44">
        <f t="shared" si="8"/>
        <v>10664</v>
      </c>
      <c r="X29" s="22">
        <f t="shared" si="9"/>
        <v>42881</v>
      </c>
      <c r="Y29" s="158">
        <f t="shared" si="10"/>
        <v>14283</v>
      </c>
      <c r="Z29" s="3">
        <f t="shared" si="11"/>
        <v>6760.97552</v>
      </c>
      <c r="AA29" s="3">
        <f t="shared" si="13"/>
        <v>34688.7234512</v>
      </c>
    </row>
    <row r="30" spans="1:27" ht="16.5" thickBot="1" x14ac:dyDescent="0.3">
      <c r="A30" s="10">
        <v>44467</v>
      </c>
      <c r="B30" s="44">
        <v>266</v>
      </c>
      <c r="C30" s="152">
        <v>18913</v>
      </c>
      <c r="D30" s="44">
        <f t="shared" si="0"/>
        <v>800</v>
      </c>
      <c r="E30" s="153">
        <v>28136190</v>
      </c>
      <c r="F30" s="44">
        <f t="shared" si="1"/>
        <v>11317</v>
      </c>
      <c r="G30" s="154">
        <v>89133902</v>
      </c>
      <c r="H30" s="44">
        <f t="shared" si="2"/>
        <v>40361</v>
      </c>
      <c r="I30" s="155">
        <f t="shared" si="3"/>
        <v>51678</v>
      </c>
      <c r="J30" s="153">
        <v>8765009</v>
      </c>
      <c r="K30" s="44">
        <f t="shared" si="4"/>
        <v>3673</v>
      </c>
      <c r="L30" s="156">
        <v>8717594</v>
      </c>
      <c r="M30" s="44">
        <f t="shared" si="5"/>
        <v>3706</v>
      </c>
      <c r="N30" s="153">
        <v>5872732</v>
      </c>
      <c r="O30" s="44">
        <f t="shared" si="12"/>
        <v>13468</v>
      </c>
      <c r="P30" s="156">
        <v>5057422</v>
      </c>
      <c r="Q30" s="44">
        <f t="shared" si="6"/>
        <v>8741</v>
      </c>
      <c r="R30" s="153">
        <v>18807177</v>
      </c>
      <c r="S30" s="44">
        <f t="shared" si="7"/>
        <v>8192</v>
      </c>
      <c r="T30" s="153">
        <v>0</v>
      </c>
      <c r="U30" s="157"/>
      <c r="V30" s="153">
        <v>6610214</v>
      </c>
      <c r="W30" s="44">
        <f t="shared" si="8"/>
        <v>9057</v>
      </c>
      <c r="X30" s="22">
        <f t="shared" si="9"/>
        <v>46837</v>
      </c>
      <c r="Y30" s="158">
        <f t="shared" si="10"/>
        <v>4841</v>
      </c>
      <c r="Z30" s="3">
        <f t="shared" si="11"/>
        <v>7401.7469968000005</v>
      </c>
      <c r="AA30" s="3">
        <f t="shared" si="13"/>
        <v>32273.533489600002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 t="str">
        <f t="shared" si="1"/>
        <v>0</v>
      </c>
      <c r="G31" s="154"/>
      <c r="H31" s="44" t="str">
        <f t="shared" si="2"/>
        <v>0</v>
      </c>
      <c r="I31" s="155">
        <f t="shared" si="3"/>
        <v>0</v>
      </c>
      <c r="J31" s="153"/>
      <c r="K31" s="44" t="str">
        <f t="shared" si="4"/>
        <v>0</v>
      </c>
      <c r="L31" s="156"/>
      <c r="M31" s="44" t="str">
        <f t="shared" si="5"/>
        <v>0</v>
      </c>
      <c r="N31" s="153"/>
      <c r="O31" s="44">
        <f t="shared" si="12"/>
        <v>0</v>
      </c>
      <c r="P31" s="156"/>
      <c r="Q31" s="44" t="str">
        <f t="shared" si="6"/>
        <v>0</v>
      </c>
      <c r="R31" s="153"/>
      <c r="S31" s="44" t="str">
        <f t="shared" si="7"/>
        <v>0</v>
      </c>
      <c r="T31" s="153">
        <v>0</v>
      </c>
      <c r="U31" s="11"/>
      <c r="V31" s="153"/>
      <c r="W31" s="44" t="str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24394.083001600004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14162.7225168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7401.7469968000005</v>
      </c>
    </row>
    <row r="34" spans="1:27" ht="16.5" thickBot="1" x14ac:dyDescent="0.3">
      <c r="A34" s="6" t="s">
        <v>23</v>
      </c>
      <c r="B34" s="144">
        <f>SUM(B2:B33)</f>
        <v>5859</v>
      </c>
      <c r="C34" s="144"/>
      <c r="D34" s="144">
        <f>SUM(D2:D33)</f>
        <v>26720</v>
      </c>
      <c r="E34" s="61">
        <v>0</v>
      </c>
      <c r="F34" s="61">
        <f>SUM(F2:F33)</f>
        <v>430502</v>
      </c>
      <c r="G34" s="61">
        <v>0</v>
      </c>
      <c r="H34" s="61">
        <f>SUM(H2:H33)</f>
        <v>1535060</v>
      </c>
      <c r="I34" s="61">
        <f>SUM(I5:I33)</f>
        <v>1801323</v>
      </c>
      <c r="J34" s="61">
        <v>0</v>
      </c>
      <c r="K34" s="61">
        <f>SUM(K2:K33)</f>
        <v>156890</v>
      </c>
      <c r="L34" s="61">
        <v>0</v>
      </c>
      <c r="M34" s="61">
        <f>SUM(M2:M33)</f>
        <v>147842</v>
      </c>
      <c r="N34" s="61">
        <v>0</v>
      </c>
      <c r="O34" s="61">
        <f>SUM(O2:O33)</f>
        <v>277778</v>
      </c>
      <c r="P34" s="61">
        <v>0</v>
      </c>
      <c r="Q34" s="61">
        <f>SUM(Q2:Q33)</f>
        <v>370831</v>
      </c>
      <c r="R34" s="61">
        <v>0</v>
      </c>
      <c r="S34" s="61">
        <f>SUM(S2:S33)</f>
        <v>298973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332526</v>
      </c>
      <c r="X34" s="61">
        <f>SUM(X5:X33)</f>
        <v>1450173</v>
      </c>
      <c r="Y34" s="61">
        <f>SUM(Y2:Y33)</f>
        <v>380722</v>
      </c>
      <c r="Z34" s="61">
        <f>SUM(Z2:Z33)</f>
        <v>247172.23379680002</v>
      </c>
      <c r="AA34" s="61">
        <f>SUM(AA2:AA33)</f>
        <v>978774.22025760019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8" activePane="bottomLeft" state="frozen"/>
      <selection pane="bottomLeft" activeCell="I31" sqref="I3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>
        <v>425170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5520000</v>
      </c>
      <c r="G19" s="44">
        <f t="shared" si="4"/>
        <v>526.5</v>
      </c>
      <c r="H19" s="3">
        <v>747667</v>
      </c>
      <c r="I19" s="49">
        <f t="shared" si="5"/>
        <v>4.0229999999999997</v>
      </c>
      <c r="J19" s="22">
        <f t="shared" si="2"/>
        <v>1610.5229999999999</v>
      </c>
      <c r="K19" s="23">
        <f t="shared" si="3"/>
        <v>9437.6647799999992</v>
      </c>
      <c r="Q19" t="s">
        <v>12</v>
      </c>
    </row>
    <row r="20" spans="1:25" ht="16.5" thickBot="1" x14ac:dyDescent="0.3">
      <c r="A20" s="10">
        <v>44457</v>
      </c>
      <c r="B20" s="3">
        <v>425264</v>
      </c>
      <c r="C20" s="44">
        <f t="shared" si="6"/>
        <v>940</v>
      </c>
      <c r="D20" s="3">
        <v>4377000</v>
      </c>
      <c r="E20" s="44">
        <f t="shared" si="1"/>
        <v>0</v>
      </c>
      <c r="F20" s="3">
        <v>5537800</v>
      </c>
      <c r="G20" s="44">
        <f t="shared" si="4"/>
        <v>480.6</v>
      </c>
      <c r="H20" s="3">
        <v>747848</v>
      </c>
      <c r="I20" s="49">
        <f t="shared" si="5"/>
        <v>4.8869999999999996</v>
      </c>
      <c r="J20" s="22">
        <f t="shared" si="2"/>
        <v>1425.4869999999999</v>
      </c>
      <c r="K20" s="23">
        <f t="shared" si="3"/>
        <v>8353.3538200000003</v>
      </c>
    </row>
    <row r="21" spans="1:25" ht="16.5" thickBot="1" x14ac:dyDescent="0.3">
      <c r="A21" s="10">
        <v>44458</v>
      </c>
      <c r="B21" s="3">
        <v>425345</v>
      </c>
      <c r="C21" s="44">
        <f t="shared" si="6"/>
        <v>810</v>
      </c>
      <c r="D21" s="3">
        <v>4377000</v>
      </c>
      <c r="E21" s="44">
        <f t="shared" si="1"/>
        <v>0</v>
      </c>
      <c r="F21" s="3">
        <v>5556000</v>
      </c>
      <c r="G21" s="44">
        <f t="shared" si="4"/>
        <v>491.4</v>
      </c>
      <c r="H21" s="3">
        <v>748069</v>
      </c>
      <c r="I21" s="49">
        <f t="shared" si="5"/>
        <v>5.9669999999999996</v>
      </c>
      <c r="J21" s="22">
        <f t="shared" si="2"/>
        <v>1307.3670000000002</v>
      </c>
      <c r="K21" s="23">
        <f t="shared" si="3"/>
        <v>7661.1706200000017</v>
      </c>
    </row>
    <row r="22" spans="1:25" ht="16.5" thickBot="1" x14ac:dyDescent="0.3">
      <c r="A22" s="10">
        <v>44459</v>
      </c>
      <c r="B22" s="3">
        <v>425447</v>
      </c>
      <c r="C22" s="44">
        <f t="shared" si="6"/>
        <v>1020</v>
      </c>
      <c r="D22" s="3">
        <v>4377000</v>
      </c>
      <c r="E22" s="44">
        <f t="shared" si="1"/>
        <v>0</v>
      </c>
      <c r="F22" s="3">
        <v>5579100</v>
      </c>
      <c r="G22" s="44">
        <f t="shared" si="4"/>
        <v>623.70000000000005</v>
      </c>
      <c r="H22" s="3">
        <v>748266</v>
      </c>
      <c r="I22" s="49">
        <f t="shared" si="5"/>
        <v>5.319</v>
      </c>
      <c r="J22" s="22">
        <f t="shared" si="2"/>
        <v>1649.019</v>
      </c>
      <c r="K22" s="23">
        <f t="shared" si="3"/>
        <v>9663.2513400000007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>
        <v>425563</v>
      </c>
      <c r="C23" s="44">
        <f t="shared" si="6"/>
        <v>1160</v>
      </c>
      <c r="D23" s="3">
        <v>4377000</v>
      </c>
      <c r="E23" s="44">
        <f t="shared" si="1"/>
        <v>0</v>
      </c>
      <c r="F23" s="3">
        <v>5599000</v>
      </c>
      <c r="G23" s="44">
        <f t="shared" si="4"/>
        <v>537.29999999999995</v>
      </c>
      <c r="H23" s="3">
        <v>748441</v>
      </c>
      <c r="I23" s="49">
        <f t="shared" si="5"/>
        <v>4.7249999999999996</v>
      </c>
      <c r="J23" s="22">
        <f t="shared" si="2"/>
        <v>1702.0249999999999</v>
      </c>
      <c r="K23" s="23">
        <f t="shared" si="3"/>
        <v>9973.8665000000001</v>
      </c>
      <c r="Q23" t="s">
        <v>12</v>
      </c>
    </row>
    <row r="24" spans="1:25" ht="16.5" thickBot="1" x14ac:dyDescent="0.3">
      <c r="A24" s="10">
        <v>44461</v>
      </c>
      <c r="B24" s="3">
        <v>425734</v>
      </c>
      <c r="C24" s="44">
        <f t="shared" si="6"/>
        <v>1710</v>
      </c>
      <c r="D24" s="3">
        <v>4377000</v>
      </c>
      <c r="E24" s="44">
        <f t="shared" si="1"/>
        <v>0</v>
      </c>
      <c r="F24" s="3">
        <v>5625600</v>
      </c>
      <c r="G24" s="44">
        <f t="shared" si="4"/>
        <v>718.2</v>
      </c>
      <c r="H24" s="3">
        <v>748656</v>
      </c>
      <c r="I24" s="49">
        <f t="shared" si="5"/>
        <v>5.8049999999999997</v>
      </c>
      <c r="J24" s="22">
        <f t="shared" si="2"/>
        <v>2434.0049999999997</v>
      </c>
      <c r="K24" s="23">
        <f t="shared" si="3"/>
        <v>14263.269299999998</v>
      </c>
    </row>
    <row r="25" spans="1:25" ht="17.25" customHeight="1" thickBot="1" x14ac:dyDescent="0.4">
      <c r="A25" s="10">
        <v>44462</v>
      </c>
      <c r="B25" s="3">
        <v>425842</v>
      </c>
      <c r="C25" s="44">
        <f t="shared" si="6"/>
        <v>1080</v>
      </c>
      <c r="D25" s="3">
        <v>4377000</v>
      </c>
      <c r="E25" s="44">
        <f t="shared" si="1"/>
        <v>0</v>
      </c>
      <c r="F25" s="3">
        <v>5649100</v>
      </c>
      <c r="G25" s="44">
        <f t="shared" si="4"/>
        <v>634.5</v>
      </c>
      <c r="H25" s="3">
        <v>748862</v>
      </c>
      <c r="I25" s="49">
        <f t="shared" si="5"/>
        <v>5.5620000000000003</v>
      </c>
      <c r="J25" s="22">
        <f t="shared" si="2"/>
        <v>1720.0619999999999</v>
      </c>
      <c r="K25" s="23">
        <f t="shared" si="3"/>
        <v>10079.563319999999</v>
      </c>
      <c r="Y25" s="60"/>
    </row>
    <row r="26" spans="1:25" ht="16.5" thickBot="1" x14ac:dyDescent="0.3">
      <c r="A26" s="10">
        <v>44463</v>
      </c>
      <c r="B26" s="3">
        <v>425967</v>
      </c>
      <c r="C26" s="44">
        <f t="shared" si="6"/>
        <v>1250</v>
      </c>
      <c r="D26" s="3">
        <v>4377000</v>
      </c>
      <c r="E26" s="44">
        <f t="shared" si="1"/>
        <v>0</v>
      </c>
      <c r="F26" s="3">
        <v>5670700</v>
      </c>
      <c r="G26" s="44">
        <f t="shared" si="4"/>
        <v>583.20000000000005</v>
      </c>
      <c r="H26" s="3">
        <v>749034</v>
      </c>
      <c r="I26" s="49">
        <f t="shared" si="5"/>
        <v>4.6440000000000001</v>
      </c>
      <c r="J26" s="22">
        <f t="shared" si="2"/>
        <v>1837.8440000000001</v>
      </c>
      <c r="K26" s="23">
        <f t="shared" si="3"/>
        <v>10769.76584</v>
      </c>
      <c r="L26" t="s">
        <v>12</v>
      </c>
    </row>
    <row r="27" spans="1:25" ht="16.5" thickBot="1" x14ac:dyDescent="0.3">
      <c r="A27" s="10">
        <v>44464</v>
      </c>
      <c r="B27" s="3">
        <v>426072</v>
      </c>
      <c r="C27" s="44">
        <f t="shared" si="6"/>
        <v>1050</v>
      </c>
      <c r="D27" s="3">
        <v>4377000</v>
      </c>
      <c r="E27" s="44">
        <f t="shared" si="1"/>
        <v>0</v>
      </c>
      <c r="F27" s="3">
        <v>5687100</v>
      </c>
      <c r="G27" s="44">
        <f t="shared" si="4"/>
        <v>442.8</v>
      </c>
      <c r="H27" s="3">
        <v>749203</v>
      </c>
      <c r="I27" s="49">
        <f t="shared" si="5"/>
        <v>4.5629999999999997</v>
      </c>
      <c r="J27" s="22">
        <f t="shared" si="2"/>
        <v>1497.3630000000001</v>
      </c>
      <c r="K27" s="23">
        <f t="shared" si="3"/>
        <v>8774.5471800000014</v>
      </c>
      <c r="O27" t="s">
        <v>12</v>
      </c>
    </row>
    <row r="28" spans="1:25" ht="16.5" thickBot="1" x14ac:dyDescent="0.3">
      <c r="A28" s="10">
        <v>44465</v>
      </c>
      <c r="B28" s="3">
        <v>426167</v>
      </c>
      <c r="C28" s="44">
        <f t="shared" si="6"/>
        <v>950</v>
      </c>
      <c r="D28" s="3">
        <v>4377000</v>
      </c>
      <c r="E28" s="44">
        <f t="shared" si="1"/>
        <v>0</v>
      </c>
      <c r="F28" s="3">
        <v>5706400</v>
      </c>
      <c r="G28" s="44">
        <f t="shared" si="4"/>
        <v>521.1</v>
      </c>
      <c r="H28" s="3">
        <v>749394</v>
      </c>
      <c r="I28" s="49">
        <f t="shared" si="5"/>
        <v>5.157</v>
      </c>
      <c r="J28" s="22">
        <f t="shared" si="2"/>
        <v>1476.2569999999998</v>
      </c>
      <c r="K28" s="23">
        <f t="shared" si="3"/>
        <v>8650.8660199999995</v>
      </c>
    </row>
    <row r="29" spans="1:25" ht="16.5" thickBot="1" x14ac:dyDescent="0.3">
      <c r="A29" s="10">
        <v>44466</v>
      </c>
      <c r="B29" s="3">
        <v>426288</v>
      </c>
      <c r="C29" s="44">
        <f t="shared" si="6"/>
        <v>1210</v>
      </c>
      <c r="D29" s="3">
        <v>4377000</v>
      </c>
      <c r="E29" s="44">
        <f t="shared" si="1"/>
        <v>0</v>
      </c>
      <c r="F29" s="3">
        <v>5730100</v>
      </c>
      <c r="G29" s="44">
        <f t="shared" si="4"/>
        <v>639.9</v>
      </c>
      <c r="H29" s="3">
        <v>749590</v>
      </c>
      <c r="I29" s="49">
        <f t="shared" si="5"/>
        <v>5.2919999999999998</v>
      </c>
      <c r="J29" s="22">
        <f t="shared" si="2"/>
        <v>1855.192</v>
      </c>
      <c r="K29" s="23">
        <f t="shared" si="3"/>
        <v>10871.42512</v>
      </c>
    </row>
    <row r="30" spans="1:25" ht="16.5" thickBot="1" x14ac:dyDescent="0.3">
      <c r="A30" s="10">
        <v>44467</v>
      </c>
      <c r="B30" s="3">
        <v>426398</v>
      </c>
      <c r="C30" s="44">
        <f t="shared" si="6"/>
        <v>1100</v>
      </c>
      <c r="D30" s="3">
        <v>4377000</v>
      </c>
      <c r="E30" s="44">
        <f t="shared" si="1"/>
        <v>0</v>
      </c>
      <c r="F30" s="3">
        <v>5753600</v>
      </c>
      <c r="G30" s="44">
        <f t="shared" si="4"/>
        <v>634.5</v>
      </c>
      <c r="H30" s="3">
        <v>749778</v>
      </c>
      <c r="I30" s="49">
        <f t="shared" si="5"/>
        <v>5.0759999999999996</v>
      </c>
      <c r="J30" s="22">
        <f t="shared" si="2"/>
        <v>1739.576</v>
      </c>
      <c r="K30" s="23">
        <f t="shared" si="3"/>
        <v>10193.915360000001</v>
      </c>
    </row>
    <row r="31" spans="1:25" ht="16.5" thickBot="1" x14ac:dyDescent="0.3">
      <c r="A31" s="10">
        <v>44468</v>
      </c>
      <c r="B31" s="3">
        <v>426539</v>
      </c>
      <c r="C31" s="44">
        <f t="shared" si="6"/>
        <v>1410</v>
      </c>
      <c r="D31" s="3">
        <v>4377000</v>
      </c>
      <c r="E31" s="44">
        <f t="shared" si="1"/>
        <v>0</v>
      </c>
      <c r="F31" s="3">
        <v>5780700</v>
      </c>
      <c r="G31" s="44">
        <f t="shared" si="4"/>
        <v>731.7</v>
      </c>
      <c r="H31" s="3">
        <v>750011</v>
      </c>
      <c r="I31" s="49">
        <f t="shared" si="5"/>
        <v>6.2910000000000004</v>
      </c>
      <c r="J31" s="22">
        <f t="shared" si="2"/>
        <v>2147.991</v>
      </c>
      <c r="K31" s="23">
        <f t="shared" si="3"/>
        <v>12587.227260000001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>
        <v>4377000</v>
      </c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31390</v>
      </c>
      <c r="D34" s="3"/>
      <c r="E34" s="61">
        <f>SUM(E3:E33)</f>
        <v>0</v>
      </c>
      <c r="F34" s="3"/>
      <c r="G34" s="61">
        <f>SUM(G3:G33)</f>
        <v>15462.400000000001</v>
      </c>
      <c r="H34" s="3"/>
      <c r="I34" s="61">
        <f>SUM(I3:I33)</f>
        <v>138.726</v>
      </c>
      <c r="J34" s="61">
        <f>SUM(J3:J33)</f>
        <v>46991.125999999997</v>
      </c>
      <c r="K34" s="61">
        <f>SUM(K3:K33)</f>
        <v>275367.99835999991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pane xSplit="1" topLeftCell="B1" activePane="topRight" state="frozen"/>
      <selection pane="topRight" activeCell="B32" sqref="B3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>
        <v>17608833</v>
      </c>
      <c r="C19" s="50">
        <f t="shared" si="0"/>
        <v>2499</v>
      </c>
    </row>
    <row r="20" spans="1:9" ht="24" thickBot="1" x14ac:dyDescent="0.4">
      <c r="A20" s="10">
        <v>44457</v>
      </c>
      <c r="B20" s="139">
        <v>17611275</v>
      </c>
      <c r="C20" s="50">
        <f t="shared" si="0"/>
        <v>2442</v>
      </c>
    </row>
    <row r="21" spans="1:9" ht="24" thickBot="1" x14ac:dyDescent="0.4">
      <c r="A21" s="10">
        <v>44458</v>
      </c>
      <c r="B21" s="139">
        <v>17613115</v>
      </c>
      <c r="C21" s="50">
        <f t="shared" si="0"/>
        <v>1840</v>
      </c>
    </row>
    <row r="22" spans="1:9" ht="24" thickBot="1" x14ac:dyDescent="0.4">
      <c r="A22" s="10">
        <v>44459</v>
      </c>
      <c r="B22" s="139">
        <v>17615342</v>
      </c>
      <c r="C22" s="50">
        <f t="shared" si="0"/>
        <v>2227</v>
      </c>
    </row>
    <row r="23" spans="1:9" ht="24" thickBot="1" x14ac:dyDescent="0.4">
      <c r="A23" s="10">
        <v>44460</v>
      </c>
      <c r="B23" s="139">
        <v>17617476</v>
      </c>
      <c r="C23" s="50">
        <f t="shared" si="0"/>
        <v>2134</v>
      </c>
      <c r="F23" t="s">
        <v>12</v>
      </c>
    </row>
    <row r="24" spans="1:9" ht="24" thickBot="1" x14ac:dyDescent="0.4">
      <c r="A24" s="10">
        <v>44461</v>
      </c>
      <c r="B24" s="139">
        <v>17619691</v>
      </c>
      <c r="C24" s="50">
        <f t="shared" si="0"/>
        <v>2215</v>
      </c>
      <c r="E24" t="s">
        <v>12</v>
      </c>
    </row>
    <row r="25" spans="1:9" ht="24" thickBot="1" x14ac:dyDescent="0.4">
      <c r="A25" s="10">
        <v>44462</v>
      </c>
      <c r="B25" s="139">
        <v>17621969</v>
      </c>
      <c r="C25" s="50">
        <f t="shared" si="0"/>
        <v>2278</v>
      </c>
    </row>
    <row r="26" spans="1:9" ht="24" thickBot="1" x14ac:dyDescent="0.4">
      <c r="A26" s="10">
        <v>44463</v>
      </c>
      <c r="B26" s="139">
        <v>17624341</v>
      </c>
      <c r="C26" s="50">
        <f t="shared" si="0"/>
        <v>2372</v>
      </c>
    </row>
    <row r="27" spans="1:9" ht="24" thickBot="1" x14ac:dyDescent="0.4">
      <c r="A27" s="10">
        <v>44464</v>
      </c>
      <c r="B27" s="139">
        <v>17626618</v>
      </c>
      <c r="C27" s="50">
        <f t="shared" si="0"/>
        <v>2277</v>
      </c>
    </row>
    <row r="28" spans="1:9" ht="24" thickBot="1" x14ac:dyDescent="0.4">
      <c r="A28" s="10">
        <v>44465</v>
      </c>
      <c r="B28" s="139">
        <v>17628753</v>
      </c>
      <c r="C28" s="50">
        <f t="shared" si="0"/>
        <v>2135</v>
      </c>
      <c r="I28" t="s">
        <v>12</v>
      </c>
    </row>
    <row r="29" spans="1:9" ht="24" thickBot="1" x14ac:dyDescent="0.4">
      <c r="A29" s="10">
        <v>44466</v>
      </c>
      <c r="B29" s="139">
        <v>17630858</v>
      </c>
      <c r="C29" s="50">
        <f t="shared" si="0"/>
        <v>2105</v>
      </c>
    </row>
    <row r="30" spans="1:9" ht="24" thickBot="1" x14ac:dyDescent="0.4">
      <c r="A30" s="10">
        <v>44467</v>
      </c>
      <c r="B30" s="139">
        <v>17633244</v>
      </c>
      <c r="C30" s="50">
        <f t="shared" si="0"/>
        <v>2386</v>
      </c>
    </row>
    <row r="31" spans="1:9" ht="24" thickBot="1" x14ac:dyDescent="0.4">
      <c r="A31" s="10">
        <v>44468</v>
      </c>
      <c r="B31" s="139">
        <v>17635365</v>
      </c>
      <c r="C31" s="50">
        <f>IF((B31-B30)&lt;0,"0",(B31-B30))</f>
        <v>2121</v>
      </c>
    </row>
    <row r="32" spans="1:9" ht="24" thickBot="1" x14ac:dyDescent="0.4">
      <c r="A32" s="10">
        <v>44469</v>
      </c>
      <c r="B32" s="139"/>
      <c r="C32" s="50" t="str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64576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topLeftCell="G1" zoomScale="87" zoomScaleNormal="87" workbookViewId="0">
      <pane ySplit="1" topLeftCell="A2" activePane="bottomLeft" state="frozen"/>
      <selection pane="bottomLeft" activeCell="Z31" sqref="Z31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>
        <v>142922</v>
      </c>
      <c r="Y8" s="167">
        <f t="shared" si="13"/>
        <v>0</v>
      </c>
      <c r="Z8" s="167">
        <v>7208</v>
      </c>
      <c r="AA8" s="167">
        <f t="shared" si="14"/>
        <v>0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195</v>
      </c>
      <c r="Z9" s="167">
        <v>7218</v>
      </c>
      <c r="AA9" s="167">
        <f t="shared" si="14"/>
        <v>10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>
        <v>143475</v>
      </c>
      <c r="Y13" s="167">
        <f t="shared" si="13"/>
        <v>0</v>
      </c>
      <c r="Z13" s="167">
        <v>7248</v>
      </c>
      <c r="AA13" s="167">
        <f t="shared" si="14"/>
        <v>0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>
        <v>143475</v>
      </c>
      <c r="Y14" s="167">
        <f t="shared" si="13"/>
        <v>0</v>
      </c>
      <c r="Z14" s="167">
        <v>7248</v>
      </c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>
        <v>143475</v>
      </c>
      <c r="Y15" s="167">
        <f t="shared" si="13"/>
        <v>0</v>
      </c>
      <c r="Z15" s="167">
        <v>7248</v>
      </c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>
        <v>143475</v>
      </c>
      <c r="Y16" s="167">
        <f t="shared" si="13"/>
        <v>0</v>
      </c>
      <c r="Z16" s="167">
        <v>7248</v>
      </c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>
        <v>143475</v>
      </c>
      <c r="Y17" s="167">
        <f t="shared" si="13"/>
        <v>0</v>
      </c>
      <c r="Z17" s="167">
        <v>7248</v>
      </c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>
        <v>143475</v>
      </c>
      <c r="Y18" s="167">
        <f t="shared" si="13"/>
        <v>0</v>
      </c>
      <c r="Z18" s="167">
        <v>7248</v>
      </c>
      <c r="AA18" s="167">
        <f t="shared" si="14"/>
        <v>0</v>
      </c>
    </row>
    <row r="19" spans="1:27" ht="16.5" thickBot="1" x14ac:dyDescent="0.25">
      <c r="A19" s="10">
        <v>44456</v>
      </c>
      <c r="B19" s="170">
        <v>22207.853999999999</v>
      </c>
      <c r="C19" s="49">
        <f t="shared" si="11"/>
        <v>10.610000000000582</v>
      </c>
      <c r="D19" s="33">
        <f t="shared" si="0"/>
        <v>20159.000000001102</v>
      </c>
      <c r="E19" s="1">
        <v>3917.6640000000002</v>
      </c>
      <c r="F19" s="49">
        <f t="shared" si="1"/>
        <v>1.7280000000000655</v>
      </c>
      <c r="G19" s="33">
        <f t="shared" si="2"/>
        <v>3283.2000000001244</v>
      </c>
      <c r="H19" s="1">
        <v>4041</v>
      </c>
      <c r="I19" s="49">
        <f t="shared" si="3"/>
        <v>7</v>
      </c>
      <c r="J19" s="33">
        <f t="shared" si="4"/>
        <v>13299.999999999998</v>
      </c>
      <c r="K19" s="7">
        <v>13706.63</v>
      </c>
      <c r="L19" s="49">
        <f t="shared" si="5"/>
        <v>1.4699999999993452</v>
      </c>
      <c r="M19" s="33">
        <f t="shared" si="6"/>
        <v>2792.9999999987558</v>
      </c>
      <c r="N19" s="7">
        <v>3222.085</v>
      </c>
      <c r="O19" s="49">
        <f t="shared" si="7"/>
        <v>1.5349999999998545</v>
      </c>
      <c r="P19" s="33">
        <f t="shared" si="8"/>
        <v>2916.4999999997235</v>
      </c>
      <c r="Q19" s="7">
        <v>5142</v>
      </c>
      <c r="R19" s="49">
        <f t="shared" si="9"/>
        <v>3.680000000000291</v>
      </c>
      <c r="S19" s="33">
        <f t="shared" si="10"/>
        <v>6992.0000000005521</v>
      </c>
      <c r="T19" s="8">
        <f t="shared" si="15"/>
        <v>26.023000000000138</v>
      </c>
      <c r="U19" s="35">
        <f t="shared" si="12"/>
        <v>49443.700000000259</v>
      </c>
      <c r="W19" s="166">
        <v>44456</v>
      </c>
      <c r="X19" s="167">
        <v>143475</v>
      </c>
      <c r="Y19" s="167">
        <f t="shared" si="13"/>
        <v>0</v>
      </c>
      <c r="Z19" s="167">
        <v>7248</v>
      </c>
      <c r="AA19" s="167">
        <f t="shared" si="14"/>
        <v>0</v>
      </c>
    </row>
    <row r="20" spans="1:27" ht="16.5" thickBot="1" x14ac:dyDescent="0.25">
      <c r="A20" s="10">
        <v>44457</v>
      </c>
      <c r="B20" s="170">
        <v>22219.414000000001</v>
      </c>
      <c r="C20" s="49">
        <f t="shared" si="11"/>
        <v>11.56000000000131</v>
      </c>
      <c r="D20" s="33">
        <f t="shared" si="0"/>
        <v>21964.000000002488</v>
      </c>
      <c r="E20" s="1">
        <v>3919.5450000000001</v>
      </c>
      <c r="F20" s="49">
        <f t="shared" si="1"/>
        <v>1.8809999999998581</v>
      </c>
      <c r="G20" s="33">
        <f t="shared" si="2"/>
        <v>3573.89999999973</v>
      </c>
      <c r="H20" s="1">
        <v>4048</v>
      </c>
      <c r="I20" s="49">
        <f t="shared" si="3"/>
        <v>7</v>
      </c>
      <c r="J20" s="33">
        <f t="shared" si="4"/>
        <v>13299.999999999998</v>
      </c>
      <c r="K20" s="7">
        <v>13708.1</v>
      </c>
      <c r="L20" s="49">
        <f t="shared" si="5"/>
        <v>1.4700000000011642</v>
      </c>
      <c r="M20" s="33">
        <f t="shared" si="6"/>
        <v>2793.0000000022119</v>
      </c>
      <c r="N20" s="7">
        <v>3223.7049999999999</v>
      </c>
      <c r="O20" s="49">
        <f t="shared" si="7"/>
        <v>1.6199999999998909</v>
      </c>
      <c r="P20" s="33">
        <f t="shared" si="8"/>
        <v>3077.9999999997926</v>
      </c>
      <c r="Q20" s="7">
        <v>5145.2700000000004</v>
      </c>
      <c r="R20" s="49">
        <f t="shared" si="9"/>
        <v>3.2700000000004366</v>
      </c>
      <c r="S20" s="33">
        <f t="shared" si="10"/>
        <v>6213.0000000008285</v>
      </c>
      <c r="T20" s="8">
        <f t="shared" si="15"/>
        <v>26.801000000002659</v>
      </c>
      <c r="U20" s="35">
        <f t="shared" si="12"/>
        <v>50921.900000005051</v>
      </c>
      <c r="W20" s="166">
        <v>44457</v>
      </c>
      <c r="X20" s="167">
        <v>145389</v>
      </c>
      <c r="Y20" s="167">
        <f t="shared" si="13"/>
        <v>1914</v>
      </c>
      <c r="Z20" s="167">
        <v>7307</v>
      </c>
      <c r="AA20" s="167">
        <f t="shared" si="14"/>
        <v>59</v>
      </c>
    </row>
    <row r="21" spans="1:27" ht="16.5" thickBot="1" x14ac:dyDescent="0.25">
      <c r="A21" s="10">
        <v>44458</v>
      </c>
      <c r="B21" s="170">
        <v>22228.978999999999</v>
      </c>
      <c r="C21" s="49">
        <f t="shared" si="11"/>
        <v>9.5649999999986903</v>
      </c>
      <c r="D21" s="33">
        <f t="shared" si="0"/>
        <v>18173.499999997512</v>
      </c>
      <c r="E21" s="1">
        <v>3921.5010000000002</v>
      </c>
      <c r="F21" s="49">
        <f t="shared" si="1"/>
        <v>1.956000000000131</v>
      </c>
      <c r="G21" s="33">
        <f t="shared" si="2"/>
        <v>3716.4000000002488</v>
      </c>
      <c r="H21" s="1">
        <v>4054</v>
      </c>
      <c r="I21" s="49">
        <f t="shared" si="3"/>
        <v>6</v>
      </c>
      <c r="J21" s="33">
        <f t="shared" si="4"/>
        <v>11399.999999999998</v>
      </c>
      <c r="K21" s="7">
        <v>13708.24</v>
      </c>
      <c r="L21" s="49">
        <f t="shared" si="5"/>
        <v>0.13999999999941792</v>
      </c>
      <c r="M21" s="33">
        <f t="shared" si="6"/>
        <v>265.99999999889405</v>
      </c>
      <c r="N21" s="7">
        <v>3225.049</v>
      </c>
      <c r="O21" s="49">
        <f t="shared" si="7"/>
        <v>1.3440000000000509</v>
      </c>
      <c r="P21" s="33">
        <f t="shared" si="8"/>
        <v>2553.6000000000968</v>
      </c>
      <c r="Q21" s="7">
        <v>5148.6000000000004</v>
      </c>
      <c r="R21" s="49">
        <f t="shared" si="9"/>
        <v>3.3299999999999272</v>
      </c>
      <c r="S21" s="33">
        <f t="shared" si="10"/>
        <v>6326.9999999998618</v>
      </c>
      <c r="T21" s="8">
        <f t="shared" si="15"/>
        <v>22.334999999998217</v>
      </c>
      <c r="U21" s="35">
        <f t="shared" si="12"/>
        <v>42436.499999996609</v>
      </c>
      <c r="W21" s="166">
        <v>44458</v>
      </c>
      <c r="X21" s="167">
        <v>145421</v>
      </c>
      <c r="Y21" s="167">
        <f t="shared" si="13"/>
        <v>32</v>
      </c>
      <c r="Z21" s="167">
        <v>7312</v>
      </c>
      <c r="AA21" s="167">
        <f t="shared" si="14"/>
        <v>5</v>
      </c>
    </row>
    <row r="22" spans="1:27" ht="16.5" thickBot="1" x14ac:dyDescent="0.25">
      <c r="A22" s="10">
        <v>44459</v>
      </c>
      <c r="B22" s="170">
        <v>22240.985000000001</v>
      </c>
      <c r="C22" s="49">
        <f t="shared" si="11"/>
        <v>12.006000000001222</v>
      </c>
      <c r="D22" s="33">
        <f t="shared" si="0"/>
        <v>22811.400000002322</v>
      </c>
      <c r="E22" s="1">
        <v>3924.4679999999998</v>
      </c>
      <c r="F22" s="49">
        <f t="shared" si="1"/>
        <v>2.9669999999996435</v>
      </c>
      <c r="G22" s="33">
        <f t="shared" si="2"/>
        <v>5637.2999999993217</v>
      </c>
      <c r="H22" s="1">
        <v>4062</v>
      </c>
      <c r="I22" s="49">
        <f t="shared" si="3"/>
        <v>8</v>
      </c>
      <c r="J22" s="33">
        <f t="shared" si="4"/>
        <v>15200</v>
      </c>
      <c r="K22" s="7">
        <v>13710.51</v>
      </c>
      <c r="L22" s="49">
        <f t="shared" si="5"/>
        <v>2.2700000000004366</v>
      </c>
      <c r="M22" s="33">
        <f t="shared" si="6"/>
        <v>4313.0000000008295</v>
      </c>
      <c r="N22" s="7">
        <v>3226.6469999999999</v>
      </c>
      <c r="O22" s="49">
        <f t="shared" si="7"/>
        <v>1.5979999999999563</v>
      </c>
      <c r="P22" s="33">
        <f t="shared" si="8"/>
        <v>3036.1999999999171</v>
      </c>
      <c r="Q22" s="7">
        <v>5150.09</v>
      </c>
      <c r="R22" s="49">
        <f t="shared" si="9"/>
        <v>1.4899999999997817</v>
      </c>
      <c r="S22" s="33">
        <f t="shared" si="10"/>
        <v>2830.9999999995853</v>
      </c>
      <c r="T22" s="8">
        <f t="shared" si="15"/>
        <v>28.33100000000104</v>
      </c>
      <c r="U22" s="35">
        <f t="shared" si="12"/>
        <v>53828.900000001973</v>
      </c>
      <c r="W22" s="166">
        <v>44459</v>
      </c>
      <c r="X22" s="167">
        <v>145421</v>
      </c>
      <c r="Y22" s="167">
        <f t="shared" si="13"/>
        <v>0</v>
      </c>
      <c r="Z22" s="167">
        <v>7312</v>
      </c>
      <c r="AA22" s="167">
        <f t="shared" si="14"/>
        <v>0</v>
      </c>
    </row>
    <row r="23" spans="1:27" ht="16.5" thickBot="1" x14ac:dyDescent="0.25">
      <c r="A23" s="10">
        <v>44460</v>
      </c>
      <c r="B23" s="170">
        <v>22254.955999999998</v>
      </c>
      <c r="C23" s="49">
        <f t="shared" si="11"/>
        <v>13.97099999999773</v>
      </c>
      <c r="D23" s="33">
        <f t="shared" si="0"/>
        <v>26544.899999995687</v>
      </c>
      <c r="E23" s="1">
        <v>3927.7570000000001</v>
      </c>
      <c r="F23" s="49">
        <f t="shared" si="1"/>
        <v>3.2890000000002146</v>
      </c>
      <c r="G23" s="33">
        <f t="shared" si="2"/>
        <v>6249.1000000004069</v>
      </c>
      <c r="H23" s="1">
        <v>4071</v>
      </c>
      <c r="I23" s="49">
        <f t="shared" si="3"/>
        <v>9</v>
      </c>
      <c r="J23" s="33">
        <f t="shared" si="4"/>
        <v>17099.999999999996</v>
      </c>
      <c r="K23" s="7">
        <v>13713.15</v>
      </c>
      <c r="L23" s="49">
        <f t="shared" si="5"/>
        <v>2.6399999999994179</v>
      </c>
      <c r="M23" s="33">
        <f t="shared" si="6"/>
        <v>5015.9999999988941</v>
      </c>
      <c r="N23" s="7">
        <v>3228.3539999999998</v>
      </c>
      <c r="O23" s="49">
        <f t="shared" si="7"/>
        <v>1.7069999999998799</v>
      </c>
      <c r="P23" s="33">
        <f t="shared" si="8"/>
        <v>3243.2999999997719</v>
      </c>
      <c r="Q23" s="7">
        <v>5153.93</v>
      </c>
      <c r="R23" s="49">
        <f t="shared" si="9"/>
        <v>3.8400000000001455</v>
      </c>
      <c r="S23" s="33">
        <f t="shared" si="10"/>
        <v>7296.0000000002765</v>
      </c>
      <c r="T23" s="8">
        <f t="shared" si="15"/>
        <v>34.446999999997388</v>
      </c>
      <c r="U23" s="35">
        <f t="shared" si="12"/>
        <v>65449.299999995033</v>
      </c>
      <c r="W23" s="166">
        <v>44460</v>
      </c>
      <c r="X23" s="167">
        <v>145575</v>
      </c>
      <c r="Y23" s="167">
        <f t="shared" si="13"/>
        <v>154</v>
      </c>
      <c r="Z23" s="167">
        <v>7340</v>
      </c>
      <c r="AA23" s="167">
        <f t="shared" si="14"/>
        <v>28</v>
      </c>
    </row>
    <row r="24" spans="1:27" ht="16.5" thickBot="1" x14ac:dyDescent="0.25">
      <c r="A24" s="10">
        <v>44461</v>
      </c>
      <c r="B24" s="170">
        <v>22268.322</v>
      </c>
      <c r="C24" s="49">
        <f t="shared" si="11"/>
        <v>13.366000000001804</v>
      </c>
      <c r="D24" s="33">
        <f t="shared" si="0"/>
        <v>25395.400000003428</v>
      </c>
      <c r="E24" s="1">
        <v>3931.25</v>
      </c>
      <c r="F24" s="49">
        <f t="shared" si="1"/>
        <v>3.4929999999999382</v>
      </c>
      <c r="G24" s="33">
        <f t="shared" si="2"/>
        <v>6636.6999999998825</v>
      </c>
      <c r="H24" s="1">
        <v>4079</v>
      </c>
      <c r="I24" s="49">
        <f t="shared" si="3"/>
        <v>8</v>
      </c>
      <c r="J24" s="33">
        <f t="shared" si="4"/>
        <v>15200</v>
      </c>
      <c r="K24" s="7">
        <v>13715.78</v>
      </c>
      <c r="L24" s="49">
        <f t="shared" si="5"/>
        <v>2.6300000000010186</v>
      </c>
      <c r="M24" s="33">
        <f t="shared" si="6"/>
        <v>4997.0000000019354</v>
      </c>
      <c r="N24" s="7">
        <v>3230.172</v>
      </c>
      <c r="O24" s="49">
        <f t="shared" si="7"/>
        <v>1.818000000000211</v>
      </c>
      <c r="P24" s="33">
        <f t="shared" si="8"/>
        <v>3454.2000000004009</v>
      </c>
      <c r="Q24" s="7">
        <v>5157.78</v>
      </c>
      <c r="R24" s="49">
        <f t="shared" si="9"/>
        <v>3.8499999999994543</v>
      </c>
      <c r="S24" s="33">
        <f t="shared" si="10"/>
        <v>7314.9999999989632</v>
      </c>
      <c r="T24" s="8">
        <f t="shared" si="15"/>
        <v>33.157000000002427</v>
      </c>
      <c r="U24" s="35">
        <f t="shared" si="12"/>
        <v>62998.300000004601</v>
      </c>
      <c r="W24" s="166">
        <v>44461</v>
      </c>
      <c r="X24" s="167">
        <v>145575</v>
      </c>
      <c r="Y24" s="167">
        <f t="shared" si="13"/>
        <v>0</v>
      </c>
      <c r="Z24" s="167">
        <v>7340</v>
      </c>
      <c r="AA24" s="167">
        <f t="shared" si="14"/>
        <v>0</v>
      </c>
    </row>
    <row r="25" spans="1:27" ht="16.5" thickBot="1" x14ac:dyDescent="0.25">
      <c r="A25" s="10">
        <v>44462</v>
      </c>
      <c r="B25" s="170">
        <v>22280.164000000001</v>
      </c>
      <c r="C25" s="49">
        <f t="shared" si="11"/>
        <v>11.842000000000553</v>
      </c>
      <c r="D25" s="33">
        <f t="shared" si="0"/>
        <v>22499.800000001047</v>
      </c>
      <c r="E25" s="1">
        <v>3934.0659999999998</v>
      </c>
      <c r="F25" s="49">
        <f t="shared" si="1"/>
        <v>2.8159999999998035</v>
      </c>
      <c r="G25" s="33">
        <f t="shared" si="2"/>
        <v>5350.3999999996267</v>
      </c>
      <c r="H25" s="1">
        <v>4086</v>
      </c>
      <c r="I25" s="49">
        <f t="shared" si="3"/>
        <v>7</v>
      </c>
      <c r="J25" s="33">
        <f t="shared" si="4"/>
        <v>13299.999999999998</v>
      </c>
      <c r="K25" s="7">
        <v>13718.06</v>
      </c>
      <c r="L25" s="49">
        <f t="shared" si="5"/>
        <v>2.2799999999988358</v>
      </c>
      <c r="M25" s="33">
        <f t="shared" si="6"/>
        <v>4331.9999999977881</v>
      </c>
      <c r="N25" s="7">
        <v>3231.7370000000001</v>
      </c>
      <c r="O25" s="49">
        <f t="shared" si="7"/>
        <v>1.5650000000000546</v>
      </c>
      <c r="P25" s="33">
        <f t="shared" si="8"/>
        <v>2973.5000000001037</v>
      </c>
      <c r="Q25" s="7">
        <v>5161.2</v>
      </c>
      <c r="R25" s="49">
        <f t="shared" si="9"/>
        <v>3.4200000000000728</v>
      </c>
      <c r="S25" s="33">
        <f t="shared" si="10"/>
        <v>6498.0000000001382</v>
      </c>
      <c r="T25" s="8">
        <f t="shared" si="15"/>
        <v>28.92299999999932</v>
      </c>
      <c r="U25" s="35">
        <f t="shared" si="12"/>
        <v>54953.699999998702</v>
      </c>
      <c r="W25" s="166">
        <v>44462</v>
      </c>
      <c r="X25" s="167">
        <v>146224</v>
      </c>
      <c r="Y25" s="167">
        <f t="shared" si="13"/>
        <v>649</v>
      </c>
      <c r="Z25" s="167">
        <v>7364</v>
      </c>
      <c r="AA25" s="167">
        <f t="shared" si="14"/>
        <v>24</v>
      </c>
    </row>
    <row r="26" spans="1:27" ht="16.5" thickBot="1" x14ac:dyDescent="0.25">
      <c r="A26" s="10">
        <v>44463</v>
      </c>
      <c r="B26" s="170">
        <v>22291.716</v>
      </c>
      <c r="C26" s="49">
        <f t="shared" si="11"/>
        <v>11.55199999999968</v>
      </c>
      <c r="D26" s="33">
        <f t="shared" si="0"/>
        <v>21948.799999999392</v>
      </c>
      <c r="E26" s="1">
        <v>3935.6309999999999</v>
      </c>
      <c r="F26" s="49">
        <f t="shared" si="1"/>
        <v>1.5650000000000546</v>
      </c>
      <c r="G26" s="33">
        <f t="shared" si="2"/>
        <v>2973.5000000001037</v>
      </c>
      <c r="H26" s="1">
        <v>4092</v>
      </c>
      <c r="I26" s="49">
        <f t="shared" si="3"/>
        <v>6</v>
      </c>
      <c r="J26" s="33">
        <f t="shared" si="4"/>
        <v>11399.999999999998</v>
      </c>
      <c r="K26" s="7">
        <v>13720.28</v>
      </c>
      <c r="L26" s="49">
        <f t="shared" si="5"/>
        <v>2.2200000000011642</v>
      </c>
      <c r="M26" s="33">
        <f t="shared" si="6"/>
        <v>4218.0000000022119</v>
      </c>
      <c r="N26" s="7">
        <v>3233.1529999999998</v>
      </c>
      <c r="O26" s="49">
        <f t="shared" si="7"/>
        <v>1.4159999999997126</v>
      </c>
      <c r="P26" s="33">
        <f t="shared" si="8"/>
        <v>2690.3999999994535</v>
      </c>
      <c r="Q26" s="7">
        <v>5164.59</v>
      </c>
      <c r="R26" s="49">
        <f t="shared" si="9"/>
        <v>3.3900000000003274</v>
      </c>
      <c r="S26" s="33">
        <f t="shared" si="10"/>
        <v>6441.0000000006212</v>
      </c>
      <c r="T26" s="8">
        <f t="shared" si="15"/>
        <v>26.143000000000939</v>
      </c>
      <c r="U26" s="35">
        <f t="shared" si="12"/>
        <v>49671.70000000178</v>
      </c>
      <c r="V26" t="s">
        <v>12</v>
      </c>
      <c r="W26" s="166">
        <v>44463</v>
      </c>
      <c r="X26" s="167">
        <v>146505</v>
      </c>
      <c r="Y26" s="167">
        <f t="shared" si="13"/>
        <v>281</v>
      </c>
      <c r="Z26" s="167">
        <v>7370</v>
      </c>
      <c r="AA26" s="167">
        <f t="shared" si="14"/>
        <v>6</v>
      </c>
    </row>
    <row r="27" spans="1:27" ht="16.5" thickBot="1" x14ac:dyDescent="0.25">
      <c r="A27" s="10">
        <v>44464</v>
      </c>
      <c r="B27" s="170">
        <v>22301.373</v>
      </c>
      <c r="C27" s="49">
        <f t="shared" si="11"/>
        <v>9.6569999999992433</v>
      </c>
      <c r="D27" s="33">
        <f t="shared" si="0"/>
        <v>18348.299999998562</v>
      </c>
      <c r="E27" s="1">
        <v>3937.25</v>
      </c>
      <c r="F27" s="49">
        <f t="shared" si="1"/>
        <v>1.6190000000001419</v>
      </c>
      <c r="G27" s="33">
        <f t="shared" si="2"/>
        <v>3076.1000000002696</v>
      </c>
      <c r="H27" s="1">
        <v>4098</v>
      </c>
      <c r="I27" s="49">
        <f t="shared" si="3"/>
        <v>6</v>
      </c>
      <c r="J27" s="33">
        <f t="shared" si="4"/>
        <v>11399.999999999998</v>
      </c>
      <c r="K27" s="7">
        <v>13722.7</v>
      </c>
      <c r="L27" s="49">
        <f t="shared" si="5"/>
        <v>2.4200000000000728</v>
      </c>
      <c r="M27" s="33">
        <f t="shared" si="6"/>
        <v>4598.0000000001382</v>
      </c>
      <c r="N27" s="7">
        <v>3234.6210000000001</v>
      </c>
      <c r="O27" s="49">
        <f t="shared" si="7"/>
        <v>1.468000000000302</v>
      </c>
      <c r="P27" s="33">
        <f t="shared" si="8"/>
        <v>2789.2000000005733</v>
      </c>
      <c r="Q27" s="7">
        <v>5167.28</v>
      </c>
      <c r="R27" s="49">
        <f t="shared" si="9"/>
        <v>2.6899999999995998</v>
      </c>
      <c r="S27" s="33">
        <f t="shared" si="10"/>
        <v>5110.9999999992397</v>
      </c>
      <c r="T27" s="8">
        <f t="shared" si="15"/>
        <v>23.85399999999936</v>
      </c>
      <c r="U27" s="35">
        <f t="shared" si="12"/>
        <v>45322.599999998776</v>
      </c>
      <c r="V27" t="s">
        <v>12</v>
      </c>
      <c r="W27" s="166">
        <v>44464</v>
      </c>
      <c r="X27" s="167">
        <v>146505</v>
      </c>
      <c r="Y27" s="167">
        <f t="shared" si="13"/>
        <v>0</v>
      </c>
      <c r="Z27" s="167">
        <v>7381</v>
      </c>
      <c r="AA27" s="167">
        <f t="shared" si="14"/>
        <v>11</v>
      </c>
    </row>
    <row r="28" spans="1:27" ht="16.5" thickBot="1" x14ac:dyDescent="0.25">
      <c r="A28" s="10">
        <v>44465</v>
      </c>
      <c r="B28" s="170">
        <v>22310</v>
      </c>
      <c r="C28" s="49">
        <f t="shared" si="11"/>
        <v>8.6270000000004075</v>
      </c>
      <c r="D28" s="33">
        <f t="shared" si="0"/>
        <v>16391.300000000771</v>
      </c>
      <c r="E28" s="1">
        <v>3939.57</v>
      </c>
      <c r="F28" s="49">
        <f t="shared" si="1"/>
        <v>2.3200000000001637</v>
      </c>
      <c r="G28" s="33">
        <f t="shared" si="2"/>
        <v>4408.000000000311</v>
      </c>
      <c r="H28" s="1">
        <v>4104</v>
      </c>
      <c r="I28" s="49">
        <f t="shared" si="3"/>
        <v>6</v>
      </c>
      <c r="J28" s="33">
        <f t="shared" si="4"/>
        <v>11399.999999999998</v>
      </c>
      <c r="K28" s="7">
        <v>13725.14</v>
      </c>
      <c r="L28" s="49">
        <f t="shared" si="5"/>
        <v>2.4399999999986903</v>
      </c>
      <c r="M28" s="33">
        <f t="shared" si="6"/>
        <v>4635.9999999975116</v>
      </c>
      <c r="N28" s="7">
        <v>3236.145</v>
      </c>
      <c r="O28" s="49">
        <f t="shared" si="7"/>
        <v>1.5239999999998872</v>
      </c>
      <c r="P28" s="33">
        <f t="shared" si="8"/>
        <v>2895.5999999997853</v>
      </c>
      <c r="Q28" s="7">
        <v>5168.42</v>
      </c>
      <c r="R28" s="49">
        <f t="shared" si="9"/>
        <v>1.1400000000003274</v>
      </c>
      <c r="S28" s="33">
        <f t="shared" si="10"/>
        <v>2166.0000000006221</v>
      </c>
      <c r="T28" s="8">
        <f t="shared" si="15"/>
        <v>22.050999999999476</v>
      </c>
      <c r="U28" s="35">
        <f t="shared" si="12"/>
        <v>41896.899999998997</v>
      </c>
      <c r="W28" s="166">
        <v>44465</v>
      </c>
      <c r="X28" s="167">
        <v>146675</v>
      </c>
      <c r="Y28" s="167">
        <f t="shared" si="13"/>
        <v>170</v>
      </c>
      <c r="Z28" s="167">
        <v>7396</v>
      </c>
      <c r="AA28" s="167">
        <f t="shared" si="14"/>
        <v>15</v>
      </c>
    </row>
    <row r="29" spans="1:27" ht="16.5" thickBot="1" x14ac:dyDescent="0.25">
      <c r="A29" s="10">
        <v>44466</v>
      </c>
      <c r="B29" s="170">
        <v>22320.335999999999</v>
      </c>
      <c r="C29" s="49">
        <f t="shared" si="11"/>
        <v>10.335999999999331</v>
      </c>
      <c r="D29" s="33">
        <f t="shared" si="0"/>
        <v>19638.399999998728</v>
      </c>
      <c r="E29" s="1">
        <v>3943.0219999999999</v>
      </c>
      <c r="F29" s="49">
        <f t="shared" si="1"/>
        <v>3.4519999999997708</v>
      </c>
      <c r="G29" s="33">
        <f t="shared" si="2"/>
        <v>6558.7999999995645</v>
      </c>
      <c r="H29" s="1">
        <v>4111</v>
      </c>
      <c r="I29" s="49">
        <f t="shared" si="3"/>
        <v>7</v>
      </c>
      <c r="J29" s="33">
        <f t="shared" si="4"/>
        <v>13299.999999999998</v>
      </c>
      <c r="K29" s="7">
        <v>13728.3</v>
      </c>
      <c r="L29" s="49">
        <f t="shared" si="5"/>
        <v>3.1599999999998545</v>
      </c>
      <c r="M29" s="33">
        <f t="shared" si="6"/>
        <v>6003.9999999997235</v>
      </c>
      <c r="N29" s="7">
        <v>3238.0219999999999</v>
      </c>
      <c r="O29" s="49">
        <f t="shared" si="7"/>
        <v>1.8769999999999527</v>
      </c>
      <c r="P29" s="33">
        <f t="shared" si="8"/>
        <v>3566.2999999999097</v>
      </c>
      <c r="Q29" s="7">
        <v>5170.43</v>
      </c>
      <c r="R29" s="49">
        <f t="shared" si="9"/>
        <v>2.0100000000002183</v>
      </c>
      <c r="S29" s="33">
        <f t="shared" si="10"/>
        <v>3819.0000000004147</v>
      </c>
      <c r="T29" s="8">
        <f t="shared" si="15"/>
        <v>27.834999999999127</v>
      </c>
      <c r="U29" s="35">
        <f t="shared" si="12"/>
        <v>52886.499999998334</v>
      </c>
      <c r="W29" s="166">
        <v>44466</v>
      </c>
      <c r="X29" s="167"/>
      <c r="Y29" s="167">
        <f t="shared" si="13"/>
        <v>-146675</v>
      </c>
      <c r="Z29" s="167"/>
      <c r="AA29" s="167">
        <f t="shared" si="14"/>
        <v>-7396</v>
      </c>
    </row>
    <row r="30" spans="1:27" ht="16.5" thickBot="1" x14ac:dyDescent="0.25">
      <c r="A30" s="10">
        <v>44467</v>
      </c>
      <c r="B30" s="170">
        <v>22327.164000000001</v>
      </c>
      <c r="C30" s="49">
        <f t="shared" si="11"/>
        <v>6.8280000000013388</v>
      </c>
      <c r="D30" s="33">
        <f t="shared" si="0"/>
        <v>12973.200000002542</v>
      </c>
      <c r="E30" s="1">
        <v>3944.9780000000001</v>
      </c>
      <c r="F30" s="49">
        <f t="shared" si="1"/>
        <v>1.956000000000131</v>
      </c>
      <c r="G30" s="33">
        <f t="shared" si="2"/>
        <v>3716.4000000002488</v>
      </c>
      <c r="H30" s="1">
        <v>4115</v>
      </c>
      <c r="I30" s="49">
        <f t="shared" si="3"/>
        <v>4</v>
      </c>
      <c r="J30" s="33">
        <f t="shared" si="4"/>
        <v>7600</v>
      </c>
      <c r="K30" s="7">
        <v>13730.06</v>
      </c>
      <c r="L30" s="49">
        <f t="shared" si="5"/>
        <v>1.7600000000002183</v>
      </c>
      <c r="M30" s="33">
        <f t="shared" si="6"/>
        <v>3344.0000000004147</v>
      </c>
      <c r="N30" s="7">
        <v>3239.375</v>
      </c>
      <c r="O30" s="49">
        <f t="shared" si="7"/>
        <v>1.3530000000000655</v>
      </c>
      <c r="P30" s="33">
        <f t="shared" si="8"/>
        <v>2570.7000000001244</v>
      </c>
      <c r="Q30" s="7">
        <v>5170.96</v>
      </c>
      <c r="R30" s="49">
        <f t="shared" si="9"/>
        <v>0.52999999999974534</v>
      </c>
      <c r="S30" s="33">
        <f t="shared" si="10"/>
        <v>1006.999999999516</v>
      </c>
      <c r="T30" s="8">
        <f t="shared" si="15"/>
        <v>16.427000000001499</v>
      </c>
      <c r="U30" s="35">
        <f t="shared" si="12"/>
        <v>31211.300000002848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>
        <v>22336.548999999999</v>
      </c>
      <c r="C31" s="49">
        <f t="shared" si="11"/>
        <v>9.3849999999983993</v>
      </c>
      <c r="D31" s="33">
        <f t="shared" si="0"/>
        <v>17831.499999996959</v>
      </c>
      <c r="E31" s="1">
        <v>3947.9229999999998</v>
      </c>
      <c r="F31" s="49">
        <f t="shared" si="1"/>
        <v>2.944999999999709</v>
      </c>
      <c r="G31" s="33">
        <f t="shared" si="2"/>
        <v>5595.499999999447</v>
      </c>
      <c r="H31" s="1">
        <v>4121</v>
      </c>
      <c r="I31" s="49">
        <f t="shared" si="3"/>
        <v>6</v>
      </c>
      <c r="J31" s="33">
        <f t="shared" si="4"/>
        <v>11399.999999999998</v>
      </c>
      <c r="K31" s="7">
        <v>13732.73</v>
      </c>
      <c r="L31" s="49">
        <f t="shared" si="5"/>
        <v>2.6700000000000728</v>
      </c>
      <c r="M31" s="33">
        <f t="shared" si="6"/>
        <v>5073.0000000001382</v>
      </c>
      <c r="N31" s="7">
        <v>3240.8870000000002</v>
      </c>
      <c r="O31" s="49">
        <f t="shared" si="7"/>
        <v>1.512000000000171</v>
      </c>
      <c r="P31" s="33">
        <f t="shared" si="8"/>
        <v>2872.8000000003249</v>
      </c>
      <c r="Q31" s="7">
        <v>5173.2</v>
      </c>
      <c r="R31" s="49">
        <f t="shared" si="9"/>
        <v>2.2399999999997817</v>
      </c>
      <c r="S31" s="33">
        <f t="shared" si="10"/>
        <v>4255.9999999995853</v>
      </c>
      <c r="T31" s="8">
        <f t="shared" si="15"/>
        <v>24.751999999998134</v>
      </c>
      <c r="U31" s="35">
        <f t="shared" si="12"/>
        <v>47028.799999996452</v>
      </c>
      <c r="W31" s="166">
        <v>44468</v>
      </c>
      <c r="X31" s="167">
        <v>147650</v>
      </c>
      <c r="Y31" s="167">
        <f t="shared" si="13"/>
        <v>147650</v>
      </c>
      <c r="Z31" s="167">
        <v>7432</v>
      </c>
      <c r="AA31" s="167">
        <f t="shared" si="14"/>
        <v>7432</v>
      </c>
    </row>
    <row r="32" spans="1:27" ht="16.5" thickBot="1" x14ac:dyDescent="0.25">
      <c r="A32" s="10">
        <v>44469</v>
      </c>
      <c r="B32" s="170"/>
      <c r="C32" s="49" t="str">
        <f t="shared" si="11"/>
        <v>0</v>
      </c>
      <c r="D32" s="33">
        <f t="shared" si="0"/>
        <v>0</v>
      </c>
      <c r="E32" s="1"/>
      <c r="F32" s="49" t="str">
        <f t="shared" si="1"/>
        <v>0</v>
      </c>
      <c r="G32" s="33">
        <f t="shared" si="2"/>
        <v>0</v>
      </c>
      <c r="H32" s="1"/>
      <c r="I32" s="49" t="str">
        <f t="shared" si="3"/>
        <v>0</v>
      </c>
      <c r="J32" s="33">
        <f t="shared" si="4"/>
        <v>0</v>
      </c>
      <c r="K32" s="7"/>
      <c r="L32" s="49" t="str">
        <f t="shared" si="5"/>
        <v>0</v>
      </c>
      <c r="M32" s="33">
        <f t="shared" si="6"/>
        <v>0</v>
      </c>
      <c r="N32" s="7"/>
      <c r="O32" s="49" t="str">
        <f t="shared" si="7"/>
        <v>0</v>
      </c>
      <c r="P32" s="33">
        <f t="shared" si="8"/>
        <v>0</v>
      </c>
      <c r="Q32" s="7"/>
      <c r="R32" s="49" t="str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-147650</v>
      </c>
      <c r="Z32" s="167"/>
      <c r="AA32" s="167">
        <f t="shared" si="14"/>
        <v>-7432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345.44700000000012</v>
      </c>
      <c r="D34" s="144">
        <f>SUM(D2:D33)</f>
        <v>656349.30000000016</v>
      </c>
      <c r="E34" s="144">
        <v>0</v>
      </c>
      <c r="F34" s="144">
        <f>SUM(F2:F33)</f>
        <v>76.658999999999651</v>
      </c>
      <c r="G34" s="144">
        <f>SUM(G2:G33)</f>
        <v>145652.09999999934</v>
      </c>
      <c r="H34" s="144"/>
      <c r="I34" s="144">
        <f>SUM(I2:I33)</f>
        <v>217</v>
      </c>
      <c r="J34" s="144">
        <f>SUM(J2:J33)</f>
        <v>412300</v>
      </c>
      <c r="K34" s="144"/>
      <c r="L34" s="144">
        <f>SUM(L2:L33)</f>
        <v>58.109999999998763</v>
      </c>
      <c r="M34" s="144">
        <f>SUM(M2:M33)</f>
        <v>110408.99999999764</v>
      </c>
      <c r="N34" s="144"/>
      <c r="O34" s="144">
        <f>SUM(O2:O33)</f>
        <v>46.429000000000087</v>
      </c>
      <c r="P34" s="144">
        <f>SUM(P2:P33)</f>
        <v>88215.100000000166</v>
      </c>
      <c r="Q34" s="144"/>
      <c r="R34" s="144">
        <f>SUM(R2:R33)</f>
        <v>78.079999999999927</v>
      </c>
      <c r="S34" s="144">
        <f>SUM(S2:S33)</f>
        <v>148351.99999999983</v>
      </c>
      <c r="T34" s="144">
        <f>SUM(T2:T33)</f>
        <v>821.72499999999854</v>
      </c>
      <c r="U34" s="144">
        <f>SUM(U2:U33)</f>
        <v>1561277.4999999972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-14115511</v>
      </c>
      <c r="D7" s="110">
        <f t="shared" si="0"/>
        <v>-17926698.969999999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35328</v>
      </c>
      <c r="D8" s="110">
        <f t="shared" si="0"/>
        <v>44866.559999999998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5053</v>
      </c>
      <c r="D9" s="110">
        <f t="shared" si="0"/>
        <v>6417.31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17120</v>
      </c>
      <c r="D10" s="110">
        <f t="shared" si="0"/>
        <v>21742.400000000001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-120493</v>
      </c>
      <c r="D11" s="110">
        <f t="shared" si="0"/>
        <v>-153026.11000000002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3787</v>
      </c>
      <c r="K16" s="99">
        <f>(J16-I16)*160</f>
        <v>4960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25428</v>
      </c>
      <c r="K18" s="99">
        <f>(J18-I18)*160</f>
        <v>17120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0</v>
      </c>
      <c r="K19" s="99">
        <f>J19-I19</f>
        <v>-120493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45979</v>
      </c>
      <c r="K21" s="99">
        <f>(J21-I21)*120</f>
        <v>18240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39891</v>
      </c>
      <c r="K22" s="99">
        <f>(J22-I22)*160</f>
        <v>13760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20837</v>
      </c>
      <c r="K23" s="99">
        <f>(J23-I23)*20</f>
        <v>2040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249018</v>
      </c>
      <c r="K24" s="99">
        <f>J24-I24</f>
        <v>1288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215929</v>
      </c>
      <c r="K25" s="99">
        <f>J25-I25</f>
        <v>93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2021-09-30T04:26:03Z</dcterms:modified>
</cp:coreProperties>
</file>