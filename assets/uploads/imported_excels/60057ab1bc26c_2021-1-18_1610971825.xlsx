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 activeTab="1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3" i="6" l="1"/>
  <c r="E33" i="6"/>
  <c r="C33" i="6"/>
  <c r="G32" i="6"/>
  <c r="E32" i="6"/>
  <c r="C32" i="6"/>
  <c r="M28" i="4"/>
  <c r="J28" i="4"/>
  <c r="K28" i="4" s="1"/>
  <c r="M27" i="4"/>
  <c r="K27" i="4"/>
  <c r="J27" i="4"/>
  <c r="M26" i="4"/>
  <c r="J26" i="4"/>
  <c r="K26" i="4" s="1"/>
  <c r="G31" i="6" l="1"/>
  <c r="E31" i="6"/>
  <c r="C31" i="6"/>
  <c r="G30" i="6"/>
  <c r="E30" i="6"/>
  <c r="C30" i="6"/>
  <c r="G29" i="6"/>
  <c r="E29" i="6"/>
  <c r="C29" i="6"/>
  <c r="G25" i="4"/>
  <c r="E25" i="4"/>
  <c r="C25" i="4"/>
  <c r="G24" i="4"/>
  <c r="E24" i="4"/>
  <c r="C24" i="4"/>
  <c r="G28" i="6" l="1"/>
  <c r="E28" i="6"/>
  <c r="C28" i="6"/>
  <c r="G27" i="6"/>
  <c r="E27" i="6"/>
  <c r="C27" i="6"/>
  <c r="G23" i="4"/>
  <c r="E23" i="4"/>
  <c r="C23" i="4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E48" i="6" l="1"/>
  <c r="C48" i="6"/>
  <c r="Z43" i="4"/>
  <c r="W43" i="4"/>
  <c r="T43" i="4"/>
  <c r="Q43" i="4"/>
  <c r="G24" i="6"/>
  <c r="G48" i="6" s="1"/>
  <c r="E24" i="6"/>
  <c r="C24" i="6"/>
  <c r="G23" i="6"/>
  <c r="E23" i="6"/>
  <c r="C23" i="6"/>
  <c r="G22" i="6"/>
  <c r="E22" i="6"/>
  <c r="C22" i="6"/>
  <c r="M19" i="4"/>
  <c r="J19" i="4"/>
  <c r="K19" i="4" s="1"/>
  <c r="M18" i="4"/>
  <c r="K18" i="4"/>
  <c r="J18" i="4"/>
  <c r="M17" i="4"/>
  <c r="J17" i="4"/>
  <c r="K17" i="4" s="1"/>
  <c r="G21" i="6" l="1"/>
  <c r="E21" i="6"/>
  <c r="C21" i="6"/>
  <c r="G16" i="4"/>
  <c r="E16" i="4"/>
  <c r="C16" i="4"/>
  <c r="G20" i="6" l="1"/>
  <c r="E20" i="6"/>
  <c r="C20" i="6"/>
  <c r="D14" i="10" s="1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D41" i="10" l="1"/>
  <c r="M41" i="4"/>
  <c r="J41" i="4"/>
  <c r="K41" i="4" s="1"/>
  <c r="M40" i="4"/>
  <c r="J40" i="4"/>
  <c r="K40" i="4" s="1"/>
  <c r="M39" i="4"/>
  <c r="J39" i="4"/>
  <c r="K39" i="4" s="1"/>
  <c r="M34" i="4" l="1"/>
  <c r="J34" i="4"/>
  <c r="K34" i="4" s="1"/>
  <c r="M33" i="4"/>
  <c r="J33" i="4"/>
  <c r="K33" i="4" s="1"/>
  <c r="M32" i="4"/>
  <c r="J32" i="4"/>
  <c r="K32" i="4" s="1"/>
  <c r="AE13" i="4" l="1"/>
  <c r="AD13" i="4"/>
  <c r="AC13" i="4"/>
  <c r="AE19" i="4"/>
  <c r="AD19" i="4"/>
  <c r="AC19" i="4"/>
  <c r="I19" i="4" l="1"/>
  <c r="G19" i="4"/>
  <c r="E19" i="4"/>
  <c r="C19" i="4"/>
  <c r="M32" i="13"/>
  <c r="K32" i="13" l="1"/>
  <c r="M31" i="4" l="1"/>
  <c r="J31" i="4"/>
  <c r="K31" i="4" s="1"/>
  <c r="M30" i="4"/>
  <c r="J30" i="4"/>
  <c r="K30" i="4" s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I28" i="4" l="1"/>
  <c r="G28" i="4"/>
  <c r="E28" i="4"/>
  <c r="L28" i="4"/>
  <c r="N28" i="4" s="1"/>
  <c r="O28" i="4" s="1"/>
  <c r="C28" i="4"/>
  <c r="I27" i="4"/>
  <c r="G27" i="4"/>
  <c r="E27" i="4"/>
  <c r="L27" i="4"/>
  <c r="N27" i="4" s="1"/>
  <c r="O27" i="4" s="1"/>
  <c r="C27" i="4"/>
  <c r="I26" i="4"/>
  <c r="G26" i="4"/>
  <c r="G43" i="4" s="1"/>
  <c r="E26" i="4"/>
  <c r="C26" i="4"/>
  <c r="AC43" i="4"/>
  <c r="I18" i="4"/>
  <c r="G18" i="4"/>
  <c r="E18" i="4"/>
  <c r="C18" i="4"/>
  <c r="I17" i="4"/>
  <c r="G17" i="4"/>
  <c r="E17" i="4"/>
  <c r="L17" i="4"/>
  <c r="N17" i="4" s="1"/>
  <c r="O17" i="4" s="1"/>
  <c r="C17" i="4"/>
  <c r="C41" i="4"/>
  <c r="E41" i="4"/>
  <c r="G41" i="4"/>
  <c r="G40" i="4"/>
  <c r="C40" i="4"/>
  <c r="E40" i="4"/>
  <c r="G36" i="4"/>
  <c r="C36" i="4"/>
  <c r="E36" i="4"/>
  <c r="C29" i="4"/>
  <c r="E29" i="4"/>
  <c r="G29" i="4"/>
  <c r="C33" i="4"/>
  <c r="E33" i="4"/>
  <c r="G33" i="4"/>
  <c r="C35" i="4"/>
  <c r="E35" i="4"/>
  <c r="G35" i="4"/>
  <c r="G38" i="4"/>
  <c r="C38" i="4"/>
  <c r="E38" i="4"/>
  <c r="G32" i="4"/>
  <c r="C32" i="4"/>
  <c r="E32" i="4"/>
  <c r="G30" i="4"/>
  <c r="C30" i="4"/>
  <c r="E30" i="4"/>
  <c r="G34" i="4"/>
  <c r="C34" i="4"/>
  <c r="E34" i="4"/>
  <c r="C39" i="4"/>
  <c r="E39" i="4"/>
  <c r="G39" i="4"/>
  <c r="C37" i="4"/>
  <c r="E37" i="4"/>
  <c r="G37" i="4"/>
  <c r="C31" i="4"/>
  <c r="E31" i="4"/>
  <c r="G31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P39" i="4" s="1"/>
  <c r="I41" i="4"/>
  <c r="I34" i="4"/>
  <c r="I33" i="4"/>
  <c r="L33" i="4"/>
  <c r="N33" i="4" s="1"/>
  <c r="O33" i="4" s="1"/>
  <c r="P33" i="4" s="1"/>
  <c r="I32" i="4"/>
  <c r="I8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1" i="10" s="1"/>
  <c r="I12" i="4"/>
  <c r="L8" i="4"/>
  <c r="N8" i="4" s="1"/>
  <c r="O8" i="4" s="1"/>
  <c r="P8" i="4" s="1"/>
  <c r="P28" i="4" l="1"/>
  <c r="U27" i="10"/>
  <c r="P27" i="4"/>
  <c r="U26" i="10"/>
  <c r="C43" i="4"/>
  <c r="E43" i="4"/>
  <c r="P17" i="4"/>
  <c r="U16" i="10"/>
  <c r="P12" i="4"/>
  <c r="W31" i="10"/>
  <c r="P31" i="4"/>
  <c r="W30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L18" i="10" l="1"/>
  <c r="I48" i="6"/>
  <c r="I17" i="6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P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26" i="4" l="1"/>
  <c r="N26" i="4" s="1"/>
  <c r="O26" i="4" s="1"/>
  <c r="P26" i="4" s="1"/>
  <c r="O19" i="4"/>
  <c r="L18" i="4"/>
  <c r="N18" i="4" s="1"/>
  <c r="O18" i="4" s="1"/>
  <c r="G4" i="4"/>
  <c r="E4" i="4"/>
  <c r="C4" i="4"/>
  <c r="P14" i="4"/>
  <c r="L40" i="4"/>
  <c r="N40" i="4" s="1"/>
  <c r="O40" i="4" s="1"/>
  <c r="P40" i="4" s="1"/>
  <c r="L34" i="4"/>
  <c r="N34" i="4" s="1"/>
  <c r="O34" i="4" s="1"/>
  <c r="P34" i="4" s="1"/>
  <c r="L32" i="4"/>
  <c r="N32" i="4" s="1"/>
  <c r="O32" i="4" s="1"/>
  <c r="W33" i="10"/>
  <c r="L13" i="4"/>
  <c r="N13" i="4" s="1"/>
  <c r="O13" i="4" s="1"/>
  <c r="U12" i="10" s="1"/>
  <c r="W12" i="10" s="1"/>
  <c r="L6" i="4"/>
  <c r="N6" i="4" s="1"/>
  <c r="O6" i="4" s="1"/>
  <c r="P6" i="4" s="1"/>
  <c r="I6" i="4"/>
  <c r="I4" i="4"/>
  <c r="L4" i="4"/>
  <c r="N4" i="4" s="1"/>
  <c r="O4" i="4" s="1"/>
  <c r="P4" i="4" s="1"/>
  <c r="I10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W39" i="10"/>
  <c r="K48" i="4"/>
  <c r="L48" i="4" s="1"/>
  <c r="M48" i="4" s="1"/>
  <c r="Z17" i="10"/>
  <c r="U25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U24" i="10" s="1"/>
  <c r="I21" i="4"/>
  <c r="I15" i="4"/>
  <c r="M40" i="10"/>
  <c r="E32" i="13" s="1"/>
  <c r="Z38" i="10"/>
  <c r="L36" i="4"/>
  <c r="N36" i="4" s="1"/>
  <c r="O36" i="4" s="1"/>
  <c r="L24" i="4"/>
  <c r="N24" i="4" s="1"/>
  <c r="O24" i="4" s="1"/>
  <c r="U23" i="10" s="1"/>
  <c r="L21" i="4"/>
  <c r="N21" i="4" s="1"/>
  <c r="O21" i="4" s="1"/>
  <c r="U20" i="10" s="1"/>
  <c r="Z34" i="10"/>
  <c r="L23" i="4"/>
  <c r="N23" i="4" s="1"/>
  <c r="O23" i="4" s="1"/>
  <c r="U22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N43" i="4"/>
  <c r="P19" i="4"/>
  <c r="U18" i="10"/>
  <c r="P18" i="4"/>
  <c r="U17" i="10"/>
  <c r="W17" i="10" s="1"/>
  <c r="P15" i="4"/>
  <c r="U14" i="10"/>
  <c r="W14" i="10" s="1"/>
  <c r="W28" i="10"/>
  <c r="W18" i="10"/>
  <c r="W26" i="10"/>
  <c r="W20" i="10"/>
  <c r="P20" i="4"/>
  <c r="W19" i="10"/>
  <c r="W21" i="10"/>
  <c r="P21" i="4"/>
  <c r="W27" i="10"/>
  <c r="W24" i="10"/>
  <c r="AJ24" i="10" s="1"/>
  <c r="AK24" i="10" s="1"/>
  <c r="P24" i="4"/>
  <c r="W22" i="10"/>
  <c r="AJ22" i="10" s="1"/>
  <c r="AK22" i="10" s="1"/>
  <c r="P22" i="4"/>
  <c r="W16" i="10"/>
  <c r="P16" i="4"/>
  <c r="W23" i="10"/>
  <c r="P23" i="4"/>
  <c r="W25" i="10"/>
  <c r="P25" i="4"/>
  <c r="G32" i="13"/>
  <c r="O32" i="13" s="1"/>
  <c r="W13" i="10"/>
  <c r="P13" i="4"/>
  <c r="W11" i="10"/>
  <c r="P11" i="4"/>
  <c r="W38" i="10"/>
  <c r="AJ38" i="10" s="1"/>
  <c r="AK38" i="10" s="1"/>
  <c r="P38" i="4"/>
  <c r="W36" i="10"/>
  <c r="P36" i="4"/>
  <c r="W35" i="10"/>
  <c r="P35" i="4"/>
  <c r="W37" i="10"/>
  <c r="P37" i="4"/>
  <c r="W34" i="10"/>
  <c r="P32" i="4"/>
  <c r="W32" i="10"/>
  <c r="W29" i="10"/>
  <c r="P29" i="4"/>
  <c r="W15" i="10"/>
  <c r="AJ20" i="10"/>
  <c r="AK20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O10" i="4"/>
  <c r="P10" i="4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W40" i="10" l="1"/>
  <c r="W10" i="10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<sst xmlns="http://schemas.openxmlformats.org/spreadsheetml/2006/main" count="145" uniqueCount="86">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</sst>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7" xfId="0" applyFont="1" applyFill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7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250</c:v>
                </c:pt>
                <c:pt idx="5">
                  <c:v>270</c:v>
                </c:pt>
                <c:pt idx="6">
                  <c:v>230</c:v>
                </c:pt>
                <c:pt idx="7">
                  <c:v>300</c:v>
                </c:pt>
                <c:pt idx="8">
                  <c:v>300</c:v>
                </c:pt>
                <c:pt idx="9">
                  <c:v>380</c:v>
                </c:pt>
                <c:pt idx="10">
                  <c:v>300</c:v>
                </c:pt>
                <c:pt idx="11">
                  <c:v>320</c:v>
                </c:pt>
                <c:pt idx="12">
                  <c:v>390</c:v>
                </c:pt>
                <c:pt idx="13">
                  <c:v>480</c:v>
                </c:pt>
                <c:pt idx="14">
                  <c:v>270</c:v>
                </c:pt>
                <c:pt idx="15">
                  <c:v>600</c:v>
                </c:pt>
                <c:pt idx="16">
                  <c:v>360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74176"/>
        <c:axId val="38275712"/>
      </c:lineChart>
      <c:dateAx>
        <c:axId val="3827417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75712"/>
        <c:crosses val="autoZero"/>
        <c:auto val="1"/>
        <c:lblOffset val="100"/>
        <c:baseTimeUnit val="days"/>
      </c:dateAx>
      <c:valAx>
        <c:axId val="3827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2741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3319</c:v>
                </c:pt>
                <c:pt idx="5">
                  <c:v>3396</c:v>
                </c:pt>
                <c:pt idx="6">
                  <c:v>3030</c:v>
                </c:pt>
                <c:pt idx="7">
                  <c:v>2795</c:v>
                </c:pt>
                <c:pt idx="8">
                  <c:v>3263</c:v>
                </c:pt>
                <c:pt idx="9">
                  <c:v>3259</c:v>
                </c:pt>
                <c:pt idx="10">
                  <c:v>2966</c:v>
                </c:pt>
                <c:pt idx="11">
                  <c:v>3179</c:v>
                </c:pt>
                <c:pt idx="12">
                  <c:v>3111</c:v>
                </c:pt>
                <c:pt idx="13">
                  <c:v>3056</c:v>
                </c:pt>
                <c:pt idx="14">
                  <c:v>3006</c:v>
                </c:pt>
                <c:pt idx="15">
                  <c:v>3014</c:v>
                </c:pt>
                <c:pt idx="16">
                  <c:v>3013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5047</c:v>
                </c:pt>
                <c:pt idx="5">
                  <c:v>5062</c:v>
                </c:pt>
                <c:pt idx="6">
                  <c:v>4884</c:v>
                </c:pt>
                <c:pt idx="7">
                  <c:v>4464</c:v>
                </c:pt>
                <c:pt idx="8">
                  <c:v>4832</c:v>
                </c:pt>
                <c:pt idx="9">
                  <c:v>5154</c:v>
                </c:pt>
                <c:pt idx="10">
                  <c:v>5012</c:v>
                </c:pt>
                <c:pt idx="11">
                  <c:v>5091</c:v>
                </c:pt>
                <c:pt idx="12">
                  <c:v>4849</c:v>
                </c:pt>
                <c:pt idx="13">
                  <c:v>4731</c:v>
                </c:pt>
                <c:pt idx="14">
                  <c:v>4862</c:v>
                </c:pt>
                <c:pt idx="15">
                  <c:v>4591</c:v>
                </c:pt>
                <c:pt idx="16">
                  <c:v>4512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2125</c:v>
                </c:pt>
                <c:pt idx="5">
                  <c:v>2105</c:v>
                </c:pt>
                <c:pt idx="6">
                  <c:v>1953</c:v>
                </c:pt>
                <c:pt idx="7">
                  <c:v>1941</c:v>
                </c:pt>
                <c:pt idx="8">
                  <c:v>2122</c:v>
                </c:pt>
                <c:pt idx="9">
                  <c:v>2160</c:v>
                </c:pt>
                <c:pt idx="10">
                  <c:v>1990</c:v>
                </c:pt>
                <c:pt idx="11">
                  <c:v>2130</c:v>
                </c:pt>
                <c:pt idx="12">
                  <c:v>2128</c:v>
                </c:pt>
                <c:pt idx="13">
                  <c:v>1976</c:v>
                </c:pt>
                <c:pt idx="14">
                  <c:v>2124</c:v>
                </c:pt>
                <c:pt idx="15">
                  <c:v>2018</c:v>
                </c:pt>
                <c:pt idx="16">
                  <c:v>1977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02848"/>
        <c:axId val="38304384"/>
      </c:lineChart>
      <c:dateAx>
        <c:axId val="3830284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04384"/>
        <c:crosses val="autoZero"/>
        <c:auto val="1"/>
        <c:lblOffset val="100"/>
        <c:baseTimeUnit val="days"/>
      </c:dateAx>
      <c:valAx>
        <c:axId val="383043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0284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890.40000000000009</c:v>
                </c:pt>
                <c:pt idx="6">
                  <c:v>704.90000000000009</c:v>
                </c:pt>
                <c:pt idx="7">
                  <c:v>296.8</c:v>
                </c:pt>
                <c:pt idx="8">
                  <c:v>148.4</c:v>
                </c:pt>
                <c:pt idx="9">
                  <c:v>259.7</c:v>
                </c:pt>
                <c:pt idx="10">
                  <c:v>964.6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371</c:v>
                </c:pt>
                <c:pt idx="14">
                  <c:v>333.90000000000003</c:v>
                </c:pt>
                <c:pt idx="15">
                  <c:v>927.5</c:v>
                </c:pt>
                <c:pt idx="16">
                  <c:v>371</c:v>
                </c:pt>
                <c:pt idx="17">
                  <c:v>445.20000000000005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7536"/>
        <c:axId val="232575744"/>
      </c:lineChart>
      <c:dateAx>
        <c:axId val="3833753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2575744"/>
        <c:crosses val="autoZero"/>
        <c:auto val="1"/>
        <c:lblOffset val="100"/>
        <c:baseTimeUnit val="days"/>
      </c:dateAx>
      <c:valAx>
        <c:axId val="23257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33753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selection activeCell="A18" sqref="A18:XFD18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</v>
      </c>
      <c r="D2" s="160">
        <v>2021</v>
      </c>
      <c r="E2" s="161">
        <f>'Consommation du 01.01 au 31.01'!M10</f>
        <v>11675</v>
      </c>
      <c r="F2" s="161">
        <v>0.99</v>
      </c>
      <c r="G2" s="161">
        <f>'Consommation du 01.01 au 31.01'!U10</f>
        <v>1780.8000000000002</v>
      </c>
      <c r="H2" s="161">
        <v>8.2658000000000005</v>
      </c>
      <c r="I2" s="161">
        <f>'Consommation du 01.01 au 31.01'!Y10*1000</f>
        <v>13169.999999998254</v>
      </c>
      <c r="J2" s="161">
        <v>0.53</v>
      </c>
      <c r="K2" s="161">
        <f>'Consommation du 01.01 au 31.01'!D10</f>
        <v>390</v>
      </c>
      <c r="L2" s="161">
        <v>12.67</v>
      </c>
      <c r="M2" s="160">
        <f>'Consommation du 01.01 au 31.01'!AC10</f>
        <v>57</v>
      </c>
      <c r="N2" s="160">
        <v>57</v>
      </c>
      <c r="O2" s="161">
        <f>E2*F2+G2*H2+I2*J2+K2*L2</f>
        <v>38199.38663999908</v>
      </c>
    </row>
    <row r="3" spans="1:15" x14ac:dyDescent="0.2">
      <c r="A3" s="158" t="s">
        <v>84</v>
      </c>
      <c r="B3" s="159">
        <f>B2+1</f>
        <v>2</v>
      </c>
      <c r="C3" s="159">
        <v>1</v>
      </c>
      <c r="D3" s="160">
        <v>2021</v>
      </c>
      <c r="E3" s="161">
        <f>'Consommation du 01.01 au 31.01'!M11</f>
        <v>11043</v>
      </c>
      <c r="F3" s="161">
        <v>0.99</v>
      </c>
      <c r="G3" s="161">
        <f>'Consommation du 01.01 au 31.01'!U11</f>
        <v>593.6</v>
      </c>
      <c r="H3" s="161">
        <v>8.2658000000000005</v>
      </c>
      <c r="I3" s="161">
        <f>'Consommation du 01.01 au 31.01'!Y11*1000</f>
        <v>13419.999999998254</v>
      </c>
      <c r="J3" s="161">
        <v>0.53</v>
      </c>
      <c r="K3" s="161">
        <f>'Consommation du 01.01 au 31.01'!D11</f>
        <v>330</v>
      </c>
      <c r="L3" s="161">
        <v>12.67</v>
      </c>
      <c r="M3" s="160">
        <f>'Consommation du 01.01 au 31.01'!AC11</f>
        <v>53</v>
      </c>
      <c r="N3" s="160">
        <v>53</v>
      </c>
      <c r="O3" s="161">
        <f t="shared" ref="O3:O31" si="0">E3*F3+G3*H3+I3*J3+K3*L3</f>
        <v>27132.848879999074</v>
      </c>
    </row>
    <row r="4" spans="1:15" x14ac:dyDescent="0.2">
      <c r="A4" s="158" t="s">
        <v>84</v>
      </c>
      <c r="B4" s="159">
        <f t="shared" ref="B4:B32" si="1">B3+1</f>
        <v>3</v>
      </c>
      <c r="C4" s="159">
        <v>1</v>
      </c>
      <c r="D4" s="160">
        <v>2021</v>
      </c>
      <c r="E4" s="161">
        <f>'Consommation du 01.01 au 31.01'!M12</f>
        <v>11010</v>
      </c>
      <c r="F4" s="161">
        <v>0.99</v>
      </c>
      <c r="G4" s="161">
        <f>'Consommation du 01.01 au 31.01'!U12</f>
        <v>371</v>
      </c>
      <c r="H4" s="161">
        <v>8.2658000000000005</v>
      </c>
      <c r="I4" s="161">
        <f>'Consommation du 01.01 au 31.01'!Y12*1000</f>
        <v>13870.000000002619</v>
      </c>
      <c r="J4" s="161">
        <v>0.53</v>
      </c>
      <c r="K4" s="161">
        <f>'Consommation du 01.01 au 31.01'!D12</f>
        <v>280</v>
      </c>
      <c r="L4" s="161">
        <v>12.67</v>
      </c>
      <c r="M4" s="160">
        <f>'Consommation du 01.01 au 31.01'!AC12</f>
        <v>18</v>
      </c>
      <c r="N4" s="160">
        <v>18</v>
      </c>
      <c r="O4" s="161">
        <f t="shared" si="0"/>
        <v>24865.211800001387</v>
      </c>
    </row>
    <row r="5" spans="1:15" x14ac:dyDescent="0.2">
      <c r="A5" s="158" t="s">
        <v>84</v>
      </c>
      <c r="B5" s="159">
        <f t="shared" si="1"/>
        <v>4</v>
      </c>
      <c r="C5" s="159">
        <v>1</v>
      </c>
      <c r="D5" s="160">
        <v>2021</v>
      </c>
      <c r="E5" s="161">
        <f>'Consommation du 01.01 au 31.01'!M13</f>
        <v>11102</v>
      </c>
      <c r="F5" s="161">
        <v>0.99</v>
      </c>
      <c r="G5" s="161">
        <f>'Consommation du 01.01 au 31.01'!U13</f>
        <v>259.7</v>
      </c>
      <c r="H5" s="161">
        <v>8.2658000000000005</v>
      </c>
      <c r="I5" s="161">
        <f>'Consommation du 01.01 au 31.01'!Y13*1000</f>
        <v>13770.000000000437</v>
      </c>
      <c r="J5" s="161">
        <v>0.53</v>
      </c>
      <c r="K5" s="161">
        <f>'Consommation du 01.01 au 31.01'!D13</f>
        <v>230</v>
      </c>
      <c r="L5" s="161">
        <v>12.67</v>
      </c>
      <c r="M5" s="160">
        <f>'Consommation du 01.01 au 31.01'!AC13</f>
        <v>14</v>
      </c>
      <c r="N5" s="160">
        <v>14</v>
      </c>
      <c r="O5" s="161">
        <f t="shared" si="0"/>
        <v>23349.808260000231</v>
      </c>
    </row>
    <row r="6" spans="1:15" x14ac:dyDescent="0.2">
      <c r="A6" s="158" t="s">
        <v>84</v>
      </c>
      <c r="B6" s="159">
        <f t="shared" si="1"/>
        <v>5</v>
      </c>
      <c r="C6" s="159">
        <v>1</v>
      </c>
      <c r="D6" s="160">
        <v>2021</v>
      </c>
      <c r="E6" s="161">
        <f>'Consommation du 01.01 au 31.01'!M14</f>
        <v>10491</v>
      </c>
      <c r="F6" s="161">
        <v>0.99</v>
      </c>
      <c r="G6" s="161">
        <f>'Consommation du 01.01 au 31.01'!U14</f>
        <v>890.40000000000009</v>
      </c>
      <c r="H6" s="161">
        <v>8.2658000000000005</v>
      </c>
      <c r="I6" s="161">
        <f>'Consommation du 01.01 au 31.01'!Y14*1000</f>
        <v>9129.9999999973807</v>
      </c>
      <c r="J6" s="161">
        <v>0.53</v>
      </c>
      <c r="K6" s="161">
        <f>'Consommation du 01.01 au 31.01'!D14</f>
        <v>250</v>
      </c>
      <c r="L6" s="161">
        <v>12.67</v>
      </c>
      <c r="M6" s="160">
        <f>'Consommation du 01.01 au 31.01'!AC14</f>
        <v>11</v>
      </c>
      <c r="N6" s="160">
        <v>11</v>
      </c>
      <c r="O6" s="161">
        <f t="shared" si="0"/>
        <v>25752.358319998613</v>
      </c>
    </row>
    <row r="7" spans="1:15" x14ac:dyDescent="0.2">
      <c r="A7" s="158" t="s">
        <v>84</v>
      </c>
      <c r="B7" s="159">
        <f t="shared" si="1"/>
        <v>6</v>
      </c>
      <c r="C7" s="159">
        <v>1</v>
      </c>
      <c r="D7" s="160">
        <v>2021</v>
      </c>
      <c r="E7" s="161">
        <f>'Consommation du 01.01 au 31.01'!M15</f>
        <v>10563</v>
      </c>
      <c r="F7" s="161">
        <v>0.99</v>
      </c>
      <c r="G7" s="161">
        <f>'Consommation du 01.01 au 31.01'!U15</f>
        <v>704.90000000000009</v>
      </c>
      <c r="H7" s="161">
        <v>8.2658000000000005</v>
      </c>
      <c r="I7" s="161">
        <f>'Consommation du 01.01 au 31.01'!Y15*1000</f>
        <v>4180.000000000291</v>
      </c>
      <c r="J7" s="161">
        <v>0.53</v>
      </c>
      <c r="K7" s="161">
        <f>'Consommation du 01.01 au 31.01'!D15</f>
        <v>270</v>
      </c>
      <c r="L7" s="161">
        <v>12.67</v>
      </c>
      <c r="M7" s="160">
        <f>'Consommation du 01.01 au 31.01'!AC15</f>
        <v>10</v>
      </c>
      <c r="N7" s="160">
        <v>10</v>
      </c>
      <c r="O7" s="161">
        <f t="shared" si="0"/>
        <v>21920.232420000157</v>
      </c>
    </row>
    <row r="8" spans="1:15" x14ac:dyDescent="0.2">
      <c r="A8" s="158" t="s">
        <v>84</v>
      </c>
      <c r="B8" s="159">
        <f t="shared" si="1"/>
        <v>7</v>
      </c>
      <c r="C8" s="159">
        <v>1</v>
      </c>
      <c r="D8" s="160">
        <v>2021</v>
      </c>
      <c r="E8" s="161">
        <f>'Consommation du 01.01 au 31.01'!M16</f>
        <v>9867</v>
      </c>
      <c r="F8" s="161">
        <v>0.99</v>
      </c>
      <c r="G8" s="161">
        <f>'Consommation du 01.01 au 31.01'!U16</f>
        <v>296.8</v>
      </c>
      <c r="H8" s="161">
        <v>8.2658000000000005</v>
      </c>
      <c r="I8" s="161">
        <f>'Consommation du 01.01 au 31.01'!Y16*1000</f>
        <v>12520.000000000437</v>
      </c>
      <c r="J8" s="161">
        <v>0.53</v>
      </c>
      <c r="K8" s="161">
        <f>'Consommation du 01.01 au 31.01'!D16</f>
        <v>230</v>
      </c>
      <c r="L8" s="161">
        <v>12.67</v>
      </c>
      <c r="M8" s="160">
        <f>'Consommation du 01.01 au 31.01'!AC16</f>
        <v>6</v>
      </c>
      <c r="N8" s="160">
        <v>6</v>
      </c>
      <c r="O8" s="161">
        <f t="shared" si="0"/>
        <v>21771.319440000232</v>
      </c>
    </row>
    <row r="9" spans="1:15" x14ac:dyDescent="0.2">
      <c r="A9" s="158" t="s">
        <v>84</v>
      </c>
      <c r="B9" s="159">
        <f t="shared" si="1"/>
        <v>8</v>
      </c>
      <c r="C9" s="159">
        <v>1</v>
      </c>
      <c r="D9" s="160">
        <v>2021</v>
      </c>
      <c r="E9" s="161">
        <f>'Consommation du 01.01 au 31.01'!M17</f>
        <v>9200</v>
      </c>
      <c r="F9" s="161">
        <v>0.99</v>
      </c>
      <c r="G9" s="161">
        <f>'Consommation du 01.01 au 31.01'!U17</f>
        <v>148.4</v>
      </c>
      <c r="H9" s="161">
        <v>8.2658000000000005</v>
      </c>
      <c r="I9" s="161">
        <f>'Consommation du 01.01 au 31.01'!Y17*1000</f>
        <v>11040.000000000873</v>
      </c>
      <c r="J9" s="161">
        <v>0.53</v>
      </c>
      <c r="K9" s="161">
        <f>'Consommation du 01.01 au 31.01'!D17</f>
        <v>300</v>
      </c>
      <c r="L9" s="161">
        <v>12.67</v>
      </c>
      <c r="M9" s="160">
        <f>'Consommation du 01.01 au 31.01'!AC17</f>
        <v>8</v>
      </c>
      <c r="N9" s="160">
        <v>8</v>
      </c>
      <c r="O9" s="161">
        <f t="shared" si="0"/>
        <v>19986.844720000463</v>
      </c>
    </row>
    <row r="10" spans="1:15" x14ac:dyDescent="0.2">
      <c r="A10" s="158" t="s">
        <v>84</v>
      </c>
      <c r="B10" s="159">
        <f t="shared" si="1"/>
        <v>9</v>
      </c>
      <c r="C10" s="159">
        <v>1</v>
      </c>
      <c r="D10" s="160">
        <v>2021</v>
      </c>
      <c r="E10" s="161">
        <f>'Consommation du 01.01 au 31.01'!M18</f>
        <v>10217</v>
      </c>
      <c r="F10" s="161">
        <v>0.99</v>
      </c>
      <c r="G10" s="161">
        <f>'Consommation du 01.01 au 31.01'!U18</f>
        <v>259.7</v>
      </c>
      <c r="H10" s="161">
        <v>8.2658000000000005</v>
      </c>
      <c r="I10" s="161">
        <f>'Consommation du 01.01 au 31.01'!Y18*1000</f>
        <v>12489.999999997963</v>
      </c>
      <c r="J10" s="161">
        <v>0.53</v>
      </c>
      <c r="K10" s="161">
        <f>'Consommation du 01.01 au 31.01'!D18</f>
        <v>300</v>
      </c>
      <c r="L10" s="161">
        <v>12.67</v>
      </c>
      <c r="M10" s="160">
        <f>'Consommation du 01.01 au 31.01'!AC18</f>
        <v>23</v>
      </c>
      <c r="N10" s="160">
        <v>23</v>
      </c>
      <c r="O10" s="161">
        <f t="shared" si="0"/>
        <v>22682.15825999892</v>
      </c>
    </row>
    <row r="11" spans="1:15" x14ac:dyDescent="0.2">
      <c r="A11" s="158" t="s">
        <v>84</v>
      </c>
      <c r="B11" s="159">
        <f t="shared" si="1"/>
        <v>10</v>
      </c>
      <c r="C11" s="159">
        <v>1</v>
      </c>
      <c r="D11" s="160">
        <v>2021</v>
      </c>
      <c r="E11" s="161">
        <f>'Consommation du 01.01 au 31.01'!M19</f>
        <v>10573</v>
      </c>
      <c r="F11" s="161">
        <v>0.99</v>
      </c>
      <c r="G11" s="161">
        <f>'Consommation du 01.01 au 31.01'!U19</f>
        <v>964.6</v>
      </c>
      <c r="H11" s="161">
        <v>8.2658000000000005</v>
      </c>
      <c r="I11" s="161">
        <f>'Consommation du 01.01 au 31.01'!Y19*1000</f>
        <v>11510.000000002037</v>
      </c>
      <c r="J11" s="161">
        <v>0.53</v>
      </c>
      <c r="K11" s="161">
        <f>'Consommation du 01.01 au 31.01'!D19</f>
        <v>380</v>
      </c>
      <c r="L11" s="161">
        <v>12.67</v>
      </c>
      <c r="M11" s="160">
        <f>'Consommation du 01.01 au 31.01'!AC19</f>
        <v>18</v>
      </c>
      <c r="N11" s="160">
        <v>18</v>
      </c>
      <c r="O11" s="161">
        <f t="shared" si="0"/>
        <v>29355.360680001082</v>
      </c>
    </row>
    <row r="12" spans="1:15" x14ac:dyDescent="0.2">
      <c r="A12" s="158" t="s">
        <v>84</v>
      </c>
      <c r="B12" s="159">
        <f t="shared" si="1"/>
        <v>11</v>
      </c>
      <c r="C12" s="159">
        <v>1</v>
      </c>
      <c r="D12" s="160">
        <v>2021</v>
      </c>
      <c r="E12" s="161">
        <f>'Consommation du 01.01 au 31.01'!M20</f>
        <v>9968</v>
      </c>
      <c r="F12" s="161">
        <v>0.99</v>
      </c>
      <c r="G12" s="161">
        <f>'Consommation du 01.01 au 31.01'!U20</f>
        <v>630.70000000000005</v>
      </c>
      <c r="H12" s="161">
        <v>8.2658000000000005</v>
      </c>
      <c r="I12" s="161">
        <f>'Consommation du 01.01 au 31.01'!Y20*1000</f>
        <v>14669.999999998254</v>
      </c>
      <c r="J12" s="161">
        <v>0.53</v>
      </c>
      <c r="K12" s="161">
        <f>'Consommation du 01.01 au 31.01'!D20</f>
        <v>300</v>
      </c>
      <c r="L12" s="161">
        <v>12.67</v>
      </c>
      <c r="M12" s="160">
        <f>'Consommation du 01.01 au 31.01'!AC20</f>
        <v>6</v>
      </c>
      <c r="N12" s="160">
        <v>6</v>
      </c>
      <c r="O12" s="161">
        <f t="shared" si="0"/>
        <v>26657.660059999074</v>
      </c>
    </row>
    <row r="13" spans="1:15" x14ac:dyDescent="0.2">
      <c r="A13" s="158" t="s">
        <v>84</v>
      </c>
      <c r="B13" s="159">
        <f t="shared" si="1"/>
        <v>12</v>
      </c>
      <c r="C13" s="159">
        <v>1</v>
      </c>
      <c r="D13" s="160">
        <v>2021</v>
      </c>
      <c r="E13" s="161">
        <f>'Consommation du 01.01 au 31.01'!M21</f>
        <v>10400</v>
      </c>
      <c r="F13" s="161">
        <v>0.99</v>
      </c>
      <c r="G13" s="161">
        <f>'Consommation du 01.01 au 31.01'!U21</f>
        <v>779.1</v>
      </c>
      <c r="H13" s="161">
        <v>8.2658000000000005</v>
      </c>
      <c r="I13" s="161">
        <f>'Consommation du 01.01 au 31.01'!Y21*1000</f>
        <v>10270.000000000437</v>
      </c>
      <c r="J13" s="161">
        <v>0.53</v>
      </c>
      <c r="K13" s="161">
        <f>'Consommation du 01.01 au 31.01'!D21</f>
        <v>320</v>
      </c>
      <c r="L13" s="161">
        <v>12.67</v>
      </c>
      <c r="M13" s="160">
        <f>'Consommation du 01.01 au 31.01'!AC21</f>
        <v>6</v>
      </c>
      <c r="N13" s="160">
        <v>6</v>
      </c>
      <c r="O13" s="161">
        <f t="shared" si="0"/>
        <v>26233.384780000233</v>
      </c>
    </row>
    <row r="14" spans="1:15" x14ac:dyDescent="0.2">
      <c r="A14" s="158" t="s">
        <v>84</v>
      </c>
      <c r="B14" s="159">
        <f t="shared" si="1"/>
        <v>13</v>
      </c>
      <c r="C14" s="159">
        <v>1</v>
      </c>
      <c r="D14" s="160">
        <v>2021</v>
      </c>
      <c r="E14" s="161">
        <f>'Consommation du 01.01 au 31.01'!M22</f>
        <v>10088</v>
      </c>
      <c r="F14" s="161">
        <v>0.99</v>
      </c>
      <c r="G14" s="161">
        <f>'Consommation du 01.01 au 31.01'!U22</f>
        <v>371</v>
      </c>
      <c r="H14" s="161">
        <v>8.2658000000000005</v>
      </c>
      <c r="I14" s="161">
        <f>'Consommation du 01.01 au 31.01'!Y22*1000</f>
        <v>16500</v>
      </c>
      <c r="J14" s="161">
        <v>0.53</v>
      </c>
      <c r="K14" s="161">
        <f>'Consommation du 01.01 au 31.01'!D22</f>
        <v>390</v>
      </c>
      <c r="L14" s="161">
        <v>12.67</v>
      </c>
      <c r="M14" s="160">
        <f>'Consommation du 01.01 au 31.01'!AC22</f>
        <v>7</v>
      </c>
      <c r="N14" s="160">
        <v>7</v>
      </c>
      <c r="O14" s="161">
        <f t="shared" si="0"/>
        <v>26740.031800000001</v>
      </c>
    </row>
    <row r="15" spans="1:15" x14ac:dyDescent="0.2">
      <c r="A15" s="158" t="s">
        <v>84</v>
      </c>
      <c r="B15" s="159">
        <f t="shared" si="1"/>
        <v>14</v>
      </c>
      <c r="C15" s="159">
        <v>1</v>
      </c>
      <c r="D15" s="160">
        <v>2021</v>
      </c>
      <c r="E15" s="161">
        <f>'Consommation du 01.01 au 31.01'!M23</f>
        <v>9763</v>
      </c>
      <c r="F15" s="161">
        <v>0.99</v>
      </c>
      <c r="G15" s="161">
        <f>'Consommation du 01.01 au 31.01'!U23</f>
        <v>333.90000000000003</v>
      </c>
      <c r="H15" s="161">
        <v>8.2658000000000005</v>
      </c>
      <c r="I15" s="161">
        <f>'Consommation du 01.01 au 31.01'!Y23*1000</f>
        <v>15940.000000002328</v>
      </c>
      <c r="J15" s="161">
        <v>0.53</v>
      </c>
      <c r="K15" s="161">
        <f>'Consommation du 01.01 au 31.01'!D23</f>
        <v>480</v>
      </c>
      <c r="L15" s="161">
        <v>12.67</v>
      </c>
      <c r="M15" s="160">
        <f>'Consommation du 01.01 au 31.01'!AC23</f>
        <v>8</v>
      </c>
      <c r="N15" s="160">
        <v>8</v>
      </c>
      <c r="O15" s="161">
        <f t="shared" si="0"/>
        <v>26955.120620001238</v>
      </c>
    </row>
    <row r="16" spans="1:15" x14ac:dyDescent="0.2">
      <c r="A16" s="158" t="s">
        <v>84</v>
      </c>
      <c r="B16" s="159">
        <f t="shared" si="1"/>
        <v>15</v>
      </c>
      <c r="C16" s="159">
        <v>1</v>
      </c>
      <c r="D16" s="160">
        <v>2021</v>
      </c>
      <c r="E16" s="161">
        <f>'Consommation du 01.01 au 31.01'!M24</f>
        <v>9992</v>
      </c>
      <c r="F16" s="161">
        <v>0.99</v>
      </c>
      <c r="G16" s="161">
        <f>'Consommation du 01.01 au 31.01'!U24</f>
        <v>927.5</v>
      </c>
      <c r="H16" s="161">
        <v>8.2658000000000005</v>
      </c>
      <c r="I16" s="161">
        <f>'Consommation du 01.01 au 31.01'!Y24*1000</f>
        <v>15159.999999999854</v>
      </c>
      <c r="J16" s="161">
        <v>0.53</v>
      </c>
      <c r="K16" s="161">
        <f>'Consommation du 01.01 au 31.01'!D24</f>
        <v>270</v>
      </c>
      <c r="L16" s="161">
        <v>12.67</v>
      </c>
      <c r="M16" s="160">
        <f>'Consommation du 01.01 au 31.01'!AC24</f>
        <v>12</v>
      </c>
      <c r="N16" s="160">
        <v>12</v>
      </c>
      <c r="O16" s="161">
        <f t="shared" si="0"/>
        <v>29014.309499999923</v>
      </c>
    </row>
    <row r="17" spans="1:15" x14ac:dyDescent="0.2">
      <c r="A17" s="158" t="s">
        <v>84</v>
      </c>
      <c r="B17" s="159">
        <f t="shared" si="1"/>
        <v>16</v>
      </c>
      <c r="C17" s="159">
        <v>1</v>
      </c>
      <c r="D17" s="160">
        <v>2021</v>
      </c>
      <c r="E17" s="161">
        <f>'Consommation du 01.01 au 31.01'!M25</f>
        <v>9623</v>
      </c>
      <c r="F17" s="161">
        <v>0.99</v>
      </c>
      <c r="G17" s="161">
        <f>'Consommation du 01.01 au 31.01'!U25</f>
        <v>371</v>
      </c>
      <c r="H17" s="161">
        <v>8.2658000000000005</v>
      </c>
      <c r="I17" s="161">
        <f>'Consommation du 01.01 au 31.01'!Y25*1000</f>
        <v>15529.999999998836</v>
      </c>
      <c r="J17" s="161">
        <v>0.53</v>
      </c>
      <c r="K17" s="161">
        <f>'Consommation du 01.01 au 31.01'!D25</f>
        <v>600</v>
      </c>
      <c r="L17" s="161">
        <v>12.67</v>
      </c>
      <c r="M17" s="160">
        <f>'Consommation du 01.01 au 31.01'!AC25</f>
        <v>12</v>
      </c>
      <c r="N17" s="160">
        <v>12</v>
      </c>
      <c r="O17" s="161">
        <f t="shared" si="0"/>
        <v>28426.281799999386</v>
      </c>
    </row>
    <row r="18" spans="1:15" x14ac:dyDescent="0.2">
      <c r="A18" s="158" t="s">
        <v>84</v>
      </c>
      <c r="B18" s="159">
        <f t="shared" si="1"/>
        <v>17</v>
      </c>
      <c r="C18" s="159">
        <v>1</v>
      </c>
      <c r="D18" s="160">
        <v>2021</v>
      </c>
      <c r="E18" s="161">
        <f>'Consommation du 01.01 au 31.01'!M26</f>
        <v>9502</v>
      </c>
      <c r="F18" s="161">
        <v>0.99</v>
      </c>
      <c r="G18" s="161">
        <f>'Consommation du 01.01 au 31.01'!U26</f>
        <v>445.20000000000005</v>
      </c>
      <c r="H18" s="161">
        <v>8.2658000000000005</v>
      </c>
      <c r="I18" s="161">
        <f>'Consommation du 01.01 au 31.01'!Y26*1000</f>
        <v>15759.999999998399</v>
      </c>
      <c r="J18" s="161">
        <v>0.53</v>
      </c>
      <c r="K18" s="161">
        <f>'Consommation du 01.01 au 31.01'!D26</f>
        <v>360</v>
      </c>
      <c r="L18" s="161">
        <v>12.67</v>
      </c>
      <c r="M18" s="160">
        <f>'Consommation du 01.01 au 31.01'!AC26</f>
        <v>10</v>
      </c>
      <c r="N18" s="160">
        <v>10</v>
      </c>
      <c r="O18" s="161">
        <f t="shared" si="0"/>
        <v>26000.914159999153</v>
      </c>
    </row>
    <row r="19" spans="1:15" x14ac:dyDescent="0.2">
      <c r="A19" s="158" t="s">
        <v>84</v>
      </c>
      <c r="B19" s="159">
        <f t="shared" si="1"/>
        <v>18</v>
      </c>
      <c r="C19" s="159">
        <v>1</v>
      </c>
      <c r="D19" s="160">
        <v>2021</v>
      </c>
      <c r="E19" s="161">
        <f>'Consommation du 01.01 au 31.01'!M27</f>
        <v>0</v>
      </c>
      <c r="F19" s="161">
        <v>0.99</v>
      </c>
      <c r="G19" s="161">
        <f>'Consommation du 01.01 au 31.01'!U27</f>
        <v>0</v>
      </c>
      <c r="H19" s="161">
        <v>8.2658000000000005</v>
      </c>
      <c r="I19" s="161">
        <f>'Consommation du 01.01 au 31.01'!Y27*1000</f>
        <v>0</v>
      </c>
      <c r="J19" s="161">
        <v>0.53</v>
      </c>
      <c r="K19" s="161">
        <f>'Consommation du 01.01 au 31.01'!D27</f>
        <v>0</v>
      </c>
      <c r="L19" s="161">
        <v>12.67</v>
      </c>
      <c r="M19" s="160">
        <f>'Consommation du 01.01 au 31.01'!AC27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</v>
      </c>
      <c r="D20" s="160">
        <v>2021</v>
      </c>
      <c r="E20" s="161">
        <f>'Consommation du 01.01 au 31.01'!M28</f>
        <v>0</v>
      </c>
      <c r="F20" s="161">
        <v>0.99</v>
      </c>
      <c r="G20" s="161">
        <f>'Consommation du 01.01 au 31.01'!U28</f>
        <v>0</v>
      </c>
      <c r="H20" s="161">
        <v>8.2658000000000005</v>
      </c>
      <c r="I20" s="161">
        <f>'Consommation du 01.01 au 31.01'!Y28*1000</f>
        <v>0</v>
      </c>
      <c r="J20" s="161">
        <v>0.53</v>
      </c>
      <c r="K20" s="161">
        <f>'Consommation du 01.01 au 31.01'!D28</f>
        <v>0</v>
      </c>
      <c r="L20" s="161">
        <v>12.67</v>
      </c>
      <c r="M20" s="160">
        <f>'Consommation du 01.01 au 31.01'!AC28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</v>
      </c>
      <c r="D21" s="160">
        <v>2021</v>
      </c>
      <c r="E21" s="161">
        <f>'Consommation du 01.01 au 31.01'!M29</f>
        <v>0</v>
      </c>
      <c r="F21" s="161">
        <v>0.99</v>
      </c>
      <c r="G21" s="161">
        <f>'Consommation du 01.01 au 31.01'!U29</f>
        <v>0</v>
      </c>
      <c r="H21" s="161">
        <v>8.2658000000000005</v>
      </c>
      <c r="I21" s="161">
        <f>'Consommation du 01.01 au 31.01'!Y29*1000</f>
        <v>0</v>
      </c>
      <c r="J21" s="161">
        <v>0.53</v>
      </c>
      <c r="K21" s="161">
        <f>'Consommation du 01.01 au 31.01'!D29</f>
        <v>0</v>
      </c>
      <c r="L21" s="161">
        <v>12.67</v>
      </c>
      <c r="M21" s="160">
        <f>'Consommation du 01.01 au 31.01'!AC29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</v>
      </c>
      <c r="D22" s="160">
        <v>2021</v>
      </c>
      <c r="E22" s="161">
        <f>'Consommation du 01.01 au 31.01'!M30</f>
        <v>0</v>
      </c>
      <c r="F22" s="161">
        <v>0.99</v>
      </c>
      <c r="G22" s="161">
        <f>'Consommation du 01.01 au 31.01'!U30</f>
        <v>0</v>
      </c>
      <c r="H22" s="161">
        <v>8.2658000000000005</v>
      </c>
      <c r="I22" s="161">
        <f>'Consommation du 01.01 au 31.01'!Y30*1000</f>
        <v>0</v>
      </c>
      <c r="J22" s="161">
        <v>0.53</v>
      </c>
      <c r="K22" s="161">
        <f>'Consommation du 01.01 au 31.01'!D30</f>
        <v>0</v>
      </c>
      <c r="L22" s="161">
        <v>12.67</v>
      </c>
      <c r="M22" s="160">
        <f>'Consommation du 01.01 au 31.01'!AC30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</v>
      </c>
      <c r="D23" s="160">
        <v>2021</v>
      </c>
      <c r="E23" s="161">
        <f>'Consommation du 01.01 au 31.01'!M31</f>
        <v>0</v>
      </c>
      <c r="F23" s="161">
        <v>0.99</v>
      </c>
      <c r="G23" s="161">
        <f>'Consommation du 01.01 au 31.01'!U31</f>
        <v>0</v>
      </c>
      <c r="H23" s="161">
        <v>8.2658000000000005</v>
      </c>
      <c r="I23" s="161">
        <f>'Consommation du 01.01 au 31.01'!Y31*1000</f>
        <v>0</v>
      </c>
      <c r="J23" s="161">
        <v>0.53</v>
      </c>
      <c r="K23" s="161">
        <f>'Consommation du 01.01 au 31.01'!D31</f>
        <v>0</v>
      </c>
      <c r="L23" s="161">
        <v>12.67</v>
      </c>
      <c r="M23" s="160">
        <f>'Consommation du 01.01 au 31.01'!AC31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</v>
      </c>
      <c r="D24" s="160">
        <v>2021</v>
      </c>
      <c r="E24" s="161">
        <f>'Consommation du 01.01 au 31.01'!M32</f>
        <v>0</v>
      </c>
      <c r="F24" s="161">
        <v>0.99</v>
      </c>
      <c r="G24" s="161">
        <f>'Consommation du 01.01 au 31.01'!U32</f>
        <v>0</v>
      </c>
      <c r="H24" s="161">
        <v>8.2658000000000005</v>
      </c>
      <c r="I24" s="161">
        <f>'Consommation du 01.01 au 31.01'!Y32*1000</f>
        <v>0</v>
      </c>
      <c r="J24" s="161">
        <v>0.53</v>
      </c>
      <c r="K24" s="161">
        <f>'Consommation du 01.01 au 31.01'!D32</f>
        <v>0</v>
      </c>
      <c r="L24" s="161">
        <v>12.67</v>
      </c>
      <c r="M24" s="160">
        <f>'Consommation du 01.01 au 31.01'!AC32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</v>
      </c>
      <c r="D25" s="160">
        <v>2021</v>
      </c>
      <c r="E25" s="161">
        <f>'Consommation du 01.01 au 31.01'!M33</f>
        <v>0</v>
      </c>
      <c r="F25" s="161">
        <v>0.99</v>
      </c>
      <c r="G25" s="161">
        <f>'Consommation du 01.01 au 31.01'!U33</f>
        <v>0</v>
      </c>
      <c r="H25" s="161">
        <v>8.2658000000000005</v>
      </c>
      <c r="I25" s="161">
        <f>'Consommation du 01.01 au 31.01'!Y33*1000</f>
        <v>0</v>
      </c>
      <c r="J25" s="161">
        <v>0.53</v>
      </c>
      <c r="K25" s="161">
        <f>'Consommation du 01.01 au 31.01'!D33</f>
        <v>0</v>
      </c>
      <c r="L25" s="161">
        <v>12.67</v>
      </c>
      <c r="M25" s="160">
        <f>'Consommation du 01.01 au 31.01'!AC33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</v>
      </c>
      <c r="D26" s="160">
        <v>2021</v>
      </c>
      <c r="E26" s="161">
        <f>'Consommation du 01.01 au 31.01'!M34</f>
        <v>0</v>
      </c>
      <c r="F26" s="161">
        <v>0.99</v>
      </c>
      <c r="G26" s="161">
        <f>'Consommation du 01.01 au 31.01'!U34</f>
        <v>0</v>
      </c>
      <c r="H26" s="161">
        <v>8.2658000000000005</v>
      </c>
      <c r="I26" s="161">
        <f>'Consommation du 01.01 au 31.01'!Y34*1000</f>
        <v>0</v>
      </c>
      <c r="J26" s="161">
        <v>0.53</v>
      </c>
      <c r="K26" s="161">
        <f>'Consommation du 01.01 au 31.01'!D34</f>
        <v>0</v>
      </c>
      <c r="L26" s="161">
        <v>12.67</v>
      </c>
      <c r="M26" s="160">
        <f>'Consommation du 01.01 au 31.01'!AC34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</v>
      </c>
      <c r="D27" s="160">
        <v>2021</v>
      </c>
      <c r="E27" s="161">
        <f>'Consommation du 01.01 au 31.01'!M35</f>
        <v>0</v>
      </c>
      <c r="F27" s="161">
        <v>0.99</v>
      </c>
      <c r="G27" s="161">
        <f>'Consommation du 01.01 au 31.01'!U35</f>
        <v>0</v>
      </c>
      <c r="H27" s="161">
        <v>8.2658000000000005</v>
      </c>
      <c r="I27" s="161">
        <f>'Consommation du 01.01 au 31.01'!Y35*1000</f>
        <v>0</v>
      </c>
      <c r="J27" s="161">
        <v>0.53</v>
      </c>
      <c r="K27" s="161">
        <f>'Consommation du 01.01 au 31.01'!D35</f>
        <v>0</v>
      </c>
      <c r="L27" s="161">
        <v>12.67</v>
      </c>
      <c r="M27" s="160">
        <f>'Consommation du 01.01 au 31.01'!AC35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</v>
      </c>
      <c r="D28" s="160">
        <v>2021</v>
      </c>
      <c r="E28" s="161">
        <f>'Consommation du 01.01 au 31.01'!M36</f>
        <v>0</v>
      </c>
      <c r="F28" s="161">
        <v>0.99</v>
      </c>
      <c r="G28" s="161">
        <f>'Consommation du 01.01 au 31.01'!U36</f>
        <v>0</v>
      </c>
      <c r="H28" s="161">
        <v>8.2658000000000005</v>
      </c>
      <c r="I28" s="161">
        <f>'Consommation du 01.01 au 31.01'!Y36*1000</f>
        <v>0</v>
      </c>
      <c r="J28" s="161">
        <v>0.53</v>
      </c>
      <c r="K28" s="161">
        <f>'Consommation du 01.01 au 31.01'!D36</f>
        <v>0</v>
      </c>
      <c r="L28" s="161">
        <v>12.67</v>
      </c>
      <c r="M28" s="160">
        <f>'Consommation du 01.01 au 31.01'!AC36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</v>
      </c>
      <c r="D29" s="160">
        <v>2021</v>
      </c>
      <c r="E29" s="161">
        <f>'Consommation du 01.01 au 31.01'!M37</f>
        <v>0</v>
      </c>
      <c r="F29" s="161">
        <v>0.99</v>
      </c>
      <c r="G29" s="161">
        <f>'Consommation du 01.01 au 31.01'!U37</f>
        <v>0</v>
      </c>
      <c r="H29" s="161">
        <v>8.2658000000000005</v>
      </c>
      <c r="I29" s="161">
        <f>'Consommation du 01.01 au 31.01'!Y37*1000</f>
        <v>0</v>
      </c>
      <c r="J29" s="161">
        <v>0.53</v>
      </c>
      <c r="K29" s="161">
        <f>'Consommation du 01.01 au 31.01'!D37</f>
        <v>0</v>
      </c>
      <c r="L29" s="161">
        <v>12.67</v>
      </c>
      <c r="M29" s="160">
        <f>'Consommation du 01.01 au 31.01'!AC37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</v>
      </c>
      <c r="D30" s="160">
        <v>2021</v>
      </c>
      <c r="E30" s="161">
        <f>'Consommation du 01.01 au 31.01'!M38</f>
        <v>0</v>
      </c>
      <c r="F30" s="161">
        <v>0.99</v>
      </c>
      <c r="G30" s="161">
        <f>'Consommation du 01.01 au 31.01'!U38</f>
        <v>0</v>
      </c>
      <c r="H30" s="161">
        <v>8.2658000000000005</v>
      </c>
      <c r="I30" s="161">
        <f>'Consommation du 01.01 au 31.01'!Y38*1000</f>
        <v>0</v>
      </c>
      <c r="J30" s="161">
        <v>0.53</v>
      </c>
      <c r="K30" s="161">
        <f>'Consommation du 01.01 au 31.01'!D38</f>
        <v>0</v>
      </c>
      <c r="L30" s="161">
        <v>12.67</v>
      </c>
      <c r="M30" s="160">
        <f>'Consommation du 01.01 au 31.01'!AC38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</v>
      </c>
      <c r="D31" s="160">
        <v>2021</v>
      </c>
      <c r="E31" s="161">
        <f>'Consommation du 01.01 au 31.01'!M39</f>
        <v>0</v>
      </c>
      <c r="F31" s="161">
        <v>0.99</v>
      </c>
      <c r="G31" s="161">
        <f>'Consommation du 01.01 au 31.01'!U39</f>
        <v>0</v>
      </c>
      <c r="H31" s="161">
        <v>8.2658000000000005</v>
      </c>
      <c r="I31" s="161">
        <f>'Consommation du 01.01 au 31.01'!Y39*1000</f>
        <v>0</v>
      </c>
      <c r="J31" s="161">
        <v>0.53</v>
      </c>
      <c r="K31" s="161">
        <f>'Consommation du 01.01 au 31.01'!D39</f>
        <v>0</v>
      </c>
      <c r="L31" s="161">
        <v>12.67</v>
      </c>
      <c r="M31" s="160">
        <f>'Consommation du 01.01 au 31.01'!AC39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</v>
      </c>
      <c r="D32" s="160">
        <v>2021</v>
      </c>
      <c r="E32" s="161">
        <f>'Consommation du 01.01 au 31.01'!M40</f>
        <v>0</v>
      </c>
      <c r="F32" s="161">
        <v>1.99</v>
      </c>
      <c r="G32" s="161">
        <f>'Consommation du 01.01 au 31.01'!U40</f>
        <v>0</v>
      </c>
      <c r="H32" s="161">
        <v>8.2658000000000005</v>
      </c>
      <c r="I32" s="161">
        <f>'Consommation du 01.01 au 31.01'!Y40*1000</f>
        <v>0</v>
      </c>
      <c r="J32" s="161">
        <v>1.53</v>
      </c>
      <c r="K32" s="161">
        <f>'Consommation du 01.01 au 31.01'!D40</f>
        <v>0</v>
      </c>
      <c r="L32" s="161">
        <v>13.67</v>
      </c>
      <c r="M32" s="160">
        <f>'Consommation du 01.01 au 31.01'!AC40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445043.23213999829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tabSelected="1" view="pageBreakPreview" topLeftCell="A6" zoomScale="60" zoomScaleNormal="60" workbookViewId="0">
      <selection activeCell="AG21" sqref="AG21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9"/>
      <c r="K8" s="89"/>
      <c r="L8" s="89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6"/>
      <c r="AK8" s="126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3"/>
      <c r="J9" s="91" t="s">
        <v>6</v>
      </c>
      <c r="K9" s="91" t="s">
        <v>7</v>
      </c>
      <c r="L9" s="91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44197</v>
      </c>
      <c r="C10" s="93"/>
      <c r="D10" s="148">
        <f>'Suivi EAU-ELEC'!C16</f>
        <v>390</v>
      </c>
      <c r="E10" s="152"/>
      <c r="F10" s="211">
        <f t="shared" ref="F10:F40" si="0">D10*12.67</f>
        <v>4941.3</v>
      </c>
      <c r="G10" s="212"/>
      <c r="H10" s="213"/>
      <c r="I10" s="143"/>
      <c r="J10" s="94">
        <f>'Suivi EAU-ELEC'!E16</f>
        <v>3405</v>
      </c>
      <c r="K10" s="95">
        <f>'Suivi EAU-ELEC'!G16</f>
        <v>5810</v>
      </c>
      <c r="L10" s="95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6"/>
      <c r="U10" s="60">
        <f>'Suivi Gaz'!O11</f>
        <v>1780.8000000000002</v>
      </c>
      <c r="V10" s="58"/>
      <c r="W10" s="59">
        <f>U10*8.2658</f>
        <v>14719.736640000003</v>
      </c>
      <c r="X10" s="65">
        <v>18277.080000000002</v>
      </c>
      <c r="Y10" s="154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4">
        <v>57</v>
      </c>
      <c r="AD10" s="133">
        <v>0.5</v>
      </c>
      <c r="AE10" s="135">
        <v>27.5</v>
      </c>
      <c r="AF10" s="163">
        <v>28</v>
      </c>
      <c r="AG10" s="164">
        <v>27.5</v>
      </c>
      <c r="AH10" s="165">
        <v>28</v>
      </c>
      <c r="AI10" s="146"/>
      <c r="AJ10" s="128">
        <f t="shared" ref="AJ10:AJ40" si="2">(F10+O10+W10+Z10)</f>
        <v>38199.38663999908</v>
      </c>
      <c r="AK10" s="129">
        <f t="shared" ref="AK10:AK40" si="3">AJ10/AC10</f>
        <v>670.16467789472074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44198</v>
      </c>
      <c r="C11" s="93"/>
      <c r="D11" s="148">
        <f>'Suivi EAU-ELEC'!C17</f>
        <v>330</v>
      </c>
      <c r="E11" s="96"/>
      <c r="F11" s="211">
        <f t="shared" si="0"/>
        <v>4181.1000000000004</v>
      </c>
      <c r="G11" s="212"/>
      <c r="H11" s="213"/>
      <c r="I11" s="143"/>
      <c r="J11" s="94">
        <f>'Suivi EAU-ELEC'!E17</f>
        <v>3413</v>
      </c>
      <c r="K11" s="95">
        <f>'Suivi EAU-ELEC'!G17</f>
        <v>5222</v>
      </c>
      <c r="L11" s="95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6"/>
      <c r="U11" s="60">
        <f>'Suivi Gaz'!O12</f>
        <v>593.6</v>
      </c>
      <c r="V11" s="58"/>
      <c r="W11" s="59">
        <f t="shared" ref="W11:W40" si="6">U11*8.2658</f>
        <v>4906.57888</v>
      </c>
      <c r="X11" s="65">
        <v>18290.25</v>
      </c>
      <c r="Y11" s="149">
        <f t="shared" si="1"/>
        <v>13.419999999998254</v>
      </c>
      <c r="Z11" s="64">
        <f t="shared" ref="Z11:Z40" si="7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6"/>
      <c r="AJ11" s="130">
        <f t="shared" si="2"/>
        <v>27132.848879999074</v>
      </c>
      <c r="AK11" s="129">
        <f t="shared" si="3"/>
        <v>511.94054490564292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44199</v>
      </c>
      <c r="C12" s="93"/>
      <c r="D12" s="148">
        <f>'Suivi EAU-ELEC'!C18</f>
        <v>280</v>
      </c>
      <c r="E12" s="96"/>
      <c r="F12" s="211">
        <f t="shared" si="0"/>
        <v>3547.6</v>
      </c>
      <c r="G12" s="212"/>
      <c r="H12" s="213"/>
      <c r="I12" s="143"/>
      <c r="J12" s="94">
        <f>'Suivi EAU-ELEC'!E18</f>
        <v>3457</v>
      </c>
      <c r="K12" s="95">
        <f>'Suivi EAU-ELEC'!G18</f>
        <v>5248</v>
      </c>
      <c r="L12" s="95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6"/>
      <c r="U12" s="60">
        <f>'Suivi Gaz'!O13</f>
        <v>371</v>
      </c>
      <c r="V12" s="58"/>
      <c r="W12" s="59">
        <f t="shared" si="6"/>
        <v>3066.6118000000001</v>
      </c>
      <c r="X12" s="65">
        <v>18303.669999999998</v>
      </c>
      <c r="Y12" s="149">
        <f t="shared" si="1"/>
        <v>13.870000000002619</v>
      </c>
      <c r="Z12" s="64">
        <f t="shared" si="7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30">
        <f t="shared" si="2"/>
        <v>24865.211800001387</v>
      </c>
      <c r="AK12" s="129">
        <f t="shared" si="3"/>
        <v>1381.4006555556325</v>
      </c>
      <c r="AL12" s="75"/>
    </row>
    <row r="13" spans="1:40" ht="32.25" customHeight="1" thickBot="1" x14ac:dyDescent="0.25">
      <c r="A13" s="73"/>
      <c r="B13" s="92">
        <f t="shared" si="8"/>
        <v>44200</v>
      </c>
      <c r="C13" s="93"/>
      <c r="D13" s="148">
        <f>'Suivi EAU-ELEC'!C19</f>
        <v>230</v>
      </c>
      <c r="E13" s="96"/>
      <c r="F13" s="208">
        <f t="shared" si="0"/>
        <v>2914.1</v>
      </c>
      <c r="G13" s="209"/>
      <c r="H13" s="210"/>
      <c r="I13" s="143"/>
      <c r="J13" s="94">
        <f>'Suivi EAU-ELEC'!E19</f>
        <v>3741</v>
      </c>
      <c r="K13" s="95">
        <f>'Suivi EAU-ELEC'!G19</f>
        <v>5189</v>
      </c>
      <c r="L13" s="95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6"/>
      <c r="U13" s="60">
        <f>'Suivi Gaz'!O14</f>
        <v>259.7</v>
      </c>
      <c r="V13" s="58"/>
      <c r="W13" s="59">
        <f t="shared" si="6"/>
        <v>2146.62826</v>
      </c>
      <c r="X13" s="65">
        <v>18317.54</v>
      </c>
      <c r="Y13" s="149">
        <f t="shared" si="1"/>
        <v>13.770000000000437</v>
      </c>
      <c r="Z13" s="64">
        <f t="shared" si="7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30">
        <f t="shared" si="2"/>
        <v>23349.808260000231</v>
      </c>
      <c r="AK13" s="129">
        <f t="shared" si="3"/>
        <v>1667.8434471428736</v>
      </c>
      <c r="AL13" s="74"/>
    </row>
    <row r="14" spans="1:40" ht="32.25" customHeight="1" thickBot="1" x14ac:dyDescent="0.25">
      <c r="A14" s="73"/>
      <c r="B14" s="92">
        <f t="shared" si="8"/>
        <v>44201</v>
      </c>
      <c r="C14" s="93"/>
      <c r="D14" s="148">
        <f>'Suivi EAU-ELEC'!C20</f>
        <v>250</v>
      </c>
      <c r="E14" s="96"/>
      <c r="F14" s="211">
        <f t="shared" si="0"/>
        <v>3167.5</v>
      </c>
      <c r="G14" s="212"/>
      <c r="H14" s="213"/>
      <c r="I14" s="143"/>
      <c r="J14" s="94">
        <f>'Suivi EAU-ELEC'!E20</f>
        <v>3319</v>
      </c>
      <c r="K14" s="95">
        <f>'Suivi EAU-ELEC'!G20</f>
        <v>5047</v>
      </c>
      <c r="L14" s="95">
        <f>'Suivi EAU-ELEC'!I20</f>
        <v>2125</v>
      </c>
      <c r="M14" s="82">
        <f t="shared" si="4"/>
        <v>10491</v>
      </c>
      <c r="N14" s="58"/>
      <c r="O14" s="59">
        <f t="shared" si="5"/>
        <v>10386.09</v>
      </c>
      <c r="P14" s="57"/>
      <c r="Q14" s="55"/>
      <c r="R14" s="56"/>
      <c r="S14" s="55"/>
      <c r="T14" s="96"/>
      <c r="U14" s="60">
        <f>'Suivi Gaz'!O15</f>
        <v>890.40000000000009</v>
      </c>
      <c r="V14" s="58"/>
      <c r="W14" s="59">
        <f t="shared" si="6"/>
        <v>7359.8683200000014</v>
      </c>
      <c r="X14" s="65">
        <v>18331.310000000001</v>
      </c>
      <c r="Y14" s="149">
        <f t="shared" si="1"/>
        <v>9.1299999999973807</v>
      </c>
      <c r="Z14" s="64">
        <f t="shared" si="7"/>
        <v>4838.8999999986127</v>
      </c>
      <c r="AA14" s="58"/>
      <c r="AB14" s="61">
        <v>18</v>
      </c>
      <c r="AC14" s="78">
        <v>11</v>
      </c>
      <c r="AD14" s="79">
        <v>8.5900000000000004E-2</v>
      </c>
      <c r="AE14" s="83">
        <v>22</v>
      </c>
      <c r="AF14" s="83">
        <v>25</v>
      </c>
      <c r="AG14" s="80">
        <v>18</v>
      </c>
      <c r="AH14" s="81">
        <v>18</v>
      </c>
      <c r="AI14" s="44"/>
      <c r="AJ14" s="130">
        <f t="shared" si="2"/>
        <v>25752.358319998613</v>
      </c>
      <c r="AK14" s="129">
        <f t="shared" si="3"/>
        <v>2341.1234836362378</v>
      </c>
      <c r="AL14" s="74"/>
    </row>
    <row r="15" spans="1:40" ht="32.25" customHeight="1" thickBot="1" x14ac:dyDescent="0.25">
      <c r="A15" s="73"/>
      <c r="B15" s="92">
        <f t="shared" si="8"/>
        <v>44202</v>
      </c>
      <c r="C15" s="93"/>
      <c r="D15" s="148">
        <f>'Suivi EAU-ELEC'!C21</f>
        <v>270</v>
      </c>
      <c r="E15" s="96"/>
      <c r="F15" s="214">
        <f t="shared" si="0"/>
        <v>3420.9</v>
      </c>
      <c r="G15" s="215"/>
      <c r="H15" s="216"/>
      <c r="I15" s="145"/>
      <c r="J15" s="94">
        <f>'Suivi EAU-ELEC'!E21</f>
        <v>3396</v>
      </c>
      <c r="K15" s="95">
        <f>'Suivi EAU-ELEC'!G21</f>
        <v>5062</v>
      </c>
      <c r="L15" s="95">
        <f>'Suivi EAU-ELEC'!I21</f>
        <v>2105</v>
      </c>
      <c r="M15" s="82">
        <f t="shared" si="4"/>
        <v>10563</v>
      </c>
      <c r="N15" s="58"/>
      <c r="O15" s="59">
        <f t="shared" si="5"/>
        <v>10457.369999999999</v>
      </c>
      <c r="P15" s="57"/>
      <c r="Q15" s="55"/>
      <c r="R15" s="56"/>
      <c r="S15" s="55"/>
      <c r="T15" s="96"/>
      <c r="U15" s="60">
        <f>'Suivi Gaz'!O16</f>
        <v>704.90000000000009</v>
      </c>
      <c r="V15" s="58"/>
      <c r="W15" s="59">
        <f t="shared" si="6"/>
        <v>5826.5624200000011</v>
      </c>
      <c r="X15" s="65">
        <v>18340.439999999999</v>
      </c>
      <c r="Y15" s="149">
        <f t="shared" si="1"/>
        <v>4.180000000000291</v>
      </c>
      <c r="Z15" s="64">
        <f t="shared" si="7"/>
        <v>2215.4000000001543</v>
      </c>
      <c r="AA15" s="58"/>
      <c r="AB15" s="61">
        <v>19</v>
      </c>
      <c r="AC15" s="78">
        <v>10</v>
      </c>
      <c r="AD15" s="79">
        <v>7.6899999999999996E-2</v>
      </c>
      <c r="AE15" s="83" t="s">
        <v>85</v>
      </c>
      <c r="AF15" s="83" t="s">
        <v>85</v>
      </c>
      <c r="AG15" s="80" t="s">
        <v>85</v>
      </c>
      <c r="AH15" s="81" t="s">
        <v>85</v>
      </c>
      <c r="AI15" s="44"/>
      <c r="AJ15" s="130">
        <f t="shared" si="2"/>
        <v>21920.232420000153</v>
      </c>
      <c r="AK15" s="129">
        <f t="shared" si="3"/>
        <v>2192.0232420000152</v>
      </c>
      <c r="AL15" s="74"/>
    </row>
    <row r="16" spans="1:40" ht="32.25" customHeight="1" thickBot="1" x14ac:dyDescent="0.25">
      <c r="A16" s="73"/>
      <c r="B16" s="92">
        <f t="shared" si="8"/>
        <v>44203</v>
      </c>
      <c r="C16" s="93"/>
      <c r="D16" s="148">
        <f>'Suivi EAU-ELEC'!C22</f>
        <v>230</v>
      </c>
      <c r="E16" s="96"/>
      <c r="F16" s="208">
        <f t="shared" si="0"/>
        <v>2914.1</v>
      </c>
      <c r="G16" s="209"/>
      <c r="H16" s="210"/>
      <c r="I16" s="142"/>
      <c r="J16" s="94">
        <f>'Suivi EAU-ELEC'!E22</f>
        <v>3030</v>
      </c>
      <c r="K16" s="95">
        <f>'Suivi EAU-ELEC'!G22</f>
        <v>4884</v>
      </c>
      <c r="L16" s="95">
        <f>'Suivi EAU-ELEC'!I22</f>
        <v>1953</v>
      </c>
      <c r="M16" s="82">
        <f t="shared" si="4"/>
        <v>9867</v>
      </c>
      <c r="N16" s="58"/>
      <c r="O16" s="59">
        <f t="shared" si="5"/>
        <v>9768.33</v>
      </c>
      <c r="P16" s="57"/>
      <c r="Q16" s="55"/>
      <c r="R16" s="56"/>
      <c r="S16" s="55"/>
      <c r="T16" s="96"/>
      <c r="U16" s="60">
        <f>'Suivi Gaz'!O17</f>
        <v>296.8</v>
      </c>
      <c r="V16" s="58"/>
      <c r="W16" s="59">
        <f t="shared" si="6"/>
        <v>2453.28944</v>
      </c>
      <c r="X16" s="65">
        <v>18344.62</v>
      </c>
      <c r="Y16" s="149">
        <f t="shared" si="1"/>
        <v>12.520000000000437</v>
      </c>
      <c r="Z16" s="64">
        <f t="shared" si="7"/>
        <v>6635.6000000002323</v>
      </c>
      <c r="AA16" s="58"/>
      <c r="AB16" s="61">
        <v>19</v>
      </c>
      <c r="AC16" s="78">
        <v>6</v>
      </c>
      <c r="AD16" s="79">
        <v>4.5499999999999999E-2</v>
      </c>
      <c r="AE16" s="83" t="s">
        <v>85</v>
      </c>
      <c r="AF16" s="83" t="s">
        <v>85</v>
      </c>
      <c r="AG16" s="80" t="s">
        <v>85</v>
      </c>
      <c r="AH16" s="81" t="s">
        <v>85</v>
      </c>
      <c r="AI16" s="44"/>
      <c r="AJ16" s="130">
        <f t="shared" si="2"/>
        <v>21771.319440000232</v>
      </c>
      <c r="AK16" s="129">
        <f t="shared" si="3"/>
        <v>3628.5532400000388</v>
      </c>
      <c r="AL16" s="74"/>
    </row>
    <row r="17" spans="1:256" ht="32.25" customHeight="1" thickBot="1" x14ac:dyDescent="0.25">
      <c r="A17" s="73"/>
      <c r="B17" s="92">
        <f t="shared" si="8"/>
        <v>44204</v>
      </c>
      <c r="C17" s="93"/>
      <c r="D17" s="148">
        <f>'Suivi EAU-ELEC'!C23</f>
        <v>300</v>
      </c>
      <c r="E17" s="96"/>
      <c r="F17" s="211">
        <f t="shared" si="0"/>
        <v>3801</v>
      </c>
      <c r="G17" s="212"/>
      <c r="H17" s="213"/>
      <c r="I17" s="143"/>
      <c r="J17" s="94">
        <f>'Suivi EAU-ELEC'!E23</f>
        <v>2795</v>
      </c>
      <c r="K17" s="95">
        <f>'Suivi EAU-ELEC'!G23</f>
        <v>4464</v>
      </c>
      <c r="L17" s="95">
        <f>'Suivi EAU-ELEC'!I23</f>
        <v>1941</v>
      </c>
      <c r="M17" s="82">
        <f t="shared" si="4"/>
        <v>9200</v>
      </c>
      <c r="N17" s="58"/>
      <c r="O17" s="59">
        <f t="shared" si="5"/>
        <v>9108</v>
      </c>
      <c r="P17" s="57"/>
      <c r="Q17" s="55"/>
      <c r="R17" s="56"/>
      <c r="S17" s="55"/>
      <c r="T17" s="96"/>
      <c r="U17" s="60">
        <f>'Suivi Gaz'!O18</f>
        <v>148.4</v>
      </c>
      <c r="V17" s="58"/>
      <c r="W17" s="59">
        <f t="shared" si="6"/>
        <v>1226.64472</v>
      </c>
      <c r="X17" s="65">
        <v>18357.14</v>
      </c>
      <c r="Y17" s="149">
        <f t="shared" si="1"/>
        <v>11.040000000000873</v>
      </c>
      <c r="Z17" s="64">
        <f t="shared" si="7"/>
        <v>5851.2000000004628</v>
      </c>
      <c r="AA17" s="67"/>
      <c r="AB17" s="61">
        <v>18</v>
      </c>
      <c r="AC17" s="78">
        <v>8</v>
      </c>
      <c r="AD17" s="79">
        <v>5.9299999999999999E-2</v>
      </c>
      <c r="AE17" s="83">
        <v>26.5</v>
      </c>
      <c r="AF17" s="83">
        <v>27</v>
      </c>
      <c r="AG17" s="80" t="s">
        <v>85</v>
      </c>
      <c r="AH17" s="81" t="s">
        <v>85</v>
      </c>
      <c r="AI17" s="44"/>
      <c r="AJ17" s="130">
        <f t="shared" si="2"/>
        <v>19986.844720000463</v>
      </c>
      <c r="AK17" s="129">
        <f t="shared" si="3"/>
        <v>2498.3555900000579</v>
      </c>
      <c r="AL17" s="74"/>
    </row>
    <row r="18" spans="1:256" ht="32.25" customHeight="1" thickBot="1" x14ac:dyDescent="0.25">
      <c r="A18" s="73"/>
      <c r="B18" s="92">
        <f t="shared" si="8"/>
        <v>44205</v>
      </c>
      <c r="C18" s="93"/>
      <c r="D18" s="148">
        <f>'Suivi EAU-ELEC'!C24</f>
        <v>300</v>
      </c>
      <c r="E18" s="96"/>
      <c r="F18" s="214">
        <f t="shared" si="0"/>
        <v>3801</v>
      </c>
      <c r="G18" s="215"/>
      <c r="H18" s="216"/>
      <c r="I18" s="143"/>
      <c r="J18" s="94">
        <f>'Suivi EAU-ELEC'!E24</f>
        <v>3263</v>
      </c>
      <c r="K18" s="95">
        <f>'Suivi EAU-ELEC'!G24</f>
        <v>4832</v>
      </c>
      <c r="L18" s="95">
        <f>'Suivi EAU-ELEC'!I24</f>
        <v>2122</v>
      </c>
      <c r="M18" s="82">
        <f t="shared" si="4"/>
        <v>10217</v>
      </c>
      <c r="N18" s="58"/>
      <c r="O18" s="59">
        <f t="shared" si="5"/>
        <v>10114.83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6"/>
        <v>2146.62826</v>
      </c>
      <c r="X18" s="65">
        <v>18368.18</v>
      </c>
      <c r="Y18" s="149">
        <f t="shared" si="1"/>
        <v>12.489999999997963</v>
      </c>
      <c r="Z18" s="64">
        <f t="shared" si="7"/>
        <v>6619.6999999989212</v>
      </c>
      <c r="AA18" s="67"/>
      <c r="AB18" s="61">
        <v>12</v>
      </c>
      <c r="AC18" s="78">
        <v>23</v>
      </c>
      <c r="AD18" s="79">
        <v>0.1729</v>
      </c>
      <c r="AE18" s="83">
        <v>26</v>
      </c>
      <c r="AF18" s="83">
        <v>26.6</v>
      </c>
      <c r="AG18" s="80" t="s">
        <v>85</v>
      </c>
      <c r="AH18" s="81" t="s">
        <v>85</v>
      </c>
      <c r="AI18" s="44"/>
      <c r="AJ18" s="130">
        <f t="shared" si="2"/>
        <v>22682.15825999892</v>
      </c>
      <c r="AK18" s="129">
        <f t="shared" si="3"/>
        <v>986.18079391299648</v>
      </c>
      <c r="AL18" s="74"/>
    </row>
    <row r="19" spans="1:256" ht="32.25" customHeight="1" thickBot="1" x14ac:dyDescent="0.25">
      <c r="A19" s="73"/>
      <c r="B19" s="92">
        <f t="shared" si="8"/>
        <v>44206</v>
      </c>
      <c r="C19" s="93"/>
      <c r="D19" s="148">
        <f>'Suivi EAU-ELEC'!C25</f>
        <v>380</v>
      </c>
      <c r="E19" s="96"/>
      <c r="F19" s="211">
        <f t="shared" si="0"/>
        <v>4814.6000000000004</v>
      </c>
      <c r="G19" s="212"/>
      <c r="H19" s="213"/>
      <c r="I19" s="143"/>
      <c r="J19" s="94">
        <f>'Suivi EAU-ELEC'!E25</f>
        <v>3259</v>
      </c>
      <c r="K19" s="95">
        <f>'Suivi EAU-ELEC'!G25</f>
        <v>5154</v>
      </c>
      <c r="L19" s="95">
        <f>'Suivi EAU-ELEC'!I25</f>
        <v>2160</v>
      </c>
      <c r="M19" s="82">
        <f t="shared" si="4"/>
        <v>10573</v>
      </c>
      <c r="N19" s="58"/>
      <c r="O19" s="59">
        <f t="shared" si="5"/>
        <v>10467.269999999999</v>
      </c>
      <c r="P19" s="57"/>
      <c r="Q19" s="55"/>
      <c r="R19" s="56"/>
      <c r="S19" s="55"/>
      <c r="T19" s="96"/>
      <c r="U19" s="60">
        <f>'Suivi Gaz'!O20</f>
        <v>964.6</v>
      </c>
      <c r="V19" s="58"/>
      <c r="W19" s="59">
        <f t="shared" si="6"/>
        <v>7973.1906800000006</v>
      </c>
      <c r="X19" s="65">
        <v>18380.669999999998</v>
      </c>
      <c r="Y19" s="149">
        <f t="shared" si="1"/>
        <v>11.510000000002037</v>
      </c>
      <c r="Z19" s="64">
        <f t="shared" si="7"/>
        <v>6100.3000000010798</v>
      </c>
      <c r="AA19" s="67"/>
      <c r="AB19" s="61">
        <v>9</v>
      </c>
      <c r="AC19" s="78">
        <v>18</v>
      </c>
      <c r="AD19" s="79">
        <v>0.1343</v>
      </c>
      <c r="AE19" s="83">
        <v>26</v>
      </c>
      <c r="AF19" s="83">
        <v>26.5</v>
      </c>
      <c r="AG19" s="80" t="s">
        <v>85</v>
      </c>
      <c r="AH19" s="81" t="s">
        <v>85</v>
      </c>
      <c r="AI19" s="44"/>
      <c r="AJ19" s="130">
        <f t="shared" si="2"/>
        <v>29355.360680001078</v>
      </c>
      <c r="AK19" s="129">
        <f t="shared" si="3"/>
        <v>1630.8533711111711</v>
      </c>
      <c r="AL19" s="74"/>
    </row>
    <row r="20" spans="1:256" ht="32.25" customHeight="1" thickBot="1" x14ac:dyDescent="0.25">
      <c r="A20" s="73"/>
      <c r="B20" s="92">
        <f t="shared" si="8"/>
        <v>44207</v>
      </c>
      <c r="C20" s="93"/>
      <c r="D20" s="148">
        <f>'Suivi EAU-ELEC'!C26</f>
        <v>300</v>
      </c>
      <c r="E20" s="96"/>
      <c r="F20" s="208">
        <f t="shared" si="0"/>
        <v>3801</v>
      </c>
      <c r="G20" s="209"/>
      <c r="H20" s="210"/>
      <c r="I20" s="143"/>
      <c r="J20" s="94">
        <f>'Suivi EAU-ELEC'!E26</f>
        <v>2966</v>
      </c>
      <c r="K20" s="95">
        <f>'Suivi EAU-ELEC'!G26</f>
        <v>5012</v>
      </c>
      <c r="L20" s="95">
        <f>'Suivi EAU-ELEC'!I26</f>
        <v>1990</v>
      </c>
      <c r="M20" s="82">
        <f t="shared" si="4"/>
        <v>9968</v>
      </c>
      <c r="N20" s="58"/>
      <c r="O20" s="59">
        <f t="shared" si="5"/>
        <v>9868.32</v>
      </c>
      <c r="P20" s="57"/>
      <c r="Q20" s="55"/>
      <c r="R20" s="56"/>
      <c r="S20" s="55"/>
      <c r="T20" s="96"/>
      <c r="U20" s="60">
        <f>'Suivi Gaz'!O21</f>
        <v>630.70000000000005</v>
      </c>
      <c r="V20" s="58"/>
      <c r="W20" s="59">
        <f t="shared" si="6"/>
        <v>5213.240060000001</v>
      </c>
      <c r="X20" s="65">
        <v>18392.18</v>
      </c>
      <c r="Y20" s="149">
        <f t="shared" si="1"/>
        <v>14.669999999998254</v>
      </c>
      <c r="Z20" s="64">
        <f t="shared" si="7"/>
        <v>7775.0999999990745</v>
      </c>
      <c r="AA20" s="67">
        <v>14</v>
      </c>
      <c r="AB20" s="61">
        <v>11</v>
      </c>
      <c r="AC20" s="78">
        <v>6</v>
      </c>
      <c r="AD20" s="79">
        <v>4.5100000000000001E-2</v>
      </c>
      <c r="AE20" s="83">
        <v>26.5</v>
      </c>
      <c r="AF20" s="83">
        <v>27.5</v>
      </c>
      <c r="AG20" s="80" t="s">
        <v>85</v>
      </c>
      <c r="AH20" s="81" t="s">
        <v>85</v>
      </c>
      <c r="AI20" s="44"/>
      <c r="AJ20" s="130">
        <f t="shared" si="2"/>
        <v>26657.660059999074</v>
      </c>
      <c r="AK20" s="129">
        <f t="shared" si="3"/>
        <v>4442.9433433331787</v>
      </c>
      <c r="AL20" s="74"/>
    </row>
    <row r="21" spans="1:256" ht="32.25" customHeight="1" thickBot="1" x14ac:dyDescent="0.25">
      <c r="A21" s="73"/>
      <c r="B21" s="92">
        <f t="shared" si="8"/>
        <v>44208</v>
      </c>
      <c r="C21" s="93"/>
      <c r="D21" s="148">
        <f>'Suivi EAU-ELEC'!C27</f>
        <v>320</v>
      </c>
      <c r="E21" s="96"/>
      <c r="F21" s="211">
        <f t="shared" si="0"/>
        <v>4054.4</v>
      </c>
      <c r="G21" s="212"/>
      <c r="H21" s="213"/>
      <c r="I21" s="143"/>
      <c r="J21" s="94">
        <f>'Suivi EAU-ELEC'!E27</f>
        <v>3179</v>
      </c>
      <c r="K21" s="95">
        <f>'Suivi EAU-ELEC'!G27</f>
        <v>5091</v>
      </c>
      <c r="L21" s="95">
        <f>'Suivi EAU-ELEC'!I27</f>
        <v>2130</v>
      </c>
      <c r="M21" s="82">
        <f t="shared" si="4"/>
        <v>10400</v>
      </c>
      <c r="N21" s="58"/>
      <c r="O21" s="59">
        <f t="shared" si="5"/>
        <v>10296</v>
      </c>
      <c r="P21" s="57"/>
      <c r="Q21" s="55"/>
      <c r="R21" s="56"/>
      <c r="S21" s="55"/>
      <c r="T21" s="96"/>
      <c r="U21" s="60">
        <f>'Suivi Gaz'!O22</f>
        <v>779.1</v>
      </c>
      <c r="V21" s="58"/>
      <c r="W21" s="59">
        <f t="shared" si="6"/>
        <v>6439.8847800000003</v>
      </c>
      <c r="X21" s="65">
        <v>18406.849999999999</v>
      </c>
      <c r="Y21" s="149">
        <f t="shared" si="1"/>
        <v>10.270000000000437</v>
      </c>
      <c r="Z21" s="64">
        <f t="shared" si="7"/>
        <v>5443.1000000002323</v>
      </c>
      <c r="AA21" s="67">
        <v>14</v>
      </c>
      <c r="AB21" s="61">
        <v>13</v>
      </c>
      <c r="AC21" s="78">
        <v>6</v>
      </c>
      <c r="AD21" s="79">
        <v>4.3799999999999999E-2</v>
      </c>
      <c r="AE21" s="83">
        <v>26</v>
      </c>
      <c r="AF21" s="83">
        <v>27</v>
      </c>
      <c r="AG21" s="80" t="s">
        <v>85</v>
      </c>
      <c r="AH21" s="81" t="s">
        <v>85</v>
      </c>
      <c r="AI21" s="44"/>
      <c r="AJ21" s="130">
        <f t="shared" si="2"/>
        <v>26233.384780000233</v>
      </c>
      <c r="AK21" s="129">
        <f>AJ21/AC21</f>
        <v>4372.2307966667058</v>
      </c>
      <c r="AL21" s="74"/>
    </row>
    <row r="22" spans="1:256" ht="32.25" customHeight="1" thickBot="1" x14ac:dyDescent="0.25">
      <c r="A22" s="73"/>
      <c r="B22" s="92">
        <f t="shared" si="8"/>
        <v>44209</v>
      </c>
      <c r="C22" s="93"/>
      <c r="D22" s="148">
        <f>'Suivi EAU-ELEC'!C28</f>
        <v>390</v>
      </c>
      <c r="E22" s="96"/>
      <c r="F22" s="214">
        <f t="shared" si="0"/>
        <v>4941.3</v>
      </c>
      <c r="G22" s="215"/>
      <c r="H22" s="216"/>
      <c r="I22" s="143"/>
      <c r="J22" s="94">
        <f>'Suivi EAU-ELEC'!E28</f>
        <v>3111</v>
      </c>
      <c r="K22" s="95">
        <f>'Suivi EAU-ELEC'!G28</f>
        <v>4849</v>
      </c>
      <c r="L22" s="95">
        <f>'Suivi EAU-ELEC'!I28</f>
        <v>2128</v>
      </c>
      <c r="M22" s="82">
        <f t="shared" si="4"/>
        <v>10088</v>
      </c>
      <c r="N22" s="58"/>
      <c r="O22" s="59">
        <f t="shared" si="5"/>
        <v>9987.119999999999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6"/>
        <v>3066.6118000000001</v>
      </c>
      <c r="X22" s="65">
        <v>18417.12</v>
      </c>
      <c r="Y22" s="149">
        <f t="shared" si="1"/>
        <v>16.5</v>
      </c>
      <c r="Z22" s="64">
        <f t="shared" si="7"/>
        <v>8745.0000000000018</v>
      </c>
      <c r="AA22" s="58"/>
      <c r="AB22" s="61">
        <v>14</v>
      </c>
      <c r="AC22" s="78">
        <v>7</v>
      </c>
      <c r="AD22" s="79">
        <v>5.11E-2</v>
      </c>
      <c r="AE22" s="83">
        <v>26</v>
      </c>
      <c r="AF22" s="83">
        <v>27</v>
      </c>
      <c r="AG22" s="80">
        <v>16</v>
      </c>
      <c r="AH22" s="81">
        <v>20</v>
      </c>
      <c r="AI22" s="44"/>
      <c r="AJ22" s="130">
        <f t="shared" si="2"/>
        <v>26740.031799999997</v>
      </c>
      <c r="AK22" s="129">
        <f t="shared" si="3"/>
        <v>3820.0045428571425</v>
      </c>
      <c r="AL22" s="74"/>
    </row>
    <row r="23" spans="1:256" ht="32.25" customHeight="1" thickBot="1" x14ac:dyDescent="0.25">
      <c r="A23" s="73"/>
      <c r="B23" s="92">
        <f t="shared" si="8"/>
        <v>44210</v>
      </c>
      <c r="C23" s="93"/>
      <c r="D23" s="148">
        <f>'Suivi EAU-ELEC'!C29</f>
        <v>480</v>
      </c>
      <c r="E23" s="96"/>
      <c r="F23" s="211">
        <f t="shared" si="0"/>
        <v>6081.6</v>
      </c>
      <c r="G23" s="212"/>
      <c r="H23" s="213"/>
      <c r="I23" s="143"/>
      <c r="J23" s="94">
        <f>'Suivi EAU-ELEC'!E29</f>
        <v>3056</v>
      </c>
      <c r="K23" s="95">
        <f>'Suivi EAU-ELEC'!G29</f>
        <v>4731</v>
      </c>
      <c r="L23" s="95">
        <f>'Suivi EAU-ELEC'!I29</f>
        <v>1976</v>
      </c>
      <c r="M23" s="82">
        <f t="shared" si="4"/>
        <v>9763</v>
      </c>
      <c r="N23" s="58"/>
      <c r="O23" s="59">
        <f t="shared" si="5"/>
        <v>9665.369999999999</v>
      </c>
      <c r="P23" s="57"/>
      <c r="Q23" s="55"/>
      <c r="R23" s="56"/>
      <c r="S23" s="55"/>
      <c r="T23" s="96"/>
      <c r="U23" s="60">
        <f>'Suivi Gaz'!O24</f>
        <v>333.90000000000003</v>
      </c>
      <c r="V23" s="58"/>
      <c r="W23" s="59">
        <f t="shared" si="6"/>
        <v>2759.9506200000005</v>
      </c>
      <c r="X23" s="65">
        <v>18433.62</v>
      </c>
      <c r="Y23" s="149">
        <f t="shared" si="1"/>
        <v>15.940000000002328</v>
      </c>
      <c r="Z23" s="64">
        <f t="shared" si="7"/>
        <v>8448.200000001234</v>
      </c>
      <c r="AA23" s="58"/>
      <c r="AB23" s="61">
        <v>13</v>
      </c>
      <c r="AC23" s="78">
        <v>8</v>
      </c>
      <c r="AD23" s="79">
        <v>5.8799999999999998E-2</v>
      </c>
      <c r="AE23" s="83">
        <v>26</v>
      </c>
      <c r="AF23" s="83">
        <v>27</v>
      </c>
      <c r="AG23" s="80">
        <v>16</v>
      </c>
      <c r="AH23" s="81">
        <v>20</v>
      </c>
      <c r="AI23" s="44"/>
      <c r="AJ23" s="130">
        <f t="shared" si="2"/>
        <v>26955.120620001235</v>
      </c>
      <c r="AK23" s="129">
        <f t="shared" si="3"/>
        <v>3369.3900775001543</v>
      </c>
      <c r="AL23" s="74"/>
    </row>
    <row r="24" spans="1:256" ht="32.25" customHeight="1" thickBot="1" x14ac:dyDescent="0.25">
      <c r="A24" s="73"/>
      <c r="B24" s="92">
        <f t="shared" si="8"/>
        <v>44211</v>
      </c>
      <c r="C24" s="93"/>
      <c r="D24" s="148">
        <f>'Suivi EAU-ELEC'!C30</f>
        <v>270</v>
      </c>
      <c r="E24" s="96"/>
      <c r="F24" s="211">
        <f t="shared" si="0"/>
        <v>3420.9</v>
      </c>
      <c r="G24" s="212"/>
      <c r="H24" s="213"/>
      <c r="I24" s="143"/>
      <c r="J24" s="94">
        <f>'Suivi EAU-ELEC'!E30</f>
        <v>3006</v>
      </c>
      <c r="K24" s="95">
        <f>'Suivi EAU-ELEC'!G30</f>
        <v>4862</v>
      </c>
      <c r="L24" s="95">
        <f>'Suivi EAU-ELEC'!I30</f>
        <v>2124</v>
      </c>
      <c r="M24" s="82">
        <f t="shared" si="4"/>
        <v>9992</v>
      </c>
      <c r="N24" s="58"/>
      <c r="O24" s="59">
        <f t="shared" si="5"/>
        <v>9892.08</v>
      </c>
      <c r="P24" s="57"/>
      <c r="Q24" s="55"/>
      <c r="R24" s="56"/>
      <c r="S24" s="55"/>
      <c r="T24" s="96"/>
      <c r="U24" s="60">
        <f>'Suivi Gaz'!O25</f>
        <v>927.5</v>
      </c>
      <c r="V24" s="58"/>
      <c r="W24" s="59">
        <f t="shared" si="6"/>
        <v>7666.5295000000006</v>
      </c>
      <c r="X24" s="65">
        <v>18449.560000000001</v>
      </c>
      <c r="Y24" s="149">
        <f t="shared" si="1"/>
        <v>15.159999999999854</v>
      </c>
      <c r="Z24" s="64">
        <f t="shared" si="7"/>
        <v>8034.7999999999229</v>
      </c>
      <c r="AA24" s="58"/>
      <c r="AB24" s="61">
        <v>14</v>
      </c>
      <c r="AC24" s="78">
        <v>12</v>
      </c>
      <c r="AD24" s="79">
        <v>8.8200000000000001E-2</v>
      </c>
      <c r="AE24" s="83">
        <v>26</v>
      </c>
      <c r="AF24" s="83">
        <v>27</v>
      </c>
      <c r="AG24" s="80">
        <v>16</v>
      </c>
      <c r="AH24" s="81">
        <v>20</v>
      </c>
      <c r="AJ24" s="130">
        <f>(F24+O24+W24+Z24)</f>
        <v>29014.309499999923</v>
      </c>
      <c r="AK24" s="129">
        <f t="shared" si="3"/>
        <v>2417.8591249999936</v>
      </c>
      <c r="AL24" s="74"/>
    </row>
    <row r="25" spans="1:256" ht="32.25" customHeight="1" thickBot="1" x14ac:dyDescent="0.25">
      <c r="A25" s="73"/>
      <c r="B25" s="92">
        <f t="shared" si="8"/>
        <v>44212</v>
      </c>
      <c r="C25" s="93"/>
      <c r="D25" s="148">
        <f>'Suivi EAU-ELEC'!C31</f>
        <v>600</v>
      </c>
      <c r="E25" s="96"/>
      <c r="F25" s="211">
        <f t="shared" si="0"/>
        <v>7602</v>
      </c>
      <c r="G25" s="212"/>
      <c r="H25" s="213"/>
      <c r="I25" s="143"/>
      <c r="J25" s="94">
        <f>'Suivi EAU-ELEC'!E31</f>
        <v>3014</v>
      </c>
      <c r="K25" s="95">
        <f>'Suivi EAU-ELEC'!G31</f>
        <v>4591</v>
      </c>
      <c r="L25" s="95">
        <f>'Suivi EAU-ELEC'!I31</f>
        <v>2018</v>
      </c>
      <c r="M25" s="82">
        <f t="shared" si="4"/>
        <v>9623</v>
      </c>
      <c r="N25" s="58"/>
      <c r="O25" s="59">
        <f t="shared" si="5"/>
        <v>9526.77</v>
      </c>
      <c r="P25" s="57"/>
      <c r="Q25" s="55"/>
      <c r="R25" s="56"/>
      <c r="S25" s="55"/>
      <c r="T25" s="96"/>
      <c r="U25" s="60">
        <f>'Suivi Gaz'!O26</f>
        <v>371</v>
      </c>
      <c r="V25" s="58"/>
      <c r="W25" s="59">
        <f t="shared" si="6"/>
        <v>3066.6118000000001</v>
      </c>
      <c r="X25" s="65">
        <v>18464.72</v>
      </c>
      <c r="Y25" s="149">
        <f t="shared" si="1"/>
        <v>15.529999999998836</v>
      </c>
      <c r="Z25" s="64">
        <f t="shared" si="7"/>
        <v>8230.899999999383</v>
      </c>
      <c r="AA25" s="58"/>
      <c r="AB25" s="61">
        <v>12</v>
      </c>
      <c r="AC25" s="78">
        <v>12</v>
      </c>
      <c r="AD25" s="79">
        <v>8.8200000000000001E-2</v>
      </c>
      <c r="AE25" s="83">
        <v>26</v>
      </c>
      <c r="AF25" s="83">
        <v>27</v>
      </c>
      <c r="AG25" s="80">
        <v>18</v>
      </c>
      <c r="AH25" s="81">
        <v>20</v>
      </c>
      <c r="AI25" s="44"/>
      <c r="AJ25" s="130">
        <f>(F25+O25+W25+Z25)</f>
        <v>28426.281799999382</v>
      </c>
      <c r="AK25" s="129">
        <f t="shared" si="3"/>
        <v>2368.856816666615</v>
      </c>
      <c r="AL25" s="74"/>
    </row>
    <row r="26" spans="1:256" ht="32.25" customHeight="1" thickBot="1" x14ac:dyDescent="0.25">
      <c r="A26" s="73"/>
      <c r="B26" s="92">
        <f t="shared" si="8"/>
        <v>44213</v>
      </c>
      <c r="C26" s="93"/>
      <c r="D26" s="148">
        <f>'Suivi EAU-ELEC'!C32</f>
        <v>360</v>
      </c>
      <c r="E26" s="151"/>
      <c r="F26" s="211">
        <f t="shared" si="0"/>
        <v>4561.2</v>
      </c>
      <c r="G26" s="212"/>
      <c r="H26" s="213"/>
      <c r="I26" s="143"/>
      <c r="J26" s="94">
        <f>'Suivi EAU-ELEC'!E32</f>
        <v>3013</v>
      </c>
      <c r="K26" s="95">
        <f>'Suivi EAU-ELEC'!G32</f>
        <v>4512</v>
      </c>
      <c r="L26" s="95">
        <f>'Suivi EAU-ELEC'!I32</f>
        <v>1977</v>
      </c>
      <c r="M26" s="82">
        <f t="shared" si="4"/>
        <v>9502</v>
      </c>
      <c r="N26" s="58"/>
      <c r="O26" s="59">
        <f t="shared" si="5"/>
        <v>9406.98</v>
      </c>
      <c r="P26" s="57"/>
      <c r="Q26" s="55"/>
      <c r="R26" s="56"/>
      <c r="S26" s="55"/>
      <c r="T26" s="96"/>
      <c r="U26" s="60">
        <f>'Suivi Gaz'!O27</f>
        <v>445.20000000000005</v>
      </c>
      <c r="V26" s="85"/>
      <c r="W26" s="59">
        <f t="shared" si="6"/>
        <v>3679.9341600000007</v>
      </c>
      <c r="X26" s="65">
        <v>18480.25</v>
      </c>
      <c r="Y26" s="149">
        <f t="shared" si="1"/>
        <v>15.759999999998399</v>
      </c>
      <c r="Z26" s="64">
        <f t="shared" si="7"/>
        <v>8352.7999999991534</v>
      </c>
      <c r="AA26" s="85"/>
      <c r="AB26" s="61">
        <v>12</v>
      </c>
      <c r="AC26" s="78">
        <v>10</v>
      </c>
      <c r="AD26" s="79">
        <v>7.2999999999999995E-2</v>
      </c>
      <c r="AE26" s="83">
        <v>25.5</v>
      </c>
      <c r="AF26" s="83">
        <v>26.5</v>
      </c>
      <c r="AG26" s="80">
        <v>16</v>
      </c>
      <c r="AH26" s="81">
        <v>20</v>
      </c>
      <c r="AI26" s="44"/>
      <c r="AJ26" s="130">
        <f>(F26+O26+W26+Z26)</f>
        <v>26000.914159999156</v>
      </c>
      <c r="AK26" s="129">
        <f t="shared" si="3"/>
        <v>2600.0914159999156</v>
      </c>
      <c r="AL26" s="74"/>
    </row>
    <row r="27" spans="1:256" ht="32.25" customHeight="1" thickBot="1" x14ac:dyDescent="0.25">
      <c r="A27" s="73"/>
      <c r="B27" s="92">
        <f t="shared" si="8"/>
        <v>44214</v>
      </c>
      <c r="C27" s="93"/>
      <c r="D27" s="148">
        <f>'Suivi EAU-ELEC'!C33</f>
        <v>0</v>
      </c>
      <c r="E27" s="151"/>
      <c r="F27" s="211">
        <f t="shared" si="0"/>
        <v>0</v>
      </c>
      <c r="G27" s="212"/>
      <c r="H27" s="213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>
        <v>18496.009999999998</v>
      </c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44215</v>
      </c>
      <c r="C28" s="93"/>
      <c r="D28" s="148">
        <f>'Suivi EAU-ELEC'!C34</f>
        <v>0</v>
      </c>
      <c r="E28" s="151"/>
      <c r="F28" s="208">
        <f t="shared" si="0"/>
        <v>0</v>
      </c>
      <c r="G28" s="209"/>
      <c r="H28" s="210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44216</v>
      </c>
      <c r="C29" s="93"/>
      <c r="D29" s="148">
        <f>'Suivi EAU-ELEC'!C35</f>
        <v>0</v>
      </c>
      <c r="E29" s="151"/>
      <c r="F29" s="211">
        <f t="shared" si="0"/>
        <v>0</v>
      </c>
      <c r="G29" s="212"/>
      <c r="H29" s="213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44217</v>
      </c>
      <c r="C30" s="98"/>
      <c r="D30" s="148">
        <f>'Suivi EAU-ELEC'!C36</f>
        <v>0</v>
      </c>
      <c r="E30" s="151"/>
      <c r="F30" s="208">
        <f t="shared" si="0"/>
        <v>0</v>
      </c>
      <c r="G30" s="209"/>
      <c r="H30" s="210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44218</v>
      </c>
      <c r="C31" s="93"/>
      <c r="D31" s="148">
        <f>'Suivi EAU-ELEC'!C37</f>
        <v>0</v>
      </c>
      <c r="E31" s="96"/>
      <c r="F31" s="211">
        <f t="shared" si="0"/>
        <v>0</v>
      </c>
      <c r="G31" s="212"/>
      <c r="H31" s="213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44219</v>
      </c>
      <c r="C32" s="93"/>
      <c r="D32" s="148">
        <f>'Suivi EAU-ELEC'!C38</f>
        <v>0</v>
      </c>
      <c r="E32" s="96"/>
      <c r="F32" s="211">
        <f t="shared" si="0"/>
        <v>0</v>
      </c>
      <c r="G32" s="212"/>
      <c r="H32" s="213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44220</v>
      </c>
      <c r="C33" s="93"/>
      <c r="D33" s="148">
        <f>'Suivi EAU-ELEC'!C39</f>
        <v>0</v>
      </c>
      <c r="E33" s="96"/>
      <c r="F33" s="211">
        <f t="shared" si="0"/>
        <v>0</v>
      </c>
      <c r="G33" s="212"/>
      <c r="H33" s="213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44221</v>
      </c>
      <c r="C34" s="93"/>
      <c r="D34" s="148">
        <f>'Suivi EAU-ELEC'!C40</f>
        <v>0</v>
      </c>
      <c r="E34" s="96"/>
      <c r="F34" s="211">
        <f t="shared" si="0"/>
        <v>0</v>
      </c>
      <c r="G34" s="212"/>
      <c r="H34" s="213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44222</v>
      </c>
      <c r="C35" s="93"/>
      <c r="D35" s="148">
        <f>'Suivi EAU-ELEC'!C41</f>
        <v>0</v>
      </c>
      <c r="E35" s="96"/>
      <c r="F35" s="214">
        <f t="shared" si="0"/>
        <v>0</v>
      </c>
      <c r="G35" s="215"/>
      <c r="H35" s="216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44223</v>
      </c>
      <c r="C36" s="93"/>
      <c r="D36" s="148">
        <f>'Suivi EAU-ELEC'!C42</f>
        <v>0</v>
      </c>
      <c r="E36" s="96"/>
      <c r="F36" s="221">
        <f t="shared" si="0"/>
        <v>0</v>
      </c>
      <c r="G36" s="222"/>
      <c r="H36" s="223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44224</v>
      </c>
      <c r="C37" s="93"/>
      <c r="D37" s="148">
        <f>'Suivi EAU-ELEC'!C43</f>
        <v>0</v>
      </c>
      <c r="E37" s="96"/>
      <c r="F37" s="224">
        <f t="shared" si="0"/>
        <v>0</v>
      </c>
      <c r="G37" s="225"/>
      <c r="H37" s="226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44225</v>
      </c>
      <c r="C38" s="93"/>
      <c r="D38" s="148">
        <f>'Suivi EAU-ELEC'!C44</f>
        <v>0</v>
      </c>
      <c r="E38" s="96"/>
      <c r="F38" s="208">
        <f t="shared" si="0"/>
        <v>0</v>
      </c>
      <c r="G38" s="209"/>
      <c r="H38" s="210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44226</v>
      </c>
      <c r="C39" s="93"/>
      <c r="D39" s="148">
        <f>'Suivi EAU-ELEC'!C45</f>
        <v>0</v>
      </c>
      <c r="E39" s="96"/>
      <c r="F39" s="211">
        <f t="shared" si="0"/>
        <v>0</v>
      </c>
      <c r="G39" s="212"/>
      <c r="H39" s="213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44227</v>
      </c>
      <c r="C40" s="93"/>
      <c r="D40" s="148">
        <f>'Suivi EAU-ELEC'!C46</f>
        <v>0</v>
      </c>
      <c r="E40" s="150"/>
      <c r="F40" s="214">
        <f t="shared" si="0"/>
        <v>0</v>
      </c>
      <c r="G40" s="215"/>
      <c r="H40" s="216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162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66">
        <f>SUM(D10:D40)</f>
        <v>5680</v>
      </c>
      <c r="E41" s="102"/>
      <c r="F41" s="217">
        <f>SUM(F10:H40)</f>
        <v>71965.600000000006</v>
      </c>
      <c r="G41" s="218"/>
      <c r="H41" s="219"/>
      <c r="I41" s="102"/>
      <c r="J41" s="104">
        <f>SUM(J10:J40)</f>
        <v>54423</v>
      </c>
      <c r="K41" s="104">
        <f>SUM(K10:K40)</f>
        <v>84560</v>
      </c>
      <c r="L41" s="104">
        <f>SUM(L10:L40)</f>
        <v>36094</v>
      </c>
      <c r="M41" s="104">
        <f>SUM(M10:M40)</f>
        <v>175077</v>
      </c>
      <c r="N41" s="103"/>
      <c r="O41" s="104">
        <f>SUM(O10:O40)</f>
        <v>173326.22999999998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10128.300000000001</v>
      </c>
      <c r="V41" s="58"/>
      <c r="W41" s="104">
        <f>SUM(W10:W40)</f>
        <v>83718.502140000011</v>
      </c>
      <c r="X41" s="140"/>
      <c r="Y41" s="104">
        <f>SUM(Y10:Y40)</f>
        <v>218.92999999999665</v>
      </c>
      <c r="Z41" s="104">
        <f>SUM(Z10:Z40)</f>
        <v>116032.89999999823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445043.23213999823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0"/>
      <c r="G42" s="220"/>
      <c r="H42" s="220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10" t="s">
        <v>6</v>
      </c>
      <c r="E43" s="111"/>
      <c r="F43" s="112">
        <v>0.64895000000000003</v>
      </c>
      <c r="G43" s="191">
        <f>J41</f>
        <v>54423</v>
      </c>
      <c r="H43" s="192"/>
      <c r="I43" s="193"/>
      <c r="J43" s="194">
        <f>G43*F43</f>
        <v>35317.805850000004</v>
      </c>
      <c r="K43" s="195"/>
      <c r="L43" s="196">
        <f>J43+J44+J45</f>
        <v>155065.16681000002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3" t="s">
        <v>7</v>
      </c>
      <c r="E44" s="111"/>
      <c r="F44" s="117">
        <v>0.88605</v>
      </c>
      <c r="G44" s="191">
        <f>K41</f>
        <v>84560</v>
      </c>
      <c r="H44" s="192"/>
      <c r="I44" s="193"/>
      <c r="J44" s="194">
        <f>G44*F44</f>
        <v>74924.388000000006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8" t="s">
        <v>8</v>
      </c>
      <c r="E45" s="119"/>
      <c r="F45" s="120">
        <v>1.2418400000000001</v>
      </c>
      <c r="G45" s="205">
        <f>L41</f>
        <v>36094</v>
      </c>
      <c r="H45" s="206"/>
      <c r="I45" s="207"/>
      <c r="J45" s="194">
        <f>G45*F45</f>
        <v>44822.972959999999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1"/>
      <c r="F46" s="121">
        <v>12.67</v>
      </c>
      <c r="G46" s="168">
        <f>D41</f>
        <v>5680</v>
      </c>
      <c r="H46" s="169"/>
      <c r="I46" s="170"/>
      <c r="J46" s="171">
        <f>G46*F46</f>
        <v>71965.600000000006</v>
      </c>
      <c r="K46" s="172"/>
      <c r="L46" s="173">
        <f>J46</f>
        <v>71965.600000000006</v>
      </c>
      <c r="M46" s="174"/>
      <c r="N46" s="174"/>
      <c r="O46" s="174"/>
      <c r="P46" s="174"/>
      <c r="Q46" s="174"/>
      <c r="R46" s="174"/>
      <c r="S46" s="174"/>
      <c r="T46" s="174"/>
      <c r="U46" s="175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1"/>
      <c r="F47" s="122">
        <v>8.2658000000000005</v>
      </c>
      <c r="G47" s="179">
        <f>U41</f>
        <v>10128.300000000001</v>
      </c>
      <c r="H47" s="180"/>
      <c r="I47" s="181"/>
      <c r="J47" s="179">
        <f>G47*F47</f>
        <v>83718.502140000011</v>
      </c>
      <c r="K47" s="181"/>
      <c r="L47" s="182">
        <f>J47</f>
        <v>83718.502140000011</v>
      </c>
      <c r="M47" s="183"/>
      <c r="N47" s="183"/>
      <c r="O47" s="183"/>
      <c r="P47" s="183"/>
      <c r="Q47" s="183"/>
      <c r="R47" s="183"/>
      <c r="S47" s="183"/>
      <c r="T47" s="183"/>
      <c r="U47" s="184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28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28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 t="shared" ref="P11:P43" si="15">O11*8.2658</f>
        <v>14719.736640000003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si="15"/>
        <v>4906.57888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5"/>
        <v>3066.6118000000001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6"/>
        <v>0</v>
      </c>
      <c r="AE13" s="49">
        <f t="shared" si="16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5"/>
        <v>2146.62826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4</v>
      </c>
      <c r="D15" s="20">
        <v>65</v>
      </c>
      <c r="E15" s="18"/>
      <c r="F15" s="20">
        <v>58</v>
      </c>
      <c r="G15" s="18">
        <f t="shared" si="2"/>
        <v>8</v>
      </c>
      <c r="H15" s="20">
        <v>62</v>
      </c>
      <c r="I15" s="18">
        <f t="shared" ref="I15:I19" si="19">IF(AC15&gt;0,((H15-AA15)+(AB15-H16)),IF(H16=0, ,(H15-H16)))</f>
        <v>7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9" si="22">IF(AC15&gt;0,((K15-AD15)+(AE15-K16)),IF(K16=0, ,(K15-K16)))</f>
        <v>6</v>
      </c>
      <c r="M15" s="18">
        <f t="shared" si="7"/>
        <v>28000</v>
      </c>
      <c r="N15" s="18">
        <f t="shared" ref="N15" si="23">L15*M15/100</f>
        <v>1680</v>
      </c>
      <c r="O15" s="18">
        <f t="shared" ref="O15" si="24">N15*0.53</f>
        <v>890.40000000000009</v>
      </c>
      <c r="P15" s="21">
        <f t="shared" si="15"/>
        <v>7359.8683200000014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>
        <v>58</v>
      </c>
      <c r="C16" s="18">
        <f t="shared" si="0"/>
        <v>8</v>
      </c>
      <c r="D16" s="20">
        <v>60</v>
      </c>
      <c r="E16" s="18">
        <f t="shared" ref="E16:E28" si="25">IF(AC16&gt;0,((D16-U16)+(V16-D17)),IF(D17=0, ,(D16-D17)))</f>
        <v>5</v>
      </c>
      <c r="F16" s="20">
        <v>50</v>
      </c>
      <c r="G16" s="18">
        <f t="shared" si="2"/>
        <v>1</v>
      </c>
      <c r="H16" s="20">
        <v>55</v>
      </c>
      <c r="I16" s="18">
        <f t="shared" si="19"/>
        <v>5</v>
      </c>
      <c r="J16" s="18">
        <f t="shared" si="20"/>
        <v>223</v>
      </c>
      <c r="K16" s="18">
        <f t="shared" si="21"/>
        <v>55.75</v>
      </c>
      <c r="L16" s="18">
        <f t="shared" si="22"/>
        <v>4.75</v>
      </c>
      <c r="M16" s="18">
        <f t="shared" si="7"/>
        <v>28000</v>
      </c>
      <c r="N16" s="18">
        <f t="shared" ref="N16:N42" si="26">L16*M16/100</f>
        <v>1330</v>
      </c>
      <c r="O16" s="18">
        <f t="shared" ref="O16:O42" si="27">N16*0.53</f>
        <v>704.90000000000009</v>
      </c>
      <c r="P16" s="21">
        <f t="shared" si="15"/>
        <v>5826.5624200000011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>
        <v>50</v>
      </c>
      <c r="C17" s="18">
        <f t="shared" si="0"/>
        <v>0</v>
      </c>
      <c r="D17" s="20">
        <v>55</v>
      </c>
      <c r="E17" s="18">
        <f t="shared" si="25"/>
        <v>3</v>
      </c>
      <c r="F17" s="20">
        <v>49</v>
      </c>
      <c r="G17" s="18">
        <f t="shared" si="2"/>
        <v>4</v>
      </c>
      <c r="H17" s="20">
        <v>50</v>
      </c>
      <c r="I17" s="18">
        <f t="shared" si="19"/>
        <v>1</v>
      </c>
      <c r="J17" s="18">
        <f t="shared" si="20"/>
        <v>204</v>
      </c>
      <c r="K17" s="18">
        <f t="shared" si="21"/>
        <v>51</v>
      </c>
      <c r="L17" s="18">
        <f t="shared" si="22"/>
        <v>2</v>
      </c>
      <c r="M17" s="18">
        <f t="shared" si="7"/>
        <v>28000</v>
      </c>
      <c r="N17" s="18">
        <f t="shared" si="26"/>
        <v>560</v>
      </c>
      <c r="O17" s="18">
        <f t="shared" si="27"/>
        <v>296.8</v>
      </c>
      <c r="P17" s="21">
        <f t="shared" si="15"/>
        <v>2453.28944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>
        <v>50</v>
      </c>
      <c r="C18" s="18">
        <f t="shared" si="0"/>
        <v>0</v>
      </c>
      <c r="D18" s="20">
        <v>52</v>
      </c>
      <c r="E18" s="18">
        <f t="shared" si="25"/>
        <v>0</v>
      </c>
      <c r="F18" s="20">
        <v>45</v>
      </c>
      <c r="G18" s="18">
        <f t="shared" si="2"/>
        <v>0</v>
      </c>
      <c r="H18" s="20">
        <v>49</v>
      </c>
      <c r="I18" s="18">
        <f t="shared" si="19"/>
        <v>4</v>
      </c>
      <c r="J18" s="18">
        <f t="shared" si="20"/>
        <v>196</v>
      </c>
      <c r="K18" s="18">
        <f t="shared" si="21"/>
        <v>49</v>
      </c>
      <c r="L18" s="18">
        <f t="shared" si="22"/>
        <v>1</v>
      </c>
      <c r="M18" s="18">
        <f t="shared" si="7"/>
        <v>28000</v>
      </c>
      <c r="N18" s="18">
        <f t="shared" si="26"/>
        <v>280</v>
      </c>
      <c r="O18" s="18">
        <f t="shared" si="27"/>
        <v>148.4</v>
      </c>
      <c r="P18" s="21">
        <f t="shared" si="15"/>
        <v>1226.64472</v>
      </c>
      <c r="Q18" s="18">
        <v>1836</v>
      </c>
      <c r="R18" s="18">
        <v>50</v>
      </c>
      <c r="S18" s="18">
        <v>85</v>
      </c>
      <c r="T18" s="18">
        <v>1462</v>
      </c>
      <c r="U18" s="18">
        <v>55</v>
      </c>
      <c r="V18" s="18">
        <v>85</v>
      </c>
      <c r="W18" s="18">
        <v>1535</v>
      </c>
      <c r="X18" s="18">
        <v>55</v>
      </c>
      <c r="Y18" s="18">
        <v>85</v>
      </c>
      <c r="Z18" s="18">
        <v>1338</v>
      </c>
      <c r="AA18" s="18">
        <v>55</v>
      </c>
      <c r="AB18" s="18">
        <v>85</v>
      </c>
      <c r="AC18" s="18">
        <f t="shared" si="13"/>
        <v>6171</v>
      </c>
      <c r="AD18" s="49">
        <f t="shared" si="17"/>
        <v>53.75</v>
      </c>
      <c r="AE18" s="49">
        <f t="shared" si="18"/>
        <v>85</v>
      </c>
    </row>
    <row r="19" spans="1:31" ht="32.25" customHeight="1" x14ac:dyDescent="0.3">
      <c r="A19" s="19">
        <f t="shared" si="14"/>
        <v>44205</v>
      </c>
      <c r="B19" s="20">
        <v>85</v>
      </c>
      <c r="C19" s="18">
        <f t="shared" si="0"/>
        <v>5</v>
      </c>
      <c r="D19" s="20">
        <v>82</v>
      </c>
      <c r="E19" s="18">
        <f t="shared" si="25"/>
        <v>2</v>
      </c>
      <c r="F19" s="20">
        <v>75</v>
      </c>
      <c r="G19" s="18">
        <f t="shared" si="2"/>
        <v>0</v>
      </c>
      <c r="H19" s="20">
        <v>75</v>
      </c>
      <c r="I19" s="18">
        <f t="shared" si="19"/>
        <v>0</v>
      </c>
      <c r="J19" s="18">
        <f t="shared" si="20"/>
        <v>317</v>
      </c>
      <c r="K19" s="18">
        <f t="shared" si="21"/>
        <v>79.25</v>
      </c>
      <c r="L19" s="18">
        <f t="shared" si="22"/>
        <v>1.75</v>
      </c>
      <c r="M19" s="18">
        <f t="shared" si="7"/>
        <v>28000</v>
      </c>
      <c r="N19" s="18">
        <f t="shared" si="26"/>
        <v>490</v>
      </c>
      <c r="O19" s="18">
        <f t="shared" si="27"/>
        <v>259.7</v>
      </c>
      <c r="P19" s="21">
        <f t="shared" si="15"/>
        <v>2146.62826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>
        <v>80</v>
      </c>
      <c r="C20" s="18">
        <f t="shared" si="0"/>
        <v>8</v>
      </c>
      <c r="D20" s="20">
        <v>80</v>
      </c>
      <c r="E20" s="18">
        <f t="shared" si="25"/>
        <v>8</v>
      </c>
      <c r="F20" s="20">
        <v>75</v>
      </c>
      <c r="G20" s="18">
        <f t="shared" si="2"/>
        <v>5</v>
      </c>
      <c r="H20" s="20">
        <v>75</v>
      </c>
      <c r="I20" s="18">
        <f t="shared" ref="I20:I42" si="28">IF(AC20&gt;0,((H20-AA20)+(AB20-H21)),IF(H21=0, ,(H20-H21)))</f>
        <v>5</v>
      </c>
      <c r="J20" s="18">
        <f t="shared" si="20"/>
        <v>310</v>
      </c>
      <c r="K20" s="18">
        <f t="shared" si="21"/>
        <v>77.5</v>
      </c>
      <c r="L20" s="18">
        <f t="shared" ref="L20:L42" si="29">IF(AC20&gt;0,((K20-AD20)+(AE20-K21)),IF(K21=0, ,(K20-K21)))</f>
        <v>6.5</v>
      </c>
      <c r="M20" s="18">
        <f t="shared" si="7"/>
        <v>28000</v>
      </c>
      <c r="N20" s="18">
        <f t="shared" si="26"/>
        <v>1820</v>
      </c>
      <c r="O20" s="18">
        <f t="shared" si="27"/>
        <v>964.6</v>
      </c>
      <c r="P20" s="21">
        <f t="shared" si="15"/>
        <v>7973.1906800000006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>
        <v>72</v>
      </c>
      <c r="C21" s="18">
        <f t="shared" si="0"/>
        <v>4</v>
      </c>
      <c r="D21" s="20">
        <v>72</v>
      </c>
      <c r="E21" s="18">
        <f t="shared" si="25"/>
        <v>2</v>
      </c>
      <c r="F21" s="20">
        <v>70</v>
      </c>
      <c r="G21" s="18">
        <f t="shared" si="2"/>
        <v>6</v>
      </c>
      <c r="H21" s="20">
        <v>70</v>
      </c>
      <c r="I21" s="18">
        <f t="shared" si="28"/>
        <v>5</v>
      </c>
      <c r="J21" s="18">
        <f t="shared" si="20"/>
        <v>284</v>
      </c>
      <c r="K21" s="18">
        <f t="shared" si="21"/>
        <v>71</v>
      </c>
      <c r="L21" s="18">
        <f t="shared" si="29"/>
        <v>4.25</v>
      </c>
      <c r="M21" s="18">
        <f t="shared" si="7"/>
        <v>28000</v>
      </c>
      <c r="N21" s="18">
        <f t="shared" si="26"/>
        <v>1190</v>
      </c>
      <c r="O21" s="18">
        <f t="shared" si="27"/>
        <v>630.70000000000005</v>
      </c>
      <c r="P21" s="21">
        <f t="shared" si="15"/>
        <v>5213.240060000001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>
        <v>68</v>
      </c>
      <c r="C22" s="18">
        <f t="shared" si="0"/>
        <v>6</v>
      </c>
      <c r="D22" s="20">
        <v>70</v>
      </c>
      <c r="E22" s="18">
        <f t="shared" si="25"/>
        <v>7</v>
      </c>
      <c r="F22" s="20">
        <v>64</v>
      </c>
      <c r="G22" s="18">
        <f t="shared" si="2"/>
        <v>4</v>
      </c>
      <c r="H22" s="20">
        <v>65</v>
      </c>
      <c r="I22" s="18">
        <f t="shared" si="28"/>
        <v>4</v>
      </c>
      <c r="J22" s="18">
        <f t="shared" si="20"/>
        <v>267</v>
      </c>
      <c r="K22" s="18">
        <f t="shared" si="21"/>
        <v>66.75</v>
      </c>
      <c r="L22" s="18">
        <f t="shared" si="29"/>
        <v>5.25</v>
      </c>
      <c r="M22" s="18">
        <f t="shared" si="7"/>
        <v>28000</v>
      </c>
      <c r="N22" s="18">
        <f t="shared" si="26"/>
        <v>1470</v>
      </c>
      <c r="O22" s="18">
        <f t="shared" si="27"/>
        <v>779.1</v>
      </c>
      <c r="P22" s="21">
        <f t="shared" si="15"/>
        <v>6439.8847800000003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>
        <v>62</v>
      </c>
      <c r="C23" s="18">
        <f t="shared" si="0"/>
        <v>2</v>
      </c>
      <c r="D23" s="20">
        <v>63</v>
      </c>
      <c r="E23" s="18">
        <f t="shared" si="25"/>
        <v>2</v>
      </c>
      <c r="F23" s="20">
        <v>60</v>
      </c>
      <c r="G23" s="18">
        <f t="shared" si="2"/>
        <v>5</v>
      </c>
      <c r="H23" s="20">
        <v>61</v>
      </c>
      <c r="I23" s="18">
        <f t="shared" si="28"/>
        <v>1</v>
      </c>
      <c r="J23" s="18">
        <f t="shared" si="20"/>
        <v>246</v>
      </c>
      <c r="K23" s="18">
        <f t="shared" si="21"/>
        <v>61.5</v>
      </c>
      <c r="L23" s="18">
        <f t="shared" si="29"/>
        <v>2.5</v>
      </c>
      <c r="M23" s="18">
        <f t="shared" si="7"/>
        <v>28000</v>
      </c>
      <c r="N23" s="18">
        <f t="shared" si="26"/>
        <v>700</v>
      </c>
      <c r="O23" s="18">
        <f t="shared" si="27"/>
        <v>371</v>
      </c>
      <c r="P23" s="21">
        <f t="shared" si="15"/>
        <v>3066.6118000000001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>
        <v>60</v>
      </c>
      <c r="C24" s="18">
        <f t="shared" si="0"/>
        <v>1</v>
      </c>
      <c r="D24" s="20">
        <v>61</v>
      </c>
      <c r="E24" s="18">
        <f t="shared" si="25"/>
        <v>1</v>
      </c>
      <c r="F24" s="20">
        <v>55</v>
      </c>
      <c r="G24" s="18">
        <f t="shared" si="2"/>
        <v>5</v>
      </c>
      <c r="H24" s="20">
        <v>60</v>
      </c>
      <c r="I24" s="18">
        <f t="shared" si="28"/>
        <v>2</v>
      </c>
      <c r="J24" s="18">
        <f t="shared" si="20"/>
        <v>236</v>
      </c>
      <c r="K24" s="18">
        <f t="shared" si="21"/>
        <v>59</v>
      </c>
      <c r="L24" s="18">
        <f t="shared" si="29"/>
        <v>2.25</v>
      </c>
      <c r="M24" s="18">
        <f t="shared" si="7"/>
        <v>28000</v>
      </c>
      <c r="N24" s="18">
        <f t="shared" si="26"/>
        <v>630</v>
      </c>
      <c r="O24" s="18">
        <f t="shared" si="27"/>
        <v>333.90000000000003</v>
      </c>
      <c r="P24" s="21">
        <f t="shared" si="15"/>
        <v>2759.9506200000005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>
        <v>59</v>
      </c>
      <c r="C25" s="18">
        <f t="shared" si="0"/>
        <v>9</v>
      </c>
      <c r="D25" s="20">
        <v>60</v>
      </c>
      <c r="E25" s="18">
        <f t="shared" si="25"/>
        <v>5</v>
      </c>
      <c r="F25" s="20">
        <v>50</v>
      </c>
      <c r="G25" s="18">
        <f t="shared" si="2"/>
        <v>3</v>
      </c>
      <c r="H25" s="20">
        <v>58</v>
      </c>
      <c r="I25" s="18">
        <f t="shared" si="28"/>
        <v>8</v>
      </c>
      <c r="J25" s="18">
        <f t="shared" si="20"/>
        <v>227</v>
      </c>
      <c r="K25" s="18">
        <f t="shared" si="21"/>
        <v>56.75</v>
      </c>
      <c r="L25" s="18">
        <f t="shared" si="29"/>
        <v>6.25</v>
      </c>
      <c r="M25" s="18">
        <f t="shared" si="7"/>
        <v>28000</v>
      </c>
      <c r="N25" s="18">
        <f t="shared" si="26"/>
        <v>1750</v>
      </c>
      <c r="O25" s="18">
        <f t="shared" si="27"/>
        <v>927.5</v>
      </c>
      <c r="P25" s="21">
        <f t="shared" si="15"/>
        <v>7666.5295000000006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>
        <v>50</v>
      </c>
      <c r="C26" s="18">
        <f t="shared" si="0"/>
        <v>1</v>
      </c>
      <c r="D26" s="20">
        <v>55</v>
      </c>
      <c r="E26" s="18">
        <f t="shared" si="25"/>
        <v>6</v>
      </c>
      <c r="F26" s="20">
        <v>47</v>
      </c>
      <c r="G26" s="18">
        <f t="shared" si="2"/>
        <v>1</v>
      </c>
      <c r="H26" s="20">
        <v>50</v>
      </c>
      <c r="I26" s="18">
        <f t="shared" si="28"/>
        <v>2</v>
      </c>
      <c r="J26" s="18">
        <f t="shared" si="20"/>
        <v>202</v>
      </c>
      <c r="K26" s="18">
        <f t="shared" si="21"/>
        <v>50.5</v>
      </c>
      <c r="L26" s="18">
        <f t="shared" si="29"/>
        <v>2.5</v>
      </c>
      <c r="M26" s="18">
        <f t="shared" si="7"/>
        <v>28000</v>
      </c>
      <c r="N26" s="18">
        <f t="shared" si="26"/>
        <v>700</v>
      </c>
      <c r="O26" s="18">
        <f t="shared" si="27"/>
        <v>371</v>
      </c>
      <c r="P26" s="21">
        <f t="shared" si="15"/>
        <v>3066.6118000000001</v>
      </c>
      <c r="Q26" s="18">
        <v>2117</v>
      </c>
      <c r="R26" s="18">
        <v>50</v>
      </c>
      <c r="S26" s="18">
        <v>75</v>
      </c>
      <c r="T26" s="18">
        <v>2103</v>
      </c>
      <c r="U26" s="18">
        <v>50</v>
      </c>
      <c r="V26" s="18">
        <v>75</v>
      </c>
      <c r="W26" s="18">
        <v>2109</v>
      </c>
      <c r="X26" s="18">
        <v>45</v>
      </c>
      <c r="Y26" s="18">
        <v>70</v>
      </c>
      <c r="Z26" s="18">
        <v>2105</v>
      </c>
      <c r="AA26" s="18">
        <v>55</v>
      </c>
      <c r="AB26" s="18">
        <v>80</v>
      </c>
      <c r="AC26" s="18">
        <f t="shared" si="13"/>
        <v>8434</v>
      </c>
      <c r="AD26" s="49">
        <f t="shared" si="17"/>
        <v>50</v>
      </c>
      <c r="AE26" s="49">
        <f t="shared" si="18"/>
        <v>75</v>
      </c>
    </row>
    <row r="27" spans="1:31" ht="32.25" customHeight="1" x14ac:dyDescent="0.3">
      <c r="A27" s="19">
        <f t="shared" si="14"/>
        <v>44213</v>
      </c>
      <c r="B27" s="20">
        <v>74</v>
      </c>
      <c r="C27" s="18">
        <f t="shared" si="0"/>
        <v>4</v>
      </c>
      <c r="D27" s="20">
        <v>74</v>
      </c>
      <c r="E27" s="18">
        <f t="shared" si="25"/>
        <v>2</v>
      </c>
      <c r="F27" s="20">
        <v>71</v>
      </c>
      <c r="G27" s="18">
        <f t="shared" si="2"/>
        <v>3</v>
      </c>
      <c r="H27" s="20">
        <v>73</v>
      </c>
      <c r="I27" s="18">
        <f t="shared" si="28"/>
        <v>3</v>
      </c>
      <c r="J27" s="18">
        <f t="shared" si="20"/>
        <v>292</v>
      </c>
      <c r="K27" s="18">
        <f t="shared" si="21"/>
        <v>73</v>
      </c>
      <c r="L27" s="18">
        <f t="shared" si="29"/>
        <v>3</v>
      </c>
      <c r="M27" s="18">
        <f t="shared" si="7"/>
        <v>28000</v>
      </c>
      <c r="N27" s="18">
        <f t="shared" si="26"/>
        <v>840</v>
      </c>
      <c r="O27" s="18">
        <f t="shared" si="27"/>
        <v>445.20000000000005</v>
      </c>
      <c r="P27" s="21">
        <f t="shared" si="15"/>
        <v>3679.9341600000007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>
        <v>70</v>
      </c>
      <c r="C28" s="18">
        <f t="shared" si="0"/>
        <v>0</v>
      </c>
      <c r="D28" s="20">
        <v>72</v>
      </c>
      <c r="E28" s="18">
        <f t="shared" si="25"/>
        <v>0</v>
      </c>
      <c r="F28" s="20">
        <v>68</v>
      </c>
      <c r="G28" s="18">
        <f t="shared" si="2"/>
        <v>0</v>
      </c>
      <c r="H28" s="20">
        <v>70</v>
      </c>
      <c r="I28" s="18">
        <f t="shared" si="28"/>
        <v>0</v>
      </c>
      <c r="J28" s="18">
        <f t="shared" si="20"/>
        <v>280</v>
      </c>
      <c r="K28" s="18">
        <f t="shared" si="21"/>
        <v>70</v>
      </c>
      <c r="L28" s="18">
        <f t="shared" si="29"/>
        <v>0</v>
      </c>
      <c r="M28" s="18">
        <f t="shared" si="7"/>
        <v>28000</v>
      </c>
      <c r="N28" s="18">
        <f t="shared" si="26"/>
        <v>0</v>
      </c>
      <c r="O28" s="18">
        <f t="shared" si="27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/>
      <c r="C29" s="18">
        <f t="shared" ref="C27:C42" si="30">IF(AC29&gt;0,((B29-R29)+(S29-B30)),IF(B30=0, ,(B29-B30)))</f>
        <v>0</v>
      </c>
      <c r="D29" s="20"/>
      <c r="E29" s="18">
        <f t="shared" ref="E27:E42" si="31">IF(AC29&gt;0,((D29-U29)+(V29-D30)),IF(D30=0, ,(D29-D30)))</f>
        <v>0</v>
      </c>
      <c r="F29" s="20"/>
      <c r="G29" s="18">
        <f t="shared" ref="G27:G42" si="32">IF(AC29&gt;0,((F29-X29)+(Y29-F30)),IF(F30=0, ,(F29-F30)))</f>
        <v>0</v>
      </c>
      <c r="H29" s="20"/>
      <c r="I29" s="18">
        <f t="shared" si="28"/>
        <v>0</v>
      </c>
      <c r="J29" s="18">
        <f t="shared" si="20"/>
        <v>0</v>
      </c>
      <c r="K29" s="18">
        <f t="shared" si="21"/>
        <v>0</v>
      </c>
      <c r="L29" s="18">
        <f t="shared" si="29"/>
        <v>0</v>
      </c>
      <c r="M29" s="18">
        <f t="shared" si="7"/>
        <v>28000</v>
      </c>
      <c r="N29" s="18">
        <f t="shared" si="26"/>
        <v>0</v>
      </c>
      <c r="O29" s="18">
        <f t="shared" si="27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/>
      <c r="C30" s="18">
        <f t="shared" si="30"/>
        <v>0</v>
      </c>
      <c r="D30" s="20"/>
      <c r="E30" s="18">
        <f t="shared" si="31"/>
        <v>0</v>
      </c>
      <c r="F30" s="20"/>
      <c r="G30" s="18">
        <f t="shared" si="32"/>
        <v>0</v>
      </c>
      <c r="H30" s="20"/>
      <c r="I30" s="18">
        <f t="shared" si="28"/>
        <v>0</v>
      </c>
      <c r="J30" s="18">
        <f t="shared" si="20"/>
        <v>0</v>
      </c>
      <c r="K30" s="18">
        <f t="shared" si="21"/>
        <v>0</v>
      </c>
      <c r="L30" s="18">
        <f t="shared" si="29"/>
        <v>0</v>
      </c>
      <c r="M30" s="18">
        <f t="shared" si="7"/>
        <v>28000</v>
      </c>
      <c r="N30" s="18">
        <f t="shared" si="26"/>
        <v>0</v>
      </c>
      <c r="O30" s="18">
        <f t="shared" si="27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44217</v>
      </c>
      <c r="B31" s="20"/>
      <c r="C31" s="18">
        <f t="shared" si="30"/>
        <v>0</v>
      </c>
      <c r="D31" s="20"/>
      <c r="E31" s="18">
        <f t="shared" si="31"/>
        <v>0</v>
      </c>
      <c r="F31" s="20"/>
      <c r="G31" s="18">
        <f t="shared" si="32"/>
        <v>0</v>
      </c>
      <c r="H31" s="20"/>
      <c r="I31" s="18">
        <f t="shared" si="28"/>
        <v>0</v>
      </c>
      <c r="J31" s="18">
        <f t="shared" si="20"/>
        <v>0</v>
      </c>
      <c r="K31" s="18">
        <f t="shared" si="21"/>
        <v>0</v>
      </c>
      <c r="L31" s="18">
        <f t="shared" si="29"/>
        <v>0</v>
      </c>
      <c r="M31" s="18">
        <f t="shared" si="7"/>
        <v>28000</v>
      </c>
      <c r="N31" s="18">
        <f t="shared" si="26"/>
        <v>0</v>
      </c>
      <c r="O31" s="18">
        <f t="shared" si="27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/>
      <c r="C32" s="18">
        <f t="shared" si="30"/>
        <v>0</v>
      </c>
      <c r="D32" s="20"/>
      <c r="E32" s="18">
        <f t="shared" si="31"/>
        <v>0</v>
      </c>
      <c r="F32" s="20"/>
      <c r="G32" s="18">
        <f t="shared" si="32"/>
        <v>0</v>
      </c>
      <c r="H32" s="20"/>
      <c r="I32" s="18">
        <f t="shared" si="28"/>
        <v>0</v>
      </c>
      <c r="J32" s="18">
        <f t="shared" si="20"/>
        <v>0</v>
      </c>
      <c r="K32" s="18">
        <f t="shared" si="21"/>
        <v>0</v>
      </c>
      <c r="L32" s="18">
        <f t="shared" si="29"/>
        <v>0</v>
      </c>
      <c r="M32" s="18">
        <f t="shared" si="7"/>
        <v>28000</v>
      </c>
      <c r="N32" s="18">
        <f t="shared" si="26"/>
        <v>0</v>
      </c>
      <c r="O32" s="18">
        <f t="shared" si="27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/>
      <c r="C33" s="18">
        <f t="shared" si="30"/>
        <v>0</v>
      </c>
      <c r="D33" s="20"/>
      <c r="E33" s="18">
        <f t="shared" si="31"/>
        <v>0</v>
      </c>
      <c r="F33" s="20"/>
      <c r="G33" s="18">
        <f t="shared" si="32"/>
        <v>0</v>
      </c>
      <c r="H33" s="20"/>
      <c r="I33" s="18">
        <f t="shared" si="28"/>
        <v>0</v>
      </c>
      <c r="J33" s="18">
        <f t="shared" si="20"/>
        <v>0</v>
      </c>
      <c r="K33" s="18">
        <f t="shared" si="21"/>
        <v>0</v>
      </c>
      <c r="L33" s="18">
        <f t="shared" si="29"/>
        <v>0</v>
      </c>
      <c r="M33" s="18">
        <f t="shared" si="7"/>
        <v>28000</v>
      </c>
      <c r="N33" s="18">
        <f t="shared" si="26"/>
        <v>0</v>
      </c>
      <c r="O33" s="18">
        <f t="shared" si="27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/>
      <c r="C34" s="18">
        <f t="shared" si="30"/>
        <v>0</v>
      </c>
      <c r="D34" s="20"/>
      <c r="E34" s="18">
        <f t="shared" si="31"/>
        <v>0</v>
      </c>
      <c r="F34" s="20"/>
      <c r="G34" s="18">
        <f t="shared" si="32"/>
        <v>0</v>
      </c>
      <c r="H34" s="20"/>
      <c r="I34" s="18">
        <f t="shared" si="28"/>
        <v>0</v>
      </c>
      <c r="J34" s="18">
        <f t="shared" si="20"/>
        <v>0</v>
      </c>
      <c r="K34" s="18">
        <f t="shared" si="21"/>
        <v>0</v>
      </c>
      <c r="L34" s="18">
        <f t="shared" si="29"/>
        <v>0</v>
      </c>
      <c r="M34" s="18">
        <f t="shared" si="7"/>
        <v>28000</v>
      </c>
      <c r="N34" s="18">
        <f t="shared" si="26"/>
        <v>0</v>
      </c>
      <c r="O34" s="18">
        <f t="shared" si="27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/>
      <c r="C35" s="18">
        <f t="shared" si="30"/>
        <v>0</v>
      </c>
      <c r="D35" s="20"/>
      <c r="E35" s="18">
        <f t="shared" si="31"/>
        <v>0</v>
      </c>
      <c r="F35" s="20"/>
      <c r="G35" s="18">
        <f t="shared" si="32"/>
        <v>0</v>
      </c>
      <c r="H35" s="20"/>
      <c r="I35" s="18">
        <f t="shared" si="28"/>
        <v>0</v>
      </c>
      <c r="J35" s="18">
        <f t="shared" si="20"/>
        <v>0</v>
      </c>
      <c r="K35" s="18">
        <f t="shared" si="21"/>
        <v>0</v>
      </c>
      <c r="L35" s="18">
        <f t="shared" si="29"/>
        <v>0</v>
      </c>
      <c r="M35" s="18">
        <f t="shared" si="7"/>
        <v>28000</v>
      </c>
      <c r="N35" s="18">
        <f t="shared" si="26"/>
        <v>0</v>
      </c>
      <c r="O35" s="18">
        <f t="shared" si="27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44222</v>
      </c>
      <c r="B36" s="20"/>
      <c r="C36" s="18">
        <f t="shared" si="30"/>
        <v>0</v>
      </c>
      <c r="D36" s="20"/>
      <c r="E36" s="18">
        <f t="shared" si="31"/>
        <v>0</v>
      </c>
      <c r="F36" s="20"/>
      <c r="G36" s="18">
        <f t="shared" si="32"/>
        <v>0</v>
      </c>
      <c r="H36" s="20"/>
      <c r="I36" s="18">
        <f t="shared" si="28"/>
        <v>0</v>
      </c>
      <c r="J36" s="18">
        <f t="shared" si="20"/>
        <v>0</v>
      </c>
      <c r="K36" s="18">
        <f t="shared" si="21"/>
        <v>0</v>
      </c>
      <c r="L36" s="18">
        <f t="shared" si="29"/>
        <v>0</v>
      </c>
      <c r="M36" s="18">
        <f t="shared" si="7"/>
        <v>28000</v>
      </c>
      <c r="N36" s="18">
        <f t="shared" si="26"/>
        <v>0</v>
      </c>
      <c r="O36" s="18">
        <f t="shared" si="27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/>
      <c r="C37" s="18">
        <f t="shared" si="30"/>
        <v>0</v>
      </c>
      <c r="D37" s="20"/>
      <c r="E37" s="18">
        <f t="shared" si="31"/>
        <v>0</v>
      </c>
      <c r="F37" s="20"/>
      <c r="G37" s="18">
        <f t="shared" si="32"/>
        <v>0</v>
      </c>
      <c r="H37" s="20"/>
      <c r="I37" s="18">
        <f t="shared" si="28"/>
        <v>0</v>
      </c>
      <c r="J37" s="18">
        <f t="shared" si="20"/>
        <v>0</v>
      </c>
      <c r="K37" s="18">
        <f t="shared" si="21"/>
        <v>0</v>
      </c>
      <c r="L37" s="18">
        <f t="shared" si="29"/>
        <v>0</v>
      </c>
      <c r="M37" s="18">
        <f t="shared" si="7"/>
        <v>28000</v>
      </c>
      <c r="N37" s="18">
        <f t="shared" si="26"/>
        <v>0</v>
      </c>
      <c r="O37" s="18">
        <f t="shared" si="27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/>
      <c r="C38" s="18">
        <f t="shared" si="30"/>
        <v>0</v>
      </c>
      <c r="D38" s="20"/>
      <c r="E38" s="18">
        <f t="shared" si="31"/>
        <v>0</v>
      </c>
      <c r="F38" s="20"/>
      <c r="G38" s="18">
        <f t="shared" si="32"/>
        <v>0</v>
      </c>
      <c r="H38" s="20"/>
      <c r="I38" s="18">
        <f t="shared" si="28"/>
        <v>0</v>
      </c>
      <c r="J38" s="18">
        <f t="shared" si="20"/>
        <v>0</v>
      </c>
      <c r="K38" s="18">
        <f t="shared" si="21"/>
        <v>0</v>
      </c>
      <c r="L38" s="18">
        <f t="shared" si="29"/>
        <v>0</v>
      </c>
      <c r="M38" s="18">
        <f t="shared" si="7"/>
        <v>28000</v>
      </c>
      <c r="N38" s="18">
        <f t="shared" si="26"/>
        <v>0</v>
      </c>
      <c r="O38" s="18">
        <f t="shared" si="27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/>
      <c r="C39" s="18">
        <f t="shared" si="30"/>
        <v>0</v>
      </c>
      <c r="D39" s="20"/>
      <c r="E39" s="18">
        <f t="shared" si="31"/>
        <v>0</v>
      </c>
      <c r="F39" s="20"/>
      <c r="G39" s="18">
        <f t="shared" si="32"/>
        <v>0</v>
      </c>
      <c r="H39" s="20"/>
      <c r="I39" s="18">
        <f t="shared" si="28"/>
        <v>0</v>
      </c>
      <c r="J39" s="18">
        <f t="shared" si="20"/>
        <v>0</v>
      </c>
      <c r="K39" s="18">
        <f t="shared" si="21"/>
        <v>0</v>
      </c>
      <c r="L39" s="18">
        <f t="shared" si="29"/>
        <v>0</v>
      </c>
      <c r="M39" s="18">
        <f t="shared" si="7"/>
        <v>28000</v>
      </c>
      <c r="N39" s="18">
        <f t="shared" si="26"/>
        <v>0</v>
      </c>
      <c r="O39" s="18">
        <f t="shared" si="27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/>
      <c r="C40" s="18">
        <f t="shared" si="30"/>
        <v>0</v>
      </c>
      <c r="D40" s="20"/>
      <c r="E40" s="18">
        <f t="shared" si="31"/>
        <v>0</v>
      </c>
      <c r="F40" s="20"/>
      <c r="G40" s="18">
        <f t="shared" si="32"/>
        <v>0</v>
      </c>
      <c r="H40" s="20"/>
      <c r="I40" s="18">
        <f t="shared" si="28"/>
        <v>0</v>
      </c>
      <c r="J40" s="18">
        <f t="shared" si="20"/>
        <v>0</v>
      </c>
      <c r="K40" s="18">
        <f t="shared" si="21"/>
        <v>0</v>
      </c>
      <c r="L40" s="18">
        <f t="shared" si="29"/>
        <v>0</v>
      </c>
      <c r="M40" s="18">
        <f t="shared" si="7"/>
        <v>28000</v>
      </c>
      <c r="N40" s="18">
        <f t="shared" si="26"/>
        <v>0</v>
      </c>
      <c r="O40" s="18">
        <f t="shared" si="27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/>
      <c r="C41" s="18">
        <f t="shared" si="30"/>
        <v>0</v>
      </c>
      <c r="D41" s="20"/>
      <c r="E41" s="18">
        <f t="shared" si="31"/>
        <v>0</v>
      </c>
      <c r="F41" s="20"/>
      <c r="G41" s="18">
        <f t="shared" si="32"/>
        <v>0</v>
      </c>
      <c r="H41" s="20"/>
      <c r="I41" s="18">
        <f t="shared" si="28"/>
        <v>0</v>
      </c>
      <c r="J41" s="18">
        <f t="shared" si="20"/>
        <v>0</v>
      </c>
      <c r="K41" s="18">
        <f t="shared" si="21"/>
        <v>0</v>
      </c>
      <c r="L41" s="18">
        <f t="shared" si="29"/>
        <v>0</v>
      </c>
      <c r="M41" s="18">
        <f t="shared" si="7"/>
        <v>28000</v>
      </c>
      <c r="N41" s="18">
        <f t="shared" si="26"/>
        <v>0</v>
      </c>
      <c r="O41" s="18">
        <f t="shared" si="27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/>
      <c r="C42" s="18">
        <f t="shared" si="30"/>
        <v>0</v>
      </c>
      <c r="D42" s="20"/>
      <c r="E42" s="18">
        <f t="shared" si="31"/>
        <v>0</v>
      </c>
      <c r="F42" s="20"/>
      <c r="G42" s="18">
        <f t="shared" si="32"/>
        <v>0</v>
      </c>
      <c r="H42" s="20"/>
      <c r="I42" s="18">
        <f t="shared" si="28"/>
        <v>0</v>
      </c>
      <c r="J42" s="18">
        <f t="shared" si="20"/>
        <v>0</v>
      </c>
      <c r="K42" s="18">
        <f t="shared" si="21"/>
        <v>0</v>
      </c>
      <c r="L42" s="18">
        <f t="shared" si="29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SUM(C11:C41)</f>
        <v>74</v>
      </c>
      <c r="D43" s="20"/>
      <c r="E43" s="18">
        <f>SUM(E11:E41)</f>
        <v>62</v>
      </c>
      <c r="F43" s="20"/>
      <c r="G43" s="18">
        <f>SUM(G11:G41)</f>
        <v>67</v>
      </c>
      <c r="H43" s="20"/>
      <c r="I43" s="18">
        <f>SUM(I11:I41)</f>
        <v>65</v>
      </c>
      <c r="J43" s="16"/>
      <c r="K43" s="16"/>
      <c r="L43" s="16"/>
      <c r="M43" s="16"/>
      <c r="N43" s="18">
        <f>SUM(N11:N41)</f>
        <v>19110</v>
      </c>
      <c r="O43" s="18">
        <f>N43*0.53</f>
        <v>10128.300000000001</v>
      </c>
      <c r="P43" s="21">
        <f t="shared" si="15"/>
        <v>83718.502140000011</v>
      </c>
      <c r="Q43" s="270">
        <f>SUM(Q11:Q41)</f>
        <v>3953</v>
      </c>
      <c r="R43" s="271"/>
      <c r="S43" s="272"/>
      <c r="T43" s="270">
        <f>SUM(T11:T41)</f>
        <v>3565</v>
      </c>
      <c r="U43" s="271"/>
      <c r="V43" s="272"/>
      <c r="W43" s="270">
        <f>SUM(W11:W41)</f>
        <v>3644</v>
      </c>
      <c r="X43" s="271"/>
      <c r="Y43" s="272"/>
      <c r="Z43" s="270">
        <f>SUM(Z11:Z41)</f>
        <v>3443</v>
      </c>
      <c r="AA43" s="271"/>
      <c r="AB43" s="272"/>
      <c r="AC43" s="138">
        <f>SUM(AC11:AC41)</f>
        <v>14605</v>
      </c>
      <c r="AD43" s="139"/>
      <c r="AE43" s="136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14605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7">
        <f>Q43+T43+W43+Z43</f>
        <v>14605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19110</v>
      </c>
      <c r="L47" s="29">
        <f>O43</f>
        <v>10128.300000000001</v>
      </c>
      <c r="M47" s="29">
        <f>P43</f>
        <v>83718.502140000011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14605</v>
      </c>
      <c r="L48" s="27">
        <f>K48*0.53</f>
        <v>7740.6500000000005</v>
      </c>
      <c r="M48" s="27">
        <f>L48*8.2658</f>
        <v>63982.66477000001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4" sqref="B34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5680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33" si="0">IF(B10&lt;B9,0,B10-B9)*10</f>
        <v>260</v>
      </c>
      <c r="D9" s="42">
        <v>18903346</v>
      </c>
      <c r="E9" s="41">
        <f t="shared" ref="E9:E33" si="1">IF(D10&lt;D9,0,D10-D9)</f>
        <v>2868</v>
      </c>
      <c r="F9" s="42">
        <v>33872112</v>
      </c>
      <c r="G9" s="41">
        <f t="shared" ref="G9:G33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250</v>
      </c>
      <c r="D20" s="42">
        <v>18941734</v>
      </c>
      <c r="E20" s="41">
        <f t="shared" si="1"/>
        <v>3319</v>
      </c>
      <c r="F20" s="42">
        <v>33932815</v>
      </c>
      <c r="G20" s="41">
        <f t="shared" si="2"/>
        <v>5047</v>
      </c>
      <c r="H20" s="42">
        <v>15031958</v>
      </c>
      <c r="I20" s="41">
        <f t="shared" si="3"/>
        <v>2125</v>
      </c>
    </row>
    <row r="21" spans="1:9" ht="21" thickTop="1" thickBot="1" x14ac:dyDescent="0.35">
      <c r="A21" s="39">
        <f t="shared" si="4"/>
        <v>44202</v>
      </c>
      <c r="B21" s="40">
        <v>127805</v>
      </c>
      <c r="C21" s="41">
        <f t="shared" si="0"/>
        <v>270</v>
      </c>
      <c r="D21" s="42">
        <v>18945053</v>
      </c>
      <c r="E21" s="41">
        <f t="shared" si="1"/>
        <v>3396</v>
      </c>
      <c r="F21" s="42">
        <v>33937862</v>
      </c>
      <c r="G21" s="41">
        <f t="shared" si="2"/>
        <v>5062</v>
      </c>
      <c r="H21" s="42">
        <v>15034083</v>
      </c>
      <c r="I21" s="41">
        <f t="shared" si="3"/>
        <v>2105</v>
      </c>
    </row>
    <row r="22" spans="1:9" ht="21" thickTop="1" thickBot="1" x14ac:dyDescent="0.35">
      <c r="A22" s="39">
        <f t="shared" si="4"/>
        <v>44203</v>
      </c>
      <c r="B22" s="40">
        <v>127832</v>
      </c>
      <c r="C22" s="41">
        <f t="shared" si="0"/>
        <v>230</v>
      </c>
      <c r="D22" s="42">
        <v>18948449</v>
      </c>
      <c r="E22" s="41">
        <f t="shared" si="1"/>
        <v>3030</v>
      </c>
      <c r="F22" s="42">
        <v>33942924</v>
      </c>
      <c r="G22" s="41">
        <f t="shared" si="2"/>
        <v>4884</v>
      </c>
      <c r="H22" s="42">
        <v>15036188</v>
      </c>
      <c r="I22" s="41">
        <f t="shared" si="3"/>
        <v>1953</v>
      </c>
    </row>
    <row r="23" spans="1:9" ht="21" thickTop="1" thickBot="1" x14ac:dyDescent="0.35">
      <c r="A23" s="39">
        <f t="shared" si="4"/>
        <v>44204</v>
      </c>
      <c r="B23" s="40">
        <v>127855</v>
      </c>
      <c r="C23" s="41">
        <f t="shared" si="0"/>
        <v>300</v>
      </c>
      <c r="D23" s="42">
        <v>18951479</v>
      </c>
      <c r="E23" s="41">
        <f t="shared" si="1"/>
        <v>2795</v>
      </c>
      <c r="F23" s="42">
        <v>33947808</v>
      </c>
      <c r="G23" s="41">
        <f t="shared" si="2"/>
        <v>4464</v>
      </c>
      <c r="H23" s="42">
        <v>15038141</v>
      </c>
      <c r="I23" s="41">
        <f t="shared" si="3"/>
        <v>1941</v>
      </c>
    </row>
    <row r="24" spans="1:9" ht="21" thickTop="1" thickBot="1" x14ac:dyDescent="0.35">
      <c r="A24" s="39">
        <f t="shared" si="4"/>
        <v>44205</v>
      </c>
      <c r="B24" s="40">
        <v>127885</v>
      </c>
      <c r="C24" s="41">
        <f t="shared" si="0"/>
        <v>300</v>
      </c>
      <c r="D24" s="42">
        <v>18954274</v>
      </c>
      <c r="E24" s="41">
        <f t="shared" si="1"/>
        <v>3263</v>
      </c>
      <c r="F24" s="42">
        <v>33952272</v>
      </c>
      <c r="G24" s="41">
        <f t="shared" si="2"/>
        <v>4832</v>
      </c>
      <c r="H24" s="42">
        <v>15040082</v>
      </c>
      <c r="I24" s="41">
        <f t="shared" si="3"/>
        <v>2122</v>
      </c>
    </row>
    <row r="25" spans="1:9" ht="21" thickTop="1" thickBot="1" x14ac:dyDescent="0.35">
      <c r="A25" s="39">
        <f t="shared" si="4"/>
        <v>44206</v>
      </c>
      <c r="B25" s="40">
        <v>127915</v>
      </c>
      <c r="C25" s="41">
        <f t="shared" si="0"/>
        <v>380</v>
      </c>
      <c r="D25" s="42">
        <v>18957537</v>
      </c>
      <c r="E25" s="41">
        <f t="shared" si="1"/>
        <v>3259</v>
      </c>
      <c r="F25" s="42">
        <v>33957104</v>
      </c>
      <c r="G25" s="41">
        <f t="shared" si="2"/>
        <v>5154</v>
      </c>
      <c r="H25" s="42">
        <v>15042204</v>
      </c>
      <c r="I25" s="41">
        <f t="shared" si="3"/>
        <v>2160</v>
      </c>
    </row>
    <row r="26" spans="1:9" ht="21" thickTop="1" thickBot="1" x14ac:dyDescent="0.35">
      <c r="A26" s="39">
        <f t="shared" si="4"/>
        <v>44207</v>
      </c>
      <c r="B26" s="40">
        <v>127953</v>
      </c>
      <c r="C26" s="41">
        <f t="shared" si="0"/>
        <v>300</v>
      </c>
      <c r="D26" s="42">
        <v>18960796</v>
      </c>
      <c r="E26" s="41">
        <f t="shared" si="1"/>
        <v>2966</v>
      </c>
      <c r="F26" s="42">
        <v>33962258</v>
      </c>
      <c r="G26" s="41">
        <f t="shared" si="2"/>
        <v>5012</v>
      </c>
      <c r="H26" s="42">
        <v>15044364</v>
      </c>
      <c r="I26" s="41">
        <f t="shared" si="3"/>
        <v>1990</v>
      </c>
    </row>
    <row r="27" spans="1:9" ht="21" thickTop="1" thickBot="1" x14ac:dyDescent="0.35">
      <c r="A27" s="39">
        <f t="shared" si="4"/>
        <v>44208</v>
      </c>
      <c r="B27" s="40">
        <v>127983</v>
      </c>
      <c r="C27" s="41">
        <f t="shared" si="0"/>
        <v>320</v>
      </c>
      <c r="D27" s="42">
        <v>18963762</v>
      </c>
      <c r="E27" s="41">
        <f t="shared" si="1"/>
        <v>3179</v>
      </c>
      <c r="F27" s="42">
        <v>33967270</v>
      </c>
      <c r="G27" s="41">
        <f t="shared" si="2"/>
        <v>5091</v>
      </c>
      <c r="H27" s="42">
        <v>15046354</v>
      </c>
      <c r="I27" s="41">
        <f t="shared" si="3"/>
        <v>2130</v>
      </c>
    </row>
    <row r="28" spans="1:9" ht="21" thickTop="1" thickBot="1" x14ac:dyDescent="0.35">
      <c r="A28" s="39">
        <f t="shared" si="4"/>
        <v>44209</v>
      </c>
      <c r="B28" s="40">
        <v>128015</v>
      </c>
      <c r="C28" s="41">
        <f t="shared" si="0"/>
        <v>390</v>
      </c>
      <c r="D28" s="42">
        <v>18966941</v>
      </c>
      <c r="E28" s="41">
        <f t="shared" si="1"/>
        <v>3111</v>
      </c>
      <c r="F28" s="42">
        <v>33972361</v>
      </c>
      <c r="G28" s="41">
        <f t="shared" si="2"/>
        <v>4849</v>
      </c>
      <c r="H28" s="42">
        <v>15048484</v>
      </c>
      <c r="I28" s="41">
        <f t="shared" si="3"/>
        <v>2128</v>
      </c>
    </row>
    <row r="29" spans="1:9" ht="21" thickTop="1" thickBot="1" x14ac:dyDescent="0.35">
      <c r="A29" s="39">
        <f t="shared" si="4"/>
        <v>44210</v>
      </c>
      <c r="B29" s="40">
        <v>128054</v>
      </c>
      <c r="C29" s="41">
        <f t="shared" si="0"/>
        <v>480</v>
      </c>
      <c r="D29" s="42">
        <v>18970052</v>
      </c>
      <c r="E29" s="41">
        <f t="shared" si="1"/>
        <v>3056</v>
      </c>
      <c r="F29" s="42">
        <v>33977210</v>
      </c>
      <c r="G29" s="41">
        <f t="shared" si="2"/>
        <v>4731</v>
      </c>
      <c r="H29" s="42">
        <v>15050612</v>
      </c>
      <c r="I29" s="41">
        <f t="shared" si="3"/>
        <v>1976</v>
      </c>
    </row>
    <row r="30" spans="1:9" ht="21" thickTop="1" thickBot="1" x14ac:dyDescent="0.35">
      <c r="A30" s="39">
        <f t="shared" si="4"/>
        <v>44211</v>
      </c>
      <c r="B30" s="40">
        <v>128102</v>
      </c>
      <c r="C30" s="41">
        <f t="shared" si="0"/>
        <v>270</v>
      </c>
      <c r="D30" s="42">
        <v>18973108</v>
      </c>
      <c r="E30" s="41">
        <f t="shared" si="1"/>
        <v>3006</v>
      </c>
      <c r="F30" s="42">
        <v>33981941</v>
      </c>
      <c r="G30" s="41">
        <f t="shared" si="2"/>
        <v>4862</v>
      </c>
      <c r="H30" s="42">
        <v>15052588</v>
      </c>
      <c r="I30" s="41">
        <f t="shared" si="3"/>
        <v>2124</v>
      </c>
    </row>
    <row r="31" spans="1:9" ht="21" thickTop="1" thickBot="1" x14ac:dyDescent="0.35">
      <c r="A31" s="39">
        <f t="shared" si="4"/>
        <v>44212</v>
      </c>
      <c r="B31" s="40">
        <v>128129</v>
      </c>
      <c r="C31" s="41">
        <f t="shared" si="0"/>
        <v>600</v>
      </c>
      <c r="D31" s="42">
        <v>18976114</v>
      </c>
      <c r="E31" s="41">
        <f t="shared" si="1"/>
        <v>3014</v>
      </c>
      <c r="F31" s="42">
        <v>33986803</v>
      </c>
      <c r="G31" s="41">
        <f t="shared" si="2"/>
        <v>4591</v>
      </c>
      <c r="H31" s="42">
        <v>15054712</v>
      </c>
      <c r="I31" s="41">
        <f t="shared" si="3"/>
        <v>2018</v>
      </c>
    </row>
    <row r="32" spans="1:9" ht="21" thickTop="1" thickBot="1" x14ac:dyDescent="0.35">
      <c r="A32" s="39">
        <f t="shared" si="4"/>
        <v>44213</v>
      </c>
      <c r="B32" s="40">
        <v>128189</v>
      </c>
      <c r="C32" s="41">
        <f t="shared" si="0"/>
        <v>360</v>
      </c>
      <c r="D32" s="42">
        <v>18979128</v>
      </c>
      <c r="E32" s="41">
        <f t="shared" si="1"/>
        <v>3013</v>
      </c>
      <c r="F32" s="42">
        <v>33991394</v>
      </c>
      <c r="G32" s="41">
        <f t="shared" si="2"/>
        <v>4512</v>
      </c>
      <c r="H32" s="42">
        <v>15056730</v>
      </c>
      <c r="I32" s="41">
        <f t="shared" si="3"/>
        <v>1977</v>
      </c>
    </row>
    <row r="33" spans="1:9" ht="21" thickTop="1" thickBot="1" x14ac:dyDescent="0.35">
      <c r="A33" s="39">
        <f t="shared" si="4"/>
        <v>44214</v>
      </c>
      <c r="B33" s="40">
        <v>128225</v>
      </c>
      <c r="C33" s="41">
        <f t="shared" si="0"/>
        <v>0</v>
      </c>
      <c r="D33" s="42">
        <v>18982141</v>
      </c>
      <c r="E33" s="41">
        <f t="shared" si="1"/>
        <v>0</v>
      </c>
      <c r="F33" s="42">
        <v>33995906</v>
      </c>
      <c r="G33" s="41">
        <f t="shared" si="2"/>
        <v>0</v>
      </c>
      <c r="H33" s="42">
        <v>15058707</v>
      </c>
      <c r="I33" s="41">
        <f t="shared" si="3"/>
        <v>0</v>
      </c>
    </row>
    <row r="34" spans="1:9" ht="21" thickTop="1" thickBot="1" x14ac:dyDescent="0.35">
      <c r="A34" s="39">
        <f t="shared" si="4"/>
        <v>44215</v>
      </c>
      <c r="B34" s="40"/>
      <c r="C34" s="41">
        <f t="shared" ref="C32:C47" si="5">IF(B35&lt;B34,0,B35-B34)*10</f>
        <v>0</v>
      </c>
      <c r="D34" s="42"/>
      <c r="E34" s="41">
        <f t="shared" ref="E32:E47" si="6">IF(D35&lt;D34,0,D35-D34)</f>
        <v>0</v>
      </c>
      <c r="F34" s="42"/>
      <c r="G34" s="41">
        <f t="shared" ref="G32:G47" si="7">IF(F35&lt;F34,0,F35-F34)</f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44216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44217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44218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44219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44220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44221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44222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44223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44224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44225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44226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44227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44228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SUM(C16:C46)</f>
        <v>5680</v>
      </c>
      <c r="E48" s="41">
        <f>SUM(E16:E46)</f>
        <v>54423</v>
      </c>
      <c r="F48" s="53"/>
      <c r="G48" s="41">
        <f>SUM(G16:G46)</f>
        <v>84560</v>
      </c>
      <c r="H48" s="53"/>
      <c r="I48" s="41">
        <f>SUM(I16:I46)</f>
        <v>36094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72" priority="1126" stopIfTrue="1" operator="lessThanOrEqual">
      <formula>0</formula>
    </cfRule>
  </conditionalFormatting>
  <conditionalFormatting sqref="C48">
    <cfRule type="cellIs" dxfId="71" priority="788" stopIfTrue="1" operator="lessThanOrEqual">
      <formula>0</formula>
    </cfRule>
  </conditionalFormatting>
  <conditionalFormatting sqref="C48">
    <cfRule type="cellIs" dxfId="70" priority="787" stopIfTrue="1" operator="lessThanOrEqual">
      <formula>0</formula>
    </cfRule>
  </conditionalFormatting>
  <conditionalFormatting sqref="C48">
    <cfRule type="cellIs" dxfId="69" priority="786" stopIfTrue="1" operator="lessThanOrEqual">
      <formula>0</formula>
    </cfRule>
  </conditionalFormatting>
  <conditionalFormatting sqref="C48">
    <cfRule type="cellIs" dxfId="68" priority="785" stopIfTrue="1" operator="lessThanOrEqual">
      <formula>0</formula>
    </cfRule>
  </conditionalFormatting>
  <conditionalFormatting sqref="C34:C47">
    <cfRule type="cellIs" dxfId="67" priority="76" stopIfTrue="1" operator="lessThanOrEqual">
      <formula>0</formula>
    </cfRule>
  </conditionalFormatting>
  <conditionalFormatting sqref="C34:C47">
    <cfRule type="cellIs" dxfId="66" priority="75" stopIfTrue="1" operator="lessThanOrEqual">
      <formula>0</formula>
    </cfRule>
  </conditionalFormatting>
  <conditionalFormatting sqref="C34:C47">
    <cfRule type="cellIs" dxfId="65" priority="74" stopIfTrue="1" operator="lessThanOrEqual">
      <formula>0</formula>
    </cfRule>
  </conditionalFormatting>
  <conditionalFormatting sqref="C34:C47">
    <cfRule type="cellIs" dxfId="64" priority="73" stopIfTrue="1" operator="lessThanOrEqual">
      <formula>0</formula>
    </cfRule>
  </conditionalFormatting>
  <conditionalFormatting sqref="C9">
    <cfRule type="cellIs" dxfId="63" priority="72" stopIfTrue="1" operator="lessThanOrEqual">
      <formula>0</formula>
    </cfRule>
  </conditionalFormatting>
  <conditionalFormatting sqref="C9">
    <cfRule type="cellIs" dxfId="62" priority="71" stopIfTrue="1" operator="lessThanOrEqual">
      <formula>0</formula>
    </cfRule>
  </conditionalFormatting>
  <conditionalFormatting sqref="C9">
    <cfRule type="cellIs" dxfId="61" priority="70" stopIfTrue="1" operator="lessThanOrEqual">
      <formula>0</formula>
    </cfRule>
  </conditionalFormatting>
  <conditionalFormatting sqref="C9">
    <cfRule type="cellIs" dxfId="60" priority="69" stopIfTrue="1" operator="lessThanOrEqual">
      <formula>0</formula>
    </cfRule>
  </conditionalFormatting>
  <conditionalFormatting sqref="C10:C12">
    <cfRule type="cellIs" dxfId="59" priority="68" stopIfTrue="1" operator="lessThanOrEqual">
      <formula>0</formula>
    </cfRule>
  </conditionalFormatting>
  <conditionalFormatting sqref="C10:C12">
    <cfRule type="cellIs" dxfId="58" priority="67" stopIfTrue="1" operator="lessThanOrEqual">
      <formula>0</formula>
    </cfRule>
  </conditionalFormatting>
  <conditionalFormatting sqref="C10:C12">
    <cfRule type="cellIs" dxfId="57" priority="66" stopIfTrue="1" operator="lessThanOrEqual">
      <formula>0</formula>
    </cfRule>
  </conditionalFormatting>
  <conditionalFormatting sqref="C10:C12">
    <cfRule type="cellIs" dxfId="56" priority="65" stopIfTrue="1" operator="lessThanOrEqual">
      <formula>0</formula>
    </cfRule>
  </conditionalFormatting>
  <conditionalFormatting sqref="C13">
    <cfRule type="cellIs" dxfId="55" priority="64" stopIfTrue="1" operator="lessThanOrEqual">
      <formula>0</formula>
    </cfRule>
  </conditionalFormatting>
  <conditionalFormatting sqref="C13">
    <cfRule type="cellIs" dxfId="54" priority="63" stopIfTrue="1" operator="lessThanOrEqual">
      <formula>0</formula>
    </cfRule>
  </conditionalFormatting>
  <conditionalFormatting sqref="C13">
    <cfRule type="cellIs" dxfId="53" priority="62" stopIfTrue="1" operator="lessThanOrEqual">
      <formula>0</formula>
    </cfRule>
  </conditionalFormatting>
  <conditionalFormatting sqref="C13">
    <cfRule type="cellIs" dxfId="52" priority="61" stopIfTrue="1" operator="lessThanOrEqual">
      <formula>0</formula>
    </cfRule>
  </conditionalFormatting>
  <conditionalFormatting sqref="C14:C16">
    <cfRule type="cellIs" dxfId="51" priority="60" stopIfTrue="1" operator="lessThanOrEqual">
      <formula>0</formula>
    </cfRule>
  </conditionalFormatting>
  <conditionalFormatting sqref="C14:C16">
    <cfRule type="cellIs" dxfId="50" priority="59" stopIfTrue="1" operator="lessThanOrEqual">
      <formula>0</formula>
    </cfRule>
  </conditionalFormatting>
  <conditionalFormatting sqref="C14:C16">
    <cfRule type="cellIs" dxfId="49" priority="58" stopIfTrue="1" operator="lessThanOrEqual">
      <formula>0</formula>
    </cfRule>
  </conditionalFormatting>
  <conditionalFormatting sqref="C14:C16">
    <cfRule type="cellIs" dxfId="48" priority="57" stopIfTrue="1" operator="lessThanOrEqual">
      <formula>0</formula>
    </cfRule>
  </conditionalFormatting>
  <conditionalFormatting sqref="C17:C20">
    <cfRule type="cellIs" dxfId="47" priority="56" stopIfTrue="1" operator="lessThanOrEqual">
      <formula>0</formula>
    </cfRule>
  </conditionalFormatting>
  <conditionalFormatting sqref="C17:C20">
    <cfRule type="cellIs" dxfId="46" priority="55" stopIfTrue="1" operator="lessThanOrEqual">
      <formula>0</formula>
    </cfRule>
  </conditionalFormatting>
  <conditionalFormatting sqref="C17:C20">
    <cfRule type="cellIs" dxfId="45" priority="54" stopIfTrue="1" operator="lessThanOrEqual">
      <formula>0</formula>
    </cfRule>
  </conditionalFormatting>
  <conditionalFormatting sqref="C17:C20">
    <cfRule type="cellIs" dxfId="44" priority="53" stopIfTrue="1" operator="lessThanOrEqual">
      <formula>0</formula>
    </cfRule>
  </conditionalFormatting>
  <conditionalFormatting sqref="C21">
    <cfRule type="cellIs" dxfId="43" priority="52" stopIfTrue="1" operator="lessThanOrEqual">
      <formula>0</formula>
    </cfRule>
  </conditionalFormatting>
  <conditionalFormatting sqref="C21">
    <cfRule type="cellIs" dxfId="42" priority="51" stopIfTrue="1" operator="lessThanOrEqual">
      <formula>0</formula>
    </cfRule>
  </conditionalFormatting>
  <conditionalFormatting sqref="C21">
    <cfRule type="cellIs" dxfId="41" priority="50" stopIfTrue="1" operator="lessThanOrEqual">
      <formula>0</formula>
    </cfRule>
  </conditionalFormatting>
  <conditionalFormatting sqref="C21">
    <cfRule type="cellIs" dxfId="40" priority="49" stopIfTrue="1" operator="lessThanOrEqual">
      <formula>0</formula>
    </cfRule>
  </conditionalFormatting>
  <conditionalFormatting sqref="C22:C24">
    <cfRule type="cellIs" dxfId="39" priority="48" stopIfTrue="1" operator="lessThanOrEqual">
      <formula>0</formula>
    </cfRule>
  </conditionalFormatting>
  <conditionalFormatting sqref="C22:C24">
    <cfRule type="cellIs" dxfId="38" priority="47" stopIfTrue="1" operator="lessThanOrEqual">
      <formula>0</formula>
    </cfRule>
  </conditionalFormatting>
  <conditionalFormatting sqref="C22:C24">
    <cfRule type="cellIs" dxfId="37" priority="46" stopIfTrue="1" operator="lessThanOrEqual">
      <formula>0</formula>
    </cfRule>
  </conditionalFormatting>
  <conditionalFormatting sqref="C22:C24">
    <cfRule type="cellIs" dxfId="36" priority="45" stopIfTrue="1" operator="lessThanOrEqual">
      <formula>0</formula>
    </cfRule>
  </conditionalFormatting>
  <conditionalFormatting sqref="E48">
    <cfRule type="cellIs" dxfId="35" priority="32" stopIfTrue="1" operator="lessThanOrEqual">
      <formula>0</formula>
    </cfRule>
  </conditionalFormatting>
  <conditionalFormatting sqref="E48">
    <cfRule type="cellIs" dxfId="34" priority="31" stopIfTrue="1" operator="lessThanOrEqual">
      <formula>0</formula>
    </cfRule>
  </conditionalFormatting>
  <conditionalFormatting sqref="E48">
    <cfRule type="cellIs" dxfId="33" priority="30" stopIfTrue="1" operator="lessThanOrEqual">
      <formula>0</formula>
    </cfRule>
  </conditionalFormatting>
  <conditionalFormatting sqref="E48">
    <cfRule type="cellIs" dxfId="32" priority="29" stopIfTrue="1" operator="lessThanOrEqual">
      <formula>0</formula>
    </cfRule>
  </conditionalFormatting>
  <conditionalFormatting sqref="G48">
    <cfRule type="cellIs" dxfId="31" priority="28" stopIfTrue="1" operator="lessThanOrEqual">
      <formula>0</formula>
    </cfRule>
  </conditionalFormatting>
  <conditionalFormatting sqref="G48">
    <cfRule type="cellIs" dxfId="30" priority="27" stopIfTrue="1" operator="lessThanOrEqual">
      <formula>0</formula>
    </cfRule>
  </conditionalFormatting>
  <conditionalFormatting sqref="G48">
    <cfRule type="cellIs" dxfId="29" priority="26" stopIfTrue="1" operator="lessThanOrEqual">
      <formula>0</formula>
    </cfRule>
  </conditionalFormatting>
  <conditionalFormatting sqref="G48">
    <cfRule type="cellIs" dxfId="28" priority="25" stopIfTrue="1" operator="lessThanOrEqual">
      <formula>0</formula>
    </cfRule>
  </conditionalFormatting>
  <conditionalFormatting sqref="I48">
    <cfRule type="cellIs" dxfId="27" priority="24" stopIfTrue="1" operator="lessThanOrEqual">
      <formula>0</formula>
    </cfRule>
  </conditionalFormatting>
  <conditionalFormatting sqref="I48">
    <cfRule type="cellIs" dxfId="26" priority="23" stopIfTrue="1" operator="lessThanOrEqual">
      <formula>0</formula>
    </cfRule>
  </conditionalFormatting>
  <conditionalFormatting sqref="I48">
    <cfRule type="cellIs" dxfId="25" priority="22" stopIfTrue="1" operator="lessThanOrEqual">
      <formula>0</formula>
    </cfRule>
  </conditionalFormatting>
  <conditionalFormatting sqref="I48">
    <cfRule type="cellIs" dxfId="24" priority="21" stopIfTrue="1" operator="lessThanOrEqual">
      <formula>0</formula>
    </cfRule>
  </conditionalFormatting>
  <conditionalFormatting sqref="C25">
    <cfRule type="cellIs" dxfId="23" priority="20" stopIfTrue="1" operator="lessThanOrEqual">
      <formula>0</formula>
    </cfRule>
  </conditionalFormatting>
  <conditionalFormatting sqref="C25">
    <cfRule type="cellIs" dxfId="22" priority="19" stopIfTrue="1" operator="lessThanOrEqual">
      <formula>0</formula>
    </cfRule>
  </conditionalFormatting>
  <conditionalFormatting sqref="C25">
    <cfRule type="cellIs" dxfId="21" priority="18" stopIfTrue="1" operator="lessThanOrEqual">
      <formula>0</formula>
    </cfRule>
  </conditionalFormatting>
  <conditionalFormatting sqref="C25">
    <cfRule type="cellIs" dxfId="20" priority="17" stopIfTrue="1" operator="lessThanOrEqual">
      <formula>0</formula>
    </cfRule>
  </conditionalFormatting>
  <conditionalFormatting sqref="C26">
    <cfRule type="cellIs" dxfId="19" priority="16" stopIfTrue="1" operator="lessThanOrEqual">
      <formula>0</formula>
    </cfRule>
  </conditionalFormatting>
  <conditionalFormatting sqref="C26">
    <cfRule type="cellIs" dxfId="18" priority="15" stopIfTrue="1" operator="lessThanOrEqual">
      <formula>0</formula>
    </cfRule>
  </conditionalFormatting>
  <conditionalFormatting sqref="C26">
    <cfRule type="cellIs" dxfId="17" priority="14" stopIfTrue="1" operator="lessThanOrEqual">
      <formula>0</formula>
    </cfRule>
  </conditionalFormatting>
  <conditionalFormatting sqref="C26">
    <cfRule type="cellIs" dxfId="16" priority="13" stopIfTrue="1" operator="lessThanOrEqual">
      <formula>0</formula>
    </cfRule>
  </conditionalFormatting>
  <conditionalFormatting sqref="C27:C28">
    <cfRule type="cellIs" dxfId="15" priority="12" stopIfTrue="1" operator="lessThanOrEqual">
      <formula>0</formula>
    </cfRule>
  </conditionalFormatting>
  <conditionalFormatting sqref="C27:C28">
    <cfRule type="cellIs" dxfId="14" priority="11" stopIfTrue="1" operator="lessThanOrEqual">
      <formula>0</formula>
    </cfRule>
  </conditionalFormatting>
  <conditionalFormatting sqref="C27:C28">
    <cfRule type="cellIs" dxfId="13" priority="10" stopIfTrue="1" operator="lessThanOrEqual">
      <formula>0</formula>
    </cfRule>
  </conditionalFormatting>
  <conditionalFormatting sqref="C27:C28">
    <cfRule type="cellIs" dxfId="12" priority="9" stopIfTrue="1" operator="lessThanOrEqual">
      <formula>0</formula>
    </cfRule>
  </conditionalFormatting>
  <conditionalFormatting sqref="C29:C31">
    <cfRule type="cellIs" dxfId="11" priority="8" stopIfTrue="1" operator="lessThanOrEqual">
      <formula>0</formula>
    </cfRule>
  </conditionalFormatting>
  <conditionalFormatting sqref="C29:C31">
    <cfRule type="cellIs" dxfId="10" priority="7" stopIfTrue="1" operator="lessThanOrEqual">
      <formula>0</formula>
    </cfRule>
  </conditionalFormatting>
  <conditionalFormatting sqref="C29:C31">
    <cfRule type="cellIs" dxfId="9" priority="6" stopIfTrue="1" operator="lessThanOrEqual">
      <formula>0</formula>
    </cfRule>
  </conditionalFormatting>
  <conditionalFormatting sqref="C29:C31">
    <cfRule type="cellIs" dxfId="8" priority="5" stopIfTrue="1" operator="lessThanOrEqual">
      <formula>0</formula>
    </cfRule>
  </conditionalFormatting>
  <conditionalFormatting sqref="C32:C33">
    <cfRule type="cellIs" dxfId="7" priority="4" stopIfTrue="1" operator="lessThanOrEqual">
      <formula>0</formula>
    </cfRule>
  </conditionalFormatting>
  <conditionalFormatting sqref="C32:C33">
    <cfRule type="cellIs" dxfId="5" priority="3" stopIfTrue="1" operator="lessThanOrEqual">
      <formula>0</formula>
    </cfRule>
  </conditionalFormatting>
  <conditionalFormatting sqref="C32:C33">
    <cfRule type="cellIs" dxfId="3" priority="2" stopIfTrue="1" operator="lessThanOrEqual">
      <formula>0</formula>
    </cfRule>
  </conditionalFormatting>
  <conditionalFormatting sqref="C32:C33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2021-01-18T12:09:20Z</dcterms:modified>
</cp:coreProperties>
</file>