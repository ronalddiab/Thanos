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P29" i="9" l="1"/>
  <c r="P30" i="9"/>
  <c r="P31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R32" i="9" l="1"/>
  <c r="G32" i="5" s="1"/>
  <c r="AN37" i="7"/>
  <c r="M32" i="9"/>
  <c r="AW36" i="7"/>
  <c r="R31" i="9"/>
  <c r="AD37" i="7"/>
  <c r="AM37" i="7"/>
  <c r="AW37" i="7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R2" i="9"/>
  <c r="G2" i="5" s="1"/>
  <c r="AW7" i="7"/>
  <c r="AN36" i="7"/>
  <c r="M31" i="9"/>
  <c r="AK36" i="7"/>
  <c r="J31" i="9"/>
  <c r="AH36" i="7"/>
  <c r="G31" i="9"/>
  <c r="AG36" i="7"/>
  <c r="F31" i="9"/>
  <c r="AW35" i="7"/>
  <c r="R30" i="9"/>
  <c r="G30" i="5" s="1"/>
  <c r="AM35" i="7"/>
  <c r="L30" i="9"/>
  <c r="AG35" i="7"/>
  <c r="F30" i="9"/>
  <c r="AW34" i="7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<sst xmlns="http://schemas.openxmlformats.org/spreadsheetml/2006/main" count="128" uniqueCount="49">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</sst>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21" sqref="L2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51340</v>
      </c>
      <c r="F2" s="11">
        <v>5.0000000000000001E-3</v>
      </c>
      <c r="G2" s="12">
        <f>Submetering!R2</f>
        <v>792.28631299999995</v>
      </c>
      <c r="H2" s="11">
        <v>0.52800000000000002</v>
      </c>
      <c r="I2" s="12">
        <f>Hotel!B7</f>
        <v>109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69940</v>
      </c>
      <c r="F3" s="11">
        <v>5.0000000000000001E-3</v>
      </c>
      <c r="G3" s="12">
        <f>Submetering!R3</f>
        <v>899.03487499999994</v>
      </c>
      <c r="H3" s="11">
        <v>0.52800000000000002</v>
      </c>
      <c r="I3" s="12">
        <f>Hotel!B8</f>
        <v>128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83280</v>
      </c>
      <c r="F4" s="11">
        <v>5.0000000000000001E-3</v>
      </c>
      <c r="G4" s="12">
        <f>Submetering!R4</f>
        <v>1043.6375370000001</v>
      </c>
      <c r="H4" s="11">
        <v>0.52800000000000002</v>
      </c>
      <c r="I4" s="12">
        <f>Hotel!B9</f>
        <v>164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65670</v>
      </c>
      <c r="F5" s="11">
        <v>5.0000000000000001E-3</v>
      </c>
      <c r="G5" s="12">
        <f>Submetering!R5</f>
        <v>917.96192499999995</v>
      </c>
      <c r="H5" s="11">
        <v>0.52800000000000002</v>
      </c>
      <c r="I5" s="12">
        <f>Hotel!B10</f>
        <v>71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68310</v>
      </c>
      <c r="F6" s="11">
        <v>5.0000000000000001E-3</v>
      </c>
      <c r="G6" s="12">
        <f>Submetering!R6</f>
        <v>1016.7611259999999</v>
      </c>
      <c r="H6" s="11">
        <v>0.52800000000000002</v>
      </c>
      <c r="I6" s="12">
        <f>Hotel!B11</f>
        <v>65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68510</v>
      </c>
      <c r="F7" s="11">
        <v>5.0000000000000001E-3</v>
      </c>
      <c r="G7" s="12">
        <f>Submetering!R7</f>
        <v>1085.6555880000001</v>
      </c>
      <c r="H7" s="11">
        <v>0.52800000000000002</v>
      </c>
      <c r="I7" s="12">
        <f>Hotel!B12</f>
        <v>78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67800</v>
      </c>
      <c r="F8" s="11">
        <v>5.0000000000000001E-3</v>
      </c>
      <c r="G8" s="12">
        <f>Submetering!R8</f>
        <v>869.13013600000011</v>
      </c>
      <c r="H8" s="11">
        <v>0.52800000000000002</v>
      </c>
      <c r="I8" s="12">
        <f>Hotel!B13</f>
        <v>70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73040</v>
      </c>
      <c r="F9" s="11">
        <v>5.0000000000000001E-3</v>
      </c>
      <c r="G9" s="12">
        <f>Submetering!R9</f>
        <v>1022.8177819999999</v>
      </c>
      <c r="H9" s="11">
        <v>0.52800000000000002</v>
      </c>
      <c r="I9" s="12">
        <f>Hotel!B14</f>
        <v>85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69890</v>
      </c>
      <c r="F10" s="11">
        <v>5.0000000000000001E-3</v>
      </c>
      <c r="G10" s="12">
        <f>Submetering!R10</f>
        <v>970.57912399999998</v>
      </c>
      <c r="H10" s="11">
        <v>0.52800000000000002</v>
      </c>
      <c r="I10" s="12">
        <f>Hotel!B15</f>
        <v>139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72590</v>
      </c>
      <c r="F11" s="11">
        <v>5.0000000000000001E-3</v>
      </c>
      <c r="G11" s="12">
        <f>Submetering!R11</f>
        <v>1000.1053219999999</v>
      </c>
      <c r="H11" s="11">
        <v>0.52800000000000002</v>
      </c>
      <c r="I11" s="12">
        <f>Hotel!B16</f>
        <v>152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72380</v>
      </c>
      <c r="F12" s="11">
        <v>5.0000000000000001E-3</v>
      </c>
      <c r="G12" s="12">
        <f>Submetering!R12</f>
        <v>820.29834699999992</v>
      </c>
      <c r="H12" s="11">
        <v>0.52800000000000002</v>
      </c>
      <c r="I12" s="12">
        <f>Hotel!B17</f>
        <v>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72600</v>
      </c>
      <c r="F13" s="11">
        <v>5.0000000000000001E-3</v>
      </c>
      <c r="G13" s="12">
        <f>Submetering!R13</f>
        <v>864.96618499999988</v>
      </c>
      <c r="H13" s="11">
        <v>0.52800000000000002</v>
      </c>
      <c r="I13" s="12">
        <f>Hotel!B18</f>
        <v>75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64150</v>
      </c>
      <c r="F14" s="11">
        <v>5.0000000000000001E-3</v>
      </c>
      <c r="G14" s="12">
        <f>Submetering!R14</f>
        <v>939.53876199999991</v>
      </c>
      <c r="H14" s="11">
        <v>0.52800000000000002</v>
      </c>
      <c r="I14" s="12">
        <f>Hotel!B19</f>
        <v>74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67810</v>
      </c>
      <c r="F15" s="11">
        <v>5.0000000000000001E-3</v>
      </c>
      <c r="G15" s="12">
        <f>Submetering!R15</f>
        <v>850.96016799999995</v>
      </c>
      <c r="H15" s="11">
        <v>0.52800000000000002</v>
      </c>
      <c r="I15" s="12">
        <f>Hotel!B20</f>
        <v>65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72420</v>
      </c>
      <c r="F16" s="11">
        <v>5.0000000000000001E-3</v>
      </c>
      <c r="G16" s="12">
        <f>Submetering!R16</f>
        <v>843.01080699999989</v>
      </c>
      <c r="H16" s="11">
        <v>0.52800000000000002</v>
      </c>
      <c r="I16" s="12">
        <f>Hotel!B21</f>
        <v>91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64850</v>
      </c>
      <c r="F17" s="11">
        <v>5.0000000000000001E-3</v>
      </c>
      <c r="G17" s="12">
        <f>Submetering!R17</f>
        <v>996.31991200000004</v>
      </c>
      <c r="H17" s="11">
        <v>0.52800000000000002</v>
      </c>
      <c r="I17" s="12">
        <f>Hotel!B22</f>
        <v>126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70730</v>
      </c>
      <c r="F18" s="11">
        <v>5.0000000000000001E-3</v>
      </c>
      <c r="G18" s="12">
        <f>Submetering!R18</f>
        <v>999.72678100000007</v>
      </c>
      <c r="H18" s="11">
        <v>0.52800000000000002</v>
      </c>
      <c r="I18" s="12">
        <f>Hotel!B23</f>
        <v>142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69350</v>
      </c>
      <c r="F19" s="11">
        <v>5.0000000000000001E-3</v>
      </c>
      <c r="G19" s="12">
        <f>Submetering!R19</f>
        <v>793.800477</v>
      </c>
      <c r="H19" s="11">
        <v>0.52800000000000002</v>
      </c>
      <c r="I19" s="12">
        <f>Hotel!B24</f>
        <v>57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69700</v>
      </c>
      <c r="F20" s="11">
        <v>5.0000000000000001E-3</v>
      </c>
      <c r="G20" s="12">
        <f>Submetering!R20</f>
        <v>1087.5482930000001</v>
      </c>
      <c r="H20" s="11">
        <v>0.52800000000000002</v>
      </c>
      <c r="I20" s="12">
        <f>Hotel!B25</f>
        <v>56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65670</v>
      </c>
      <c r="F21" s="11">
        <v>5.0000000000000001E-3</v>
      </c>
      <c r="G21" s="12">
        <f>Submetering!R21</f>
        <v>889.57134999999994</v>
      </c>
      <c r="H21" s="11">
        <v>0.52800000000000002</v>
      </c>
      <c r="I21" s="12">
        <f>Hotel!B26</f>
        <v>62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70200</v>
      </c>
      <c r="F22" s="11">
        <v>5.0000000000000001E-3</v>
      </c>
      <c r="G22" s="12">
        <f>Submetering!R22</f>
        <v>889.19280900000001</v>
      </c>
      <c r="H22" s="11">
        <v>0.52800000000000002</v>
      </c>
      <c r="I22" s="12">
        <f>Hotel!B27</f>
        <v>74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69140</v>
      </c>
      <c r="F23" s="11">
        <v>5.0000000000000001E-3</v>
      </c>
      <c r="G23" s="12">
        <f>Submetering!R23</f>
        <v>817.27001900000005</v>
      </c>
      <c r="H23" s="11">
        <v>0.52800000000000002</v>
      </c>
      <c r="I23" s="12">
        <f>Hotel!B28</f>
        <v>99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69660</v>
      </c>
      <c r="F24" s="11">
        <v>5.0000000000000001E-3</v>
      </c>
      <c r="G24" s="12">
        <f>Submetering!R24</f>
        <v>981.93535399999996</v>
      </c>
      <c r="H24" s="11">
        <v>0.52800000000000002</v>
      </c>
      <c r="I24" s="12">
        <f>Hotel!B29</f>
        <v>168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75190</v>
      </c>
      <c r="F25" s="11">
        <v>5.0000000000000001E-3</v>
      </c>
      <c r="G25" s="12">
        <f>Submetering!R25</f>
        <v>1056.1293899999998</v>
      </c>
      <c r="H25" s="11">
        <v>0.52800000000000002</v>
      </c>
      <c r="I25" s="12">
        <f>Hotel!B30</f>
        <v>188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65140</v>
      </c>
      <c r="F26" s="11">
        <v>5.0000000000000001E-3</v>
      </c>
      <c r="G26" s="12">
        <f>Submetering!R26</f>
        <v>843.38934800000004</v>
      </c>
      <c r="H26" s="11">
        <v>0.52800000000000002</v>
      </c>
      <c r="I26" s="12">
        <f>Hotel!B31</f>
        <v>93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2021</v>
      </c>
      <c r="E2" s="4">
        <f>Hotel!Q7</f>
        <v>7200</v>
      </c>
      <c r="F2" s="4">
        <f>Hotel!R7</f>
        <v>10080</v>
      </c>
      <c r="G2" s="4">
        <f>Hotel!S7</f>
        <v>2340</v>
      </c>
      <c r="H2" s="4">
        <f>Hotel!T7</f>
        <v>1250</v>
      </c>
      <c r="I2" s="4">
        <f>Hotel!U7</f>
        <v>2930</v>
      </c>
      <c r="J2" s="4">
        <f>Hotel!V7</f>
        <v>2770</v>
      </c>
      <c r="K2" s="4">
        <f>Hotel!W7</f>
        <v>1670</v>
      </c>
      <c r="L2" s="4">
        <f>Hotel!X7</f>
        <v>3740</v>
      </c>
      <c r="M2" s="4">
        <f>Hotel!Y7</f>
        <v>3870</v>
      </c>
      <c r="N2" s="4">
        <f>Hotel!Z7</f>
        <v>1990</v>
      </c>
      <c r="O2" s="4">
        <f>Hotel!AA7</f>
        <v>2180</v>
      </c>
      <c r="P2" s="4">
        <f>Hotel!AB7</f>
        <v>5430</v>
      </c>
      <c r="Q2" s="4">
        <f>Hotel!AC7</f>
        <v>5890</v>
      </c>
      <c r="R2" s="4">
        <f>Hotel!AV7*0.00378541*100</f>
        <v>792.28631299999995</v>
      </c>
      <c r="S2" s="4">
        <f>Hotel!B7</f>
        <v>109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2021</v>
      </c>
      <c r="E3" s="4">
        <f>Hotel!Q8</f>
        <v>10580</v>
      </c>
      <c r="F3" s="4">
        <f>Hotel!R8</f>
        <v>14460</v>
      </c>
      <c r="G3" s="4">
        <f>Hotel!S8</f>
        <v>2030</v>
      </c>
      <c r="H3" s="4">
        <f>Hotel!T8</f>
        <v>1690</v>
      </c>
      <c r="I3" s="4">
        <f>Hotel!U8</f>
        <v>4120</v>
      </c>
      <c r="J3" s="4">
        <f>Hotel!V8</f>
        <v>3580</v>
      </c>
      <c r="K3" s="4">
        <f>Hotel!W8</f>
        <v>2260</v>
      </c>
      <c r="L3" s="4">
        <f>Hotel!X8</f>
        <v>4670</v>
      </c>
      <c r="M3" s="4">
        <f>Hotel!Y8</f>
        <v>5450</v>
      </c>
      <c r="N3" s="4">
        <f>Hotel!Z8</f>
        <v>2720</v>
      </c>
      <c r="O3" s="4">
        <f>Hotel!AA8</f>
        <v>3200</v>
      </c>
      <c r="P3" s="4">
        <f>Hotel!AB8</f>
        <v>7130</v>
      </c>
      <c r="Q3" s="4">
        <f>Hotel!AC8</f>
        <v>8050</v>
      </c>
      <c r="R3" s="4">
        <f>Hotel!AV8*0.00378541*100</f>
        <v>899.03487499999994</v>
      </c>
      <c r="S3" s="4">
        <f>Hotel!B8</f>
        <v>128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2021</v>
      </c>
      <c r="E4" s="4">
        <f>Hotel!Q9</f>
        <v>12860</v>
      </c>
      <c r="F4" s="4">
        <f>Hotel!R9</f>
        <v>17280</v>
      </c>
      <c r="G4" s="4">
        <f>Hotel!S9</f>
        <v>4400</v>
      </c>
      <c r="H4" s="4">
        <f>Hotel!T9</f>
        <v>1930</v>
      </c>
      <c r="I4" s="4">
        <f>Hotel!U9</f>
        <v>4630</v>
      </c>
      <c r="J4" s="4">
        <f>Hotel!V9</f>
        <v>4050</v>
      </c>
      <c r="K4" s="4">
        <f>Hotel!W9</f>
        <v>2580</v>
      </c>
      <c r="L4" s="4">
        <f>Hotel!X9</f>
        <v>5360</v>
      </c>
      <c r="M4" s="4">
        <f>Hotel!Y9</f>
        <v>6170</v>
      </c>
      <c r="N4" s="4">
        <f>Hotel!Z9</f>
        <v>3210</v>
      </c>
      <c r="O4" s="4">
        <f>Hotel!AA9</f>
        <v>3600</v>
      </c>
      <c r="P4" s="4">
        <f>Hotel!AB9</f>
        <v>8210</v>
      </c>
      <c r="Q4" s="4">
        <f>Hotel!AC9</f>
        <v>9000</v>
      </c>
      <c r="R4" s="4">
        <f>Hotel!AV9*0.00378541*100</f>
        <v>1043.6375370000001</v>
      </c>
      <c r="S4" s="4">
        <f>Hotel!B9</f>
        <v>164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2021</v>
      </c>
      <c r="E5" s="4">
        <f>Hotel!Q10</f>
        <v>10340</v>
      </c>
      <c r="F5" s="4">
        <f>Hotel!R10</f>
        <v>13110</v>
      </c>
      <c r="G5" s="4">
        <f>Hotel!S10</f>
        <v>870</v>
      </c>
      <c r="H5" s="4">
        <f>Hotel!T10</f>
        <v>1650</v>
      </c>
      <c r="I5" s="4">
        <f>Hotel!U10</f>
        <v>3820</v>
      </c>
      <c r="J5" s="4">
        <f>Hotel!V10</f>
        <v>3580</v>
      </c>
      <c r="K5" s="4">
        <f>Hotel!W10</f>
        <v>2190</v>
      </c>
      <c r="L5" s="4">
        <f>Hotel!X10</f>
        <v>4480</v>
      </c>
      <c r="M5" s="4">
        <f>Hotel!Y10</f>
        <v>5210</v>
      </c>
      <c r="N5" s="4">
        <f>Hotel!Z10</f>
        <v>2550</v>
      </c>
      <c r="O5" s="4">
        <f>Hotel!AA10</f>
        <v>3010</v>
      </c>
      <c r="P5" s="4">
        <f>Hotel!AB10</f>
        <v>6830</v>
      </c>
      <c r="Q5" s="4">
        <f>Hotel!AC10</f>
        <v>8030</v>
      </c>
      <c r="R5" s="4">
        <f>Hotel!AV10*0.00378541*100</f>
        <v>917.96192499999995</v>
      </c>
      <c r="S5" s="4">
        <f>Hotel!B10</f>
        <v>71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2021</v>
      </c>
      <c r="E6" s="4">
        <f>Hotel!Q11</f>
        <v>10850</v>
      </c>
      <c r="F6" s="4">
        <f>Hotel!R11</f>
        <v>13520</v>
      </c>
      <c r="G6" s="4">
        <f>Hotel!S11</f>
        <v>160</v>
      </c>
      <c r="H6" s="4">
        <f>Hotel!T11</f>
        <v>1710</v>
      </c>
      <c r="I6" s="4">
        <f>Hotel!U11</f>
        <v>3890</v>
      </c>
      <c r="J6" s="4">
        <f>Hotel!V11</f>
        <v>3580</v>
      </c>
      <c r="K6" s="4">
        <f>Hotel!W11</f>
        <v>2350</v>
      </c>
      <c r="L6" s="4">
        <f>Hotel!X11</f>
        <v>4200</v>
      </c>
      <c r="M6" s="4">
        <f>Hotel!Y11</f>
        <v>5460</v>
      </c>
      <c r="N6" s="4">
        <f>Hotel!Z11</f>
        <v>2540</v>
      </c>
      <c r="O6" s="4">
        <f>Hotel!AA11</f>
        <v>3050</v>
      </c>
      <c r="P6" s="4">
        <f>Hotel!AB11</f>
        <v>7150</v>
      </c>
      <c r="Q6" s="4">
        <f>Hotel!AC11</f>
        <v>9850</v>
      </c>
      <c r="R6" s="4">
        <f>Hotel!AV11*0.00378541*100</f>
        <v>1016.7611259999999</v>
      </c>
      <c r="S6" s="4">
        <f>Hotel!B11</f>
        <v>65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2021</v>
      </c>
      <c r="E7" s="4">
        <f>Hotel!Q12</f>
        <v>10770</v>
      </c>
      <c r="F7" s="4">
        <f>Hotel!R12</f>
        <v>13650</v>
      </c>
      <c r="G7" s="4">
        <f>Hotel!S12</f>
        <v>150</v>
      </c>
      <c r="H7" s="4">
        <f>Hotel!T12</f>
        <v>1720</v>
      </c>
      <c r="I7" s="4">
        <f>Hotel!U12</f>
        <v>3980</v>
      </c>
      <c r="J7" s="4">
        <f>Hotel!V12</f>
        <v>3540</v>
      </c>
      <c r="K7" s="4">
        <f>Hotel!W12</f>
        <v>2350</v>
      </c>
      <c r="L7" s="4">
        <f>Hotel!X12</f>
        <v>4030</v>
      </c>
      <c r="M7" s="4">
        <f>Hotel!Y12</f>
        <v>5540</v>
      </c>
      <c r="N7" s="4">
        <f>Hotel!Z12</f>
        <v>2500</v>
      </c>
      <c r="O7" s="4">
        <f>Hotel!AA12</f>
        <v>3010</v>
      </c>
      <c r="P7" s="4">
        <f>Hotel!AB12</f>
        <v>7200</v>
      </c>
      <c r="Q7" s="4">
        <f>Hotel!AC12</f>
        <v>10070</v>
      </c>
      <c r="R7" s="4">
        <f>Hotel!AV12*0.00378541*100</f>
        <v>1085.6555880000001</v>
      </c>
      <c r="S7" s="4">
        <f>Hotel!B12</f>
        <v>78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2021</v>
      </c>
      <c r="E8" s="4">
        <f>Hotel!Q13</f>
        <v>10640</v>
      </c>
      <c r="F8" s="4">
        <f>Hotel!R13</f>
        <v>13450</v>
      </c>
      <c r="G8" s="4">
        <f>Hotel!S13</f>
        <v>150</v>
      </c>
      <c r="H8" s="4">
        <f>Hotel!T13</f>
        <v>1690</v>
      </c>
      <c r="I8" s="4">
        <f>Hotel!U13</f>
        <v>4010</v>
      </c>
      <c r="J8" s="4">
        <f>Hotel!V13</f>
        <v>3650</v>
      </c>
      <c r="K8" s="4">
        <f>Hotel!W13</f>
        <v>2310</v>
      </c>
      <c r="L8" s="4">
        <f>Hotel!X13</f>
        <v>4480</v>
      </c>
      <c r="M8" s="4">
        <f>Hotel!Y13</f>
        <v>5220</v>
      </c>
      <c r="N8" s="4">
        <f>Hotel!Z13</f>
        <v>2460</v>
      </c>
      <c r="O8" s="4">
        <f>Hotel!AA13</f>
        <v>2880</v>
      </c>
      <c r="P8" s="4">
        <f>Hotel!AB13</f>
        <v>7100</v>
      </c>
      <c r="Q8" s="4">
        <f>Hotel!AC13</f>
        <v>9760</v>
      </c>
      <c r="R8" s="4">
        <f>Hotel!AV13*0.00378541*100</f>
        <v>869.13013600000011</v>
      </c>
      <c r="S8" s="4">
        <f>Hotel!B13</f>
        <v>70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2021</v>
      </c>
      <c r="E9" s="4">
        <f>Hotel!Q14</f>
        <v>11360</v>
      </c>
      <c r="F9" s="4">
        <f>Hotel!R14</f>
        <v>14350</v>
      </c>
      <c r="G9" s="4">
        <f>Hotel!S14</f>
        <v>160</v>
      </c>
      <c r="H9" s="4">
        <f>Hotel!T14</f>
        <v>1800</v>
      </c>
      <c r="I9" s="4">
        <f>Hotel!U14</f>
        <v>4130</v>
      </c>
      <c r="J9" s="4">
        <f>Hotel!V14</f>
        <v>3910</v>
      </c>
      <c r="K9" s="4">
        <f>Hotel!W14</f>
        <v>2460</v>
      </c>
      <c r="L9" s="4">
        <f>Hotel!X14</f>
        <v>4900</v>
      </c>
      <c r="M9" s="4">
        <f>Hotel!Y14</f>
        <v>5840</v>
      </c>
      <c r="N9" s="4">
        <f>Hotel!Z14</f>
        <v>2620</v>
      </c>
      <c r="O9" s="4">
        <f>Hotel!AA14</f>
        <v>3120</v>
      </c>
      <c r="P9" s="4">
        <f>Hotel!AB14</f>
        <v>7540</v>
      </c>
      <c r="Q9" s="4">
        <f>Hotel!AC14</f>
        <v>10850</v>
      </c>
      <c r="R9" s="4">
        <f>Hotel!AV14*0.00378541*100</f>
        <v>1022.8177819999999</v>
      </c>
      <c r="S9" s="4">
        <f>Hotel!B14</f>
        <v>85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2021</v>
      </c>
      <c r="E10" s="4">
        <f>Hotel!Q15</f>
        <v>10580</v>
      </c>
      <c r="F10" s="4">
        <f>Hotel!R15</f>
        <v>13350</v>
      </c>
      <c r="G10" s="4">
        <f>Hotel!S15</f>
        <v>150</v>
      </c>
      <c r="H10" s="4">
        <f>Hotel!T15</f>
        <v>1660</v>
      </c>
      <c r="I10" s="4">
        <f>Hotel!U15</f>
        <v>4000</v>
      </c>
      <c r="J10" s="4">
        <f>Hotel!V15</f>
        <v>3790</v>
      </c>
      <c r="K10" s="4">
        <f>Hotel!W15</f>
        <v>2310</v>
      </c>
      <c r="L10" s="4">
        <f>Hotel!X15</f>
        <v>4910</v>
      </c>
      <c r="M10" s="4">
        <f>Hotel!Y15</f>
        <v>5630</v>
      </c>
      <c r="N10" s="4">
        <f>Hotel!Z15</f>
        <v>2630</v>
      </c>
      <c r="O10" s="4">
        <f>Hotel!AA15</f>
        <v>2990</v>
      </c>
      <c r="P10" s="4">
        <f>Hotel!AB15</f>
        <v>7040</v>
      </c>
      <c r="Q10" s="4">
        <f>Hotel!AC15</f>
        <v>10850</v>
      </c>
      <c r="R10" s="4">
        <f>Hotel!AV15*0.00378541*100</f>
        <v>970.57912399999998</v>
      </c>
      <c r="S10" s="4">
        <f>Hotel!B15</f>
        <v>139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2021</v>
      </c>
      <c r="E11" s="4">
        <f>Hotel!Q16</f>
        <v>10960</v>
      </c>
      <c r="F11" s="4">
        <f>Hotel!R16</f>
        <v>13850</v>
      </c>
      <c r="G11" s="4">
        <f>Hotel!S16</f>
        <v>150</v>
      </c>
      <c r="H11" s="4">
        <f>Hotel!T16</f>
        <v>1740</v>
      </c>
      <c r="I11" s="4">
        <f>Hotel!U16</f>
        <v>4340</v>
      </c>
      <c r="J11" s="4">
        <f>Hotel!V16</f>
        <v>3970</v>
      </c>
      <c r="K11" s="4">
        <f>Hotel!W16</f>
        <v>2440</v>
      </c>
      <c r="L11" s="4">
        <f>Hotel!X16</f>
        <v>4850</v>
      </c>
      <c r="M11" s="4">
        <f>Hotel!Y16</f>
        <v>6080</v>
      </c>
      <c r="N11" s="4">
        <f>Hotel!Z16</f>
        <v>2950</v>
      </c>
      <c r="O11" s="4">
        <f>Hotel!AA16</f>
        <v>3230</v>
      </c>
      <c r="P11" s="4">
        <f>Hotel!AB16</f>
        <v>7490</v>
      </c>
      <c r="Q11" s="4">
        <f>Hotel!AC16</f>
        <v>10540</v>
      </c>
      <c r="R11" s="4">
        <f>Hotel!AV16*0.00378541*100</f>
        <v>1000.1053219999999</v>
      </c>
      <c r="S11" s="4">
        <f>Hotel!B16</f>
        <v>152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2021</v>
      </c>
      <c r="E12" s="4">
        <f>Hotel!Q17</f>
        <v>10500</v>
      </c>
      <c r="F12" s="4">
        <f>Hotel!R17</f>
        <v>13400</v>
      </c>
      <c r="G12" s="4">
        <f>Hotel!S17</f>
        <v>140</v>
      </c>
      <c r="H12" s="4">
        <f>Hotel!T17</f>
        <v>2950</v>
      </c>
      <c r="I12" s="4">
        <f>Hotel!U17</f>
        <v>4160</v>
      </c>
      <c r="J12" s="4">
        <f>Hotel!V17</f>
        <v>3770</v>
      </c>
      <c r="K12" s="4">
        <f>Hotel!W17</f>
        <v>2300</v>
      </c>
      <c r="L12" s="4">
        <f>Hotel!X17</f>
        <v>4890</v>
      </c>
      <c r="M12" s="4">
        <f>Hotel!Y17</f>
        <v>5880</v>
      </c>
      <c r="N12" s="4">
        <f>Hotel!Z17</f>
        <v>2870</v>
      </c>
      <c r="O12" s="4">
        <f>Hotel!AA17</f>
        <v>3160</v>
      </c>
      <c r="P12" s="4">
        <f>Hotel!AB17</f>
        <v>7480</v>
      </c>
      <c r="Q12" s="4">
        <f>Hotel!AC17</f>
        <v>10880</v>
      </c>
      <c r="R12" s="4">
        <f>Hotel!AV17*0.00378541*100</f>
        <v>820.29834699999992</v>
      </c>
      <c r="S12" s="4">
        <f>Hotel!B17</f>
        <v>84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2021</v>
      </c>
      <c r="E13" s="4">
        <f>Hotel!Q18</f>
        <v>10910</v>
      </c>
      <c r="F13" s="4">
        <f>Hotel!R18</f>
        <v>14060</v>
      </c>
      <c r="G13" s="4">
        <f>Hotel!S18</f>
        <v>140</v>
      </c>
      <c r="H13" s="4">
        <f>Hotel!T18</f>
        <v>610</v>
      </c>
      <c r="I13" s="4">
        <f>Hotel!U18</f>
        <v>4320</v>
      </c>
      <c r="J13" s="4">
        <f>Hotel!V18</f>
        <v>3860</v>
      </c>
      <c r="K13" s="4">
        <f>Hotel!W18</f>
        <v>2460</v>
      </c>
      <c r="L13" s="4">
        <f>Hotel!X18</f>
        <v>4680</v>
      </c>
      <c r="M13" s="4">
        <f>Hotel!Y18</f>
        <v>6130</v>
      </c>
      <c r="N13" s="4">
        <f>Hotel!Z18</f>
        <v>2780</v>
      </c>
      <c r="O13" s="4">
        <f>Hotel!AA18</f>
        <v>3240</v>
      </c>
      <c r="P13" s="4">
        <f>Hotel!AB18</f>
        <v>7840</v>
      </c>
      <c r="Q13" s="4">
        <f>Hotel!AC18</f>
        <v>11570</v>
      </c>
      <c r="R13" s="4">
        <f>Hotel!AV18*0.00378541*100</f>
        <v>864.96618499999988</v>
      </c>
      <c r="S13" s="4">
        <f>Hotel!B18</f>
        <v>75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2021</v>
      </c>
      <c r="E14" s="4">
        <f>Hotel!Q19</f>
        <v>9650</v>
      </c>
      <c r="F14" s="4">
        <f>Hotel!R19</f>
        <v>12380</v>
      </c>
      <c r="G14" s="4">
        <f>Hotel!S19</f>
        <v>120</v>
      </c>
      <c r="H14" s="4">
        <f>Hotel!T19</f>
        <v>1610</v>
      </c>
      <c r="I14" s="4">
        <f>Hotel!U19</f>
        <v>3790</v>
      </c>
      <c r="J14" s="4">
        <f>Hotel!V19</f>
        <v>3430</v>
      </c>
      <c r="K14" s="4">
        <f>Hotel!W19</f>
        <v>2170</v>
      </c>
      <c r="L14" s="4">
        <f>Hotel!X19</f>
        <v>4210</v>
      </c>
      <c r="M14" s="4">
        <f>Hotel!Y19</f>
        <v>5030</v>
      </c>
      <c r="N14" s="4">
        <f>Hotel!Z19</f>
        <v>2490</v>
      </c>
      <c r="O14" s="4">
        <f>Hotel!AA19</f>
        <v>2780</v>
      </c>
      <c r="P14" s="4">
        <f>Hotel!AB19</f>
        <v>6850</v>
      </c>
      <c r="Q14" s="4">
        <f>Hotel!AC19</f>
        <v>9640</v>
      </c>
      <c r="R14" s="4">
        <f>Hotel!AV19*0.00378541*100</f>
        <v>939.53876199999991</v>
      </c>
      <c r="S14" s="4">
        <f>Hotel!B19</f>
        <v>74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2021</v>
      </c>
      <c r="E15" s="4">
        <f>Hotel!Q20</f>
        <v>10060</v>
      </c>
      <c r="F15" s="4">
        <f>Hotel!R20</f>
        <v>12920</v>
      </c>
      <c r="G15" s="4">
        <f>Hotel!S20</f>
        <v>140</v>
      </c>
      <c r="H15" s="4">
        <f>Hotel!T20</f>
        <v>1680</v>
      </c>
      <c r="I15" s="4">
        <f>Hotel!U20</f>
        <v>3930</v>
      </c>
      <c r="J15" s="4">
        <f>Hotel!V20</f>
        <v>3510</v>
      </c>
      <c r="K15" s="4">
        <f>Hotel!W20</f>
        <v>2260</v>
      </c>
      <c r="L15" s="4">
        <f>Hotel!X20</f>
        <v>4730</v>
      </c>
      <c r="M15" s="4">
        <f>Hotel!Y20</f>
        <v>5670</v>
      </c>
      <c r="N15" s="4">
        <f>Hotel!Z20</f>
        <v>2540</v>
      </c>
      <c r="O15" s="4">
        <f>Hotel!AA20</f>
        <v>2890</v>
      </c>
      <c r="P15" s="4">
        <f>Hotel!AB20</f>
        <v>7290</v>
      </c>
      <c r="Q15" s="4">
        <f>Hotel!AC20</f>
        <v>10190</v>
      </c>
      <c r="R15" s="4">
        <f>Hotel!AV20*0.00378541*100</f>
        <v>850.96016799999995</v>
      </c>
      <c r="S15" s="4">
        <f>Hotel!B20</f>
        <v>65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2021</v>
      </c>
      <c r="E16" s="4">
        <f>Hotel!Q21</f>
        <v>10590</v>
      </c>
      <c r="F16" s="4">
        <f>Hotel!R21</f>
        <v>13700</v>
      </c>
      <c r="G16" s="4">
        <f>Hotel!S21</f>
        <v>130</v>
      </c>
      <c r="H16" s="4">
        <f>Hotel!T21</f>
        <v>1810</v>
      </c>
      <c r="I16" s="4">
        <f>Hotel!U21</f>
        <v>4050</v>
      </c>
      <c r="J16" s="4">
        <f>Hotel!V21</f>
        <v>3840</v>
      </c>
      <c r="K16" s="4">
        <f>Hotel!W21</f>
        <v>2420</v>
      </c>
      <c r="L16" s="4">
        <f>Hotel!X21</f>
        <v>5130</v>
      </c>
      <c r="M16" s="4">
        <f>Hotel!Y21</f>
        <v>6160</v>
      </c>
      <c r="N16" s="4">
        <f>Hotel!Z21</f>
        <v>2710</v>
      </c>
      <c r="O16" s="4">
        <f>Hotel!AA21</f>
        <v>3210</v>
      </c>
      <c r="P16" s="4">
        <f>Hotel!AB21</f>
        <v>7790</v>
      </c>
      <c r="Q16" s="4">
        <f>Hotel!AC21</f>
        <v>10880</v>
      </c>
      <c r="R16" s="4">
        <f>Hotel!AV21*0.00378541*100</f>
        <v>843.01080699999989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2021</v>
      </c>
      <c r="E17" s="4">
        <f>Hotel!Q22</f>
        <v>9390</v>
      </c>
      <c r="F17" s="4">
        <f>Hotel!R22</f>
        <v>12070</v>
      </c>
      <c r="G17" s="4">
        <f>Hotel!S22</f>
        <v>110</v>
      </c>
      <c r="H17" s="4">
        <f>Hotel!T22</f>
        <v>1560</v>
      </c>
      <c r="I17" s="4">
        <f>Hotel!U22</f>
        <v>3790</v>
      </c>
      <c r="J17" s="4">
        <f>Hotel!V22</f>
        <v>3470</v>
      </c>
      <c r="K17" s="4">
        <f>Hotel!W22</f>
        <v>2120</v>
      </c>
      <c r="L17" s="4">
        <f>Hotel!X22</f>
        <v>4430</v>
      </c>
      <c r="M17" s="4">
        <f>Hotel!Y22</f>
        <v>5340</v>
      </c>
      <c r="N17" s="4">
        <f>Hotel!Z22</f>
        <v>2510</v>
      </c>
      <c r="O17" s="4">
        <f>Hotel!AA22</f>
        <v>3060</v>
      </c>
      <c r="P17" s="4">
        <f>Hotel!AB22</f>
        <v>6670</v>
      </c>
      <c r="Q17" s="4">
        <f>Hotel!AC22</f>
        <v>10330</v>
      </c>
      <c r="R17" s="4">
        <f>Hotel!AV22*0.00378541*100</f>
        <v>996.31991200000004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2021</v>
      </c>
      <c r="E18" s="4">
        <f>Hotel!Q23</f>
        <v>10000</v>
      </c>
      <c r="F18" s="4">
        <f>Hotel!R23</f>
        <v>12940</v>
      </c>
      <c r="G18" s="4">
        <f>Hotel!S23</f>
        <v>120</v>
      </c>
      <c r="H18" s="4">
        <f>Hotel!T23</f>
        <v>1710</v>
      </c>
      <c r="I18" s="4">
        <f>Hotel!U23</f>
        <v>4280</v>
      </c>
      <c r="J18" s="4">
        <f>Hotel!V23</f>
        <v>3730</v>
      </c>
      <c r="K18" s="4">
        <f>Hotel!W23</f>
        <v>2260</v>
      </c>
      <c r="L18" s="4">
        <f>Hotel!X23</f>
        <v>4910</v>
      </c>
      <c r="M18" s="4">
        <f>Hotel!Y23</f>
        <v>5770</v>
      </c>
      <c r="N18" s="4">
        <f>Hotel!Z23</f>
        <v>2720</v>
      </c>
      <c r="O18" s="4">
        <f>Hotel!AA23</f>
        <v>3070</v>
      </c>
      <c r="P18" s="4">
        <f>Hotel!AB23</f>
        <v>7370</v>
      </c>
      <c r="Q18" s="4">
        <f>Hotel!AC23</f>
        <v>11850</v>
      </c>
      <c r="R18" s="4">
        <f>Hotel!AV23*0.00378541*100</f>
        <v>999.72678100000007</v>
      </c>
      <c r="S18" s="4">
        <f>Hotel!B23</f>
        <v>142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2021</v>
      </c>
      <c r="E19" s="4">
        <f>Hotel!Q24</f>
        <v>10170</v>
      </c>
      <c r="F19" s="4">
        <f>Hotel!R24</f>
        <v>13090</v>
      </c>
      <c r="G19" s="4">
        <f>Hotel!S24</f>
        <v>130</v>
      </c>
      <c r="H19" s="4">
        <f>Hotel!T24</f>
        <v>1710</v>
      </c>
      <c r="I19" s="4">
        <f>Hotel!U24</f>
        <v>4190</v>
      </c>
      <c r="J19" s="4">
        <f>Hotel!V24</f>
        <v>3750</v>
      </c>
      <c r="K19" s="4">
        <f>Hotel!W24</f>
        <v>2300</v>
      </c>
      <c r="L19" s="4">
        <f>Hotel!X24</f>
        <v>4870</v>
      </c>
      <c r="M19" s="4">
        <f>Hotel!Y24</f>
        <v>5690</v>
      </c>
      <c r="N19" s="4">
        <f>Hotel!Z24</f>
        <v>2610</v>
      </c>
      <c r="O19" s="4">
        <f>Hotel!AA24</f>
        <v>3140</v>
      </c>
      <c r="P19" s="4">
        <f>Hotel!AB24</f>
        <v>7490</v>
      </c>
      <c r="Q19" s="4">
        <f>Hotel!AC24</f>
        <v>10210</v>
      </c>
      <c r="R19" s="4">
        <f>Hotel!AV24*0.00378541*100</f>
        <v>793.800477</v>
      </c>
      <c r="S19" s="4">
        <f>Hotel!B24</f>
        <v>57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2021</v>
      </c>
      <c r="E20" s="4">
        <f>Hotel!Q25</f>
        <v>10500</v>
      </c>
      <c r="F20" s="4">
        <f>Hotel!R25</f>
        <v>13590</v>
      </c>
      <c r="G20" s="4">
        <f>Hotel!S25</f>
        <v>140</v>
      </c>
      <c r="H20" s="4">
        <f>Hotel!T25</f>
        <v>1760</v>
      </c>
      <c r="I20" s="4">
        <f>Hotel!U25</f>
        <v>4280</v>
      </c>
      <c r="J20" s="4">
        <f>Hotel!V25</f>
        <v>3770</v>
      </c>
      <c r="K20" s="4">
        <f>Hotel!W25</f>
        <v>2400</v>
      </c>
      <c r="L20" s="4">
        <f>Hotel!X25</f>
        <v>4840</v>
      </c>
      <c r="M20" s="4">
        <f>Hotel!Y25</f>
        <v>5550</v>
      </c>
      <c r="N20" s="4">
        <f>Hotel!Z25</f>
        <v>2490</v>
      </c>
      <c r="O20" s="4">
        <f>Hotel!AA25</f>
        <v>3160</v>
      </c>
      <c r="P20" s="4">
        <f>Hotel!AB25</f>
        <v>7580</v>
      </c>
      <c r="Q20" s="4">
        <f>Hotel!AC25</f>
        <v>9640</v>
      </c>
      <c r="R20" s="4">
        <f>Hotel!AV25*0.00378541*100</f>
        <v>1087.5482930000001</v>
      </c>
      <c r="S20" s="4">
        <f>Hotel!B25</f>
        <v>56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2021</v>
      </c>
      <c r="E21" s="4">
        <f>Hotel!Q26</f>
        <v>9600</v>
      </c>
      <c r="F21" s="4">
        <f>Hotel!R26</f>
        <v>12400</v>
      </c>
      <c r="G21" s="4">
        <f>Hotel!S26</f>
        <v>120</v>
      </c>
      <c r="H21" s="4">
        <f>Hotel!T26</f>
        <v>1730</v>
      </c>
      <c r="I21" s="4">
        <f>Hotel!U26</f>
        <v>3770</v>
      </c>
      <c r="J21" s="4">
        <f>Hotel!V26</f>
        <v>3570</v>
      </c>
      <c r="K21" s="4">
        <f>Hotel!W26</f>
        <v>2190</v>
      </c>
      <c r="L21" s="4">
        <f>Hotel!X26</f>
        <v>4390</v>
      </c>
      <c r="M21" s="4">
        <f>Hotel!Y26</f>
        <v>5160</v>
      </c>
      <c r="N21" s="4">
        <f>Hotel!Z26</f>
        <v>2340</v>
      </c>
      <c r="O21" s="4">
        <f>Hotel!AA26</f>
        <v>2800</v>
      </c>
      <c r="P21" s="4">
        <f>Hotel!AB26</f>
        <v>6780</v>
      </c>
      <c r="Q21" s="4">
        <f>Hotel!AC26</f>
        <v>10820</v>
      </c>
      <c r="R21" s="4">
        <f>Hotel!AV26*0.00378541*100</f>
        <v>889.57134999999994</v>
      </c>
      <c r="S21" s="4">
        <f>Hotel!B26</f>
        <v>62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2021</v>
      </c>
      <c r="E22" s="4">
        <f>Hotel!Q27</f>
        <v>10160</v>
      </c>
      <c r="F22" s="4">
        <f>Hotel!R27</f>
        <v>13130</v>
      </c>
      <c r="G22" s="4">
        <f>Hotel!S27</f>
        <v>130</v>
      </c>
      <c r="H22" s="4">
        <f>Hotel!T27</f>
        <v>1650</v>
      </c>
      <c r="I22" s="4">
        <f>Hotel!U27</f>
        <v>3890</v>
      </c>
      <c r="J22" s="4">
        <f>Hotel!V27</f>
        <v>3810</v>
      </c>
      <c r="K22" s="4">
        <f>Hotel!W27</f>
        <v>2280</v>
      </c>
      <c r="L22" s="4">
        <f>Hotel!X27</f>
        <v>4910</v>
      </c>
      <c r="M22" s="4">
        <f>Hotel!Y27</f>
        <v>5700</v>
      </c>
      <c r="N22" s="4">
        <f>Hotel!Z27</f>
        <v>2400</v>
      </c>
      <c r="O22" s="4">
        <f>Hotel!AA27</f>
        <v>2940</v>
      </c>
      <c r="P22" s="4">
        <f>Hotel!AB27</f>
        <v>7260</v>
      </c>
      <c r="Q22" s="4">
        <f>Hotel!AC27</f>
        <v>11940</v>
      </c>
      <c r="R22" s="4">
        <f>Hotel!AV27*0.00378541*100</f>
        <v>889.19280900000001</v>
      </c>
      <c r="S22" s="4">
        <f>Hotel!B27</f>
        <v>74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2021</v>
      </c>
      <c r="E23" s="4">
        <f>Hotel!Q28</f>
        <v>9800</v>
      </c>
      <c r="F23" s="4">
        <f>Hotel!R28</f>
        <v>12680</v>
      </c>
      <c r="G23" s="4">
        <f>Hotel!S28</f>
        <v>120</v>
      </c>
      <c r="H23" s="4">
        <f>Hotel!T28</f>
        <v>1680</v>
      </c>
      <c r="I23" s="4">
        <f>Hotel!U28</f>
        <v>3950</v>
      </c>
      <c r="J23" s="4">
        <f>Hotel!V28</f>
        <v>3830</v>
      </c>
      <c r="K23" s="4">
        <f>Hotel!W28</f>
        <v>2230</v>
      </c>
      <c r="L23" s="4">
        <f>Hotel!X28</f>
        <v>4750</v>
      </c>
      <c r="M23" s="4">
        <f>Hotel!Y28</f>
        <v>5850</v>
      </c>
      <c r="N23" s="4">
        <f>Hotel!Z28</f>
        <v>2490</v>
      </c>
      <c r="O23" s="4">
        <f>Hotel!AA28</f>
        <v>2930</v>
      </c>
      <c r="P23" s="4">
        <f>Hotel!AB28</f>
        <v>7080</v>
      </c>
      <c r="Q23" s="4">
        <f>Hotel!AC28</f>
        <v>11750</v>
      </c>
      <c r="R23" s="4">
        <f>Hotel!AV28*0.00378541*100</f>
        <v>817.27001900000005</v>
      </c>
      <c r="S23" s="4">
        <f>Hotel!B28</f>
        <v>99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2021</v>
      </c>
      <c r="E24" s="4">
        <f>Hotel!Q29</f>
        <v>9900</v>
      </c>
      <c r="F24" s="4">
        <f>Hotel!R29</f>
        <v>12850</v>
      </c>
      <c r="G24" s="4">
        <f>Hotel!S29</f>
        <v>110</v>
      </c>
      <c r="H24" s="4">
        <f>Hotel!T29</f>
        <v>1710</v>
      </c>
      <c r="I24" s="4">
        <f>Hotel!U29</f>
        <v>4340</v>
      </c>
      <c r="J24" s="4">
        <f>Hotel!V29</f>
        <v>4110</v>
      </c>
      <c r="K24" s="4">
        <f>Hotel!W29</f>
        <v>2290</v>
      </c>
      <c r="L24" s="4">
        <f>Hotel!X29</f>
        <v>4940</v>
      </c>
      <c r="M24" s="4">
        <f>Hotel!Y29</f>
        <v>6160</v>
      </c>
      <c r="N24" s="4">
        <f>Hotel!Z29</f>
        <v>2760</v>
      </c>
      <c r="O24" s="4">
        <f>Hotel!AA29</f>
        <v>3260</v>
      </c>
      <c r="P24" s="4">
        <f>Hotel!AB29</f>
        <v>7370</v>
      </c>
      <c r="Q24" s="4">
        <f>Hotel!AC29</f>
        <v>9860</v>
      </c>
      <c r="R24" s="4">
        <f>Hotel!AV29*0.00378541*100</f>
        <v>981.93535399999996</v>
      </c>
      <c r="S24" s="4">
        <f>Hotel!B29</f>
        <v>168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2021</v>
      </c>
      <c r="E25" s="4">
        <f>Hotel!Q30</f>
        <v>10860</v>
      </c>
      <c r="F25" s="4">
        <f>Hotel!R30</f>
        <v>14030</v>
      </c>
      <c r="G25" s="4">
        <f>Hotel!S30</f>
        <v>140</v>
      </c>
      <c r="H25" s="4">
        <f>Hotel!T30</f>
        <v>1830</v>
      </c>
      <c r="I25" s="4">
        <f>Hotel!U30</f>
        <v>5040</v>
      </c>
      <c r="J25" s="4">
        <f>Hotel!V30</f>
        <v>4400</v>
      </c>
      <c r="K25" s="4">
        <f>Hotel!W30</f>
        <v>2450</v>
      </c>
      <c r="L25" s="4">
        <f>Hotel!X30</f>
        <v>5280</v>
      </c>
      <c r="M25" s="4">
        <f>Hotel!Y30</f>
        <v>6630</v>
      </c>
      <c r="N25" s="4">
        <f>Hotel!Z30</f>
        <v>3150</v>
      </c>
      <c r="O25" s="4">
        <f>Hotel!AA30</f>
        <v>3710</v>
      </c>
      <c r="P25" s="4">
        <f>Hotel!AB30</f>
        <v>8070</v>
      </c>
      <c r="Q25" s="4">
        <f>Hotel!AC30</f>
        <v>9600</v>
      </c>
      <c r="R25" s="4">
        <f>Hotel!AV30*0.00378541*100</f>
        <v>1056.1293899999998</v>
      </c>
      <c r="S25" s="4">
        <f>Hotel!B30</f>
        <v>188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2021</v>
      </c>
      <c r="E26" s="4">
        <f>Hotel!Q31</f>
        <v>9410</v>
      </c>
      <c r="F26" s="4">
        <f>Hotel!R31</f>
        <v>12070</v>
      </c>
      <c r="G26" s="4">
        <f>Hotel!S31</f>
        <v>120</v>
      </c>
      <c r="H26" s="4">
        <f>Hotel!T31</f>
        <v>1580</v>
      </c>
      <c r="I26" s="4">
        <f>Hotel!U31</f>
        <v>4140</v>
      </c>
      <c r="J26" s="4">
        <f>Hotel!V31</f>
        <v>3660</v>
      </c>
      <c r="K26" s="4">
        <f>Hotel!W31</f>
        <v>2090</v>
      </c>
      <c r="L26" s="4">
        <f>Hotel!X31</f>
        <v>4650</v>
      </c>
      <c r="M26" s="4">
        <f>Hotel!Y31</f>
        <v>5410</v>
      </c>
      <c r="N26" s="4">
        <f>Hotel!Z31</f>
        <v>2520</v>
      </c>
      <c r="O26" s="4">
        <f>Hotel!AA31</f>
        <v>3080</v>
      </c>
      <c r="P26" s="4">
        <f>Hotel!AB31</f>
        <v>6820</v>
      </c>
      <c r="Q26" s="4">
        <f>Hotel!AC31</f>
        <v>9590</v>
      </c>
      <c r="R26" s="4">
        <f>Hotel!AV31*0.00378541*100</f>
        <v>843.38934800000004</v>
      </c>
      <c r="S26" s="4">
        <f>Hotel!B31</f>
        <v>93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2021</v>
      </c>
      <c r="E27" s="4" t="str">
        <f>Hotel!Q32</f>
        <v>0</v>
      </c>
      <c r="F27" s="4" t="str">
        <f>Hotel!R32</f>
        <v>0</v>
      </c>
      <c r="G27" s="4" t="str">
        <f>Hotel!S32</f>
        <v>0</v>
      </c>
      <c r="H27" s="4" t="str">
        <f>Hotel!T32</f>
        <v>0</v>
      </c>
      <c r="I27" s="4" t="str">
        <f>Hotel!U32</f>
        <v>0</v>
      </c>
      <c r="J27" s="4" t="str">
        <f>Hotel!V32</f>
        <v>0</v>
      </c>
      <c r="K27" s="4" t="str">
        <f>Hotel!W32</f>
        <v>0</v>
      </c>
      <c r="L27" s="4" t="str">
        <f>Hotel!X32</f>
        <v>0</v>
      </c>
      <c r="M27" s="4" t="str">
        <f>Hotel!Y32</f>
        <v>0</v>
      </c>
      <c r="N27" s="4" t="str">
        <f>Hotel!Z32</f>
        <v>0</v>
      </c>
      <c r="O27" s="4" t="str">
        <f>Hotel!AA32</f>
        <v>0</v>
      </c>
      <c r="P27" s="4" t="str">
        <f>Hotel!AB32</f>
        <v>0</v>
      </c>
      <c r="Q27" s="4" t="str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N21" sqref="AN2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44439</v>
      </c>
      <c r="B2" s="40">
        <v>101</v>
      </c>
      <c r="C2" s="24">
        <v>6779780</v>
      </c>
      <c r="D2" s="24">
        <v>16794070</v>
      </c>
      <c r="E2" s="24">
        <v>3043970</v>
      </c>
      <c r="F2" s="24">
        <v>3626120</v>
      </c>
      <c r="G2" s="24">
        <v>10739270</v>
      </c>
      <c r="H2" s="24">
        <v>5800570</v>
      </c>
      <c r="I2" s="24">
        <v>5277440</v>
      </c>
      <c r="J2" s="24">
        <v>6250830</v>
      </c>
      <c r="K2" s="24">
        <v>9618180</v>
      </c>
      <c r="L2" s="24">
        <v>4047250</v>
      </c>
      <c r="M2" s="24">
        <v>8157400</v>
      </c>
      <c r="N2" s="24">
        <v>12630130</v>
      </c>
      <c r="O2" s="24">
        <v>17402040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194902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194902</v>
      </c>
    </row>
    <row r="7" spans="1:49" x14ac:dyDescent="0.25">
      <c r="A7" s="23">
        <v>44440</v>
      </c>
      <c r="B7" s="40">
        <v>109</v>
      </c>
      <c r="C7" s="24">
        <v>6786980</v>
      </c>
      <c r="D7" s="24">
        <v>16804150</v>
      </c>
      <c r="E7" s="24">
        <v>3046310</v>
      </c>
      <c r="F7" s="24">
        <v>3627370</v>
      </c>
      <c r="G7" s="24">
        <v>10742200</v>
      </c>
      <c r="H7" s="24">
        <v>5803340</v>
      </c>
      <c r="I7" s="24">
        <v>5279110</v>
      </c>
      <c r="J7" s="24">
        <v>6254570</v>
      </c>
      <c r="K7" s="24">
        <v>9622050</v>
      </c>
      <c r="L7" s="24">
        <v>4049240</v>
      </c>
      <c r="M7" s="24">
        <v>8159580</v>
      </c>
      <c r="N7" s="24">
        <v>12635560</v>
      </c>
      <c r="O7" s="24">
        <v>17407930</v>
      </c>
      <c r="Q7" s="37">
        <f>IF((C7-C2&lt;0), "0",C7-C2)</f>
        <v>7200</v>
      </c>
      <c r="R7" s="37">
        <f t="shared" ref="R7:AC7" si="0">IF((D7-D2&lt;0), "0",D7-D2)</f>
        <v>10080</v>
      </c>
      <c r="S7" s="37">
        <f>IF((E7-E2&lt;0), "0",E7-E2)</f>
        <v>2340</v>
      </c>
      <c r="T7" s="37">
        <f t="shared" si="0"/>
        <v>1250</v>
      </c>
      <c r="U7" s="37">
        <f t="shared" si="0"/>
        <v>2930</v>
      </c>
      <c r="V7" s="37">
        <f t="shared" si="0"/>
        <v>2770</v>
      </c>
      <c r="W7" s="37">
        <f t="shared" si="0"/>
        <v>1670</v>
      </c>
      <c r="X7" s="37">
        <f t="shared" si="0"/>
        <v>3740</v>
      </c>
      <c r="Y7" s="37">
        <f t="shared" si="0"/>
        <v>3870</v>
      </c>
      <c r="Z7" s="37">
        <f t="shared" si="0"/>
        <v>1990</v>
      </c>
      <c r="AA7" s="37">
        <f t="shared" si="0"/>
        <v>2180</v>
      </c>
      <c r="AB7" s="37">
        <f t="shared" si="0"/>
        <v>5430</v>
      </c>
      <c r="AC7" s="37">
        <f t="shared" si="0"/>
        <v>5890</v>
      </c>
      <c r="AD7" s="34">
        <f>SUM(Q7:AC7)</f>
        <v>51340</v>
      </c>
      <c r="AF7" s="20">
        <f t="shared" ref="AF7:AF36" si="1">Q7*$D$39</f>
        <v>36</v>
      </c>
      <c r="AG7" s="20">
        <f t="shared" ref="AG7:AG36" si="2">R7*$D$39</f>
        <v>50.4</v>
      </c>
      <c r="AH7" s="20">
        <f t="shared" ref="AH7:AH36" si="3">S7*$D$39</f>
        <v>11.700000000000001</v>
      </c>
      <c r="AI7" s="20">
        <f t="shared" ref="AI7:AI36" si="4">T7*$D$39</f>
        <v>6.25</v>
      </c>
      <c r="AJ7" s="20">
        <f t="shared" ref="AJ7:AJ36" si="5">U7*$D$39</f>
        <v>14.65</v>
      </c>
      <c r="AK7" s="20">
        <f t="shared" ref="AK7:AK36" si="6">V7*$D$39</f>
        <v>13.85</v>
      </c>
      <c r="AL7" s="20">
        <f t="shared" ref="AL7:AL36" si="7">W7*$D$39</f>
        <v>8.35</v>
      </c>
      <c r="AM7" s="20">
        <f t="shared" ref="AM7:AM36" si="8">X7*$D$39</f>
        <v>18.7</v>
      </c>
      <c r="AN7" s="20">
        <f t="shared" ref="AN7:AN36" si="9">Y7*$D$39</f>
        <v>19.350000000000001</v>
      </c>
      <c r="AO7" s="20">
        <f t="shared" ref="AO7:AO36" si="10">Z7*$D$39</f>
        <v>9.9500000000000011</v>
      </c>
      <c r="AP7" s="20">
        <f t="shared" ref="AP7:AP36" si="11">AA7*$D$39</f>
        <v>10.9</v>
      </c>
      <c r="AQ7" s="20">
        <f t="shared" ref="AQ7:AQ36" si="12">AB7*$D$39</f>
        <v>27.150000000000002</v>
      </c>
      <c r="AR7" s="20">
        <f t="shared" ref="AR7:AR36" si="13">AC7*$D$39</f>
        <v>29.45</v>
      </c>
      <c r="AS7" s="35">
        <f>SUM(AF7:AR7)</f>
        <v>256.7</v>
      </c>
      <c r="AU7" s="47">
        <v>196995</v>
      </c>
      <c r="AV7" s="37">
        <f>IF((AU7-AU6&lt;0),"0",AU7-AU6)</f>
        <v>2093</v>
      </c>
      <c r="AW7" s="35">
        <f t="shared" ref="AW7:AW35" si="14">AV7*$D$40</f>
        <v>4.1859999999999999</v>
      </c>
    </row>
    <row r="8" spans="1:49" x14ac:dyDescent="0.25">
      <c r="A8" s="23">
        <v>44441</v>
      </c>
      <c r="B8" s="40">
        <v>128</v>
      </c>
      <c r="C8" s="24">
        <v>6797560</v>
      </c>
      <c r="D8" s="24">
        <v>16818610</v>
      </c>
      <c r="E8" s="24">
        <v>3048340</v>
      </c>
      <c r="F8" s="24">
        <v>3629060</v>
      </c>
      <c r="G8" s="24">
        <v>10746320</v>
      </c>
      <c r="H8" s="24">
        <v>5806920</v>
      </c>
      <c r="I8" s="24">
        <v>5281370</v>
      </c>
      <c r="J8" s="24">
        <v>6259240</v>
      </c>
      <c r="K8" s="24">
        <v>9627500</v>
      </c>
      <c r="L8" s="24">
        <v>4051960</v>
      </c>
      <c r="M8" s="24">
        <v>8162780</v>
      </c>
      <c r="N8" s="24">
        <v>12642690</v>
      </c>
      <c r="O8" s="24">
        <v>17415980</v>
      </c>
      <c r="Q8" s="37">
        <f>IF((C8-C7&lt;0), "0",C8-C7)</f>
        <v>10580</v>
      </c>
      <c r="R8" s="37">
        <f t="shared" ref="R8:AC8" si="15">IF((D8-D7&lt;0), "0",D8-D7)</f>
        <v>14460</v>
      </c>
      <c r="S8" s="37">
        <f t="shared" ref="S8:S35" si="16">IF((E8-E7&lt;0), "0",E8-E7)</f>
        <v>2030</v>
      </c>
      <c r="T8" s="37">
        <f t="shared" si="15"/>
        <v>1690</v>
      </c>
      <c r="U8" s="37">
        <f t="shared" si="15"/>
        <v>4120</v>
      </c>
      <c r="V8" s="37">
        <f t="shared" si="15"/>
        <v>3580</v>
      </c>
      <c r="W8" s="37">
        <f t="shared" si="15"/>
        <v>2260</v>
      </c>
      <c r="X8" s="37">
        <f t="shared" si="15"/>
        <v>4670</v>
      </c>
      <c r="Y8" s="37">
        <f t="shared" si="15"/>
        <v>5450</v>
      </c>
      <c r="Z8" s="37">
        <f t="shared" si="15"/>
        <v>2720</v>
      </c>
      <c r="AA8" s="37">
        <f t="shared" si="15"/>
        <v>3200</v>
      </c>
      <c r="AB8" s="37">
        <f t="shared" si="15"/>
        <v>7130</v>
      </c>
      <c r="AC8" s="37">
        <f t="shared" si="15"/>
        <v>8050</v>
      </c>
      <c r="AD8" s="35">
        <f>SUM(Q8:AC8)</f>
        <v>69940</v>
      </c>
      <c r="AF8" s="20">
        <f t="shared" si="1"/>
        <v>52.9</v>
      </c>
      <c r="AG8" s="20">
        <f t="shared" si="2"/>
        <v>72.3</v>
      </c>
      <c r="AH8" s="20">
        <f t="shared" si="3"/>
        <v>10.15</v>
      </c>
      <c r="AI8" s="20">
        <f t="shared" si="4"/>
        <v>8.4499999999999993</v>
      </c>
      <c r="AJ8" s="20">
        <f t="shared" si="5"/>
        <v>20.6</v>
      </c>
      <c r="AK8" s="20">
        <f t="shared" si="6"/>
        <v>17.900000000000002</v>
      </c>
      <c r="AL8" s="20">
        <f t="shared" si="7"/>
        <v>11.3</v>
      </c>
      <c r="AM8" s="20">
        <f t="shared" si="8"/>
        <v>23.35</v>
      </c>
      <c r="AN8" s="20">
        <f t="shared" si="9"/>
        <v>27.25</v>
      </c>
      <c r="AO8" s="20">
        <f t="shared" si="10"/>
        <v>13.6</v>
      </c>
      <c r="AP8" s="20">
        <f t="shared" si="11"/>
        <v>16</v>
      </c>
      <c r="AQ8" s="20">
        <f t="shared" si="12"/>
        <v>35.65</v>
      </c>
      <c r="AR8" s="20">
        <f t="shared" si="13"/>
        <v>40.25</v>
      </c>
      <c r="AS8" s="35">
        <f>SUM(AF8:AR8)</f>
        <v>349.7</v>
      </c>
      <c r="AU8" s="47">
        <v>199370</v>
      </c>
      <c r="AV8" s="37">
        <f>IF((AU8-AU7&lt;0),"0",AU8-AU7)</f>
        <v>2375</v>
      </c>
      <c r="AW8" s="35">
        <f t="shared" si="14"/>
        <v>4.75</v>
      </c>
    </row>
    <row r="9" spans="1:49" x14ac:dyDescent="0.25">
      <c r="A9" s="23">
        <v>44442</v>
      </c>
      <c r="B9" s="40">
        <v>164</v>
      </c>
      <c r="C9" s="24">
        <v>6810420</v>
      </c>
      <c r="D9" s="24">
        <v>16835890</v>
      </c>
      <c r="E9" s="24">
        <v>3052740</v>
      </c>
      <c r="F9" s="24">
        <v>3630990</v>
      </c>
      <c r="G9" s="24">
        <v>10750950</v>
      </c>
      <c r="H9" s="24">
        <v>5810970</v>
      </c>
      <c r="I9" s="24">
        <v>5283950</v>
      </c>
      <c r="J9" s="24">
        <v>6264600</v>
      </c>
      <c r="K9" s="24">
        <v>9633670</v>
      </c>
      <c r="L9" s="24">
        <v>4055170</v>
      </c>
      <c r="M9" s="24">
        <v>8166380</v>
      </c>
      <c r="N9" s="24">
        <v>12650900</v>
      </c>
      <c r="O9" s="24">
        <v>17424980</v>
      </c>
      <c r="Q9" s="37">
        <f t="shared" ref="Q9:Q30" si="17">IF((C9-C8&lt;0), "0",C9-C8)</f>
        <v>12860</v>
      </c>
      <c r="R9" s="37">
        <f t="shared" ref="R9:R35" si="18">IF((D9-D8&lt;0), "0",D9-D8)</f>
        <v>17280</v>
      </c>
      <c r="S9" s="37">
        <f t="shared" si="16"/>
        <v>4400</v>
      </c>
      <c r="T9" s="37">
        <f t="shared" ref="T9:T35" si="19">IF((F9-F8&lt;0), "0",F9-F8)</f>
        <v>1930</v>
      </c>
      <c r="U9" s="37">
        <f t="shared" ref="U9:U35" si="20">IF((G9-G8&lt;0), "0",G9-G8)</f>
        <v>4630</v>
      </c>
      <c r="V9" s="37">
        <f t="shared" ref="V9:V35" si="21">IF((H9-H8&lt;0), "0",H9-H8)</f>
        <v>4050</v>
      </c>
      <c r="W9" s="37">
        <f t="shared" ref="W9:W35" si="22">IF((I9-I8&lt;0), "0",I9-I8)</f>
        <v>2580</v>
      </c>
      <c r="X9" s="37">
        <f t="shared" ref="X9:X35" si="23">IF((J9-J8&lt;0), "0",J9-J8)</f>
        <v>5360</v>
      </c>
      <c r="Y9" s="37">
        <f t="shared" ref="Y9:Y35" si="24">IF((K9-K8&lt;0), "0",K9-K8)</f>
        <v>6170</v>
      </c>
      <c r="Z9" s="37">
        <f t="shared" ref="Z9:Z35" si="25">IF((L9-L8&lt;0), "0",L9-L8)</f>
        <v>3210</v>
      </c>
      <c r="AA9" s="37">
        <f t="shared" ref="AA9:AA35" si="26">IF((M9-M8&lt;0), "0",M9-M8)</f>
        <v>3600</v>
      </c>
      <c r="AB9" s="37">
        <f t="shared" ref="AB9:AB37" si="27">IF((N9-N8&lt;0), "0",N9-N8)</f>
        <v>8210</v>
      </c>
      <c r="AC9" s="37">
        <f t="shared" ref="AC9:AC37" si="28">IF((O9-O8&lt;0), "0",O9-O8)</f>
        <v>9000</v>
      </c>
      <c r="AD9" s="35">
        <f t="shared" ref="AD9:AD37" si="29">SUM(Q9:AC9)</f>
        <v>83280</v>
      </c>
      <c r="AF9" s="20">
        <f t="shared" si="1"/>
        <v>64.3</v>
      </c>
      <c r="AG9" s="20">
        <f t="shared" si="2"/>
        <v>86.4</v>
      </c>
      <c r="AH9" s="20">
        <f t="shared" si="3"/>
        <v>22</v>
      </c>
      <c r="AI9" s="20">
        <f t="shared" si="4"/>
        <v>9.65</v>
      </c>
      <c r="AJ9" s="20">
        <f t="shared" si="5"/>
        <v>23.150000000000002</v>
      </c>
      <c r="AK9" s="20">
        <f t="shared" si="6"/>
        <v>20.25</v>
      </c>
      <c r="AL9" s="20">
        <f t="shared" si="7"/>
        <v>12.9</v>
      </c>
      <c r="AM9" s="20">
        <f t="shared" si="8"/>
        <v>26.8</v>
      </c>
      <c r="AN9" s="20">
        <f t="shared" si="9"/>
        <v>30.85</v>
      </c>
      <c r="AO9" s="20">
        <f t="shared" si="10"/>
        <v>16.05</v>
      </c>
      <c r="AP9" s="20">
        <f t="shared" si="11"/>
        <v>18</v>
      </c>
      <c r="AQ9" s="20">
        <f t="shared" si="12"/>
        <v>41.050000000000004</v>
      </c>
      <c r="AR9" s="20">
        <f t="shared" si="13"/>
        <v>45</v>
      </c>
      <c r="AS9" s="35">
        <f t="shared" ref="AS9:AS33" si="30">SUM(AF9:AR9)</f>
        <v>416.40000000000003</v>
      </c>
      <c r="AU9" s="47">
        <v>202127</v>
      </c>
      <c r="AV9" s="37">
        <f>IF((AU9-AU8&lt;0),"0",AU9-AU8)</f>
        <v>2757</v>
      </c>
      <c r="AW9" s="35">
        <f t="shared" si="14"/>
        <v>5.5140000000000002</v>
      </c>
    </row>
    <row r="10" spans="1:49" x14ac:dyDescent="0.25">
      <c r="A10" s="23">
        <v>44443</v>
      </c>
      <c r="B10" s="40">
        <v>71</v>
      </c>
      <c r="C10" s="24">
        <v>6820760</v>
      </c>
      <c r="D10" s="24">
        <v>16849000</v>
      </c>
      <c r="E10" s="24">
        <v>3053610</v>
      </c>
      <c r="F10" s="24">
        <v>3632640</v>
      </c>
      <c r="G10" s="24">
        <v>10754770</v>
      </c>
      <c r="H10" s="24">
        <v>5814550</v>
      </c>
      <c r="I10" s="24">
        <v>5286140</v>
      </c>
      <c r="J10" s="24">
        <v>6269080</v>
      </c>
      <c r="K10" s="24">
        <v>9638880</v>
      </c>
      <c r="L10" s="24">
        <v>4057720</v>
      </c>
      <c r="M10" s="24">
        <v>8169390</v>
      </c>
      <c r="N10" s="24">
        <v>12657730</v>
      </c>
      <c r="O10" s="24">
        <v>17433010</v>
      </c>
      <c r="Q10" s="37">
        <f t="shared" si="17"/>
        <v>10340</v>
      </c>
      <c r="R10" s="37">
        <f t="shared" si="18"/>
        <v>13110</v>
      </c>
      <c r="S10" s="37">
        <f t="shared" si="16"/>
        <v>870</v>
      </c>
      <c r="T10" s="37">
        <f t="shared" si="19"/>
        <v>1650</v>
      </c>
      <c r="U10" s="37">
        <f t="shared" si="20"/>
        <v>3820</v>
      </c>
      <c r="V10" s="37">
        <f t="shared" si="21"/>
        <v>3580</v>
      </c>
      <c r="W10" s="37">
        <f t="shared" si="22"/>
        <v>2190</v>
      </c>
      <c r="X10" s="37">
        <f t="shared" si="23"/>
        <v>4480</v>
      </c>
      <c r="Y10" s="37">
        <f t="shared" si="24"/>
        <v>5210</v>
      </c>
      <c r="Z10" s="37">
        <f t="shared" si="25"/>
        <v>2550</v>
      </c>
      <c r="AA10" s="37">
        <f t="shared" si="26"/>
        <v>3010</v>
      </c>
      <c r="AB10" s="37">
        <f t="shared" si="27"/>
        <v>6830</v>
      </c>
      <c r="AC10" s="37">
        <f t="shared" si="28"/>
        <v>8030</v>
      </c>
      <c r="AD10" s="35">
        <f t="shared" si="29"/>
        <v>65670</v>
      </c>
      <c r="AF10" s="20">
        <f t="shared" si="1"/>
        <v>51.7</v>
      </c>
      <c r="AG10" s="20">
        <f t="shared" si="2"/>
        <v>65.55</v>
      </c>
      <c r="AH10" s="20">
        <f t="shared" si="3"/>
        <v>4.3500000000000005</v>
      </c>
      <c r="AI10" s="20">
        <f t="shared" si="4"/>
        <v>8.25</v>
      </c>
      <c r="AJ10" s="20">
        <f t="shared" si="5"/>
        <v>19.100000000000001</v>
      </c>
      <c r="AK10" s="20">
        <f t="shared" si="6"/>
        <v>17.900000000000002</v>
      </c>
      <c r="AL10" s="20">
        <f t="shared" si="7"/>
        <v>10.950000000000001</v>
      </c>
      <c r="AM10" s="20">
        <f t="shared" si="8"/>
        <v>22.400000000000002</v>
      </c>
      <c r="AN10" s="20">
        <f t="shared" si="9"/>
        <v>26.05</v>
      </c>
      <c r="AO10" s="20">
        <f t="shared" si="10"/>
        <v>12.75</v>
      </c>
      <c r="AP10" s="20">
        <f t="shared" si="11"/>
        <v>15.05</v>
      </c>
      <c r="AQ10" s="20">
        <f t="shared" si="12"/>
        <v>34.15</v>
      </c>
      <c r="AR10" s="20">
        <f t="shared" si="13"/>
        <v>40.15</v>
      </c>
      <c r="AS10" s="35">
        <f t="shared" si="30"/>
        <v>328.34999999999997</v>
      </c>
      <c r="AU10" s="47">
        <v>204552</v>
      </c>
      <c r="AV10" s="37">
        <f t="shared" ref="AV10:AV26" si="31">IF((AU10-AU9&lt;0),"0",AU10-AU9)</f>
        <v>2425</v>
      </c>
      <c r="AW10" s="35">
        <f t="shared" si="14"/>
        <v>4.8500000000000005</v>
      </c>
    </row>
    <row r="11" spans="1:49" x14ac:dyDescent="0.25">
      <c r="A11" s="23">
        <v>44444</v>
      </c>
      <c r="B11" s="40">
        <v>65</v>
      </c>
      <c r="C11" s="24">
        <v>6831610</v>
      </c>
      <c r="D11" s="24">
        <v>16862520</v>
      </c>
      <c r="E11" s="24">
        <v>3053770</v>
      </c>
      <c r="F11" s="24">
        <v>3634350</v>
      </c>
      <c r="G11" s="24">
        <v>10758660</v>
      </c>
      <c r="H11" s="24">
        <v>5818130</v>
      </c>
      <c r="I11" s="24">
        <v>5288490</v>
      </c>
      <c r="J11" s="24">
        <v>6273280</v>
      </c>
      <c r="K11" s="24">
        <v>9644340</v>
      </c>
      <c r="L11" s="24">
        <v>4060260</v>
      </c>
      <c r="M11" s="24">
        <v>8172440</v>
      </c>
      <c r="N11" s="24">
        <v>12664880</v>
      </c>
      <c r="O11" s="24">
        <v>17442860</v>
      </c>
      <c r="Q11" s="37">
        <f t="shared" si="17"/>
        <v>10850</v>
      </c>
      <c r="R11" s="37">
        <f t="shared" si="18"/>
        <v>13520</v>
      </c>
      <c r="S11" s="37">
        <f t="shared" si="16"/>
        <v>160</v>
      </c>
      <c r="T11" s="37">
        <f t="shared" si="19"/>
        <v>1710</v>
      </c>
      <c r="U11" s="37">
        <f t="shared" si="20"/>
        <v>3890</v>
      </c>
      <c r="V11" s="37">
        <f t="shared" si="21"/>
        <v>3580</v>
      </c>
      <c r="W11" s="37">
        <f t="shared" si="22"/>
        <v>2350</v>
      </c>
      <c r="X11" s="37">
        <f t="shared" si="23"/>
        <v>4200</v>
      </c>
      <c r="Y11" s="37">
        <f t="shared" si="24"/>
        <v>5460</v>
      </c>
      <c r="Z11" s="37">
        <f t="shared" si="25"/>
        <v>2540</v>
      </c>
      <c r="AA11" s="37">
        <f t="shared" si="26"/>
        <v>3050</v>
      </c>
      <c r="AB11" s="37">
        <f t="shared" si="27"/>
        <v>7150</v>
      </c>
      <c r="AC11" s="37">
        <f t="shared" si="28"/>
        <v>9850</v>
      </c>
      <c r="AD11" s="35">
        <f t="shared" si="29"/>
        <v>68310</v>
      </c>
      <c r="AF11" s="20">
        <f t="shared" si="1"/>
        <v>54.25</v>
      </c>
      <c r="AG11" s="20">
        <f t="shared" si="2"/>
        <v>67.599999999999994</v>
      </c>
      <c r="AH11" s="20">
        <f t="shared" si="3"/>
        <v>0.8</v>
      </c>
      <c r="AI11" s="20">
        <f t="shared" si="4"/>
        <v>8.5500000000000007</v>
      </c>
      <c r="AJ11" s="20">
        <f t="shared" si="5"/>
        <v>19.45</v>
      </c>
      <c r="AK11" s="20">
        <f t="shared" si="6"/>
        <v>17.900000000000002</v>
      </c>
      <c r="AL11" s="20">
        <f t="shared" si="7"/>
        <v>11.75</v>
      </c>
      <c r="AM11" s="20">
        <f t="shared" si="8"/>
        <v>21</v>
      </c>
      <c r="AN11" s="20">
        <f t="shared" si="9"/>
        <v>27.3</v>
      </c>
      <c r="AO11" s="20">
        <f t="shared" si="10"/>
        <v>12.700000000000001</v>
      </c>
      <c r="AP11" s="20">
        <f t="shared" si="11"/>
        <v>15.25</v>
      </c>
      <c r="AQ11" s="20">
        <f t="shared" si="12"/>
        <v>35.75</v>
      </c>
      <c r="AR11" s="20">
        <f t="shared" si="13"/>
        <v>49.25</v>
      </c>
      <c r="AS11" s="35">
        <f t="shared" si="30"/>
        <v>341.54999999999995</v>
      </c>
      <c r="AU11" s="47">
        <v>207238</v>
      </c>
      <c r="AV11" s="37">
        <f t="shared" si="31"/>
        <v>2686</v>
      </c>
      <c r="AW11" s="35">
        <f t="shared" si="14"/>
        <v>5.3719999999999999</v>
      </c>
    </row>
    <row r="12" spans="1:49" x14ac:dyDescent="0.25">
      <c r="A12" s="23">
        <v>44445</v>
      </c>
      <c r="B12" s="40">
        <v>78</v>
      </c>
      <c r="C12" s="49">
        <v>6842380</v>
      </c>
      <c r="D12" s="24">
        <v>16876170</v>
      </c>
      <c r="E12" s="24">
        <v>3053920</v>
      </c>
      <c r="F12" s="24">
        <v>3636070</v>
      </c>
      <c r="G12" s="24">
        <v>10762640</v>
      </c>
      <c r="H12" s="24">
        <v>5821670</v>
      </c>
      <c r="I12" s="24">
        <v>5290840</v>
      </c>
      <c r="J12" s="24">
        <v>6277310</v>
      </c>
      <c r="K12" s="24">
        <v>9649880</v>
      </c>
      <c r="L12" s="24">
        <v>4062760</v>
      </c>
      <c r="M12" s="24">
        <v>8175450</v>
      </c>
      <c r="N12" s="24">
        <v>12672080</v>
      </c>
      <c r="O12" s="24">
        <v>17452930</v>
      </c>
      <c r="Q12" s="37">
        <f t="shared" si="17"/>
        <v>10770</v>
      </c>
      <c r="R12" s="37">
        <f t="shared" si="18"/>
        <v>13650</v>
      </c>
      <c r="S12" s="37">
        <f t="shared" si="16"/>
        <v>150</v>
      </c>
      <c r="T12" s="37">
        <f t="shared" ref="T12:W14" si="32">IF((F12-F11&lt;0), "0",F12-F11)</f>
        <v>1720</v>
      </c>
      <c r="U12" s="37">
        <f t="shared" si="32"/>
        <v>3980</v>
      </c>
      <c r="V12" s="37">
        <f t="shared" si="32"/>
        <v>3540</v>
      </c>
      <c r="W12" s="37">
        <f t="shared" si="32"/>
        <v>2350</v>
      </c>
      <c r="X12" s="37">
        <f t="shared" si="23"/>
        <v>4030</v>
      </c>
      <c r="Y12" s="37">
        <f t="shared" si="24"/>
        <v>5540</v>
      </c>
      <c r="Z12" s="37">
        <f>IF((L12-L11&lt;0), "0",L12-L11)</f>
        <v>2500</v>
      </c>
      <c r="AA12" s="37">
        <f t="shared" si="26"/>
        <v>3010</v>
      </c>
      <c r="AB12" s="37">
        <f t="shared" si="27"/>
        <v>7200</v>
      </c>
      <c r="AC12" s="37">
        <f t="shared" si="28"/>
        <v>10070</v>
      </c>
      <c r="AD12" s="35">
        <f t="shared" si="29"/>
        <v>68510</v>
      </c>
      <c r="AF12" s="20">
        <f t="shared" si="1"/>
        <v>53.85</v>
      </c>
      <c r="AG12" s="20">
        <f t="shared" si="2"/>
        <v>68.25</v>
      </c>
      <c r="AH12" s="20">
        <f t="shared" si="3"/>
        <v>0.75</v>
      </c>
      <c r="AI12" s="20">
        <f t="shared" si="4"/>
        <v>8.6</v>
      </c>
      <c r="AJ12" s="20">
        <f t="shared" si="5"/>
        <v>19.900000000000002</v>
      </c>
      <c r="AK12" s="20">
        <f t="shared" si="6"/>
        <v>17.7</v>
      </c>
      <c r="AL12" s="20">
        <f t="shared" si="7"/>
        <v>11.75</v>
      </c>
      <c r="AM12" s="20">
        <f t="shared" si="8"/>
        <v>20.150000000000002</v>
      </c>
      <c r="AN12" s="20">
        <f t="shared" si="9"/>
        <v>27.7</v>
      </c>
      <c r="AO12" s="20">
        <f t="shared" si="10"/>
        <v>12.5</v>
      </c>
      <c r="AP12" s="20">
        <f t="shared" si="11"/>
        <v>15.05</v>
      </c>
      <c r="AQ12" s="20">
        <f t="shared" si="12"/>
        <v>36</v>
      </c>
      <c r="AR12" s="20">
        <f t="shared" si="13"/>
        <v>50.35</v>
      </c>
      <c r="AS12" s="35">
        <f t="shared" si="30"/>
        <v>342.55</v>
      </c>
      <c r="AU12" s="47">
        <v>210106</v>
      </c>
      <c r="AV12" s="37">
        <f t="shared" si="31"/>
        <v>2868</v>
      </c>
      <c r="AW12" s="35">
        <f t="shared" si="14"/>
        <v>5.7359999999999998</v>
      </c>
    </row>
    <row r="13" spans="1:49" x14ac:dyDescent="0.25">
      <c r="A13" s="23">
        <v>44446</v>
      </c>
      <c r="B13" s="40">
        <v>70</v>
      </c>
      <c r="C13" s="24">
        <v>6853020</v>
      </c>
      <c r="D13" s="24">
        <v>16889620</v>
      </c>
      <c r="E13" s="24">
        <v>3054070</v>
      </c>
      <c r="F13" s="24">
        <v>3637760</v>
      </c>
      <c r="G13" s="24">
        <v>10766650</v>
      </c>
      <c r="H13" s="24">
        <v>5825320</v>
      </c>
      <c r="I13" s="24">
        <v>5293150</v>
      </c>
      <c r="J13" s="24">
        <v>6281790</v>
      </c>
      <c r="K13" s="24">
        <v>9655100</v>
      </c>
      <c r="L13" s="24">
        <v>4065220</v>
      </c>
      <c r="M13" s="24">
        <v>8178330</v>
      </c>
      <c r="N13" s="24">
        <v>12679180</v>
      </c>
      <c r="O13" s="24">
        <v>17462690</v>
      </c>
      <c r="Q13" s="37">
        <f t="shared" si="17"/>
        <v>10640</v>
      </c>
      <c r="R13" s="37">
        <f t="shared" si="18"/>
        <v>13450</v>
      </c>
      <c r="S13" s="37">
        <f t="shared" si="16"/>
        <v>150</v>
      </c>
      <c r="T13" s="37">
        <f t="shared" si="32"/>
        <v>1690</v>
      </c>
      <c r="U13" s="37">
        <f t="shared" si="32"/>
        <v>4010</v>
      </c>
      <c r="V13" s="37">
        <f t="shared" si="32"/>
        <v>3650</v>
      </c>
      <c r="W13" s="37">
        <f t="shared" si="32"/>
        <v>2310</v>
      </c>
      <c r="X13" s="37">
        <f t="shared" si="23"/>
        <v>4480</v>
      </c>
      <c r="Y13" s="37">
        <f t="shared" si="24"/>
        <v>5220</v>
      </c>
      <c r="Z13" s="37">
        <f>IF((L13-L12&lt;0), "0",L13-L12)</f>
        <v>2460</v>
      </c>
      <c r="AA13" s="37">
        <f t="shared" si="26"/>
        <v>2880</v>
      </c>
      <c r="AB13" s="37">
        <f t="shared" si="27"/>
        <v>7100</v>
      </c>
      <c r="AC13" s="37">
        <f t="shared" si="28"/>
        <v>9760</v>
      </c>
      <c r="AD13" s="35">
        <f t="shared" si="29"/>
        <v>67800</v>
      </c>
      <c r="AF13" s="20">
        <f t="shared" si="1"/>
        <v>53.2</v>
      </c>
      <c r="AG13" s="20">
        <f t="shared" si="2"/>
        <v>67.25</v>
      </c>
      <c r="AH13" s="20">
        <f t="shared" si="3"/>
        <v>0.75</v>
      </c>
      <c r="AI13" s="20">
        <f t="shared" si="4"/>
        <v>8.4499999999999993</v>
      </c>
      <c r="AJ13" s="20">
        <f t="shared" si="5"/>
        <v>20.05</v>
      </c>
      <c r="AK13" s="20">
        <f t="shared" si="6"/>
        <v>18.25</v>
      </c>
      <c r="AL13" s="20">
        <f t="shared" si="7"/>
        <v>11.55</v>
      </c>
      <c r="AM13" s="20">
        <f t="shared" si="8"/>
        <v>22.400000000000002</v>
      </c>
      <c r="AN13" s="20">
        <f t="shared" si="9"/>
        <v>26.1</v>
      </c>
      <c r="AO13" s="20">
        <f t="shared" si="10"/>
        <v>12.3</v>
      </c>
      <c r="AP13" s="20">
        <f t="shared" si="11"/>
        <v>14.4</v>
      </c>
      <c r="AQ13" s="20">
        <f t="shared" si="12"/>
        <v>35.5</v>
      </c>
      <c r="AR13" s="20">
        <f t="shared" si="13"/>
        <v>48.800000000000004</v>
      </c>
      <c r="AS13" s="35">
        <f t="shared" si="30"/>
        <v>339.00000000000006</v>
      </c>
      <c r="AU13" s="47">
        <v>212402</v>
      </c>
      <c r="AV13" s="37">
        <f t="shared" si="31"/>
        <v>2296</v>
      </c>
      <c r="AW13" s="35">
        <f t="shared" si="14"/>
        <v>4.5920000000000005</v>
      </c>
    </row>
    <row r="14" spans="1:49" x14ac:dyDescent="0.25">
      <c r="A14" s="23">
        <v>44447</v>
      </c>
      <c r="B14" s="40">
        <v>85</v>
      </c>
      <c r="C14" s="24">
        <v>6864380</v>
      </c>
      <c r="D14" s="24">
        <v>16903970</v>
      </c>
      <c r="E14" s="24">
        <v>3054230</v>
      </c>
      <c r="F14" s="24">
        <v>3639560</v>
      </c>
      <c r="G14" s="24">
        <v>10770780</v>
      </c>
      <c r="H14" s="24">
        <v>5829230</v>
      </c>
      <c r="I14" s="24">
        <v>5295610</v>
      </c>
      <c r="J14" s="24">
        <v>6286690</v>
      </c>
      <c r="K14" s="24">
        <v>9660940</v>
      </c>
      <c r="L14" s="24">
        <v>4067840</v>
      </c>
      <c r="M14" s="24">
        <v>8181450</v>
      </c>
      <c r="N14" s="24">
        <v>12686720</v>
      </c>
      <c r="O14" s="24">
        <v>17473540</v>
      </c>
      <c r="P14" s="53"/>
      <c r="Q14" s="37">
        <f t="shared" si="17"/>
        <v>11360</v>
      </c>
      <c r="R14" s="37">
        <f t="shared" si="18"/>
        <v>14350</v>
      </c>
      <c r="S14" s="37">
        <f t="shared" si="16"/>
        <v>160</v>
      </c>
      <c r="T14" s="37">
        <f t="shared" si="32"/>
        <v>1800</v>
      </c>
      <c r="U14" s="37">
        <f t="shared" si="32"/>
        <v>4130</v>
      </c>
      <c r="V14" s="37">
        <f t="shared" si="32"/>
        <v>3910</v>
      </c>
      <c r="W14" s="37">
        <f t="shared" si="32"/>
        <v>2460</v>
      </c>
      <c r="X14" s="37">
        <f t="shared" si="23"/>
        <v>4900</v>
      </c>
      <c r="Y14" s="37">
        <f t="shared" si="24"/>
        <v>5840</v>
      </c>
      <c r="Z14" s="37">
        <f>IF((L14-L13&lt;0), "0",L14-L13)</f>
        <v>2620</v>
      </c>
      <c r="AA14" s="37">
        <f t="shared" si="26"/>
        <v>3120</v>
      </c>
      <c r="AB14" s="37">
        <f t="shared" si="27"/>
        <v>7540</v>
      </c>
      <c r="AC14" s="37">
        <f t="shared" si="28"/>
        <v>10850</v>
      </c>
      <c r="AD14" s="35">
        <f t="shared" si="29"/>
        <v>73040</v>
      </c>
      <c r="AF14" s="20">
        <f t="shared" si="1"/>
        <v>56.800000000000004</v>
      </c>
      <c r="AG14" s="20">
        <f t="shared" si="2"/>
        <v>71.75</v>
      </c>
      <c r="AH14" s="20">
        <f t="shared" si="3"/>
        <v>0.8</v>
      </c>
      <c r="AI14" s="20">
        <f t="shared" si="4"/>
        <v>9</v>
      </c>
      <c r="AJ14" s="20">
        <f t="shared" si="5"/>
        <v>20.650000000000002</v>
      </c>
      <c r="AK14" s="20">
        <f t="shared" si="6"/>
        <v>19.55</v>
      </c>
      <c r="AL14" s="20">
        <f t="shared" si="7"/>
        <v>12.3</v>
      </c>
      <c r="AM14" s="20">
        <f t="shared" si="8"/>
        <v>24.5</v>
      </c>
      <c r="AN14" s="20">
        <f t="shared" si="9"/>
        <v>29.2</v>
      </c>
      <c r="AO14" s="20">
        <f t="shared" si="10"/>
        <v>13.1</v>
      </c>
      <c r="AP14" s="20">
        <f t="shared" si="11"/>
        <v>15.6</v>
      </c>
      <c r="AQ14" s="20">
        <f t="shared" si="12"/>
        <v>37.700000000000003</v>
      </c>
      <c r="AR14" s="20">
        <f t="shared" si="13"/>
        <v>54.25</v>
      </c>
      <c r="AS14" s="35">
        <f t="shared" si="30"/>
        <v>365.20000000000005</v>
      </c>
      <c r="AU14" s="47">
        <v>215104</v>
      </c>
      <c r="AV14" s="37">
        <f t="shared" si="31"/>
        <v>2702</v>
      </c>
      <c r="AW14" s="35">
        <f t="shared" si="14"/>
        <v>5.4039999999999999</v>
      </c>
    </row>
    <row r="15" spans="1:49" x14ac:dyDescent="0.25">
      <c r="A15" s="23">
        <v>44448</v>
      </c>
      <c r="B15" s="40">
        <v>139</v>
      </c>
      <c r="C15" s="24">
        <v>6874960</v>
      </c>
      <c r="D15" s="24">
        <v>16917320</v>
      </c>
      <c r="E15" s="24">
        <v>3054380</v>
      </c>
      <c r="F15" s="24">
        <v>3641220</v>
      </c>
      <c r="G15" s="24">
        <v>10774780</v>
      </c>
      <c r="H15" s="24">
        <v>5833020</v>
      </c>
      <c r="I15" s="24">
        <v>5297920</v>
      </c>
      <c r="J15" s="24">
        <v>6291600</v>
      </c>
      <c r="K15" s="24">
        <v>9666570</v>
      </c>
      <c r="L15" s="24">
        <v>4070470</v>
      </c>
      <c r="M15" s="24">
        <v>8184440</v>
      </c>
      <c r="N15" s="24">
        <v>12693760</v>
      </c>
      <c r="O15" s="24">
        <v>17484390</v>
      </c>
      <c r="Q15" s="37">
        <f t="shared" si="17"/>
        <v>10580</v>
      </c>
      <c r="R15" s="37">
        <f t="shared" si="18"/>
        <v>13350</v>
      </c>
      <c r="S15" s="37">
        <f t="shared" si="16"/>
        <v>150</v>
      </c>
      <c r="T15" s="37">
        <f t="shared" si="19"/>
        <v>1660</v>
      </c>
      <c r="U15" s="37">
        <f t="shared" si="20"/>
        <v>4000</v>
      </c>
      <c r="V15" s="37">
        <f t="shared" si="21"/>
        <v>3790</v>
      </c>
      <c r="W15" s="37">
        <f t="shared" si="22"/>
        <v>2310</v>
      </c>
      <c r="X15" s="37">
        <f t="shared" si="23"/>
        <v>4910</v>
      </c>
      <c r="Y15" s="37">
        <f t="shared" si="24"/>
        <v>5630</v>
      </c>
      <c r="Z15" s="37">
        <f t="shared" si="25"/>
        <v>2630</v>
      </c>
      <c r="AA15" s="37">
        <f t="shared" si="26"/>
        <v>2990</v>
      </c>
      <c r="AB15" s="37">
        <f t="shared" si="27"/>
        <v>7040</v>
      </c>
      <c r="AC15" s="37">
        <f t="shared" si="28"/>
        <v>10850</v>
      </c>
      <c r="AD15" s="35">
        <f t="shared" si="29"/>
        <v>69890</v>
      </c>
      <c r="AF15" s="20">
        <f t="shared" si="1"/>
        <v>52.9</v>
      </c>
      <c r="AG15" s="20">
        <f t="shared" si="2"/>
        <v>66.75</v>
      </c>
      <c r="AH15" s="20">
        <f t="shared" si="3"/>
        <v>0.75</v>
      </c>
      <c r="AI15" s="20">
        <f t="shared" si="4"/>
        <v>8.3000000000000007</v>
      </c>
      <c r="AJ15" s="20">
        <f t="shared" si="5"/>
        <v>20</v>
      </c>
      <c r="AK15" s="20">
        <f t="shared" si="6"/>
        <v>18.95</v>
      </c>
      <c r="AL15" s="20">
        <f t="shared" si="7"/>
        <v>11.55</v>
      </c>
      <c r="AM15" s="20">
        <f t="shared" si="8"/>
        <v>24.55</v>
      </c>
      <c r="AN15" s="20">
        <f t="shared" si="9"/>
        <v>28.150000000000002</v>
      </c>
      <c r="AO15" s="20">
        <f t="shared" si="10"/>
        <v>13.15</v>
      </c>
      <c r="AP15" s="20">
        <f t="shared" si="11"/>
        <v>14.950000000000001</v>
      </c>
      <c r="AQ15" s="20">
        <f t="shared" si="12"/>
        <v>35.200000000000003</v>
      </c>
      <c r="AR15" s="20">
        <f t="shared" si="13"/>
        <v>54.25</v>
      </c>
      <c r="AS15" s="35">
        <f t="shared" si="30"/>
        <v>349.45000000000005</v>
      </c>
      <c r="AU15" s="47">
        <v>217668</v>
      </c>
      <c r="AV15" s="37">
        <f t="shared" si="31"/>
        <v>2564</v>
      </c>
      <c r="AW15" s="35">
        <f t="shared" si="14"/>
        <v>5.1280000000000001</v>
      </c>
    </row>
    <row r="16" spans="1:49" x14ac:dyDescent="0.25">
      <c r="A16" s="23">
        <v>44449</v>
      </c>
      <c r="B16" s="40">
        <v>152</v>
      </c>
      <c r="C16" s="24">
        <v>6885920</v>
      </c>
      <c r="D16" s="24">
        <v>16931170</v>
      </c>
      <c r="E16" s="24">
        <v>3054530</v>
      </c>
      <c r="F16" s="24">
        <v>3642960</v>
      </c>
      <c r="G16" s="24">
        <v>10779120</v>
      </c>
      <c r="H16" s="24">
        <v>5836990</v>
      </c>
      <c r="I16" s="24">
        <v>5300360</v>
      </c>
      <c r="J16" s="24">
        <v>6296450</v>
      </c>
      <c r="K16" s="24">
        <v>9672650</v>
      </c>
      <c r="L16" s="24">
        <v>4073420</v>
      </c>
      <c r="M16" s="24">
        <v>8187670</v>
      </c>
      <c r="N16" s="24">
        <v>12701250</v>
      </c>
      <c r="O16" s="24">
        <v>17494930</v>
      </c>
      <c r="Q16" s="37">
        <f t="shared" si="17"/>
        <v>10960</v>
      </c>
      <c r="R16" s="37">
        <f t="shared" si="18"/>
        <v>13850</v>
      </c>
      <c r="S16" s="37">
        <f t="shared" si="16"/>
        <v>150</v>
      </c>
      <c r="T16" s="37">
        <f t="shared" si="19"/>
        <v>1740</v>
      </c>
      <c r="U16" s="37">
        <f t="shared" si="20"/>
        <v>4340</v>
      </c>
      <c r="V16" s="37">
        <f t="shared" si="21"/>
        <v>3970</v>
      </c>
      <c r="W16" s="37">
        <f t="shared" si="22"/>
        <v>2440</v>
      </c>
      <c r="X16" s="37">
        <f t="shared" si="23"/>
        <v>4850</v>
      </c>
      <c r="Y16" s="37">
        <f t="shared" si="24"/>
        <v>6080</v>
      </c>
      <c r="Z16" s="37">
        <f t="shared" si="25"/>
        <v>2950</v>
      </c>
      <c r="AA16" s="37">
        <f t="shared" si="26"/>
        <v>3230</v>
      </c>
      <c r="AB16" s="37">
        <f t="shared" si="27"/>
        <v>7490</v>
      </c>
      <c r="AC16" s="37">
        <f t="shared" si="28"/>
        <v>10540</v>
      </c>
      <c r="AD16" s="35">
        <f t="shared" si="29"/>
        <v>72590</v>
      </c>
      <c r="AF16" s="20">
        <f t="shared" si="1"/>
        <v>54.800000000000004</v>
      </c>
      <c r="AG16" s="20">
        <f t="shared" si="2"/>
        <v>69.25</v>
      </c>
      <c r="AH16" s="20">
        <f t="shared" si="3"/>
        <v>0.75</v>
      </c>
      <c r="AI16" s="20">
        <f t="shared" si="4"/>
        <v>8.7000000000000011</v>
      </c>
      <c r="AJ16" s="20">
        <f t="shared" si="5"/>
        <v>21.7</v>
      </c>
      <c r="AK16" s="20">
        <f t="shared" si="6"/>
        <v>19.850000000000001</v>
      </c>
      <c r="AL16" s="20">
        <f t="shared" si="7"/>
        <v>12.200000000000001</v>
      </c>
      <c r="AM16" s="20">
        <f t="shared" si="8"/>
        <v>24.25</v>
      </c>
      <c r="AN16" s="20">
        <f t="shared" si="9"/>
        <v>30.400000000000002</v>
      </c>
      <c r="AO16" s="20">
        <f t="shared" si="10"/>
        <v>14.75</v>
      </c>
      <c r="AP16" s="20">
        <f t="shared" si="11"/>
        <v>16.149999999999999</v>
      </c>
      <c r="AQ16" s="20">
        <f t="shared" si="12"/>
        <v>37.450000000000003</v>
      </c>
      <c r="AR16" s="20">
        <f t="shared" si="13"/>
        <v>52.7</v>
      </c>
      <c r="AS16" s="35">
        <f t="shared" si="30"/>
        <v>362.94999999999993</v>
      </c>
      <c r="AU16" s="47">
        <v>220310</v>
      </c>
      <c r="AV16" s="37">
        <f t="shared" si="31"/>
        <v>2642</v>
      </c>
      <c r="AW16" s="35">
        <f t="shared" si="14"/>
        <v>5.2839999999999998</v>
      </c>
    </row>
    <row r="17" spans="1:49" x14ac:dyDescent="0.25">
      <c r="A17" s="23">
        <v>44450</v>
      </c>
      <c r="B17" s="40">
        <v>84</v>
      </c>
      <c r="C17" s="24">
        <v>6896420</v>
      </c>
      <c r="D17" s="24">
        <v>16944570</v>
      </c>
      <c r="E17" s="24">
        <v>3054670</v>
      </c>
      <c r="F17" s="24">
        <v>3645910</v>
      </c>
      <c r="G17" s="24">
        <v>10783280</v>
      </c>
      <c r="H17" s="24">
        <v>5840760</v>
      </c>
      <c r="I17" s="24">
        <v>5302660</v>
      </c>
      <c r="J17" s="24">
        <v>6301340</v>
      </c>
      <c r="K17" s="24">
        <v>9678530</v>
      </c>
      <c r="L17" s="24">
        <v>4076290</v>
      </c>
      <c r="M17" s="24">
        <v>8190830</v>
      </c>
      <c r="N17" s="24">
        <v>12708730</v>
      </c>
      <c r="O17" s="24">
        <v>17505810</v>
      </c>
      <c r="Q17" s="37">
        <f t="shared" si="17"/>
        <v>10500</v>
      </c>
      <c r="R17" s="37">
        <f t="shared" si="18"/>
        <v>13400</v>
      </c>
      <c r="S17" s="37">
        <f t="shared" si="16"/>
        <v>140</v>
      </c>
      <c r="T17" s="37">
        <f t="shared" si="19"/>
        <v>2950</v>
      </c>
      <c r="U17" s="37">
        <f t="shared" si="20"/>
        <v>4160</v>
      </c>
      <c r="V17" s="37">
        <f t="shared" si="21"/>
        <v>3770</v>
      </c>
      <c r="W17" s="37">
        <f t="shared" si="22"/>
        <v>2300</v>
      </c>
      <c r="X17" s="37">
        <f t="shared" si="23"/>
        <v>4890</v>
      </c>
      <c r="Y17" s="37">
        <f t="shared" si="24"/>
        <v>5880</v>
      </c>
      <c r="Z17" s="37">
        <f t="shared" si="25"/>
        <v>2870</v>
      </c>
      <c r="AA17" s="37">
        <f t="shared" si="26"/>
        <v>3160</v>
      </c>
      <c r="AB17" s="37">
        <f t="shared" si="27"/>
        <v>7480</v>
      </c>
      <c r="AC17" s="37">
        <f t="shared" si="28"/>
        <v>10880</v>
      </c>
      <c r="AD17" s="35">
        <f t="shared" si="29"/>
        <v>72380</v>
      </c>
      <c r="AF17" s="20">
        <f t="shared" si="1"/>
        <v>52.5</v>
      </c>
      <c r="AG17" s="20">
        <f t="shared" si="2"/>
        <v>67</v>
      </c>
      <c r="AH17" s="20">
        <f t="shared" si="3"/>
        <v>0.70000000000000007</v>
      </c>
      <c r="AI17" s="20">
        <f t="shared" si="4"/>
        <v>14.75</v>
      </c>
      <c r="AJ17" s="20">
        <f t="shared" si="5"/>
        <v>20.8</v>
      </c>
      <c r="AK17" s="20">
        <f t="shared" si="6"/>
        <v>18.850000000000001</v>
      </c>
      <c r="AL17" s="20">
        <f t="shared" si="7"/>
        <v>11.5</v>
      </c>
      <c r="AM17" s="20">
        <f t="shared" si="8"/>
        <v>24.45</v>
      </c>
      <c r="AN17" s="20">
        <f t="shared" si="9"/>
        <v>29.400000000000002</v>
      </c>
      <c r="AO17" s="20">
        <f t="shared" si="10"/>
        <v>14.35</v>
      </c>
      <c r="AP17" s="20">
        <f t="shared" si="11"/>
        <v>15.8</v>
      </c>
      <c r="AQ17" s="20">
        <f t="shared" si="12"/>
        <v>37.4</v>
      </c>
      <c r="AR17" s="20">
        <f t="shared" si="13"/>
        <v>54.4</v>
      </c>
      <c r="AS17" s="35">
        <f t="shared" si="30"/>
        <v>361.89999999999992</v>
      </c>
      <c r="AU17" s="47">
        <v>222477</v>
      </c>
      <c r="AV17" s="37">
        <f t="shared" si="31"/>
        <v>2167</v>
      </c>
      <c r="AW17" s="35">
        <f t="shared" si="14"/>
        <v>4.3340000000000005</v>
      </c>
    </row>
    <row r="18" spans="1:49" x14ac:dyDescent="0.25">
      <c r="A18" s="23">
        <v>44451</v>
      </c>
      <c r="B18" s="40">
        <v>75</v>
      </c>
      <c r="C18" s="24">
        <v>6907330</v>
      </c>
      <c r="D18" s="24">
        <v>16958630</v>
      </c>
      <c r="E18" s="24">
        <v>3054810</v>
      </c>
      <c r="F18" s="24">
        <v>3646520</v>
      </c>
      <c r="G18" s="24">
        <v>10787600</v>
      </c>
      <c r="H18" s="24">
        <v>5844620</v>
      </c>
      <c r="I18" s="24">
        <v>5305120</v>
      </c>
      <c r="J18" s="24">
        <v>6306020</v>
      </c>
      <c r="K18" s="24">
        <v>9684660</v>
      </c>
      <c r="L18" s="24">
        <v>4079070</v>
      </c>
      <c r="M18" s="24">
        <v>8194070</v>
      </c>
      <c r="N18" s="24">
        <v>12716570</v>
      </c>
      <c r="O18" s="24">
        <v>17517380</v>
      </c>
      <c r="Q18" s="37">
        <f t="shared" si="17"/>
        <v>10910</v>
      </c>
      <c r="R18" s="37">
        <f t="shared" si="18"/>
        <v>14060</v>
      </c>
      <c r="S18" s="37">
        <f t="shared" si="16"/>
        <v>140</v>
      </c>
      <c r="T18" s="37">
        <f t="shared" si="19"/>
        <v>610</v>
      </c>
      <c r="U18" s="37">
        <f t="shared" si="20"/>
        <v>4320</v>
      </c>
      <c r="V18" s="37">
        <f t="shared" si="21"/>
        <v>3860</v>
      </c>
      <c r="W18" s="37">
        <f t="shared" si="22"/>
        <v>2460</v>
      </c>
      <c r="X18" s="37">
        <f t="shared" si="23"/>
        <v>4680</v>
      </c>
      <c r="Y18" s="37">
        <f t="shared" si="24"/>
        <v>6130</v>
      </c>
      <c r="Z18" s="37">
        <f t="shared" si="25"/>
        <v>2780</v>
      </c>
      <c r="AA18" s="37">
        <f t="shared" si="26"/>
        <v>3240</v>
      </c>
      <c r="AB18" s="37">
        <f t="shared" si="27"/>
        <v>7840</v>
      </c>
      <c r="AC18" s="37">
        <f t="shared" si="28"/>
        <v>11570</v>
      </c>
      <c r="AD18" s="35">
        <f t="shared" si="29"/>
        <v>72600</v>
      </c>
      <c r="AF18" s="20">
        <f t="shared" si="1"/>
        <v>54.550000000000004</v>
      </c>
      <c r="AG18" s="20">
        <f t="shared" si="2"/>
        <v>70.3</v>
      </c>
      <c r="AH18" s="20">
        <f t="shared" si="3"/>
        <v>0.70000000000000007</v>
      </c>
      <c r="AI18" s="20">
        <f t="shared" si="4"/>
        <v>3.0500000000000003</v>
      </c>
      <c r="AJ18" s="20">
        <f t="shared" si="5"/>
        <v>21.6</v>
      </c>
      <c r="AK18" s="20">
        <f t="shared" si="6"/>
        <v>19.3</v>
      </c>
      <c r="AL18" s="20">
        <f t="shared" si="7"/>
        <v>12.3</v>
      </c>
      <c r="AM18" s="20">
        <f t="shared" si="8"/>
        <v>23.400000000000002</v>
      </c>
      <c r="AN18" s="20">
        <f t="shared" si="9"/>
        <v>30.650000000000002</v>
      </c>
      <c r="AO18" s="20">
        <f t="shared" si="10"/>
        <v>13.9</v>
      </c>
      <c r="AP18" s="20">
        <f t="shared" si="11"/>
        <v>16.2</v>
      </c>
      <c r="AQ18" s="20">
        <f t="shared" si="12"/>
        <v>39.200000000000003</v>
      </c>
      <c r="AR18" s="20">
        <f t="shared" si="13"/>
        <v>57.85</v>
      </c>
      <c r="AS18" s="35">
        <f t="shared" si="30"/>
        <v>363.00000000000006</v>
      </c>
      <c r="AU18" s="47">
        <v>224762</v>
      </c>
      <c r="AV18" s="37">
        <f t="shared" si="31"/>
        <v>2285</v>
      </c>
      <c r="AW18" s="35">
        <f t="shared" si="14"/>
        <v>4.57</v>
      </c>
    </row>
    <row r="19" spans="1:49" x14ac:dyDescent="0.25">
      <c r="A19" s="23">
        <v>44452</v>
      </c>
      <c r="B19" s="40">
        <v>74</v>
      </c>
      <c r="C19" s="24">
        <v>6916980</v>
      </c>
      <c r="D19" s="24">
        <v>16971010</v>
      </c>
      <c r="E19" s="24">
        <v>3054930</v>
      </c>
      <c r="F19" s="24">
        <v>3648130</v>
      </c>
      <c r="G19" s="24">
        <v>10791390</v>
      </c>
      <c r="H19" s="24">
        <v>5848050</v>
      </c>
      <c r="I19" s="24">
        <v>5307290</v>
      </c>
      <c r="J19" s="24">
        <v>6310230</v>
      </c>
      <c r="K19" s="24">
        <v>9689690</v>
      </c>
      <c r="L19" s="24">
        <v>4081560</v>
      </c>
      <c r="M19" s="24">
        <v>8196850</v>
      </c>
      <c r="N19" s="24">
        <v>12723420</v>
      </c>
      <c r="O19" s="24">
        <v>17527020</v>
      </c>
      <c r="Q19" s="37">
        <f t="shared" si="17"/>
        <v>9650</v>
      </c>
      <c r="R19" s="37">
        <f t="shared" si="18"/>
        <v>12380</v>
      </c>
      <c r="S19" s="37">
        <f t="shared" si="16"/>
        <v>120</v>
      </c>
      <c r="T19" s="37">
        <f t="shared" si="19"/>
        <v>1610</v>
      </c>
      <c r="U19" s="37">
        <f t="shared" si="20"/>
        <v>3790</v>
      </c>
      <c r="V19" s="37">
        <f t="shared" si="21"/>
        <v>3430</v>
      </c>
      <c r="W19" s="37">
        <f t="shared" si="22"/>
        <v>2170</v>
      </c>
      <c r="X19" s="37">
        <f t="shared" si="23"/>
        <v>4210</v>
      </c>
      <c r="Y19" s="37">
        <f t="shared" si="24"/>
        <v>5030</v>
      </c>
      <c r="Z19" s="37">
        <f t="shared" si="25"/>
        <v>2490</v>
      </c>
      <c r="AA19" s="37">
        <f t="shared" si="26"/>
        <v>2780</v>
      </c>
      <c r="AB19" s="37">
        <f t="shared" si="27"/>
        <v>6850</v>
      </c>
      <c r="AC19" s="37">
        <f t="shared" si="28"/>
        <v>9640</v>
      </c>
      <c r="AD19" s="35">
        <f t="shared" si="29"/>
        <v>64150</v>
      </c>
      <c r="AF19" s="20">
        <f t="shared" si="1"/>
        <v>48.25</v>
      </c>
      <c r="AG19" s="20">
        <f t="shared" si="2"/>
        <v>61.9</v>
      </c>
      <c r="AH19" s="20">
        <f t="shared" si="3"/>
        <v>0.6</v>
      </c>
      <c r="AI19" s="20">
        <f t="shared" si="4"/>
        <v>8.0500000000000007</v>
      </c>
      <c r="AJ19" s="20">
        <f t="shared" si="5"/>
        <v>18.95</v>
      </c>
      <c r="AK19" s="20">
        <f t="shared" si="6"/>
        <v>17.150000000000002</v>
      </c>
      <c r="AL19" s="20">
        <f t="shared" si="7"/>
        <v>10.85</v>
      </c>
      <c r="AM19" s="20">
        <f t="shared" si="8"/>
        <v>21.05</v>
      </c>
      <c r="AN19" s="20">
        <f t="shared" si="9"/>
        <v>25.150000000000002</v>
      </c>
      <c r="AO19" s="20">
        <f t="shared" si="10"/>
        <v>12.450000000000001</v>
      </c>
      <c r="AP19" s="20">
        <f t="shared" si="11"/>
        <v>13.9</v>
      </c>
      <c r="AQ19" s="20">
        <f t="shared" si="12"/>
        <v>34.25</v>
      </c>
      <c r="AR19" s="20">
        <f t="shared" si="13"/>
        <v>48.2</v>
      </c>
      <c r="AS19" s="35">
        <f t="shared" si="30"/>
        <v>320.75</v>
      </c>
      <c r="AU19" s="47">
        <v>227244</v>
      </c>
      <c r="AV19" s="37">
        <f t="shared" si="31"/>
        <v>2482</v>
      </c>
      <c r="AW19" s="35">
        <f t="shared" si="14"/>
        <v>4.9640000000000004</v>
      </c>
    </row>
    <row r="20" spans="1:49" x14ac:dyDescent="0.25">
      <c r="A20" s="23">
        <v>44453</v>
      </c>
      <c r="B20" s="40">
        <v>65</v>
      </c>
      <c r="C20" s="24">
        <v>6927040</v>
      </c>
      <c r="D20" s="24">
        <v>16983930</v>
      </c>
      <c r="E20" s="24">
        <v>3055070</v>
      </c>
      <c r="F20" s="24">
        <v>3649810</v>
      </c>
      <c r="G20" s="24">
        <v>10795320</v>
      </c>
      <c r="H20" s="24">
        <v>5851560</v>
      </c>
      <c r="I20" s="24">
        <v>5309550</v>
      </c>
      <c r="J20" s="24">
        <v>6314960</v>
      </c>
      <c r="K20" s="24">
        <v>9695360</v>
      </c>
      <c r="L20" s="24">
        <v>4084100</v>
      </c>
      <c r="M20" s="24">
        <v>8199740</v>
      </c>
      <c r="N20" s="24">
        <v>12730710</v>
      </c>
      <c r="O20" s="24">
        <v>17537210</v>
      </c>
      <c r="Q20" s="37">
        <f t="shared" si="17"/>
        <v>10060</v>
      </c>
      <c r="R20" s="37">
        <f t="shared" si="18"/>
        <v>12920</v>
      </c>
      <c r="S20" s="37">
        <f t="shared" si="16"/>
        <v>140</v>
      </c>
      <c r="T20" s="37">
        <f t="shared" si="19"/>
        <v>1680</v>
      </c>
      <c r="U20" s="37">
        <f t="shared" si="20"/>
        <v>3930</v>
      </c>
      <c r="V20" s="37">
        <f t="shared" si="21"/>
        <v>3510</v>
      </c>
      <c r="W20" s="37">
        <f t="shared" si="22"/>
        <v>2260</v>
      </c>
      <c r="X20" s="37">
        <f t="shared" si="23"/>
        <v>4730</v>
      </c>
      <c r="Y20" s="37">
        <f t="shared" si="24"/>
        <v>5670</v>
      </c>
      <c r="Z20" s="37">
        <f t="shared" si="25"/>
        <v>2540</v>
      </c>
      <c r="AA20" s="37">
        <f t="shared" si="26"/>
        <v>2890</v>
      </c>
      <c r="AB20" s="37">
        <f t="shared" si="27"/>
        <v>7290</v>
      </c>
      <c r="AC20" s="37">
        <f t="shared" si="28"/>
        <v>10190</v>
      </c>
      <c r="AD20" s="35">
        <f t="shared" si="29"/>
        <v>67810</v>
      </c>
      <c r="AF20" s="20">
        <f t="shared" si="1"/>
        <v>50.300000000000004</v>
      </c>
      <c r="AG20" s="20">
        <f t="shared" si="2"/>
        <v>64.599999999999994</v>
      </c>
      <c r="AH20" s="20">
        <f t="shared" si="3"/>
        <v>0.70000000000000007</v>
      </c>
      <c r="AI20" s="20">
        <f t="shared" si="4"/>
        <v>8.4</v>
      </c>
      <c r="AJ20" s="20">
        <f t="shared" si="5"/>
        <v>19.650000000000002</v>
      </c>
      <c r="AK20" s="20">
        <f t="shared" si="6"/>
        <v>17.55</v>
      </c>
      <c r="AL20" s="20">
        <f t="shared" si="7"/>
        <v>11.3</v>
      </c>
      <c r="AM20" s="20">
        <f t="shared" si="8"/>
        <v>23.650000000000002</v>
      </c>
      <c r="AN20" s="20">
        <f t="shared" si="9"/>
        <v>28.35</v>
      </c>
      <c r="AO20" s="20">
        <f t="shared" si="10"/>
        <v>12.700000000000001</v>
      </c>
      <c r="AP20" s="20">
        <f t="shared" si="11"/>
        <v>14.450000000000001</v>
      </c>
      <c r="AQ20" s="20">
        <f t="shared" si="12"/>
        <v>36.450000000000003</v>
      </c>
      <c r="AR20" s="20">
        <f t="shared" si="13"/>
        <v>50.95</v>
      </c>
      <c r="AS20" s="35">
        <f t="shared" si="30"/>
        <v>339.05</v>
      </c>
      <c r="AU20" s="47">
        <v>229492</v>
      </c>
      <c r="AV20" s="37">
        <f t="shared" si="31"/>
        <v>2248</v>
      </c>
      <c r="AW20" s="35">
        <f t="shared" si="14"/>
        <v>4.4960000000000004</v>
      </c>
    </row>
    <row r="21" spans="1:49" x14ac:dyDescent="0.25">
      <c r="A21" s="23">
        <v>44454</v>
      </c>
      <c r="B21" s="40">
        <v>91</v>
      </c>
      <c r="C21" s="24">
        <v>6937630</v>
      </c>
      <c r="D21" s="24">
        <v>16997630</v>
      </c>
      <c r="E21" s="24">
        <v>3055200</v>
      </c>
      <c r="F21" s="24">
        <v>3651620</v>
      </c>
      <c r="G21" s="24">
        <v>10799370</v>
      </c>
      <c r="H21" s="24">
        <v>5855400</v>
      </c>
      <c r="I21" s="24">
        <v>5311970</v>
      </c>
      <c r="J21" s="24">
        <v>6320090</v>
      </c>
      <c r="K21" s="24">
        <v>9701520</v>
      </c>
      <c r="L21" s="24">
        <v>4086810</v>
      </c>
      <c r="M21" s="24">
        <v>8202950</v>
      </c>
      <c r="N21" s="24">
        <v>12738500</v>
      </c>
      <c r="O21" s="24">
        <v>17548090</v>
      </c>
      <c r="Q21" s="37">
        <f t="shared" si="17"/>
        <v>10590</v>
      </c>
      <c r="R21" s="37">
        <f t="shared" si="18"/>
        <v>13700</v>
      </c>
      <c r="S21" s="37">
        <f t="shared" si="16"/>
        <v>130</v>
      </c>
      <c r="T21" s="37">
        <f t="shared" si="19"/>
        <v>1810</v>
      </c>
      <c r="U21" s="37">
        <f t="shared" si="20"/>
        <v>4050</v>
      </c>
      <c r="V21" s="37">
        <f t="shared" si="21"/>
        <v>3840</v>
      </c>
      <c r="W21" s="37">
        <f t="shared" si="22"/>
        <v>2420</v>
      </c>
      <c r="X21" s="37">
        <f t="shared" si="23"/>
        <v>5130</v>
      </c>
      <c r="Y21" s="37">
        <f t="shared" si="24"/>
        <v>6160</v>
      </c>
      <c r="Z21" s="37">
        <f t="shared" si="25"/>
        <v>2710</v>
      </c>
      <c r="AA21" s="37">
        <f t="shared" si="26"/>
        <v>3210</v>
      </c>
      <c r="AB21" s="37">
        <f t="shared" si="27"/>
        <v>7790</v>
      </c>
      <c r="AC21" s="37">
        <f t="shared" si="28"/>
        <v>10880</v>
      </c>
      <c r="AD21" s="35">
        <f t="shared" si="29"/>
        <v>72420</v>
      </c>
      <c r="AF21" s="20">
        <f t="shared" si="1"/>
        <v>52.95</v>
      </c>
      <c r="AG21" s="20">
        <f t="shared" si="2"/>
        <v>68.5</v>
      </c>
      <c r="AH21" s="20">
        <f t="shared" si="3"/>
        <v>0.65</v>
      </c>
      <c r="AI21" s="20">
        <f t="shared" si="4"/>
        <v>9.0500000000000007</v>
      </c>
      <c r="AJ21" s="20">
        <f t="shared" si="5"/>
        <v>20.25</v>
      </c>
      <c r="AK21" s="20">
        <f t="shared" si="6"/>
        <v>19.2</v>
      </c>
      <c r="AL21" s="20">
        <f t="shared" si="7"/>
        <v>12.1</v>
      </c>
      <c r="AM21" s="20">
        <f t="shared" si="8"/>
        <v>25.650000000000002</v>
      </c>
      <c r="AN21" s="20">
        <f t="shared" si="9"/>
        <v>30.8</v>
      </c>
      <c r="AO21" s="20">
        <f t="shared" si="10"/>
        <v>13.55</v>
      </c>
      <c r="AP21" s="20">
        <f t="shared" si="11"/>
        <v>16.05</v>
      </c>
      <c r="AQ21" s="20">
        <f t="shared" si="12"/>
        <v>38.950000000000003</v>
      </c>
      <c r="AR21" s="20">
        <f t="shared" si="13"/>
        <v>54.4</v>
      </c>
      <c r="AS21" s="35">
        <f t="shared" si="30"/>
        <v>362.09999999999997</v>
      </c>
      <c r="AU21" s="47">
        <v>231719</v>
      </c>
      <c r="AV21" s="37">
        <f t="shared" si="31"/>
        <v>2227</v>
      </c>
      <c r="AW21" s="35">
        <f t="shared" si="14"/>
        <v>4.4539999999999997</v>
      </c>
    </row>
    <row r="22" spans="1:49" x14ac:dyDescent="0.25">
      <c r="A22" s="23">
        <v>44455</v>
      </c>
      <c r="B22" s="40">
        <v>126</v>
      </c>
      <c r="C22" s="24">
        <v>6947020</v>
      </c>
      <c r="D22" s="24">
        <v>17009700</v>
      </c>
      <c r="E22" s="24">
        <v>3055310</v>
      </c>
      <c r="F22" s="24">
        <v>3653180</v>
      </c>
      <c r="G22" s="24">
        <v>10803160</v>
      </c>
      <c r="H22" s="24">
        <v>5858870</v>
      </c>
      <c r="I22" s="24">
        <v>5314090</v>
      </c>
      <c r="J22" s="44">
        <v>6324520</v>
      </c>
      <c r="K22" s="24">
        <v>9706860</v>
      </c>
      <c r="L22" s="24">
        <v>4089320</v>
      </c>
      <c r="M22" s="24">
        <v>8206010</v>
      </c>
      <c r="N22" s="24">
        <v>12745170</v>
      </c>
      <c r="O22" s="44">
        <v>17558420</v>
      </c>
      <c r="Q22" s="37">
        <f t="shared" si="17"/>
        <v>9390</v>
      </c>
      <c r="R22" s="37">
        <f t="shared" si="18"/>
        <v>12070</v>
      </c>
      <c r="S22" s="37">
        <f t="shared" si="16"/>
        <v>110</v>
      </c>
      <c r="T22" s="37">
        <f t="shared" si="19"/>
        <v>1560</v>
      </c>
      <c r="U22" s="37">
        <f t="shared" si="20"/>
        <v>3790</v>
      </c>
      <c r="V22" s="37">
        <f t="shared" si="21"/>
        <v>3470</v>
      </c>
      <c r="W22" s="37">
        <f t="shared" si="22"/>
        <v>2120</v>
      </c>
      <c r="X22" s="37">
        <f t="shared" si="23"/>
        <v>4430</v>
      </c>
      <c r="Y22" s="37">
        <f t="shared" si="24"/>
        <v>5340</v>
      </c>
      <c r="Z22" s="37">
        <f t="shared" si="25"/>
        <v>2510</v>
      </c>
      <c r="AA22" s="37">
        <f t="shared" si="26"/>
        <v>3060</v>
      </c>
      <c r="AB22" s="37">
        <f t="shared" si="27"/>
        <v>6670</v>
      </c>
      <c r="AC22" s="37">
        <f t="shared" si="28"/>
        <v>10330</v>
      </c>
      <c r="AD22" s="35">
        <f t="shared" si="29"/>
        <v>64850</v>
      </c>
      <c r="AF22" s="20">
        <f t="shared" si="1"/>
        <v>46.95</v>
      </c>
      <c r="AG22" s="20">
        <f t="shared" si="2"/>
        <v>60.35</v>
      </c>
      <c r="AH22" s="20">
        <f t="shared" si="3"/>
        <v>0.55000000000000004</v>
      </c>
      <c r="AI22" s="20">
        <f t="shared" si="4"/>
        <v>7.8</v>
      </c>
      <c r="AJ22" s="20">
        <f t="shared" si="5"/>
        <v>18.95</v>
      </c>
      <c r="AK22" s="20">
        <f t="shared" si="6"/>
        <v>17.350000000000001</v>
      </c>
      <c r="AL22" s="20">
        <f t="shared" si="7"/>
        <v>10.6</v>
      </c>
      <c r="AM22" s="20">
        <f t="shared" si="8"/>
        <v>22.150000000000002</v>
      </c>
      <c r="AN22" s="20">
        <f t="shared" si="9"/>
        <v>26.7</v>
      </c>
      <c r="AO22" s="20">
        <f t="shared" si="10"/>
        <v>12.55</v>
      </c>
      <c r="AP22" s="20">
        <f t="shared" si="11"/>
        <v>15.3</v>
      </c>
      <c r="AQ22" s="20">
        <f t="shared" si="12"/>
        <v>33.35</v>
      </c>
      <c r="AR22" s="20">
        <f t="shared" si="13"/>
        <v>51.65</v>
      </c>
      <c r="AS22" s="35">
        <f t="shared" si="30"/>
        <v>324.25</v>
      </c>
      <c r="AU22" s="47">
        <v>234351</v>
      </c>
      <c r="AV22" s="37">
        <f t="shared" si="31"/>
        <v>2632</v>
      </c>
      <c r="AW22" s="35">
        <f t="shared" si="14"/>
        <v>5.2640000000000002</v>
      </c>
    </row>
    <row r="23" spans="1:49" x14ac:dyDescent="0.25">
      <c r="A23" s="23">
        <v>44456</v>
      </c>
      <c r="B23" s="40">
        <v>142</v>
      </c>
      <c r="C23" s="24">
        <v>6957020</v>
      </c>
      <c r="D23" s="24">
        <v>17022640</v>
      </c>
      <c r="E23" s="24">
        <v>3055430</v>
      </c>
      <c r="F23" s="24">
        <v>3654890</v>
      </c>
      <c r="G23" s="24">
        <v>10807440</v>
      </c>
      <c r="H23" s="24">
        <v>5862600</v>
      </c>
      <c r="I23" s="24">
        <v>5316350</v>
      </c>
      <c r="J23" s="24">
        <v>6329430</v>
      </c>
      <c r="K23" s="24">
        <v>9712630</v>
      </c>
      <c r="L23" s="24">
        <v>4092040</v>
      </c>
      <c r="M23" s="24">
        <v>8209080</v>
      </c>
      <c r="N23" s="24">
        <v>12752540</v>
      </c>
      <c r="O23" s="24">
        <v>17570270</v>
      </c>
      <c r="Q23" s="37">
        <f t="shared" si="17"/>
        <v>10000</v>
      </c>
      <c r="R23" s="37">
        <f t="shared" si="18"/>
        <v>12940</v>
      </c>
      <c r="S23" s="37">
        <f t="shared" si="16"/>
        <v>120</v>
      </c>
      <c r="T23" s="37">
        <f t="shared" si="19"/>
        <v>1710</v>
      </c>
      <c r="U23" s="37">
        <f t="shared" si="20"/>
        <v>4280</v>
      </c>
      <c r="V23" s="37">
        <f t="shared" si="21"/>
        <v>3730</v>
      </c>
      <c r="W23" s="37">
        <f t="shared" si="22"/>
        <v>2260</v>
      </c>
      <c r="X23" s="37">
        <f t="shared" si="23"/>
        <v>4910</v>
      </c>
      <c r="Y23" s="37">
        <f t="shared" si="24"/>
        <v>5770</v>
      </c>
      <c r="Z23" s="37">
        <f t="shared" si="25"/>
        <v>2720</v>
      </c>
      <c r="AA23" s="37">
        <f t="shared" si="26"/>
        <v>3070</v>
      </c>
      <c r="AB23" s="37">
        <f t="shared" si="27"/>
        <v>7370</v>
      </c>
      <c r="AC23" s="37">
        <f t="shared" si="28"/>
        <v>11850</v>
      </c>
      <c r="AD23" s="35">
        <f t="shared" si="29"/>
        <v>70730</v>
      </c>
      <c r="AF23" s="20">
        <f t="shared" si="1"/>
        <v>50</v>
      </c>
      <c r="AG23" s="20">
        <f t="shared" si="2"/>
        <v>64.7</v>
      </c>
      <c r="AH23" s="20">
        <f t="shared" si="3"/>
        <v>0.6</v>
      </c>
      <c r="AI23" s="20">
        <f t="shared" si="4"/>
        <v>8.5500000000000007</v>
      </c>
      <c r="AJ23" s="20">
        <f t="shared" si="5"/>
        <v>21.400000000000002</v>
      </c>
      <c r="AK23" s="20">
        <f t="shared" si="6"/>
        <v>18.650000000000002</v>
      </c>
      <c r="AL23" s="20">
        <f t="shared" si="7"/>
        <v>11.3</v>
      </c>
      <c r="AM23" s="20">
        <f t="shared" si="8"/>
        <v>24.55</v>
      </c>
      <c r="AN23" s="20">
        <f t="shared" si="9"/>
        <v>28.85</v>
      </c>
      <c r="AO23" s="20">
        <f t="shared" si="10"/>
        <v>13.6</v>
      </c>
      <c r="AP23" s="20">
        <f t="shared" si="11"/>
        <v>15.35</v>
      </c>
      <c r="AQ23" s="20">
        <f t="shared" si="12"/>
        <v>36.85</v>
      </c>
      <c r="AR23" s="20">
        <f t="shared" si="13"/>
        <v>59.25</v>
      </c>
      <c r="AS23" s="35">
        <f t="shared" si="30"/>
        <v>353.65000000000003</v>
      </c>
      <c r="AU23" s="47">
        <v>236992</v>
      </c>
      <c r="AV23" s="37">
        <f t="shared" si="31"/>
        <v>2641</v>
      </c>
      <c r="AW23" s="35">
        <f t="shared" si="14"/>
        <v>5.282</v>
      </c>
    </row>
    <row r="24" spans="1:49" x14ac:dyDescent="0.25">
      <c r="A24" s="23">
        <v>44457</v>
      </c>
      <c r="B24" s="40">
        <v>57</v>
      </c>
      <c r="C24" s="24">
        <v>6967190</v>
      </c>
      <c r="D24" s="24">
        <v>17035730</v>
      </c>
      <c r="E24" s="24">
        <v>3055560</v>
      </c>
      <c r="F24" s="24">
        <v>3656600</v>
      </c>
      <c r="G24" s="24">
        <v>10811630</v>
      </c>
      <c r="H24" s="24">
        <v>5866350</v>
      </c>
      <c r="I24" s="24">
        <v>5318650</v>
      </c>
      <c r="J24" s="24">
        <v>6334300</v>
      </c>
      <c r="K24" s="24">
        <v>9718320</v>
      </c>
      <c r="L24" s="24">
        <v>4094650</v>
      </c>
      <c r="M24" s="24">
        <v>8212220</v>
      </c>
      <c r="N24" s="24">
        <v>12760030</v>
      </c>
      <c r="O24" s="24">
        <v>17580480</v>
      </c>
      <c r="Q24" s="37">
        <f t="shared" si="17"/>
        <v>10170</v>
      </c>
      <c r="R24" s="37">
        <f t="shared" si="18"/>
        <v>13090</v>
      </c>
      <c r="S24" s="37">
        <f t="shared" si="16"/>
        <v>130</v>
      </c>
      <c r="T24" s="37">
        <f t="shared" si="19"/>
        <v>1710</v>
      </c>
      <c r="U24" s="37">
        <f t="shared" si="20"/>
        <v>4190</v>
      </c>
      <c r="V24" s="37">
        <f t="shared" si="21"/>
        <v>3750</v>
      </c>
      <c r="W24" s="37">
        <f t="shared" si="22"/>
        <v>2300</v>
      </c>
      <c r="X24" s="37">
        <f t="shared" si="23"/>
        <v>4870</v>
      </c>
      <c r="Y24" s="37">
        <f t="shared" si="24"/>
        <v>5690</v>
      </c>
      <c r="Z24" s="37">
        <f t="shared" si="25"/>
        <v>2610</v>
      </c>
      <c r="AA24" s="37">
        <f t="shared" si="26"/>
        <v>3140</v>
      </c>
      <c r="AB24" s="37">
        <f t="shared" si="27"/>
        <v>7490</v>
      </c>
      <c r="AC24" s="37">
        <f t="shared" si="28"/>
        <v>10210</v>
      </c>
      <c r="AD24" s="35">
        <f t="shared" si="29"/>
        <v>69350</v>
      </c>
      <c r="AF24" s="20">
        <f t="shared" si="1"/>
        <v>50.85</v>
      </c>
      <c r="AG24" s="20">
        <f t="shared" si="2"/>
        <v>65.45</v>
      </c>
      <c r="AH24" s="20">
        <f t="shared" si="3"/>
        <v>0.65</v>
      </c>
      <c r="AI24" s="20">
        <f t="shared" si="4"/>
        <v>8.5500000000000007</v>
      </c>
      <c r="AJ24" s="20">
        <f t="shared" si="5"/>
        <v>20.95</v>
      </c>
      <c r="AK24" s="20">
        <f t="shared" si="6"/>
        <v>18.75</v>
      </c>
      <c r="AL24" s="20">
        <f t="shared" si="7"/>
        <v>11.5</v>
      </c>
      <c r="AM24" s="20">
        <f t="shared" si="8"/>
        <v>24.35</v>
      </c>
      <c r="AN24" s="20">
        <f t="shared" si="9"/>
        <v>28.45</v>
      </c>
      <c r="AO24" s="20">
        <f t="shared" si="10"/>
        <v>13.05</v>
      </c>
      <c r="AP24" s="20">
        <f t="shared" si="11"/>
        <v>15.700000000000001</v>
      </c>
      <c r="AQ24" s="20">
        <f t="shared" si="12"/>
        <v>37.450000000000003</v>
      </c>
      <c r="AR24" s="20">
        <f t="shared" si="13"/>
        <v>51.050000000000004</v>
      </c>
      <c r="AS24" s="35">
        <f t="shared" si="30"/>
        <v>346.75</v>
      </c>
      <c r="AU24" s="47">
        <v>239089</v>
      </c>
      <c r="AV24" s="37">
        <f t="shared" si="31"/>
        <v>2097</v>
      </c>
      <c r="AW24" s="35">
        <f t="shared" si="14"/>
        <v>4.194</v>
      </c>
    </row>
    <row r="25" spans="1:49" x14ac:dyDescent="0.25">
      <c r="A25" s="23">
        <v>44458</v>
      </c>
      <c r="B25" s="40">
        <v>56</v>
      </c>
      <c r="C25" s="24">
        <v>6977690</v>
      </c>
      <c r="D25" s="24">
        <v>17049320</v>
      </c>
      <c r="E25" s="24">
        <v>3055700</v>
      </c>
      <c r="F25" s="24">
        <v>3658360</v>
      </c>
      <c r="G25" s="24">
        <v>10815910</v>
      </c>
      <c r="H25" s="24">
        <v>5870120</v>
      </c>
      <c r="I25" s="24">
        <v>5321050</v>
      </c>
      <c r="J25" s="24">
        <v>6339140</v>
      </c>
      <c r="K25" s="24">
        <v>9723870</v>
      </c>
      <c r="L25" s="24">
        <v>4097140</v>
      </c>
      <c r="M25" s="24">
        <v>8215380</v>
      </c>
      <c r="N25" s="24">
        <v>12767610</v>
      </c>
      <c r="O25" s="24">
        <v>17590120</v>
      </c>
      <c r="Q25" s="37">
        <f t="shared" ref="Q25:AC27" si="33">IF((C25-C24&lt;0), "0",C25-C24)</f>
        <v>10500</v>
      </c>
      <c r="R25" s="37">
        <f t="shared" si="33"/>
        <v>13590</v>
      </c>
      <c r="S25" s="37">
        <f t="shared" si="33"/>
        <v>140</v>
      </c>
      <c r="T25" s="37">
        <f t="shared" si="33"/>
        <v>1760</v>
      </c>
      <c r="U25" s="37">
        <f t="shared" si="33"/>
        <v>4280</v>
      </c>
      <c r="V25" s="37">
        <f t="shared" si="33"/>
        <v>3770</v>
      </c>
      <c r="W25" s="37">
        <f t="shared" si="33"/>
        <v>2400</v>
      </c>
      <c r="X25" s="37">
        <f t="shared" si="33"/>
        <v>4840</v>
      </c>
      <c r="Y25" s="37">
        <f t="shared" si="33"/>
        <v>5550</v>
      </c>
      <c r="Z25" s="37">
        <f t="shared" si="33"/>
        <v>2490</v>
      </c>
      <c r="AA25" s="37">
        <f t="shared" si="33"/>
        <v>3160</v>
      </c>
      <c r="AB25" s="37">
        <f t="shared" si="33"/>
        <v>7580</v>
      </c>
      <c r="AC25" s="37">
        <f t="shared" si="33"/>
        <v>9640</v>
      </c>
      <c r="AD25" s="35">
        <f t="shared" si="29"/>
        <v>69700</v>
      </c>
      <c r="AF25" s="20">
        <f t="shared" si="1"/>
        <v>52.5</v>
      </c>
      <c r="AG25" s="20">
        <f t="shared" si="2"/>
        <v>67.95</v>
      </c>
      <c r="AH25" s="20">
        <f t="shared" si="3"/>
        <v>0.70000000000000007</v>
      </c>
      <c r="AI25" s="20">
        <f t="shared" si="4"/>
        <v>8.8000000000000007</v>
      </c>
      <c r="AJ25" s="20">
        <f t="shared" si="5"/>
        <v>21.400000000000002</v>
      </c>
      <c r="AK25" s="20">
        <f t="shared" si="6"/>
        <v>18.850000000000001</v>
      </c>
      <c r="AL25" s="20">
        <f t="shared" si="7"/>
        <v>12</v>
      </c>
      <c r="AM25" s="20">
        <f t="shared" si="8"/>
        <v>24.2</v>
      </c>
      <c r="AN25" s="20">
        <f t="shared" si="9"/>
        <v>27.75</v>
      </c>
      <c r="AO25" s="20">
        <f t="shared" si="10"/>
        <v>12.450000000000001</v>
      </c>
      <c r="AP25" s="20">
        <f t="shared" si="11"/>
        <v>15.8</v>
      </c>
      <c r="AQ25" s="20">
        <f t="shared" si="12"/>
        <v>37.9</v>
      </c>
      <c r="AR25" s="20">
        <f t="shared" si="13"/>
        <v>48.2</v>
      </c>
      <c r="AS25" s="35">
        <f t="shared" si="30"/>
        <v>348.49999999999994</v>
      </c>
      <c r="AU25" s="47">
        <v>241962</v>
      </c>
      <c r="AV25" s="37">
        <f t="shared" si="31"/>
        <v>2873</v>
      </c>
      <c r="AW25" s="35">
        <f t="shared" si="14"/>
        <v>5.7460000000000004</v>
      </c>
    </row>
    <row r="26" spans="1:49" x14ac:dyDescent="0.25">
      <c r="A26" s="23">
        <v>44459</v>
      </c>
      <c r="B26" s="40">
        <v>62</v>
      </c>
      <c r="C26" s="24">
        <v>6987290</v>
      </c>
      <c r="D26" s="24">
        <v>17061720</v>
      </c>
      <c r="E26" s="24">
        <v>3055820</v>
      </c>
      <c r="F26" s="24">
        <v>3660090</v>
      </c>
      <c r="G26" s="24">
        <v>10819680</v>
      </c>
      <c r="H26" s="24">
        <v>5873690</v>
      </c>
      <c r="I26" s="24">
        <v>5323240</v>
      </c>
      <c r="J26" s="24">
        <v>6343530</v>
      </c>
      <c r="K26" s="24">
        <v>9729030</v>
      </c>
      <c r="L26" s="24">
        <v>4099480</v>
      </c>
      <c r="M26" s="24">
        <v>8218180</v>
      </c>
      <c r="N26" s="24">
        <v>12774390</v>
      </c>
      <c r="O26" s="24">
        <v>17600940</v>
      </c>
      <c r="Q26" s="37">
        <f t="shared" si="33"/>
        <v>9600</v>
      </c>
      <c r="R26" s="37">
        <f t="shared" si="33"/>
        <v>12400</v>
      </c>
      <c r="S26" s="37">
        <f t="shared" si="33"/>
        <v>120</v>
      </c>
      <c r="T26" s="37">
        <f t="shared" si="33"/>
        <v>1730</v>
      </c>
      <c r="U26" s="37">
        <f t="shared" si="33"/>
        <v>3770</v>
      </c>
      <c r="V26" s="37">
        <f t="shared" si="33"/>
        <v>3570</v>
      </c>
      <c r="W26" s="37">
        <f t="shared" si="33"/>
        <v>2190</v>
      </c>
      <c r="X26" s="37">
        <f t="shared" si="33"/>
        <v>4390</v>
      </c>
      <c r="Y26" s="37">
        <f t="shared" si="33"/>
        <v>5160</v>
      </c>
      <c r="Z26" s="37">
        <f t="shared" si="33"/>
        <v>2340</v>
      </c>
      <c r="AA26" s="37">
        <f t="shared" si="33"/>
        <v>2800</v>
      </c>
      <c r="AB26" s="37">
        <f t="shared" si="33"/>
        <v>6780</v>
      </c>
      <c r="AC26" s="37">
        <f t="shared" si="33"/>
        <v>10820</v>
      </c>
      <c r="AD26" s="35">
        <f t="shared" si="29"/>
        <v>65670</v>
      </c>
      <c r="AF26" s="20">
        <f t="shared" si="1"/>
        <v>48</v>
      </c>
      <c r="AG26" s="20">
        <f t="shared" si="2"/>
        <v>62</v>
      </c>
      <c r="AH26" s="20">
        <f t="shared" si="3"/>
        <v>0.6</v>
      </c>
      <c r="AI26" s="20">
        <f t="shared" si="4"/>
        <v>8.65</v>
      </c>
      <c r="AJ26" s="20">
        <f t="shared" si="5"/>
        <v>18.850000000000001</v>
      </c>
      <c r="AK26" s="20">
        <f t="shared" si="6"/>
        <v>17.850000000000001</v>
      </c>
      <c r="AL26" s="20">
        <f t="shared" si="7"/>
        <v>10.950000000000001</v>
      </c>
      <c r="AM26" s="20">
        <f t="shared" si="8"/>
        <v>21.95</v>
      </c>
      <c r="AN26" s="20">
        <f t="shared" si="9"/>
        <v>25.8</v>
      </c>
      <c r="AO26" s="20">
        <f t="shared" si="10"/>
        <v>11.700000000000001</v>
      </c>
      <c r="AP26" s="20">
        <f t="shared" si="11"/>
        <v>14</v>
      </c>
      <c r="AQ26" s="20">
        <f t="shared" si="12"/>
        <v>33.9</v>
      </c>
      <c r="AR26" s="20">
        <f t="shared" si="13"/>
        <v>54.1</v>
      </c>
      <c r="AS26" s="35">
        <f t="shared" si="30"/>
        <v>328.34999999999997</v>
      </c>
      <c r="AU26" s="47">
        <v>244312</v>
      </c>
      <c r="AV26" s="37">
        <f t="shared" si="31"/>
        <v>2350</v>
      </c>
      <c r="AW26" s="35">
        <f t="shared" si="14"/>
        <v>4.7</v>
      </c>
    </row>
    <row r="27" spans="1:49" x14ac:dyDescent="0.25">
      <c r="A27" s="23">
        <v>44460</v>
      </c>
      <c r="B27" s="40">
        <v>74</v>
      </c>
      <c r="C27" s="24">
        <v>6997450</v>
      </c>
      <c r="D27" s="24">
        <v>17074850</v>
      </c>
      <c r="E27" s="24">
        <v>3055950</v>
      </c>
      <c r="F27" s="24">
        <v>3661740</v>
      </c>
      <c r="G27" s="24">
        <v>10823570</v>
      </c>
      <c r="H27" s="24">
        <v>5877500</v>
      </c>
      <c r="I27" s="24">
        <v>5325520</v>
      </c>
      <c r="J27" s="24">
        <v>6348440</v>
      </c>
      <c r="K27" s="24">
        <v>9734730</v>
      </c>
      <c r="L27" s="24">
        <v>4101880</v>
      </c>
      <c r="M27" s="24">
        <v>8221120</v>
      </c>
      <c r="N27" s="24">
        <v>12781650</v>
      </c>
      <c r="O27" s="24">
        <v>17612880</v>
      </c>
      <c r="Q27" s="37">
        <f t="shared" si="33"/>
        <v>10160</v>
      </c>
      <c r="R27" s="37">
        <f t="shared" si="33"/>
        <v>13130</v>
      </c>
      <c r="S27" s="37">
        <f t="shared" si="33"/>
        <v>130</v>
      </c>
      <c r="T27" s="37">
        <f t="shared" si="33"/>
        <v>1650</v>
      </c>
      <c r="U27" s="37">
        <f t="shared" si="33"/>
        <v>3890</v>
      </c>
      <c r="V27" s="37">
        <f t="shared" si="33"/>
        <v>3810</v>
      </c>
      <c r="W27" s="37">
        <f t="shared" si="33"/>
        <v>2280</v>
      </c>
      <c r="X27" s="37">
        <f t="shared" si="33"/>
        <v>4910</v>
      </c>
      <c r="Y27" s="37">
        <f t="shared" si="33"/>
        <v>5700</v>
      </c>
      <c r="Z27" s="37">
        <f t="shared" si="33"/>
        <v>2400</v>
      </c>
      <c r="AA27" s="37">
        <f t="shared" si="33"/>
        <v>2940</v>
      </c>
      <c r="AB27" s="37">
        <f t="shared" si="33"/>
        <v>7260</v>
      </c>
      <c r="AC27" s="37">
        <f t="shared" si="33"/>
        <v>11940</v>
      </c>
      <c r="AD27" s="35">
        <f t="shared" si="29"/>
        <v>70200</v>
      </c>
      <c r="AF27" s="20">
        <f t="shared" si="1"/>
        <v>50.800000000000004</v>
      </c>
      <c r="AG27" s="20">
        <f t="shared" si="2"/>
        <v>65.650000000000006</v>
      </c>
      <c r="AH27" s="20">
        <f t="shared" si="3"/>
        <v>0.65</v>
      </c>
      <c r="AI27" s="20">
        <f t="shared" si="4"/>
        <v>8.25</v>
      </c>
      <c r="AJ27" s="20">
        <f t="shared" si="5"/>
        <v>19.45</v>
      </c>
      <c r="AK27" s="20">
        <f t="shared" si="6"/>
        <v>19.05</v>
      </c>
      <c r="AL27" s="20">
        <f t="shared" si="7"/>
        <v>11.4</v>
      </c>
      <c r="AM27" s="20">
        <f t="shared" si="8"/>
        <v>24.55</v>
      </c>
      <c r="AN27" s="20">
        <f t="shared" si="9"/>
        <v>28.5</v>
      </c>
      <c r="AO27" s="20">
        <f t="shared" si="10"/>
        <v>12</v>
      </c>
      <c r="AP27" s="20">
        <f t="shared" si="11"/>
        <v>14.700000000000001</v>
      </c>
      <c r="AQ27" s="20">
        <f t="shared" si="12"/>
        <v>36.300000000000004</v>
      </c>
      <c r="AR27" s="20">
        <f t="shared" si="13"/>
        <v>59.7</v>
      </c>
      <c r="AS27" s="35">
        <f t="shared" si="30"/>
        <v>351</v>
      </c>
      <c r="AU27" s="47">
        <v>246661</v>
      </c>
      <c r="AV27" s="37">
        <f>IF((AU27-AU26&lt;0),"0",AU27-AU26)</f>
        <v>2349</v>
      </c>
      <c r="AW27" s="35">
        <f t="shared" si="14"/>
        <v>4.6980000000000004</v>
      </c>
    </row>
    <row r="28" spans="1:49" x14ac:dyDescent="0.25">
      <c r="A28" s="23">
        <v>44461</v>
      </c>
      <c r="B28" s="40">
        <v>99</v>
      </c>
      <c r="C28" s="24">
        <v>7007250</v>
      </c>
      <c r="D28" s="24">
        <v>17087530</v>
      </c>
      <c r="E28" s="24">
        <v>3056070</v>
      </c>
      <c r="F28" s="24">
        <v>3663420</v>
      </c>
      <c r="G28" s="24">
        <v>10827520</v>
      </c>
      <c r="H28" s="24">
        <v>5881330</v>
      </c>
      <c r="I28" s="24">
        <v>5327750</v>
      </c>
      <c r="J28" s="24">
        <v>6353190</v>
      </c>
      <c r="K28" s="24">
        <v>9740580</v>
      </c>
      <c r="L28" s="24">
        <v>4104370</v>
      </c>
      <c r="M28" s="24">
        <v>8224050</v>
      </c>
      <c r="N28" s="24">
        <v>12788730</v>
      </c>
      <c r="O28" s="24">
        <v>17624630</v>
      </c>
      <c r="Q28" s="37">
        <f t="shared" si="17"/>
        <v>9800</v>
      </c>
      <c r="R28" s="37">
        <f t="shared" si="18"/>
        <v>12680</v>
      </c>
      <c r="S28" s="37">
        <f t="shared" si="16"/>
        <v>120</v>
      </c>
      <c r="T28" s="37">
        <f t="shared" si="19"/>
        <v>1680</v>
      </c>
      <c r="U28" s="37">
        <f t="shared" si="20"/>
        <v>3950</v>
      </c>
      <c r="V28" s="37">
        <f t="shared" si="21"/>
        <v>3830</v>
      </c>
      <c r="W28" s="37">
        <f t="shared" si="22"/>
        <v>2230</v>
      </c>
      <c r="X28" s="37">
        <f t="shared" si="23"/>
        <v>4750</v>
      </c>
      <c r="Y28" s="37">
        <f t="shared" si="24"/>
        <v>5850</v>
      </c>
      <c r="Z28" s="37">
        <f t="shared" si="25"/>
        <v>2490</v>
      </c>
      <c r="AA28" s="37">
        <f t="shared" si="26"/>
        <v>2930</v>
      </c>
      <c r="AB28" s="37">
        <f t="shared" si="27"/>
        <v>7080</v>
      </c>
      <c r="AC28" s="37">
        <f t="shared" si="28"/>
        <v>11750</v>
      </c>
      <c r="AD28" s="35">
        <f t="shared" si="29"/>
        <v>69140</v>
      </c>
      <c r="AF28" s="20">
        <f t="shared" si="1"/>
        <v>49</v>
      </c>
      <c r="AG28" s="20">
        <f t="shared" si="2"/>
        <v>63.4</v>
      </c>
      <c r="AH28" s="20">
        <f t="shared" si="3"/>
        <v>0.6</v>
      </c>
      <c r="AI28" s="20">
        <f t="shared" si="4"/>
        <v>8.4</v>
      </c>
      <c r="AJ28" s="20">
        <f t="shared" si="5"/>
        <v>19.75</v>
      </c>
      <c r="AK28" s="20">
        <f t="shared" si="6"/>
        <v>19.150000000000002</v>
      </c>
      <c r="AL28" s="20">
        <f t="shared" si="7"/>
        <v>11.15</v>
      </c>
      <c r="AM28" s="20">
        <f t="shared" si="8"/>
        <v>23.75</v>
      </c>
      <c r="AN28" s="20">
        <f t="shared" si="9"/>
        <v>29.25</v>
      </c>
      <c r="AO28" s="20">
        <f t="shared" si="10"/>
        <v>12.450000000000001</v>
      </c>
      <c r="AP28" s="20">
        <f t="shared" si="11"/>
        <v>14.65</v>
      </c>
      <c r="AQ28" s="20">
        <f t="shared" si="12"/>
        <v>35.4</v>
      </c>
      <c r="AR28" s="20">
        <f t="shared" si="13"/>
        <v>58.75</v>
      </c>
      <c r="AS28" s="35">
        <f t="shared" si="30"/>
        <v>345.7</v>
      </c>
      <c r="AU28" s="47">
        <v>248820</v>
      </c>
      <c r="AV28" s="37">
        <f>IF((AU28-AU27&lt;0),"0",AU28-AU27)</f>
        <v>2159</v>
      </c>
      <c r="AW28" s="35">
        <f t="shared" si="14"/>
        <v>4.3180000000000005</v>
      </c>
    </row>
    <row r="29" spans="1:49" x14ac:dyDescent="0.25">
      <c r="A29" s="23">
        <v>44462</v>
      </c>
      <c r="B29" s="40">
        <v>168</v>
      </c>
      <c r="C29" s="24">
        <v>7017150</v>
      </c>
      <c r="D29" s="24">
        <v>17100380</v>
      </c>
      <c r="E29" s="24">
        <v>3056180</v>
      </c>
      <c r="F29" s="24">
        <v>3665130</v>
      </c>
      <c r="G29" s="24">
        <v>10831860</v>
      </c>
      <c r="H29" s="24">
        <v>5885440</v>
      </c>
      <c r="I29" s="24">
        <v>5330040</v>
      </c>
      <c r="J29" s="24">
        <v>6358130</v>
      </c>
      <c r="K29" s="24">
        <v>9746740</v>
      </c>
      <c r="L29" s="24">
        <v>4107130</v>
      </c>
      <c r="M29" s="24">
        <v>8227310</v>
      </c>
      <c r="N29" s="24">
        <v>12796100</v>
      </c>
      <c r="O29" s="24">
        <v>17634490</v>
      </c>
      <c r="Q29" s="37">
        <f t="shared" si="17"/>
        <v>9900</v>
      </c>
      <c r="R29" s="37">
        <f t="shared" si="18"/>
        <v>12850</v>
      </c>
      <c r="S29" s="37">
        <f t="shared" si="16"/>
        <v>110</v>
      </c>
      <c r="T29" s="37">
        <f t="shared" si="19"/>
        <v>1710</v>
      </c>
      <c r="U29" s="37">
        <f t="shared" si="20"/>
        <v>4340</v>
      </c>
      <c r="V29" s="37">
        <f t="shared" si="21"/>
        <v>4110</v>
      </c>
      <c r="W29" s="37">
        <f t="shared" si="22"/>
        <v>2290</v>
      </c>
      <c r="X29" s="37">
        <f t="shared" si="23"/>
        <v>4940</v>
      </c>
      <c r="Y29" s="37">
        <f t="shared" si="24"/>
        <v>6160</v>
      </c>
      <c r="Z29" s="37">
        <f t="shared" si="25"/>
        <v>2760</v>
      </c>
      <c r="AA29" s="37">
        <f t="shared" si="26"/>
        <v>3260</v>
      </c>
      <c r="AB29" s="37">
        <f t="shared" si="27"/>
        <v>7370</v>
      </c>
      <c r="AC29" s="37">
        <f t="shared" si="28"/>
        <v>9860</v>
      </c>
      <c r="AD29" s="35">
        <f t="shared" si="29"/>
        <v>69660</v>
      </c>
      <c r="AF29" s="20">
        <f t="shared" si="1"/>
        <v>49.5</v>
      </c>
      <c r="AG29" s="20">
        <f t="shared" si="2"/>
        <v>64.25</v>
      </c>
      <c r="AH29" s="20">
        <f t="shared" si="3"/>
        <v>0.55000000000000004</v>
      </c>
      <c r="AI29" s="20">
        <f t="shared" si="4"/>
        <v>8.5500000000000007</v>
      </c>
      <c r="AJ29" s="20">
        <f t="shared" si="5"/>
        <v>21.7</v>
      </c>
      <c r="AK29" s="20">
        <f t="shared" si="6"/>
        <v>20.55</v>
      </c>
      <c r="AL29" s="20">
        <f t="shared" si="7"/>
        <v>11.450000000000001</v>
      </c>
      <c r="AM29" s="20">
        <f t="shared" si="8"/>
        <v>24.7</v>
      </c>
      <c r="AN29" s="20">
        <f t="shared" si="9"/>
        <v>30.8</v>
      </c>
      <c r="AO29" s="20">
        <f t="shared" si="10"/>
        <v>13.8</v>
      </c>
      <c r="AP29" s="20">
        <f t="shared" si="11"/>
        <v>16.3</v>
      </c>
      <c r="AQ29" s="20">
        <f t="shared" si="12"/>
        <v>36.85</v>
      </c>
      <c r="AR29" s="20">
        <f t="shared" si="13"/>
        <v>49.300000000000004</v>
      </c>
      <c r="AS29" s="35">
        <f t="shared" si="30"/>
        <v>348.3</v>
      </c>
      <c r="AU29" s="47">
        <v>251414</v>
      </c>
      <c r="AV29" s="37">
        <f t="shared" ref="AV29:AV35" si="34">IF((AU29-AU28&lt;0),"0",AU29-AU28)</f>
        <v>2594</v>
      </c>
      <c r="AW29" s="35">
        <f t="shared" si="14"/>
        <v>5.1879999999999997</v>
      </c>
    </row>
    <row r="30" spans="1:49" x14ac:dyDescent="0.25">
      <c r="A30" s="23">
        <v>44463</v>
      </c>
      <c r="B30" s="40">
        <v>188</v>
      </c>
      <c r="C30" s="24">
        <v>7028010</v>
      </c>
      <c r="D30" s="24">
        <v>17114410</v>
      </c>
      <c r="E30" s="24">
        <v>3056320</v>
      </c>
      <c r="F30" s="24">
        <v>3666960</v>
      </c>
      <c r="G30" s="24">
        <v>10836900</v>
      </c>
      <c r="H30" s="24">
        <v>5889840</v>
      </c>
      <c r="I30" s="24">
        <v>5332490</v>
      </c>
      <c r="J30" s="24">
        <v>6363410</v>
      </c>
      <c r="K30" s="24">
        <v>9753370</v>
      </c>
      <c r="L30" s="24">
        <v>4110280</v>
      </c>
      <c r="M30" s="24">
        <v>8231020</v>
      </c>
      <c r="N30" s="24">
        <v>12804170</v>
      </c>
      <c r="O30" s="24">
        <v>17644090</v>
      </c>
      <c r="Q30" s="37">
        <f t="shared" si="17"/>
        <v>10860</v>
      </c>
      <c r="R30" s="37">
        <f t="shared" si="18"/>
        <v>14030</v>
      </c>
      <c r="S30" s="37">
        <f t="shared" si="16"/>
        <v>140</v>
      </c>
      <c r="T30" s="37">
        <f t="shared" si="19"/>
        <v>1830</v>
      </c>
      <c r="U30" s="37">
        <f t="shared" si="20"/>
        <v>5040</v>
      </c>
      <c r="V30" s="37">
        <f t="shared" si="21"/>
        <v>4400</v>
      </c>
      <c r="W30" s="37">
        <f t="shared" si="22"/>
        <v>2450</v>
      </c>
      <c r="X30" s="37">
        <f t="shared" si="23"/>
        <v>5280</v>
      </c>
      <c r="Y30" s="37">
        <f t="shared" si="24"/>
        <v>6630</v>
      </c>
      <c r="Z30" s="37">
        <f t="shared" si="25"/>
        <v>3150</v>
      </c>
      <c r="AA30" s="37">
        <f t="shared" si="26"/>
        <v>3710</v>
      </c>
      <c r="AB30" s="37">
        <f t="shared" si="27"/>
        <v>8070</v>
      </c>
      <c r="AC30" s="37">
        <f t="shared" si="28"/>
        <v>9600</v>
      </c>
      <c r="AD30" s="35">
        <f t="shared" si="29"/>
        <v>75190</v>
      </c>
      <c r="AF30" s="20">
        <f t="shared" si="1"/>
        <v>54.300000000000004</v>
      </c>
      <c r="AG30" s="20">
        <f t="shared" si="2"/>
        <v>70.150000000000006</v>
      </c>
      <c r="AH30" s="20">
        <f t="shared" si="3"/>
        <v>0.70000000000000007</v>
      </c>
      <c r="AI30" s="20">
        <f t="shared" si="4"/>
        <v>9.15</v>
      </c>
      <c r="AJ30" s="20">
        <f t="shared" si="5"/>
        <v>25.2</v>
      </c>
      <c r="AK30" s="20">
        <f t="shared" si="6"/>
        <v>22</v>
      </c>
      <c r="AL30" s="20">
        <f t="shared" si="7"/>
        <v>12.25</v>
      </c>
      <c r="AM30" s="20">
        <f t="shared" si="8"/>
        <v>26.400000000000002</v>
      </c>
      <c r="AN30" s="20">
        <f t="shared" si="9"/>
        <v>33.15</v>
      </c>
      <c r="AO30" s="20">
        <f t="shared" si="10"/>
        <v>15.75</v>
      </c>
      <c r="AP30" s="20">
        <f t="shared" si="11"/>
        <v>18.55</v>
      </c>
      <c r="AQ30" s="20">
        <f t="shared" si="12"/>
        <v>40.35</v>
      </c>
      <c r="AR30" s="20">
        <f t="shared" si="13"/>
        <v>48</v>
      </c>
      <c r="AS30" s="35">
        <f t="shared" si="30"/>
        <v>375.95000000000005</v>
      </c>
      <c r="AU30" s="47">
        <v>254204</v>
      </c>
      <c r="AV30" s="37">
        <f t="shared" si="34"/>
        <v>2790</v>
      </c>
      <c r="AW30" s="35">
        <f t="shared" si="14"/>
        <v>5.58</v>
      </c>
    </row>
    <row r="31" spans="1:49" x14ac:dyDescent="0.25">
      <c r="A31" s="23">
        <v>44464</v>
      </c>
      <c r="B31" s="40">
        <v>93</v>
      </c>
      <c r="C31" s="24">
        <v>7037420</v>
      </c>
      <c r="D31" s="24">
        <v>17126480</v>
      </c>
      <c r="E31" s="24">
        <v>3056440</v>
      </c>
      <c r="F31" s="24">
        <v>3668540</v>
      </c>
      <c r="G31" s="24">
        <v>10841040</v>
      </c>
      <c r="H31" s="24">
        <v>5893500</v>
      </c>
      <c r="I31" s="24">
        <v>5334580</v>
      </c>
      <c r="J31" s="24">
        <v>6368060</v>
      </c>
      <c r="K31" s="24">
        <v>9758780</v>
      </c>
      <c r="L31" s="24">
        <v>4112800</v>
      </c>
      <c r="M31" s="24">
        <v>8234100</v>
      </c>
      <c r="N31" s="24">
        <v>12810990</v>
      </c>
      <c r="O31" s="24">
        <v>17653680</v>
      </c>
      <c r="Q31" s="37">
        <f>IF((C31-C30&lt;0), "0",C31-C30)</f>
        <v>9410</v>
      </c>
      <c r="R31" s="37">
        <f t="shared" si="18"/>
        <v>12070</v>
      </c>
      <c r="S31" s="37">
        <f t="shared" si="16"/>
        <v>120</v>
      </c>
      <c r="T31" s="37">
        <f t="shared" si="19"/>
        <v>1580</v>
      </c>
      <c r="U31" s="37">
        <f t="shared" si="20"/>
        <v>4140</v>
      </c>
      <c r="V31" s="37">
        <f t="shared" si="21"/>
        <v>3660</v>
      </c>
      <c r="W31" s="37">
        <f t="shared" si="22"/>
        <v>2090</v>
      </c>
      <c r="X31" s="37">
        <f t="shared" si="23"/>
        <v>4650</v>
      </c>
      <c r="Y31" s="37">
        <f t="shared" si="24"/>
        <v>5410</v>
      </c>
      <c r="Z31" s="37">
        <f t="shared" si="25"/>
        <v>2520</v>
      </c>
      <c r="AA31" s="37">
        <f t="shared" si="26"/>
        <v>3080</v>
      </c>
      <c r="AB31" s="37">
        <f t="shared" si="27"/>
        <v>6820</v>
      </c>
      <c r="AC31" s="37">
        <f t="shared" si="28"/>
        <v>9590</v>
      </c>
      <c r="AD31" s="35">
        <f t="shared" si="29"/>
        <v>65140</v>
      </c>
      <c r="AF31" s="20">
        <f t="shared" si="1"/>
        <v>47.050000000000004</v>
      </c>
      <c r="AG31" s="20">
        <f t="shared" si="2"/>
        <v>60.35</v>
      </c>
      <c r="AH31" s="20">
        <f t="shared" si="3"/>
        <v>0.6</v>
      </c>
      <c r="AI31" s="20">
        <f t="shared" si="4"/>
        <v>7.9</v>
      </c>
      <c r="AJ31" s="20">
        <f t="shared" si="5"/>
        <v>20.7</v>
      </c>
      <c r="AK31" s="20">
        <f t="shared" si="6"/>
        <v>18.3</v>
      </c>
      <c r="AL31" s="20">
        <f t="shared" si="7"/>
        <v>10.450000000000001</v>
      </c>
      <c r="AM31" s="20">
        <f t="shared" si="8"/>
        <v>23.25</v>
      </c>
      <c r="AN31" s="20">
        <f t="shared" si="9"/>
        <v>27.05</v>
      </c>
      <c r="AO31" s="20">
        <f t="shared" si="10"/>
        <v>12.6</v>
      </c>
      <c r="AP31" s="20">
        <f t="shared" si="11"/>
        <v>15.4</v>
      </c>
      <c r="AQ31" s="20">
        <f t="shared" si="12"/>
        <v>34.1</v>
      </c>
      <c r="AR31" s="20">
        <f t="shared" si="13"/>
        <v>47.95</v>
      </c>
      <c r="AS31" s="35">
        <f t="shared" si="30"/>
        <v>325.7</v>
      </c>
      <c r="AU31" s="47">
        <v>256432</v>
      </c>
      <c r="AV31" s="37">
        <f t="shared" si="34"/>
        <v>2228</v>
      </c>
      <c r="AW31" s="35">
        <f t="shared" si="14"/>
        <v>4.4560000000000004</v>
      </c>
    </row>
    <row r="32" spans="1:49" x14ac:dyDescent="0.25">
      <c r="A32" s="23">
        <v>44465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 t="str">
        <f>IF((C32-C31&lt;0), "0",C32-C31)</f>
        <v>0</v>
      </c>
      <c r="R32" s="37" t="str">
        <f t="shared" si="18"/>
        <v>0</v>
      </c>
      <c r="S32" s="37" t="str">
        <f t="shared" si="16"/>
        <v>0</v>
      </c>
      <c r="T32" s="37" t="str">
        <f t="shared" si="19"/>
        <v>0</v>
      </c>
      <c r="U32" s="37" t="str">
        <f t="shared" si="20"/>
        <v>0</v>
      </c>
      <c r="V32" s="37" t="str">
        <f t="shared" si="21"/>
        <v>0</v>
      </c>
      <c r="W32" s="37" t="str">
        <f t="shared" si="22"/>
        <v>0</v>
      </c>
      <c r="X32" s="37" t="str">
        <f t="shared" si="23"/>
        <v>0</v>
      </c>
      <c r="Y32" s="37" t="str">
        <f t="shared" si="24"/>
        <v>0</v>
      </c>
      <c r="Z32" s="37" t="str">
        <f t="shared" si="25"/>
        <v>0</v>
      </c>
      <c r="AA32" s="37" t="str">
        <f t="shared" si="26"/>
        <v>0</v>
      </c>
      <c r="AB32" s="37" t="str">
        <f t="shared" si="27"/>
        <v>0</v>
      </c>
      <c r="AC32" s="37" t="str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 t="str">
        <f t="shared" si="34"/>
        <v>0</v>
      </c>
      <c r="AW32" s="35">
        <f t="shared" si="14"/>
        <v>0</v>
      </c>
    </row>
    <row r="33" spans="1:49" x14ac:dyDescent="0.25">
      <c r="A33" s="23">
        <v>44466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44467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44468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44469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257640</v>
      </c>
      <c r="R38" s="38">
        <f t="shared" ref="R38:AD38" si="62">SUM(R7:R37)</f>
        <v>332410</v>
      </c>
      <c r="S38" s="38">
        <f t="shared" si="62"/>
        <v>12470</v>
      </c>
      <c r="T38" s="38">
        <f t="shared" si="62"/>
        <v>42420</v>
      </c>
      <c r="U38" s="38">
        <f t="shared" si="62"/>
        <v>101770</v>
      </c>
      <c r="V38" s="38">
        <f t="shared" si="62"/>
        <v>92930</v>
      </c>
      <c r="W38" s="38">
        <f t="shared" si="62"/>
        <v>57140</v>
      </c>
      <c r="X38" s="38">
        <f t="shared" si="62"/>
        <v>117230</v>
      </c>
      <c r="Y38" s="38">
        <f t="shared" si="62"/>
        <v>140600</v>
      </c>
      <c r="Z38" s="38">
        <f t="shared" si="62"/>
        <v>65550</v>
      </c>
      <c r="AA38" s="38">
        <f t="shared" si="62"/>
        <v>76700</v>
      </c>
      <c r="AB38" s="38">
        <f t="shared" si="62"/>
        <v>180860</v>
      </c>
      <c r="AC38" s="38">
        <f t="shared" si="62"/>
        <v>251640</v>
      </c>
      <c r="AD38" s="38">
        <f t="shared" si="62"/>
        <v>1729360</v>
      </c>
      <c r="AF38" s="35">
        <f>SUM(AF7:AF37)</f>
        <v>1288.1999999999998</v>
      </c>
      <c r="AG38" s="35">
        <f t="shared" ref="AG38:AS38" si="63">SUM(AG7:AG37)</f>
        <v>1662.0500000000002</v>
      </c>
      <c r="AH38" s="35">
        <f t="shared" si="63"/>
        <v>62.350000000000009</v>
      </c>
      <c r="AI38" s="35">
        <f t="shared" si="63"/>
        <v>212.10000000000008</v>
      </c>
      <c r="AJ38" s="35">
        <f t="shared" si="63"/>
        <v>508.84999999999991</v>
      </c>
      <c r="AK38" s="35">
        <f t="shared" si="63"/>
        <v>464.65000000000009</v>
      </c>
      <c r="AL38" s="35">
        <f t="shared" si="63"/>
        <v>285.7</v>
      </c>
      <c r="AM38" s="35">
        <f t="shared" si="63"/>
        <v>586.15</v>
      </c>
      <c r="AN38" s="35">
        <f t="shared" si="63"/>
        <v>702.99999999999977</v>
      </c>
      <c r="AO38" s="35">
        <f t="shared" si="63"/>
        <v>327.75</v>
      </c>
      <c r="AP38" s="35">
        <f t="shared" si="63"/>
        <v>383.5</v>
      </c>
      <c r="AQ38" s="35">
        <f t="shared" si="63"/>
        <v>904.3</v>
      </c>
      <c r="AR38" s="35">
        <f t="shared" si="63"/>
        <v>1258.2</v>
      </c>
      <c r="AS38" s="35">
        <f t="shared" si="63"/>
        <v>8646.8000000000011</v>
      </c>
      <c r="AU38" s="48"/>
      <c r="AV38" s="34">
        <f>SUM(AV7:AV37)</f>
        <v>61530</v>
      </c>
      <c r="AW38" s="35">
        <f>SUM(AW7:AW37)</f>
        <v>123.05999999999997</v>
      </c>
    </row>
    <row r="39" spans="1:49" x14ac:dyDescent="0.25">
      <c r="D39">
        <v>5.0000000000000001E-3</v>
      </c>
      <c r="AV39" s="36">
        <f>AV38*0.00378541*1000</f>
        <v>232916.27729999999</v>
      </c>
    </row>
    <row r="40" spans="1:49" x14ac:dyDescent="0.25">
      <c r="D40">
        <v>2E-3</v>
      </c>
      <c r="AV40">
        <f>AV39/31</f>
        <v>7513.4282999999996</v>
      </c>
    </row>
    <row r="41" spans="1:49" x14ac:dyDescent="0.25">
      <c r="AV41">
        <f>AV38*0.00378541</f>
        <v>232.91627729999999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2021-09-26T05:23:38Z</dcterms:modified>
</cp:coreProperties>
</file>