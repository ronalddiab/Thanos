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490" windowHeight="10545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V22" i="74"/>
  <c r="W22"/>
  <c r="X22" s="1"/>
  <c r="V23"/>
  <c r="W23"/>
  <c r="V24"/>
  <c r="W24"/>
  <c r="V25"/>
  <c r="W25"/>
  <c r="V26"/>
  <c r="W26"/>
  <c r="X26" s="1"/>
  <c r="V27"/>
  <c r="X27" s="1"/>
  <c r="W27"/>
  <c r="V28"/>
  <c r="X28" s="1"/>
  <c r="W28"/>
  <c r="V29"/>
  <c r="W29"/>
  <c r="X29" s="1"/>
  <c r="V30"/>
  <c r="W30"/>
  <c r="X30" s="1"/>
  <c r="V31"/>
  <c r="X31" s="1"/>
  <c r="W31"/>
  <c r="V32"/>
  <c r="W32"/>
  <c r="V33"/>
  <c r="W33"/>
  <c r="V34"/>
  <c r="W34"/>
  <c r="X34" s="1"/>
  <c r="V35"/>
  <c r="X35" s="1"/>
  <c r="W35"/>
  <c r="V36"/>
  <c r="W36"/>
  <c r="V37"/>
  <c r="W37"/>
  <c r="V38"/>
  <c r="W38"/>
  <c r="V39"/>
  <c r="X39" s="1"/>
  <c r="W39"/>
  <c r="W20"/>
  <c r="X20" s="1"/>
  <c r="V20"/>
  <c r="W19"/>
  <c r="V19"/>
  <c r="W18"/>
  <c r="V18"/>
  <c r="X18" s="1"/>
  <c r="W17"/>
  <c r="V17"/>
  <c r="X17" s="1"/>
  <c r="W16"/>
  <c r="X16" s="1"/>
  <c r="V16"/>
  <c r="W15"/>
  <c r="V15"/>
  <c r="X15" s="1"/>
  <c r="W14"/>
  <c r="V14"/>
  <c r="X14" s="1"/>
  <c r="W13"/>
  <c r="X13" s="1"/>
  <c r="V13"/>
  <c r="W12"/>
  <c r="V12"/>
  <c r="X12" s="1"/>
  <c r="W11"/>
  <c r="V11"/>
  <c r="W10"/>
  <c r="V10"/>
  <c r="X10" s="1"/>
  <c r="AB21"/>
  <c r="AB20"/>
  <c r="AB19"/>
  <c r="AB17"/>
  <c r="AA21"/>
  <c r="AA19"/>
  <c r="AA17"/>
  <c r="X37"/>
  <c r="X32"/>
  <c r="X24"/>
  <c r="X23"/>
  <c r="X21"/>
  <c r="X19"/>
  <c r="X11"/>
  <c r="I14" i="76"/>
  <c r="K14"/>
  <c r="C14"/>
  <c r="X36" i="74" l="1"/>
  <c r="X33"/>
  <c r="X25"/>
  <c r="X38"/>
  <c r="L13" i="3" l="1"/>
  <c r="AE15" i="1"/>
  <c r="AI14"/>
  <c r="S12" i="3" l="1"/>
  <c r="AQ11" i="1" l="1"/>
  <c r="Y5" i="2"/>
  <c r="W5"/>
  <c r="H6" i="77"/>
  <c r="H12" i="79" l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C19" l="1"/>
  <c r="C18"/>
  <c r="C17"/>
  <c r="C16"/>
  <c r="C15"/>
  <c r="C14"/>
  <c r="I6" l="1"/>
  <c r="S40" i="74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T40" s="1"/>
  <c r="R39"/>
  <c r="T39" s="1"/>
  <c r="R38"/>
  <c r="T38" s="1"/>
  <c r="R37"/>
  <c r="R36"/>
  <c r="T36" s="1"/>
  <c r="R35"/>
  <c r="T35" s="1"/>
  <c r="R34"/>
  <c r="T34" s="1"/>
  <c r="R33"/>
  <c r="R32"/>
  <c r="T32" s="1"/>
  <c r="R31"/>
  <c r="T31" s="1"/>
  <c r="R30"/>
  <c r="T30" s="1"/>
  <c r="R29"/>
  <c r="R28"/>
  <c r="T28" s="1"/>
  <c r="R27"/>
  <c r="T27" s="1"/>
  <c r="R26"/>
  <c r="T26" s="1"/>
  <c r="R25"/>
  <c r="R24"/>
  <c r="T24" s="1"/>
  <c r="R23"/>
  <c r="T23" s="1"/>
  <c r="R22"/>
  <c r="T22" s="1"/>
  <c r="R21"/>
  <c r="R20"/>
  <c r="T20" s="1"/>
  <c r="R19"/>
  <c r="T19" s="1"/>
  <c r="R18"/>
  <c r="T18" s="1"/>
  <c r="R17"/>
  <c r="R16"/>
  <c r="T16" s="1"/>
  <c r="R15"/>
  <c r="T15" s="1"/>
  <c r="R14"/>
  <c r="T14" s="1"/>
  <c r="R13"/>
  <c r="R12"/>
  <c r="T12" s="1"/>
  <c r="R11"/>
  <c r="T11" s="1"/>
  <c r="R10"/>
  <c r="T10" s="1"/>
  <c r="O5" i="79"/>
  <c r="N5"/>
  <c r="M5"/>
  <c r="I5"/>
  <c r="H5"/>
  <c r="G5"/>
  <c r="F5"/>
  <c r="E5"/>
  <c r="D5"/>
  <c r="C5"/>
  <c r="B5"/>
  <c r="AA5" i="76"/>
  <c r="Z18"/>
  <c r="AA18"/>
  <c r="AC19"/>
  <c r="AC16"/>
  <c r="AC15"/>
  <c r="AB16"/>
  <c r="AB15"/>
  <c r="Y16"/>
  <c r="Y15"/>
  <c r="X16"/>
  <c r="X15"/>
  <c r="W16"/>
  <c r="W15"/>
  <c r="V16"/>
  <c r="V15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T13" i="74" l="1"/>
  <c r="T21"/>
  <c r="T29"/>
  <c r="T37"/>
  <c r="T17"/>
  <c r="T25"/>
  <c r="T33"/>
  <c r="AK37" i="5"/>
  <c r="A31" i="76"/>
  <c r="G30" i="73" l="1"/>
  <c r="D30"/>
  <c r="F15" i="76" l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14" i="3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T6"/>
  <c r="AT11" s="1"/>
  <c r="AT12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17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17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14" i="2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4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4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14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14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14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2"/>
  <c r="C16" i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16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9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1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Z9" l="1"/>
  <c r="Z10" s="1"/>
  <c r="Z11" s="1"/>
  <c r="Z12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U9" l="1"/>
  <c r="T17" l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U10"/>
  <c r="M40" i="74" l="1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8"/>
  <c r="AB12"/>
  <c r="AC12"/>
  <c r="L4" i="3"/>
  <c r="L5" s="1"/>
  <c r="L6" s="1"/>
  <c r="L10" s="1"/>
  <c r="L11" s="1"/>
  <c r="L12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12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7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M6" i="79" l="1"/>
  <c r="I6" s="1"/>
  <c r="J4" i="3"/>
  <c r="M7" i="79" l="1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J6" i="3" l="1"/>
  <c r="M8" i="79"/>
  <c r="O7"/>
  <c r="AS29" i="1"/>
  <c r="E26" i="2"/>
  <c r="U24" i="3"/>
  <c r="U25"/>
  <c r="M9" i="79" l="1"/>
  <c r="O8"/>
  <c r="I7"/>
  <c r="K7" i="5"/>
  <c r="D21" i="1"/>
  <c r="E21" s="1"/>
  <c r="Q19" i="2"/>
  <c r="M10" i="79" l="1"/>
  <c r="O9"/>
  <c r="I8"/>
  <c r="K8" i="5"/>
  <c r="I12" i="77"/>
  <c r="Q3" i="2"/>
  <c r="M11" i="79" l="1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J14" i="3"/>
  <c r="U19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J16" i="3"/>
  <c r="M18" i="79"/>
  <c r="O17"/>
  <c r="W43" i="74"/>
  <c r="AB15" s="1"/>
  <c r="B14" i="77" s="1"/>
  <c r="S43" i="74"/>
  <c r="AB14" s="1"/>
  <c r="R43"/>
  <c r="AA14" s="1"/>
  <c r="A10" i="3"/>
  <c r="A11"/>
  <c r="A12"/>
  <c r="A13"/>
  <c r="J17" l="1"/>
  <c r="M19" i="79"/>
  <c r="O18"/>
  <c r="K17" i="5"/>
  <c r="I17" i="79"/>
  <c r="A3" i="76"/>
  <c r="A5" i="7"/>
  <c r="J18" i="3" l="1"/>
  <c r="M20" i="79"/>
  <c r="O19"/>
  <c r="K18" i="5"/>
  <c r="I18" i="79"/>
  <c r="J19" i="3" l="1"/>
  <c r="M21" i="79"/>
  <c r="O20"/>
  <c r="K19" i="5"/>
  <c r="I19" i="79"/>
  <c r="W17" i="76"/>
  <c r="M22" i="79" l="1"/>
  <c r="O21"/>
  <c r="J20" i="3"/>
  <c r="K20" i="5"/>
  <c r="I20" i="79"/>
  <c r="A2" i="3"/>
  <c r="A5" i="73"/>
  <c r="K21" i="5" l="1"/>
  <c r="I21" i="79"/>
  <c r="M23"/>
  <c r="O22"/>
  <c r="J21" i="3"/>
  <c r="N7" i="1"/>
  <c r="V27" i="76"/>
  <c r="V28"/>
  <c r="V26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I4" i="76"/>
  <c r="C4"/>
  <c r="C3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J9" i="63"/>
  <c r="K9" i="73"/>
  <c r="G9"/>
  <c r="C6" i="76"/>
  <c r="K4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N4" i="76" l="1"/>
  <c r="K34"/>
  <c r="M4"/>
  <c r="I34"/>
  <c r="L4"/>
  <c r="G34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P60" i="74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N34" i="76" l="1"/>
  <c r="AA26"/>
  <c r="M34"/>
  <c r="AA27"/>
  <c r="L34"/>
  <c r="AA28"/>
  <c r="D34"/>
  <c r="BC10" i="5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A20" s="1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G8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AA15" s="1"/>
  <c r="B15" i="77" s="1"/>
  <c r="E15" s="1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2" i="76" l="1"/>
  <c r="AA18" i="74"/>
  <c r="W33" i="76"/>
  <c r="AB18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H7" i="3" l="1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9" i="3" l="1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2" i="3" l="1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12" i="3" l="1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13" i="3" l="1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AR13" s="1"/>
  <c r="Y10"/>
  <c r="H26" i="5"/>
  <c r="C23" i="3"/>
  <c r="F23" s="1"/>
  <c r="Y25" i="5"/>
  <c r="J21" i="82" s="1"/>
  <c r="AO25" i="1"/>
  <c r="AA25"/>
  <c r="Y25"/>
  <c r="AB25" s="1"/>
  <c r="L26"/>
  <c r="AO18" i="7"/>
  <c r="Y15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AR15" l="1"/>
  <c r="AS15" s="1"/>
  <c r="AX15" s="1"/>
  <c r="Q14" i="3"/>
  <c r="Q18"/>
  <c r="I14"/>
  <c r="H15"/>
  <c r="X13" i="7"/>
  <c r="AS14"/>
  <c r="AX14" s="1"/>
  <c r="X10"/>
  <c r="AR10"/>
  <c r="BC10" s="1"/>
  <c r="AN18"/>
  <c r="AR8"/>
  <c r="BC8" s="1"/>
  <c r="P15" i="3"/>
  <c r="Q15" s="1"/>
  <c r="X9" i="7"/>
  <c r="D23" i="76"/>
  <c r="E23" s="1"/>
  <c r="X15" i="7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Q15" i="7"/>
  <c r="BC15"/>
  <c r="X6"/>
  <c r="AR6"/>
  <c r="AQ6" s="1"/>
  <c r="AQ9"/>
  <c r="AS12"/>
  <c r="AX12" s="1"/>
  <c r="AQ12"/>
  <c r="AQ11"/>
  <c r="BC12"/>
  <c r="I15" i="3" l="1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I16" i="3" l="1"/>
  <c r="H17"/>
  <c r="Q6" i="76"/>
  <c r="AY9" i="7"/>
  <c r="AN20"/>
  <c r="X16"/>
  <c r="AS16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I17" i="3" l="1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I18" i="3" l="1"/>
  <c r="H19"/>
  <c r="H27"/>
  <c r="I26"/>
  <c r="X18" i="7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I19" i="3" l="1"/>
  <c r="H20"/>
  <c r="H28"/>
  <c r="I27"/>
  <c r="AN23" i="7"/>
  <c r="P21" i="3"/>
  <c r="Q21" s="1"/>
  <c r="J18" i="81"/>
  <c r="AX22" i="1"/>
  <c r="H19" i="8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1" i="3" l="1"/>
  <c r="I20"/>
  <c r="J27" i="82"/>
  <c r="H29" i="3"/>
  <c r="I28"/>
  <c r="AN24" i="7"/>
  <c r="X20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I21" i="3" l="1"/>
  <c r="H22"/>
  <c r="J28" i="82"/>
  <c r="H30" i="3"/>
  <c r="I29"/>
  <c r="AN25" i="7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P24" i="3" l="1"/>
  <c r="Q24" s="1"/>
  <c r="Q23"/>
  <c r="I22"/>
  <c r="H23"/>
  <c r="J29" i="82"/>
  <c r="H31" i="3"/>
  <c r="I30"/>
  <c r="AN26" i="7"/>
  <c r="AQ22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O29" s="1"/>
  <c r="H28" i="82"/>
  <c r="E30" i="2"/>
  <c r="C27" i="63"/>
  <c r="D27" s="1"/>
  <c r="R28" i="2"/>
  <c r="E27" i="81"/>
  <c r="S29" i="76"/>
  <c r="I23" i="3" l="1"/>
  <c r="H24"/>
  <c r="I24" s="1"/>
  <c r="H32"/>
  <c r="I31"/>
  <c r="BC22" i="7"/>
  <c r="AX22"/>
  <c r="AN27"/>
  <c r="BC23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AU34" s="1"/>
  <c r="Y35" i="5"/>
  <c r="J31" i="82" s="1"/>
  <c r="X23" i="7"/>
  <c r="N36" i="76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X23"/>
  <c r="AY23" s="1"/>
  <c r="I32" i="3"/>
  <c r="X24" i="7"/>
  <c r="AN28"/>
  <c r="AB26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Y25"/>
  <c r="AR25" s="1"/>
  <c r="C34" i="3"/>
  <c r="Y36" i="5"/>
  <c r="M36" i="76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N29" i="7" l="1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Q21" i="76"/>
  <c r="AB27"/>
  <c r="A36"/>
  <c r="F4" i="77" s="1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Y26" i="7"/>
  <c r="AR26" s="1"/>
  <c r="AO30"/>
  <c r="AB28" i="76"/>
  <c r="AA29"/>
  <c r="L3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X26" i="7" l="1"/>
  <c r="BC26"/>
  <c r="AN30"/>
  <c r="P28" i="3"/>
  <c r="I37" i="5"/>
  <c r="J25" i="81"/>
  <c r="AX29" i="1"/>
  <c r="H26" i="81"/>
  <c r="I36" i="76"/>
  <c r="AU34" i="5"/>
  <c r="AZ33"/>
  <c r="BC33" s="1"/>
  <c r="AB32" i="3"/>
  <c r="D37" i="73"/>
  <c r="B16" i="77" s="1"/>
  <c r="E8"/>
  <c r="G36" i="76"/>
  <c r="C36"/>
  <c r="AL36" i="5"/>
  <c r="AO31" i="7"/>
  <c r="B27" i="65"/>
  <c r="E27" s="1"/>
  <c r="AI27" i="1"/>
  <c r="AW28" i="7" s="1"/>
  <c r="G23" i="81"/>
  <c r="AJ26" i="1"/>
  <c r="AK26" s="1"/>
  <c r="N28"/>
  <c r="V28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AN31" i="7" l="1"/>
  <c r="P29" i="3"/>
  <c r="Q28"/>
  <c r="E16" i="77"/>
  <c r="X31" i="76"/>
  <c r="AX30" i="1"/>
  <c r="J26" i="81"/>
  <c r="H27"/>
  <c r="AU35" i="5"/>
  <c r="AZ34"/>
  <c r="BC34" s="1"/>
  <c r="E6" i="77"/>
  <c r="F7"/>
  <c r="G37" i="76"/>
  <c r="AD28" s="1"/>
  <c r="K37"/>
  <c r="AD26" s="1"/>
  <c r="I37"/>
  <c r="AD27" s="1"/>
  <c r="E9" i="77"/>
  <c r="G9" s="1"/>
  <c r="N29" i="1"/>
  <c r="V29" s="1"/>
  <c r="AI28"/>
  <c r="AW29" i="7" s="1"/>
  <c r="B28" i="65"/>
  <c r="E28" s="1"/>
  <c r="AS26" i="7"/>
  <c r="AQ26"/>
  <c r="K38" i="5"/>
  <c r="W42" i="76"/>
  <c r="W40"/>
  <c r="G8" i="77"/>
  <c r="F8"/>
  <c r="Z33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P30" i="3"/>
  <c r="Q29"/>
  <c r="F18" i="77"/>
  <c r="E18"/>
  <c r="B19"/>
  <c r="Y31" i="76"/>
  <c r="J27" i="81"/>
  <c r="AX31" i="1"/>
  <c r="H28" i="81"/>
  <c r="F6" i="77"/>
  <c r="AZ35" i="5"/>
  <c r="BC35" s="1"/>
  <c r="F9" i="77"/>
  <c r="C37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AN33" l="1"/>
  <c r="P31" i="3"/>
  <c r="Q30"/>
  <c r="AX32" i="1"/>
  <c r="J28" i="81"/>
  <c r="H29"/>
  <c r="O36" i="76"/>
  <c r="Q24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AY28"/>
  <c r="Q26" i="76"/>
  <c r="AY27" i="7"/>
  <c r="Q25" i="76"/>
  <c r="N35" i="7"/>
  <c r="M35"/>
  <c r="AN34" l="1"/>
  <c r="P32" i="3"/>
  <c r="Q32" s="1"/>
  <c r="Q31"/>
  <c r="X30" i="7"/>
  <c r="AQ30"/>
  <c r="J29" i="81"/>
  <c r="AX33" i="1"/>
  <c r="H30" i="8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N35" l="1"/>
  <c r="AS30"/>
  <c r="AX30" s="1"/>
  <c r="Q28" i="76" s="1"/>
  <c r="AS31" i="7"/>
  <c r="AX31" s="1"/>
  <c r="AY31" s="1"/>
  <c r="J30" i="81"/>
  <c r="AX34" i="1"/>
  <c r="H31" i="81"/>
  <c r="Q27" i="76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Q29" i="76"/>
  <c r="Y33" i="7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AQ33"/>
  <c r="U35"/>
  <c r="V35"/>
  <c r="W35" s="1"/>
  <c r="BC33"/>
  <c r="AX32" l="1"/>
  <c r="AY32" s="1"/>
  <c r="Y35"/>
  <c r="AR35" s="1"/>
  <c r="AI36" i="1"/>
  <c r="AJ34"/>
  <c r="AK34" s="1"/>
  <c r="G31" i="81"/>
  <c r="AJ33" i="1"/>
  <c r="AK33" s="1"/>
  <c r="G30" i="81"/>
  <c r="X34" i="7"/>
  <c r="AQ34"/>
  <c r="AS34"/>
  <c r="AX34" s="1"/>
  <c r="AY33"/>
  <c r="Q31" i="76"/>
  <c r="BC34" i="7"/>
  <c r="BC35" l="1"/>
  <c r="Q30" i="76"/>
  <c r="X35" i="7"/>
  <c r="Q32" i="76"/>
  <c r="AY34" i="7"/>
  <c r="AQ35" l="1"/>
  <c r="AS35"/>
  <c r="AX35" s="1"/>
  <c r="Q33" i="76" s="1"/>
  <c r="AY35" i="7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M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O21" i="5" l="1"/>
  <c r="P20"/>
  <c r="Q20" s="1"/>
  <c r="M16" i="81" s="1"/>
  <c r="Q19" i="5"/>
  <c r="M15" i="81" s="1"/>
  <c r="M21" i="5"/>
  <c r="N20"/>
  <c r="O22" l="1"/>
  <c r="P21"/>
  <c r="Q21" s="1"/>
  <c r="M17" i="81" s="1"/>
  <c r="M22" i="5"/>
  <c r="N21"/>
  <c r="O23" l="1"/>
  <c r="P22"/>
  <c r="M23"/>
  <c r="N22"/>
  <c r="O24" l="1"/>
  <c r="P23"/>
  <c r="Q22"/>
  <c r="M18" i="81" s="1"/>
  <c r="M24" i="5"/>
  <c r="N23"/>
  <c r="M25" l="1"/>
  <c r="N24"/>
  <c r="O25"/>
  <c r="P24"/>
  <c r="Q23"/>
  <c r="M19" i="81" s="1"/>
  <c r="M26" i="5" l="1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D11" i="76" l="1"/>
  <c r="AD9"/>
  <c r="AD1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  <c r="T22" i="76" l="1"/>
  <c r="F20" i="81" s="1"/>
  <c r="T23" i="76"/>
  <c r="F21" i="81" s="1"/>
  <c r="BC24" i="7"/>
  <c r="BC25"/>
  <c r="AQ24"/>
  <c r="AS25"/>
  <c r="AX25" s="1"/>
  <c r="AS24"/>
  <c r="AX24" s="1"/>
  <c r="AY25" l="1"/>
  <c r="Q23" i="76"/>
  <c r="AY24" i="7"/>
  <c r="Q22" i="76"/>
  <c r="T17"/>
  <c r="F15" i="81" s="1"/>
  <c r="T19" i="76"/>
  <c r="F17" i="81" s="1"/>
  <c r="T16" i="76"/>
  <c r="F14" i="81" s="1"/>
  <c r="T18" i="76"/>
  <c r="F16" i="81" s="1"/>
  <c r="T15" i="76"/>
  <c r="F13" i="81" s="1"/>
  <c r="BC19" i="7"/>
  <c r="AQ18"/>
  <c r="BC21"/>
  <c r="AQ20"/>
  <c r="AQ17"/>
  <c r="BC18"/>
  <c r="BC17"/>
  <c r="AS18"/>
  <c r="AX18" s="1"/>
  <c r="AS19"/>
  <c r="AX19" s="1"/>
  <c r="BC20"/>
  <c r="AQ19"/>
  <c r="AS21"/>
  <c r="AX21" s="1"/>
  <c r="AS17"/>
  <c r="AX17" s="1"/>
  <c r="AS20"/>
  <c r="AX20" s="1"/>
  <c r="AY20" l="1"/>
  <c r="Q18" i="76"/>
  <c r="Q19"/>
  <c r="AY21" i="7"/>
  <c r="AX36"/>
  <c r="Z41" i="76" s="1"/>
  <c r="Q15"/>
  <c r="AY17" i="7"/>
  <c r="AY18"/>
  <c r="Q16" i="76"/>
  <c r="AY19" i="7"/>
  <c r="Q17" i="76"/>
  <c r="AS39" i="7"/>
  <c r="AY36" l="1"/>
  <c r="O40" i="74" l="1"/>
  <c r="N40"/>
  <c r="K40"/>
  <c r="J40"/>
  <c r="G40"/>
  <c r="F40"/>
  <c r="C40"/>
  <c r="B40"/>
  <c r="O39"/>
  <c r="N39"/>
  <c r="K39"/>
  <c r="J39"/>
  <c r="G39"/>
  <c r="F39"/>
  <c r="C39"/>
  <c r="B39"/>
  <c r="D39" s="1"/>
  <c r="O38"/>
  <c r="N38"/>
  <c r="P38" s="1"/>
  <c r="K38"/>
  <c r="J38"/>
  <c r="G38"/>
  <c r="F38"/>
  <c r="H38" s="1"/>
  <c r="C38"/>
  <c r="B38"/>
  <c r="D38" s="1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P34" s="1"/>
  <c r="K34"/>
  <c r="J34"/>
  <c r="L34" s="1"/>
  <c r="G34"/>
  <c r="F34"/>
  <c r="H34" s="1"/>
  <c r="C34"/>
  <c r="B34"/>
  <c r="D34" s="1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P30" s="1"/>
  <c r="K30"/>
  <c r="J30"/>
  <c r="L30" s="1"/>
  <c r="G30"/>
  <c r="F30"/>
  <c r="H30" s="1"/>
  <c r="C30"/>
  <c r="B30"/>
  <c r="D30" s="1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P26" s="1"/>
  <c r="K26"/>
  <c r="J26"/>
  <c r="L26" s="1"/>
  <c r="G26"/>
  <c r="F26"/>
  <c r="H26" s="1"/>
  <c r="C26"/>
  <c r="B26"/>
  <c r="D26" s="1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D23" s="1"/>
  <c r="O22"/>
  <c r="N22"/>
  <c r="P22" s="1"/>
  <c r="K22"/>
  <c r="J22"/>
  <c r="L22" s="1"/>
  <c r="G22"/>
  <c r="F22"/>
  <c r="H22" s="1"/>
  <c r="C22"/>
  <c r="B22"/>
  <c r="D22" s="1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P18" s="1"/>
  <c r="K18"/>
  <c r="J18"/>
  <c r="L18" s="1"/>
  <c r="G18"/>
  <c r="F18"/>
  <c r="H18" s="1"/>
  <c r="C18"/>
  <c r="B18"/>
  <c r="D18" s="1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L15" s="1"/>
  <c r="G15"/>
  <c r="F15"/>
  <c r="C15"/>
  <c r="B15"/>
  <c r="D15" s="1"/>
  <c r="O14"/>
  <c r="N14"/>
  <c r="P14" s="1"/>
  <c r="K14"/>
  <c r="J14"/>
  <c r="L14" s="1"/>
  <c r="G14"/>
  <c r="F14"/>
  <c r="H14" s="1"/>
  <c r="C14"/>
  <c r="B14"/>
  <c r="D14" s="1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P11" s="1"/>
  <c r="K11"/>
  <c r="J11"/>
  <c r="G11"/>
  <c r="F11"/>
  <c r="H11" s="1"/>
  <c r="C11"/>
  <c r="B11"/>
  <c r="O10"/>
  <c r="N10"/>
  <c r="P10" s="1"/>
  <c r="K10"/>
  <c r="J10"/>
  <c r="L10" s="1"/>
  <c r="G10"/>
  <c r="F10"/>
  <c r="H10" s="1"/>
  <c r="C10"/>
  <c r="B10"/>
  <c r="D10" s="1"/>
  <c r="H15" l="1"/>
  <c r="L27"/>
  <c r="L12"/>
  <c r="J43" s="1"/>
  <c r="AA12" s="1"/>
  <c r="L20"/>
  <c r="L28"/>
  <c r="L36"/>
  <c r="P40"/>
  <c r="D13"/>
  <c r="L13"/>
  <c r="H17"/>
  <c r="P17"/>
  <c r="D21"/>
  <c r="L21"/>
  <c r="H25"/>
  <c r="P25"/>
  <c r="D29"/>
  <c r="L29"/>
  <c r="H33"/>
  <c r="P33"/>
  <c r="D37"/>
  <c r="L37"/>
  <c r="G43"/>
  <c r="AB11" s="1"/>
  <c r="L19"/>
  <c r="P39"/>
  <c r="H24"/>
  <c r="H32"/>
  <c r="L38"/>
  <c r="D11"/>
  <c r="C43" s="1"/>
  <c r="P23"/>
  <c r="N43" s="1"/>
  <c r="AA13" s="1"/>
  <c r="P31"/>
  <c r="L35"/>
  <c r="H39"/>
  <c r="D12"/>
  <c r="H16"/>
  <c r="D28"/>
  <c r="P32"/>
  <c r="O43" s="1"/>
  <c r="AB13" s="1"/>
  <c r="H40"/>
  <c r="H19"/>
  <c r="P19"/>
  <c r="L23"/>
  <c r="H27"/>
  <c r="P27"/>
  <c r="D31"/>
  <c r="L31"/>
  <c r="H35"/>
  <c r="P35"/>
  <c r="L39"/>
  <c r="H12"/>
  <c r="F43" s="1"/>
  <c r="AA11" s="1"/>
  <c r="P12"/>
  <c r="D16"/>
  <c r="L16"/>
  <c r="H20"/>
  <c r="P20"/>
  <c r="D24"/>
  <c r="L24"/>
  <c r="H28"/>
  <c r="P28"/>
  <c r="D32"/>
  <c r="L32"/>
  <c r="H36"/>
  <c r="P36"/>
  <c r="D40"/>
  <c r="L40"/>
  <c r="L11"/>
  <c r="K43" s="1"/>
  <c r="P15"/>
  <c r="D19"/>
  <c r="H23"/>
  <c r="D27"/>
  <c r="H31"/>
  <c r="D35"/>
  <c r="P16"/>
  <c r="D20"/>
  <c r="P24"/>
  <c r="D36"/>
  <c r="H13"/>
  <c r="P13"/>
  <c r="D17"/>
  <c r="L17"/>
  <c r="H21"/>
  <c r="P21"/>
  <c r="D25"/>
  <c r="L25"/>
  <c r="H29"/>
  <c r="P29"/>
  <c r="D33"/>
  <c r="L33"/>
  <c r="H37"/>
  <c r="P37"/>
  <c r="AB10" l="1"/>
  <c r="AB23" s="1"/>
  <c r="O86"/>
  <c r="E14" i="77"/>
  <c r="AB12" i="74"/>
  <c r="B43"/>
  <c r="AA10" l="1"/>
  <c r="AA23" s="1"/>
  <c r="N86"/>
  <c r="V10" i="76" l="1"/>
  <c r="V11"/>
  <c r="V9"/>
  <c r="AC11" l="1"/>
  <c r="AC28" s="1"/>
  <c r="AC10"/>
  <c r="AC27" s="1"/>
  <c r="AC9"/>
  <c r="AC26" s="1"/>
  <c r="AC30" l="1"/>
  <c r="W39" l="1"/>
  <c r="W41" s="1"/>
  <c r="W43" s="1"/>
  <c r="AC31"/>
  <c r="O12" l="1"/>
  <c r="P12" s="1"/>
  <c r="R12" s="1"/>
  <c r="T12" s="1"/>
  <c r="F10" i="81" s="1"/>
  <c r="O21" i="76"/>
  <c r="P21" s="1"/>
  <c r="R21" s="1"/>
  <c r="T21" s="1"/>
  <c r="F19" i="81" s="1"/>
  <c r="O33" i="76"/>
  <c r="P33" s="1"/>
  <c r="R33" s="1"/>
  <c r="T33" s="1"/>
  <c r="F31" i="81" s="1"/>
  <c r="O30" i="76"/>
  <c r="P30" s="1"/>
  <c r="R30" s="1"/>
  <c r="T30" s="1"/>
  <c r="F28" i="81" s="1"/>
  <c r="O14" i="76"/>
  <c r="P14" s="1"/>
  <c r="R14" s="1"/>
  <c r="T14" s="1"/>
  <c r="F12" i="81" s="1"/>
  <c r="O16" i="76"/>
  <c r="P16" s="1"/>
  <c r="R16" s="1"/>
  <c r="O18"/>
  <c r="P18" s="1"/>
  <c r="R18" s="1"/>
  <c r="O10"/>
  <c r="P10" s="1"/>
  <c r="R10" s="1"/>
  <c r="T10" s="1"/>
  <c r="F8" i="81" s="1"/>
  <c r="O22" i="76"/>
  <c r="P22" s="1"/>
  <c r="R22" s="1"/>
  <c r="O4"/>
  <c r="P4" s="1"/>
  <c r="R4" s="1"/>
  <c r="T4" s="1"/>
  <c r="F2" i="81" s="1"/>
  <c r="O9" i="76"/>
  <c r="P9" s="1"/>
  <c r="R9" s="1"/>
  <c r="T9" s="1"/>
  <c r="F7" i="81" s="1"/>
  <c r="O29" i="76"/>
  <c r="P29" s="1"/>
  <c r="R29" s="1"/>
  <c r="T29" s="1"/>
  <c r="F27" i="81" s="1"/>
  <c r="O20" i="76"/>
  <c r="P20" s="1"/>
  <c r="R20" s="1"/>
  <c r="T20" s="1"/>
  <c r="F18" i="81" s="1"/>
  <c r="O25" i="76"/>
  <c r="P25" s="1"/>
  <c r="R25" s="1"/>
  <c r="T25" s="1"/>
  <c r="F23" i="81" s="1"/>
  <c r="O11" i="76"/>
  <c r="P11" s="1"/>
  <c r="R11" s="1"/>
  <c r="T11" s="1"/>
  <c r="F9" i="81" s="1"/>
  <c r="O8" i="76"/>
  <c r="P8" s="1"/>
  <c r="R8" s="1"/>
  <c r="T8" s="1"/>
  <c r="F6" i="81" s="1"/>
  <c r="O31" i="76"/>
  <c r="P31" s="1"/>
  <c r="R31" s="1"/>
  <c r="T31" s="1"/>
  <c r="F29" i="81" s="1"/>
  <c r="O19" i="76"/>
  <c r="P19" s="1"/>
  <c r="R19" s="1"/>
  <c r="AB31"/>
  <c r="O15"/>
  <c r="P15" s="1"/>
  <c r="R15" s="1"/>
  <c r="O6"/>
  <c r="P6" s="1"/>
  <c r="R6" s="1"/>
  <c r="T6" s="1"/>
  <c r="F4" i="81" s="1"/>
  <c r="O23" i="76"/>
  <c r="P23" s="1"/>
  <c r="R23" s="1"/>
  <c r="O24"/>
  <c r="P24" s="1"/>
  <c r="R24" s="1"/>
  <c r="T24" s="1"/>
  <c r="F22" i="81" s="1"/>
  <c r="O32" i="76"/>
  <c r="P32" s="1"/>
  <c r="R32" s="1"/>
  <c r="T32" s="1"/>
  <c r="F30" i="81" s="1"/>
  <c r="O27" i="76"/>
  <c r="P27" s="1"/>
  <c r="R27" s="1"/>
  <c r="T27" s="1"/>
  <c r="F25" i="81" s="1"/>
  <c r="O28" i="76"/>
  <c r="P28" s="1"/>
  <c r="R28" s="1"/>
  <c r="T28" s="1"/>
  <c r="F26" i="81" s="1"/>
  <c r="O13" i="76"/>
  <c r="P13" s="1"/>
  <c r="R13" s="1"/>
  <c r="T13" s="1"/>
  <c r="F11" i="81" s="1"/>
  <c r="O26" i="76"/>
  <c r="P26" s="1"/>
  <c r="R26" s="1"/>
  <c r="T26" s="1"/>
  <c r="F24" i="81" s="1"/>
  <c r="O7" i="76"/>
  <c r="P7" s="1"/>
  <c r="R7" s="1"/>
  <c r="T7" s="1"/>
  <c r="F5" i="81" s="1"/>
  <c r="O5" i="76"/>
  <c r="P5" s="1"/>
  <c r="R5" s="1"/>
  <c r="T5" s="1"/>
  <c r="F3" i="81" s="1"/>
  <c r="O17" i="76"/>
  <c r="P17" s="1"/>
  <c r="R17" s="1"/>
  <c r="AB35" l="1"/>
  <c r="AB36" s="1"/>
  <c r="AB37"/>
  <c r="AB39" s="1"/>
  <c r="Z40" s="1"/>
  <c r="Z42" s="1"/>
  <c r="Z44" s="1"/>
  <c r="D10" i="77"/>
  <c r="E10" s="1"/>
  <c r="AA41" i="76"/>
  <c r="F10" i="77" l="1"/>
  <c r="F12" s="1"/>
  <c r="E12"/>
  <c r="G10"/>
  <c r="G12" s="1"/>
  <c r="AB41" i="76"/>
  <c r="AB42" s="1"/>
  <c r="AA42"/>
  <c r="I14" i="77" l="1"/>
  <c r="H14"/>
  <c r="AA9" i="76" l="1"/>
  <c r="AB9" l="1"/>
  <c r="AA10"/>
  <c r="AA11"/>
  <c r="AB10" l="1"/>
  <c r="AB11"/>
  <c r="AA12"/>
  <c r="AC13" l="1"/>
  <c r="AB13"/>
  <c r="W14"/>
  <c r="X14" l="1"/>
  <c r="AC14"/>
  <c r="Y14" l="1"/>
  <c r="O3"/>
  <c r="AB14"/>
  <c r="AB18" l="1"/>
  <c r="P3" l="1"/>
  <c r="AB19"/>
  <c r="R3" l="1"/>
  <c r="T3" l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A14" authorId="0">
      <text>
        <r>
          <rPr>
            <b/>
            <sz val="9"/>
            <color indexed="81"/>
            <rFont val="Tahoma"/>
          </rPr>
          <t>hussein.saleh: WATT Meter replaced by new one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<sst xmlns="http://schemas.openxmlformats.org/spreadsheetml/2006/main" count="648" uniqueCount="415">
  <si>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</si>
  <si>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</si>
  <si>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</si>
  <si>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</si>
  <si>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</si>
  <si>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</si>
  <si>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</si>
  <si>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</si>
  <si>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</si>
  <si>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</si>
  <si>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</si>
  <si>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</si>
  <si>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</si>
  <si>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</si>
  <si>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</si>
  <si>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</si>
  <si>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</si>
  <si>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</si>
  <si>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</si>
  <si>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</si>
  <si>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</si>
  <si>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</si>
  <si>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</si>
  <si>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</si>
  <si>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</si>
  <si>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</si>
  <si>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</si>
  <si>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</si>
  <si>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</si>
  <si>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</si>
  <si>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</si>
  <si>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</si>
  <si>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</si>
  <si>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</si>
  <si>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</si>
  <si>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</si>
  <si>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</si>
  <si>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</si>
  <si>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</si>
  <si>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</si>
  <si>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</si>
  <si>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</si>
  <si>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</si>
  <si>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</si>
  <si>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</si>
  <si>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</si>
  <si>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</si>
  <si>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</si>
  <si>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</si>
  <si>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</si>
  <si>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</si>
  <si>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</si>
  <si>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</si>
  <si>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</si>
  <si>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</si>
  <si>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</si>
  <si>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</si>
  <si>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</si>
  <si>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</si>
  <si>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</si>
  <si>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</si>
  <si>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</si>
  <si>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</si>
  <si>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</si>
  <si>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</si>
  <si>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</si>
  <si>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</si>
  <si>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</si>
  <si>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</si>
  <si>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</si>
  <si>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</si>
  <si>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</si>
  <si>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</si>
  <si>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</si>
  <si>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</si>
  <si>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</si>
  <si>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</si>
  <si>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</si>
  <si>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</si>
  <si>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</si>
  <si>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</si>
  <si>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</si>
  <si>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</si>
  <si>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</si>
  <si>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</si>
  <si>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</si>
  <si>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</si>
  <si>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</si>
  <si>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</si>
  <si>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</si>
  <si>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</si>
  <si>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</si>
  <si>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</si>
  <si>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</si>
  <si>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</si>
  <si>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</si>
  <si>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</si>
  <si>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</si>
  <si>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</si>
  <si>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</si>
  <si>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</si>
  <si>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</si>
  <si>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</si>
  <si>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</si>
  <si>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</si>
  <si>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</si>
  <si>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</si>
  <si>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</si>
  <si>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</si>
  <si>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</si>
  <si>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</si>
  <si>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</si>
  <si>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</si>
  <si>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</si>
  <si>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</si>
  <si>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</si>
  <si>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</si>
  <si>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</si>
  <si>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</si>
  <si>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</si>
  <si>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</si>
  <si>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</si>
  <si>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</si>
  <si>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</si>
  <si>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</si>
  <si>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</si>
  <si>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</si>
  <si>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</si>
  <si>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</si>
  <si>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</si>
  <si>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</si>
  <si>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</si>
  <si>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</si>
  <si>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</si>
  <si>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</si>
  <si>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</si>
  <si>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</si>
  <si>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</si>
  <si>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</si>
  <si>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</si>
  <si>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</si>
  <si>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</si>
  <si>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</si>
  <si>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</si>
  <si>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</si>
  <si>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</si>
  <si>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</si>
  <si>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</si>
  <si>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</si>
  <si>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</si>
  <si>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</si>
  <si>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</si>
  <si>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</si>
  <si>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</si>
  <si>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</si>
  <si>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</si>
  <si>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</si>
  <si>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</si>
  <si>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</si>
  <si>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</si>
  <si>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</si>
  <si>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</si>
  <si>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</si>
  <si>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</si>
  <si>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</si>
  <si>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</si>
  <si>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</si>
  <si>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</si>
  <si>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</si>
  <si>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</si>
  <si>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</si>
  <si>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</si>
  <si>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</si>
  <si>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</si>
  <si>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</si>
  <si>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</si>
  <si>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</si>
  <si>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</si>
  <si>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</si>
  <si>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</si>
  <si>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</si>
  <si>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</si>
  <si>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</si>
  <si>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</si>
  <si>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</si>
  <si>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</si>
  <si>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</si>
  <si>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</si>
  <si>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</si>
  <si>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</si>
  <si>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</si>
  <si>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</si>
  <si>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</si>
  <si>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</si>
  <si>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</si>
  <si>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</si>
  <si>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</si>
  <si>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</si>
  <si>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</si>
  <si>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</si>
  <si>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</si>
  <si>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</si>
  <si>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</si>
  <si>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</si>
  <si>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</si>
  <si>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</si>
  <si>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</si>
  <si>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</si>
  <si>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</si>
  <si>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</si>
  <si>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</si>
  <si>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</si>
  <si>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</si>
  <si>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</si>
  <si>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</si>
  <si>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</si>
  <si>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</si>
  <si>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</si>
  <si>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</si>
  <si>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</si>
  <si>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</si>
  <si>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</si>
  <si>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</si>
  <si>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</si>
  <si>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</si>
  <si>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</si>
  <si>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</si>
  <si>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</si>
  <si>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</si>
  <si>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</si>
  <si>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</si>
  <si>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</si>
  <si>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</si>
  <si>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</si>
  <si>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</si>
  <si>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</si>
  <si>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</si>
  <si>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</si>
  <si>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</si>
  <si>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</si>
  <si>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</si>
  <si>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</si>
  <si>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</si>
  <si>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</si>
  <si>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</si>
  <si>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</si>
  <si>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</si>
  <si>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</si>
  <si>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</si>
  <si>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</si>
  <si>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</si>
  <si>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</si>
  <si>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</si>
  <si>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</si>
  <si>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</si>
  <si>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</si>
  <si>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</si>
  <si>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</si>
  <si>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</si>
  <si>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</si>
  <si>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</si>
  <si>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</si>
  <si>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</si>
  <si>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</si>
  <si>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</si>
  <si>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</si>
  <si>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</si>
  <si>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</si>
  <si>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</si>
  <si>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</si>
  <si>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</si>
  <si>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</si>
  <si>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</si>
  <si>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</si>
  <si>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</si>
  <si>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</si>
  <si>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</si>
  <si>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</si>
  <si>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</si>
  <si>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</si>
  <si>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</si>
  <si>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</si>
  <si>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</si>
  <si>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</si>
  <si>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</si>
  <si>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</si>
  <si>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</si>
  <si>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</si>
  <si>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</si>
  <si>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</si>
  <si>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</si>
  <si>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</si>
  <si>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</si>
  <si>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</si>
  <si>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</si>
  <si>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</si>
  <si>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</si>
  <si>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</si>
  <si>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</si>
  <si>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</si>
  <si>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</si>
  <si>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</si>
  <si>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</si>
  <si>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</si>
  <si>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</si>
  <si>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</si>
  <si>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</si>
  <si>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</si>
  <si>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</si>
  <si>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</si>
  <si>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</si>
  <si>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</si>
  <si>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</si>
  <si>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</si>
  <si>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</si>
  <si>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</si>
  <si>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</si>
  <si>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</si>
  <si>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</si>
  <si>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</si>
  <si>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</si>
  <si>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</si>
  <si>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</si>
  <si>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</si>
  <si>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</si>
  <si>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</si>
  <si>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</si>
  <si>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</si>
  <si>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</si>
  <si>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</si>
  <si>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</si>
  <si>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</si>
  <si>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</si>
  <si>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</si>
  <si>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</si>
  <si>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</si>
  <si>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</si>
  <si>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</si>
  <si>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</si>
  <si>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</si>
  <si>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</si>
  <si>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</si>
  <si>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</si>
  <si>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</si>
  <si>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</si>
  <si>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</si>
  <si>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</si>
  <si>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</si>
  <si>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</si>
  <si>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</si>
  <si>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</si>
  <si>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</si>
  <si>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</si>
  <si>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</si>
  <si>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</si>
  <si>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</si>
  <si>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</si>
  <si>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</si>
  <si>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</si>
  <si>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</si>
  <si>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</si>
  <si>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</si>
  <si>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</si>
  <si>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</si>
  <si>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</si>
  <si>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</si>
  <si>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</si>
  <si>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</si>
  <si>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</si>
  <si>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</si>
  <si>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</si>
  <si>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</si>
  <si>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</si>
  <si>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</si>
  <si>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</si>
  <si>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</si>
  <si>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</si>
  <si>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</si>
  <si>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</si>
  <si>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</si>
  <si>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</si>
  <si>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</si>
  <si>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</si>
  <si>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</si>
  <si>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</si>
  <si>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</si>
  <si>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</si>
  <si>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</si>
  <si>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</si>
  <si>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</si>
  <si>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</si>
  <si>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</si>
  <si>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</si>
  <si>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</si>
  <si>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</si>
  <si>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</si>
  <si>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</si>
  <si>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</si>
  <si>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</si>
  <si>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</si>
  <si>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</si>
  <si>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</si>
  <si>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</si>
  <si>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</si>
  <si>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</si>
  <si>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</si>
  <si>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</si>
  <si>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</si>
  <si>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</si>
  <si>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</si>
  <si>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</si>
  <si>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</si>
  <si>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Diff MTD /Budget </t>
  </si>
  <si>
    <t xml:space="preserve">RH/DAY </t>
  </si>
  <si>
    <t>in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</si>
</sst>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9"/>
      <color indexed="81"/>
      <name val="Tahoma"/>
    </font>
    <font>
      <sz val="1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4" fontId="18" fillId="2" borderId="1" xfId="2" applyFont="1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43" fontId="18" fillId="2" borderId="1" xfId="1" applyFont="1" applyFill="1" applyBorder="1" applyAlignment="1">
      <alignment horizontal="center" vertical="center"/>
    </xf>
    <xf numFmtId="0" fontId="35" fillId="0" borderId="1" xfId="0" applyFont="1" applyBorder="1" applyAlignment="1">
      <alignment wrapText="1"/>
    </xf>
    <xf numFmtId="167" fontId="18" fillId="2" borderId="1" xfId="1" applyNumberFormat="1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785216"/>
        <c:axId val="123786752"/>
      </c:lineChart>
      <c:catAx>
        <c:axId val="12378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86752"/>
        <c:crosses val="autoZero"/>
        <c:auto val="1"/>
        <c:lblAlgn val="ctr"/>
        <c:lblOffset val="100"/>
      </c:catAx>
      <c:valAx>
        <c:axId val="12378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845"/>
          <c:w val="0.11899800868449698"/>
          <c:h val="4.49826989619432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314432"/>
        <c:axId val="133359872"/>
      </c:lineChart>
      <c:catAx>
        <c:axId val="1333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9872"/>
        <c:crosses val="autoZero"/>
        <c:auto val="1"/>
        <c:lblAlgn val="ctr"/>
        <c:lblOffset val="100"/>
      </c:catAx>
      <c:valAx>
        <c:axId val="13335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77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240927104"/>
        <c:axId val="44875776"/>
      </c:lineChart>
      <c:catAx>
        <c:axId val="24092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75776"/>
        <c:crosses val="autoZero"/>
        <c:auto val="1"/>
        <c:lblAlgn val="ctr"/>
        <c:lblOffset val="100"/>
      </c:catAx>
      <c:valAx>
        <c:axId val="44875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073"/>
          <c:y val="0.62975887529633845"/>
          <c:w val="7.9124755870162669E-2"/>
          <c:h val="4.49826989619432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4899712"/>
        <c:axId val="44913792"/>
      </c:lineChart>
      <c:catAx>
        <c:axId val="4489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13792"/>
        <c:crosses val="autoZero"/>
        <c:auto val="1"/>
        <c:lblAlgn val="ctr"/>
        <c:lblOffset val="100"/>
      </c:catAx>
      <c:valAx>
        <c:axId val="44913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9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859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4933888"/>
        <c:axId val="44935424"/>
      </c:lineChart>
      <c:catAx>
        <c:axId val="449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35424"/>
        <c:crosses val="autoZero"/>
        <c:auto val="1"/>
        <c:lblAlgn val="ctr"/>
        <c:lblOffset val="100"/>
      </c:catAx>
      <c:valAx>
        <c:axId val="44935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96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021440"/>
        <c:axId val="45031424"/>
      </c:lineChart>
      <c:catAx>
        <c:axId val="4502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31424"/>
        <c:crosses val="autoZero"/>
        <c:auto val="1"/>
        <c:lblAlgn val="ctr"/>
        <c:lblOffset val="100"/>
      </c:catAx>
      <c:valAx>
        <c:axId val="4503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2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038976"/>
        <c:axId val="45053056"/>
      </c:lineChart>
      <c:catAx>
        <c:axId val="450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53056"/>
        <c:crosses val="autoZero"/>
        <c:auto val="1"/>
        <c:lblAlgn val="ctr"/>
        <c:lblOffset val="100"/>
      </c:catAx>
      <c:valAx>
        <c:axId val="4505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073152"/>
        <c:axId val="45074688"/>
      </c:lineChart>
      <c:catAx>
        <c:axId val="450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4688"/>
        <c:crosses val="autoZero"/>
        <c:auto val="1"/>
        <c:lblAlgn val="ctr"/>
        <c:lblOffset val="100"/>
      </c:catAx>
      <c:valAx>
        <c:axId val="4507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082496"/>
        <c:axId val="45084032"/>
      </c:lineChart>
      <c:catAx>
        <c:axId val="450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4032"/>
        <c:crosses val="autoZero"/>
        <c:auto val="1"/>
        <c:lblAlgn val="ctr"/>
        <c:lblOffset val="100"/>
      </c:catAx>
      <c:valAx>
        <c:axId val="4508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344"/>
          <c:w val="0.1272403315177165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186048"/>
        <c:axId val="45187840"/>
      </c:lineChart>
      <c:catAx>
        <c:axId val="4518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7840"/>
        <c:crosses val="autoZero"/>
        <c:auto val="1"/>
        <c:lblAlgn val="ctr"/>
        <c:lblOffset val="100"/>
      </c:catAx>
      <c:valAx>
        <c:axId val="4518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5203840"/>
        <c:axId val="45205376"/>
      </c:lineChart>
      <c:catAx>
        <c:axId val="452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5376"/>
        <c:crosses val="autoZero"/>
        <c:auto val="1"/>
        <c:lblAlgn val="ctr"/>
        <c:lblOffset val="100"/>
      </c:catAx>
      <c:valAx>
        <c:axId val="452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344"/>
          <c:w val="0.135416885389341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262336"/>
        <c:axId val="45263872"/>
      </c:lineChart>
      <c:catAx>
        <c:axId val="4526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63872"/>
        <c:crosses val="autoZero"/>
        <c:auto val="1"/>
        <c:lblAlgn val="ctr"/>
        <c:lblOffset val="100"/>
      </c:catAx>
      <c:valAx>
        <c:axId val="45263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6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3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5280256"/>
        <c:axId val="45290240"/>
      </c:lineChart>
      <c:catAx>
        <c:axId val="4528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90240"/>
        <c:crosses val="autoZero"/>
        <c:auto val="1"/>
        <c:lblAlgn val="ctr"/>
        <c:lblOffset val="100"/>
      </c:catAx>
      <c:valAx>
        <c:axId val="45290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845"/>
          <c:w val="0.12291688538932598"/>
          <c:h val="4.49826989619432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5306240"/>
        <c:axId val="45307776"/>
      </c:lineChart>
      <c:catAx>
        <c:axId val="453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7776"/>
        <c:crosses val="autoZero"/>
        <c:auto val="1"/>
        <c:lblAlgn val="ctr"/>
        <c:lblOffset val="100"/>
      </c:catAx>
      <c:valAx>
        <c:axId val="4530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344"/>
          <c:w val="0.135416885389341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360640"/>
        <c:axId val="45362176"/>
      </c:lineChart>
      <c:catAx>
        <c:axId val="453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62176"/>
        <c:crosses val="autoZero"/>
        <c:auto val="1"/>
        <c:lblAlgn val="ctr"/>
        <c:lblOffset val="100"/>
      </c:catAx>
      <c:valAx>
        <c:axId val="453621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842"/>
          <c:y val="0.54325368498487869"/>
          <c:w val="0.11458355205599259"/>
          <c:h val="4.49826989619427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386368"/>
        <c:axId val="45388160"/>
      </c:lineChart>
      <c:catAx>
        <c:axId val="4538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8160"/>
        <c:crosses val="autoZero"/>
        <c:auto val="1"/>
        <c:lblAlgn val="ctr"/>
        <c:lblOffset val="100"/>
      </c:catAx>
      <c:valAx>
        <c:axId val="45388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18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400448"/>
        <c:axId val="45401984"/>
      </c:lineChart>
      <c:catAx>
        <c:axId val="4540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01984"/>
        <c:crosses val="autoZero"/>
        <c:auto val="1"/>
        <c:lblAlgn val="ctr"/>
        <c:lblOffset val="100"/>
      </c:catAx>
      <c:valAx>
        <c:axId val="4540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0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036"/>
          <c:y val="0.62975887529633845"/>
          <c:w val="0.13541688538934199"/>
          <c:h val="4.49826989619432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434368"/>
        <c:axId val="45435904"/>
      </c:lineChart>
      <c:catAx>
        <c:axId val="4543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35904"/>
        <c:crosses val="autoZero"/>
        <c:auto val="1"/>
        <c:lblAlgn val="ctr"/>
        <c:lblOffset val="100"/>
      </c:catAx>
      <c:valAx>
        <c:axId val="454359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3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845"/>
          <c:w val="9.730870597697025E-2"/>
          <c:h val="4.49826989619432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60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443712"/>
        <c:axId val="45457792"/>
      </c:lineChart>
      <c:catAx>
        <c:axId val="4544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57792"/>
        <c:crosses val="autoZero"/>
        <c:auto val="1"/>
        <c:lblAlgn val="ctr"/>
        <c:lblOffset val="100"/>
      </c:catAx>
      <c:valAx>
        <c:axId val="45457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4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2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5477888"/>
        <c:axId val="45479424"/>
      </c:lineChart>
      <c:catAx>
        <c:axId val="4547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79424"/>
        <c:crosses val="autoZero"/>
        <c:auto val="1"/>
        <c:lblAlgn val="ctr"/>
        <c:lblOffset val="100"/>
      </c:catAx>
      <c:valAx>
        <c:axId val="4547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7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602"/>
          <c:y val="0.62975887529633845"/>
          <c:w val="0.13250539334757044"/>
          <c:h val="4.49826989619432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6587392"/>
        <c:axId val="56588928"/>
      </c:lineChart>
      <c:catAx>
        <c:axId val="565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8928"/>
        <c:crosses val="autoZero"/>
        <c:auto val="1"/>
        <c:lblAlgn val="ctr"/>
        <c:lblOffset val="100"/>
      </c:catAx>
      <c:valAx>
        <c:axId val="56588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3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6649984"/>
        <c:axId val="56651776"/>
      </c:lineChart>
      <c:catAx>
        <c:axId val="5664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651776"/>
        <c:crosses val="autoZero"/>
        <c:auto val="1"/>
        <c:lblAlgn val="ctr"/>
        <c:lblOffset val="100"/>
      </c:catAx>
      <c:valAx>
        <c:axId val="5665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64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8593"/>
          <c:w val="0.1234311819809225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-329.40000000000009</c:v>
                </c:pt>
                <c:pt idx="6">
                  <c:v>-567.30000000000007</c:v>
                </c:pt>
                <c:pt idx="7">
                  <c:v>-567.30000000000007</c:v>
                </c:pt>
                <c:pt idx="8">
                  <c:v>-549.00000000000011</c:v>
                </c:pt>
                <c:pt idx="9">
                  <c:v>-567.30000000000007</c:v>
                </c:pt>
                <c:pt idx="10">
                  <c:v>-549.00000000000011</c:v>
                </c:pt>
                <c:pt idx="11" formatCode="0.00_ ;[Red]\-0.00\ ">
                  <c:v>-549.00000000000011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56.900000000000006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6956800"/>
        <c:axId val="96958336"/>
      </c:lineChart>
      <c:catAx>
        <c:axId val="96956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58336"/>
        <c:crosses val="autoZero"/>
        <c:auto val="1"/>
        <c:lblAlgn val="ctr"/>
        <c:lblOffset val="100"/>
      </c:catAx>
      <c:valAx>
        <c:axId val="96958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81"/>
          <c:y val="0.45486256926220819"/>
          <c:w val="0.1569039853282074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73952"/>
        <c:axId val="96975488"/>
      </c:lineChart>
      <c:catAx>
        <c:axId val="9697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5488"/>
        <c:crosses val="autoZero"/>
        <c:auto val="1"/>
        <c:lblAlgn val="ctr"/>
        <c:lblOffset val="100"/>
      </c:catAx>
      <c:valAx>
        <c:axId val="96975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845"/>
          <c:w val="0.14853578449138852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704576"/>
        <c:axId val="97710464"/>
      </c:lineChart>
      <c:catAx>
        <c:axId val="9770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10464"/>
        <c:crosses val="autoZero"/>
        <c:auto val="1"/>
        <c:lblAlgn val="ctr"/>
        <c:lblOffset val="100"/>
      </c:catAx>
      <c:valAx>
        <c:axId val="9771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0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235"/>
          <c:y val="0.62975887529633845"/>
          <c:w val="0.12164948453608219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5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960704"/>
        <c:axId val="97962240"/>
      </c:lineChart>
      <c:catAx>
        <c:axId val="9796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2240"/>
        <c:crosses val="autoZero"/>
        <c:auto val="1"/>
        <c:lblAlgn val="ctr"/>
        <c:lblOffset val="100"/>
      </c:catAx>
      <c:valAx>
        <c:axId val="97962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022720"/>
        <c:axId val="99024256"/>
      </c:lineChart>
      <c:catAx>
        <c:axId val="990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4256"/>
        <c:crosses val="autoZero"/>
        <c:auto val="1"/>
        <c:lblAlgn val="ctr"/>
        <c:lblOffset val="100"/>
      </c:catAx>
      <c:valAx>
        <c:axId val="990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6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-329.40000000000009</c:v>
                </c:pt>
                <c:pt idx="6">
                  <c:v>-567.30000000000007</c:v>
                </c:pt>
                <c:pt idx="7">
                  <c:v>-567.30000000000007</c:v>
                </c:pt>
                <c:pt idx="8">
                  <c:v>-549.00000000000011</c:v>
                </c:pt>
                <c:pt idx="9">
                  <c:v>-567.30000000000007</c:v>
                </c:pt>
                <c:pt idx="10">
                  <c:v>-549.00000000000011</c:v>
                </c:pt>
                <c:pt idx="11" formatCode="0.00_ ;[Red]\-0.00\ ">
                  <c:v>-549.00000000000011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56.900000000000006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0028800"/>
        <c:axId val="100030336"/>
      </c:lineChart>
      <c:catAx>
        <c:axId val="100028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0336"/>
        <c:crosses val="autoZero"/>
        <c:auto val="1"/>
        <c:lblAlgn val="ctr"/>
        <c:lblOffset val="100"/>
      </c:catAx>
      <c:valAx>
        <c:axId val="100030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8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3092450" y="151066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AX34">
            <v>0.7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/>
      <sheetData sheetId="10"/>
      <sheetData sheetId="1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2" bestFit="1" customWidth="1"/>
    <col min="13" max="13" width="12.140625" style="302" customWidth="1"/>
    <col min="14" max="14" width="12.140625" style="517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0" t="s">
        <v>356</v>
      </c>
      <c r="F1" s="280" t="s">
        <v>357</v>
      </c>
      <c r="G1" s="280" t="s">
        <v>358</v>
      </c>
      <c r="H1" s="280" t="s">
        <v>359</v>
      </c>
      <c r="I1" s="280" t="s">
        <v>360</v>
      </c>
      <c r="J1" s="280" t="s">
        <v>361</v>
      </c>
      <c r="K1" s="280" t="s">
        <v>362</v>
      </c>
      <c r="L1" s="314" t="s">
        <v>363</v>
      </c>
      <c r="M1" s="514" t="s">
        <v>404</v>
      </c>
      <c r="N1" s="515" t="s">
        <v>405</v>
      </c>
      <c r="O1" s="280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6">
        <f>ELEC!N3</f>
        <v>14293</v>
      </c>
      <c r="F2" s="339">
        <f>SUM('EDl log'!T4)</f>
        <v>5.4260995452861956E-2</v>
      </c>
      <c r="G2" s="206">
        <f>-tanks!AW6</f>
        <v>452</v>
      </c>
      <c r="H2" s="339">
        <f>SUM(tanks!AV6)</f>
        <v>0.1</v>
      </c>
      <c r="I2" s="10">
        <f>('B5'!AU5)*0.51</f>
        <v>91.8</v>
      </c>
      <c r="J2" s="318">
        <f>'B5'!AX5/0.51</f>
        <v>1.3725490196078429</v>
      </c>
      <c r="K2" s="206">
        <f>WATER!I6</f>
        <v>11</v>
      </c>
      <c r="L2" s="340">
        <f>SUM(WATER!J6)</f>
        <v>22.727272727272727</v>
      </c>
      <c r="M2" s="340">
        <f>WATER!Q6</f>
        <v>0</v>
      </c>
      <c r="N2" s="516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6">
        <f>ELEC!N4</f>
        <v>13728</v>
      </c>
      <c r="F3" s="339">
        <f>SUM('EDl log'!T5)</f>
        <v>4.9559789331007006E-2</v>
      </c>
      <c r="G3" s="206">
        <f>-tanks!AW7</f>
        <v>296</v>
      </c>
      <c r="H3" s="339">
        <f>SUM(tanks!AV7)</f>
        <v>0.1</v>
      </c>
      <c r="I3" s="10">
        <f>('B5'!AU6)*0.51</f>
        <v>45.9</v>
      </c>
      <c r="J3" s="318">
        <f>'B5'!AX6/0.51</f>
        <v>1.3725490196078429</v>
      </c>
      <c r="K3" s="206">
        <f>WATER!I7</f>
        <v>0</v>
      </c>
      <c r="L3" s="340">
        <f>SUM(WATER!J7)</f>
        <v>0</v>
      </c>
      <c r="M3" s="340">
        <f>WATER!Q7</f>
        <v>0</v>
      </c>
      <c r="N3" s="516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6">
        <f>ELEC!N5</f>
        <v>14416</v>
      </c>
      <c r="F4" s="339">
        <f>SUM('EDl log'!T6)</f>
        <v>6.2091018556897394E-2</v>
      </c>
      <c r="G4" s="206">
        <f>-tanks!AW8</f>
        <v>370.59999999997672</v>
      </c>
      <c r="H4" s="339">
        <f>SUM(tanks!AV8)</f>
        <v>0.1</v>
      </c>
      <c r="I4" s="10">
        <f>('B5'!AU7)*0.51</f>
        <v>61.2</v>
      </c>
      <c r="J4" s="318">
        <f>'B5'!AX7/0.51</f>
        <v>1.3725490196078429</v>
      </c>
      <c r="K4" s="206">
        <f>WATER!I8</f>
        <v>0</v>
      </c>
      <c r="L4" s="340">
        <f>SUM(WATER!J8)</f>
        <v>0</v>
      </c>
      <c r="M4" s="340">
        <f>WATER!Q8</f>
        <v>0</v>
      </c>
      <c r="N4" s="516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6">
        <f>ELEC!N6</f>
        <v>12453</v>
      </c>
      <c r="F5" s="339">
        <f>SUM('EDl log'!T7)</f>
        <v>2.3042264042587378E-2</v>
      </c>
      <c r="G5" s="206">
        <f>-tanks!AW9</f>
        <v>628</v>
      </c>
      <c r="H5" s="339">
        <f>SUM(tanks!AV9)</f>
        <v>0.34</v>
      </c>
      <c r="I5" s="10">
        <f>('B5'!AU8)*0.51</f>
        <v>178.5</v>
      </c>
      <c r="J5" s="318">
        <f>'B5'!AX8/0.51</f>
        <v>1.3725490196078429</v>
      </c>
      <c r="K5" s="206">
        <f>WATER!I9</f>
        <v>172</v>
      </c>
      <c r="L5" s="340">
        <f>SUM(WATER!J9)</f>
        <v>1.4534883720930232</v>
      </c>
      <c r="M5" s="340">
        <f>WATER!Q9</f>
        <v>0</v>
      </c>
      <c r="N5" s="516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6">
        <f>ELEC!N7</f>
        <v>13633</v>
      </c>
      <c r="F6" s="339">
        <f>SUM('EDl log'!T8)</f>
        <v>5.6452537190410823E-2</v>
      </c>
      <c r="G6" s="206">
        <f>-tanks!AW10</f>
        <v>334</v>
      </c>
      <c r="H6" s="339">
        <f>SUM(tanks!AV10)</f>
        <v>0.34</v>
      </c>
      <c r="I6" s="10">
        <f>('B5'!AU9)*0.51</f>
        <v>45.9</v>
      </c>
      <c r="J6" s="318">
        <f>'B5'!AX9/0.51</f>
        <v>1.3725490196078429</v>
      </c>
      <c r="K6" s="206">
        <f>WATER!I10</f>
        <v>0</v>
      </c>
      <c r="L6" s="340">
        <f>SUM(WATER!J10)</f>
        <v>0</v>
      </c>
      <c r="M6" s="340">
        <f>WATER!Q10</f>
        <v>0</v>
      </c>
      <c r="N6" s="516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6">
        <f>ELEC!N8</f>
        <v>13778</v>
      </c>
      <c r="F7" s="339">
        <f>SUM('EDl log'!T9)</f>
        <v>5.2170616118741082E-2</v>
      </c>
      <c r="G7" s="206">
        <f>-tanks!AW11</f>
        <v>391</v>
      </c>
      <c r="H7" s="339">
        <f>SUM(tanks!AV11)</f>
        <v>0.34</v>
      </c>
      <c r="I7" s="10">
        <f>('B5'!AU10)*0.51</f>
        <v>30.6</v>
      </c>
      <c r="J7" s="318">
        <f>'B5'!AX10/0.51</f>
        <v>1.3725490196078429</v>
      </c>
      <c r="K7" s="206">
        <f>WATER!I11</f>
        <v>0</v>
      </c>
      <c r="L7" s="340">
        <f>SUM(WATER!J11)</f>
        <v>0</v>
      </c>
      <c r="M7" s="340">
        <f>WATER!Q11</f>
        <v>0</v>
      </c>
      <c r="N7" s="516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6">
        <f>ELEC!N9</f>
        <v>16205</v>
      </c>
      <c r="F8" s="339">
        <f>SUM('EDl log'!T10)</f>
        <v>5.7106013287330296E-2</v>
      </c>
      <c r="G8" s="206">
        <f>-tanks!AW12</f>
        <v>363</v>
      </c>
      <c r="H8" s="339">
        <f>SUM(tanks!AV12)</f>
        <v>0.34</v>
      </c>
      <c r="I8" s="10">
        <f>('B5'!AU11)*0.51</f>
        <v>30.6</v>
      </c>
      <c r="J8" s="318">
        <f>'B5'!AX11/0.51</f>
        <v>1.3725490196078429</v>
      </c>
      <c r="K8" s="206">
        <f>WATER!I12</f>
        <v>0</v>
      </c>
      <c r="L8" s="340">
        <f>SUM(WATER!J12)</f>
        <v>0</v>
      </c>
      <c r="M8" s="340">
        <f>WATER!Q12</f>
        <v>0</v>
      </c>
      <c r="N8" s="516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6">
        <f>ELEC!N10</f>
        <v>15745</v>
      </c>
      <c r="F9" s="339">
        <f>SUM('EDl log'!T11)</f>
        <v>5.1575925393533346E-2</v>
      </c>
      <c r="G9" s="206">
        <f>-tanks!AW13</f>
        <v>360</v>
      </c>
      <c r="H9" s="339">
        <f>SUM(tanks!AV13)</f>
        <v>0.34</v>
      </c>
      <c r="I9" s="10">
        <f>('B5'!AU12)*0.51</f>
        <v>45.9</v>
      </c>
      <c r="J9" s="318">
        <f>'B5'!AX12/0.51</f>
        <v>1.3725490196078429</v>
      </c>
      <c r="K9" s="206">
        <f>WATER!I13</f>
        <v>72</v>
      </c>
      <c r="L9" s="340">
        <f>SUM(WATER!J13)</f>
        <v>3.4722222222222223</v>
      </c>
      <c r="M9" s="340">
        <f>WATER!Q13</f>
        <v>0</v>
      </c>
      <c r="N9" s="516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6">
        <f>ELEC!N11</f>
        <v>15283</v>
      </c>
      <c r="F10" s="339">
        <f>SUM('EDl log'!T12)</f>
        <v>5.5774283969228726E-2</v>
      </c>
      <c r="G10" s="206">
        <f>-tanks!AW14</f>
        <v>282</v>
      </c>
      <c r="H10" s="339">
        <f>SUM(tanks!AV14)</f>
        <v>0.34</v>
      </c>
      <c r="I10" s="10">
        <f>('B5'!AU13)*0.51</f>
        <v>76.5</v>
      </c>
      <c r="J10" s="318">
        <f>'B5'!AX13/0.51</f>
        <v>1.3725490196078429</v>
      </c>
      <c r="K10" s="206">
        <f>WATER!I14</f>
        <v>0</v>
      </c>
      <c r="L10" s="340">
        <f>SUM(WATER!J14)</f>
        <v>0</v>
      </c>
      <c r="M10" s="340">
        <f>WATER!Q14</f>
        <v>0</v>
      </c>
      <c r="N10" s="516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6">
        <f>ELEC!N12</f>
        <v>16634</v>
      </c>
      <c r="F11" s="339">
        <f>SUM('EDl log'!T13)</f>
        <v>5.3380422427472353E-2</v>
      </c>
      <c r="G11" s="206">
        <f>-tanks!AW15</f>
        <v>600.40000000002328</v>
      </c>
      <c r="H11" s="339">
        <f>SUM(tanks!AV15)</f>
        <v>0.34</v>
      </c>
      <c r="I11" s="10">
        <f>('B5'!AU14)*0.51</f>
        <v>76.5</v>
      </c>
      <c r="J11" s="318">
        <f>'B5'!AX14/0.51</f>
        <v>1.3725490196078429</v>
      </c>
      <c r="K11" s="206">
        <f>WATER!I15</f>
        <v>400</v>
      </c>
      <c r="L11" s="340">
        <f>SUM(WATER!J15)</f>
        <v>0.625</v>
      </c>
      <c r="M11" s="340">
        <f>WATER!Q15</f>
        <v>0</v>
      </c>
      <c r="N11" s="516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6">
        <f>ELEC!N13</f>
        <v>14437</v>
      </c>
      <c r="F12" s="339">
        <f>SUM('EDl log'!T14)</f>
        <v>7.0254456185908906E-2</v>
      </c>
      <c r="G12" s="206">
        <f>-tanks!AW16</f>
        <v>368.10000000000582</v>
      </c>
      <c r="H12" s="339">
        <f>SUM(tanks!AV16)</f>
        <v>0.34</v>
      </c>
      <c r="I12" s="10">
        <f>('B5'!AU15)*0.51</f>
        <v>91.8</v>
      </c>
      <c r="J12" s="318">
        <f>'B5'!AX15/0.51</f>
        <v>1.3725490196078429</v>
      </c>
      <c r="K12" s="206">
        <f>WATER!I16</f>
        <v>0</v>
      </c>
      <c r="L12" s="340">
        <f>SUM(WATER!J16)</f>
        <v>0</v>
      </c>
      <c r="M12" s="340">
        <f>WATER!Q16</f>
        <v>0</v>
      </c>
      <c r="N12" s="516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6">
        <f>ELEC!N14</f>
        <v>0</v>
      </c>
      <c r="F13" s="339">
        <f>SUM('EDl log'!T15)</f>
        <v>0</v>
      </c>
      <c r="G13" s="206">
        <f>-tanks!AW17</f>
        <v>0</v>
      </c>
      <c r="H13" s="339">
        <f>SUM(tanks!AV17)</f>
        <v>0.34</v>
      </c>
      <c r="I13" s="10">
        <f>('B5'!AU16)*0.51</f>
        <v>0</v>
      </c>
      <c r="J13" s="318">
        <f>'B5'!AX16/0.51</f>
        <v>1.3725490196078429</v>
      </c>
      <c r="K13" s="206">
        <f>WATER!I17</f>
        <v>0</v>
      </c>
      <c r="L13" s="340">
        <f>SUM(WATER!J17)</f>
        <v>0</v>
      </c>
      <c r="M13" s="340">
        <f>WATER!Q17</f>
        <v>0</v>
      </c>
      <c r="N13" s="516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6">
        <f>ELEC!N15</f>
        <v>0</v>
      </c>
      <c r="F14" s="339">
        <f>SUM('EDl log'!T16)</f>
        <v>0</v>
      </c>
      <c r="G14" s="206">
        <f>-tanks!AW18</f>
        <v>0</v>
      </c>
      <c r="H14" s="339">
        <f>SUM(tanks!AV18)</f>
        <v>0.34</v>
      </c>
      <c r="I14" s="10">
        <f>('B5'!AU17)*0.51</f>
        <v>0</v>
      </c>
      <c r="J14" s="318">
        <f>'B5'!AX17/0.51</f>
        <v>1.3725490196078429</v>
      </c>
      <c r="K14" s="206">
        <f>WATER!I18</f>
        <v>0</v>
      </c>
      <c r="L14" s="340">
        <f>SUM(WATER!J18)</f>
        <v>0</v>
      </c>
      <c r="M14" s="340">
        <f>WATER!Q18</f>
        <v>0</v>
      </c>
      <c r="N14" s="516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6">
        <f>ELEC!N16</f>
        <v>0</v>
      </c>
      <c r="F15" s="339">
        <f>SUM('EDl log'!T17)</f>
        <v>0</v>
      </c>
      <c r="G15" s="206">
        <f>-tanks!AW19</f>
        <v>0</v>
      </c>
      <c r="H15" s="339">
        <f>SUM(tanks!AV19)</f>
        <v>0.34</v>
      </c>
      <c r="I15" s="10">
        <f>('B5'!AU18)*0.51</f>
        <v>0</v>
      </c>
      <c r="J15" s="318">
        <f>'B5'!AX18/0.51</f>
        <v>1.3725490196078429</v>
      </c>
      <c r="K15" s="206">
        <f>WATER!I19</f>
        <v>0</v>
      </c>
      <c r="L15" s="340">
        <f>SUM(WATER!J19)</f>
        <v>0</v>
      </c>
      <c r="M15" s="340">
        <f>WATER!Q19</f>
        <v>0</v>
      </c>
      <c r="N15" s="516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6">
        <f>ELEC!N17</f>
        <v>0</v>
      </c>
      <c r="F16" s="339">
        <f>SUM('EDl log'!T18)</f>
        <v>0</v>
      </c>
      <c r="G16" s="206">
        <f>-tanks!AW20</f>
        <v>0</v>
      </c>
      <c r="H16" s="339">
        <f>SUM(tanks!AV20)</f>
        <v>0.34</v>
      </c>
      <c r="I16" s="10">
        <f>('B5'!AU19)*0.51</f>
        <v>0</v>
      </c>
      <c r="J16" s="318">
        <f>'B5'!AX19/0.51</f>
        <v>1.3725490196078429</v>
      </c>
      <c r="K16" s="206">
        <f>WATER!I20</f>
        <v>0</v>
      </c>
      <c r="L16" s="340">
        <f>SUM(WATER!J20)</f>
        <v>0</v>
      </c>
      <c r="M16" s="340">
        <f>WATER!Q20</f>
        <v>0</v>
      </c>
      <c r="N16" s="516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6">
        <f>ELEC!N18</f>
        <v>0</v>
      </c>
      <c r="F17" s="339">
        <f>SUM('EDl log'!T19)</f>
        <v>0</v>
      </c>
      <c r="G17" s="206">
        <f>-tanks!AW21</f>
        <v>0</v>
      </c>
      <c r="H17" s="339">
        <f>SUM(tanks!AV21)</f>
        <v>0.34</v>
      </c>
      <c r="I17" s="10">
        <f>('B5'!AU20)*0.51</f>
        <v>0</v>
      </c>
      <c r="J17" s="318">
        <f>'B5'!AX20/0.51</f>
        <v>1.3725490196078429</v>
      </c>
      <c r="K17" s="206">
        <f>WATER!I21</f>
        <v>0</v>
      </c>
      <c r="L17" s="340">
        <f>SUM(WATER!J21)</f>
        <v>0</v>
      </c>
      <c r="M17" s="340">
        <f>WATER!Q21</f>
        <v>0</v>
      </c>
      <c r="N17" s="516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6">
        <f>ELEC!N19</f>
        <v>0</v>
      </c>
      <c r="F18" s="339">
        <f>SUM('EDl log'!T20)</f>
        <v>0</v>
      </c>
      <c r="G18" s="206">
        <f>-tanks!AW22</f>
        <v>0</v>
      </c>
      <c r="H18" s="339">
        <f>SUM(tanks!AV22)</f>
        <v>0.34</v>
      </c>
      <c r="I18" s="10">
        <f>('B5'!AU21)*0.51</f>
        <v>0</v>
      </c>
      <c r="J18" s="318">
        <f>'B5'!AX21/0.51</f>
        <v>1.3725490196078429</v>
      </c>
      <c r="K18" s="206">
        <f>WATER!I22</f>
        <v>0</v>
      </c>
      <c r="L18" s="340">
        <f>SUM(WATER!J22)</f>
        <v>0</v>
      </c>
      <c r="M18" s="340">
        <f>WATER!Q22</f>
        <v>0</v>
      </c>
      <c r="N18" s="516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6">
        <f>ELEC!N20</f>
        <v>0</v>
      </c>
      <c r="F19" s="339">
        <f>SUM('EDl log'!T21)</f>
        <v>0</v>
      </c>
      <c r="G19" s="206">
        <f>-tanks!AW23</f>
        <v>0</v>
      </c>
      <c r="H19" s="339">
        <f>SUM(tanks!AV23)</f>
        <v>0.34</v>
      </c>
      <c r="I19" s="10">
        <f>('B5'!AU22)*0.51</f>
        <v>0</v>
      </c>
      <c r="J19" s="318">
        <f>'B5'!AX22/0.51</f>
        <v>1.3725490196078429</v>
      </c>
      <c r="K19" s="206">
        <f>WATER!I23</f>
        <v>0</v>
      </c>
      <c r="L19" s="340">
        <f>SUM(WATER!J23)</f>
        <v>0</v>
      </c>
      <c r="M19" s="340">
        <f>WATER!Q23</f>
        <v>0</v>
      </c>
      <c r="N19" s="516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6">
        <f>ELEC!N21</f>
        <v>0</v>
      </c>
      <c r="F20" s="339">
        <f>SUM('EDl log'!T22)</f>
        <v>0</v>
      </c>
      <c r="G20" s="206">
        <f>-tanks!AW24</f>
        <v>0</v>
      </c>
      <c r="H20" s="339">
        <f>SUM(tanks!AV24)</f>
        <v>0.34</v>
      </c>
      <c r="I20" s="10">
        <f>('B5'!AU23)*0.51</f>
        <v>0</v>
      </c>
      <c r="J20" s="318">
        <f>'B5'!AX23/0.51</f>
        <v>1.3725490196078429</v>
      </c>
      <c r="K20" s="206">
        <f>WATER!I24</f>
        <v>0</v>
      </c>
      <c r="L20" s="340">
        <f>SUM(WATER!J24)</f>
        <v>0</v>
      </c>
      <c r="M20" s="340">
        <f>WATER!Q24</f>
        <v>0</v>
      </c>
      <c r="N20" s="516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6">
        <f>ELEC!N22</f>
        <v>0</v>
      </c>
      <c r="F21" s="339">
        <f>SUM('EDl log'!T23)</f>
        <v>0</v>
      </c>
      <c r="G21" s="206">
        <f>-tanks!AW25</f>
        <v>0</v>
      </c>
      <c r="H21" s="339">
        <f>SUM(tanks!AV25)</f>
        <v>0.34</v>
      </c>
      <c r="I21" s="10">
        <f>('B5'!AU24)*0.51</f>
        <v>0</v>
      </c>
      <c r="J21" s="318">
        <f>'B5'!AX24/0.51</f>
        <v>1.3725490196078429</v>
      </c>
      <c r="K21" s="206">
        <f>WATER!I25</f>
        <v>0</v>
      </c>
      <c r="L21" s="340">
        <f>SUM(WATER!J25)</f>
        <v>0</v>
      </c>
      <c r="M21" s="340">
        <f>WATER!Q25</f>
        <v>0</v>
      </c>
      <c r="N21" s="516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6">
        <f>ELEC!N23</f>
        <v>0</v>
      </c>
      <c r="F22" s="339">
        <f>SUM('EDl log'!T24)</f>
        <v>0</v>
      </c>
      <c r="G22" s="206">
        <f>-tanks!AW26</f>
        <v>0</v>
      </c>
      <c r="H22" s="339">
        <f>SUM(tanks!AV26)</f>
        <v>0.34</v>
      </c>
      <c r="I22" s="10">
        <f>('B5'!AU25)*0.51</f>
        <v>0</v>
      </c>
      <c r="J22" s="318">
        <f>'B5'!AX25/0.51</f>
        <v>1.3725490196078429</v>
      </c>
      <c r="K22" s="206">
        <f>WATER!I26</f>
        <v>0</v>
      </c>
      <c r="L22" s="340">
        <f>SUM(WATER!J26)</f>
        <v>0</v>
      </c>
      <c r="M22" s="340">
        <f>WATER!Q26</f>
        <v>0</v>
      </c>
      <c r="N22" s="516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6">
        <f>ELEC!N24</f>
        <v>0</v>
      </c>
      <c r="F23" s="339">
        <f>SUM('EDl log'!T25)</f>
        <v>0</v>
      </c>
      <c r="G23" s="206">
        <f>-tanks!AW27</f>
        <v>0</v>
      </c>
      <c r="H23" s="339">
        <f>SUM(tanks!AV27)</f>
        <v>0.34</v>
      </c>
      <c r="I23" s="10">
        <f>('B5'!AU26)*0.51</f>
        <v>0</v>
      </c>
      <c r="J23" s="318">
        <f>'B5'!AX26/0.51</f>
        <v>1.3725490196078429</v>
      </c>
      <c r="K23" s="206">
        <f>WATER!I27</f>
        <v>0</v>
      </c>
      <c r="L23" s="340">
        <f>SUM(WATER!J27)</f>
        <v>0</v>
      </c>
      <c r="M23" s="340">
        <f>WATER!Q27</f>
        <v>0</v>
      </c>
      <c r="N23" s="516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6">
        <f>ELEC!N25</f>
        <v>0</v>
      </c>
      <c r="F24" s="339">
        <f>SUM('EDl log'!T26)</f>
        <v>0</v>
      </c>
      <c r="G24" s="206">
        <f>-tanks!AW28</f>
        <v>0</v>
      </c>
      <c r="H24" s="339">
        <f>SUM(tanks!AV28)</f>
        <v>0.34</v>
      </c>
      <c r="I24" s="10">
        <f>('B5'!AU27)*0.51</f>
        <v>0</v>
      </c>
      <c r="J24" s="318">
        <f>'B5'!AX27/0.51</f>
        <v>1.3725490196078429</v>
      </c>
      <c r="K24" s="206">
        <f>WATER!I28</f>
        <v>0</v>
      </c>
      <c r="L24" s="340">
        <f>SUM(WATER!J28)</f>
        <v>0</v>
      </c>
      <c r="M24" s="340">
        <f>WATER!Q28</f>
        <v>0</v>
      </c>
      <c r="N24" s="516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6">
        <f>ELEC!N26</f>
        <v>0</v>
      </c>
      <c r="F25" s="339">
        <f>SUM('EDl log'!T27)</f>
        <v>0</v>
      </c>
      <c r="G25" s="206">
        <f>-tanks!AW29</f>
        <v>0</v>
      </c>
      <c r="H25" s="339">
        <f>SUM(tanks!AV29)</f>
        <v>0.34</v>
      </c>
      <c r="I25" s="10">
        <f>('B5'!AU28)*0.51</f>
        <v>0</v>
      </c>
      <c r="J25" s="318">
        <f>'B5'!AX28/0.51</f>
        <v>1.3725490196078429</v>
      </c>
      <c r="K25" s="206">
        <f>WATER!I29</f>
        <v>0</v>
      </c>
      <c r="L25" s="340">
        <f>SUM(WATER!J29)</f>
        <v>0</v>
      </c>
      <c r="M25" s="340">
        <f>WATER!Q29</f>
        <v>0</v>
      </c>
      <c r="N25" s="516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6">
        <f>ELEC!N27</f>
        <v>0</v>
      </c>
      <c r="F26" s="339">
        <f>SUM('EDl log'!T28)</f>
        <v>0</v>
      </c>
      <c r="G26" s="206">
        <f>-tanks!AW30</f>
        <v>0</v>
      </c>
      <c r="H26" s="339">
        <f>SUM(tanks!AV30)</f>
        <v>0.34</v>
      </c>
      <c r="I26" s="10">
        <f>('B5'!AU29)*0.51</f>
        <v>0</v>
      </c>
      <c r="J26" s="318">
        <f>'B5'!AX29/0.51</f>
        <v>1.3725490196078429</v>
      </c>
      <c r="K26" s="206">
        <f>WATER!I30</f>
        <v>0</v>
      </c>
      <c r="L26" s="340">
        <f>SUM(WATER!J30)</f>
        <v>0</v>
      </c>
      <c r="M26" s="340">
        <f>WATER!Q30</f>
        <v>0</v>
      </c>
      <c r="N26" s="516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6">
        <f>ELEC!N28</f>
        <v>0</v>
      </c>
      <c r="F27" s="339">
        <f>SUM('EDl log'!T29)</f>
        <v>0</v>
      </c>
      <c r="G27" s="206">
        <f>-tanks!AW31</f>
        <v>0</v>
      </c>
      <c r="H27" s="339">
        <f>SUM(tanks!AV31)</f>
        <v>0.34</v>
      </c>
      <c r="I27" s="10">
        <f>('B5'!AU30)*0.51</f>
        <v>0</v>
      </c>
      <c r="J27" s="318">
        <f>'B5'!AX30/0.51</f>
        <v>1.3725490196078429</v>
      </c>
      <c r="K27" s="206">
        <f>WATER!I31</f>
        <v>0</v>
      </c>
      <c r="L27" s="340">
        <f>SUM(WATER!J31)</f>
        <v>0</v>
      </c>
      <c r="M27" s="340">
        <f>WATER!Q31</f>
        <v>0</v>
      </c>
      <c r="N27" s="516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6">
        <f>ELEC!N29</f>
        <v>0</v>
      </c>
      <c r="F28" s="339">
        <f>SUM('EDl log'!T30)</f>
        <v>0</v>
      </c>
      <c r="G28" s="206">
        <f>-tanks!AW32</f>
        <v>0</v>
      </c>
      <c r="H28" s="339">
        <f>SUM(tanks!AV32)</f>
        <v>0.34</v>
      </c>
      <c r="I28" s="10">
        <f>('B5'!AU31)*0.51</f>
        <v>0</v>
      </c>
      <c r="J28" s="318">
        <f>'B5'!AX31/0.51</f>
        <v>1.3725490196078429</v>
      </c>
      <c r="K28" s="206">
        <f>WATER!I32</f>
        <v>0</v>
      </c>
      <c r="L28" s="340">
        <f>SUM(WATER!J32)</f>
        <v>0</v>
      </c>
      <c r="M28" s="340">
        <f>WATER!Q32</f>
        <v>0</v>
      </c>
      <c r="N28" s="516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6">
        <f>ELEC!N30</f>
        <v>0</v>
      </c>
      <c r="F29" s="339">
        <f>SUM('EDl log'!T31)</f>
        <v>0</v>
      </c>
      <c r="G29" s="206">
        <f>-tanks!AW33</f>
        <v>0</v>
      </c>
      <c r="H29" s="339">
        <f>SUM(tanks!AV33)</f>
        <v>0.34</v>
      </c>
      <c r="I29" s="10">
        <f>('B5'!AU32)*0.51</f>
        <v>0</v>
      </c>
      <c r="J29" s="318">
        <f>'B5'!AX32/0.51</f>
        <v>1.3725490196078429</v>
      </c>
      <c r="K29" s="206">
        <f>WATER!I33</f>
        <v>0</v>
      </c>
      <c r="L29" s="340">
        <f>SUM(WATER!J33)</f>
        <v>0</v>
      </c>
      <c r="M29" s="340">
        <f>WATER!Q33</f>
        <v>0</v>
      </c>
      <c r="N29" s="516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6">
        <f>ELEC!N31</f>
        <v>0</v>
      </c>
      <c r="F30" s="339">
        <f>SUM('EDl log'!T32)</f>
        <v>0</v>
      </c>
      <c r="G30" s="206">
        <f>-tanks!AW34</f>
        <v>0</v>
      </c>
      <c r="H30" s="339">
        <f>SUM(tanks!AV34)</f>
        <v>0.34</v>
      </c>
      <c r="I30" s="10">
        <f>('B5'!AU33)*0.51</f>
        <v>0</v>
      </c>
      <c r="J30" s="318">
        <f>'B5'!AX33/0.51</f>
        <v>1.3725490196078429</v>
      </c>
      <c r="K30" s="206">
        <f>WATER!I34</f>
        <v>0</v>
      </c>
      <c r="L30" s="340">
        <f>SUM(WATER!J34)</f>
        <v>0</v>
      </c>
      <c r="M30" s="340">
        <f>WATER!Q34</f>
        <v>0</v>
      </c>
      <c r="N30" s="516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6">
        <f>ELEC!N32</f>
        <v>0</v>
      </c>
      <c r="F31" s="339">
        <f>SUM('EDl log'!T33)</f>
        <v>0</v>
      </c>
      <c r="G31" s="206">
        <f>-tanks!AW35</f>
        <v>0</v>
      </c>
      <c r="H31" s="339">
        <f>SUM(tanks!AV35)</f>
        <v>0.34</v>
      </c>
      <c r="I31" s="10">
        <f>('B5'!AU34)*0.51</f>
        <v>0</v>
      </c>
      <c r="J31" s="318">
        <f>'B5'!AX34/0.51</f>
        <v>1.3725490196078429</v>
      </c>
      <c r="K31" s="206">
        <f>WATER!I35</f>
        <v>0</v>
      </c>
      <c r="L31" s="340">
        <f>SUM(WATER!J35)</f>
        <v>0</v>
      </c>
      <c r="M31" s="340">
        <f>WATER!Q35</f>
        <v>0</v>
      </c>
      <c r="N31" s="51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T11" sqref="T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0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6">
        <f>ELEC!M3</f>
        <v>5278</v>
      </c>
      <c r="F2" s="206">
        <f>ELEC!K3</f>
        <v>2192</v>
      </c>
      <c r="G2" s="206">
        <f>ELEC!I3</f>
        <v>1830</v>
      </c>
      <c r="H2" s="206">
        <f>ELEC!E3</f>
        <v>3460</v>
      </c>
      <c r="I2" s="206">
        <f>ELEC!G3</f>
        <v>1533</v>
      </c>
      <c r="J2" s="206">
        <f>WATER!Y6</f>
        <v>0</v>
      </c>
      <c r="K2" s="206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6">
        <f>ELEC!M4</f>
        <v>5374</v>
      </c>
      <c r="F3" s="206">
        <f>ELEC!K4</f>
        <v>2326</v>
      </c>
      <c r="G3" s="206">
        <f>ELEC!I4</f>
        <v>1596</v>
      </c>
      <c r="H3" s="206">
        <f>ELEC!E4</f>
        <v>3082</v>
      </c>
      <c r="I3" s="206">
        <f>ELEC!G4</f>
        <v>1350</v>
      </c>
      <c r="J3" s="206">
        <f>WATER!Y7</f>
        <v>0</v>
      </c>
      <c r="K3" s="206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6">
        <f>ELEC!M5</f>
        <v>3912</v>
      </c>
      <c r="F4" s="206">
        <f>ELEC!K5</f>
        <v>2394</v>
      </c>
      <c r="G4" s="206">
        <f>ELEC!I5</f>
        <v>1642</v>
      </c>
      <c r="H4" s="206">
        <f>ELEC!E5</f>
        <v>5024</v>
      </c>
      <c r="I4" s="206">
        <f>ELEC!G5</f>
        <v>1444</v>
      </c>
      <c r="J4" s="206">
        <f>WATER!Y8</f>
        <v>0</v>
      </c>
      <c r="K4" s="206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6">
        <f>ELEC!M6</f>
        <v>4642</v>
      </c>
      <c r="F5" s="206">
        <f>ELEC!K6</f>
        <v>2140</v>
      </c>
      <c r="G5" s="206">
        <f>ELEC!I6</f>
        <v>1582</v>
      </c>
      <c r="H5" s="206">
        <f>ELEC!E6</f>
        <v>2568</v>
      </c>
      <c r="I5" s="206">
        <f>ELEC!G6</f>
        <v>1521</v>
      </c>
      <c r="J5" s="206">
        <f>WATER!Y9</f>
        <v>30</v>
      </c>
      <c r="K5" s="206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6">
        <f>ELEC!M7</f>
        <v>5086</v>
      </c>
      <c r="F6" s="206">
        <f>ELEC!K7</f>
        <v>2000</v>
      </c>
      <c r="G6" s="206">
        <f>ELEC!I7</f>
        <v>1906</v>
      </c>
      <c r="H6" s="206">
        <f>ELEC!E7</f>
        <v>2948</v>
      </c>
      <c r="I6" s="206">
        <f>ELEC!G7</f>
        <v>1693</v>
      </c>
      <c r="J6" s="206">
        <f>WATER!Y10</f>
        <v>0</v>
      </c>
      <c r="K6" s="206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6">
        <f>ELEC!M8</f>
        <v>4466</v>
      </c>
      <c r="F7" s="206">
        <f>ELEC!K8</f>
        <v>2156</v>
      </c>
      <c r="G7" s="206">
        <f>ELEC!I8</f>
        <v>1690</v>
      </c>
      <c r="H7" s="206">
        <f>ELEC!E8</f>
        <v>3890</v>
      </c>
      <c r="I7" s="206">
        <f>ELEC!G8</f>
        <v>1576</v>
      </c>
      <c r="J7" s="206">
        <f>WATER!Y11</f>
        <v>0</v>
      </c>
      <c r="K7" s="206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6">
        <f>ELEC!M9</f>
        <v>4834</v>
      </c>
      <c r="F8" s="206">
        <f>ELEC!K9</f>
        <v>2572</v>
      </c>
      <c r="G8" s="206">
        <f>ELEC!I9</f>
        <v>1810</v>
      </c>
      <c r="H8" s="206">
        <f>ELEC!E9</f>
        <v>5210</v>
      </c>
      <c r="I8" s="206">
        <f>ELEC!G9</f>
        <v>1779</v>
      </c>
      <c r="J8" s="206">
        <f>WATER!Y12</f>
        <v>0</v>
      </c>
      <c r="K8" s="206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6">
        <f>ELEC!M10</f>
        <v>6270</v>
      </c>
      <c r="F9" s="206">
        <f>ELEC!K10</f>
        <v>2636</v>
      </c>
      <c r="G9" s="206">
        <f>ELEC!I10</f>
        <v>1756</v>
      </c>
      <c r="H9" s="206">
        <f>ELEC!E10</f>
        <v>3342</v>
      </c>
      <c r="I9" s="206">
        <f>ELEC!G10</f>
        <v>1741</v>
      </c>
      <c r="J9" s="206">
        <f>WATER!Y13</f>
        <v>3</v>
      </c>
      <c r="K9" s="206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6">
        <f>ELEC!M11</f>
        <v>4206</v>
      </c>
      <c r="F10" s="206">
        <f>ELEC!K11</f>
        <v>2540</v>
      </c>
      <c r="G10" s="206">
        <f>ELEC!I11</f>
        <v>1692</v>
      </c>
      <c r="H10" s="206">
        <f>ELEC!E11</f>
        <v>5186</v>
      </c>
      <c r="I10" s="206">
        <f>ELEC!G11</f>
        <v>1659</v>
      </c>
      <c r="J10" s="206">
        <f>WATER!Y14</f>
        <v>77</v>
      </c>
      <c r="K10" s="206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6">
        <f>ELEC!M12</f>
        <v>6604</v>
      </c>
      <c r="F11" s="206">
        <f>ELEC!K12</f>
        <v>2836</v>
      </c>
      <c r="G11" s="206">
        <f>ELEC!I12</f>
        <v>1750</v>
      </c>
      <c r="H11" s="206">
        <f>ELEC!E12</f>
        <v>3796</v>
      </c>
      <c r="I11" s="206">
        <f>ELEC!G12</f>
        <v>1648</v>
      </c>
      <c r="J11" s="206">
        <f>WATER!Y15</f>
        <v>46</v>
      </c>
      <c r="K11" s="206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6">
        <f>ELEC!M13</f>
        <v>5816</v>
      </c>
      <c r="F12" s="206">
        <f>ELEC!K13</f>
        <v>2328</v>
      </c>
      <c r="G12" s="206">
        <f>ELEC!I13</f>
        <v>1632</v>
      </c>
      <c r="H12" s="206">
        <f>ELEC!E13</f>
        <v>2998</v>
      </c>
      <c r="I12" s="206">
        <f>ELEC!G13</f>
        <v>1663</v>
      </c>
      <c r="J12" s="206">
        <f>WATER!Y16</f>
        <v>44</v>
      </c>
      <c r="K12" s="206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Z1" zoomScale="85" zoomScaleNormal="85" zoomScaleSheetLayoutView="100" workbookViewId="0">
      <pane ySplit="1" topLeftCell="A2" activePane="bottomLeft" state="frozen"/>
      <selection activeCell="C1" sqref="C1"/>
      <selection pane="bottomLeft" activeCell="AE13" sqref="AE13"/>
    </sheetView>
  </sheetViews>
  <sheetFormatPr defaultRowHeight="15"/>
  <cols>
    <col min="1" max="1" width="7.7109375" style="481" bestFit="1" customWidth="1"/>
    <col min="2" max="2" width="10.28515625" style="490" bestFit="1" customWidth="1"/>
    <col min="3" max="3" width="11.5703125" style="481" customWidth="1"/>
    <col min="4" max="4" width="18" style="491" bestFit="1" customWidth="1"/>
    <col min="5" max="5" width="14.42578125" style="491" bestFit="1" customWidth="1"/>
    <col min="6" max="6" width="15.28515625" style="491" bestFit="1" customWidth="1"/>
    <col min="7" max="7" width="12" style="491" bestFit="1" customWidth="1"/>
    <col min="8" max="8" width="18" style="491" bestFit="1" customWidth="1"/>
    <col min="9" max="9" width="13" style="491" bestFit="1" customWidth="1"/>
    <col min="10" max="10" width="18" style="491" bestFit="1" customWidth="1"/>
    <col min="11" max="11" width="11.7109375" style="491" customWidth="1"/>
    <col min="12" max="12" width="18" style="491" bestFit="1" customWidth="1"/>
    <col min="13" max="13" width="12" style="491" bestFit="1" customWidth="1"/>
    <col min="14" max="14" width="15.42578125" style="481" bestFit="1" customWidth="1"/>
    <col min="15" max="15" width="13.140625" style="492" bestFit="1" customWidth="1"/>
    <col min="16" max="16" width="14.28515625" style="481" bestFit="1" customWidth="1"/>
    <col min="17" max="17" width="13.7109375" style="481" bestFit="1" customWidth="1"/>
    <col min="18" max="18" width="12.42578125" style="481" bestFit="1" customWidth="1"/>
    <col min="19" max="21" width="11.5703125" style="481" bestFit="1" customWidth="1"/>
    <col min="22" max="22" width="13.140625" style="481" bestFit="1" customWidth="1"/>
    <col min="23" max="25" width="11.5703125" style="481" bestFit="1" customWidth="1"/>
    <col min="26" max="26" width="13.140625" style="481" bestFit="1" customWidth="1"/>
    <col min="27" max="29" width="11.5703125" style="481" bestFit="1" customWidth="1"/>
    <col min="30" max="30" width="13.140625" style="481" bestFit="1" customWidth="1"/>
    <col min="31" max="32" width="11.5703125" style="481" bestFit="1" customWidth="1"/>
    <col min="33" max="33" width="14.42578125" style="481" bestFit="1" customWidth="1"/>
    <col min="34" max="34" width="9.140625" style="481"/>
    <col min="35" max="35" width="9.7109375" style="481" bestFit="1" customWidth="1"/>
    <col min="36" max="16384" width="9.140625" style="481"/>
  </cols>
  <sheetData>
    <row r="1" spans="1:115" s="465" customFormat="1" ht="18.75" customHeight="1">
      <c r="A1" s="465" t="s">
        <v>19</v>
      </c>
      <c r="B1" s="466" t="s">
        <v>155</v>
      </c>
      <c r="C1" s="467"/>
      <c r="D1" s="468" t="s">
        <v>20</v>
      </c>
      <c r="E1" s="468" t="s">
        <v>21</v>
      </c>
      <c r="F1" s="468" t="s">
        <v>22</v>
      </c>
      <c r="G1" s="468" t="s">
        <v>23</v>
      </c>
      <c r="H1" s="468" t="s">
        <v>24</v>
      </c>
      <c r="I1" s="468" t="s">
        <v>25</v>
      </c>
      <c r="J1" s="468" t="s">
        <v>26</v>
      </c>
      <c r="K1" s="468" t="s">
        <v>27</v>
      </c>
      <c r="L1" s="468" t="s">
        <v>28</v>
      </c>
      <c r="M1" s="468" t="s">
        <v>29</v>
      </c>
      <c r="N1" s="469" t="s">
        <v>30</v>
      </c>
      <c r="O1" s="470" t="s">
        <v>156</v>
      </c>
      <c r="P1" s="471" t="s">
        <v>329</v>
      </c>
      <c r="Q1" s="469" t="s">
        <v>31</v>
      </c>
      <c r="R1" s="469" t="s">
        <v>32</v>
      </c>
      <c r="S1" s="469" t="s">
        <v>364</v>
      </c>
      <c r="T1" s="469" t="s">
        <v>33</v>
      </c>
      <c r="U1" s="469" t="s">
        <v>34</v>
      </c>
      <c r="V1" s="469" t="s">
        <v>35</v>
      </c>
      <c r="W1" s="469" t="s">
        <v>36</v>
      </c>
      <c r="X1" s="469" t="s">
        <v>33</v>
      </c>
      <c r="Y1" s="469" t="s">
        <v>37</v>
      </c>
      <c r="Z1" s="469" t="s">
        <v>38</v>
      </c>
      <c r="AA1" s="469" t="s">
        <v>39</v>
      </c>
      <c r="AB1" s="469" t="s">
        <v>33</v>
      </c>
      <c r="AC1" s="469" t="s">
        <v>77</v>
      </c>
      <c r="AD1" s="469" t="s">
        <v>40</v>
      </c>
      <c r="AE1" s="469" t="s">
        <v>41</v>
      </c>
      <c r="AF1" s="469" t="s">
        <v>42</v>
      </c>
      <c r="AG1" s="465" t="s">
        <v>132</v>
      </c>
    </row>
    <row r="2" spans="1:115" s="464" customFormat="1">
      <c r="A2" s="557">
        <f>[1]ELEC!A32</f>
        <v>1.2999999999999999E-2</v>
      </c>
      <c r="B2" s="553">
        <v>2.9899999999999999E-2</v>
      </c>
      <c r="C2" s="473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7"/>
      <c r="AK2" s="497"/>
      <c r="AL2" s="497"/>
      <c r="AM2" s="497"/>
      <c r="AN2" s="497"/>
      <c r="AO2" s="497"/>
      <c r="AP2" s="497"/>
      <c r="AQ2" s="497"/>
      <c r="AR2" s="497"/>
      <c r="AS2" s="497"/>
      <c r="AT2" s="497"/>
      <c r="AU2" s="497"/>
      <c r="AV2" s="497"/>
      <c r="AW2" s="497"/>
      <c r="AX2" s="497"/>
      <c r="AY2" s="497"/>
      <c r="AZ2" s="497"/>
      <c r="BA2" s="497"/>
      <c r="BB2" s="497"/>
      <c r="BC2" s="497"/>
      <c r="BD2" s="497"/>
      <c r="BE2" s="497"/>
      <c r="BF2" s="497"/>
      <c r="BG2" s="497"/>
      <c r="BH2" s="497"/>
      <c r="BI2" s="497"/>
      <c r="BJ2" s="497"/>
      <c r="BK2" s="497"/>
      <c r="BL2" s="497"/>
      <c r="BM2" s="497"/>
      <c r="BN2" s="497"/>
      <c r="BO2" s="497"/>
      <c r="BP2" s="497"/>
      <c r="BQ2" s="497"/>
      <c r="BR2" s="497"/>
      <c r="BS2" s="497"/>
      <c r="BT2" s="497"/>
      <c r="BU2" s="497"/>
      <c r="BV2" s="497"/>
      <c r="BW2" s="497"/>
      <c r="BX2" s="497"/>
      <c r="BY2" s="497"/>
      <c r="BZ2" s="497"/>
      <c r="CA2" s="497"/>
      <c r="CB2" s="497"/>
      <c r="CC2" s="497"/>
      <c r="CD2" s="497"/>
      <c r="CE2" s="497"/>
      <c r="CF2" s="497"/>
      <c r="CG2" s="497"/>
      <c r="CH2" s="497"/>
      <c r="CI2" s="497"/>
      <c r="CJ2" s="497"/>
      <c r="CK2" s="497"/>
      <c r="CL2" s="497"/>
      <c r="CM2" s="497"/>
      <c r="CN2" s="497"/>
      <c r="CO2" s="497"/>
      <c r="CP2" s="497"/>
      <c r="CQ2" s="497"/>
      <c r="CR2" s="497"/>
      <c r="CS2" s="497"/>
      <c r="CT2" s="497"/>
      <c r="CU2" s="497"/>
      <c r="CV2" s="497"/>
      <c r="CW2" s="497"/>
      <c r="CX2" s="497"/>
      <c r="CY2" s="497"/>
      <c r="CZ2" s="497"/>
      <c r="DA2" s="497"/>
      <c r="DB2" s="497"/>
      <c r="DC2" s="497"/>
      <c r="DD2" s="497"/>
      <c r="DE2" s="497"/>
      <c r="DF2" s="497"/>
      <c r="DG2" s="497"/>
      <c r="DH2" s="497"/>
      <c r="DI2" s="497"/>
      <c r="DJ2" s="497"/>
      <c r="DK2" s="497"/>
    </row>
    <row r="3" spans="1:115">
      <c r="A3" s="472">
        <f>'General information '!F6</f>
        <v>2.1700000000000001E-2</v>
      </c>
      <c r="B3" s="466">
        <f>SUM(230*A3)</f>
        <v>4.9910000000000005</v>
      </c>
      <c r="C3" s="473">
        <v>43983</v>
      </c>
      <c r="D3" s="460">
        <v>31741616</v>
      </c>
      <c r="E3" s="461">
        <f>D3-D2</f>
        <v>3460</v>
      </c>
      <c r="F3" s="586">
        <v>3693982</v>
      </c>
      <c r="G3" s="462">
        <f t="shared" ref="G3:G31" si="0">F3-F2</f>
        <v>1533</v>
      </c>
      <c r="H3" s="460">
        <v>17472100</v>
      </c>
      <c r="I3" s="462">
        <f>H3-H2</f>
        <v>1830</v>
      </c>
      <c r="J3" s="586">
        <v>28451890</v>
      </c>
      <c r="K3" s="462">
        <f>J3-J2</f>
        <v>2192</v>
      </c>
      <c r="L3" s="460">
        <v>23072552</v>
      </c>
      <c r="M3" s="462">
        <f>L3-L2</f>
        <v>5278</v>
      </c>
      <c r="N3" s="463">
        <f>M3+K3+I3+G3+E3</f>
        <v>14293</v>
      </c>
      <c r="O3" s="474">
        <f t="shared" ref="O3:O9" si="1">IF(B3&gt;0,N3/B3,0)</f>
        <v>2863.7547585654174</v>
      </c>
      <c r="P3" s="586">
        <v>15549</v>
      </c>
      <c r="Q3" s="483">
        <f t="shared" ref="Q3:Q12" si="2">(P3-P2)*1000</f>
        <v>2000</v>
      </c>
      <c r="R3" s="476">
        <f>+N3-Q3</f>
        <v>12293</v>
      </c>
      <c r="S3" s="460">
        <v>8609</v>
      </c>
      <c r="T3" s="477">
        <f t="shared" ref="T3:T32" si="3">S3-S2</f>
        <v>20</v>
      </c>
      <c r="U3" s="586">
        <v>75398</v>
      </c>
      <c r="V3" s="475">
        <f>U3-U2</f>
        <v>2206</v>
      </c>
      <c r="W3" s="460">
        <v>31853</v>
      </c>
      <c r="X3" s="475">
        <f t="shared" ref="X3:X8" si="4">W3-W2</f>
        <v>0</v>
      </c>
      <c r="Y3" s="586">
        <v>625865</v>
      </c>
      <c r="Z3" s="475">
        <f>Y3-Y2</f>
        <v>0</v>
      </c>
      <c r="AA3" s="460">
        <v>35119</v>
      </c>
      <c r="AB3" s="475">
        <f>AA3-AA2</f>
        <v>0</v>
      </c>
      <c r="AC3" s="586">
        <v>790452</v>
      </c>
      <c r="AD3" s="478">
        <f>AC3-AC2</f>
        <v>0</v>
      </c>
      <c r="AE3" s="479">
        <f>AB3+X3+T3</f>
        <v>20</v>
      </c>
      <c r="AF3" s="460">
        <f>V3+Z3+AD3</f>
        <v>2206</v>
      </c>
      <c r="AG3" s="480">
        <f t="shared" ref="AG3:AG9" si="5">IF(AE3&gt;0,AF3/AE3,0)</f>
        <v>110.3</v>
      </c>
    </row>
    <row r="4" spans="1:115">
      <c r="A4" s="472">
        <f>'General information '!F7</f>
        <v>8.6999999999999994E-3</v>
      </c>
      <c r="B4" s="466">
        <f t="shared" ref="B4:B31" si="6">SUM(230*A4)</f>
        <v>2.0009999999999999</v>
      </c>
      <c r="C4" s="473">
        <v>43984</v>
      </c>
      <c r="D4" s="460">
        <v>31744698</v>
      </c>
      <c r="E4" s="320">
        <f>D4-D3</f>
        <v>3082</v>
      </c>
      <c r="F4" s="460">
        <v>3695332</v>
      </c>
      <c r="G4" s="321">
        <f t="shared" si="0"/>
        <v>1350</v>
      </c>
      <c r="H4" s="460">
        <v>17473696</v>
      </c>
      <c r="I4" s="321">
        <f>H4-H3</f>
        <v>1596</v>
      </c>
      <c r="J4" s="460">
        <v>28454216</v>
      </c>
      <c r="K4" s="321">
        <f>J4-J3</f>
        <v>2326</v>
      </c>
      <c r="L4" s="460">
        <v>23077926</v>
      </c>
      <c r="M4" s="321">
        <f>L4-L3</f>
        <v>5374</v>
      </c>
      <c r="N4" s="319">
        <f>M4+K4+I4+G4+E4</f>
        <v>13728</v>
      </c>
      <c r="O4" s="482">
        <f t="shared" si="1"/>
        <v>6860.5697151424292</v>
      </c>
      <c r="P4" s="460">
        <v>15551</v>
      </c>
      <c r="Q4" s="483">
        <f t="shared" si="2"/>
        <v>2000</v>
      </c>
      <c r="R4" s="464">
        <f>N4-Q4</f>
        <v>11728</v>
      </c>
      <c r="S4" s="460">
        <v>8620</v>
      </c>
      <c r="T4" s="484">
        <f t="shared" si="3"/>
        <v>11</v>
      </c>
      <c r="U4" s="460">
        <v>77802</v>
      </c>
      <c r="V4" s="464">
        <f>U4-U3</f>
        <v>2404</v>
      </c>
      <c r="W4" s="460">
        <f t="shared" ref="S4:AC32" si="7">W3</f>
        <v>31853</v>
      </c>
      <c r="X4" s="464">
        <f t="shared" si="4"/>
        <v>0</v>
      </c>
      <c r="Y4" s="460">
        <f t="shared" si="7"/>
        <v>625865</v>
      </c>
      <c r="Z4" s="464">
        <f>Y4-Y3</f>
        <v>0</v>
      </c>
      <c r="AA4" s="460">
        <f t="shared" si="7"/>
        <v>35119</v>
      </c>
      <c r="AB4" s="485">
        <f>AA4-AA3</f>
        <v>0</v>
      </c>
      <c r="AC4" s="460">
        <f t="shared" si="7"/>
        <v>790452</v>
      </c>
      <c r="AD4" s="486">
        <f>AC4-AC3</f>
        <v>0</v>
      </c>
      <c r="AE4" s="487">
        <f t="shared" ref="AE4:AE32" si="8">AB4+X4+T4</f>
        <v>11</v>
      </c>
      <c r="AF4" s="488">
        <f t="shared" ref="AF4:AF31" si="9">V4+Z4+AD4</f>
        <v>2404</v>
      </c>
      <c r="AG4" s="480">
        <f t="shared" si="5"/>
        <v>218.54545454545453</v>
      </c>
    </row>
    <row r="5" spans="1:115">
      <c r="A5" s="472">
        <f>'General information '!F8</f>
        <v>2.6100000000000002E-2</v>
      </c>
      <c r="B5" s="466">
        <f>SUM(230*A5)</f>
        <v>6.0030000000000001</v>
      </c>
      <c r="C5" s="473">
        <v>43985</v>
      </c>
      <c r="D5" s="460">
        <v>31749722</v>
      </c>
      <c r="E5" s="320">
        <f t="shared" ref="E5:E32" si="10">D5-D4</f>
        <v>5024</v>
      </c>
      <c r="F5" s="460">
        <v>3696776</v>
      </c>
      <c r="G5" s="321">
        <f t="shared" si="0"/>
        <v>1444</v>
      </c>
      <c r="H5" s="460">
        <v>17475338</v>
      </c>
      <c r="I5" s="321">
        <f t="shared" ref="I5:I31" si="11">H5-H4</f>
        <v>1642</v>
      </c>
      <c r="J5" s="460">
        <v>28456610</v>
      </c>
      <c r="K5" s="321">
        <f t="shared" ref="K5:K31" si="12">J5-J4</f>
        <v>2394</v>
      </c>
      <c r="L5" s="460">
        <v>23081838</v>
      </c>
      <c r="M5" s="321">
        <f t="shared" ref="M5:M31" si="13">L5-L4</f>
        <v>3912</v>
      </c>
      <c r="N5" s="319">
        <f t="shared" ref="N5:N31" si="14">M5+K5+I5+G5+E5</f>
        <v>14416</v>
      </c>
      <c r="O5" s="482">
        <f t="shared" si="1"/>
        <v>2401.4659336998166</v>
      </c>
      <c r="P5" s="460">
        <v>15553</v>
      </c>
      <c r="Q5" s="483">
        <f>(P5-P4)*1000</f>
        <v>2000</v>
      </c>
      <c r="R5" s="464">
        <f>N5-Q5</f>
        <v>12416</v>
      </c>
      <c r="S5" s="460">
        <v>8625</v>
      </c>
      <c r="T5" s="484">
        <f t="shared" si="3"/>
        <v>5</v>
      </c>
      <c r="U5" s="460">
        <v>78590</v>
      </c>
      <c r="V5" s="464">
        <f t="shared" ref="V5:V32" si="15">U5-U4</f>
        <v>788</v>
      </c>
      <c r="W5" s="460">
        <f>W4</f>
        <v>31853</v>
      </c>
      <c r="X5" s="464">
        <f t="shared" si="4"/>
        <v>0</v>
      </c>
      <c r="Y5" s="460">
        <f>Y4</f>
        <v>625865</v>
      </c>
      <c r="Z5" s="464">
        <f>Y5-Y4</f>
        <v>0</v>
      </c>
      <c r="AA5" s="460">
        <v>35126</v>
      </c>
      <c r="AB5" s="464">
        <f t="shared" ref="AB5:AB32" si="16">AA5-AA4</f>
        <v>7</v>
      </c>
      <c r="AC5" s="460">
        <v>791862</v>
      </c>
      <c r="AD5" s="464">
        <f t="shared" ref="AD5:AD16" si="17">AC5-AC4</f>
        <v>1410</v>
      </c>
      <c r="AE5" s="487">
        <f t="shared" si="8"/>
        <v>12</v>
      </c>
      <c r="AF5" s="488">
        <f t="shared" si="9"/>
        <v>2198</v>
      </c>
      <c r="AG5" s="480">
        <f t="shared" si="5"/>
        <v>183.16666666666666</v>
      </c>
      <c r="AI5" s="481">
        <f>R5-'EDl log'!B3</f>
        <v>-49976236</v>
      </c>
    </row>
    <row r="6" spans="1:115">
      <c r="A6" s="472">
        <f>'General information '!F9</f>
        <v>2.1700000000000001E-2</v>
      </c>
      <c r="B6" s="466">
        <f t="shared" si="6"/>
        <v>4.9910000000000005</v>
      </c>
      <c r="C6" s="473">
        <v>43986</v>
      </c>
      <c r="D6" s="460">
        <v>31752290</v>
      </c>
      <c r="E6" s="320">
        <f t="shared" si="10"/>
        <v>2568</v>
      </c>
      <c r="F6" s="460">
        <v>3698297</v>
      </c>
      <c r="G6" s="321">
        <f t="shared" si="0"/>
        <v>1521</v>
      </c>
      <c r="H6" s="460">
        <v>17476920</v>
      </c>
      <c r="I6" s="321">
        <f t="shared" si="11"/>
        <v>1582</v>
      </c>
      <c r="J6" s="460">
        <v>28458750</v>
      </c>
      <c r="K6" s="321">
        <f t="shared" si="12"/>
        <v>2140</v>
      </c>
      <c r="L6" s="460">
        <v>23086480</v>
      </c>
      <c r="M6" s="321">
        <f t="shared" si="13"/>
        <v>4642</v>
      </c>
      <c r="N6" s="319">
        <f t="shared" si="14"/>
        <v>12453</v>
      </c>
      <c r="O6" s="482">
        <f t="shared" si="1"/>
        <v>2495.0911640953714</v>
      </c>
      <c r="P6" s="460">
        <v>15555</v>
      </c>
      <c r="Q6" s="464">
        <f t="shared" si="2"/>
        <v>2000</v>
      </c>
      <c r="R6" s="464">
        <f t="shared" ref="R6:R31" si="18">N6-Q6</f>
        <v>10453</v>
      </c>
      <c r="S6" s="460">
        <v>8632</v>
      </c>
      <c r="T6" s="484">
        <f t="shared" si="3"/>
        <v>7</v>
      </c>
      <c r="U6" s="460">
        <v>80356</v>
      </c>
      <c r="V6" s="464">
        <f t="shared" si="15"/>
        <v>1766</v>
      </c>
      <c r="W6" s="460">
        <f t="shared" si="7"/>
        <v>31853</v>
      </c>
      <c r="X6" s="464">
        <f t="shared" si="4"/>
        <v>0</v>
      </c>
      <c r="Y6" s="460">
        <f t="shared" si="7"/>
        <v>625865</v>
      </c>
      <c r="Z6" s="464">
        <f t="shared" ref="Z6:Z30" si="19">Y6-Y5</f>
        <v>0</v>
      </c>
      <c r="AA6" s="460">
        <v>35127</v>
      </c>
      <c r="AB6" s="464">
        <f t="shared" si="16"/>
        <v>1</v>
      </c>
      <c r="AC6" s="460">
        <v>792067</v>
      </c>
      <c r="AD6" s="464">
        <f t="shared" si="17"/>
        <v>205</v>
      </c>
      <c r="AE6" s="487">
        <f t="shared" si="8"/>
        <v>8</v>
      </c>
      <c r="AF6" s="488">
        <f t="shared" si="9"/>
        <v>1971</v>
      </c>
      <c r="AG6" s="480">
        <f t="shared" si="5"/>
        <v>246.375</v>
      </c>
      <c r="AI6" s="481">
        <f>R6-'EDl log'!B4</f>
        <v>-49984599</v>
      </c>
    </row>
    <row r="7" spans="1:115">
      <c r="A7" s="472">
        <f>'General information '!F10</f>
        <v>1.2999999999999999E-2</v>
      </c>
      <c r="B7" s="466">
        <f t="shared" si="6"/>
        <v>2.9899999999999998</v>
      </c>
      <c r="C7" s="473">
        <v>43987</v>
      </c>
      <c r="D7" s="460">
        <v>31755238</v>
      </c>
      <c r="E7" s="320">
        <f t="shared" si="10"/>
        <v>2948</v>
      </c>
      <c r="F7" s="460">
        <v>3699990</v>
      </c>
      <c r="G7" s="321">
        <f t="shared" si="0"/>
        <v>1693</v>
      </c>
      <c r="H7" s="460">
        <v>17478826</v>
      </c>
      <c r="I7" s="321">
        <f t="shared" si="11"/>
        <v>1906</v>
      </c>
      <c r="J7" s="460">
        <v>28460750</v>
      </c>
      <c r="K7" s="321">
        <f t="shared" si="12"/>
        <v>2000</v>
      </c>
      <c r="L7" s="460">
        <v>23091566</v>
      </c>
      <c r="M7" s="321">
        <f t="shared" si="13"/>
        <v>5086</v>
      </c>
      <c r="N7" s="319">
        <f t="shared" si="14"/>
        <v>13633</v>
      </c>
      <c r="O7" s="482">
        <f t="shared" si="1"/>
        <v>4559.5317725752511</v>
      </c>
      <c r="P7" s="460">
        <v>15557</v>
      </c>
      <c r="Q7" s="464">
        <f t="shared" si="2"/>
        <v>2000</v>
      </c>
      <c r="R7" s="464">
        <f t="shared" si="18"/>
        <v>11633</v>
      </c>
      <c r="S7" s="460">
        <v>8639</v>
      </c>
      <c r="T7" s="484">
        <f t="shared" si="3"/>
        <v>7</v>
      </c>
      <c r="U7" s="460">
        <v>81962</v>
      </c>
      <c r="V7" s="464">
        <f t="shared" si="15"/>
        <v>1606</v>
      </c>
      <c r="W7" s="460">
        <f t="shared" si="7"/>
        <v>31853</v>
      </c>
      <c r="X7" s="464">
        <f t="shared" si="4"/>
        <v>0</v>
      </c>
      <c r="Y7" s="460">
        <f t="shared" si="7"/>
        <v>625865</v>
      </c>
      <c r="Z7" s="464">
        <f t="shared" si="19"/>
        <v>0</v>
      </c>
      <c r="AA7" s="460">
        <f t="shared" si="7"/>
        <v>35127</v>
      </c>
      <c r="AB7" s="464">
        <v>0</v>
      </c>
      <c r="AC7" s="460">
        <f t="shared" si="7"/>
        <v>792067</v>
      </c>
      <c r="AD7" s="464">
        <f t="shared" si="17"/>
        <v>0</v>
      </c>
      <c r="AE7" s="487">
        <f t="shared" si="8"/>
        <v>7</v>
      </c>
      <c r="AF7" s="488">
        <f t="shared" si="9"/>
        <v>1606</v>
      </c>
      <c r="AG7" s="480">
        <f t="shared" si="5"/>
        <v>229.42857142857142</v>
      </c>
      <c r="AI7" s="481">
        <f>R7-'EDl log'!B5</f>
        <v>-49989529</v>
      </c>
    </row>
    <row r="8" spans="1:115">
      <c r="A8" s="472">
        <f>'General information '!F11</f>
        <v>2.1700000000000001E-2</v>
      </c>
      <c r="B8" s="466">
        <f t="shared" si="6"/>
        <v>4.9910000000000005</v>
      </c>
      <c r="C8" s="473">
        <v>43988</v>
      </c>
      <c r="D8" s="460">
        <v>31759128</v>
      </c>
      <c r="E8" s="320">
        <f t="shared" si="10"/>
        <v>3890</v>
      </c>
      <c r="F8" s="460">
        <v>3701566</v>
      </c>
      <c r="G8" s="321">
        <f t="shared" si="0"/>
        <v>1576</v>
      </c>
      <c r="H8" s="460">
        <v>17480516</v>
      </c>
      <c r="I8" s="321">
        <f t="shared" si="11"/>
        <v>1690</v>
      </c>
      <c r="J8" s="460">
        <v>28462906</v>
      </c>
      <c r="K8" s="321">
        <f t="shared" si="12"/>
        <v>2156</v>
      </c>
      <c r="L8" s="460">
        <v>23096032</v>
      </c>
      <c r="M8" s="321">
        <f t="shared" si="13"/>
        <v>4466</v>
      </c>
      <c r="N8" s="319">
        <f t="shared" si="14"/>
        <v>13778</v>
      </c>
      <c r="O8" s="482">
        <f t="shared" si="1"/>
        <v>2760.5690242436381</v>
      </c>
      <c r="P8" s="460">
        <v>15559</v>
      </c>
      <c r="Q8" s="464">
        <f t="shared" si="2"/>
        <v>2000</v>
      </c>
      <c r="R8" s="464">
        <f t="shared" si="18"/>
        <v>11778</v>
      </c>
      <c r="S8" s="460">
        <v>8644</v>
      </c>
      <c r="T8" s="484">
        <f t="shared" si="3"/>
        <v>5</v>
      </c>
      <c r="U8" s="460">
        <v>83336</v>
      </c>
      <c r="V8" s="464">
        <f t="shared" si="15"/>
        <v>1374</v>
      </c>
      <c r="W8" s="460">
        <f t="shared" si="7"/>
        <v>31853</v>
      </c>
      <c r="X8" s="464">
        <f t="shared" si="4"/>
        <v>0</v>
      </c>
      <c r="Y8" s="460">
        <f t="shared" si="7"/>
        <v>625865</v>
      </c>
      <c r="Z8" s="464">
        <f t="shared" si="19"/>
        <v>0</v>
      </c>
      <c r="AA8" s="460">
        <v>35130</v>
      </c>
      <c r="AB8" s="464">
        <f t="shared" si="16"/>
        <v>3</v>
      </c>
      <c r="AC8" s="460">
        <v>792883</v>
      </c>
      <c r="AD8" s="464">
        <f t="shared" si="17"/>
        <v>816</v>
      </c>
      <c r="AE8" s="487">
        <f t="shared" si="8"/>
        <v>8</v>
      </c>
      <c r="AF8" s="488">
        <f t="shared" si="9"/>
        <v>2190</v>
      </c>
      <c r="AG8" s="480">
        <f t="shared" si="5"/>
        <v>273.75</v>
      </c>
      <c r="AI8" s="481">
        <f>R8-'EDl log'!B6</f>
        <v>-49995898</v>
      </c>
    </row>
    <row r="9" spans="1:115">
      <c r="A9" s="472">
        <f>'General information '!F12</f>
        <v>1.7399999999999999E-2</v>
      </c>
      <c r="B9" s="466">
        <f t="shared" si="6"/>
        <v>4.0019999999999998</v>
      </c>
      <c r="C9" s="473">
        <v>43989</v>
      </c>
      <c r="D9" s="460">
        <v>31764338</v>
      </c>
      <c r="E9" s="320">
        <f t="shared" si="10"/>
        <v>5210</v>
      </c>
      <c r="F9" s="460">
        <v>3703345</v>
      </c>
      <c r="G9" s="321">
        <f t="shared" si="0"/>
        <v>1779</v>
      </c>
      <c r="H9" s="460">
        <v>17482326</v>
      </c>
      <c r="I9" s="321">
        <f t="shared" si="11"/>
        <v>1810</v>
      </c>
      <c r="J9" s="460">
        <v>28465478</v>
      </c>
      <c r="K9" s="321">
        <f t="shared" si="12"/>
        <v>2572</v>
      </c>
      <c r="L9" s="460">
        <v>23100866</v>
      </c>
      <c r="M9" s="321">
        <f t="shared" si="13"/>
        <v>4834</v>
      </c>
      <c r="N9" s="319">
        <f t="shared" si="14"/>
        <v>16205</v>
      </c>
      <c r="O9" s="482">
        <f t="shared" si="1"/>
        <v>4049.2253873063469</v>
      </c>
      <c r="P9" s="460">
        <v>15561</v>
      </c>
      <c r="Q9" s="464">
        <f t="shared" si="2"/>
        <v>2000</v>
      </c>
      <c r="R9" s="464">
        <f t="shared" si="18"/>
        <v>14205</v>
      </c>
      <c r="S9" s="460">
        <v>8650</v>
      </c>
      <c r="T9" s="484">
        <f t="shared" si="3"/>
        <v>6</v>
      </c>
      <c r="U9" s="460">
        <v>84790</v>
      </c>
      <c r="V9" s="464">
        <f t="shared" si="15"/>
        <v>1454</v>
      </c>
      <c r="W9" s="460">
        <v>31853</v>
      </c>
      <c r="X9" s="464">
        <f t="shared" ref="X9:X32" si="20">W9-W8</f>
        <v>0</v>
      </c>
      <c r="Y9" s="460">
        <f t="shared" si="7"/>
        <v>625865</v>
      </c>
      <c r="Z9" s="464">
        <f t="shared" si="19"/>
        <v>0</v>
      </c>
      <c r="AA9" s="460">
        <v>35137</v>
      </c>
      <c r="AB9" s="464">
        <f t="shared" si="16"/>
        <v>7</v>
      </c>
      <c r="AC9" s="460">
        <v>794338</v>
      </c>
      <c r="AD9" s="464">
        <f t="shared" si="17"/>
        <v>1455</v>
      </c>
      <c r="AE9" s="487">
        <f t="shared" si="8"/>
        <v>13</v>
      </c>
      <c r="AF9" s="488">
        <f t="shared" si="9"/>
        <v>2909</v>
      </c>
      <c r="AG9" s="480">
        <f t="shared" si="5"/>
        <v>223.76923076923077</v>
      </c>
      <c r="AI9" s="481">
        <f>R9-'EDl log'!B7</f>
        <v>-49999035</v>
      </c>
    </row>
    <row r="10" spans="1:115">
      <c r="A10" s="472">
        <f>'General information '!F13</f>
        <v>1.2999999999999999E-2</v>
      </c>
      <c r="B10" s="466">
        <f t="shared" si="6"/>
        <v>2.9899999999999998</v>
      </c>
      <c r="C10" s="473">
        <v>43990</v>
      </c>
      <c r="D10" s="460">
        <v>31767680</v>
      </c>
      <c r="E10" s="320">
        <f t="shared" si="10"/>
        <v>3342</v>
      </c>
      <c r="F10" s="586">
        <v>3705086</v>
      </c>
      <c r="G10" s="321">
        <f t="shared" si="0"/>
        <v>1741</v>
      </c>
      <c r="H10" s="460">
        <v>17484082</v>
      </c>
      <c r="I10" s="321">
        <f t="shared" si="11"/>
        <v>1756</v>
      </c>
      <c r="J10" s="586">
        <v>28468114</v>
      </c>
      <c r="K10" s="321">
        <f t="shared" si="12"/>
        <v>2636</v>
      </c>
      <c r="L10" s="460">
        <v>23107136</v>
      </c>
      <c r="M10" s="321">
        <f t="shared" si="13"/>
        <v>6270</v>
      </c>
      <c r="N10" s="319">
        <f t="shared" si="14"/>
        <v>15745</v>
      </c>
      <c r="O10" s="482">
        <f t="shared" ref="O10:O32" si="21">IF(B10&gt;0,N10/B10,0)</f>
        <v>5265.8862876254188</v>
      </c>
      <c r="P10" s="586">
        <v>15563</v>
      </c>
      <c r="Q10" s="464">
        <f t="shared" si="2"/>
        <v>2000</v>
      </c>
      <c r="R10" s="464">
        <f t="shared" si="18"/>
        <v>13745</v>
      </c>
      <c r="S10" s="460">
        <v>8662</v>
      </c>
      <c r="T10" s="484">
        <f t="shared" si="3"/>
        <v>12</v>
      </c>
      <c r="U10" s="586">
        <v>87625</v>
      </c>
      <c r="V10" s="464">
        <f t="shared" si="15"/>
        <v>2835</v>
      </c>
      <c r="W10" s="460">
        <f t="shared" si="7"/>
        <v>31853</v>
      </c>
      <c r="X10" s="464">
        <f t="shared" si="20"/>
        <v>0</v>
      </c>
      <c r="Y10" s="460">
        <f t="shared" si="7"/>
        <v>625865</v>
      </c>
      <c r="Z10" s="464">
        <f t="shared" si="19"/>
        <v>0</v>
      </c>
      <c r="AA10" s="460">
        <f t="shared" si="7"/>
        <v>35137</v>
      </c>
      <c r="AB10" s="464">
        <f t="shared" si="16"/>
        <v>0</v>
      </c>
      <c r="AC10" s="460">
        <f t="shared" si="7"/>
        <v>794338</v>
      </c>
      <c r="AD10" s="464">
        <f t="shared" si="17"/>
        <v>0</v>
      </c>
      <c r="AE10" s="487">
        <f t="shared" si="8"/>
        <v>12</v>
      </c>
      <c r="AF10" s="488">
        <f t="shared" si="9"/>
        <v>2835</v>
      </c>
      <c r="AG10" s="480">
        <f t="shared" ref="AG10:AG32" si="22">IF(AE10&gt;0,AF10/AE10,0)</f>
        <v>236.25</v>
      </c>
      <c r="AI10" s="481">
        <f>R10-'EDl log'!B8</f>
        <v>-50005354</v>
      </c>
    </row>
    <row r="11" spans="1:115">
      <c r="A11" s="472">
        <f>'General information '!F14</f>
        <v>1.7399999999999999E-2</v>
      </c>
      <c r="B11" s="466">
        <f>SUM(230*A11)</f>
        <v>4.0019999999999998</v>
      </c>
      <c r="C11" s="473">
        <v>43991</v>
      </c>
      <c r="D11" s="460">
        <v>31772866</v>
      </c>
      <c r="E11" s="320">
        <f t="shared" si="10"/>
        <v>5186</v>
      </c>
      <c r="F11" s="460">
        <v>3706745</v>
      </c>
      <c r="G11" s="321">
        <f t="shared" si="0"/>
        <v>1659</v>
      </c>
      <c r="H11" s="460">
        <v>17485774</v>
      </c>
      <c r="I11" s="321">
        <f t="shared" si="11"/>
        <v>1692</v>
      </c>
      <c r="J11" s="460">
        <v>28470654</v>
      </c>
      <c r="K11" s="321">
        <f t="shared" si="12"/>
        <v>2540</v>
      </c>
      <c r="L11" s="460">
        <v>23111342</v>
      </c>
      <c r="M11" s="321">
        <f t="shared" si="13"/>
        <v>4206</v>
      </c>
      <c r="N11" s="319">
        <f>M11+K11+I11+G11+E11</f>
        <v>15283</v>
      </c>
      <c r="O11" s="482">
        <f t="shared" si="21"/>
        <v>3818.840579710145</v>
      </c>
      <c r="P11" s="460">
        <v>15565</v>
      </c>
      <c r="Q11" s="464">
        <f t="shared" si="2"/>
        <v>2000</v>
      </c>
      <c r="R11" s="464">
        <f t="shared" si="18"/>
        <v>13283</v>
      </c>
      <c r="S11" s="460">
        <v>8665</v>
      </c>
      <c r="T11" s="484">
        <f t="shared" si="3"/>
        <v>3</v>
      </c>
      <c r="U11" s="460">
        <v>88326</v>
      </c>
      <c r="V11" s="464">
        <f t="shared" si="15"/>
        <v>701</v>
      </c>
      <c r="W11" s="460">
        <v>31853</v>
      </c>
      <c r="X11" s="464">
        <f t="shared" si="20"/>
        <v>0</v>
      </c>
      <c r="Y11" s="460">
        <f t="shared" si="7"/>
        <v>625865</v>
      </c>
      <c r="Z11" s="464">
        <f t="shared" si="19"/>
        <v>0</v>
      </c>
      <c r="AA11" s="460">
        <v>35145</v>
      </c>
      <c r="AB11" s="464">
        <f t="shared" si="16"/>
        <v>8</v>
      </c>
      <c r="AC11" s="460">
        <v>796009</v>
      </c>
      <c r="AD11" s="464">
        <f t="shared" si="17"/>
        <v>1671</v>
      </c>
      <c r="AE11" s="487">
        <f t="shared" si="8"/>
        <v>11</v>
      </c>
      <c r="AF11" s="488">
        <f t="shared" si="9"/>
        <v>2372</v>
      </c>
      <c r="AG11" s="480">
        <f t="shared" si="22"/>
        <v>215.63636363636363</v>
      </c>
      <c r="AI11" s="481">
        <f>R11-'EDl log'!B9</f>
        <v>-50011933</v>
      </c>
    </row>
    <row r="12" spans="1:115">
      <c r="A12" s="472">
        <f>'General information '!F15</f>
        <v>1.7399999999999999E-2</v>
      </c>
      <c r="B12" s="466">
        <f t="shared" si="6"/>
        <v>4.0019999999999998</v>
      </c>
      <c r="C12" s="473">
        <v>43992</v>
      </c>
      <c r="D12" s="460">
        <v>31776662</v>
      </c>
      <c r="E12" s="320">
        <f t="shared" si="10"/>
        <v>3796</v>
      </c>
      <c r="F12" s="460">
        <v>3708393</v>
      </c>
      <c r="G12" s="321">
        <f t="shared" si="0"/>
        <v>1648</v>
      </c>
      <c r="H12" s="460">
        <v>17487524</v>
      </c>
      <c r="I12" s="321">
        <f t="shared" si="11"/>
        <v>1750</v>
      </c>
      <c r="J12" s="460">
        <v>28473490</v>
      </c>
      <c r="K12" s="321">
        <f t="shared" si="12"/>
        <v>2836</v>
      </c>
      <c r="L12" s="460">
        <v>23117946</v>
      </c>
      <c r="M12" s="321">
        <f t="shared" si="13"/>
        <v>6604</v>
      </c>
      <c r="N12" s="319">
        <f>M12+K12+I12+G12+E12</f>
        <v>16634</v>
      </c>
      <c r="O12" s="482">
        <f t="shared" si="21"/>
        <v>4156.4217891054477</v>
      </c>
      <c r="P12" s="460">
        <v>15571</v>
      </c>
      <c r="Q12" s="464">
        <f t="shared" si="2"/>
        <v>6000</v>
      </c>
      <c r="R12" s="464">
        <f t="shared" si="18"/>
        <v>10634</v>
      </c>
      <c r="S12" s="460">
        <v>8679</v>
      </c>
      <c r="T12" s="484">
        <f t="shared" si="3"/>
        <v>14</v>
      </c>
      <c r="U12" s="460">
        <v>91701</v>
      </c>
      <c r="V12" s="464">
        <f t="shared" si="15"/>
        <v>3375</v>
      </c>
      <c r="W12" s="460">
        <v>31853</v>
      </c>
      <c r="X12" s="464">
        <f t="shared" si="20"/>
        <v>0</v>
      </c>
      <c r="Y12" s="460">
        <f t="shared" si="7"/>
        <v>625865</v>
      </c>
      <c r="Z12" s="464">
        <f t="shared" si="19"/>
        <v>0</v>
      </c>
      <c r="AA12" s="460">
        <v>35145</v>
      </c>
      <c r="AB12" s="464">
        <f t="shared" si="16"/>
        <v>0</v>
      </c>
      <c r="AC12" s="460">
        <v>796009</v>
      </c>
      <c r="AD12" s="464">
        <f t="shared" si="17"/>
        <v>0</v>
      </c>
      <c r="AE12" s="487">
        <f t="shared" si="8"/>
        <v>14</v>
      </c>
      <c r="AF12" s="488">
        <f t="shared" si="9"/>
        <v>3375</v>
      </c>
      <c r="AG12" s="480">
        <f t="shared" si="22"/>
        <v>241.07142857142858</v>
      </c>
      <c r="AI12" s="481">
        <f>R12-'EDl log'!B10</f>
        <v>-50021868</v>
      </c>
    </row>
    <row r="13" spans="1:115">
      <c r="A13" s="472">
        <f>'General information '!F16</f>
        <v>1.2999999999999999E-2</v>
      </c>
      <c r="B13" s="466">
        <f t="shared" si="6"/>
        <v>2.9899999999999998</v>
      </c>
      <c r="C13" s="473">
        <v>43993</v>
      </c>
      <c r="D13" s="460">
        <v>31779660</v>
      </c>
      <c r="E13" s="320">
        <f t="shared" si="10"/>
        <v>2998</v>
      </c>
      <c r="F13" s="460">
        <v>3710056</v>
      </c>
      <c r="G13" s="321">
        <f t="shared" si="0"/>
        <v>1663</v>
      </c>
      <c r="H13" s="460">
        <v>17489156</v>
      </c>
      <c r="I13" s="321">
        <f t="shared" si="11"/>
        <v>1632</v>
      </c>
      <c r="J13" s="460">
        <v>28475818</v>
      </c>
      <c r="K13" s="321">
        <f t="shared" si="12"/>
        <v>2328</v>
      </c>
      <c r="L13" s="460">
        <v>23123762</v>
      </c>
      <c r="M13" s="321">
        <f t="shared" si="13"/>
        <v>5816</v>
      </c>
      <c r="N13" s="319">
        <f t="shared" si="14"/>
        <v>14437</v>
      </c>
      <c r="O13" s="482">
        <f t="shared" si="21"/>
        <v>4828.4280936454852</v>
      </c>
      <c r="P13" s="460">
        <v>15576</v>
      </c>
      <c r="Q13" s="464">
        <f t="shared" ref="Q13:Q31" si="23">(P13-P12)*1000</f>
        <v>5000</v>
      </c>
      <c r="R13" s="464">
        <f t="shared" si="18"/>
        <v>9437</v>
      </c>
      <c r="S13" s="460">
        <v>8689</v>
      </c>
      <c r="T13" s="484">
        <f t="shared" si="3"/>
        <v>10</v>
      </c>
      <c r="U13" s="460">
        <v>94466</v>
      </c>
      <c r="V13" s="464">
        <f t="shared" si="15"/>
        <v>2765</v>
      </c>
      <c r="W13" s="460">
        <v>31853</v>
      </c>
      <c r="X13" s="464">
        <f t="shared" si="20"/>
        <v>0</v>
      </c>
      <c r="Y13" s="460">
        <v>625865</v>
      </c>
      <c r="Z13" s="464">
        <f t="shared" si="19"/>
        <v>0</v>
      </c>
      <c r="AA13" s="460">
        <v>35145</v>
      </c>
      <c r="AB13" s="464">
        <f t="shared" si="16"/>
        <v>0</v>
      </c>
      <c r="AC13" s="460">
        <v>796020</v>
      </c>
      <c r="AD13" s="464">
        <f t="shared" si="17"/>
        <v>11</v>
      </c>
      <c r="AE13" s="487">
        <f t="shared" si="8"/>
        <v>10</v>
      </c>
      <c r="AF13" s="488">
        <f t="shared" si="9"/>
        <v>2776</v>
      </c>
      <c r="AG13" s="480">
        <f t="shared" si="22"/>
        <v>277.60000000000002</v>
      </c>
      <c r="AI13" s="481">
        <f>R13-'EDl log'!B11</f>
        <v>-50030059</v>
      </c>
    </row>
    <row r="14" spans="1:115">
      <c r="A14" s="472">
        <f>'General information '!F17</f>
        <v>0</v>
      </c>
      <c r="B14" s="466">
        <f t="shared" si="6"/>
        <v>0</v>
      </c>
      <c r="C14" s="473">
        <v>43994</v>
      </c>
      <c r="D14" s="460">
        <f t="shared" ref="D14:L32" si="24">D13</f>
        <v>31779660</v>
      </c>
      <c r="E14" s="320">
        <f t="shared" si="10"/>
        <v>0</v>
      </c>
      <c r="F14" s="460">
        <f t="shared" si="24"/>
        <v>3710056</v>
      </c>
      <c r="G14" s="321">
        <f t="shared" si="0"/>
        <v>0</v>
      </c>
      <c r="H14" s="460">
        <f t="shared" si="24"/>
        <v>17489156</v>
      </c>
      <c r="I14" s="321">
        <f t="shared" si="11"/>
        <v>0</v>
      </c>
      <c r="J14" s="460">
        <f t="shared" si="24"/>
        <v>28475818</v>
      </c>
      <c r="K14" s="321">
        <f t="shared" si="12"/>
        <v>0</v>
      </c>
      <c r="L14" s="460">
        <f t="shared" si="24"/>
        <v>23123762</v>
      </c>
      <c r="M14" s="321">
        <f t="shared" si="13"/>
        <v>0</v>
      </c>
      <c r="N14" s="319">
        <f t="shared" si="14"/>
        <v>0</v>
      </c>
      <c r="O14" s="482">
        <f t="shared" si="21"/>
        <v>0</v>
      </c>
      <c r="P14" s="460">
        <f t="shared" ref="P14:P32" si="25">P13</f>
        <v>15576</v>
      </c>
      <c r="Q14" s="464">
        <f t="shared" si="23"/>
        <v>0</v>
      </c>
      <c r="R14" s="464">
        <f t="shared" si="18"/>
        <v>0</v>
      </c>
      <c r="S14" s="460">
        <f t="shared" si="7"/>
        <v>8689</v>
      </c>
      <c r="T14" s="484">
        <f t="shared" si="3"/>
        <v>0</v>
      </c>
      <c r="U14" s="460">
        <f t="shared" si="7"/>
        <v>94466</v>
      </c>
      <c r="V14" s="464">
        <f t="shared" si="15"/>
        <v>0</v>
      </c>
      <c r="W14" s="460">
        <f t="shared" si="7"/>
        <v>31853</v>
      </c>
      <c r="X14" s="464">
        <f t="shared" si="20"/>
        <v>0</v>
      </c>
      <c r="Y14" s="460">
        <f t="shared" si="7"/>
        <v>625865</v>
      </c>
      <c r="Z14" s="464">
        <f t="shared" si="19"/>
        <v>0</v>
      </c>
      <c r="AA14" s="460">
        <f t="shared" si="7"/>
        <v>35145</v>
      </c>
      <c r="AB14" s="464">
        <f t="shared" si="16"/>
        <v>0</v>
      </c>
      <c r="AC14" s="460">
        <f t="shared" si="7"/>
        <v>796020</v>
      </c>
      <c r="AD14" s="464">
        <f t="shared" si="17"/>
        <v>0</v>
      </c>
      <c r="AE14" s="487">
        <f t="shared" si="8"/>
        <v>0</v>
      </c>
      <c r="AF14" s="488">
        <f t="shared" si="9"/>
        <v>0</v>
      </c>
      <c r="AG14" s="480">
        <f t="shared" si="22"/>
        <v>0</v>
      </c>
      <c r="AI14" s="481">
        <f>R14-'EDl log'!B12</f>
        <v>-50046427</v>
      </c>
    </row>
    <row r="15" spans="1:115">
      <c r="A15" s="472">
        <f>'General information '!F18</f>
        <v>0</v>
      </c>
      <c r="B15" s="466">
        <f t="shared" si="6"/>
        <v>0</v>
      </c>
      <c r="C15" s="473">
        <v>43995</v>
      </c>
      <c r="D15" s="460">
        <f t="shared" si="24"/>
        <v>31779660</v>
      </c>
      <c r="E15" s="320">
        <f t="shared" si="10"/>
        <v>0</v>
      </c>
      <c r="F15" s="460">
        <f t="shared" si="24"/>
        <v>3710056</v>
      </c>
      <c r="G15" s="321">
        <f t="shared" si="0"/>
        <v>0</v>
      </c>
      <c r="H15" s="460">
        <f t="shared" si="24"/>
        <v>17489156</v>
      </c>
      <c r="I15" s="321">
        <f t="shared" si="11"/>
        <v>0</v>
      </c>
      <c r="J15" s="460">
        <f t="shared" si="24"/>
        <v>28475818</v>
      </c>
      <c r="K15" s="321">
        <f t="shared" si="12"/>
        <v>0</v>
      </c>
      <c r="L15" s="460">
        <f t="shared" si="24"/>
        <v>23123762</v>
      </c>
      <c r="M15" s="321">
        <f t="shared" si="13"/>
        <v>0</v>
      </c>
      <c r="N15" s="319">
        <f t="shared" si="14"/>
        <v>0</v>
      </c>
      <c r="O15" s="482">
        <f t="shared" si="21"/>
        <v>0</v>
      </c>
      <c r="P15" s="460">
        <f t="shared" si="25"/>
        <v>15576</v>
      </c>
      <c r="Q15" s="464">
        <f>(P15-P14)*1000</f>
        <v>0</v>
      </c>
      <c r="R15" s="464">
        <f t="shared" si="18"/>
        <v>0</v>
      </c>
      <c r="S15" s="460">
        <f t="shared" si="7"/>
        <v>8689</v>
      </c>
      <c r="T15" s="484">
        <f t="shared" si="3"/>
        <v>0</v>
      </c>
      <c r="U15" s="460">
        <f t="shared" si="7"/>
        <v>94466</v>
      </c>
      <c r="V15" s="464">
        <f t="shared" si="15"/>
        <v>0</v>
      </c>
      <c r="W15" s="460">
        <f t="shared" si="7"/>
        <v>31853</v>
      </c>
      <c r="X15" s="464">
        <f t="shared" si="20"/>
        <v>0</v>
      </c>
      <c r="Y15" s="460">
        <f t="shared" si="7"/>
        <v>625865</v>
      </c>
      <c r="Z15" s="464">
        <f t="shared" si="19"/>
        <v>0</v>
      </c>
      <c r="AA15" s="460">
        <f t="shared" si="7"/>
        <v>35145</v>
      </c>
      <c r="AB15" s="464">
        <f t="shared" si="16"/>
        <v>0</v>
      </c>
      <c r="AC15" s="460">
        <f t="shared" si="7"/>
        <v>796020</v>
      </c>
      <c r="AD15" s="464">
        <f t="shared" si="17"/>
        <v>0</v>
      </c>
      <c r="AE15" s="487">
        <f t="shared" si="8"/>
        <v>0</v>
      </c>
      <c r="AF15" s="488">
        <f t="shared" si="9"/>
        <v>0</v>
      </c>
      <c r="AG15" s="480">
        <f t="shared" si="22"/>
        <v>0</v>
      </c>
      <c r="AI15" s="481">
        <f>R15-'EDl log'!B13</f>
        <v>-50052150</v>
      </c>
    </row>
    <row r="16" spans="1:115">
      <c r="A16" s="472">
        <f>'General information '!F19</f>
        <v>0</v>
      </c>
      <c r="B16" s="466">
        <f t="shared" si="6"/>
        <v>0</v>
      </c>
      <c r="C16" s="473">
        <v>43996</v>
      </c>
      <c r="D16" s="460">
        <f t="shared" si="24"/>
        <v>31779660</v>
      </c>
      <c r="E16" s="320">
        <f t="shared" si="10"/>
        <v>0</v>
      </c>
      <c r="F16" s="460">
        <f t="shared" si="24"/>
        <v>3710056</v>
      </c>
      <c r="G16" s="321">
        <f t="shared" si="0"/>
        <v>0</v>
      </c>
      <c r="H16" s="460">
        <f t="shared" si="24"/>
        <v>17489156</v>
      </c>
      <c r="I16" s="321">
        <f t="shared" si="11"/>
        <v>0</v>
      </c>
      <c r="J16" s="460">
        <f t="shared" si="24"/>
        <v>28475818</v>
      </c>
      <c r="K16" s="321">
        <f t="shared" si="12"/>
        <v>0</v>
      </c>
      <c r="L16" s="460">
        <f t="shared" si="24"/>
        <v>23123762</v>
      </c>
      <c r="M16" s="321">
        <f t="shared" si="13"/>
        <v>0</v>
      </c>
      <c r="N16" s="319">
        <f t="shared" si="14"/>
        <v>0</v>
      </c>
      <c r="O16" s="482">
        <f t="shared" si="21"/>
        <v>0</v>
      </c>
      <c r="P16" s="460">
        <f t="shared" si="25"/>
        <v>15576</v>
      </c>
      <c r="Q16" s="464">
        <f>(P16-P15)*1000</f>
        <v>0</v>
      </c>
      <c r="R16" s="464">
        <f t="shared" si="18"/>
        <v>0</v>
      </c>
      <c r="S16" s="460">
        <f t="shared" si="7"/>
        <v>8689</v>
      </c>
      <c r="T16" s="484">
        <f t="shared" si="3"/>
        <v>0</v>
      </c>
      <c r="U16" s="460">
        <f t="shared" si="7"/>
        <v>94466</v>
      </c>
      <c r="V16" s="464">
        <f t="shared" si="15"/>
        <v>0</v>
      </c>
      <c r="W16" s="460">
        <f t="shared" si="7"/>
        <v>31853</v>
      </c>
      <c r="X16" s="464">
        <f>W16-W15</f>
        <v>0</v>
      </c>
      <c r="Y16" s="460">
        <f t="shared" si="7"/>
        <v>625865</v>
      </c>
      <c r="Z16" s="464">
        <f>Y16-Y15</f>
        <v>0</v>
      </c>
      <c r="AA16" s="460">
        <f t="shared" si="7"/>
        <v>35145</v>
      </c>
      <c r="AB16" s="464">
        <f>AA16-AA15</f>
        <v>0</v>
      </c>
      <c r="AC16" s="460">
        <f t="shared" si="7"/>
        <v>796020</v>
      </c>
      <c r="AD16" s="464">
        <f t="shared" si="17"/>
        <v>0</v>
      </c>
      <c r="AE16" s="487">
        <f t="shared" si="8"/>
        <v>0</v>
      </c>
      <c r="AF16" s="488">
        <f t="shared" si="9"/>
        <v>0</v>
      </c>
      <c r="AG16" s="480">
        <f t="shared" si="22"/>
        <v>0</v>
      </c>
      <c r="AI16" s="481">
        <f>R16-'EDl log'!B14</f>
        <v>-4163</v>
      </c>
    </row>
    <row r="17" spans="1:35">
      <c r="A17" s="472">
        <f>'General information '!F20</f>
        <v>0</v>
      </c>
      <c r="B17" s="466">
        <f t="shared" si="6"/>
        <v>0</v>
      </c>
      <c r="C17" s="473">
        <v>43997</v>
      </c>
      <c r="D17" s="460">
        <f t="shared" si="24"/>
        <v>31779660</v>
      </c>
      <c r="E17" s="320">
        <f t="shared" si="10"/>
        <v>0</v>
      </c>
      <c r="F17" s="460">
        <f t="shared" si="24"/>
        <v>3710056</v>
      </c>
      <c r="G17" s="321">
        <f t="shared" si="0"/>
        <v>0</v>
      </c>
      <c r="H17" s="460">
        <f t="shared" si="24"/>
        <v>17489156</v>
      </c>
      <c r="I17" s="321">
        <f t="shared" si="11"/>
        <v>0</v>
      </c>
      <c r="J17" s="460">
        <f t="shared" si="24"/>
        <v>28475818</v>
      </c>
      <c r="K17" s="321">
        <f t="shared" si="12"/>
        <v>0</v>
      </c>
      <c r="L17" s="460">
        <f t="shared" si="24"/>
        <v>23123762</v>
      </c>
      <c r="M17" s="321">
        <f t="shared" si="13"/>
        <v>0</v>
      </c>
      <c r="N17" s="319">
        <f t="shared" si="14"/>
        <v>0</v>
      </c>
      <c r="O17" s="482">
        <f t="shared" si="21"/>
        <v>0</v>
      </c>
      <c r="P17" s="460">
        <f t="shared" si="25"/>
        <v>15576</v>
      </c>
      <c r="Q17" s="464">
        <f t="shared" si="23"/>
        <v>0</v>
      </c>
      <c r="R17" s="464">
        <f t="shared" si="18"/>
        <v>0</v>
      </c>
      <c r="S17" s="460">
        <f t="shared" si="7"/>
        <v>8689</v>
      </c>
      <c r="T17" s="484">
        <f t="shared" si="3"/>
        <v>0</v>
      </c>
      <c r="U17" s="460">
        <f t="shared" si="7"/>
        <v>94466</v>
      </c>
      <c r="V17" s="464">
        <f t="shared" si="15"/>
        <v>0</v>
      </c>
      <c r="W17" s="460">
        <f t="shared" si="7"/>
        <v>31853</v>
      </c>
      <c r="X17" s="464">
        <f t="shared" si="20"/>
        <v>0</v>
      </c>
      <c r="Y17" s="460">
        <f t="shared" si="7"/>
        <v>625865</v>
      </c>
      <c r="Z17" s="464">
        <f t="shared" si="19"/>
        <v>0</v>
      </c>
      <c r="AA17" s="460">
        <f t="shared" si="7"/>
        <v>35145</v>
      </c>
      <c r="AB17" s="464">
        <f t="shared" si="16"/>
        <v>0</v>
      </c>
      <c r="AC17" s="460">
        <f t="shared" si="7"/>
        <v>796020</v>
      </c>
      <c r="AD17" s="464">
        <f t="shared" ref="AD17:AD32" si="26">AC17-AC16</f>
        <v>0</v>
      </c>
      <c r="AE17" s="487">
        <f t="shared" si="8"/>
        <v>0</v>
      </c>
      <c r="AF17" s="488">
        <f t="shared" si="9"/>
        <v>0</v>
      </c>
      <c r="AG17" s="480">
        <f t="shared" si="22"/>
        <v>0</v>
      </c>
      <c r="AI17" s="481">
        <f>R17-'EDl log'!B15</f>
        <v>-4163</v>
      </c>
    </row>
    <row r="18" spans="1:35">
      <c r="A18" s="472">
        <f>'General information '!F21</f>
        <v>0</v>
      </c>
      <c r="B18" s="466">
        <f t="shared" si="6"/>
        <v>0</v>
      </c>
      <c r="C18" s="473">
        <v>43998</v>
      </c>
      <c r="D18" s="460">
        <f t="shared" si="24"/>
        <v>31779660</v>
      </c>
      <c r="E18" s="320">
        <f t="shared" si="10"/>
        <v>0</v>
      </c>
      <c r="F18" s="460">
        <f t="shared" si="24"/>
        <v>3710056</v>
      </c>
      <c r="G18" s="321">
        <f t="shared" si="0"/>
        <v>0</v>
      </c>
      <c r="H18" s="460">
        <f t="shared" si="24"/>
        <v>17489156</v>
      </c>
      <c r="I18" s="321">
        <f t="shared" si="11"/>
        <v>0</v>
      </c>
      <c r="J18" s="460">
        <f t="shared" si="24"/>
        <v>28475818</v>
      </c>
      <c r="K18" s="321">
        <f t="shared" si="12"/>
        <v>0</v>
      </c>
      <c r="L18" s="460">
        <f t="shared" si="24"/>
        <v>23123762</v>
      </c>
      <c r="M18" s="321">
        <f t="shared" si="13"/>
        <v>0</v>
      </c>
      <c r="N18" s="319">
        <f t="shared" si="14"/>
        <v>0</v>
      </c>
      <c r="O18" s="482">
        <f t="shared" si="21"/>
        <v>0</v>
      </c>
      <c r="P18" s="460">
        <f t="shared" si="25"/>
        <v>15576</v>
      </c>
      <c r="Q18" s="464">
        <f t="shared" si="23"/>
        <v>0</v>
      </c>
      <c r="R18" s="464">
        <f t="shared" si="18"/>
        <v>0</v>
      </c>
      <c r="S18" s="460">
        <f t="shared" si="7"/>
        <v>8689</v>
      </c>
      <c r="T18" s="484">
        <f t="shared" si="3"/>
        <v>0</v>
      </c>
      <c r="U18" s="460">
        <f t="shared" si="7"/>
        <v>94466</v>
      </c>
      <c r="V18" s="464">
        <f t="shared" si="15"/>
        <v>0</v>
      </c>
      <c r="W18" s="460">
        <f t="shared" si="7"/>
        <v>31853</v>
      </c>
      <c r="X18" s="464">
        <f t="shared" si="20"/>
        <v>0</v>
      </c>
      <c r="Y18" s="460">
        <f t="shared" si="7"/>
        <v>625865</v>
      </c>
      <c r="Z18" s="464">
        <f t="shared" si="19"/>
        <v>0</v>
      </c>
      <c r="AA18" s="460">
        <f t="shared" si="7"/>
        <v>35145</v>
      </c>
      <c r="AB18" s="464">
        <f t="shared" si="16"/>
        <v>0</v>
      </c>
      <c r="AC18" s="460">
        <f t="shared" si="7"/>
        <v>796020</v>
      </c>
      <c r="AD18" s="464">
        <f t="shared" si="26"/>
        <v>0</v>
      </c>
      <c r="AE18" s="487">
        <f t="shared" si="8"/>
        <v>0</v>
      </c>
      <c r="AF18" s="488">
        <f t="shared" si="9"/>
        <v>0</v>
      </c>
      <c r="AG18" s="480">
        <f t="shared" si="22"/>
        <v>0</v>
      </c>
      <c r="AI18" s="481">
        <f>R18-'EDl log'!B16</f>
        <v>-4163</v>
      </c>
    </row>
    <row r="19" spans="1:35">
      <c r="A19" s="472">
        <f>'General information '!F22</f>
        <v>0</v>
      </c>
      <c r="B19" s="466">
        <f t="shared" si="6"/>
        <v>0</v>
      </c>
      <c r="C19" s="473">
        <v>43999</v>
      </c>
      <c r="D19" s="460">
        <f t="shared" si="24"/>
        <v>31779660</v>
      </c>
      <c r="E19" s="320">
        <f t="shared" si="10"/>
        <v>0</v>
      </c>
      <c r="F19" s="460">
        <f t="shared" si="24"/>
        <v>3710056</v>
      </c>
      <c r="G19" s="321">
        <f t="shared" si="0"/>
        <v>0</v>
      </c>
      <c r="H19" s="460">
        <f t="shared" si="24"/>
        <v>17489156</v>
      </c>
      <c r="I19" s="321">
        <f t="shared" si="11"/>
        <v>0</v>
      </c>
      <c r="J19" s="460">
        <f t="shared" si="24"/>
        <v>28475818</v>
      </c>
      <c r="K19" s="321">
        <f t="shared" si="12"/>
        <v>0</v>
      </c>
      <c r="L19" s="460">
        <f t="shared" si="24"/>
        <v>23123762</v>
      </c>
      <c r="M19" s="321">
        <f t="shared" si="13"/>
        <v>0</v>
      </c>
      <c r="N19" s="319">
        <f t="shared" si="14"/>
        <v>0</v>
      </c>
      <c r="O19" s="482">
        <f t="shared" si="21"/>
        <v>0</v>
      </c>
      <c r="P19" s="460">
        <f t="shared" si="25"/>
        <v>15576</v>
      </c>
      <c r="Q19" s="464">
        <f>(P19-P18)*1000</f>
        <v>0</v>
      </c>
      <c r="R19" s="464">
        <f t="shared" si="18"/>
        <v>0</v>
      </c>
      <c r="S19" s="460">
        <f t="shared" si="7"/>
        <v>8689</v>
      </c>
      <c r="T19" s="484">
        <f t="shared" si="3"/>
        <v>0</v>
      </c>
      <c r="U19" s="460">
        <f t="shared" si="7"/>
        <v>94466</v>
      </c>
      <c r="V19" s="464">
        <f t="shared" si="15"/>
        <v>0</v>
      </c>
      <c r="W19" s="460">
        <f t="shared" si="7"/>
        <v>31853</v>
      </c>
      <c r="X19" s="464">
        <f t="shared" si="20"/>
        <v>0</v>
      </c>
      <c r="Y19" s="460">
        <f t="shared" si="7"/>
        <v>625865</v>
      </c>
      <c r="Z19" s="464">
        <f t="shared" si="19"/>
        <v>0</v>
      </c>
      <c r="AA19" s="460">
        <f t="shared" si="7"/>
        <v>35145</v>
      </c>
      <c r="AB19" s="464">
        <f t="shared" si="16"/>
        <v>0</v>
      </c>
      <c r="AC19" s="460">
        <f t="shared" si="7"/>
        <v>796020</v>
      </c>
      <c r="AD19" s="464">
        <f t="shared" si="26"/>
        <v>0</v>
      </c>
      <c r="AE19" s="487">
        <f t="shared" si="8"/>
        <v>0</v>
      </c>
      <c r="AF19" s="488">
        <f t="shared" si="9"/>
        <v>0</v>
      </c>
      <c r="AG19" s="480">
        <f t="shared" si="22"/>
        <v>0</v>
      </c>
      <c r="AI19" s="481">
        <f>R19-'EDl log'!B17</f>
        <v>-4163</v>
      </c>
    </row>
    <row r="20" spans="1:35">
      <c r="A20" s="472">
        <f>'General information '!F23</f>
        <v>0</v>
      </c>
      <c r="B20" s="466">
        <f t="shared" si="6"/>
        <v>0</v>
      </c>
      <c r="C20" s="473">
        <v>44000</v>
      </c>
      <c r="D20" s="460">
        <f t="shared" si="24"/>
        <v>31779660</v>
      </c>
      <c r="E20" s="320">
        <f t="shared" si="10"/>
        <v>0</v>
      </c>
      <c r="F20" s="460">
        <f t="shared" si="24"/>
        <v>3710056</v>
      </c>
      <c r="G20" s="321">
        <f t="shared" si="0"/>
        <v>0</v>
      </c>
      <c r="H20" s="460">
        <f t="shared" si="24"/>
        <v>17489156</v>
      </c>
      <c r="I20" s="321">
        <f t="shared" si="11"/>
        <v>0</v>
      </c>
      <c r="J20" s="460">
        <f t="shared" si="24"/>
        <v>28475818</v>
      </c>
      <c r="K20" s="321">
        <f t="shared" si="12"/>
        <v>0</v>
      </c>
      <c r="L20" s="460">
        <f t="shared" si="24"/>
        <v>23123762</v>
      </c>
      <c r="M20" s="321">
        <f t="shared" si="13"/>
        <v>0</v>
      </c>
      <c r="N20" s="319">
        <f t="shared" si="14"/>
        <v>0</v>
      </c>
      <c r="O20" s="482">
        <f t="shared" si="21"/>
        <v>0</v>
      </c>
      <c r="P20" s="460">
        <f t="shared" si="25"/>
        <v>15576</v>
      </c>
      <c r="Q20" s="464">
        <f t="shared" si="23"/>
        <v>0</v>
      </c>
      <c r="R20" s="464">
        <f t="shared" si="18"/>
        <v>0</v>
      </c>
      <c r="S20" s="460">
        <f t="shared" si="7"/>
        <v>8689</v>
      </c>
      <c r="T20" s="484">
        <f t="shared" si="3"/>
        <v>0</v>
      </c>
      <c r="U20" s="460">
        <f t="shared" si="7"/>
        <v>94466</v>
      </c>
      <c r="V20" s="464">
        <f t="shared" si="15"/>
        <v>0</v>
      </c>
      <c r="W20" s="460">
        <f t="shared" si="7"/>
        <v>31853</v>
      </c>
      <c r="X20" s="464">
        <f t="shared" si="20"/>
        <v>0</v>
      </c>
      <c r="Y20" s="460">
        <f t="shared" si="7"/>
        <v>625865</v>
      </c>
      <c r="Z20" s="464">
        <f t="shared" si="19"/>
        <v>0</v>
      </c>
      <c r="AA20" s="460">
        <f t="shared" si="7"/>
        <v>35145</v>
      </c>
      <c r="AB20" s="464">
        <f t="shared" si="16"/>
        <v>0</v>
      </c>
      <c r="AC20" s="460">
        <f t="shared" si="7"/>
        <v>796020</v>
      </c>
      <c r="AD20" s="464">
        <f t="shared" si="26"/>
        <v>0</v>
      </c>
      <c r="AE20" s="487">
        <f t="shared" si="8"/>
        <v>0</v>
      </c>
      <c r="AF20" s="488">
        <f t="shared" si="9"/>
        <v>0</v>
      </c>
      <c r="AG20" s="480">
        <f t="shared" si="22"/>
        <v>0</v>
      </c>
      <c r="AI20" s="481">
        <f>R20-'EDl log'!B18</f>
        <v>-4163</v>
      </c>
    </row>
    <row r="21" spans="1:35">
      <c r="A21" s="472">
        <f>'General information '!F24</f>
        <v>0</v>
      </c>
      <c r="B21" s="466">
        <f t="shared" si="6"/>
        <v>0</v>
      </c>
      <c r="C21" s="473">
        <v>44001</v>
      </c>
      <c r="D21" s="460">
        <f t="shared" si="24"/>
        <v>31779660</v>
      </c>
      <c r="E21" s="320">
        <f t="shared" si="10"/>
        <v>0</v>
      </c>
      <c r="F21" s="460">
        <f t="shared" si="24"/>
        <v>3710056</v>
      </c>
      <c r="G21" s="321">
        <f t="shared" si="0"/>
        <v>0</v>
      </c>
      <c r="H21" s="460">
        <f t="shared" si="24"/>
        <v>17489156</v>
      </c>
      <c r="I21" s="321">
        <f t="shared" si="11"/>
        <v>0</v>
      </c>
      <c r="J21" s="460">
        <f t="shared" si="24"/>
        <v>28475818</v>
      </c>
      <c r="K21" s="321">
        <f t="shared" si="12"/>
        <v>0</v>
      </c>
      <c r="L21" s="460">
        <f t="shared" si="24"/>
        <v>23123762</v>
      </c>
      <c r="M21" s="321">
        <f t="shared" si="13"/>
        <v>0</v>
      </c>
      <c r="N21" s="319">
        <f t="shared" si="14"/>
        <v>0</v>
      </c>
      <c r="O21" s="482">
        <f t="shared" si="21"/>
        <v>0</v>
      </c>
      <c r="P21" s="460">
        <f t="shared" si="25"/>
        <v>15576</v>
      </c>
      <c r="Q21" s="464">
        <f>(P21-P20)*1000</f>
        <v>0</v>
      </c>
      <c r="R21" s="464">
        <f t="shared" si="18"/>
        <v>0</v>
      </c>
      <c r="S21" s="460">
        <f t="shared" si="7"/>
        <v>8689</v>
      </c>
      <c r="T21" s="484">
        <f t="shared" si="3"/>
        <v>0</v>
      </c>
      <c r="U21" s="460">
        <f t="shared" si="7"/>
        <v>94466</v>
      </c>
      <c r="V21" s="464">
        <f t="shared" si="15"/>
        <v>0</v>
      </c>
      <c r="W21" s="460">
        <f t="shared" si="7"/>
        <v>31853</v>
      </c>
      <c r="X21" s="464">
        <f t="shared" si="20"/>
        <v>0</v>
      </c>
      <c r="Y21" s="460">
        <f t="shared" si="7"/>
        <v>625865</v>
      </c>
      <c r="Z21" s="464">
        <f t="shared" si="19"/>
        <v>0</v>
      </c>
      <c r="AA21" s="460">
        <f t="shared" si="7"/>
        <v>35145</v>
      </c>
      <c r="AB21" s="464">
        <f t="shared" si="16"/>
        <v>0</v>
      </c>
      <c r="AC21" s="460">
        <f t="shared" si="7"/>
        <v>796020</v>
      </c>
      <c r="AD21" s="464">
        <f t="shared" si="26"/>
        <v>0</v>
      </c>
      <c r="AE21" s="487">
        <f t="shared" si="8"/>
        <v>0</v>
      </c>
      <c r="AF21" s="488">
        <f t="shared" si="9"/>
        <v>0</v>
      </c>
      <c r="AG21" s="480">
        <f t="shared" si="22"/>
        <v>0</v>
      </c>
      <c r="AI21" s="481">
        <f>R21-'EDl log'!B19</f>
        <v>-4163</v>
      </c>
    </row>
    <row r="22" spans="1:35">
      <c r="A22" s="472">
        <f>'General information '!F25</f>
        <v>0</v>
      </c>
      <c r="B22" s="466">
        <f t="shared" si="6"/>
        <v>0</v>
      </c>
      <c r="C22" s="473">
        <v>44002</v>
      </c>
      <c r="D22" s="460">
        <f t="shared" si="24"/>
        <v>31779660</v>
      </c>
      <c r="E22" s="320">
        <f t="shared" si="10"/>
        <v>0</v>
      </c>
      <c r="F22" s="460">
        <f t="shared" si="24"/>
        <v>3710056</v>
      </c>
      <c r="G22" s="321">
        <f t="shared" si="0"/>
        <v>0</v>
      </c>
      <c r="H22" s="460">
        <f t="shared" si="24"/>
        <v>17489156</v>
      </c>
      <c r="I22" s="321">
        <f t="shared" si="11"/>
        <v>0</v>
      </c>
      <c r="J22" s="460">
        <f t="shared" si="24"/>
        <v>28475818</v>
      </c>
      <c r="K22" s="321">
        <f t="shared" si="12"/>
        <v>0</v>
      </c>
      <c r="L22" s="460">
        <f t="shared" si="24"/>
        <v>23123762</v>
      </c>
      <c r="M22" s="321">
        <f t="shared" si="13"/>
        <v>0</v>
      </c>
      <c r="N22" s="319">
        <f t="shared" si="14"/>
        <v>0</v>
      </c>
      <c r="O22" s="482">
        <f t="shared" si="21"/>
        <v>0</v>
      </c>
      <c r="P22" s="460">
        <f t="shared" si="25"/>
        <v>15576</v>
      </c>
      <c r="Q22" s="464">
        <f t="shared" si="23"/>
        <v>0</v>
      </c>
      <c r="R22" s="464">
        <f t="shared" si="18"/>
        <v>0</v>
      </c>
      <c r="S22" s="460">
        <f t="shared" si="7"/>
        <v>8689</v>
      </c>
      <c r="T22" s="484">
        <f t="shared" si="3"/>
        <v>0</v>
      </c>
      <c r="U22" s="460">
        <f t="shared" si="7"/>
        <v>94466</v>
      </c>
      <c r="V22" s="464">
        <f t="shared" si="15"/>
        <v>0</v>
      </c>
      <c r="W22" s="460">
        <f t="shared" si="7"/>
        <v>31853</v>
      </c>
      <c r="X22" s="464">
        <f t="shared" si="20"/>
        <v>0</v>
      </c>
      <c r="Y22" s="460">
        <f t="shared" si="7"/>
        <v>625865</v>
      </c>
      <c r="Z22" s="464">
        <f t="shared" si="19"/>
        <v>0</v>
      </c>
      <c r="AA22" s="460">
        <f t="shared" si="7"/>
        <v>35145</v>
      </c>
      <c r="AB22" s="464">
        <f t="shared" si="16"/>
        <v>0</v>
      </c>
      <c r="AC22" s="460">
        <f t="shared" si="7"/>
        <v>796020</v>
      </c>
      <c r="AD22" s="464">
        <f t="shared" si="26"/>
        <v>0</v>
      </c>
      <c r="AE22" s="487">
        <f t="shared" si="8"/>
        <v>0</v>
      </c>
      <c r="AF22" s="488">
        <f t="shared" si="9"/>
        <v>0</v>
      </c>
      <c r="AG22" s="480">
        <f t="shared" si="22"/>
        <v>0</v>
      </c>
      <c r="AI22" s="481">
        <f>R22-'EDl log'!B20</f>
        <v>-4163</v>
      </c>
    </row>
    <row r="23" spans="1:35">
      <c r="A23" s="472">
        <f>'General information '!F26</f>
        <v>0</v>
      </c>
      <c r="B23" s="466">
        <f t="shared" si="6"/>
        <v>0</v>
      </c>
      <c r="C23" s="473">
        <v>44003</v>
      </c>
      <c r="D23" s="460">
        <f t="shared" si="24"/>
        <v>31779660</v>
      </c>
      <c r="E23" s="320">
        <f t="shared" si="10"/>
        <v>0</v>
      </c>
      <c r="F23" s="460">
        <f t="shared" si="24"/>
        <v>3710056</v>
      </c>
      <c r="G23" s="321">
        <f t="shared" si="0"/>
        <v>0</v>
      </c>
      <c r="H23" s="460">
        <f t="shared" si="24"/>
        <v>17489156</v>
      </c>
      <c r="I23" s="453">
        <f t="shared" si="11"/>
        <v>0</v>
      </c>
      <c r="J23" s="460">
        <f t="shared" si="24"/>
        <v>28475818</v>
      </c>
      <c r="K23" s="321">
        <f t="shared" si="12"/>
        <v>0</v>
      </c>
      <c r="L23" s="460">
        <f t="shared" si="24"/>
        <v>23123762</v>
      </c>
      <c r="M23" s="321">
        <f t="shared" si="13"/>
        <v>0</v>
      </c>
      <c r="N23" s="319">
        <f t="shared" si="14"/>
        <v>0</v>
      </c>
      <c r="O23" s="482">
        <f t="shared" si="21"/>
        <v>0</v>
      </c>
      <c r="P23" s="460">
        <f t="shared" si="25"/>
        <v>15576</v>
      </c>
      <c r="Q23" s="464">
        <f t="shared" si="23"/>
        <v>0</v>
      </c>
      <c r="R23" s="464">
        <f t="shared" si="18"/>
        <v>0</v>
      </c>
      <c r="S23" s="460">
        <f t="shared" si="7"/>
        <v>8689</v>
      </c>
      <c r="T23" s="484">
        <f t="shared" si="3"/>
        <v>0</v>
      </c>
      <c r="U23" s="460">
        <f t="shared" si="7"/>
        <v>94466</v>
      </c>
      <c r="V23" s="464">
        <f t="shared" si="15"/>
        <v>0</v>
      </c>
      <c r="W23" s="460">
        <f t="shared" si="7"/>
        <v>31853</v>
      </c>
      <c r="X23" s="464">
        <f t="shared" si="20"/>
        <v>0</v>
      </c>
      <c r="Y23" s="460">
        <f t="shared" si="7"/>
        <v>625865</v>
      </c>
      <c r="Z23" s="464">
        <f t="shared" si="19"/>
        <v>0</v>
      </c>
      <c r="AA23" s="460">
        <f t="shared" si="7"/>
        <v>35145</v>
      </c>
      <c r="AB23" s="464">
        <f t="shared" si="16"/>
        <v>0</v>
      </c>
      <c r="AC23" s="460">
        <f t="shared" si="7"/>
        <v>796020</v>
      </c>
      <c r="AD23" s="464">
        <f t="shared" si="26"/>
        <v>0</v>
      </c>
      <c r="AE23" s="487">
        <f t="shared" si="8"/>
        <v>0</v>
      </c>
      <c r="AF23" s="488">
        <f t="shared" si="9"/>
        <v>0</v>
      </c>
      <c r="AG23" s="480">
        <f t="shared" si="22"/>
        <v>0</v>
      </c>
      <c r="AI23" s="481">
        <f>R23-'EDl log'!B21</f>
        <v>-4163</v>
      </c>
    </row>
    <row r="24" spans="1:35">
      <c r="A24" s="472">
        <f>'General information '!F27</f>
        <v>0</v>
      </c>
      <c r="B24" s="466">
        <f t="shared" si="6"/>
        <v>0</v>
      </c>
      <c r="C24" s="473">
        <v>44004</v>
      </c>
      <c r="D24" s="460">
        <f t="shared" si="24"/>
        <v>31779660</v>
      </c>
      <c r="E24" s="320">
        <f t="shared" si="10"/>
        <v>0</v>
      </c>
      <c r="F24" s="460">
        <f t="shared" si="24"/>
        <v>3710056</v>
      </c>
      <c r="G24" s="321">
        <f t="shared" si="0"/>
        <v>0</v>
      </c>
      <c r="H24" s="460">
        <f t="shared" si="24"/>
        <v>17489156</v>
      </c>
      <c r="I24" s="321">
        <f t="shared" si="11"/>
        <v>0</v>
      </c>
      <c r="J24" s="460">
        <f t="shared" si="24"/>
        <v>28475818</v>
      </c>
      <c r="K24" s="321">
        <f t="shared" si="12"/>
        <v>0</v>
      </c>
      <c r="L24" s="460">
        <f t="shared" si="24"/>
        <v>23123762</v>
      </c>
      <c r="M24" s="321">
        <f t="shared" si="13"/>
        <v>0</v>
      </c>
      <c r="N24" s="319">
        <f t="shared" si="14"/>
        <v>0</v>
      </c>
      <c r="O24" s="482">
        <f t="shared" si="21"/>
        <v>0</v>
      </c>
      <c r="P24" s="460">
        <f t="shared" si="25"/>
        <v>15576</v>
      </c>
      <c r="Q24" s="464">
        <f t="shared" si="23"/>
        <v>0</v>
      </c>
      <c r="R24" s="464">
        <f t="shared" si="18"/>
        <v>0</v>
      </c>
      <c r="S24" s="460">
        <f t="shared" si="7"/>
        <v>8689</v>
      </c>
      <c r="T24" s="484">
        <f t="shared" si="3"/>
        <v>0</v>
      </c>
      <c r="U24" s="460">
        <f t="shared" si="7"/>
        <v>94466</v>
      </c>
      <c r="V24" s="464">
        <f t="shared" si="15"/>
        <v>0</v>
      </c>
      <c r="W24" s="460">
        <f t="shared" si="7"/>
        <v>31853</v>
      </c>
      <c r="X24" s="464">
        <f t="shared" si="20"/>
        <v>0</v>
      </c>
      <c r="Y24" s="460">
        <f t="shared" si="7"/>
        <v>625865</v>
      </c>
      <c r="Z24" s="464">
        <f t="shared" si="19"/>
        <v>0</v>
      </c>
      <c r="AA24" s="460">
        <f t="shared" si="7"/>
        <v>35145</v>
      </c>
      <c r="AB24" s="464">
        <f t="shared" si="16"/>
        <v>0</v>
      </c>
      <c r="AC24" s="460">
        <f t="shared" si="7"/>
        <v>796020</v>
      </c>
      <c r="AD24" s="464">
        <f t="shared" si="26"/>
        <v>0</v>
      </c>
      <c r="AE24" s="487">
        <f t="shared" si="8"/>
        <v>0</v>
      </c>
      <c r="AF24" s="488">
        <f t="shared" si="9"/>
        <v>0</v>
      </c>
      <c r="AG24" s="480">
        <f t="shared" si="22"/>
        <v>0</v>
      </c>
      <c r="AI24" s="481">
        <f>R24-'EDl log'!B22</f>
        <v>-4163</v>
      </c>
    </row>
    <row r="25" spans="1:35">
      <c r="A25" s="472">
        <f>'General information '!F28</f>
        <v>0</v>
      </c>
      <c r="B25" s="466">
        <f t="shared" si="6"/>
        <v>0</v>
      </c>
      <c r="C25" s="473">
        <v>44005</v>
      </c>
      <c r="D25" s="460">
        <f t="shared" si="24"/>
        <v>31779660</v>
      </c>
      <c r="E25" s="320">
        <f t="shared" si="10"/>
        <v>0</v>
      </c>
      <c r="F25" s="460">
        <f t="shared" si="24"/>
        <v>3710056</v>
      </c>
      <c r="G25" s="321">
        <f t="shared" si="0"/>
        <v>0</v>
      </c>
      <c r="H25" s="460">
        <f t="shared" si="24"/>
        <v>17489156</v>
      </c>
      <c r="I25" s="321">
        <f t="shared" si="11"/>
        <v>0</v>
      </c>
      <c r="J25" s="460">
        <f t="shared" si="24"/>
        <v>28475818</v>
      </c>
      <c r="K25" s="321">
        <f t="shared" si="12"/>
        <v>0</v>
      </c>
      <c r="L25" s="460">
        <f t="shared" si="24"/>
        <v>23123762</v>
      </c>
      <c r="M25" s="321">
        <f t="shared" si="13"/>
        <v>0</v>
      </c>
      <c r="N25" s="319">
        <f t="shared" si="14"/>
        <v>0</v>
      </c>
      <c r="O25" s="482">
        <f t="shared" si="21"/>
        <v>0</v>
      </c>
      <c r="P25" s="460">
        <f t="shared" si="25"/>
        <v>15576</v>
      </c>
      <c r="Q25" s="464">
        <f t="shared" si="23"/>
        <v>0</v>
      </c>
      <c r="R25" s="464">
        <f t="shared" si="18"/>
        <v>0</v>
      </c>
      <c r="S25" s="460">
        <f t="shared" si="7"/>
        <v>8689</v>
      </c>
      <c r="T25" s="484">
        <f t="shared" si="3"/>
        <v>0</v>
      </c>
      <c r="U25" s="460">
        <f t="shared" si="7"/>
        <v>94466</v>
      </c>
      <c r="V25" s="464">
        <f t="shared" si="15"/>
        <v>0</v>
      </c>
      <c r="W25" s="460">
        <f t="shared" si="7"/>
        <v>31853</v>
      </c>
      <c r="X25" s="464">
        <f t="shared" si="20"/>
        <v>0</v>
      </c>
      <c r="Y25" s="460">
        <f t="shared" si="7"/>
        <v>625865</v>
      </c>
      <c r="Z25" s="464">
        <f t="shared" si="19"/>
        <v>0</v>
      </c>
      <c r="AA25" s="460">
        <f t="shared" si="7"/>
        <v>35145</v>
      </c>
      <c r="AB25" s="464">
        <f t="shared" si="16"/>
        <v>0</v>
      </c>
      <c r="AC25" s="460">
        <f t="shared" si="7"/>
        <v>796020</v>
      </c>
      <c r="AD25" s="464">
        <f t="shared" si="26"/>
        <v>0</v>
      </c>
      <c r="AE25" s="487">
        <f t="shared" si="8"/>
        <v>0</v>
      </c>
      <c r="AF25" s="488">
        <f t="shared" si="9"/>
        <v>0</v>
      </c>
      <c r="AG25" s="480">
        <f t="shared" si="22"/>
        <v>0</v>
      </c>
      <c r="AI25" s="481">
        <f>R25-'EDl log'!B23</f>
        <v>-4163</v>
      </c>
    </row>
    <row r="26" spans="1:35">
      <c r="A26" s="472">
        <f>'General information '!F29</f>
        <v>0</v>
      </c>
      <c r="B26" s="466">
        <f t="shared" si="6"/>
        <v>0</v>
      </c>
      <c r="C26" s="473">
        <v>44006</v>
      </c>
      <c r="D26" s="460">
        <f t="shared" si="24"/>
        <v>31779660</v>
      </c>
      <c r="E26" s="320">
        <f t="shared" si="10"/>
        <v>0</v>
      </c>
      <c r="F26" s="460">
        <f t="shared" si="24"/>
        <v>3710056</v>
      </c>
      <c r="G26" s="321">
        <f t="shared" si="0"/>
        <v>0</v>
      </c>
      <c r="H26" s="460">
        <f t="shared" si="24"/>
        <v>17489156</v>
      </c>
      <c r="I26" s="321">
        <f t="shared" si="11"/>
        <v>0</v>
      </c>
      <c r="J26" s="460">
        <f t="shared" si="24"/>
        <v>28475818</v>
      </c>
      <c r="K26" s="321">
        <f t="shared" si="12"/>
        <v>0</v>
      </c>
      <c r="L26" s="460">
        <f t="shared" si="24"/>
        <v>23123762</v>
      </c>
      <c r="M26" s="321">
        <f t="shared" si="13"/>
        <v>0</v>
      </c>
      <c r="N26" s="319">
        <f t="shared" si="14"/>
        <v>0</v>
      </c>
      <c r="O26" s="482">
        <f t="shared" si="21"/>
        <v>0</v>
      </c>
      <c r="P26" s="460">
        <f t="shared" si="25"/>
        <v>15576</v>
      </c>
      <c r="Q26" s="464">
        <f t="shared" si="23"/>
        <v>0</v>
      </c>
      <c r="R26" s="489">
        <f>N26-Q26</f>
        <v>0</v>
      </c>
      <c r="S26" s="460">
        <f t="shared" si="7"/>
        <v>8689</v>
      </c>
      <c r="T26" s="484">
        <f t="shared" si="3"/>
        <v>0</v>
      </c>
      <c r="U26" s="460">
        <f t="shared" si="7"/>
        <v>94466</v>
      </c>
      <c r="V26" s="464">
        <f t="shared" si="15"/>
        <v>0</v>
      </c>
      <c r="W26" s="460">
        <f t="shared" si="7"/>
        <v>31853</v>
      </c>
      <c r="X26" s="464">
        <f t="shared" si="20"/>
        <v>0</v>
      </c>
      <c r="Y26" s="460">
        <f t="shared" si="7"/>
        <v>625865</v>
      </c>
      <c r="Z26" s="464">
        <f t="shared" si="19"/>
        <v>0</v>
      </c>
      <c r="AA26" s="460">
        <f t="shared" si="7"/>
        <v>35145</v>
      </c>
      <c r="AB26" s="464">
        <f t="shared" si="16"/>
        <v>0</v>
      </c>
      <c r="AC26" s="460">
        <f t="shared" si="7"/>
        <v>796020</v>
      </c>
      <c r="AD26" s="464">
        <f t="shared" si="26"/>
        <v>0</v>
      </c>
      <c r="AE26" s="487">
        <f t="shared" si="8"/>
        <v>0</v>
      </c>
      <c r="AF26" s="488">
        <f t="shared" si="9"/>
        <v>0</v>
      </c>
      <c r="AG26" s="480">
        <f t="shared" si="22"/>
        <v>0</v>
      </c>
      <c r="AI26" s="481">
        <f>R26-'EDl log'!B24</f>
        <v>-4163</v>
      </c>
    </row>
    <row r="27" spans="1:35">
      <c r="A27" s="472">
        <f>'General information '!F30</f>
        <v>0</v>
      </c>
      <c r="B27" s="466">
        <f t="shared" si="6"/>
        <v>0</v>
      </c>
      <c r="C27" s="473">
        <v>44007</v>
      </c>
      <c r="D27" s="460">
        <f t="shared" si="24"/>
        <v>31779660</v>
      </c>
      <c r="E27" s="320">
        <f t="shared" si="10"/>
        <v>0</v>
      </c>
      <c r="F27" s="460">
        <f t="shared" si="24"/>
        <v>3710056</v>
      </c>
      <c r="G27" s="321">
        <f>F27-F26</f>
        <v>0</v>
      </c>
      <c r="H27" s="460">
        <f t="shared" si="24"/>
        <v>17489156</v>
      </c>
      <c r="I27" s="321">
        <f t="shared" si="11"/>
        <v>0</v>
      </c>
      <c r="J27" s="460">
        <f t="shared" si="24"/>
        <v>28475818</v>
      </c>
      <c r="K27" s="321">
        <f t="shared" si="12"/>
        <v>0</v>
      </c>
      <c r="L27" s="460">
        <f t="shared" si="24"/>
        <v>23123762</v>
      </c>
      <c r="M27" s="321">
        <f t="shared" si="13"/>
        <v>0</v>
      </c>
      <c r="N27" s="319">
        <f t="shared" si="14"/>
        <v>0</v>
      </c>
      <c r="O27" s="482">
        <f t="shared" si="21"/>
        <v>0</v>
      </c>
      <c r="P27" s="460">
        <f t="shared" si="25"/>
        <v>15576</v>
      </c>
      <c r="Q27" s="464">
        <f t="shared" si="23"/>
        <v>0</v>
      </c>
      <c r="R27" s="464">
        <f t="shared" si="18"/>
        <v>0</v>
      </c>
      <c r="S27" s="460">
        <f t="shared" si="7"/>
        <v>8689</v>
      </c>
      <c r="T27" s="484">
        <f t="shared" si="3"/>
        <v>0</v>
      </c>
      <c r="U27" s="460">
        <f t="shared" si="7"/>
        <v>94466</v>
      </c>
      <c r="V27" s="464">
        <f t="shared" si="15"/>
        <v>0</v>
      </c>
      <c r="W27" s="460">
        <f t="shared" si="7"/>
        <v>31853</v>
      </c>
      <c r="X27" s="464">
        <f t="shared" si="20"/>
        <v>0</v>
      </c>
      <c r="Y27" s="460">
        <f t="shared" si="7"/>
        <v>625865</v>
      </c>
      <c r="Z27" s="464">
        <f t="shared" si="19"/>
        <v>0</v>
      </c>
      <c r="AA27" s="460">
        <f t="shared" si="7"/>
        <v>35145</v>
      </c>
      <c r="AB27" s="464">
        <f t="shared" si="16"/>
        <v>0</v>
      </c>
      <c r="AC27" s="460">
        <f t="shared" si="7"/>
        <v>796020</v>
      </c>
      <c r="AD27" s="464">
        <f t="shared" si="26"/>
        <v>0</v>
      </c>
      <c r="AE27" s="487">
        <f t="shared" si="8"/>
        <v>0</v>
      </c>
      <c r="AF27" s="488">
        <f t="shared" si="9"/>
        <v>0</v>
      </c>
      <c r="AG27" s="480">
        <f t="shared" si="22"/>
        <v>0</v>
      </c>
      <c r="AI27" s="481">
        <f>R27-'EDl log'!B25</f>
        <v>-4163</v>
      </c>
    </row>
    <row r="28" spans="1:35">
      <c r="A28" s="472">
        <f>'General information '!F31</f>
        <v>0</v>
      </c>
      <c r="B28" s="466">
        <f t="shared" si="6"/>
        <v>0</v>
      </c>
      <c r="C28" s="473">
        <v>44008</v>
      </c>
      <c r="D28" s="460">
        <f t="shared" si="24"/>
        <v>31779660</v>
      </c>
      <c r="E28" s="320">
        <f t="shared" si="10"/>
        <v>0</v>
      </c>
      <c r="F28" s="460">
        <f t="shared" si="24"/>
        <v>3710056</v>
      </c>
      <c r="G28" s="321">
        <f t="shared" si="0"/>
        <v>0</v>
      </c>
      <c r="H28" s="460">
        <f t="shared" si="24"/>
        <v>17489156</v>
      </c>
      <c r="I28" s="321">
        <f t="shared" si="11"/>
        <v>0</v>
      </c>
      <c r="J28" s="460">
        <f t="shared" si="24"/>
        <v>28475818</v>
      </c>
      <c r="K28" s="321">
        <f t="shared" si="12"/>
        <v>0</v>
      </c>
      <c r="L28" s="460">
        <f t="shared" si="24"/>
        <v>23123762</v>
      </c>
      <c r="M28" s="321">
        <f t="shared" si="13"/>
        <v>0</v>
      </c>
      <c r="N28" s="319">
        <f t="shared" si="14"/>
        <v>0</v>
      </c>
      <c r="O28" s="482">
        <f t="shared" si="21"/>
        <v>0</v>
      </c>
      <c r="P28" s="460">
        <f t="shared" si="25"/>
        <v>15576</v>
      </c>
      <c r="Q28" s="464">
        <f t="shared" si="23"/>
        <v>0</v>
      </c>
      <c r="R28" s="464">
        <f>N28-Q28</f>
        <v>0</v>
      </c>
      <c r="S28" s="460">
        <f t="shared" si="7"/>
        <v>8689</v>
      </c>
      <c r="T28" s="484">
        <f t="shared" si="3"/>
        <v>0</v>
      </c>
      <c r="U28" s="460">
        <f t="shared" si="7"/>
        <v>94466</v>
      </c>
      <c r="V28" s="464">
        <f t="shared" si="15"/>
        <v>0</v>
      </c>
      <c r="W28" s="460">
        <f t="shared" si="7"/>
        <v>31853</v>
      </c>
      <c r="X28" s="464">
        <f t="shared" si="20"/>
        <v>0</v>
      </c>
      <c r="Y28" s="460">
        <f t="shared" si="7"/>
        <v>625865</v>
      </c>
      <c r="Z28" s="464">
        <f t="shared" si="19"/>
        <v>0</v>
      </c>
      <c r="AA28" s="460">
        <f t="shared" si="7"/>
        <v>35145</v>
      </c>
      <c r="AB28" s="464">
        <f t="shared" si="16"/>
        <v>0</v>
      </c>
      <c r="AC28" s="460">
        <f t="shared" si="7"/>
        <v>796020</v>
      </c>
      <c r="AD28" s="464">
        <f t="shared" si="26"/>
        <v>0</v>
      </c>
      <c r="AE28" s="487">
        <f t="shared" si="8"/>
        <v>0</v>
      </c>
      <c r="AF28" s="488">
        <f t="shared" si="9"/>
        <v>0</v>
      </c>
      <c r="AG28" s="480">
        <f t="shared" si="22"/>
        <v>0</v>
      </c>
      <c r="AI28" s="481">
        <f>R28-'EDl log'!B26</f>
        <v>-4163</v>
      </c>
    </row>
    <row r="29" spans="1:35">
      <c r="A29" s="472">
        <f>'General information '!F32</f>
        <v>0</v>
      </c>
      <c r="B29" s="466">
        <f>SUM(230*A29)</f>
        <v>0</v>
      </c>
      <c r="C29" s="473">
        <v>44009</v>
      </c>
      <c r="D29" s="460">
        <f t="shared" si="24"/>
        <v>31779660</v>
      </c>
      <c r="E29" s="320">
        <f t="shared" si="10"/>
        <v>0</v>
      </c>
      <c r="F29" s="460">
        <f t="shared" si="24"/>
        <v>3710056</v>
      </c>
      <c r="G29" s="321">
        <f t="shared" si="0"/>
        <v>0</v>
      </c>
      <c r="H29" s="460">
        <f t="shared" si="24"/>
        <v>17489156</v>
      </c>
      <c r="I29" s="321">
        <f t="shared" si="11"/>
        <v>0</v>
      </c>
      <c r="J29" s="460">
        <f t="shared" si="24"/>
        <v>28475818</v>
      </c>
      <c r="K29" s="321">
        <f t="shared" si="12"/>
        <v>0</v>
      </c>
      <c r="L29" s="460">
        <f t="shared" si="24"/>
        <v>23123762</v>
      </c>
      <c r="M29" s="321">
        <f t="shared" si="13"/>
        <v>0</v>
      </c>
      <c r="N29" s="319">
        <f t="shared" si="14"/>
        <v>0</v>
      </c>
      <c r="O29" s="482">
        <f t="shared" si="21"/>
        <v>0</v>
      </c>
      <c r="P29" s="460">
        <f t="shared" si="25"/>
        <v>15576</v>
      </c>
      <c r="Q29" s="464">
        <f t="shared" si="23"/>
        <v>0</v>
      </c>
      <c r="R29" s="464">
        <f t="shared" si="18"/>
        <v>0</v>
      </c>
      <c r="S29" s="460">
        <f t="shared" si="7"/>
        <v>8689</v>
      </c>
      <c r="T29" s="484">
        <f t="shared" si="3"/>
        <v>0</v>
      </c>
      <c r="U29" s="460">
        <f t="shared" si="7"/>
        <v>94466</v>
      </c>
      <c r="V29" s="464">
        <f t="shared" si="15"/>
        <v>0</v>
      </c>
      <c r="W29" s="460">
        <f t="shared" si="7"/>
        <v>31853</v>
      </c>
      <c r="X29" s="464">
        <f t="shared" si="20"/>
        <v>0</v>
      </c>
      <c r="Y29" s="460">
        <f t="shared" si="7"/>
        <v>625865</v>
      </c>
      <c r="Z29" s="464">
        <f t="shared" si="19"/>
        <v>0</v>
      </c>
      <c r="AA29" s="460">
        <f t="shared" si="7"/>
        <v>35145</v>
      </c>
      <c r="AB29" s="464">
        <f t="shared" si="16"/>
        <v>0</v>
      </c>
      <c r="AC29" s="460">
        <f t="shared" si="7"/>
        <v>796020</v>
      </c>
      <c r="AD29" s="464">
        <f t="shared" si="26"/>
        <v>0</v>
      </c>
      <c r="AE29" s="487">
        <f t="shared" si="8"/>
        <v>0</v>
      </c>
      <c r="AF29" s="488">
        <f t="shared" si="9"/>
        <v>0</v>
      </c>
      <c r="AG29" s="480">
        <f t="shared" si="22"/>
        <v>0</v>
      </c>
      <c r="AI29" s="481">
        <f>R29-'EDl log'!B27</f>
        <v>-4163</v>
      </c>
    </row>
    <row r="30" spans="1:35">
      <c r="A30" s="472">
        <f>'General information '!F33</f>
        <v>0</v>
      </c>
      <c r="B30" s="466">
        <f t="shared" si="6"/>
        <v>0</v>
      </c>
      <c r="C30" s="473">
        <v>44010</v>
      </c>
      <c r="D30" s="460">
        <f t="shared" si="24"/>
        <v>31779660</v>
      </c>
      <c r="E30" s="320">
        <f t="shared" si="10"/>
        <v>0</v>
      </c>
      <c r="F30" s="460">
        <f t="shared" si="24"/>
        <v>3710056</v>
      </c>
      <c r="G30" s="321">
        <f t="shared" si="0"/>
        <v>0</v>
      </c>
      <c r="H30" s="460">
        <f t="shared" si="24"/>
        <v>17489156</v>
      </c>
      <c r="I30" s="321">
        <f t="shared" si="11"/>
        <v>0</v>
      </c>
      <c r="J30" s="460">
        <f t="shared" si="24"/>
        <v>28475818</v>
      </c>
      <c r="K30" s="321">
        <f t="shared" si="12"/>
        <v>0</v>
      </c>
      <c r="L30" s="460">
        <f t="shared" si="24"/>
        <v>23123762</v>
      </c>
      <c r="M30" s="321">
        <f t="shared" si="13"/>
        <v>0</v>
      </c>
      <c r="N30" s="319">
        <f t="shared" si="14"/>
        <v>0</v>
      </c>
      <c r="O30" s="482">
        <f t="shared" si="21"/>
        <v>0</v>
      </c>
      <c r="P30" s="460">
        <f t="shared" si="25"/>
        <v>15576</v>
      </c>
      <c r="Q30" s="464">
        <f t="shared" si="23"/>
        <v>0</v>
      </c>
      <c r="R30" s="464">
        <f t="shared" si="18"/>
        <v>0</v>
      </c>
      <c r="S30" s="460">
        <f t="shared" si="7"/>
        <v>8689</v>
      </c>
      <c r="T30" s="484">
        <f t="shared" si="3"/>
        <v>0</v>
      </c>
      <c r="U30" s="460">
        <f t="shared" si="7"/>
        <v>94466</v>
      </c>
      <c r="V30" s="464">
        <f t="shared" si="15"/>
        <v>0</v>
      </c>
      <c r="W30" s="460">
        <f t="shared" si="7"/>
        <v>31853</v>
      </c>
      <c r="X30" s="485">
        <f t="shared" si="20"/>
        <v>0</v>
      </c>
      <c r="Y30" s="460">
        <f t="shared" si="7"/>
        <v>625865</v>
      </c>
      <c r="Z30" s="464">
        <f t="shared" si="19"/>
        <v>0</v>
      </c>
      <c r="AA30" s="460">
        <f t="shared" si="7"/>
        <v>35145</v>
      </c>
      <c r="AB30" s="464">
        <f t="shared" si="16"/>
        <v>0</v>
      </c>
      <c r="AC30" s="460">
        <f t="shared" si="7"/>
        <v>796020</v>
      </c>
      <c r="AD30" s="464">
        <f t="shared" si="26"/>
        <v>0</v>
      </c>
      <c r="AE30" s="487">
        <f t="shared" si="8"/>
        <v>0</v>
      </c>
      <c r="AF30" s="488">
        <f t="shared" si="9"/>
        <v>0</v>
      </c>
      <c r="AG30" s="480">
        <f t="shared" si="22"/>
        <v>0</v>
      </c>
      <c r="AI30" s="481">
        <f>R30-'EDl log'!B28</f>
        <v>-4163</v>
      </c>
    </row>
    <row r="31" spans="1:35">
      <c r="A31" s="472">
        <f>'General information '!F34</f>
        <v>0</v>
      </c>
      <c r="B31" s="466">
        <f t="shared" si="6"/>
        <v>0</v>
      </c>
      <c r="C31" s="473">
        <v>44011</v>
      </c>
      <c r="D31" s="460">
        <f t="shared" si="24"/>
        <v>31779660</v>
      </c>
      <c r="E31" s="320">
        <f t="shared" si="10"/>
        <v>0</v>
      </c>
      <c r="F31" s="460">
        <f t="shared" si="24"/>
        <v>3710056</v>
      </c>
      <c r="G31" s="321">
        <f t="shared" si="0"/>
        <v>0</v>
      </c>
      <c r="H31" s="460">
        <f t="shared" si="24"/>
        <v>17489156</v>
      </c>
      <c r="I31" s="321">
        <f t="shared" si="11"/>
        <v>0</v>
      </c>
      <c r="J31" s="460">
        <f t="shared" si="24"/>
        <v>28475818</v>
      </c>
      <c r="K31" s="321">
        <f t="shared" si="12"/>
        <v>0</v>
      </c>
      <c r="L31" s="460">
        <f t="shared" si="24"/>
        <v>23123762</v>
      </c>
      <c r="M31" s="321">
        <f t="shared" si="13"/>
        <v>0</v>
      </c>
      <c r="N31" s="319">
        <f t="shared" si="14"/>
        <v>0</v>
      </c>
      <c r="O31" s="482">
        <f t="shared" si="21"/>
        <v>0</v>
      </c>
      <c r="P31" s="460">
        <f t="shared" si="25"/>
        <v>15576</v>
      </c>
      <c r="Q31" s="464">
        <f t="shared" si="23"/>
        <v>0</v>
      </c>
      <c r="R31" s="464">
        <f t="shared" si="18"/>
        <v>0</v>
      </c>
      <c r="S31" s="460">
        <f t="shared" si="7"/>
        <v>8689</v>
      </c>
      <c r="T31" s="484">
        <f t="shared" si="3"/>
        <v>0</v>
      </c>
      <c r="U31" s="460">
        <f t="shared" si="7"/>
        <v>94466</v>
      </c>
      <c r="V31" s="464">
        <f t="shared" si="15"/>
        <v>0</v>
      </c>
      <c r="W31" s="460">
        <f t="shared" si="7"/>
        <v>31853</v>
      </c>
      <c r="X31" s="485">
        <f t="shared" si="20"/>
        <v>0</v>
      </c>
      <c r="Y31" s="460">
        <f t="shared" si="7"/>
        <v>625865</v>
      </c>
      <c r="Z31" s="486">
        <f>Y31-Y30</f>
        <v>0</v>
      </c>
      <c r="AA31" s="460">
        <f t="shared" si="7"/>
        <v>35145</v>
      </c>
      <c r="AB31" s="464">
        <f t="shared" si="16"/>
        <v>0</v>
      </c>
      <c r="AC31" s="460">
        <f t="shared" si="7"/>
        <v>796020</v>
      </c>
      <c r="AD31" s="464">
        <f t="shared" si="26"/>
        <v>0</v>
      </c>
      <c r="AE31" s="487">
        <f t="shared" si="8"/>
        <v>0</v>
      </c>
      <c r="AF31" s="488">
        <f t="shared" si="9"/>
        <v>0</v>
      </c>
      <c r="AG31" s="480">
        <f t="shared" si="22"/>
        <v>0</v>
      </c>
      <c r="AI31" s="481">
        <f>R31-'EDl log'!B29</f>
        <v>-4163</v>
      </c>
    </row>
    <row r="32" spans="1:35">
      <c r="A32" s="472">
        <f>'General information '!F35</f>
        <v>0</v>
      </c>
      <c r="B32" s="466">
        <f>SUM(230*A32)</f>
        <v>0</v>
      </c>
      <c r="C32" s="473">
        <v>44012</v>
      </c>
      <c r="D32" s="460">
        <f t="shared" si="24"/>
        <v>31779660</v>
      </c>
      <c r="E32" s="320">
        <f t="shared" si="10"/>
        <v>0</v>
      </c>
      <c r="F32" s="460">
        <f t="shared" si="24"/>
        <v>3710056</v>
      </c>
      <c r="G32" s="321">
        <f>F32-F31</f>
        <v>0</v>
      </c>
      <c r="H32" s="460">
        <f t="shared" si="24"/>
        <v>17489156</v>
      </c>
      <c r="I32" s="321">
        <f>H32-H31</f>
        <v>0</v>
      </c>
      <c r="J32" s="460">
        <f t="shared" si="24"/>
        <v>28475818</v>
      </c>
      <c r="K32" s="321">
        <f>J32-J31</f>
        <v>0</v>
      </c>
      <c r="L32" s="460">
        <f t="shared" si="24"/>
        <v>23123762</v>
      </c>
      <c r="M32" s="321">
        <f>L32-L31</f>
        <v>0</v>
      </c>
      <c r="N32" s="319">
        <f>M32+K32+I32+G32+E32</f>
        <v>0</v>
      </c>
      <c r="O32" s="482">
        <f t="shared" si="21"/>
        <v>0</v>
      </c>
      <c r="P32" s="460">
        <f t="shared" si="25"/>
        <v>15576</v>
      </c>
      <c r="Q32" s="464">
        <f>(P32-P31)*1000</f>
        <v>0</v>
      </c>
      <c r="R32" s="464">
        <f>N32-Q32</f>
        <v>0</v>
      </c>
      <c r="S32" s="460">
        <f t="shared" si="7"/>
        <v>8689</v>
      </c>
      <c r="T32" s="484">
        <f t="shared" si="3"/>
        <v>0</v>
      </c>
      <c r="U32" s="460">
        <f t="shared" si="7"/>
        <v>94466</v>
      </c>
      <c r="V32" s="464">
        <f t="shared" si="15"/>
        <v>0</v>
      </c>
      <c r="W32" s="460">
        <f t="shared" si="7"/>
        <v>31853</v>
      </c>
      <c r="X32" s="464">
        <f t="shared" si="20"/>
        <v>0</v>
      </c>
      <c r="Y32" s="460">
        <f t="shared" si="7"/>
        <v>625865</v>
      </c>
      <c r="Z32" s="486">
        <f>Y32-Y31</f>
        <v>0</v>
      </c>
      <c r="AA32" s="460">
        <f t="shared" si="7"/>
        <v>35145</v>
      </c>
      <c r="AB32" s="464">
        <f t="shared" si="16"/>
        <v>0</v>
      </c>
      <c r="AC32" s="460">
        <f t="shared" si="7"/>
        <v>796020</v>
      </c>
      <c r="AD32" s="464">
        <f t="shared" si="26"/>
        <v>0</v>
      </c>
      <c r="AE32" s="487">
        <f t="shared" si="8"/>
        <v>0</v>
      </c>
      <c r="AF32" s="488">
        <f>V32+Z32+AD32</f>
        <v>0</v>
      </c>
      <c r="AG32" s="480">
        <f t="shared" si="22"/>
        <v>0</v>
      </c>
      <c r="AI32" s="481">
        <f>R32-'EDl log'!B30</f>
        <v>-4163</v>
      </c>
    </row>
    <row r="33" spans="16:16">
      <c r="P33" s="49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Z1" zoomScale="90" zoomScaleNormal="90" workbookViewId="0">
      <pane ySplit="1" topLeftCell="A2" activePane="bottomLeft" state="frozen"/>
      <selection activeCell="K1" sqref="K1"/>
      <selection pane="bottomLeft" activeCell="AR15" sqref="AR1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0" customWidth="1"/>
    <col min="38" max="38" width="11.140625" style="330" bestFit="1" customWidth="1"/>
    <col min="39" max="39" width="11.42578125" style="330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2"/>
    <col min="51" max="16384" width="9.140625" style="42"/>
  </cols>
  <sheetData>
    <row r="1" spans="1:50" ht="45.75" thickBot="1">
      <c r="F1" s="609" t="s">
        <v>2</v>
      </c>
      <c r="G1" s="610"/>
      <c r="H1" s="610"/>
      <c r="I1" s="611"/>
      <c r="J1" s="291">
        <f>J35</f>
        <v>70.44047619047619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409"/>
      <c r="V1" s="27" t="s">
        <v>104</v>
      </c>
      <c r="W1" s="410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10"/>
      <c r="AH1" s="86" t="s">
        <v>105</v>
      </c>
      <c r="AI1" s="323" t="s">
        <v>128</v>
      </c>
      <c r="AJ1" s="323"/>
      <c r="AK1" s="323"/>
      <c r="AL1" s="323" t="s">
        <v>133</v>
      </c>
      <c r="AM1" s="323" t="s">
        <v>134</v>
      </c>
      <c r="AN1" s="325" t="s">
        <v>12</v>
      </c>
      <c r="AO1" s="325" t="s">
        <v>13</v>
      </c>
      <c r="AP1" s="325" t="s">
        <v>14</v>
      </c>
      <c r="AQ1" s="325" t="s">
        <v>15</v>
      </c>
      <c r="AR1" s="325" t="s">
        <v>16</v>
      </c>
      <c r="AS1" s="325" t="s">
        <v>17</v>
      </c>
      <c r="AT1" s="325"/>
      <c r="AU1" s="326" t="s">
        <v>18</v>
      </c>
      <c r="AV1" s="179" t="s">
        <v>71</v>
      </c>
      <c r="AW1" s="179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13" t="s">
        <v>384</v>
      </c>
      <c r="V2" s="54" t="s">
        <v>103</v>
      </c>
      <c r="W2" s="411"/>
      <c r="X2" s="55" t="s">
        <v>8</v>
      </c>
      <c r="Y2" s="46" t="s">
        <v>9</v>
      </c>
      <c r="Z2" s="402" t="s">
        <v>380</v>
      </c>
      <c r="AA2" s="403" t="s">
        <v>381</v>
      </c>
      <c r="AB2" s="290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4" t="s">
        <v>103</v>
      </c>
      <c r="AJ2" s="405"/>
      <c r="AK2" s="405"/>
      <c r="AL2" s="405"/>
      <c r="AM2" s="405"/>
      <c r="AN2" s="404"/>
      <c r="AO2" s="404"/>
      <c r="AP2" s="404"/>
      <c r="AQ2" s="404"/>
      <c r="AR2" s="404"/>
      <c r="AS2" s="404"/>
      <c r="AT2" s="404"/>
      <c r="AU2" s="404"/>
      <c r="AV2" s="275"/>
      <c r="AW2" s="275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3"/>
      <c r="V3" s="59"/>
      <c r="W3" s="411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7"/>
      <c r="AJ3" s="328"/>
      <c r="AK3" s="328"/>
      <c r="AL3" s="328"/>
      <c r="AM3" s="328"/>
    </row>
    <row r="4" spans="1:50" s="348" customFormat="1">
      <c r="A4" s="63">
        <f>ELEC!C2</f>
        <v>43982</v>
      </c>
      <c r="B4" s="407">
        <f>[2]B5!B35</f>
        <v>179</v>
      </c>
      <c r="C4" s="407">
        <f>[2]B5!C35</f>
        <v>186</v>
      </c>
      <c r="D4" s="407">
        <f>[2]B5!D35</f>
        <v>3.1999999999999886</v>
      </c>
      <c r="E4" s="407">
        <f>[2]B5!E35</f>
        <v>26.815999999999907</v>
      </c>
      <c r="F4" s="407">
        <f>[2]B5!F35</f>
        <v>1578</v>
      </c>
      <c r="G4" s="407">
        <f>[2]B5!G35</f>
        <v>0</v>
      </c>
      <c r="H4" s="407">
        <f>[2]B5!H35</f>
        <v>352431</v>
      </c>
      <c r="I4" s="407">
        <f>[2]B5!I35</f>
        <v>0</v>
      </c>
      <c r="J4" s="407">
        <f>[2]B5!J35</f>
        <v>0</v>
      </c>
      <c r="K4" s="407">
        <f>[2]B5!K35</f>
        <v>1962</v>
      </c>
      <c r="L4" s="407">
        <f>[2]B5!L35</f>
        <v>3</v>
      </c>
      <c r="M4" s="407">
        <f>[2]B5!M35</f>
        <v>143825</v>
      </c>
      <c r="N4" s="407">
        <f>[2]B5!N35</f>
        <v>244</v>
      </c>
      <c r="O4" s="407">
        <f>[2]B5!O35</f>
        <v>228.24761904761908</v>
      </c>
      <c r="P4" s="407">
        <f>[2]B5!P35</f>
        <v>1794</v>
      </c>
      <c r="Q4" s="407">
        <f>[2]B5!Q35</f>
        <v>152313</v>
      </c>
      <c r="R4" s="407">
        <f>[2]B5!R35</f>
        <v>114</v>
      </c>
      <c r="S4" s="407">
        <f>[2]B5!S35</f>
        <v>1</v>
      </c>
      <c r="T4" s="407">
        <f>[2]B5!T35</f>
        <v>0</v>
      </c>
      <c r="U4" s="407">
        <f>[2]B5!U35</f>
        <v>4</v>
      </c>
      <c r="V4" s="407">
        <f>[2]B5!V35</f>
        <v>358</v>
      </c>
      <c r="W4" s="407">
        <f>[2]B5!W35</f>
        <v>0</v>
      </c>
      <c r="X4" s="407">
        <f>[2]B5!X35</f>
        <v>2418</v>
      </c>
      <c r="Y4" s="407">
        <f>[2]B5!Y35</f>
        <v>0</v>
      </c>
      <c r="Z4" s="407">
        <f>[2]B5!Z35</f>
        <v>135904</v>
      </c>
      <c r="AA4" s="407">
        <f>[2]B5!AA35</f>
        <v>0</v>
      </c>
      <c r="AB4" s="407">
        <f>[2]B5!AB35</f>
        <v>0</v>
      </c>
      <c r="AC4" s="407">
        <f>[2]B5!AC35</f>
        <v>1841</v>
      </c>
      <c r="AD4" s="407">
        <f>[2]B5!AD35</f>
        <v>0</v>
      </c>
      <c r="AE4" s="407">
        <f>[2]B5!AE35</f>
        <v>359849.4</v>
      </c>
      <c r="AF4" s="407">
        <f>[2]B5!AF35</f>
        <v>0</v>
      </c>
      <c r="AG4" s="407">
        <f>[2]B5!AG35</f>
        <v>0</v>
      </c>
      <c r="AH4" s="407">
        <f>[2]B5!AH35</f>
        <v>0</v>
      </c>
      <c r="AI4" s="407">
        <f>[2]B5!AI35</f>
        <v>358</v>
      </c>
      <c r="AJ4" s="407">
        <f>[2]B5!AJ35</f>
        <v>358</v>
      </c>
      <c r="AK4" s="407">
        <f>[2]B5!AK35</f>
        <v>0</v>
      </c>
      <c r="AL4" s="407">
        <f>[2]B5!AL35</f>
        <v>4</v>
      </c>
      <c r="AM4" s="407">
        <f>[2]B5!AM35</f>
        <v>0</v>
      </c>
      <c r="AN4" s="407">
        <f>[2]B5!AN35</f>
        <v>68</v>
      </c>
      <c r="AO4" s="407">
        <f>[2]B5!AO35</f>
        <v>2040.0000000000002</v>
      </c>
      <c r="AP4" s="407">
        <f>[2]B5!AP35</f>
        <v>78</v>
      </c>
      <c r="AQ4" s="407">
        <f>[2]B5!AQ35</f>
        <v>2340</v>
      </c>
      <c r="AR4" s="407">
        <f>[2]B5!AR35</f>
        <v>74</v>
      </c>
      <c r="AS4" s="407">
        <f>[2]B5!AS35</f>
        <v>2220</v>
      </c>
      <c r="AT4" s="407">
        <f>[2]B5!AT35</f>
        <v>6600</v>
      </c>
      <c r="AU4" s="407">
        <f>[2]B5!AU35</f>
        <v>90</v>
      </c>
      <c r="AV4" s="407">
        <f>[2]B5!AV35</f>
        <v>0</v>
      </c>
      <c r="AW4" s="407">
        <f>[2]B5!AW35</f>
        <v>0</v>
      </c>
      <c r="AX4" s="407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8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8">
        <f t="shared" ref="N5:N34" si="5">M5-M4</f>
        <v>0</v>
      </c>
      <c r="O5" s="351">
        <f t="shared" ref="O5:O34" si="6">SUM(L5*$J$1)</f>
        <v>0</v>
      </c>
      <c r="P5" s="64">
        <v>1797</v>
      </c>
      <c r="Q5" s="64">
        <v>152534</v>
      </c>
      <c r="R5" s="407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4">
        <f>SUM(G5+L5+S5)</f>
        <v>6</v>
      </c>
      <c r="V5" s="62">
        <f>R5+N5+I5:I5</f>
        <v>452</v>
      </c>
      <c r="W5" s="412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3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5">
        <f>AE5-AE4</f>
        <v>0</v>
      </c>
      <c r="AG5" s="212">
        <f>IF(AD5&gt;0,AF5/AD5,0)</f>
        <v>0</v>
      </c>
      <c r="AH5" s="62">
        <f>AF5+AA5</f>
        <v>0</v>
      </c>
      <c r="AI5" s="327">
        <f>SUM(AH5+V5)</f>
        <v>452</v>
      </c>
      <c r="AJ5" s="327">
        <f>-tanks!AW6</f>
        <v>452</v>
      </c>
      <c r="AK5" s="327">
        <f>SUM(AJ5-AI5)</f>
        <v>0</v>
      </c>
      <c r="AL5" s="327">
        <f t="shared" ref="AL5:AL18" si="15">S5+L5+G5</f>
        <v>6</v>
      </c>
      <c r="AM5" s="327">
        <f>Y5+AD5</f>
        <v>0</v>
      </c>
      <c r="AN5" s="64">
        <v>67</v>
      </c>
      <c r="AO5" s="329">
        <f>(AN5/100)*3000</f>
        <v>2010.0000000000002</v>
      </c>
      <c r="AP5" s="64">
        <v>78</v>
      </c>
      <c r="AQ5" s="329">
        <f>(AP5/100)*3000</f>
        <v>2340</v>
      </c>
      <c r="AR5" s="64">
        <v>69</v>
      </c>
      <c r="AS5" s="329">
        <f>(AR5/100)*3000</f>
        <v>2070</v>
      </c>
      <c r="AT5" s="329">
        <f>SUM(AO5+AQ5+AS5)</f>
        <v>6420</v>
      </c>
      <c r="AU5" s="329">
        <f>AT4-AT5+AV5</f>
        <v>180</v>
      </c>
      <c r="AV5" s="275"/>
      <c r="AW5" s="275"/>
      <c r="AX5" s="322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8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8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7">
        <f t="shared" si="7"/>
        <v>0</v>
      </c>
      <c r="S6" s="52">
        <f t="shared" si="8"/>
        <v>0</v>
      </c>
      <c r="T6" s="68">
        <f>SUM(S6*$T$2)</f>
        <v>0</v>
      </c>
      <c r="U6" s="414">
        <f t="shared" ref="U6:U34" si="19">SUM(G6+L6+S6)</f>
        <v>4</v>
      </c>
      <c r="V6" s="62">
        <f t="shared" ref="V6:V34" si="20">R6+N6+I6:I6</f>
        <v>296</v>
      </c>
      <c r="W6" s="412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3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5">
        <f t="shared" ref="AF6:AF34" si="23">AE6-AE5</f>
        <v>0</v>
      </c>
      <c r="AG6" s="212">
        <f>IF(AD6&gt;0,AF6/AD6,0)</f>
        <v>0</v>
      </c>
      <c r="AH6" s="62">
        <f>AF6+AA6</f>
        <v>0</v>
      </c>
      <c r="AI6" s="327">
        <f t="shared" ref="AI6:AI34" si="24">SUM(AH6+V6)</f>
        <v>296</v>
      </c>
      <c r="AJ6" s="327">
        <f>-tanks!AW7</f>
        <v>296</v>
      </c>
      <c r="AK6" s="327">
        <f t="shared" ref="AK6:AK34" si="25">SUM(AJ6-AI6)</f>
        <v>0</v>
      </c>
      <c r="AL6" s="327">
        <f t="shared" si="15"/>
        <v>4</v>
      </c>
      <c r="AM6" s="327">
        <f t="shared" ref="AM6:AM33" si="26">Y6+AD6</f>
        <v>0</v>
      </c>
      <c r="AN6" s="64">
        <v>65</v>
      </c>
      <c r="AO6" s="329">
        <f t="shared" ref="AO6:AO26" si="27">(AN6/100)*3000</f>
        <v>1950</v>
      </c>
      <c r="AP6" s="64">
        <v>75</v>
      </c>
      <c r="AQ6" s="329">
        <f t="shared" ref="AQ6:AQ24" si="28">(AP6/100)*3000</f>
        <v>2250</v>
      </c>
      <c r="AR6" s="64">
        <v>71</v>
      </c>
      <c r="AS6" s="329">
        <f>(AR6/100)*3000</f>
        <v>2130</v>
      </c>
      <c r="AT6" s="329">
        <f>SUM(AO6+AQ6+AS6)</f>
        <v>6330</v>
      </c>
      <c r="AU6" s="329">
        <f>AT5-AT6+AV6</f>
        <v>90</v>
      </c>
      <c r="AV6" s="275"/>
      <c r="AW6" s="275"/>
      <c r="AX6" s="322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8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8">
        <f t="shared" si="5"/>
        <v>145</v>
      </c>
      <c r="O7" s="67">
        <v>1</v>
      </c>
      <c r="P7" s="64">
        <v>1799</v>
      </c>
      <c r="Q7" s="64">
        <v>152706</v>
      </c>
      <c r="R7" s="407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4">
        <f t="shared" si="19"/>
        <v>4</v>
      </c>
      <c r="V7" s="62">
        <f t="shared" si="20"/>
        <v>317</v>
      </c>
      <c r="W7" s="412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3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5">
        <f t="shared" si="23"/>
        <v>-0.40000000002328306</v>
      </c>
      <c r="AG7" s="212">
        <f t="shared" ref="AG7:AG34" si="32">IF(AD7&gt;0,AF7/AD7,0)</f>
        <v>0</v>
      </c>
      <c r="AH7" s="62">
        <f t="shared" ref="AH7:AH34" si="33">AF7+AA7</f>
        <v>53.599999999976717</v>
      </c>
      <c r="AI7" s="327">
        <f t="shared" si="24"/>
        <v>370.59999999997672</v>
      </c>
      <c r="AJ7" s="327">
        <f>-tanks!AW8</f>
        <v>370.59999999997672</v>
      </c>
      <c r="AK7" s="327">
        <f t="shared" si="25"/>
        <v>0</v>
      </c>
      <c r="AL7" s="327">
        <f t="shared" si="15"/>
        <v>4</v>
      </c>
      <c r="AM7" s="327">
        <f t="shared" si="26"/>
        <v>0</v>
      </c>
      <c r="AN7" s="64">
        <v>70</v>
      </c>
      <c r="AO7" s="329">
        <f t="shared" si="27"/>
        <v>2100</v>
      </c>
      <c r="AP7" s="64">
        <v>73</v>
      </c>
      <c r="AQ7" s="329">
        <f t="shared" si="28"/>
        <v>2190</v>
      </c>
      <c r="AR7" s="64">
        <v>64</v>
      </c>
      <c r="AS7" s="329">
        <f t="shared" ref="AS7:AS34" si="34">(AR7/100)*3000</f>
        <v>1920</v>
      </c>
      <c r="AT7" s="329">
        <f t="shared" ref="AT7:AT23" si="35">SUM(AO7+AQ7+AS7)</f>
        <v>6210</v>
      </c>
      <c r="AU7" s="329">
        <f t="shared" ref="AU7:AU34" si="36">AT6-AT7+AV7</f>
        <v>120</v>
      </c>
      <c r="AV7" s="275"/>
      <c r="AW7" s="275"/>
      <c r="AX7" s="322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8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8">
        <f t="shared" si="5"/>
        <v>0</v>
      </c>
      <c r="O8" s="67">
        <v>1479</v>
      </c>
      <c r="P8" s="64">
        <v>1803</v>
      </c>
      <c r="Q8" s="64">
        <v>152938</v>
      </c>
      <c r="R8" s="407">
        <f t="shared" si="7"/>
        <v>232</v>
      </c>
      <c r="S8" s="52">
        <f t="shared" si="8"/>
        <v>4</v>
      </c>
      <c r="T8" s="68">
        <f t="shared" si="30"/>
        <v>0</v>
      </c>
      <c r="U8" s="414">
        <f t="shared" si="19"/>
        <v>7</v>
      </c>
      <c r="V8" s="62">
        <f t="shared" si="20"/>
        <v>400</v>
      </c>
      <c r="W8" s="412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3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5">
        <f t="shared" si="23"/>
        <v>228</v>
      </c>
      <c r="AG8" s="212">
        <f t="shared" si="32"/>
        <v>57</v>
      </c>
      <c r="AH8" s="62">
        <f t="shared" si="33"/>
        <v>228</v>
      </c>
      <c r="AI8" s="327">
        <f t="shared" si="24"/>
        <v>628</v>
      </c>
      <c r="AJ8" s="327">
        <f>-tanks!AW9</f>
        <v>628</v>
      </c>
      <c r="AK8" s="327">
        <f t="shared" si="25"/>
        <v>0</v>
      </c>
      <c r="AL8" s="327">
        <f t="shared" si="15"/>
        <v>7</v>
      </c>
      <c r="AM8" s="327">
        <f t="shared" si="26"/>
        <v>4</v>
      </c>
      <c r="AN8" s="64">
        <v>79</v>
      </c>
      <c r="AO8" s="329">
        <f t="shared" si="27"/>
        <v>2370</v>
      </c>
      <c r="AP8" s="64">
        <v>83</v>
      </c>
      <c r="AQ8" s="329">
        <f t="shared" si="28"/>
        <v>2490</v>
      </c>
      <c r="AR8" s="64">
        <v>70</v>
      </c>
      <c r="AS8" s="329">
        <f t="shared" si="34"/>
        <v>2100</v>
      </c>
      <c r="AT8" s="329">
        <f t="shared" si="35"/>
        <v>6960</v>
      </c>
      <c r="AU8" s="329">
        <f t="shared" si="36"/>
        <v>350</v>
      </c>
      <c r="AV8" s="275">
        <v>1100</v>
      </c>
      <c r="AW8" s="275">
        <v>0.7</v>
      </c>
      <c r="AX8" s="322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8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8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7">
        <f t="shared" si="7"/>
        <v>36</v>
      </c>
      <c r="S9" s="52">
        <f t="shared" si="8"/>
        <v>0</v>
      </c>
      <c r="T9" s="68">
        <f t="shared" si="30"/>
        <v>0</v>
      </c>
      <c r="U9" s="414">
        <f t="shared" si="19"/>
        <v>3</v>
      </c>
      <c r="V9" s="62">
        <f t="shared" si="20"/>
        <v>334</v>
      </c>
      <c r="W9" s="412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3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5">
        <f t="shared" si="23"/>
        <v>0</v>
      </c>
      <c r="AG9" s="212">
        <f t="shared" si="32"/>
        <v>0</v>
      </c>
      <c r="AH9" s="62">
        <f t="shared" si="33"/>
        <v>0</v>
      </c>
      <c r="AI9" s="327">
        <f t="shared" si="24"/>
        <v>334</v>
      </c>
      <c r="AJ9" s="327">
        <f>-tanks!AW10</f>
        <v>334</v>
      </c>
      <c r="AK9" s="327">
        <f t="shared" si="25"/>
        <v>0</v>
      </c>
      <c r="AL9" s="327">
        <f t="shared" si="15"/>
        <v>3</v>
      </c>
      <c r="AM9" s="327">
        <f t="shared" si="26"/>
        <v>0</v>
      </c>
      <c r="AN9" s="64">
        <f t="shared" ref="AN9:AN34" si="38">AN8</f>
        <v>79</v>
      </c>
      <c r="AO9" s="329">
        <f t="shared" si="27"/>
        <v>2370</v>
      </c>
      <c r="AP9" s="64">
        <f t="shared" ref="AP9:AP34" si="39">AP8</f>
        <v>83</v>
      </c>
      <c r="AQ9" s="329">
        <f t="shared" si="28"/>
        <v>2490</v>
      </c>
      <c r="AR9" s="64">
        <v>67</v>
      </c>
      <c r="AS9" s="329">
        <f>(AR9/100)*3000</f>
        <v>2010.0000000000002</v>
      </c>
      <c r="AT9" s="329">
        <f t="shared" si="35"/>
        <v>6870</v>
      </c>
      <c r="AU9" s="329">
        <f t="shared" si="36"/>
        <v>90</v>
      </c>
      <c r="AV9" s="275"/>
      <c r="AW9" s="275"/>
      <c r="AX9" s="322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8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8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7">
        <f t="shared" si="7"/>
        <v>0</v>
      </c>
      <c r="S10" s="52">
        <f t="shared" si="8"/>
        <v>0</v>
      </c>
      <c r="T10" s="68">
        <f t="shared" si="30"/>
        <v>0</v>
      </c>
      <c r="U10" s="414">
        <f t="shared" si="19"/>
        <v>6</v>
      </c>
      <c r="V10" s="62">
        <f t="shared" si="20"/>
        <v>391</v>
      </c>
      <c r="W10" s="412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3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5">
        <f t="shared" si="23"/>
        <v>0</v>
      </c>
      <c r="AG10" s="212">
        <f t="shared" si="32"/>
        <v>0</v>
      </c>
      <c r="AH10" s="62">
        <f t="shared" si="33"/>
        <v>0</v>
      </c>
      <c r="AI10" s="327">
        <f>SUM(AH10+V10)</f>
        <v>391</v>
      </c>
      <c r="AJ10" s="327">
        <f>-tanks!AW11</f>
        <v>391</v>
      </c>
      <c r="AK10" s="327">
        <f t="shared" si="25"/>
        <v>0</v>
      </c>
      <c r="AL10" s="327">
        <f t="shared" si="15"/>
        <v>6</v>
      </c>
      <c r="AM10" s="327">
        <f t="shared" si="26"/>
        <v>0</v>
      </c>
      <c r="AN10" s="64">
        <v>78</v>
      </c>
      <c r="AO10" s="329">
        <f t="shared" si="27"/>
        <v>2340</v>
      </c>
      <c r="AP10" s="64">
        <v>81</v>
      </c>
      <c r="AQ10" s="329">
        <f t="shared" si="28"/>
        <v>2430</v>
      </c>
      <c r="AR10" s="64">
        <v>68</v>
      </c>
      <c r="AS10" s="329">
        <f t="shared" si="34"/>
        <v>2040.0000000000002</v>
      </c>
      <c r="AT10" s="329">
        <f t="shared" si="35"/>
        <v>6810</v>
      </c>
      <c r="AU10" s="329">
        <f t="shared" si="36"/>
        <v>60</v>
      </c>
      <c r="AV10" s="275"/>
      <c r="AW10" s="275"/>
      <c r="AX10" s="322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8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8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7">
        <f t="shared" ref="R11:R34" si="40">Q11-Q10</f>
        <v>0</v>
      </c>
      <c r="S11" s="52">
        <f t="shared" si="8"/>
        <v>0</v>
      </c>
      <c r="T11" s="68">
        <f t="shared" si="30"/>
        <v>0</v>
      </c>
      <c r="U11" s="414">
        <f t="shared" si="19"/>
        <v>4</v>
      </c>
      <c r="V11" s="62">
        <f t="shared" si="20"/>
        <v>363</v>
      </c>
      <c r="W11" s="412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3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5">
        <f t="shared" si="23"/>
        <v>0</v>
      </c>
      <c r="AG11" s="212">
        <f t="shared" si="32"/>
        <v>0</v>
      </c>
      <c r="AH11" s="62">
        <f>AF11+AA11</f>
        <v>0</v>
      </c>
      <c r="AI11" s="327">
        <f>SUM(AH11+V11)</f>
        <v>363</v>
      </c>
      <c r="AJ11" s="327">
        <f>-tanks!AW12</f>
        <v>363</v>
      </c>
      <c r="AK11" s="327">
        <f t="shared" si="25"/>
        <v>0</v>
      </c>
      <c r="AL11" s="327">
        <f t="shared" si="15"/>
        <v>4</v>
      </c>
      <c r="AM11" s="327">
        <f t="shared" si="26"/>
        <v>0</v>
      </c>
      <c r="AN11" s="64">
        <v>77</v>
      </c>
      <c r="AO11" s="329">
        <f t="shared" si="27"/>
        <v>2310</v>
      </c>
      <c r="AP11" s="64">
        <v>80</v>
      </c>
      <c r="AQ11" s="329">
        <f t="shared" si="28"/>
        <v>2400</v>
      </c>
      <c r="AR11" s="64">
        <f t="shared" ref="AR11:AR34" si="41">AR10</f>
        <v>68</v>
      </c>
      <c r="AS11" s="329">
        <f t="shared" si="34"/>
        <v>2040.0000000000002</v>
      </c>
      <c r="AT11" s="329">
        <f t="shared" si="35"/>
        <v>6750</v>
      </c>
      <c r="AU11" s="329">
        <f t="shared" si="36"/>
        <v>60</v>
      </c>
      <c r="AV11" s="275"/>
      <c r="AW11" s="275"/>
      <c r="AX11" s="322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8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8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7">
        <f t="shared" si="40"/>
        <v>0</v>
      </c>
      <c r="S12" s="52">
        <f t="shared" si="8"/>
        <v>0</v>
      </c>
      <c r="T12" s="68">
        <f t="shared" si="30"/>
        <v>0</v>
      </c>
      <c r="U12" s="414">
        <f t="shared" si="19"/>
        <v>5</v>
      </c>
      <c r="V12" s="62">
        <f t="shared" si="20"/>
        <v>360</v>
      </c>
      <c r="W12" s="412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3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5">
        <f t="shared" si="23"/>
        <v>0</v>
      </c>
      <c r="AG12" s="212">
        <f t="shared" si="32"/>
        <v>0</v>
      </c>
      <c r="AH12" s="62">
        <f t="shared" si="33"/>
        <v>0</v>
      </c>
      <c r="AI12" s="327">
        <f t="shared" si="24"/>
        <v>360</v>
      </c>
      <c r="AJ12" s="327">
        <f>-tanks!AW13</f>
        <v>360</v>
      </c>
      <c r="AK12" s="327">
        <f t="shared" si="25"/>
        <v>0</v>
      </c>
      <c r="AL12" s="327">
        <f t="shared" si="15"/>
        <v>5</v>
      </c>
      <c r="AM12" s="327">
        <f t="shared" si="26"/>
        <v>0</v>
      </c>
      <c r="AN12" s="64">
        <v>76</v>
      </c>
      <c r="AO12" s="329">
        <f t="shared" si="27"/>
        <v>2280</v>
      </c>
      <c r="AP12" s="64">
        <v>80</v>
      </c>
      <c r="AQ12" s="329">
        <f t="shared" si="28"/>
        <v>2400</v>
      </c>
      <c r="AR12" s="64">
        <v>66</v>
      </c>
      <c r="AS12" s="329">
        <f t="shared" si="34"/>
        <v>1980</v>
      </c>
      <c r="AT12" s="329">
        <f t="shared" si="35"/>
        <v>6660</v>
      </c>
      <c r="AU12" s="329">
        <f t="shared" si="36"/>
        <v>90</v>
      </c>
      <c r="AV12" s="275"/>
      <c r="AW12" s="275"/>
      <c r="AX12" s="322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8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8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7">
        <f t="shared" si="40"/>
        <v>0</v>
      </c>
      <c r="S13" s="52">
        <f t="shared" si="8"/>
        <v>0</v>
      </c>
      <c r="T13" s="68">
        <f t="shared" si="30"/>
        <v>0</v>
      </c>
      <c r="U13" s="414">
        <f t="shared" si="19"/>
        <v>3</v>
      </c>
      <c r="V13" s="62">
        <f>R13+N13+I13:I13</f>
        <v>282</v>
      </c>
      <c r="W13" s="412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3">
        <f t="shared" si="11"/>
        <v>0</v>
      </c>
      <c r="AB13" s="293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5">
        <f t="shared" si="23"/>
        <v>0</v>
      </c>
      <c r="AG13" s="212">
        <f t="shared" si="32"/>
        <v>0</v>
      </c>
      <c r="AH13" s="62">
        <f t="shared" si="33"/>
        <v>0</v>
      </c>
      <c r="AI13" s="327">
        <f t="shared" si="24"/>
        <v>282</v>
      </c>
      <c r="AJ13" s="327">
        <f>-tanks!AW14</f>
        <v>282</v>
      </c>
      <c r="AK13" s="327">
        <f t="shared" si="25"/>
        <v>0</v>
      </c>
      <c r="AL13" s="327">
        <f t="shared" si="15"/>
        <v>3</v>
      </c>
      <c r="AM13" s="327">
        <f t="shared" si="26"/>
        <v>0</v>
      </c>
      <c r="AN13" s="64">
        <v>75</v>
      </c>
      <c r="AO13" s="329">
        <f t="shared" si="27"/>
        <v>2250</v>
      </c>
      <c r="AP13" s="64">
        <v>77</v>
      </c>
      <c r="AQ13" s="329">
        <f t="shared" si="28"/>
        <v>2310</v>
      </c>
      <c r="AR13" s="64">
        <v>65</v>
      </c>
      <c r="AS13" s="329">
        <f t="shared" si="34"/>
        <v>1950</v>
      </c>
      <c r="AT13" s="329">
        <f t="shared" si="35"/>
        <v>6510</v>
      </c>
      <c r="AU13" s="329">
        <f t="shared" si="36"/>
        <v>150</v>
      </c>
      <c r="AV13" s="275"/>
      <c r="AW13" s="275"/>
      <c r="AX13" s="322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8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8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7">
        <f t="shared" si="40"/>
        <v>0</v>
      </c>
      <c r="S14" s="52">
        <f t="shared" si="8"/>
        <v>0</v>
      </c>
      <c r="T14" s="68">
        <f t="shared" si="30"/>
        <v>0</v>
      </c>
      <c r="U14" s="414">
        <f t="shared" si="19"/>
        <v>6</v>
      </c>
      <c r="V14" s="62">
        <f t="shared" si="20"/>
        <v>378</v>
      </c>
      <c r="W14" s="412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3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5">
        <f>AE14-AE13</f>
        <v>222.40000000002328</v>
      </c>
      <c r="AG14" s="212">
        <f t="shared" si="32"/>
        <v>74.133333333341099</v>
      </c>
      <c r="AH14" s="62">
        <f>AF14+AA14</f>
        <v>222.40000000002328</v>
      </c>
      <c r="AI14" s="327">
        <f>SUM(AH14+V14)</f>
        <v>600.40000000002328</v>
      </c>
      <c r="AJ14" s="327">
        <f>-tanks!AW15</f>
        <v>600.40000000002328</v>
      </c>
      <c r="AK14" s="327">
        <f t="shared" si="25"/>
        <v>0</v>
      </c>
      <c r="AL14" s="327">
        <f t="shared" si="15"/>
        <v>6</v>
      </c>
      <c r="AM14" s="327">
        <f t="shared" si="26"/>
        <v>3</v>
      </c>
      <c r="AN14" s="64">
        <v>73</v>
      </c>
      <c r="AO14" s="329">
        <f t="shared" si="27"/>
        <v>2190</v>
      </c>
      <c r="AP14" s="64">
        <v>75</v>
      </c>
      <c r="AQ14" s="329">
        <f t="shared" si="28"/>
        <v>2250</v>
      </c>
      <c r="AR14" s="64">
        <v>64</v>
      </c>
      <c r="AS14" s="329">
        <f t="shared" si="34"/>
        <v>1920</v>
      </c>
      <c r="AT14" s="329">
        <f t="shared" si="35"/>
        <v>6360</v>
      </c>
      <c r="AU14" s="329">
        <f t="shared" si="36"/>
        <v>150</v>
      </c>
      <c r="AV14" s="275"/>
      <c r="AW14" s="275"/>
      <c r="AX14" s="322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8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8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7">
        <f t="shared" si="40"/>
        <v>0</v>
      </c>
      <c r="S15" s="52">
        <f t="shared" si="8"/>
        <v>0</v>
      </c>
      <c r="T15" s="68">
        <f t="shared" si="30"/>
        <v>0</v>
      </c>
      <c r="U15" s="414">
        <f t="shared" si="19"/>
        <v>4</v>
      </c>
      <c r="V15" s="62">
        <f t="shared" si="20"/>
        <v>362</v>
      </c>
      <c r="W15" s="412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3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5">
        <f t="shared" si="23"/>
        <v>0</v>
      </c>
      <c r="AG15" s="212">
        <f t="shared" si="32"/>
        <v>0</v>
      </c>
      <c r="AH15" s="62">
        <f t="shared" si="33"/>
        <v>6.1000000000058208</v>
      </c>
      <c r="AI15" s="327">
        <f t="shared" si="24"/>
        <v>368.10000000000582</v>
      </c>
      <c r="AJ15" s="327">
        <f>-tanks!AW16</f>
        <v>368.10000000000582</v>
      </c>
      <c r="AK15" s="327">
        <f t="shared" si="25"/>
        <v>0</v>
      </c>
      <c r="AL15" s="327">
        <f t="shared" si="15"/>
        <v>4</v>
      </c>
      <c r="AM15" s="327">
        <f t="shared" si="26"/>
        <v>0</v>
      </c>
      <c r="AN15" s="64">
        <v>72</v>
      </c>
      <c r="AO15" s="329">
        <f t="shared" si="27"/>
        <v>2160</v>
      </c>
      <c r="AP15" s="64">
        <v>73</v>
      </c>
      <c r="AQ15" s="329">
        <f t="shared" si="28"/>
        <v>2190</v>
      </c>
      <c r="AR15" s="64">
        <v>61</v>
      </c>
      <c r="AS15" s="329">
        <f t="shared" si="34"/>
        <v>1830</v>
      </c>
      <c r="AT15" s="329">
        <f t="shared" si="35"/>
        <v>6180</v>
      </c>
      <c r="AU15" s="329">
        <f t="shared" si="36"/>
        <v>180</v>
      </c>
      <c r="AV15" s="275"/>
      <c r="AW15" s="275"/>
      <c r="AX15" s="322">
        <f t="shared" si="29"/>
        <v>0.7</v>
      </c>
    </row>
    <row r="16" spans="1:50">
      <c r="A16" s="63">
        <f>ELEC!C14</f>
        <v>43994</v>
      </c>
      <c r="B16" s="64">
        <f t="shared" ref="B16:C34" si="42">B15</f>
        <v>169</v>
      </c>
      <c r="C16" s="64">
        <f t="shared" si="42"/>
        <v>175</v>
      </c>
      <c r="D16" s="45">
        <f t="shared" si="0"/>
        <v>0</v>
      </c>
      <c r="E16" s="45">
        <f t="shared" si="16"/>
        <v>0</v>
      </c>
      <c r="F16" s="64">
        <f t="shared" ref="F16:H34" si="43">F15</f>
        <v>1596</v>
      </c>
      <c r="G16" s="52">
        <f t="shared" si="1"/>
        <v>0</v>
      </c>
      <c r="H16" s="64">
        <f t="shared" si="43"/>
        <v>353837</v>
      </c>
      <c r="I16" s="408">
        <f t="shared" si="2"/>
        <v>0</v>
      </c>
      <c r="J16" s="66">
        <f t="shared" si="17"/>
        <v>0</v>
      </c>
      <c r="K16" s="64">
        <f t="shared" si="37"/>
        <v>1987</v>
      </c>
      <c r="L16" s="52">
        <f t="shared" si="3"/>
        <v>0</v>
      </c>
      <c r="M16" s="64">
        <f t="shared" si="4"/>
        <v>145693</v>
      </c>
      <c r="N16" s="408">
        <f t="shared" si="5"/>
        <v>0</v>
      </c>
      <c r="O16" s="67">
        <f t="shared" si="6"/>
        <v>0</v>
      </c>
      <c r="P16" s="64">
        <f t="shared" si="18"/>
        <v>1803</v>
      </c>
      <c r="Q16" s="64">
        <f t="shared" ref="Q16:Q34" si="44">Q15</f>
        <v>152974</v>
      </c>
      <c r="R16" s="407">
        <f t="shared" si="40"/>
        <v>0</v>
      </c>
      <c r="S16" s="52">
        <f t="shared" si="8"/>
        <v>0</v>
      </c>
      <c r="T16" s="68">
        <f t="shared" si="30"/>
        <v>0</v>
      </c>
      <c r="U16" s="414">
        <f t="shared" si="19"/>
        <v>0</v>
      </c>
      <c r="V16" s="62">
        <f t="shared" si="20"/>
        <v>0</v>
      </c>
      <c r="W16" s="412" t="e">
        <f t="shared" si="21"/>
        <v>#DIV/0!</v>
      </c>
      <c r="X16" s="64">
        <f t="shared" si="9"/>
        <v>2418</v>
      </c>
      <c r="Y16" s="52">
        <f t="shared" si="22"/>
        <v>0</v>
      </c>
      <c r="Z16" s="64">
        <f t="shared" si="10"/>
        <v>135964.1</v>
      </c>
      <c r="AA16" s="65">
        <f t="shared" si="11"/>
        <v>0</v>
      </c>
      <c r="AB16" s="293">
        <f t="shared" si="31"/>
        <v>0</v>
      </c>
      <c r="AC16" s="64">
        <f t="shared" si="12"/>
        <v>1848</v>
      </c>
      <c r="AD16" s="45">
        <f t="shared" si="13"/>
        <v>0</v>
      </c>
      <c r="AE16" s="64">
        <f t="shared" si="14"/>
        <v>360299.4</v>
      </c>
      <c r="AF16" s="315">
        <f t="shared" si="23"/>
        <v>0</v>
      </c>
      <c r="AG16" s="212">
        <f t="shared" si="32"/>
        <v>0</v>
      </c>
      <c r="AH16" s="62">
        <f t="shared" si="33"/>
        <v>0</v>
      </c>
      <c r="AI16" s="327">
        <f t="shared" si="24"/>
        <v>0</v>
      </c>
      <c r="AJ16" s="327">
        <f>-tanks!AW17</f>
        <v>0</v>
      </c>
      <c r="AK16" s="327">
        <f t="shared" si="25"/>
        <v>0</v>
      </c>
      <c r="AL16" s="327">
        <f t="shared" si="15"/>
        <v>0</v>
      </c>
      <c r="AM16" s="327">
        <f t="shared" si="26"/>
        <v>0</v>
      </c>
      <c r="AN16" s="64">
        <f t="shared" si="38"/>
        <v>72</v>
      </c>
      <c r="AO16" s="329">
        <f t="shared" si="27"/>
        <v>2160</v>
      </c>
      <c r="AP16" s="64">
        <f t="shared" si="39"/>
        <v>73</v>
      </c>
      <c r="AQ16" s="329">
        <f t="shared" si="28"/>
        <v>2190</v>
      </c>
      <c r="AR16" s="64">
        <f t="shared" si="41"/>
        <v>61</v>
      </c>
      <c r="AS16" s="329">
        <f t="shared" si="34"/>
        <v>1830</v>
      </c>
      <c r="AT16" s="329">
        <f t="shared" si="35"/>
        <v>6180</v>
      </c>
      <c r="AU16" s="329">
        <f t="shared" si="36"/>
        <v>0</v>
      </c>
      <c r="AV16" s="275"/>
      <c r="AW16" s="275"/>
      <c r="AX16" s="322">
        <f t="shared" si="29"/>
        <v>0.7</v>
      </c>
    </row>
    <row r="17" spans="1:50">
      <c r="A17" s="63">
        <f>ELEC!C15</f>
        <v>43995</v>
      </c>
      <c r="B17" s="64">
        <f t="shared" si="42"/>
        <v>169</v>
      </c>
      <c r="C17" s="64">
        <f t="shared" si="42"/>
        <v>175</v>
      </c>
      <c r="D17" s="45">
        <f t="shared" si="0"/>
        <v>0</v>
      </c>
      <c r="E17" s="45">
        <f t="shared" si="16"/>
        <v>0</v>
      </c>
      <c r="F17" s="64">
        <f t="shared" si="43"/>
        <v>1596</v>
      </c>
      <c r="G17" s="52">
        <f t="shared" si="1"/>
        <v>0</v>
      </c>
      <c r="H17" s="64">
        <f t="shared" si="43"/>
        <v>353837</v>
      </c>
      <c r="I17" s="408">
        <f t="shared" si="2"/>
        <v>0</v>
      </c>
      <c r="J17" s="66">
        <f t="shared" si="17"/>
        <v>0</v>
      </c>
      <c r="K17" s="64">
        <f t="shared" si="37"/>
        <v>1987</v>
      </c>
      <c r="L17" s="52">
        <f t="shared" si="3"/>
        <v>0</v>
      </c>
      <c r="M17" s="64">
        <f t="shared" si="4"/>
        <v>145693</v>
      </c>
      <c r="N17" s="408">
        <f t="shared" si="5"/>
        <v>0</v>
      </c>
      <c r="O17" s="67">
        <f t="shared" si="6"/>
        <v>0</v>
      </c>
      <c r="P17" s="64">
        <f t="shared" si="18"/>
        <v>1803</v>
      </c>
      <c r="Q17" s="64">
        <f t="shared" si="44"/>
        <v>152974</v>
      </c>
      <c r="R17" s="407">
        <f t="shared" si="40"/>
        <v>0</v>
      </c>
      <c r="S17" s="52">
        <f t="shared" si="8"/>
        <v>0</v>
      </c>
      <c r="T17" s="68">
        <f t="shared" si="30"/>
        <v>0</v>
      </c>
      <c r="U17" s="414">
        <f t="shared" si="19"/>
        <v>0</v>
      </c>
      <c r="V17" s="62">
        <f t="shared" si="20"/>
        <v>0</v>
      </c>
      <c r="W17" s="412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3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5">
        <f t="shared" si="23"/>
        <v>0</v>
      </c>
      <c r="AG17" s="212">
        <f t="shared" si="32"/>
        <v>0</v>
      </c>
      <c r="AH17" s="62">
        <f t="shared" si="33"/>
        <v>0</v>
      </c>
      <c r="AI17" s="327">
        <f t="shared" si="24"/>
        <v>0</v>
      </c>
      <c r="AJ17" s="327">
        <f>-tanks!AW18</f>
        <v>0</v>
      </c>
      <c r="AK17" s="327">
        <f t="shared" si="25"/>
        <v>0</v>
      </c>
      <c r="AL17" s="327">
        <f t="shared" si="15"/>
        <v>0</v>
      </c>
      <c r="AM17" s="327">
        <f t="shared" si="26"/>
        <v>0</v>
      </c>
      <c r="AN17" s="64">
        <f t="shared" si="38"/>
        <v>72</v>
      </c>
      <c r="AO17" s="329">
        <f t="shared" si="27"/>
        <v>2160</v>
      </c>
      <c r="AP17" s="64">
        <f t="shared" si="39"/>
        <v>73</v>
      </c>
      <c r="AQ17" s="329">
        <f t="shared" si="28"/>
        <v>2190</v>
      </c>
      <c r="AR17" s="64">
        <f t="shared" si="41"/>
        <v>61</v>
      </c>
      <c r="AS17" s="329">
        <f t="shared" si="34"/>
        <v>1830</v>
      </c>
      <c r="AT17" s="329">
        <f t="shared" si="35"/>
        <v>6180</v>
      </c>
      <c r="AU17" s="329">
        <f t="shared" si="36"/>
        <v>0</v>
      </c>
      <c r="AV17" s="275"/>
      <c r="AW17" s="275"/>
      <c r="AX17" s="322">
        <f t="shared" si="29"/>
        <v>0.7</v>
      </c>
    </row>
    <row r="18" spans="1:50">
      <c r="A18" s="63">
        <f>ELEC!C16</f>
        <v>43996</v>
      </c>
      <c r="B18" s="64">
        <f t="shared" si="42"/>
        <v>169</v>
      </c>
      <c r="C18" s="64">
        <f t="shared" si="42"/>
        <v>175</v>
      </c>
      <c r="D18" s="45">
        <f t="shared" si="0"/>
        <v>0</v>
      </c>
      <c r="E18" s="45">
        <f t="shared" si="16"/>
        <v>0</v>
      </c>
      <c r="F18" s="64">
        <f t="shared" si="43"/>
        <v>1596</v>
      </c>
      <c r="G18" s="52">
        <f t="shared" si="1"/>
        <v>0</v>
      </c>
      <c r="H18" s="64">
        <f t="shared" si="43"/>
        <v>353837</v>
      </c>
      <c r="I18" s="408">
        <f t="shared" si="2"/>
        <v>0</v>
      </c>
      <c r="J18" s="66">
        <f t="shared" si="17"/>
        <v>0</v>
      </c>
      <c r="K18" s="64">
        <f t="shared" si="37"/>
        <v>1987</v>
      </c>
      <c r="L18" s="52">
        <f t="shared" si="3"/>
        <v>0</v>
      </c>
      <c r="M18" s="64">
        <f t="shared" si="4"/>
        <v>145693</v>
      </c>
      <c r="N18" s="408">
        <f t="shared" si="5"/>
        <v>0</v>
      </c>
      <c r="O18" s="67">
        <f t="shared" si="6"/>
        <v>0</v>
      </c>
      <c r="P18" s="64">
        <f t="shared" si="18"/>
        <v>1803</v>
      </c>
      <c r="Q18" s="64">
        <f t="shared" si="44"/>
        <v>152974</v>
      </c>
      <c r="R18" s="407">
        <f t="shared" si="40"/>
        <v>0</v>
      </c>
      <c r="S18" s="52">
        <f t="shared" si="8"/>
        <v>0</v>
      </c>
      <c r="T18" s="68">
        <f t="shared" si="30"/>
        <v>0</v>
      </c>
      <c r="U18" s="414">
        <f t="shared" si="19"/>
        <v>0</v>
      </c>
      <c r="V18" s="62">
        <f t="shared" si="20"/>
        <v>0</v>
      </c>
      <c r="W18" s="412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3">
        <f t="shared" ref="AB18:AB23" si="45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5">
        <f t="shared" si="23"/>
        <v>0</v>
      </c>
      <c r="AG18" s="212">
        <f t="shared" si="32"/>
        <v>0</v>
      </c>
      <c r="AH18" s="62">
        <f t="shared" si="33"/>
        <v>0</v>
      </c>
      <c r="AI18" s="327">
        <f t="shared" si="24"/>
        <v>0</v>
      </c>
      <c r="AJ18" s="327">
        <f>-tanks!AW19</f>
        <v>0</v>
      </c>
      <c r="AK18" s="327">
        <f t="shared" si="25"/>
        <v>0</v>
      </c>
      <c r="AL18" s="327">
        <f t="shared" si="15"/>
        <v>0</v>
      </c>
      <c r="AM18" s="327">
        <f t="shared" si="26"/>
        <v>0</v>
      </c>
      <c r="AN18" s="64">
        <f t="shared" si="38"/>
        <v>72</v>
      </c>
      <c r="AO18" s="329">
        <f t="shared" si="27"/>
        <v>2160</v>
      </c>
      <c r="AP18" s="64">
        <f t="shared" si="39"/>
        <v>73</v>
      </c>
      <c r="AQ18" s="329">
        <f t="shared" si="28"/>
        <v>2190</v>
      </c>
      <c r="AR18" s="64">
        <f t="shared" si="41"/>
        <v>61</v>
      </c>
      <c r="AS18" s="329">
        <f t="shared" si="34"/>
        <v>1830</v>
      </c>
      <c r="AT18" s="329">
        <f t="shared" si="35"/>
        <v>6180</v>
      </c>
      <c r="AU18" s="329">
        <f t="shared" si="36"/>
        <v>0</v>
      </c>
      <c r="AV18" s="275"/>
      <c r="AW18" s="275"/>
      <c r="AX18" s="322">
        <f t="shared" si="29"/>
        <v>0.7</v>
      </c>
    </row>
    <row r="19" spans="1:50">
      <c r="A19" s="63">
        <f>ELEC!C17</f>
        <v>43997</v>
      </c>
      <c r="B19" s="64">
        <f t="shared" si="42"/>
        <v>169</v>
      </c>
      <c r="C19" s="64">
        <f t="shared" si="42"/>
        <v>175</v>
      </c>
      <c r="D19" s="45">
        <f t="shared" si="0"/>
        <v>0</v>
      </c>
      <c r="E19" s="45">
        <f t="shared" si="16"/>
        <v>0</v>
      </c>
      <c r="F19" s="64">
        <f t="shared" si="43"/>
        <v>1596</v>
      </c>
      <c r="G19" s="52">
        <f t="shared" si="1"/>
        <v>0</v>
      </c>
      <c r="H19" s="64">
        <f t="shared" si="43"/>
        <v>353837</v>
      </c>
      <c r="I19" s="408">
        <f t="shared" si="2"/>
        <v>0</v>
      </c>
      <c r="J19" s="66">
        <f t="shared" si="17"/>
        <v>0</v>
      </c>
      <c r="K19" s="64">
        <f t="shared" si="37"/>
        <v>1987</v>
      </c>
      <c r="L19" s="52">
        <f t="shared" si="3"/>
        <v>0</v>
      </c>
      <c r="M19" s="64">
        <f t="shared" si="4"/>
        <v>145693</v>
      </c>
      <c r="N19" s="408">
        <f t="shared" si="5"/>
        <v>0</v>
      </c>
      <c r="O19" s="67">
        <f t="shared" si="6"/>
        <v>0</v>
      </c>
      <c r="P19" s="64">
        <f t="shared" si="18"/>
        <v>1803</v>
      </c>
      <c r="Q19" s="64">
        <f t="shared" si="44"/>
        <v>152974</v>
      </c>
      <c r="R19" s="407">
        <f t="shared" si="40"/>
        <v>0</v>
      </c>
      <c r="S19" s="52">
        <f t="shared" si="8"/>
        <v>0</v>
      </c>
      <c r="T19" s="68">
        <f t="shared" si="30"/>
        <v>0</v>
      </c>
      <c r="U19" s="414">
        <f t="shared" si="19"/>
        <v>0</v>
      </c>
      <c r="V19" s="62">
        <f t="shared" si="20"/>
        <v>0</v>
      </c>
      <c r="W19" s="412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3">
        <f t="shared" si="45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5">
        <f t="shared" si="23"/>
        <v>0</v>
      </c>
      <c r="AG19" s="212">
        <f t="shared" si="32"/>
        <v>0</v>
      </c>
      <c r="AH19" s="62">
        <f t="shared" si="33"/>
        <v>0</v>
      </c>
      <c r="AI19" s="327">
        <f t="shared" si="24"/>
        <v>0</v>
      </c>
      <c r="AJ19" s="327">
        <f>-tanks!AW20</f>
        <v>0</v>
      </c>
      <c r="AK19" s="327">
        <f t="shared" si="25"/>
        <v>0</v>
      </c>
      <c r="AL19" s="327">
        <f>S19+L20+G19</f>
        <v>0</v>
      </c>
      <c r="AM19" s="327">
        <f t="shared" si="26"/>
        <v>0</v>
      </c>
      <c r="AN19" s="64">
        <f t="shared" si="38"/>
        <v>72</v>
      </c>
      <c r="AO19" s="329">
        <f t="shared" si="27"/>
        <v>2160</v>
      </c>
      <c r="AP19" s="64">
        <f t="shared" si="39"/>
        <v>73</v>
      </c>
      <c r="AQ19" s="329">
        <f t="shared" si="28"/>
        <v>2190</v>
      </c>
      <c r="AR19" s="64">
        <f t="shared" si="41"/>
        <v>61</v>
      </c>
      <c r="AS19" s="329">
        <f t="shared" si="34"/>
        <v>1830</v>
      </c>
      <c r="AT19" s="329">
        <f t="shared" si="35"/>
        <v>6180</v>
      </c>
      <c r="AU19" s="329">
        <f t="shared" si="36"/>
        <v>0</v>
      </c>
      <c r="AV19" s="275"/>
      <c r="AW19" s="275"/>
      <c r="AX19" s="322">
        <f t="shared" si="29"/>
        <v>0.7</v>
      </c>
    </row>
    <row r="20" spans="1:50">
      <c r="A20" s="63">
        <f>ELEC!C18</f>
        <v>43998</v>
      </c>
      <c r="B20" s="64">
        <f t="shared" si="42"/>
        <v>169</v>
      </c>
      <c r="C20" s="64">
        <f t="shared" si="42"/>
        <v>175</v>
      </c>
      <c r="D20" s="45">
        <f>C19-C20</f>
        <v>0</v>
      </c>
      <c r="E20" s="45">
        <f t="shared" si="16"/>
        <v>0</v>
      </c>
      <c r="F20" s="64">
        <f t="shared" si="43"/>
        <v>1596</v>
      </c>
      <c r="G20" s="52">
        <f t="shared" si="1"/>
        <v>0</v>
      </c>
      <c r="H20" s="64">
        <f t="shared" si="43"/>
        <v>353837</v>
      </c>
      <c r="I20" s="408">
        <f t="shared" si="2"/>
        <v>0</v>
      </c>
      <c r="J20" s="66">
        <f t="shared" si="17"/>
        <v>0</v>
      </c>
      <c r="K20" s="64">
        <f t="shared" si="37"/>
        <v>1987</v>
      </c>
      <c r="L20" s="52">
        <f t="shared" si="3"/>
        <v>0</v>
      </c>
      <c r="M20" s="64">
        <f t="shared" si="4"/>
        <v>145693</v>
      </c>
      <c r="N20" s="408">
        <f t="shared" si="5"/>
        <v>0</v>
      </c>
      <c r="O20" s="67">
        <f t="shared" si="6"/>
        <v>0</v>
      </c>
      <c r="P20" s="64">
        <f t="shared" si="18"/>
        <v>1803</v>
      </c>
      <c r="Q20" s="64">
        <f t="shared" si="44"/>
        <v>152974</v>
      </c>
      <c r="R20" s="407">
        <f t="shared" si="40"/>
        <v>0</v>
      </c>
      <c r="S20" s="52">
        <f t="shared" si="8"/>
        <v>0</v>
      </c>
      <c r="T20" s="68">
        <f t="shared" si="30"/>
        <v>0</v>
      </c>
      <c r="U20" s="414">
        <f t="shared" si="19"/>
        <v>0</v>
      </c>
      <c r="V20" s="62">
        <f t="shared" si="20"/>
        <v>0</v>
      </c>
      <c r="W20" s="412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3">
        <f t="shared" si="45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5">
        <f t="shared" si="23"/>
        <v>0</v>
      </c>
      <c r="AG20" s="212">
        <f t="shared" si="32"/>
        <v>0</v>
      </c>
      <c r="AH20" s="62">
        <f t="shared" si="33"/>
        <v>0</v>
      </c>
      <c r="AI20" s="327">
        <f t="shared" si="24"/>
        <v>0</v>
      </c>
      <c r="AJ20" s="327">
        <f>-tanks!AW21</f>
        <v>0</v>
      </c>
      <c r="AK20" s="327">
        <f t="shared" si="25"/>
        <v>0</v>
      </c>
      <c r="AL20" s="327">
        <f>S20+L21+G20</f>
        <v>0</v>
      </c>
      <c r="AM20" s="327">
        <f t="shared" si="26"/>
        <v>0</v>
      </c>
      <c r="AN20" s="64">
        <f t="shared" si="38"/>
        <v>72</v>
      </c>
      <c r="AO20" s="329">
        <f t="shared" si="27"/>
        <v>2160</v>
      </c>
      <c r="AP20" s="64">
        <f t="shared" si="39"/>
        <v>73</v>
      </c>
      <c r="AQ20" s="329">
        <f t="shared" si="28"/>
        <v>2190</v>
      </c>
      <c r="AR20" s="64">
        <f t="shared" si="41"/>
        <v>61</v>
      </c>
      <c r="AS20" s="329">
        <f t="shared" si="34"/>
        <v>1830</v>
      </c>
      <c r="AT20" s="329">
        <f t="shared" si="35"/>
        <v>6180</v>
      </c>
      <c r="AU20" s="329">
        <f t="shared" si="36"/>
        <v>0</v>
      </c>
      <c r="AV20" s="275"/>
      <c r="AW20" s="275"/>
      <c r="AX20" s="322">
        <f t="shared" si="29"/>
        <v>0.7</v>
      </c>
    </row>
    <row r="21" spans="1:50">
      <c r="A21" s="63">
        <f>ELEC!C19</f>
        <v>43999</v>
      </c>
      <c r="B21" s="64">
        <f t="shared" si="42"/>
        <v>169</v>
      </c>
      <c r="C21" s="64">
        <f t="shared" si="42"/>
        <v>175</v>
      </c>
      <c r="D21" s="45">
        <f t="shared" ref="D21:D31" si="46">C20-C21</f>
        <v>0</v>
      </c>
      <c r="E21" s="45">
        <f t="shared" si="16"/>
        <v>0</v>
      </c>
      <c r="F21" s="64">
        <f t="shared" si="43"/>
        <v>1596</v>
      </c>
      <c r="G21" s="52">
        <f t="shared" si="1"/>
        <v>0</v>
      </c>
      <c r="H21" s="64">
        <f t="shared" si="43"/>
        <v>353837</v>
      </c>
      <c r="I21" s="408">
        <f t="shared" si="2"/>
        <v>0</v>
      </c>
      <c r="J21" s="66">
        <f t="shared" si="17"/>
        <v>0</v>
      </c>
      <c r="K21" s="64">
        <f t="shared" si="37"/>
        <v>1987</v>
      </c>
      <c r="L21" s="52">
        <f t="shared" si="3"/>
        <v>0</v>
      </c>
      <c r="M21" s="64">
        <f t="shared" si="4"/>
        <v>145693</v>
      </c>
      <c r="N21" s="408">
        <f t="shared" si="5"/>
        <v>0</v>
      </c>
      <c r="O21" s="67">
        <f t="shared" si="6"/>
        <v>0</v>
      </c>
      <c r="P21" s="64">
        <f t="shared" si="18"/>
        <v>1803</v>
      </c>
      <c r="Q21" s="64">
        <f t="shared" si="44"/>
        <v>152974</v>
      </c>
      <c r="R21" s="407">
        <f t="shared" si="40"/>
        <v>0</v>
      </c>
      <c r="S21" s="52">
        <f t="shared" si="8"/>
        <v>0</v>
      </c>
      <c r="T21" s="68">
        <f t="shared" si="30"/>
        <v>0</v>
      </c>
      <c r="U21" s="414">
        <f t="shared" si="19"/>
        <v>0</v>
      </c>
      <c r="V21" s="62">
        <f t="shared" si="20"/>
        <v>0</v>
      </c>
      <c r="W21" s="412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3">
        <f t="shared" si="45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5">
        <f t="shared" si="23"/>
        <v>0</v>
      </c>
      <c r="AG21" s="212">
        <f t="shared" si="32"/>
        <v>0</v>
      </c>
      <c r="AH21" s="62">
        <f t="shared" si="33"/>
        <v>0</v>
      </c>
      <c r="AI21" s="327">
        <f t="shared" si="24"/>
        <v>0</v>
      </c>
      <c r="AJ21" s="327">
        <f>-tanks!AW22</f>
        <v>0</v>
      </c>
      <c r="AK21" s="327">
        <f t="shared" si="25"/>
        <v>0</v>
      </c>
      <c r="AL21" s="327">
        <f t="shared" ref="AL21:AL34" si="47">S21+L21+G21</f>
        <v>0</v>
      </c>
      <c r="AM21" s="327">
        <f t="shared" si="26"/>
        <v>0</v>
      </c>
      <c r="AN21" s="64">
        <f t="shared" si="38"/>
        <v>72</v>
      </c>
      <c r="AO21" s="329">
        <f t="shared" si="27"/>
        <v>2160</v>
      </c>
      <c r="AP21" s="64">
        <f t="shared" si="39"/>
        <v>73</v>
      </c>
      <c r="AQ21" s="329">
        <f t="shared" si="28"/>
        <v>2190</v>
      </c>
      <c r="AR21" s="64">
        <f t="shared" si="41"/>
        <v>61</v>
      </c>
      <c r="AS21" s="329">
        <f t="shared" si="34"/>
        <v>1830</v>
      </c>
      <c r="AT21" s="329">
        <f t="shared" si="35"/>
        <v>6180</v>
      </c>
      <c r="AU21" s="329">
        <f t="shared" si="36"/>
        <v>0</v>
      </c>
      <c r="AV21" s="275"/>
      <c r="AW21" s="275"/>
      <c r="AX21" s="322">
        <f t="shared" si="29"/>
        <v>0.7</v>
      </c>
    </row>
    <row r="22" spans="1:50" ht="16.5" customHeight="1">
      <c r="A22" s="63">
        <f>ELEC!C20</f>
        <v>44000</v>
      </c>
      <c r="B22" s="64">
        <f t="shared" si="42"/>
        <v>169</v>
      </c>
      <c r="C22" s="64">
        <f t="shared" si="42"/>
        <v>175</v>
      </c>
      <c r="D22" s="45">
        <f t="shared" si="46"/>
        <v>0</v>
      </c>
      <c r="E22" s="45">
        <f t="shared" si="16"/>
        <v>0</v>
      </c>
      <c r="F22" s="64">
        <f t="shared" si="43"/>
        <v>1596</v>
      </c>
      <c r="G22" s="52">
        <f t="shared" si="1"/>
        <v>0</v>
      </c>
      <c r="H22" s="64">
        <f t="shared" si="43"/>
        <v>353837</v>
      </c>
      <c r="I22" s="408">
        <f t="shared" si="2"/>
        <v>0</v>
      </c>
      <c r="J22" s="66">
        <f t="shared" si="17"/>
        <v>0</v>
      </c>
      <c r="K22" s="64">
        <f t="shared" si="37"/>
        <v>1987</v>
      </c>
      <c r="L22" s="52">
        <f t="shared" si="3"/>
        <v>0</v>
      </c>
      <c r="M22" s="64">
        <f t="shared" si="4"/>
        <v>145693</v>
      </c>
      <c r="N22" s="408">
        <f t="shared" si="5"/>
        <v>0</v>
      </c>
      <c r="O22" s="67">
        <f t="shared" si="6"/>
        <v>0</v>
      </c>
      <c r="P22" s="64">
        <f t="shared" si="18"/>
        <v>1803</v>
      </c>
      <c r="Q22" s="64">
        <f t="shared" si="44"/>
        <v>152974</v>
      </c>
      <c r="R22" s="407">
        <f t="shared" si="40"/>
        <v>0</v>
      </c>
      <c r="S22" s="52">
        <f t="shared" si="8"/>
        <v>0</v>
      </c>
      <c r="T22" s="68">
        <f t="shared" si="30"/>
        <v>0</v>
      </c>
      <c r="U22" s="414">
        <f t="shared" si="19"/>
        <v>0</v>
      </c>
      <c r="V22" s="62">
        <f t="shared" si="20"/>
        <v>0</v>
      </c>
      <c r="W22" s="412"/>
      <c r="X22" s="64">
        <f t="shared" si="9"/>
        <v>2418</v>
      </c>
      <c r="Y22" s="52">
        <f t="shared" si="22"/>
        <v>0</v>
      </c>
      <c r="Z22" s="64">
        <f t="shared" si="10"/>
        <v>135964.1</v>
      </c>
      <c r="AA22" s="65">
        <f t="shared" si="11"/>
        <v>0</v>
      </c>
      <c r="AB22" s="293">
        <f t="shared" si="45"/>
        <v>0</v>
      </c>
      <c r="AC22" s="64">
        <f t="shared" si="12"/>
        <v>1848</v>
      </c>
      <c r="AD22" s="45">
        <f t="shared" si="13"/>
        <v>0</v>
      </c>
      <c r="AE22" s="64">
        <f t="shared" si="14"/>
        <v>360299.4</v>
      </c>
      <c r="AF22" s="315">
        <f t="shared" si="23"/>
        <v>0</v>
      </c>
      <c r="AG22" s="212">
        <f t="shared" si="32"/>
        <v>0</v>
      </c>
      <c r="AH22" s="62">
        <f t="shared" si="33"/>
        <v>0</v>
      </c>
      <c r="AI22" s="327">
        <f t="shared" si="24"/>
        <v>0</v>
      </c>
      <c r="AJ22" s="327">
        <f>-tanks!AW23</f>
        <v>0</v>
      </c>
      <c r="AK22" s="327">
        <f t="shared" si="25"/>
        <v>0</v>
      </c>
      <c r="AL22" s="327">
        <f t="shared" si="47"/>
        <v>0</v>
      </c>
      <c r="AM22" s="327">
        <f t="shared" si="26"/>
        <v>0</v>
      </c>
      <c r="AN22" s="64">
        <f t="shared" si="38"/>
        <v>72</v>
      </c>
      <c r="AO22" s="329">
        <f t="shared" si="27"/>
        <v>2160</v>
      </c>
      <c r="AP22" s="64">
        <f t="shared" si="39"/>
        <v>73</v>
      </c>
      <c r="AQ22" s="329">
        <f t="shared" si="28"/>
        <v>2190</v>
      </c>
      <c r="AR22" s="64">
        <f t="shared" si="41"/>
        <v>61</v>
      </c>
      <c r="AS22" s="329">
        <f t="shared" si="34"/>
        <v>1830</v>
      </c>
      <c r="AT22" s="329">
        <f t="shared" si="35"/>
        <v>6180</v>
      </c>
      <c r="AU22" s="329">
        <f t="shared" si="36"/>
        <v>0</v>
      </c>
      <c r="AV22" s="275"/>
      <c r="AW22" s="275"/>
      <c r="AX22" s="322">
        <f t="shared" si="29"/>
        <v>0.7</v>
      </c>
    </row>
    <row r="23" spans="1:50">
      <c r="A23" s="63">
        <f>ELEC!C21</f>
        <v>44001</v>
      </c>
      <c r="B23" s="64">
        <f t="shared" si="42"/>
        <v>169</v>
      </c>
      <c r="C23" s="64">
        <f t="shared" si="42"/>
        <v>175</v>
      </c>
      <c r="D23" s="45">
        <f t="shared" si="46"/>
        <v>0</v>
      </c>
      <c r="E23" s="45">
        <f t="shared" si="16"/>
        <v>0</v>
      </c>
      <c r="F23" s="64">
        <f t="shared" si="43"/>
        <v>1596</v>
      </c>
      <c r="G23" s="52">
        <f t="shared" si="1"/>
        <v>0</v>
      </c>
      <c r="H23" s="64">
        <f t="shared" si="43"/>
        <v>353837</v>
      </c>
      <c r="I23" s="408">
        <f t="shared" si="2"/>
        <v>0</v>
      </c>
      <c r="J23" s="66">
        <f t="shared" si="17"/>
        <v>0</v>
      </c>
      <c r="K23" s="64">
        <f t="shared" si="37"/>
        <v>1987</v>
      </c>
      <c r="L23" s="52">
        <f t="shared" si="3"/>
        <v>0</v>
      </c>
      <c r="M23" s="64">
        <f t="shared" si="4"/>
        <v>145693</v>
      </c>
      <c r="N23" s="408">
        <f t="shared" si="5"/>
        <v>0</v>
      </c>
      <c r="O23" s="67">
        <f t="shared" si="6"/>
        <v>0</v>
      </c>
      <c r="P23" s="64">
        <f t="shared" si="18"/>
        <v>1803</v>
      </c>
      <c r="Q23" s="64">
        <f t="shared" si="44"/>
        <v>152974</v>
      </c>
      <c r="R23" s="407">
        <f t="shared" si="40"/>
        <v>0</v>
      </c>
      <c r="S23" s="52">
        <f t="shared" si="8"/>
        <v>0</v>
      </c>
      <c r="T23" s="68">
        <f t="shared" si="30"/>
        <v>0</v>
      </c>
      <c r="U23" s="414">
        <f t="shared" si="19"/>
        <v>0</v>
      </c>
      <c r="V23" s="62">
        <f t="shared" si="20"/>
        <v>0</v>
      </c>
      <c r="W23" s="412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3">
        <f t="shared" si="45"/>
        <v>0</v>
      </c>
      <c r="AC23" s="64">
        <f t="shared" si="12"/>
        <v>1848</v>
      </c>
      <c r="AD23" s="45">
        <f t="shared" si="13"/>
        <v>0</v>
      </c>
      <c r="AE23" s="64">
        <f t="shared" si="14"/>
        <v>360299.4</v>
      </c>
      <c r="AF23" s="315">
        <f t="shared" si="23"/>
        <v>0</v>
      </c>
      <c r="AG23" s="212">
        <f t="shared" si="32"/>
        <v>0</v>
      </c>
      <c r="AH23" s="62">
        <f t="shared" si="33"/>
        <v>0</v>
      </c>
      <c r="AI23" s="327">
        <f t="shared" si="24"/>
        <v>0</v>
      </c>
      <c r="AJ23" s="327">
        <f>-tanks!AW24</f>
        <v>0</v>
      </c>
      <c r="AK23" s="327">
        <f t="shared" si="25"/>
        <v>0</v>
      </c>
      <c r="AL23" s="327">
        <f t="shared" si="47"/>
        <v>0</v>
      </c>
      <c r="AM23" s="327">
        <f t="shared" si="26"/>
        <v>0</v>
      </c>
      <c r="AN23" s="64">
        <f t="shared" si="38"/>
        <v>72</v>
      </c>
      <c r="AO23" s="329">
        <f t="shared" si="27"/>
        <v>2160</v>
      </c>
      <c r="AP23" s="64">
        <f t="shared" si="39"/>
        <v>73</v>
      </c>
      <c r="AQ23" s="329">
        <f t="shared" si="28"/>
        <v>2190</v>
      </c>
      <c r="AR23" s="64">
        <f t="shared" si="41"/>
        <v>61</v>
      </c>
      <c r="AS23" s="329">
        <f t="shared" si="34"/>
        <v>1830</v>
      </c>
      <c r="AT23" s="329">
        <f t="shared" si="35"/>
        <v>6180</v>
      </c>
      <c r="AU23" s="329">
        <f t="shared" si="36"/>
        <v>0</v>
      </c>
      <c r="AV23" s="275"/>
      <c r="AW23" s="275"/>
      <c r="AX23" s="322">
        <f t="shared" si="29"/>
        <v>0.7</v>
      </c>
    </row>
    <row r="24" spans="1:50">
      <c r="A24" s="63">
        <f>ELEC!C22</f>
        <v>44002</v>
      </c>
      <c r="B24" s="64">
        <f t="shared" si="42"/>
        <v>169</v>
      </c>
      <c r="C24" s="64">
        <f t="shared" si="42"/>
        <v>175</v>
      </c>
      <c r="D24" s="45">
        <f t="shared" si="46"/>
        <v>0</v>
      </c>
      <c r="E24" s="45">
        <f t="shared" si="16"/>
        <v>0</v>
      </c>
      <c r="F24" s="64">
        <f t="shared" si="43"/>
        <v>1596</v>
      </c>
      <c r="G24" s="52">
        <f t="shared" si="1"/>
        <v>0</v>
      </c>
      <c r="H24" s="64">
        <f t="shared" si="43"/>
        <v>353837</v>
      </c>
      <c r="I24" s="408">
        <f t="shared" si="2"/>
        <v>0</v>
      </c>
      <c r="J24" s="66">
        <f t="shared" si="17"/>
        <v>0</v>
      </c>
      <c r="K24" s="64">
        <f t="shared" si="37"/>
        <v>1987</v>
      </c>
      <c r="L24" s="52">
        <f t="shared" si="3"/>
        <v>0</v>
      </c>
      <c r="M24" s="64">
        <f t="shared" si="4"/>
        <v>145693</v>
      </c>
      <c r="N24" s="408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4"/>
        <v>152974</v>
      </c>
      <c r="R24" s="407">
        <f t="shared" si="40"/>
        <v>0</v>
      </c>
      <c r="S24" s="52">
        <f t="shared" si="8"/>
        <v>0</v>
      </c>
      <c r="T24" s="68">
        <f t="shared" si="30"/>
        <v>0</v>
      </c>
      <c r="U24" s="414">
        <f t="shared" si="19"/>
        <v>0</v>
      </c>
      <c r="V24" s="62">
        <f t="shared" si="20"/>
        <v>0</v>
      </c>
      <c r="W24" s="412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3">
        <f t="shared" ref="AB24:AB34" si="48">SUM(Y24*$AB$2)</f>
        <v>0</v>
      </c>
      <c r="AC24" s="64">
        <f t="shared" si="12"/>
        <v>1848</v>
      </c>
      <c r="AD24" s="45">
        <f t="shared" si="13"/>
        <v>0</v>
      </c>
      <c r="AE24" s="64">
        <f t="shared" si="14"/>
        <v>360299.4</v>
      </c>
      <c r="AF24" s="315">
        <f t="shared" si="23"/>
        <v>0</v>
      </c>
      <c r="AG24" s="212">
        <f t="shared" si="32"/>
        <v>0</v>
      </c>
      <c r="AH24" s="62">
        <f t="shared" si="33"/>
        <v>0</v>
      </c>
      <c r="AI24" s="327">
        <f t="shared" si="24"/>
        <v>0</v>
      </c>
      <c r="AJ24" s="327">
        <f>-tanks!AW25</f>
        <v>0</v>
      </c>
      <c r="AK24" s="327">
        <f t="shared" si="25"/>
        <v>0</v>
      </c>
      <c r="AL24" s="327">
        <f t="shared" si="47"/>
        <v>0</v>
      </c>
      <c r="AM24" s="327">
        <f t="shared" si="26"/>
        <v>0</v>
      </c>
      <c r="AN24" s="64">
        <f t="shared" si="38"/>
        <v>72</v>
      </c>
      <c r="AO24" s="329">
        <f t="shared" si="27"/>
        <v>2160</v>
      </c>
      <c r="AP24" s="64">
        <f t="shared" si="39"/>
        <v>73</v>
      </c>
      <c r="AQ24" s="329">
        <f t="shared" si="28"/>
        <v>2190</v>
      </c>
      <c r="AR24" s="64">
        <f t="shared" si="41"/>
        <v>61</v>
      </c>
      <c r="AS24" s="329">
        <f t="shared" si="34"/>
        <v>1830</v>
      </c>
      <c r="AT24" s="329">
        <f t="shared" ref="AT24:AT34" si="49">SUM(AO24+AQ24+AS24)</f>
        <v>6180</v>
      </c>
      <c r="AU24" s="329">
        <f t="shared" si="36"/>
        <v>0</v>
      </c>
      <c r="AV24" s="275"/>
      <c r="AW24" s="275"/>
      <c r="AX24" s="322">
        <f t="shared" si="29"/>
        <v>0.7</v>
      </c>
    </row>
    <row r="25" spans="1:50" ht="13.5" customHeight="1">
      <c r="A25" s="63">
        <f>ELEC!C23</f>
        <v>44003</v>
      </c>
      <c r="B25" s="64">
        <f t="shared" si="42"/>
        <v>169</v>
      </c>
      <c r="C25" s="64">
        <f t="shared" si="42"/>
        <v>175</v>
      </c>
      <c r="D25" s="45">
        <f t="shared" si="46"/>
        <v>0</v>
      </c>
      <c r="E25" s="45">
        <f t="shared" si="16"/>
        <v>0</v>
      </c>
      <c r="F25" s="64">
        <f t="shared" si="43"/>
        <v>1596</v>
      </c>
      <c r="G25" s="52">
        <f t="shared" si="1"/>
        <v>0</v>
      </c>
      <c r="H25" s="64">
        <f t="shared" si="43"/>
        <v>353837</v>
      </c>
      <c r="I25" s="408">
        <f t="shared" si="2"/>
        <v>0</v>
      </c>
      <c r="J25" s="66">
        <f t="shared" si="17"/>
        <v>0</v>
      </c>
      <c r="K25" s="64">
        <f t="shared" si="37"/>
        <v>1987</v>
      </c>
      <c r="L25" s="52">
        <f t="shared" si="3"/>
        <v>0</v>
      </c>
      <c r="M25" s="64">
        <f t="shared" si="4"/>
        <v>145693</v>
      </c>
      <c r="N25" s="408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4"/>
        <v>152974</v>
      </c>
      <c r="R25" s="407">
        <f t="shared" si="40"/>
        <v>0</v>
      </c>
      <c r="S25" s="52">
        <f t="shared" si="8"/>
        <v>0</v>
      </c>
      <c r="T25" s="68">
        <f t="shared" si="30"/>
        <v>0</v>
      </c>
      <c r="U25" s="414">
        <f t="shared" si="19"/>
        <v>0</v>
      </c>
      <c r="V25" s="62">
        <f t="shared" si="20"/>
        <v>0</v>
      </c>
      <c r="W25" s="412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3">
        <f t="shared" si="48"/>
        <v>0</v>
      </c>
      <c r="AC25" s="64">
        <f t="shared" si="12"/>
        <v>1848</v>
      </c>
      <c r="AD25" s="45">
        <f t="shared" si="13"/>
        <v>0</v>
      </c>
      <c r="AE25" s="64">
        <f t="shared" si="14"/>
        <v>360299.4</v>
      </c>
      <c r="AF25" s="315">
        <f t="shared" si="23"/>
        <v>0</v>
      </c>
      <c r="AG25" s="212">
        <f t="shared" si="32"/>
        <v>0</v>
      </c>
      <c r="AH25" s="62">
        <f t="shared" si="33"/>
        <v>0</v>
      </c>
      <c r="AI25" s="327">
        <f t="shared" si="24"/>
        <v>0</v>
      </c>
      <c r="AJ25" s="327">
        <f>-tanks!AW26</f>
        <v>0</v>
      </c>
      <c r="AK25" s="327">
        <f t="shared" si="25"/>
        <v>0</v>
      </c>
      <c r="AL25" s="327">
        <f t="shared" si="47"/>
        <v>0</v>
      </c>
      <c r="AM25" s="327">
        <f t="shared" si="26"/>
        <v>0</v>
      </c>
      <c r="AN25" s="64">
        <f t="shared" si="38"/>
        <v>72</v>
      </c>
      <c r="AO25" s="329">
        <f t="shared" si="27"/>
        <v>2160</v>
      </c>
      <c r="AP25" s="64">
        <f t="shared" si="39"/>
        <v>73</v>
      </c>
      <c r="AQ25" s="329">
        <f t="shared" ref="AQ25:AQ34" si="50">(AP25/100)*3000</f>
        <v>2190</v>
      </c>
      <c r="AR25" s="64">
        <f t="shared" si="41"/>
        <v>61</v>
      </c>
      <c r="AS25" s="329">
        <f t="shared" si="34"/>
        <v>1830</v>
      </c>
      <c r="AT25" s="329">
        <f t="shared" si="49"/>
        <v>6180</v>
      </c>
      <c r="AU25" s="329">
        <f t="shared" si="36"/>
        <v>0</v>
      </c>
      <c r="AV25" s="275"/>
      <c r="AW25" s="275"/>
      <c r="AX25" s="322">
        <f t="shared" si="29"/>
        <v>0.7</v>
      </c>
    </row>
    <row r="26" spans="1:50" ht="14.25" customHeight="1">
      <c r="A26" s="63">
        <f>ELEC!C24</f>
        <v>44004</v>
      </c>
      <c r="B26" s="64">
        <f t="shared" si="42"/>
        <v>169</v>
      </c>
      <c r="C26" s="64">
        <f t="shared" si="42"/>
        <v>175</v>
      </c>
      <c r="D26" s="45">
        <f t="shared" si="46"/>
        <v>0</v>
      </c>
      <c r="E26" s="45">
        <f t="shared" si="16"/>
        <v>0</v>
      </c>
      <c r="F26" s="64">
        <f t="shared" si="43"/>
        <v>1596</v>
      </c>
      <c r="G26" s="52">
        <f t="shared" si="1"/>
        <v>0</v>
      </c>
      <c r="H26" s="64">
        <f t="shared" si="43"/>
        <v>353837</v>
      </c>
      <c r="I26" s="408">
        <f t="shared" si="2"/>
        <v>0</v>
      </c>
      <c r="J26" s="66">
        <f t="shared" si="17"/>
        <v>0</v>
      </c>
      <c r="K26" s="64">
        <f t="shared" si="37"/>
        <v>1987</v>
      </c>
      <c r="L26" s="52">
        <f t="shared" si="3"/>
        <v>0</v>
      </c>
      <c r="M26" s="64">
        <f t="shared" si="4"/>
        <v>145693</v>
      </c>
      <c r="N26" s="408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4"/>
        <v>152974</v>
      </c>
      <c r="R26" s="407">
        <f t="shared" si="40"/>
        <v>0</v>
      </c>
      <c r="S26" s="52">
        <f t="shared" si="8"/>
        <v>0</v>
      </c>
      <c r="T26" s="68">
        <f t="shared" si="30"/>
        <v>0</v>
      </c>
      <c r="U26" s="414">
        <f t="shared" si="19"/>
        <v>0</v>
      </c>
      <c r="V26" s="62">
        <f t="shared" si="20"/>
        <v>0</v>
      </c>
      <c r="W26" s="412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3">
        <f t="shared" si="48"/>
        <v>0</v>
      </c>
      <c r="AC26" s="64">
        <f t="shared" si="12"/>
        <v>1848</v>
      </c>
      <c r="AD26" s="45">
        <f t="shared" si="13"/>
        <v>0</v>
      </c>
      <c r="AE26" s="64">
        <f t="shared" si="14"/>
        <v>360299.4</v>
      </c>
      <c r="AF26" s="315">
        <f t="shared" si="23"/>
        <v>0</v>
      </c>
      <c r="AG26" s="212">
        <f t="shared" si="32"/>
        <v>0</v>
      </c>
      <c r="AH26" s="62">
        <f t="shared" si="33"/>
        <v>0</v>
      </c>
      <c r="AI26" s="327">
        <f t="shared" si="24"/>
        <v>0</v>
      </c>
      <c r="AJ26" s="327">
        <f>-tanks!AW27</f>
        <v>0</v>
      </c>
      <c r="AK26" s="327">
        <f t="shared" si="25"/>
        <v>0</v>
      </c>
      <c r="AL26" s="327">
        <f t="shared" si="47"/>
        <v>0</v>
      </c>
      <c r="AM26" s="327">
        <f t="shared" si="26"/>
        <v>0</v>
      </c>
      <c r="AN26" s="64">
        <f t="shared" si="38"/>
        <v>72</v>
      </c>
      <c r="AO26" s="329">
        <f t="shared" si="27"/>
        <v>2160</v>
      </c>
      <c r="AP26" s="64">
        <f t="shared" si="39"/>
        <v>73</v>
      </c>
      <c r="AQ26" s="329">
        <f t="shared" si="50"/>
        <v>2190</v>
      </c>
      <c r="AR26" s="64">
        <f t="shared" si="41"/>
        <v>61</v>
      </c>
      <c r="AS26" s="329">
        <f t="shared" si="34"/>
        <v>1830</v>
      </c>
      <c r="AT26" s="329">
        <f t="shared" si="49"/>
        <v>6180</v>
      </c>
      <c r="AU26" s="329">
        <f t="shared" si="36"/>
        <v>0</v>
      </c>
      <c r="AV26" s="275"/>
      <c r="AW26" s="275"/>
      <c r="AX26" s="322">
        <f t="shared" si="29"/>
        <v>0.7</v>
      </c>
    </row>
    <row r="27" spans="1:50">
      <c r="A27" s="63">
        <f>ELEC!C25</f>
        <v>44005</v>
      </c>
      <c r="B27" s="64">
        <f t="shared" si="42"/>
        <v>169</v>
      </c>
      <c r="C27" s="64">
        <f t="shared" si="42"/>
        <v>175</v>
      </c>
      <c r="D27" s="45">
        <f t="shared" si="46"/>
        <v>0</v>
      </c>
      <c r="E27" s="45">
        <f t="shared" si="16"/>
        <v>0</v>
      </c>
      <c r="F27" s="64">
        <f t="shared" si="43"/>
        <v>1596</v>
      </c>
      <c r="G27" s="52">
        <f t="shared" si="1"/>
        <v>0</v>
      </c>
      <c r="H27" s="64">
        <f t="shared" si="43"/>
        <v>353837</v>
      </c>
      <c r="I27" s="408">
        <f t="shared" si="2"/>
        <v>0</v>
      </c>
      <c r="J27" s="66">
        <f t="shared" si="17"/>
        <v>0</v>
      </c>
      <c r="K27" s="64">
        <f t="shared" si="37"/>
        <v>1987</v>
      </c>
      <c r="L27" s="52">
        <f t="shared" si="3"/>
        <v>0</v>
      </c>
      <c r="M27" s="64">
        <f t="shared" si="4"/>
        <v>145693</v>
      </c>
      <c r="N27" s="408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4"/>
        <v>152974</v>
      </c>
      <c r="R27" s="407">
        <f t="shared" si="40"/>
        <v>0</v>
      </c>
      <c r="S27" s="52">
        <f t="shared" si="8"/>
        <v>0</v>
      </c>
      <c r="T27" s="68">
        <f t="shared" si="30"/>
        <v>0</v>
      </c>
      <c r="U27" s="414">
        <f t="shared" si="19"/>
        <v>0</v>
      </c>
      <c r="V27" s="62">
        <f t="shared" si="20"/>
        <v>0</v>
      </c>
      <c r="W27" s="412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3">
        <f t="shared" si="48"/>
        <v>0</v>
      </c>
      <c r="AC27" s="64">
        <f t="shared" si="12"/>
        <v>1848</v>
      </c>
      <c r="AD27" s="45">
        <f t="shared" si="13"/>
        <v>0</v>
      </c>
      <c r="AE27" s="64">
        <f t="shared" si="14"/>
        <v>360299.4</v>
      </c>
      <c r="AF27" s="315">
        <f t="shared" si="23"/>
        <v>0</v>
      </c>
      <c r="AG27" s="212">
        <f t="shared" si="32"/>
        <v>0</v>
      </c>
      <c r="AH27" s="62">
        <f t="shared" si="33"/>
        <v>0</v>
      </c>
      <c r="AI27" s="327">
        <f t="shared" si="24"/>
        <v>0</v>
      </c>
      <c r="AJ27" s="327">
        <f>-tanks!AW28</f>
        <v>0</v>
      </c>
      <c r="AK27" s="327">
        <f t="shared" si="25"/>
        <v>0</v>
      </c>
      <c r="AL27" s="327">
        <f t="shared" si="47"/>
        <v>0</v>
      </c>
      <c r="AM27" s="327">
        <f t="shared" si="26"/>
        <v>0</v>
      </c>
      <c r="AN27" s="64">
        <f t="shared" si="38"/>
        <v>72</v>
      </c>
      <c r="AO27" s="329">
        <f>(AN27/100)*3000</f>
        <v>2160</v>
      </c>
      <c r="AP27" s="64">
        <f t="shared" si="39"/>
        <v>73</v>
      </c>
      <c r="AQ27" s="329">
        <f t="shared" si="50"/>
        <v>2190</v>
      </c>
      <c r="AR27" s="64">
        <f t="shared" si="41"/>
        <v>61</v>
      </c>
      <c r="AS27" s="329">
        <f t="shared" si="34"/>
        <v>1830</v>
      </c>
      <c r="AT27" s="329">
        <f t="shared" si="49"/>
        <v>6180</v>
      </c>
      <c r="AU27" s="329">
        <f t="shared" si="36"/>
        <v>0</v>
      </c>
      <c r="AV27" s="275"/>
      <c r="AW27" s="520"/>
      <c r="AX27" s="322">
        <f t="shared" si="29"/>
        <v>0.7</v>
      </c>
    </row>
    <row r="28" spans="1:50">
      <c r="A28" s="63">
        <f>ELEC!C26</f>
        <v>44006</v>
      </c>
      <c r="B28" s="64">
        <f t="shared" si="42"/>
        <v>169</v>
      </c>
      <c r="C28" s="64">
        <f t="shared" si="42"/>
        <v>175</v>
      </c>
      <c r="D28" s="45">
        <f t="shared" si="46"/>
        <v>0</v>
      </c>
      <c r="E28" s="45">
        <f t="shared" si="16"/>
        <v>0</v>
      </c>
      <c r="F28" s="64">
        <f t="shared" si="43"/>
        <v>1596</v>
      </c>
      <c r="G28" s="52">
        <f t="shared" si="1"/>
        <v>0</v>
      </c>
      <c r="H28" s="64">
        <f t="shared" si="43"/>
        <v>353837</v>
      </c>
      <c r="I28" s="408">
        <f t="shared" si="2"/>
        <v>0</v>
      </c>
      <c r="J28" s="66">
        <f t="shared" si="17"/>
        <v>0</v>
      </c>
      <c r="K28" s="64">
        <f t="shared" si="37"/>
        <v>1987</v>
      </c>
      <c r="L28" s="52">
        <f t="shared" si="3"/>
        <v>0</v>
      </c>
      <c r="M28" s="64">
        <f t="shared" si="4"/>
        <v>145693</v>
      </c>
      <c r="N28" s="408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4"/>
        <v>152974</v>
      </c>
      <c r="R28" s="407">
        <f t="shared" si="40"/>
        <v>0</v>
      </c>
      <c r="S28" s="52">
        <f t="shared" si="8"/>
        <v>0</v>
      </c>
      <c r="T28" s="68">
        <f t="shared" si="30"/>
        <v>0</v>
      </c>
      <c r="U28" s="414">
        <f t="shared" si="19"/>
        <v>0</v>
      </c>
      <c r="V28" s="62">
        <f t="shared" si="20"/>
        <v>0</v>
      </c>
      <c r="W28" s="412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3">
        <f t="shared" si="48"/>
        <v>0</v>
      </c>
      <c r="AC28" s="64">
        <f t="shared" si="12"/>
        <v>1848</v>
      </c>
      <c r="AD28" s="45">
        <f t="shared" si="13"/>
        <v>0</v>
      </c>
      <c r="AE28" s="64">
        <f t="shared" si="14"/>
        <v>360299.4</v>
      </c>
      <c r="AF28" s="315">
        <f t="shared" si="23"/>
        <v>0</v>
      </c>
      <c r="AG28" s="212">
        <f t="shared" si="32"/>
        <v>0</v>
      </c>
      <c r="AH28" s="62">
        <f t="shared" si="33"/>
        <v>0</v>
      </c>
      <c r="AI28" s="327">
        <f t="shared" si="24"/>
        <v>0</v>
      </c>
      <c r="AJ28" s="327">
        <f>-tanks!AW29</f>
        <v>0</v>
      </c>
      <c r="AK28" s="327">
        <f t="shared" si="25"/>
        <v>0</v>
      </c>
      <c r="AL28" s="327">
        <f t="shared" si="47"/>
        <v>0</v>
      </c>
      <c r="AM28" s="327">
        <f t="shared" si="26"/>
        <v>0</v>
      </c>
      <c r="AN28" s="64">
        <f t="shared" si="38"/>
        <v>72</v>
      </c>
      <c r="AO28" s="329">
        <f t="shared" ref="AO28:AO34" si="51">(AN28/100)*3000</f>
        <v>2160</v>
      </c>
      <c r="AP28" s="64">
        <f t="shared" si="39"/>
        <v>73</v>
      </c>
      <c r="AQ28" s="329">
        <f t="shared" si="50"/>
        <v>2190</v>
      </c>
      <c r="AR28" s="64">
        <f t="shared" si="41"/>
        <v>61</v>
      </c>
      <c r="AS28" s="329">
        <f t="shared" si="34"/>
        <v>1830</v>
      </c>
      <c r="AT28" s="329">
        <f t="shared" si="49"/>
        <v>6180</v>
      </c>
      <c r="AU28" s="329">
        <f t="shared" si="36"/>
        <v>0</v>
      </c>
      <c r="AV28" s="275"/>
      <c r="AW28" s="275"/>
      <c r="AX28" s="322">
        <f t="shared" si="29"/>
        <v>0.7</v>
      </c>
    </row>
    <row r="29" spans="1:50">
      <c r="A29" s="63">
        <f>ELEC!C27</f>
        <v>44007</v>
      </c>
      <c r="B29" s="64">
        <f t="shared" si="42"/>
        <v>169</v>
      </c>
      <c r="C29" s="64">
        <f t="shared" si="42"/>
        <v>175</v>
      </c>
      <c r="D29" s="45">
        <f t="shared" si="46"/>
        <v>0</v>
      </c>
      <c r="E29" s="45">
        <f t="shared" si="16"/>
        <v>0</v>
      </c>
      <c r="F29" s="64">
        <f t="shared" si="43"/>
        <v>1596</v>
      </c>
      <c r="G29" s="52">
        <f t="shared" si="1"/>
        <v>0</v>
      </c>
      <c r="H29" s="64">
        <f t="shared" si="43"/>
        <v>353837</v>
      </c>
      <c r="I29" s="408">
        <f t="shared" si="2"/>
        <v>0</v>
      </c>
      <c r="J29" s="66">
        <f t="shared" si="17"/>
        <v>0</v>
      </c>
      <c r="K29" s="64">
        <f t="shared" si="37"/>
        <v>1987</v>
      </c>
      <c r="L29" s="52">
        <f t="shared" si="3"/>
        <v>0</v>
      </c>
      <c r="M29" s="64">
        <f t="shared" si="4"/>
        <v>145693</v>
      </c>
      <c r="N29" s="408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4"/>
        <v>152974</v>
      </c>
      <c r="R29" s="407">
        <f t="shared" si="40"/>
        <v>0</v>
      </c>
      <c r="S29" s="52">
        <f t="shared" si="8"/>
        <v>0</v>
      </c>
      <c r="T29" s="68">
        <f t="shared" si="30"/>
        <v>0</v>
      </c>
      <c r="U29" s="414">
        <f t="shared" si="19"/>
        <v>0</v>
      </c>
      <c r="V29" s="62">
        <f t="shared" si="20"/>
        <v>0</v>
      </c>
      <c r="W29" s="412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3">
        <f t="shared" si="48"/>
        <v>0</v>
      </c>
      <c r="AC29" s="64">
        <f t="shared" si="12"/>
        <v>1848</v>
      </c>
      <c r="AD29" s="45">
        <f t="shared" si="13"/>
        <v>0</v>
      </c>
      <c r="AE29" s="64">
        <f t="shared" si="14"/>
        <v>360299.4</v>
      </c>
      <c r="AF29" s="315">
        <f t="shared" si="23"/>
        <v>0</v>
      </c>
      <c r="AG29" s="212">
        <f t="shared" si="32"/>
        <v>0</v>
      </c>
      <c r="AH29" s="62">
        <f t="shared" si="33"/>
        <v>0</v>
      </c>
      <c r="AI29" s="327">
        <f t="shared" si="24"/>
        <v>0</v>
      </c>
      <c r="AJ29" s="327">
        <f>-tanks!AW30</f>
        <v>0</v>
      </c>
      <c r="AK29" s="327">
        <f t="shared" si="25"/>
        <v>0</v>
      </c>
      <c r="AL29" s="327">
        <f t="shared" si="47"/>
        <v>0</v>
      </c>
      <c r="AM29" s="327">
        <f t="shared" si="26"/>
        <v>0</v>
      </c>
      <c r="AN29" s="64">
        <f t="shared" si="38"/>
        <v>72</v>
      </c>
      <c r="AO29" s="329">
        <f t="shared" si="51"/>
        <v>2160</v>
      </c>
      <c r="AP29" s="64">
        <f t="shared" si="39"/>
        <v>73</v>
      </c>
      <c r="AQ29" s="329">
        <f t="shared" si="50"/>
        <v>2190</v>
      </c>
      <c r="AR29" s="64">
        <f t="shared" si="41"/>
        <v>61</v>
      </c>
      <c r="AS29" s="329">
        <f t="shared" si="34"/>
        <v>1830</v>
      </c>
      <c r="AT29" s="329">
        <f>SUM(AO29+AQ29+AS29)</f>
        <v>6180</v>
      </c>
      <c r="AU29" s="329">
        <f>AT28-AT29+AV29</f>
        <v>0</v>
      </c>
      <c r="AV29" s="275"/>
      <c r="AW29" s="275"/>
      <c r="AX29" s="322">
        <f t="shared" si="29"/>
        <v>0.7</v>
      </c>
    </row>
    <row r="30" spans="1:50">
      <c r="A30" s="63">
        <f>ELEC!C28</f>
        <v>44008</v>
      </c>
      <c r="B30" s="64">
        <f t="shared" si="42"/>
        <v>169</v>
      </c>
      <c r="C30" s="64">
        <f t="shared" si="42"/>
        <v>175</v>
      </c>
      <c r="D30" s="45">
        <f t="shared" si="46"/>
        <v>0</v>
      </c>
      <c r="E30" s="45">
        <f t="shared" si="16"/>
        <v>0</v>
      </c>
      <c r="F30" s="64">
        <f t="shared" si="43"/>
        <v>1596</v>
      </c>
      <c r="G30" s="52">
        <f t="shared" si="1"/>
        <v>0</v>
      </c>
      <c r="H30" s="64">
        <f t="shared" si="43"/>
        <v>353837</v>
      </c>
      <c r="I30" s="408">
        <f t="shared" si="2"/>
        <v>0</v>
      </c>
      <c r="J30" s="66">
        <f t="shared" si="17"/>
        <v>0</v>
      </c>
      <c r="K30" s="64">
        <f t="shared" si="37"/>
        <v>1987</v>
      </c>
      <c r="L30" s="52">
        <f t="shared" si="3"/>
        <v>0</v>
      </c>
      <c r="M30" s="64">
        <f t="shared" si="4"/>
        <v>145693</v>
      </c>
      <c r="N30" s="408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4"/>
        <v>152974</v>
      </c>
      <c r="R30" s="407">
        <f t="shared" si="40"/>
        <v>0</v>
      </c>
      <c r="S30" s="52">
        <f t="shared" si="8"/>
        <v>0</v>
      </c>
      <c r="T30" s="68">
        <f t="shared" si="30"/>
        <v>0</v>
      </c>
      <c r="U30" s="414">
        <f t="shared" si="19"/>
        <v>0</v>
      </c>
      <c r="V30" s="62">
        <f t="shared" si="20"/>
        <v>0</v>
      </c>
      <c r="W30" s="412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3">
        <f t="shared" si="48"/>
        <v>0</v>
      </c>
      <c r="AC30" s="64">
        <f t="shared" si="12"/>
        <v>1848</v>
      </c>
      <c r="AD30" s="45">
        <f t="shared" si="13"/>
        <v>0</v>
      </c>
      <c r="AE30" s="64">
        <f t="shared" si="14"/>
        <v>360299.4</v>
      </c>
      <c r="AF30" s="315">
        <f t="shared" si="23"/>
        <v>0</v>
      </c>
      <c r="AG30" s="212">
        <f t="shared" si="32"/>
        <v>0</v>
      </c>
      <c r="AH30" s="62">
        <f t="shared" si="33"/>
        <v>0</v>
      </c>
      <c r="AI30" s="327">
        <f t="shared" si="24"/>
        <v>0</v>
      </c>
      <c r="AJ30" s="327">
        <f>-tanks!AW31</f>
        <v>0</v>
      </c>
      <c r="AK30" s="327">
        <f t="shared" si="25"/>
        <v>0</v>
      </c>
      <c r="AL30" s="327">
        <f t="shared" si="47"/>
        <v>0</v>
      </c>
      <c r="AM30" s="327">
        <f t="shared" si="26"/>
        <v>0</v>
      </c>
      <c r="AN30" s="64">
        <f t="shared" si="38"/>
        <v>72</v>
      </c>
      <c r="AO30" s="329">
        <f t="shared" si="51"/>
        <v>2160</v>
      </c>
      <c r="AP30" s="64">
        <f t="shared" si="39"/>
        <v>73</v>
      </c>
      <c r="AQ30" s="329">
        <f t="shared" si="50"/>
        <v>2190</v>
      </c>
      <c r="AR30" s="64">
        <f t="shared" si="41"/>
        <v>61</v>
      </c>
      <c r="AS30" s="329">
        <f t="shared" si="34"/>
        <v>1830</v>
      </c>
      <c r="AT30" s="329">
        <f t="shared" si="49"/>
        <v>6180</v>
      </c>
      <c r="AU30" s="329">
        <f t="shared" si="36"/>
        <v>0</v>
      </c>
      <c r="AV30" s="275"/>
      <c r="AW30" s="275"/>
      <c r="AX30" s="322">
        <f t="shared" si="29"/>
        <v>0.7</v>
      </c>
    </row>
    <row r="31" spans="1:50">
      <c r="A31" s="63">
        <f>ELEC!C29</f>
        <v>44009</v>
      </c>
      <c r="B31" s="64">
        <f t="shared" si="42"/>
        <v>169</v>
      </c>
      <c r="C31" s="64">
        <f t="shared" si="42"/>
        <v>175</v>
      </c>
      <c r="D31" s="45">
        <f t="shared" si="46"/>
        <v>0</v>
      </c>
      <c r="E31" s="45">
        <f t="shared" si="16"/>
        <v>0</v>
      </c>
      <c r="F31" s="64">
        <f t="shared" si="43"/>
        <v>1596</v>
      </c>
      <c r="G31" s="52">
        <f t="shared" si="1"/>
        <v>0</v>
      </c>
      <c r="H31" s="64">
        <f t="shared" si="43"/>
        <v>353837</v>
      </c>
      <c r="I31" s="408">
        <f t="shared" si="2"/>
        <v>0</v>
      </c>
      <c r="J31" s="66">
        <f t="shared" si="17"/>
        <v>0</v>
      </c>
      <c r="K31" s="64">
        <f t="shared" si="37"/>
        <v>1987</v>
      </c>
      <c r="L31" s="52">
        <f t="shared" si="3"/>
        <v>0</v>
      </c>
      <c r="M31" s="64">
        <f t="shared" si="4"/>
        <v>145693</v>
      </c>
      <c r="N31" s="408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4"/>
        <v>152974</v>
      </c>
      <c r="R31" s="407">
        <f t="shared" si="40"/>
        <v>0</v>
      </c>
      <c r="S31" s="52">
        <f t="shared" si="8"/>
        <v>0</v>
      </c>
      <c r="T31" s="68">
        <f t="shared" si="30"/>
        <v>0</v>
      </c>
      <c r="U31" s="414">
        <f t="shared" si="19"/>
        <v>0</v>
      </c>
      <c r="V31" s="62">
        <f t="shared" si="20"/>
        <v>0</v>
      </c>
      <c r="W31" s="412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3">
        <f t="shared" si="48"/>
        <v>0</v>
      </c>
      <c r="AC31" s="64">
        <f t="shared" si="12"/>
        <v>1848</v>
      </c>
      <c r="AD31" s="275">
        <f t="shared" si="13"/>
        <v>0</v>
      </c>
      <c r="AE31" s="64">
        <f t="shared" si="14"/>
        <v>360299.4</v>
      </c>
      <c r="AF31" s="315">
        <f t="shared" si="23"/>
        <v>0</v>
      </c>
      <c r="AG31" s="212">
        <f t="shared" si="32"/>
        <v>0</v>
      </c>
      <c r="AH31" s="62">
        <f t="shared" si="33"/>
        <v>0</v>
      </c>
      <c r="AI31" s="327">
        <f t="shared" si="24"/>
        <v>0</v>
      </c>
      <c r="AJ31" s="327">
        <f>-tanks!AW32</f>
        <v>0</v>
      </c>
      <c r="AK31" s="327">
        <f t="shared" si="25"/>
        <v>0</v>
      </c>
      <c r="AL31" s="327">
        <f t="shared" si="47"/>
        <v>0</v>
      </c>
      <c r="AM31" s="327">
        <f t="shared" si="26"/>
        <v>0</v>
      </c>
      <c r="AN31" s="64">
        <f t="shared" si="38"/>
        <v>72</v>
      </c>
      <c r="AO31" s="329">
        <f t="shared" si="51"/>
        <v>2160</v>
      </c>
      <c r="AP31" s="64">
        <f t="shared" si="39"/>
        <v>73</v>
      </c>
      <c r="AQ31" s="329">
        <f t="shared" si="50"/>
        <v>2190</v>
      </c>
      <c r="AR31" s="64">
        <f t="shared" si="41"/>
        <v>61</v>
      </c>
      <c r="AS31" s="329">
        <f t="shared" si="34"/>
        <v>1830</v>
      </c>
      <c r="AT31" s="329">
        <f t="shared" si="49"/>
        <v>6180</v>
      </c>
      <c r="AU31" s="329">
        <f t="shared" si="36"/>
        <v>0</v>
      </c>
      <c r="AV31" s="275"/>
      <c r="AW31" s="275"/>
      <c r="AX31" s="322">
        <f t="shared" si="29"/>
        <v>0.7</v>
      </c>
    </row>
    <row r="32" spans="1:50">
      <c r="A32" s="63">
        <f>ELEC!C30</f>
        <v>44010</v>
      </c>
      <c r="B32" s="64">
        <f t="shared" si="42"/>
        <v>169</v>
      </c>
      <c r="C32" s="64">
        <f t="shared" si="42"/>
        <v>175</v>
      </c>
      <c r="D32" s="45">
        <f t="shared" si="0"/>
        <v>0</v>
      </c>
      <c r="E32" s="45">
        <f t="shared" ref="E32:E34" si="52">D32*8.38</f>
        <v>0</v>
      </c>
      <c r="F32" s="64">
        <f t="shared" si="43"/>
        <v>1596</v>
      </c>
      <c r="G32" s="52">
        <f t="shared" si="1"/>
        <v>0</v>
      </c>
      <c r="H32" s="64">
        <f t="shared" si="43"/>
        <v>353837</v>
      </c>
      <c r="I32" s="408">
        <f t="shared" si="2"/>
        <v>0</v>
      </c>
      <c r="J32" s="66">
        <f t="shared" si="17"/>
        <v>0</v>
      </c>
      <c r="K32" s="64">
        <f t="shared" si="37"/>
        <v>1987</v>
      </c>
      <c r="L32" s="52">
        <f t="shared" si="3"/>
        <v>0</v>
      </c>
      <c r="M32" s="64">
        <f t="shared" si="4"/>
        <v>145693</v>
      </c>
      <c r="N32" s="408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4"/>
        <v>152974</v>
      </c>
      <c r="R32" s="407">
        <f t="shared" si="40"/>
        <v>0</v>
      </c>
      <c r="S32" s="52">
        <f t="shared" si="8"/>
        <v>0</v>
      </c>
      <c r="T32" s="68">
        <f t="shared" si="30"/>
        <v>0</v>
      </c>
      <c r="U32" s="414">
        <f t="shared" si="19"/>
        <v>0</v>
      </c>
      <c r="V32" s="62">
        <f t="shared" si="20"/>
        <v>0</v>
      </c>
      <c r="W32" s="412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3">
        <f t="shared" si="48"/>
        <v>0</v>
      </c>
      <c r="AC32" s="64">
        <f t="shared" si="12"/>
        <v>1848</v>
      </c>
      <c r="AD32" s="275">
        <f t="shared" si="13"/>
        <v>0</v>
      </c>
      <c r="AE32" s="64">
        <f t="shared" si="14"/>
        <v>360299.4</v>
      </c>
      <c r="AF32" s="315">
        <f t="shared" si="23"/>
        <v>0</v>
      </c>
      <c r="AG32" s="212">
        <f t="shared" si="32"/>
        <v>0</v>
      </c>
      <c r="AH32" s="62">
        <f t="shared" si="33"/>
        <v>0</v>
      </c>
      <c r="AI32" s="327">
        <f t="shared" si="24"/>
        <v>0</v>
      </c>
      <c r="AJ32" s="327">
        <f>-tanks!AW33</f>
        <v>0</v>
      </c>
      <c r="AK32" s="327">
        <f t="shared" si="25"/>
        <v>0</v>
      </c>
      <c r="AL32" s="327">
        <f t="shared" si="47"/>
        <v>0</v>
      </c>
      <c r="AM32" s="327">
        <f t="shared" si="26"/>
        <v>0</v>
      </c>
      <c r="AN32" s="64">
        <f t="shared" si="38"/>
        <v>72</v>
      </c>
      <c r="AO32" s="329">
        <f t="shared" si="51"/>
        <v>2160</v>
      </c>
      <c r="AP32" s="64">
        <f t="shared" si="39"/>
        <v>73</v>
      </c>
      <c r="AQ32" s="329">
        <f t="shared" si="50"/>
        <v>2190</v>
      </c>
      <c r="AR32" s="64">
        <f t="shared" si="41"/>
        <v>61</v>
      </c>
      <c r="AS32" s="329">
        <f t="shared" si="34"/>
        <v>1830</v>
      </c>
      <c r="AT32" s="329">
        <f t="shared" si="49"/>
        <v>6180</v>
      </c>
      <c r="AU32" s="329">
        <f t="shared" si="36"/>
        <v>0</v>
      </c>
      <c r="AV32" s="275"/>
      <c r="AW32" s="275"/>
      <c r="AX32" s="322">
        <f t="shared" si="29"/>
        <v>0.7</v>
      </c>
    </row>
    <row r="33" spans="1:50">
      <c r="A33" s="63">
        <f>ELEC!C31</f>
        <v>44011</v>
      </c>
      <c r="B33" s="64">
        <f t="shared" si="42"/>
        <v>169</v>
      </c>
      <c r="C33" s="64">
        <f t="shared" si="42"/>
        <v>175</v>
      </c>
      <c r="D33" s="45">
        <f t="shared" si="0"/>
        <v>0</v>
      </c>
      <c r="E33" s="45">
        <f t="shared" si="52"/>
        <v>0</v>
      </c>
      <c r="F33" s="64">
        <f t="shared" si="43"/>
        <v>1596</v>
      </c>
      <c r="G33" s="52">
        <f t="shared" si="1"/>
        <v>0</v>
      </c>
      <c r="H33" s="64">
        <f t="shared" si="43"/>
        <v>353837</v>
      </c>
      <c r="I33" s="408">
        <f t="shared" si="2"/>
        <v>0</v>
      </c>
      <c r="J33" s="66">
        <f t="shared" si="17"/>
        <v>0</v>
      </c>
      <c r="K33" s="64">
        <f t="shared" si="37"/>
        <v>1987</v>
      </c>
      <c r="L33" s="52">
        <f t="shared" si="3"/>
        <v>0</v>
      </c>
      <c r="M33" s="64">
        <f t="shared" si="4"/>
        <v>145693</v>
      </c>
      <c r="N33" s="408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4"/>
        <v>152974</v>
      </c>
      <c r="R33" s="407">
        <f t="shared" si="40"/>
        <v>0</v>
      </c>
      <c r="S33" s="52">
        <f t="shared" si="8"/>
        <v>0</v>
      </c>
      <c r="T33" s="68">
        <f t="shared" si="30"/>
        <v>0</v>
      </c>
      <c r="U33" s="414">
        <f t="shared" si="19"/>
        <v>0</v>
      </c>
      <c r="V33" s="62">
        <f t="shared" si="20"/>
        <v>0</v>
      </c>
      <c r="W33" s="412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3">
        <f t="shared" si="48"/>
        <v>0</v>
      </c>
      <c r="AC33" s="64">
        <f t="shared" si="12"/>
        <v>1848</v>
      </c>
      <c r="AD33" s="45">
        <f t="shared" si="13"/>
        <v>0</v>
      </c>
      <c r="AE33" s="64">
        <f t="shared" si="14"/>
        <v>360299.4</v>
      </c>
      <c r="AF33" s="315">
        <f t="shared" si="23"/>
        <v>0</v>
      </c>
      <c r="AG33" s="212">
        <f t="shared" si="32"/>
        <v>0</v>
      </c>
      <c r="AH33" s="62">
        <f t="shared" si="33"/>
        <v>0</v>
      </c>
      <c r="AI33" s="327">
        <f t="shared" si="24"/>
        <v>0</v>
      </c>
      <c r="AJ33" s="327">
        <f>-tanks!AW34</f>
        <v>0</v>
      </c>
      <c r="AK33" s="327">
        <f t="shared" si="25"/>
        <v>0</v>
      </c>
      <c r="AL33" s="327">
        <f t="shared" si="47"/>
        <v>0</v>
      </c>
      <c r="AM33" s="327">
        <f t="shared" si="26"/>
        <v>0</v>
      </c>
      <c r="AN33" s="64">
        <f t="shared" si="38"/>
        <v>72</v>
      </c>
      <c r="AO33" s="329">
        <f t="shared" si="51"/>
        <v>2160</v>
      </c>
      <c r="AP33" s="64">
        <f t="shared" si="39"/>
        <v>73</v>
      </c>
      <c r="AQ33" s="329">
        <f t="shared" si="50"/>
        <v>2190</v>
      </c>
      <c r="AR33" s="64">
        <f t="shared" si="41"/>
        <v>61</v>
      </c>
      <c r="AS33" s="329">
        <f t="shared" si="34"/>
        <v>1830</v>
      </c>
      <c r="AT33" s="329">
        <f t="shared" si="49"/>
        <v>6180</v>
      </c>
      <c r="AU33" s="329">
        <f t="shared" si="36"/>
        <v>0</v>
      </c>
      <c r="AV33" s="275"/>
      <c r="AW33" s="275"/>
      <c r="AX33" s="322">
        <f t="shared" si="29"/>
        <v>0.7</v>
      </c>
    </row>
    <row r="34" spans="1:50">
      <c r="A34" s="63">
        <f>ELEC!C32</f>
        <v>44012</v>
      </c>
      <c r="B34" s="64">
        <f t="shared" si="42"/>
        <v>169</v>
      </c>
      <c r="C34" s="64">
        <f t="shared" si="42"/>
        <v>175</v>
      </c>
      <c r="D34" s="45">
        <f t="shared" si="0"/>
        <v>0</v>
      </c>
      <c r="E34" s="45">
        <f t="shared" si="52"/>
        <v>0</v>
      </c>
      <c r="F34" s="64">
        <f t="shared" si="43"/>
        <v>1596</v>
      </c>
      <c r="G34" s="52">
        <f t="shared" si="1"/>
        <v>0</v>
      </c>
      <c r="H34" s="64">
        <f t="shared" si="43"/>
        <v>353837</v>
      </c>
      <c r="I34" s="408">
        <f t="shared" si="2"/>
        <v>0</v>
      </c>
      <c r="J34" s="66">
        <f t="shared" si="17"/>
        <v>0</v>
      </c>
      <c r="K34" s="64">
        <f t="shared" si="37"/>
        <v>1987</v>
      </c>
      <c r="L34" s="52">
        <f t="shared" si="3"/>
        <v>0</v>
      </c>
      <c r="M34" s="64">
        <f t="shared" si="4"/>
        <v>145693</v>
      </c>
      <c r="N34" s="408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4"/>
        <v>152974</v>
      </c>
      <c r="R34" s="407">
        <f t="shared" si="40"/>
        <v>0</v>
      </c>
      <c r="S34" s="52">
        <f t="shared" si="8"/>
        <v>0</v>
      </c>
      <c r="T34" s="68">
        <f t="shared" si="30"/>
        <v>0</v>
      </c>
      <c r="U34" s="414">
        <f t="shared" si="19"/>
        <v>0</v>
      </c>
      <c r="V34" s="62">
        <f t="shared" si="20"/>
        <v>0</v>
      </c>
      <c r="W34" s="412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3">
        <f t="shared" si="48"/>
        <v>0</v>
      </c>
      <c r="AC34" s="64">
        <f t="shared" si="12"/>
        <v>1848</v>
      </c>
      <c r="AD34" s="45">
        <f t="shared" si="13"/>
        <v>0</v>
      </c>
      <c r="AE34" s="64">
        <f t="shared" si="14"/>
        <v>360299.4</v>
      </c>
      <c r="AF34" s="315">
        <f t="shared" si="23"/>
        <v>0</v>
      </c>
      <c r="AG34" s="212">
        <f t="shared" si="32"/>
        <v>0</v>
      </c>
      <c r="AH34" s="62">
        <f t="shared" si="33"/>
        <v>0</v>
      </c>
      <c r="AI34" s="327">
        <f t="shared" si="24"/>
        <v>0</v>
      </c>
      <c r="AJ34" s="327">
        <f>-tanks!AW35</f>
        <v>0</v>
      </c>
      <c r="AK34" s="327">
        <f t="shared" si="25"/>
        <v>0</v>
      </c>
      <c r="AL34" s="327">
        <f t="shared" si="47"/>
        <v>0</v>
      </c>
      <c r="AM34" s="327">
        <f>Y34+AD34</f>
        <v>0</v>
      </c>
      <c r="AN34" s="64">
        <f t="shared" si="38"/>
        <v>72</v>
      </c>
      <c r="AO34" s="329">
        <f t="shared" si="51"/>
        <v>2160</v>
      </c>
      <c r="AP34" s="64">
        <f t="shared" si="39"/>
        <v>73</v>
      </c>
      <c r="AQ34" s="329">
        <f t="shared" si="50"/>
        <v>2190</v>
      </c>
      <c r="AR34" s="64">
        <f t="shared" si="41"/>
        <v>61</v>
      </c>
      <c r="AS34" s="329">
        <f t="shared" si="34"/>
        <v>1830</v>
      </c>
      <c r="AT34" s="329">
        <f t="shared" si="49"/>
        <v>6180</v>
      </c>
      <c r="AU34" s="329">
        <f t="shared" si="36"/>
        <v>0</v>
      </c>
      <c r="AV34" s="275"/>
      <c r="AW34" s="275"/>
      <c r="AX34" s="322">
        <f t="shared" si="29"/>
        <v>0.7</v>
      </c>
    </row>
    <row r="35" spans="1:50">
      <c r="J35" s="292">
        <f>SUM(J5:J34)/(COUNT(J5:J34)-COUNTIF(J5:J34,0))</f>
        <v>70.44047619047619</v>
      </c>
      <c r="AE35" s="72" t="s">
        <v>386</v>
      </c>
      <c r="AG35" s="356"/>
      <c r="AH35" s="62"/>
      <c r="AP35" s="322"/>
      <c r="AQ35" s="322"/>
      <c r="AR35" s="322" t="s">
        <v>225</v>
      </c>
      <c r="AS35" s="322">
        <f>COUNT(AW5:AW34)</f>
        <v>1</v>
      </c>
      <c r="AT35" s="322"/>
      <c r="AU35" s="322">
        <f>SUM(AU5:AU34)</f>
        <v>1520</v>
      </c>
      <c r="AV35" s="72">
        <f>SUM(AV5:AV34)</f>
        <v>1100</v>
      </c>
      <c r="AW35" s="322">
        <f>SUM(AW5:AW34)/AS35</f>
        <v>0.7</v>
      </c>
    </row>
    <row r="36" spans="1:50">
      <c r="AH36" s="62">
        <f>AF36+AA36</f>
        <v>0</v>
      </c>
      <c r="AI36" s="330">
        <f>SUM(AI5:AI34)</f>
        <v>4445.1000000000058</v>
      </c>
      <c r="AP36" s="322"/>
      <c r="AQ36" s="322"/>
      <c r="AR36" s="322"/>
      <c r="AS36" s="322"/>
      <c r="AT36" s="322"/>
      <c r="AU36" s="322"/>
      <c r="AV36" s="322"/>
      <c r="AW36" s="322"/>
    </row>
    <row r="37" spans="1:50">
      <c r="AH37" s="62">
        <f>AF37+AA37</f>
        <v>0</v>
      </c>
      <c r="AP37" s="322"/>
      <c r="AQ37" s="322"/>
      <c r="AR37" s="322"/>
      <c r="AS37" s="322"/>
      <c r="AT37" s="322"/>
      <c r="AU37" s="322">
        <f>AU35*0.51</f>
        <v>775.2</v>
      </c>
      <c r="AV37" s="322">
        <f>AV35/0.51</f>
        <v>2156.8627450980393</v>
      </c>
      <c r="AW37" s="322">
        <f>SUM(AW5:AW34)/AS35</f>
        <v>0.7</v>
      </c>
    </row>
    <row r="38" spans="1:50">
      <c r="AP38" s="322"/>
      <c r="AQ38" s="322"/>
      <c r="AR38" s="322"/>
      <c r="AS38" s="322"/>
      <c r="AT38" s="322"/>
      <c r="AU38" s="322"/>
      <c r="AV38" s="322">
        <f>AV35*0.51</f>
        <v>561</v>
      </c>
      <c r="AW38" s="322"/>
    </row>
    <row r="39" spans="1:50">
      <c r="AP39" s="322"/>
      <c r="AQ39" s="322"/>
      <c r="AR39" s="322"/>
      <c r="AS39" s="322"/>
      <c r="AT39" s="322"/>
      <c r="AU39" s="322"/>
      <c r="AV39" s="322"/>
      <c r="AW39" s="322"/>
    </row>
    <row r="40" spans="1:50">
      <c r="P40" s="70"/>
      <c r="Q40" s="70"/>
      <c r="R40" s="70"/>
      <c r="AP40" s="322"/>
      <c r="AQ40" s="322"/>
      <c r="AR40" s="322"/>
      <c r="AS40" s="322"/>
      <c r="AT40" s="322"/>
      <c r="AU40" s="322"/>
      <c r="AV40" s="322"/>
      <c r="AW40" s="322"/>
    </row>
    <row r="42" spans="1:50">
      <c r="AG42" s="369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R1" zoomScaleNormal="100" workbookViewId="0">
      <pane ySplit="3" topLeftCell="A4" activePane="bottomLeft" state="frozen"/>
      <selection pane="bottomLeft" activeCell="BG16" sqref="BG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1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1" customWidth="1"/>
    <col min="11" max="11" width="13.5703125" style="1" customWidth="1"/>
    <col min="12" max="12" width="13.28515625" style="1" customWidth="1"/>
    <col min="13" max="13" width="10.7109375" style="510" customWidth="1"/>
    <col min="14" max="14" width="10.7109375" style="512" customWidth="1"/>
    <col min="15" max="15" width="11.140625" style="510" customWidth="1"/>
    <col min="16" max="16" width="11.140625" style="512" customWidth="1"/>
    <col min="17" max="17" width="17.28515625" style="510" customWidth="1"/>
    <col min="18" max="18" width="10.85546875" style="510" customWidth="1"/>
    <col min="19" max="19" width="10.7109375" style="510" customWidth="1"/>
    <col min="20" max="20" width="13.28515625" style="418" customWidth="1"/>
    <col min="21" max="21" width="8.7109375" style="422" customWidth="1"/>
    <col min="22" max="22" width="13.28515625" style="331" customWidth="1"/>
    <col min="23" max="23" width="9.7109375" style="331" bestFit="1" customWidth="1"/>
    <col min="24" max="27" width="9.7109375" style="331" customWidth="1"/>
    <col min="28" max="28" width="14.42578125" style="331" customWidth="1"/>
    <col min="29" max="32" width="9.7109375" style="331" customWidth="1"/>
    <col min="33" max="33" width="11.28515625" style="331" customWidth="1"/>
    <col min="34" max="36" width="9.7109375" style="331" customWidth="1"/>
    <col min="37" max="37" width="7.42578125" style="331" customWidth="1"/>
    <col min="38" max="39" width="8.7109375" style="331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1" customFormat="1" ht="15.75" thickBot="1">
      <c r="B1" s="372"/>
      <c r="C1" s="372"/>
      <c r="D1" s="429">
        <f>SUM(G21:G35)</f>
        <v>8994435</v>
      </c>
      <c r="E1" s="373"/>
      <c r="F1" s="373"/>
      <c r="G1" s="372"/>
      <c r="H1" s="372"/>
      <c r="I1" s="372"/>
      <c r="J1" s="373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2"/>
      <c r="AR1" s="375" t="s">
        <v>92</v>
      </c>
      <c r="AS1" s="376"/>
      <c r="AT1" s="376" t="s">
        <v>60</v>
      </c>
      <c r="AU1" s="376"/>
      <c r="AV1" s="377" t="s">
        <v>61</v>
      </c>
    </row>
    <row r="2" spans="1:65" s="371" customFormat="1" ht="15.75" customHeight="1" thickBot="1">
      <c r="B2" s="372"/>
      <c r="C2" s="372"/>
      <c r="D2" s="372"/>
      <c r="E2" s="373"/>
      <c r="F2" s="373"/>
      <c r="G2" s="372"/>
      <c r="H2" s="372"/>
      <c r="I2" s="372"/>
      <c r="J2" s="373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2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78"/>
      <c r="BE2" s="379"/>
    </row>
    <row r="3" spans="1:65" s="371" customFormat="1" ht="48" customHeight="1" thickBot="1">
      <c r="A3" s="380" t="s">
        <v>51</v>
      </c>
      <c r="B3" s="381" t="s">
        <v>52</v>
      </c>
      <c r="C3" s="381" t="s">
        <v>53</v>
      </c>
      <c r="D3" s="381" t="s">
        <v>54</v>
      </c>
      <c r="E3" s="382"/>
      <c r="F3" s="383" t="s">
        <v>80</v>
      </c>
      <c r="G3" s="381" t="s">
        <v>55</v>
      </c>
      <c r="H3" s="381" t="s">
        <v>56</v>
      </c>
      <c r="I3" s="381" t="s">
        <v>100</v>
      </c>
      <c r="J3" s="382"/>
      <c r="K3" s="381" t="s">
        <v>395</v>
      </c>
      <c r="L3" s="384" t="s">
        <v>330</v>
      </c>
      <c r="M3" s="531" t="s">
        <v>402</v>
      </c>
      <c r="N3" s="532"/>
      <c r="O3" s="533" t="s">
        <v>403</v>
      </c>
      <c r="P3" s="533"/>
      <c r="Q3" s="533" t="s">
        <v>399</v>
      </c>
      <c r="R3" s="533" t="s">
        <v>401</v>
      </c>
      <c r="S3" s="533" t="s">
        <v>400</v>
      </c>
      <c r="T3" s="381" t="s">
        <v>383</v>
      </c>
      <c r="U3" s="381" t="s">
        <v>385</v>
      </c>
      <c r="V3" s="385" t="s">
        <v>334</v>
      </c>
      <c r="W3" s="386" t="s">
        <v>335</v>
      </c>
      <c r="X3" s="385" t="s">
        <v>338</v>
      </c>
      <c r="Y3" s="386" t="s">
        <v>339</v>
      </c>
      <c r="Z3" s="387" t="s">
        <v>340</v>
      </c>
      <c r="AA3" s="388" t="s">
        <v>398</v>
      </c>
      <c r="AB3" s="456" t="s">
        <v>397</v>
      </c>
      <c r="AC3" s="454" t="s">
        <v>396</v>
      </c>
      <c r="AD3" s="454"/>
      <c r="AE3" s="389" t="s">
        <v>407</v>
      </c>
      <c r="AF3" s="389" t="s">
        <v>408</v>
      </c>
      <c r="AG3" s="389" t="s">
        <v>409</v>
      </c>
      <c r="AH3" s="389" t="s">
        <v>410</v>
      </c>
      <c r="AI3" s="388" t="s">
        <v>411</v>
      </c>
      <c r="AJ3" s="388" t="s">
        <v>341</v>
      </c>
      <c r="AK3" s="389" t="s">
        <v>343</v>
      </c>
      <c r="AL3" s="389" t="s">
        <v>342</v>
      </c>
      <c r="AM3" s="390" t="s">
        <v>125</v>
      </c>
      <c r="AN3" s="615" t="s">
        <v>126</v>
      </c>
      <c r="AO3" s="616"/>
      <c r="AP3" s="617"/>
      <c r="AR3" s="391" t="s">
        <v>51</v>
      </c>
      <c r="AS3" s="392"/>
      <c r="AT3" s="391" t="s">
        <v>94</v>
      </c>
      <c r="AU3" s="392"/>
      <c r="AV3" s="393" t="s">
        <v>57</v>
      </c>
      <c r="AW3" s="394"/>
      <c r="AX3" s="392" t="s">
        <v>59</v>
      </c>
      <c r="AY3" s="395" t="s">
        <v>93</v>
      </c>
      <c r="AZ3" s="393" t="s">
        <v>57</v>
      </c>
      <c r="BA3" s="396" t="s">
        <v>59</v>
      </c>
      <c r="BB3" s="397" t="s">
        <v>57</v>
      </c>
      <c r="BC3" s="397" t="s">
        <v>58</v>
      </c>
      <c r="BD3" s="398" t="s">
        <v>59</v>
      </c>
      <c r="BE3" s="399" t="s">
        <v>99</v>
      </c>
      <c r="BF3" s="398" t="s">
        <v>97</v>
      </c>
      <c r="BG3" s="400"/>
      <c r="BI3" s="401"/>
      <c r="BJ3" s="401"/>
      <c r="BK3" s="401"/>
      <c r="BL3" s="401"/>
      <c r="BM3" s="401"/>
    </row>
    <row r="4" spans="1:65" ht="16.5" thickBot="1">
      <c r="A4" s="88"/>
      <c r="B4" s="5"/>
      <c r="C4" s="5"/>
      <c r="D4" s="272"/>
      <c r="E4" s="342">
        <v>1.66</v>
      </c>
      <c r="F4" s="342"/>
      <c r="G4" s="5"/>
      <c r="H4" s="5"/>
      <c r="I4" s="5"/>
      <c r="J4" s="343"/>
      <c r="K4" s="5"/>
      <c r="L4" s="84"/>
      <c r="M4" s="534"/>
      <c r="N4" s="534"/>
      <c r="O4" s="534"/>
      <c r="P4" s="534"/>
      <c r="Q4" s="534"/>
      <c r="R4" s="534"/>
      <c r="S4" s="534"/>
      <c r="T4" s="84"/>
      <c r="U4" s="84"/>
      <c r="V4" s="332"/>
      <c r="W4" s="333"/>
      <c r="X4" s="332"/>
      <c r="Y4" s="333"/>
      <c r="Z4" s="334"/>
      <c r="AA4" s="455"/>
      <c r="AB4" s="457"/>
      <c r="AC4" s="455"/>
      <c r="AD4" s="455"/>
      <c r="AE4" s="455"/>
      <c r="AF4" s="455"/>
      <c r="AG4" s="455"/>
      <c r="AH4" s="455"/>
      <c r="AI4" s="455"/>
      <c r="AJ4" s="335"/>
      <c r="AK4" s="336"/>
      <c r="AL4" s="336"/>
      <c r="AM4" s="337"/>
      <c r="AN4" s="89" t="s">
        <v>129</v>
      </c>
      <c r="AO4" s="89" t="s">
        <v>130</v>
      </c>
      <c r="AP4" s="89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3">
        <f>[2]WATER!B36</f>
        <v>108473</v>
      </c>
      <c r="C5" s="423">
        <f>[2]WATER!C36</f>
        <v>0</v>
      </c>
      <c r="D5" s="423">
        <f>[2]WATER!D36</f>
        <v>0</v>
      </c>
      <c r="E5" s="423">
        <f>[2]WATER!E36</f>
        <v>241.93548387096774</v>
      </c>
      <c r="F5" s="423">
        <f>[2]WATER!F36</f>
        <v>0</v>
      </c>
      <c r="G5" s="423">
        <f>[2]WATER!G36</f>
        <v>598974</v>
      </c>
      <c r="H5" s="423">
        <f>[2]WATER!H36</f>
        <v>325</v>
      </c>
      <c r="I5" s="423">
        <f>[2]WATER!I36</f>
        <v>325</v>
      </c>
      <c r="J5" s="423">
        <f>[2]WATER!J36</f>
        <v>0.74441687344913154</v>
      </c>
      <c r="K5" s="423">
        <f>[2]WATER!K36</f>
        <v>6208</v>
      </c>
      <c r="L5" s="423">
        <f>[2]WATER!L36</f>
        <v>5</v>
      </c>
      <c r="M5" s="423">
        <f>[2]WATER!M36</f>
        <v>457.44</v>
      </c>
      <c r="N5" s="423">
        <f>[2]WATER!N36</f>
        <v>0</v>
      </c>
      <c r="O5" s="423">
        <f>[2]WATER!O36</f>
        <v>529.52</v>
      </c>
      <c r="P5" s="423">
        <f>[2]WATER!P36</f>
        <v>0</v>
      </c>
      <c r="Q5" s="423">
        <f>[2]WATER!Q36</f>
        <v>0</v>
      </c>
      <c r="R5" s="423">
        <f>[2]WATER!R36</f>
        <v>0</v>
      </c>
      <c r="S5" s="423">
        <f>[2]WATER!S36</f>
        <v>0</v>
      </c>
      <c r="T5" s="423">
        <f>[2]WATER!T36</f>
        <v>4830</v>
      </c>
      <c r="U5" s="423">
        <f>[2]WATER!U36</f>
        <v>2</v>
      </c>
      <c r="V5" s="423">
        <f>[2]WATER!V36</f>
        <v>407</v>
      </c>
      <c r="W5" s="423">
        <f>[2]WATER!W36</f>
        <v>0</v>
      </c>
      <c r="X5" s="423">
        <f>[2]WATER!X36</f>
        <v>143783</v>
      </c>
      <c r="Y5" s="423">
        <f>[2]WATER!Y36</f>
        <v>167</v>
      </c>
      <c r="Z5" s="423">
        <f>[2]WATER!Z36</f>
        <v>94798</v>
      </c>
      <c r="AA5" s="423">
        <f>[2]WATER!AA36</f>
        <v>93</v>
      </c>
      <c r="AB5" s="423">
        <f>[2]WATER!AB36</f>
        <v>266</v>
      </c>
      <c r="AC5" s="423">
        <f>[2]WATER!AC36</f>
        <v>671</v>
      </c>
      <c r="AD5" s="423">
        <f>[2]WATER!AD36</f>
        <v>0</v>
      </c>
      <c r="AE5" s="423">
        <f>[2]WATER!AE36</f>
        <v>155.69999999999999</v>
      </c>
      <c r="AF5" s="423">
        <f>[2]WATER!AF36</f>
        <v>0</v>
      </c>
      <c r="AG5" s="423">
        <f>[2]WATER!AG36</f>
        <v>1592</v>
      </c>
      <c r="AH5" s="423">
        <f>[2]WATER!AH36</f>
        <v>2</v>
      </c>
      <c r="AI5" s="423">
        <f>[2]WATER!AI36</f>
        <v>2</v>
      </c>
      <c r="AJ5" s="423">
        <f>[2]WATER!AJ36</f>
        <v>93</v>
      </c>
      <c r="AK5" s="423">
        <f>[2]WATER!AK36</f>
        <v>162</v>
      </c>
      <c r="AL5" s="423">
        <f>[2]WATER!AL36</f>
        <v>93</v>
      </c>
      <c r="AM5" s="423">
        <f>[2]WATER!AM36</f>
        <v>21.5</v>
      </c>
      <c r="AN5" s="423">
        <f>[2]WATER!AN36</f>
        <v>0</v>
      </c>
      <c r="AO5" s="423">
        <f>[2]WATER!AO36</f>
        <v>0</v>
      </c>
      <c r="AP5" s="423">
        <f>[2]WATER!AP36</f>
        <v>149</v>
      </c>
      <c r="AQ5" s="423">
        <f>[2]WATER!AQ36</f>
        <v>0</v>
      </c>
      <c r="AR5" s="423">
        <f>[2]WATER!AR36</f>
        <v>43982</v>
      </c>
      <c r="AS5" s="423">
        <f>[2]WATER!AS36</f>
        <v>0.9</v>
      </c>
      <c r="AT5" s="423">
        <f>[2]WATER!AT36</f>
        <v>155</v>
      </c>
      <c r="AU5" s="423">
        <f>[2]WATER!AU36</f>
        <v>1.1000000000000001</v>
      </c>
      <c r="AV5" s="423">
        <f>[2]WATER!AV36</f>
        <v>129</v>
      </c>
      <c r="AW5" s="423">
        <f>[2]WATER!AW36</f>
        <v>2.9</v>
      </c>
      <c r="AX5" s="423">
        <f>[2]WATER!AX36</f>
        <v>141</v>
      </c>
      <c r="AY5" s="423">
        <f>[2]WATER!AY36</f>
        <v>139.5</v>
      </c>
      <c r="AZ5" s="423">
        <f>[2]WATER!AZ36</f>
        <v>141.9</v>
      </c>
      <c r="BA5" s="423">
        <f>[2]WATER!BA36</f>
        <v>408.9</v>
      </c>
      <c r="BB5" s="423">
        <f>[2]WATER!BB36</f>
        <v>-30.599999999999994</v>
      </c>
      <c r="BC5" s="423">
        <f>[2]WATER!BC36</f>
        <v>48.399999999999991</v>
      </c>
      <c r="BD5" s="423">
        <f>[2]WATER!BD36</f>
        <v>98.599999999999966</v>
      </c>
      <c r="BE5" s="423">
        <f>[2]WATER!BE36</f>
        <v>116.39999999999996</v>
      </c>
      <c r="BF5" s="423">
        <f>[2]WATER!BF36</f>
        <v>208.60000000000002</v>
      </c>
      <c r="BG5" s="423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2">
        <f>C6/27</f>
        <v>0</v>
      </c>
      <c r="E6" s="342">
        <f>SUM((C6*$E$4)+(7500/'EDl log'!$A$38))</f>
        <v>250</v>
      </c>
      <c r="F6" s="431"/>
      <c r="G6" s="5">
        <v>598985</v>
      </c>
      <c r="H6" s="5">
        <f>G6-G5</f>
        <v>11</v>
      </c>
      <c r="I6" s="5">
        <f t="shared" ref="I6:I35" si="0">C6+H6</f>
        <v>11</v>
      </c>
      <c r="J6" s="343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3">
        <f>M5</f>
        <v>457.44</v>
      </c>
      <c r="N6" s="534">
        <f t="shared" ref="N6:N13" si="2">SUM(M6-M5)</f>
        <v>0</v>
      </c>
      <c r="O6" s="423">
        <f>O5</f>
        <v>529.52</v>
      </c>
      <c r="P6" s="534">
        <f t="shared" ref="P6:P13" si="3">SUM(O6-O5)</f>
        <v>0</v>
      </c>
      <c r="Q6" s="535">
        <f>P6+N6</f>
        <v>0</v>
      </c>
      <c r="R6" s="534"/>
      <c r="S6" s="534"/>
      <c r="T6" s="5">
        <v>4832</v>
      </c>
      <c r="U6" s="5">
        <f t="shared" ref="U6:U35" si="4">SUM(T6-T5)</f>
        <v>2</v>
      </c>
      <c r="V6" s="5">
        <v>408</v>
      </c>
      <c r="W6" s="333">
        <f>+V6-V5</f>
        <v>1</v>
      </c>
      <c r="X6" s="5">
        <f>X5</f>
        <v>143783</v>
      </c>
      <c r="Y6" s="333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5">
        <f>+Z6-Z5</f>
        <v>0</v>
      </c>
      <c r="AK6" s="336">
        <f t="shared" ref="AK6:AK37" si="5">SUM(Y6-L6)</f>
        <v>0</v>
      </c>
      <c r="AL6" s="336">
        <f>SUM(AJ6-W6)</f>
        <v>-1</v>
      </c>
      <c r="AM6" s="336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4">
        <f>A6</f>
        <v>43983</v>
      </c>
      <c r="AS6" s="437">
        <f t="shared" ref="AS6:AT21" si="6">AS5</f>
        <v>0.9</v>
      </c>
      <c r="AT6" s="204">
        <f>AT5</f>
        <v>155</v>
      </c>
      <c r="AU6" s="438">
        <f>AU5</f>
        <v>1.1000000000000001</v>
      </c>
      <c r="AV6" s="204">
        <v>114</v>
      </c>
      <c r="AW6" s="5">
        <v>2.9</v>
      </c>
      <c r="AX6" s="204">
        <v>138</v>
      </c>
      <c r="AY6" s="441">
        <f t="shared" ref="AY6:AY35" si="7">AS6*AT6</f>
        <v>139.5</v>
      </c>
      <c r="AZ6" s="441">
        <f>AU6*AV6</f>
        <v>125.4</v>
      </c>
      <c r="BA6" s="441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2">
        <f t="shared" ref="D7:D35" si="12">C7/27</f>
        <v>0</v>
      </c>
      <c r="E7" s="342">
        <f>SUM((C7*$E$4)+(7500/'EDl log'!$A$38))</f>
        <v>250</v>
      </c>
      <c r="F7" s="431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3">
        <f t="shared" si="1"/>
        <v>0</v>
      </c>
      <c r="K7" s="5">
        <f>'Swimming Pool quality check '!H7</f>
        <v>6214</v>
      </c>
      <c r="L7" s="84">
        <f>K7-K6</f>
        <v>2</v>
      </c>
      <c r="M7" s="423">
        <f t="shared" ref="M7:M35" si="15">M6</f>
        <v>457.44</v>
      </c>
      <c r="N7" s="534">
        <f t="shared" si="2"/>
        <v>0</v>
      </c>
      <c r="O7" s="423">
        <f t="shared" ref="O7:O35" si="16">O6</f>
        <v>529.52</v>
      </c>
      <c r="P7" s="534">
        <f t="shared" si="3"/>
        <v>0</v>
      </c>
      <c r="Q7" s="535">
        <f>P7+N7</f>
        <v>0</v>
      </c>
      <c r="R7" s="534"/>
      <c r="S7" s="534"/>
      <c r="T7" s="5">
        <v>4834</v>
      </c>
      <c r="U7" s="5">
        <f t="shared" si="4"/>
        <v>2</v>
      </c>
      <c r="V7" s="5">
        <v>408</v>
      </c>
      <c r="W7" s="333">
        <f t="shared" ref="W7:W35" si="17">+V7-V6</f>
        <v>0</v>
      </c>
      <c r="X7" s="5">
        <f t="shared" ref="T7:AG35" si="18">X6</f>
        <v>143783</v>
      </c>
      <c r="Y7" s="333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5">
        <f t="shared" ref="AJ7:AJ35" si="24">+Z7-Z6</f>
        <v>0</v>
      </c>
      <c r="AK7" s="336">
        <f t="shared" si="5"/>
        <v>-2</v>
      </c>
      <c r="AL7" s="336">
        <f t="shared" ref="AL7:AL35" si="25">SUM(AJ7-W7)</f>
        <v>0</v>
      </c>
      <c r="AM7" s="336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4">
        <f t="shared" ref="AR7:AR35" si="26">A7</f>
        <v>43984</v>
      </c>
      <c r="AS7" s="437">
        <f t="shared" si="6"/>
        <v>0.9</v>
      </c>
      <c r="AT7" s="204">
        <v>145</v>
      </c>
      <c r="AU7" s="438">
        <f>AU6</f>
        <v>1.1000000000000001</v>
      </c>
      <c r="AV7" s="204">
        <v>130</v>
      </c>
      <c r="AW7" s="5">
        <v>2.9</v>
      </c>
      <c r="AX7" s="204">
        <v>120</v>
      </c>
      <c r="AY7" s="441">
        <f t="shared" si="7"/>
        <v>130.5</v>
      </c>
      <c r="AZ7" s="441">
        <f t="shared" ref="AZ7:AZ35" si="27">AU7*AV7</f>
        <v>143</v>
      </c>
      <c r="BA7" s="441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2">
        <f t="shared" si="12"/>
        <v>0</v>
      </c>
      <c r="E8" s="342">
        <f>SUM((C8*$E$4)+(7500/'EDl log'!$A$38))</f>
        <v>250</v>
      </c>
      <c r="F8" s="431"/>
      <c r="G8" s="5">
        <v>598985</v>
      </c>
      <c r="H8" s="5">
        <f t="shared" si="14"/>
        <v>0</v>
      </c>
      <c r="I8" s="5">
        <f t="shared" si="0"/>
        <v>0</v>
      </c>
      <c r="J8" s="343">
        <f t="shared" si="1"/>
        <v>0</v>
      </c>
      <c r="K8" s="5">
        <f>'Swimming Pool quality check '!H8</f>
        <v>6218</v>
      </c>
      <c r="L8" s="84">
        <f>K8-K7</f>
        <v>4</v>
      </c>
      <c r="M8" s="423">
        <f t="shared" si="15"/>
        <v>457.44</v>
      </c>
      <c r="N8" s="534">
        <f t="shared" si="2"/>
        <v>0</v>
      </c>
      <c r="O8" s="423">
        <f t="shared" si="16"/>
        <v>529.52</v>
      </c>
      <c r="P8" s="534">
        <f t="shared" si="3"/>
        <v>0</v>
      </c>
      <c r="Q8" s="535">
        <f>P8+N8</f>
        <v>0</v>
      </c>
      <c r="R8" s="534"/>
      <c r="S8" s="534"/>
      <c r="T8" s="5">
        <v>4835</v>
      </c>
      <c r="U8" s="5">
        <f t="shared" si="4"/>
        <v>1</v>
      </c>
      <c r="V8" s="5">
        <v>408</v>
      </c>
      <c r="W8" s="333">
        <f t="shared" si="17"/>
        <v>0</v>
      </c>
      <c r="X8" s="5">
        <v>143783</v>
      </c>
      <c r="Y8" s="333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8">
        <v>1607.46</v>
      </c>
      <c r="AH8" s="84">
        <f t="shared" si="22"/>
        <v>12.860000000000127</v>
      </c>
      <c r="AI8" s="84">
        <f t="shared" si="23"/>
        <v>14.840000000000117</v>
      </c>
      <c r="AJ8" s="335">
        <f t="shared" si="24"/>
        <v>0</v>
      </c>
      <c r="AK8" s="336">
        <f t="shared" si="5"/>
        <v>-4</v>
      </c>
      <c r="AL8" s="336">
        <f t="shared" si="25"/>
        <v>0</v>
      </c>
      <c r="AM8" s="336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4">
        <f t="shared" si="26"/>
        <v>43985</v>
      </c>
      <c r="AS8" s="437">
        <f t="shared" si="6"/>
        <v>0.9</v>
      </c>
      <c r="AT8" s="204">
        <v>145</v>
      </c>
      <c r="AU8" s="438">
        <v>1.1000000000000001</v>
      </c>
      <c r="AV8" s="204">
        <v>125</v>
      </c>
      <c r="AW8" s="5">
        <v>2.9</v>
      </c>
      <c r="AX8" s="204">
        <v>100</v>
      </c>
      <c r="AY8" s="441">
        <f t="shared" si="7"/>
        <v>130.5</v>
      </c>
      <c r="AZ8" s="441">
        <f t="shared" si="27"/>
        <v>137.5</v>
      </c>
      <c r="BA8" s="441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2">
        <f t="shared" si="12"/>
        <v>0</v>
      </c>
      <c r="E9" s="342">
        <f>SUM((C9*$E$4)+(7500/'EDl log'!$A$38))</f>
        <v>250</v>
      </c>
      <c r="F9" s="431"/>
      <c r="G9" s="5">
        <v>599157</v>
      </c>
      <c r="H9" s="5">
        <f t="shared" si="14"/>
        <v>172</v>
      </c>
      <c r="I9" s="5">
        <f t="shared" si="0"/>
        <v>172</v>
      </c>
      <c r="J9" s="343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3">
        <f t="shared" si="15"/>
        <v>457.44</v>
      </c>
      <c r="N9" s="534">
        <f t="shared" si="2"/>
        <v>0</v>
      </c>
      <c r="O9" s="423">
        <f t="shared" si="16"/>
        <v>529.52</v>
      </c>
      <c r="P9" s="534">
        <f t="shared" si="3"/>
        <v>0</v>
      </c>
      <c r="Q9" s="535">
        <f>P9+N9</f>
        <v>0</v>
      </c>
      <c r="R9" s="534"/>
      <c r="S9" s="534"/>
      <c r="T9" s="5">
        <v>4837</v>
      </c>
      <c r="U9" s="5">
        <f t="shared" si="4"/>
        <v>2</v>
      </c>
      <c r="V9" s="5">
        <f t="shared" si="18"/>
        <v>408</v>
      </c>
      <c r="W9" s="333">
        <f t="shared" si="17"/>
        <v>0</v>
      </c>
      <c r="X9" s="5">
        <v>143813</v>
      </c>
      <c r="Y9" s="333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5">
        <f t="shared" si="24"/>
        <v>44</v>
      </c>
      <c r="AK9" s="336">
        <f t="shared" si="5"/>
        <v>30</v>
      </c>
      <c r="AL9" s="336">
        <f t="shared" si="25"/>
        <v>44</v>
      </c>
      <c r="AM9" s="336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4">
        <f t="shared" si="26"/>
        <v>43986</v>
      </c>
      <c r="AS9" s="437">
        <f t="shared" si="6"/>
        <v>0.9</v>
      </c>
      <c r="AT9" s="204">
        <v>175</v>
      </c>
      <c r="AU9" s="438">
        <f t="shared" ref="AU9:AV35" si="34">AU8</f>
        <v>1.1000000000000001</v>
      </c>
      <c r="AV9" s="204">
        <v>115</v>
      </c>
      <c r="AW9" s="5">
        <v>2.9</v>
      </c>
      <c r="AX9" s="204">
        <v>126</v>
      </c>
      <c r="AY9" s="441">
        <f t="shared" si="7"/>
        <v>157.5</v>
      </c>
      <c r="AZ9" s="441">
        <f t="shared" si="27"/>
        <v>126.50000000000001</v>
      </c>
      <c r="BA9" s="441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7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2">
        <f t="shared" si="12"/>
        <v>0</v>
      </c>
      <c r="E10" s="342">
        <f>SUM((C10*$E$4)+(7500/'EDl log'!$A$38))</f>
        <v>250</v>
      </c>
      <c r="F10" s="431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3">
        <f t="shared" si="1"/>
        <v>0</v>
      </c>
      <c r="K10" s="5">
        <f>'Swimming Pool quality check '!H10</f>
        <v>6228</v>
      </c>
      <c r="L10" s="84">
        <f>K10-K9</f>
        <v>10</v>
      </c>
      <c r="M10" s="423">
        <f t="shared" si="15"/>
        <v>457.44</v>
      </c>
      <c r="N10" s="534">
        <f t="shared" si="2"/>
        <v>0</v>
      </c>
      <c r="O10" s="423">
        <f t="shared" si="16"/>
        <v>529.52</v>
      </c>
      <c r="P10" s="534">
        <f t="shared" si="3"/>
        <v>0</v>
      </c>
      <c r="Q10" s="535">
        <f>P10+N10</f>
        <v>0</v>
      </c>
      <c r="R10" s="534"/>
      <c r="S10" s="534"/>
      <c r="T10" s="5">
        <v>4839</v>
      </c>
      <c r="U10" s="5">
        <f t="shared" si="4"/>
        <v>2</v>
      </c>
      <c r="V10" s="5">
        <f t="shared" si="18"/>
        <v>408</v>
      </c>
      <c r="W10" s="333">
        <f t="shared" si="17"/>
        <v>0</v>
      </c>
      <c r="X10" s="5">
        <v>143813</v>
      </c>
      <c r="Y10" s="333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5">
        <f t="shared" si="24"/>
        <v>33</v>
      </c>
      <c r="AK10" s="336">
        <f t="shared" si="5"/>
        <v>-10</v>
      </c>
      <c r="AL10" s="336">
        <f t="shared" si="25"/>
        <v>33</v>
      </c>
      <c r="AM10" s="336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4">
        <f t="shared" si="26"/>
        <v>43987</v>
      </c>
      <c r="AS10" s="437">
        <f t="shared" si="6"/>
        <v>0.9</v>
      </c>
      <c r="AT10" s="204">
        <v>146</v>
      </c>
      <c r="AU10" s="438">
        <f t="shared" si="34"/>
        <v>1.1000000000000001</v>
      </c>
      <c r="AV10" s="204">
        <v>122</v>
      </c>
      <c r="AW10" s="5">
        <v>2.9</v>
      </c>
      <c r="AX10" s="204">
        <v>119</v>
      </c>
      <c r="AY10" s="441">
        <f t="shared" si="7"/>
        <v>131.4</v>
      </c>
      <c r="AZ10" s="441">
        <f t="shared" si="27"/>
        <v>134.20000000000002</v>
      </c>
      <c r="BA10" s="441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2">
        <f t="shared" si="12"/>
        <v>0</v>
      </c>
      <c r="E11" s="342">
        <f>SUM((C11*$E$4)+(7500/'EDl log'!$A$38))</f>
        <v>250</v>
      </c>
      <c r="F11" s="431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3">
        <f t="shared" si="1"/>
        <v>0</v>
      </c>
      <c r="K11" s="5">
        <f>'Swimming Pool quality check '!H11</f>
        <v>6232</v>
      </c>
      <c r="L11" s="84">
        <f t="shared" si="33"/>
        <v>4</v>
      </c>
      <c r="M11" s="423">
        <f t="shared" si="15"/>
        <v>457.44</v>
      </c>
      <c r="N11" s="534">
        <f t="shared" si="2"/>
        <v>0</v>
      </c>
      <c r="O11" s="423">
        <f t="shared" si="16"/>
        <v>529.52</v>
      </c>
      <c r="P11" s="534">
        <f t="shared" si="3"/>
        <v>0</v>
      </c>
      <c r="Q11" s="534">
        <f>SUM(P11+N11)</f>
        <v>0</v>
      </c>
      <c r="R11" s="534"/>
      <c r="S11" s="534"/>
      <c r="T11" s="5">
        <v>4841</v>
      </c>
      <c r="U11" s="5">
        <f t="shared" si="4"/>
        <v>2</v>
      </c>
      <c r="V11" s="5">
        <f t="shared" si="18"/>
        <v>408</v>
      </c>
      <c r="W11" s="333">
        <f t="shared" si="17"/>
        <v>0</v>
      </c>
      <c r="X11" s="5">
        <f t="shared" si="18"/>
        <v>143813</v>
      </c>
      <c r="Y11" s="333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5">
        <f t="shared" si="24"/>
        <v>0</v>
      </c>
      <c r="AK11" s="336">
        <f t="shared" si="5"/>
        <v>-4</v>
      </c>
      <c r="AL11" s="336">
        <f t="shared" si="25"/>
        <v>0</v>
      </c>
      <c r="AM11" s="336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4">
        <f t="shared" si="26"/>
        <v>43988</v>
      </c>
      <c r="AS11" s="437">
        <f t="shared" si="6"/>
        <v>0.9</v>
      </c>
      <c r="AT11" s="204">
        <f t="shared" si="6"/>
        <v>146</v>
      </c>
      <c r="AU11" s="438">
        <f t="shared" si="34"/>
        <v>1.1000000000000001</v>
      </c>
      <c r="AV11" s="204">
        <v>122</v>
      </c>
      <c r="AW11" s="5">
        <v>2.9</v>
      </c>
      <c r="AX11" s="204">
        <v>95</v>
      </c>
      <c r="AY11" s="441">
        <f t="shared" si="7"/>
        <v>131.4</v>
      </c>
      <c r="AZ11" s="441">
        <f t="shared" si="27"/>
        <v>134.20000000000002</v>
      </c>
      <c r="BA11" s="441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2">
        <f t="shared" si="12"/>
        <v>0</v>
      </c>
      <c r="E12" s="342">
        <f>SUM((C12*$E$4)+(7500/'EDl log'!$A$38))</f>
        <v>250</v>
      </c>
      <c r="F12" s="431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3">
        <f t="shared" si="1"/>
        <v>0</v>
      </c>
      <c r="K12" s="5">
        <f>'Swimming Pool quality check '!H12</f>
        <v>6232</v>
      </c>
      <c r="L12" s="84">
        <f t="shared" si="33"/>
        <v>0</v>
      </c>
      <c r="M12" s="423">
        <f t="shared" si="15"/>
        <v>457.44</v>
      </c>
      <c r="N12" s="534">
        <f t="shared" si="2"/>
        <v>0</v>
      </c>
      <c r="O12" s="423">
        <f t="shared" si="16"/>
        <v>529.52</v>
      </c>
      <c r="P12" s="534">
        <f t="shared" si="3"/>
        <v>0</v>
      </c>
      <c r="Q12" s="534">
        <f>SUM(P12+N12)</f>
        <v>0</v>
      </c>
      <c r="R12" s="534"/>
      <c r="S12" s="534"/>
      <c r="T12" s="5">
        <v>4843</v>
      </c>
      <c r="U12" s="5">
        <f t="shared" si="4"/>
        <v>2</v>
      </c>
      <c r="V12" s="5">
        <f t="shared" si="18"/>
        <v>408</v>
      </c>
      <c r="W12" s="333">
        <f t="shared" si="17"/>
        <v>0</v>
      </c>
      <c r="X12" s="5">
        <v>143813</v>
      </c>
      <c r="Y12" s="333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5">
        <f t="shared" si="24"/>
        <v>0</v>
      </c>
      <c r="AK12" s="336">
        <f t="shared" si="5"/>
        <v>0</v>
      </c>
      <c r="AL12" s="336">
        <f t="shared" si="25"/>
        <v>0</v>
      </c>
      <c r="AM12" s="336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4">
        <f t="shared" si="26"/>
        <v>43989</v>
      </c>
      <c r="AS12" s="437">
        <f t="shared" si="6"/>
        <v>0.9</v>
      </c>
      <c r="AT12" s="204">
        <f t="shared" si="6"/>
        <v>146</v>
      </c>
      <c r="AU12" s="438">
        <f t="shared" si="34"/>
        <v>1.1000000000000001</v>
      </c>
      <c r="AV12" s="204">
        <v>93</v>
      </c>
      <c r="AW12" s="5">
        <v>2.9</v>
      </c>
      <c r="AX12" s="204">
        <v>102</v>
      </c>
      <c r="AY12" s="441">
        <f t="shared" si="7"/>
        <v>131.4</v>
      </c>
      <c r="AZ12" s="441">
        <f t="shared" si="27"/>
        <v>102.30000000000001</v>
      </c>
      <c r="BA12" s="441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2">
        <f t="shared" si="12"/>
        <v>0</v>
      </c>
      <c r="E13" s="342">
        <f>SUM((C13*$E$4)+(7500/'EDl log'!$A$38))</f>
        <v>250</v>
      </c>
      <c r="F13" s="431"/>
      <c r="G13" s="5">
        <v>599229</v>
      </c>
      <c r="H13" s="5">
        <f t="shared" si="14"/>
        <v>72</v>
      </c>
      <c r="I13" s="5">
        <f t="shared" si="0"/>
        <v>72</v>
      </c>
      <c r="J13" s="343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3">
        <f t="shared" si="15"/>
        <v>457.44</v>
      </c>
      <c r="N13" s="534">
        <f t="shared" si="2"/>
        <v>0</v>
      </c>
      <c r="O13" s="423">
        <f t="shared" si="16"/>
        <v>529.52</v>
      </c>
      <c r="P13" s="534">
        <f t="shared" si="3"/>
        <v>0</v>
      </c>
      <c r="Q13" s="534">
        <f>SUM(P13+N13)</f>
        <v>0</v>
      </c>
      <c r="R13" s="534"/>
      <c r="S13" s="534"/>
      <c r="T13" s="5">
        <v>4845</v>
      </c>
      <c r="U13" s="5">
        <f t="shared" si="4"/>
        <v>2</v>
      </c>
      <c r="V13" s="5">
        <f t="shared" si="18"/>
        <v>408</v>
      </c>
      <c r="W13" s="333">
        <f t="shared" si="17"/>
        <v>0</v>
      </c>
      <c r="X13" s="5">
        <v>143816</v>
      </c>
      <c r="Y13" s="333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5">
        <f t="shared" si="24"/>
        <v>0</v>
      </c>
      <c r="AK13" s="336">
        <f t="shared" si="5"/>
        <v>-7</v>
      </c>
      <c r="AL13" s="336">
        <f t="shared" si="25"/>
        <v>0</v>
      </c>
      <c r="AM13" s="336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4">
        <f t="shared" si="26"/>
        <v>43990</v>
      </c>
      <c r="AS13" s="437">
        <f t="shared" si="6"/>
        <v>0.9</v>
      </c>
      <c r="AT13" s="204">
        <v>180</v>
      </c>
      <c r="AU13" s="438">
        <f t="shared" si="34"/>
        <v>1.1000000000000001</v>
      </c>
      <c r="AV13" s="204">
        <v>77</v>
      </c>
      <c r="AW13" s="5">
        <v>2.9</v>
      </c>
      <c r="AX13" s="204">
        <v>98</v>
      </c>
      <c r="AY13" s="441">
        <f t="shared" si="7"/>
        <v>162</v>
      </c>
      <c r="AZ13" s="441">
        <f t="shared" si="27"/>
        <v>84.7</v>
      </c>
      <c r="BA13" s="441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2">
        <f t="shared" si="12"/>
        <v>0</v>
      </c>
      <c r="E14" s="342">
        <f>SUM((C14*$E$4)+(7500/'EDl log'!$A$38))</f>
        <v>250</v>
      </c>
      <c r="F14" s="431"/>
      <c r="G14" s="5">
        <v>599229</v>
      </c>
      <c r="H14" s="5">
        <f t="shared" si="14"/>
        <v>0</v>
      </c>
      <c r="I14" s="5">
        <f t="shared" si="0"/>
        <v>0</v>
      </c>
      <c r="J14" s="343">
        <f t="shared" si="1"/>
        <v>0</v>
      </c>
      <c r="K14" s="5">
        <f>'Swimming Pool quality check '!H14</f>
        <v>6247</v>
      </c>
      <c r="L14" s="84">
        <f t="shared" si="33"/>
        <v>5</v>
      </c>
      <c r="M14" s="423">
        <f t="shared" si="15"/>
        <v>457.44</v>
      </c>
      <c r="N14" s="534">
        <f t="shared" ref="N14:N35" si="35">SUM(M14-M13)</f>
        <v>0</v>
      </c>
      <c r="O14" s="423">
        <f t="shared" si="16"/>
        <v>529.52</v>
      </c>
      <c r="P14" s="534">
        <f t="shared" ref="P14:P35" si="36">SUM(O14-O13)</f>
        <v>0</v>
      </c>
      <c r="Q14" s="534">
        <f t="shared" ref="Q14:Q35" si="37">SUM(P14+N14)</f>
        <v>0</v>
      </c>
      <c r="R14" s="534"/>
      <c r="S14" s="534"/>
      <c r="T14" s="5">
        <v>4847</v>
      </c>
      <c r="U14" s="5">
        <f t="shared" si="4"/>
        <v>2</v>
      </c>
      <c r="V14" s="5">
        <v>408</v>
      </c>
      <c r="W14" s="333">
        <f t="shared" si="17"/>
        <v>0</v>
      </c>
      <c r="X14" s="5">
        <v>143893</v>
      </c>
      <c r="Y14" s="333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5">
        <f t="shared" si="24"/>
        <v>46</v>
      </c>
      <c r="AK14" s="336">
        <f t="shared" si="5"/>
        <v>72</v>
      </c>
      <c r="AL14" s="336">
        <f t="shared" si="25"/>
        <v>46</v>
      </c>
      <c r="AM14" s="336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4">
        <f t="shared" si="26"/>
        <v>43991</v>
      </c>
      <c r="AS14" s="437">
        <f t="shared" si="6"/>
        <v>0.9</v>
      </c>
      <c r="AT14" s="204">
        <v>39</v>
      </c>
      <c r="AU14" s="438">
        <f t="shared" si="34"/>
        <v>1.1000000000000001</v>
      </c>
      <c r="AV14" s="204">
        <v>90</v>
      </c>
      <c r="AW14" s="5">
        <v>2.9</v>
      </c>
      <c r="AX14" s="204">
        <v>108</v>
      </c>
      <c r="AY14" s="441">
        <f t="shared" si="7"/>
        <v>35.1</v>
      </c>
      <c r="AZ14" s="441">
        <f t="shared" si="27"/>
        <v>99.000000000000014</v>
      </c>
      <c r="BA14" s="441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2">
        <f t="shared" si="12"/>
        <v>0</v>
      </c>
      <c r="E15" s="342">
        <f>SUM((C15*$E$4)+(7500/'EDl log'!$A$38))</f>
        <v>250</v>
      </c>
      <c r="F15" s="431"/>
      <c r="G15" s="5">
        <v>599629</v>
      </c>
      <c r="H15" s="5">
        <f t="shared" si="14"/>
        <v>400</v>
      </c>
      <c r="I15" s="5">
        <f t="shared" si="0"/>
        <v>400</v>
      </c>
      <c r="J15" s="343">
        <f t="shared" si="1"/>
        <v>0.625</v>
      </c>
      <c r="K15" s="5">
        <f>'Swimming Pool quality check '!H15</f>
        <v>6252</v>
      </c>
      <c r="L15" s="84">
        <f t="shared" si="33"/>
        <v>5</v>
      </c>
      <c r="M15" s="423">
        <f t="shared" si="15"/>
        <v>457.44</v>
      </c>
      <c r="N15" s="534">
        <f t="shared" si="35"/>
        <v>0</v>
      </c>
      <c r="O15" s="423">
        <f t="shared" si="16"/>
        <v>529.52</v>
      </c>
      <c r="P15" s="534">
        <f t="shared" si="36"/>
        <v>0</v>
      </c>
      <c r="Q15" s="534">
        <f t="shared" si="37"/>
        <v>0</v>
      </c>
      <c r="R15" s="534"/>
      <c r="S15" s="534"/>
      <c r="T15" s="5">
        <v>4849</v>
      </c>
      <c r="U15" s="5">
        <f t="shared" si="4"/>
        <v>2</v>
      </c>
      <c r="V15" s="5">
        <v>408</v>
      </c>
      <c r="W15" s="333">
        <f t="shared" si="17"/>
        <v>0</v>
      </c>
      <c r="X15" s="5">
        <v>143939</v>
      </c>
      <c r="Y15" s="333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5">
        <f t="shared" si="24"/>
        <v>71</v>
      </c>
      <c r="AK15" s="336">
        <f t="shared" si="5"/>
        <v>41</v>
      </c>
      <c r="AL15" s="336">
        <f t="shared" si="25"/>
        <v>71</v>
      </c>
      <c r="AM15" s="336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4">
        <f t="shared" si="26"/>
        <v>43992</v>
      </c>
      <c r="AS15" s="437">
        <f t="shared" si="6"/>
        <v>0.9</v>
      </c>
      <c r="AT15" s="204">
        <v>190</v>
      </c>
      <c r="AU15" s="438">
        <f t="shared" si="34"/>
        <v>1.1000000000000001</v>
      </c>
      <c r="AV15" s="204">
        <v>115</v>
      </c>
      <c r="AW15" s="5">
        <v>2.9</v>
      </c>
      <c r="AX15" s="204">
        <v>121</v>
      </c>
      <c r="AY15" s="441">
        <f t="shared" si="7"/>
        <v>171</v>
      </c>
      <c r="AZ15" s="441">
        <f t="shared" si="27"/>
        <v>126.50000000000001</v>
      </c>
      <c r="BA15" s="441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2">
        <f t="shared" si="12"/>
        <v>0</v>
      </c>
      <c r="E16" s="342">
        <f>SUM((C16*$E$4)+(7500/'EDl log'!$A$38))</f>
        <v>250</v>
      </c>
      <c r="F16" s="431"/>
      <c r="G16" s="5">
        <v>599629</v>
      </c>
      <c r="H16" s="5">
        <f t="shared" si="14"/>
        <v>0</v>
      </c>
      <c r="I16" s="5">
        <f t="shared" si="0"/>
        <v>0</v>
      </c>
      <c r="J16" s="343">
        <f t="shared" si="1"/>
        <v>0</v>
      </c>
      <c r="K16" s="5">
        <f>'Swimming Pool quality check '!H16</f>
        <v>6258</v>
      </c>
      <c r="L16" s="281">
        <f t="shared" si="33"/>
        <v>6</v>
      </c>
      <c r="M16" s="423">
        <f t="shared" si="15"/>
        <v>457.44</v>
      </c>
      <c r="N16" s="534">
        <f t="shared" si="35"/>
        <v>0</v>
      </c>
      <c r="O16" s="423">
        <f t="shared" si="16"/>
        <v>529.52</v>
      </c>
      <c r="P16" s="534">
        <f t="shared" si="36"/>
        <v>0</v>
      </c>
      <c r="Q16" s="534">
        <f t="shared" si="37"/>
        <v>0</v>
      </c>
      <c r="R16" s="536"/>
      <c r="S16" s="536"/>
      <c r="T16" s="5">
        <v>4852</v>
      </c>
      <c r="U16" s="5">
        <f t="shared" si="4"/>
        <v>3</v>
      </c>
      <c r="V16" s="5">
        <v>408</v>
      </c>
      <c r="W16" s="333">
        <f t="shared" si="17"/>
        <v>0</v>
      </c>
      <c r="X16" s="5">
        <v>143983</v>
      </c>
      <c r="Y16" s="333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5">
        <f t="shared" si="24"/>
        <v>19</v>
      </c>
      <c r="AK16" s="336">
        <f t="shared" si="5"/>
        <v>38</v>
      </c>
      <c r="AL16" s="336">
        <f t="shared" si="25"/>
        <v>19</v>
      </c>
      <c r="AM16" s="336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4">
        <f t="shared" si="26"/>
        <v>43993</v>
      </c>
      <c r="AS16" s="437">
        <f t="shared" si="6"/>
        <v>0.9</v>
      </c>
      <c r="AT16" s="204">
        <v>111</v>
      </c>
      <c r="AU16" s="438">
        <f t="shared" si="34"/>
        <v>1.1000000000000001</v>
      </c>
      <c r="AV16" s="204">
        <v>134</v>
      </c>
      <c r="AW16" s="5">
        <v>2.9</v>
      </c>
      <c r="AX16" s="204">
        <v>120</v>
      </c>
      <c r="AY16" s="441">
        <f t="shared" si="7"/>
        <v>99.9</v>
      </c>
      <c r="AZ16" s="441">
        <f t="shared" si="27"/>
        <v>147.4</v>
      </c>
      <c r="BA16" s="441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f t="shared" si="10"/>
        <v>108473</v>
      </c>
      <c r="C17" s="5">
        <f t="shared" si="11"/>
        <v>0</v>
      </c>
      <c r="D17" s="432">
        <f t="shared" si="12"/>
        <v>0</v>
      </c>
      <c r="E17" s="342">
        <f>SUM((C17*$E$4)+(7500/'EDl log'!$A$38))</f>
        <v>250</v>
      </c>
      <c r="F17" s="431"/>
      <c r="G17" s="5">
        <f t="shared" si="13"/>
        <v>599629</v>
      </c>
      <c r="H17" s="5">
        <f t="shared" si="14"/>
        <v>0</v>
      </c>
      <c r="I17" s="5">
        <f t="shared" si="0"/>
        <v>0</v>
      </c>
      <c r="J17" s="343">
        <f t="shared" si="1"/>
        <v>0</v>
      </c>
      <c r="K17" s="5">
        <f>'Swimming Pool quality check '!H17</f>
        <v>6258</v>
      </c>
      <c r="L17" s="84">
        <f t="shared" si="33"/>
        <v>0</v>
      </c>
      <c r="M17" s="423">
        <f t="shared" si="15"/>
        <v>457.44</v>
      </c>
      <c r="N17" s="534">
        <f t="shared" si="35"/>
        <v>0</v>
      </c>
      <c r="O17" s="423">
        <f t="shared" si="16"/>
        <v>529.52</v>
      </c>
      <c r="P17" s="534">
        <f t="shared" si="36"/>
        <v>0</v>
      </c>
      <c r="Q17" s="534">
        <f t="shared" si="37"/>
        <v>0</v>
      </c>
      <c r="R17" s="534"/>
      <c r="S17" s="534"/>
      <c r="T17" s="5">
        <f t="shared" si="18"/>
        <v>4852</v>
      </c>
      <c r="U17" s="5">
        <f t="shared" si="4"/>
        <v>0</v>
      </c>
      <c r="V17" s="5">
        <f t="shared" si="18"/>
        <v>408</v>
      </c>
      <c r="W17" s="333">
        <f t="shared" si="17"/>
        <v>0</v>
      </c>
      <c r="X17" s="5">
        <f t="shared" si="18"/>
        <v>143983</v>
      </c>
      <c r="Y17" s="333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f t="shared" si="18"/>
        <v>1635.2</v>
      </c>
      <c r="AH17" s="84">
        <f t="shared" si="22"/>
        <v>0</v>
      </c>
      <c r="AI17" s="84">
        <f t="shared" si="23"/>
        <v>0</v>
      </c>
      <c r="AJ17" s="335">
        <f t="shared" si="24"/>
        <v>0</v>
      </c>
      <c r="AK17" s="336">
        <f t="shared" si="5"/>
        <v>0</v>
      </c>
      <c r="AL17" s="336">
        <f t="shared" si="25"/>
        <v>0</v>
      </c>
      <c r="AM17" s="336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4">
        <f t="shared" si="26"/>
        <v>43994</v>
      </c>
      <c r="AS17" s="437">
        <f t="shared" si="6"/>
        <v>0.9</v>
      </c>
      <c r="AT17" s="204">
        <f t="shared" si="6"/>
        <v>111</v>
      </c>
      <c r="AU17" s="438">
        <f t="shared" si="34"/>
        <v>1.1000000000000001</v>
      </c>
      <c r="AV17" s="204">
        <f t="shared" si="34"/>
        <v>134</v>
      </c>
      <c r="AW17" s="5">
        <v>2.9</v>
      </c>
      <c r="AX17" s="204">
        <f t="shared" ref="AX17" si="38">AX16</f>
        <v>120</v>
      </c>
      <c r="AY17" s="441">
        <f t="shared" si="7"/>
        <v>99.9</v>
      </c>
      <c r="AZ17" s="441">
        <f t="shared" si="27"/>
        <v>147.4</v>
      </c>
      <c r="BA17" s="441">
        <f t="shared" si="28"/>
        <v>348</v>
      </c>
      <c r="BB17" s="21">
        <f t="shared" si="2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2">
        <f t="shared" si="12"/>
        <v>0</v>
      </c>
      <c r="E18" s="342">
        <f>SUM((C18*$E$4)+(7500/'EDl log'!$A$38))</f>
        <v>250</v>
      </c>
      <c r="F18" s="431"/>
      <c r="G18" s="5">
        <f t="shared" si="13"/>
        <v>599629</v>
      </c>
      <c r="H18" s="5">
        <f t="shared" si="14"/>
        <v>0</v>
      </c>
      <c r="I18" s="5">
        <f t="shared" si="0"/>
        <v>0</v>
      </c>
      <c r="J18" s="343">
        <f t="shared" si="1"/>
        <v>0</v>
      </c>
      <c r="K18" s="5">
        <f>'Swimming Pool quality check '!H18</f>
        <v>6258</v>
      </c>
      <c r="L18" s="84">
        <f t="shared" si="33"/>
        <v>0</v>
      </c>
      <c r="M18" s="423">
        <f t="shared" si="15"/>
        <v>457.44</v>
      </c>
      <c r="N18" s="534">
        <f t="shared" si="35"/>
        <v>0</v>
      </c>
      <c r="O18" s="423">
        <f t="shared" si="16"/>
        <v>529.52</v>
      </c>
      <c r="P18" s="534">
        <f t="shared" si="36"/>
        <v>0</v>
      </c>
      <c r="Q18" s="534">
        <f t="shared" si="37"/>
        <v>0</v>
      </c>
      <c r="R18" s="534"/>
      <c r="S18" s="534"/>
      <c r="T18" s="5">
        <f t="shared" si="18"/>
        <v>4852</v>
      </c>
      <c r="U18" s="5">
        <f t="shared" si="4"/>
        <v>0</v>
      </c>
      <c r="V18" s="5">
        <f t="shared" si="18"/>
        <v>408</v>
      </c>
      <c r="W18" s="333">
        <f t="shared" si="17"/>
        <v>0</v>
      </c>
      <c r="X18" s="5">
        <f t="shared" si="18"/>
        <v>143983</v>
      </c>
      <c r="Y18" s="333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f t="shared" si="18"/>
        <v>1635.2</v>
      </c>
      <c r="AH18" s="84">
        <f t="shared" si="22"/>
        <v>0</v>
      </c>
      <c r="AI18" s="84">
        <f t="shared" si="23"/>
        <v>0</v>
      </c>
      <c r="AJ18" s="335">
        <f t="shared" si="24"/>
        <v>0</v>
      </c>
      <c r="AK18" s="336">
        <f t="shared" si="5"/>
        <v>0</v>
      </c>
      <c r="AL18" s="336">
        <f t="shared" si="25"/>
        <v>0</v>
      </c>
      <c r="AM18" s="336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4">
        <f t="shared" si="26"/>
        <v>43995</v>
      </c>
      <c r="AS18" s="437">
        <f t="shared" si="6"/>
        <v>0.9</v>
      </c>
      <c r="AT18" s="204">
        <f t="shared" si="6"/>
        <v>111</v>
      </c>
      <c r="AU18" s="438">
        <f t="shared" si="34"/>
        <v>1.1000000000000001</v>
      </c>
      <c r="AV18" s="204">
        <f t="shared" si="34"/>
        <v>134</v>
      </c>
      <c r="AW18" s="5">
        <v>2.9</v>
      </c>
      <c r="AX18" s="204">
        <f t="shared" ref="AX18" si="39">AX17</f>
        <v>120</v>
      </c>
      <c r="AY18" s="441">
        <f t="shared" si="7"/>
        <v>99.9</v>
      </c>
      <c r="AZ18" s="441">
        <f t="shared" si="27"/>
        <v>147.4</v>
      </c>
      <c r="BA18" s="441">
        <f t="shared" si="28"/>
        <v>348</v>
      </c>
      <c r="BB18" s="21">
        <f t="shared" si="2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2">
        <f t="shared" si="12"/>
        <v>0</v>
      </c>
      <c r="E19" s="342">
        <f>SUM((C19*$E$4)+(7500/'EDl log'!$A$38))</f>
        <v>250</v>
      </c>
      <c r="F19" s="431"/>
      <c r="G19" s="5">
        <f t="shared" si="13"/>
        <v>599629</v>
      </c>
      <c r="H19" s="5">
        <f t="shared" si="14"/>
        <v>0</v>
      </c>
      <c r="I19" s="5">
        <f t="shared" si="0"/>
        <v>0</v>
      </c>
      <c r="J19" s="343">
        <f t="shared" si="1"/>
        <v>0</v>
      </c>
      <c r="K19" s="5">
        <f>'Swimming Pool quality check '!H19</f>
        <v>6258</v>
      </c>
      <c r="L19" s="84">
        <f t="shared" si="33"/>
        <v>0</v>
      </c>
      <c r="M19" s="423">
        <f t="shared" si="15"/>
        <v>457.44</v>
      </c>
      <c r="N19" s="534">
        <f t="shared" si="35"/>
        <v>0</v>
      </c>
      <c r="O19" s="423">
        <f t="shared" si="16"/>
        <v>529.52</v>
      </c>
      <c r="P19" s="534">
        <f t="shared" si="36"/>
        <v>0</v>
      </c>
      <c r="Q19" s="534">
        <f t="shared" si="37"/>
        <v>0</v>
      </c>
      <c r="R19" s="534"/>
      <c r="S19" s="534"/>
      <c r="T19" s="5">
        <f t="shared" si="18"/>
        <v>4852</v>
      </c>
      <c r="U19" s="5">
        <f t="shared" si="4"/>
        <v>0</v>
      </c>
      <c r="V19" s="5">
        <f t="shared" si="18"/>
        <v>408</v>
      </c>
      <c r="W19" s="333">
        <f t="shared" si="17"/>
        <v>0</v>
      </c>
      <c r="X19" s="5">
        <f t="shared" si="18"/>
        <v>143983</v>
      </c>
      <c r="Y19" s="333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f t="shared" si="18"/>
        <v>1635.2</v>
      </c>
      <c r="AH19" s="84">
        <f t="shared" si="22"/>
        <v>0</v>
      </c>
      <c r="AI19" s="84">
        <f t="shared" si="23"/>
        <v>0</v>
      </c>
      <c r="AJ19" s="335">
        <f t="shared" si="24"/>
        <v>0</v>
      </c>
      <c r="AK19" s="336">
        <f t="shared" si="5"/>
        <v>0</v>
      </c>
      <c r="AL19" s="336">
        <f t="shared" si="25"/>
        <v>0</v>
      </c>
      <c r="AM19" s="336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4">
        <f t="shared" si="26"/>
        <v>43996</v>
      </c>
      <c r="AS19" s="437">
        <f t="shared" si="6"/>
        <v>0.9</v>
      </c>
      <c r="AT19" s="204">
        <f t="shared" si="6"/>
        <v>111</v>
      </c>
      <c r="AU19" s="438">
        <f t="shared" si="34"/>
        <v>1.1000000000000001</v>
      </c>
      <c r="AV19" s="204">
        <f t="shared" si="34"/>
        <v>134</v>
      </c>
      <c r="AW19" s="5">
        <v>2.9</v>
      </c>
      <c r="AX19" s="204">
        <f t="shared" ref="AX19" si="40">AX18</f>
        <v>120</v>
      </c>
      <c r="AY19" s="441">
        <f t="shared" si="7"/>
        <v>99.9</v>
      </c>
      <c r="AZ19" s="441">
        <f t="shared" si="27"/>
        <v>147.4</v>
      </c>
      <c r="BA19" s="441">
        <f t="shared" si="28"/>
        <v>348</v>
      </c>
      <c r="BB19" s="21">
        <f t="shared" si="29"/>
        <v>0</v>
      </c>
      <c r="BC19" s="21">
        <f t="shared" si="30"/>
        <v>0</v>
      </c>
      <c r="BD19" s="21">
        <f t="shared" si="30"/>
        <v>0</v>
      </c>
      <c r="BE19" s="24">
        <f t="shared" si="31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2">
        <f t="shared" si="12"/>
        <v>0</v>
      </c>
      <c r="E20" s="342">
        <f>SUM((C20*$E$4)+(7500/'EDl log'!$A$38))</f>
        <v>250</v>
      </c>
      <c r="F20" s="431"/>
      <c r="G20" s="5">
        <f t="shared" si="13"/>
        <v>599629</v>
      </c>
      <c r="H20" s="5">
        <f t="shared" si="14"/>
        <v>0</v>
      </c>
      <c r="I20" s="5">
        <f t="shared" si="0"/>
        <v>0</v>
      </c>
      <c r="J20" s="343">
        <f t="shared" si="1"/>
        <v>0</v>
      </c>
      <c r="K20" s="5">
        <f>'Swimming Pool quality check '!H20</f>
        <v>6258</v>
      </c>
      <c r="L20" s="84">
        <f t="shared" si="33"/>
        <v>0</v>
      </c>
      <c r="M20" s="423">
        <f t="shared" si="15"/>
        <v>457.44</v>
      </c>
      <c r="N20" s="534">
        <f t="shared" si="35"/>
        <v>0</v>
      </c>
      <c r="O20" s="423">
        <f t="shared" si="16"/>
        <v>529.52</v>
      </c>
      <c r="P20" s="534">
        <f t="shared" si="36"/>
        <v>0</v>
      </c>
      <c r="Q20" s="534">
        <f t="shared" si="37"/>
        <v>0</v>
      </c>
      <c r="R20" s="534"/>
      <c r="S20" s="534"/>
      <c r="T20" s="5">
        <f t="shared" si="18"/>
        <v>4852</v>
      </c>
      <c r="U20" s="5">
        <f t="shared" si="4"/>
        <v>0</v>
      </c>
      <c r="V20" s="5">
        <f t="shared" si="18"/>
        <v>408</v>
      </c>
      <c r="W20" s="333">
        <f t="shared" si="17"/>
        <v>0</v>
      </c>
      <c r="X20" s="5">
        <f t="shared" si="18"/>
        <v>143983</v>
      </c>
      <c r="Y20" s="333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f t="shared" si="18"/>
        <v>159.02000000000001</v>
      </c>
      <c r="AF20" s="84">
        <f t="shared" si="21"/>
        <v>0</v>
      </c>
      <c r="AG20" s="5">
        <f t="shared" si="18"/>
        <v>1635.2</v>
      </c>
      <c r="AH20" s="84">
        <f t="shared" si="22"/>
        <v>0</v>
      </c>
      <c r="AI20" s="84">
        <f t="shared" si="23"/>
        <v>0</v>
      </c>
      <c r="AJ20" s="335">
        <f t="shared" si="24"/>
        <v>0</v>
      </c>
      <c r="AK20" s="336">
        <f t="shared" si="5"/>
        <v>0</v>
      </c>
      <c r="AL20" s="336">
        <f t="shared" si="25"/>
        <v>0</v>
      </c>
      <c r="AM20" s="336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4">
        <f t="shared" si="26"/>
        <v>43997</v>
      </c>
      <c r="AS20" s="437">
        <f t="shared" si="6"/>
        <v>0.9</v>
      </c>
      <c r="AT20" s="204">
        <f t="shared" si="6"/>
        <v>111</v>
      </c>
      <c r="AU20" s="438">
        <f t="shared" si="34"/>
        <v>1.1000000000000001</v>
      </c>
      <c r="AV20" s="204">
        <f t="shared" si="34"/>
        <v>134</v>
      </c>
      <c r="AW20" s="5">
        <v>2.9</v>
      </c>
      <c r="AX20" s="204">
        <f t="shared" ref="AX20" si="41">AX19</f>
        <v>120</v>
      </c>
      <c r="AY20" s="441">
        <f t="shared" si="7"/>
        <v>99.9</v>
      </c>
      <c r="AZ20" s="441">
        <f t="shared" si="27"/>
        <v>147.4</v>
      </c>
      <c r="BA20" s="441">
        <f t="shared" si="28"/>
        <v>348</v>
      </c>
      <c r="BB20" s="21">
        <f t="shared" si="29"/>
        <v>0</v>
      </c>
      <c r="BC20" s="21">
        <f t="shared" si="30"/>
        <v>0</v>
      </c>
      <c r="BD20" s="21">
        <f t="shared" si="30"/>
        <v>0</v>
      </c>
      <c r="BE20" s="24">
        <f t="shared" si="31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2">
        <f t="shared" si="12"/>
        <v>0</v>
      </c>
      <c r="E21" s="342">
        <f>SUM((C21*$E$4)+(7500/'EDl log'!$A$38))</f>
        <v>250</v>
      </c>
      <c r="F21" s="336"/>
      <c r="G21" s="5">
        <f t="shared" si="13"/>
        <v>599629</v>
      </c>
      <c r="H21" s="5">
        <f t="shared" si="14"/>
        <v>0</v>
      </c>
      <c r="I21" s="5">
        <f t="shared" si="0"/>
        <v>0</v>
      </c>
      <c r="J21" s="343">
        <f t="shared" si="1"/>
        <v>0</v>
      </c>
      <c r="K21" s="5">
        <f>'Swimming Pool quality check '!H21</f>
        <v>6258</v>
      </c>
      <c r="L21" s="84">
        <f t="shared" si="33"/>
        <v>0</v>
      </c>
      <c r="M21" s="423">
        <f t="shared" si="15"/>
        <v>457.44</v>
      </c>
      <c r="N21" s="534">
        <f t="shared" si="35"/>
        <v>0</v>
      </c>
      <c r="O21" s="423">
        <f t="shared" si="16"/>
        <v>529.52</v>
      </c>
      <c r="P21" s="534">
        <f t="shared" si="36"/>
        <v>0</v>
      </c>
      <c r="Q21" s="534">
        <f t="shared" si="37"/>
        <v>0</v>
      </c>
      <c r="R21" s="534"/>
      <c r="S21" s="534"/>
      <c r="T21" s="5">
        <f t="shared" si="18"/>
        <v>4852</v>
      </c>
      <c r="U21" s="5">
        <f t="shared" si="4"/>
        <v>0</v>
      </c>
      <c r="V21" s="5">
        <f t="shared" si="18"/>
        <v>408</v>
      </c>
      <c r="W21" s="333">
        <f t="shared" si="17"/>
        <v>0</v>
      </c>
      <c r="X21" s="5">
        <f t="shared" si="18"/>
        <v>143983</v>
      </c>
      <c r="Y21" s="333">
        <f>SUM(X21-X20)</f>
        <v>0</v>
      </c>
      <c r="Z21" s="5">
        <f t="shared" si="18"/>
        <v>95011</v>
      </c>
      <c r="AA21" s="84">
        <f t="shared" si="20"/>
        <v>0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159.02000000000001</v>
      </c>
      <c r="AF21" s="84">
        <f t="shared" si="21"/>
        <v>0</v>
      </c>
      <c r="AG21" s="5">
        <f t="shared" si="18"/>
        <v>1635.2</v>
      </c>
      <c r="AH21" s="84">
        <f t="shared" si="22"/>
        <v>0</v>
      </c>
      <c r="AI21" s="84">
        <f t="shared" si="23"/>
        <v>0</v>
      </c>
      <c r="AJ21" s="335">
        <f t="shared" si="24"/>
        <v>0</v>
      </c>
      <c r="AK21" s="336">
        <f t="shared" si="5"/>
        <v>0</v>
      </c>
      <c r="AL21" s="336">
        <f t="shared" si="25"/>
        <v>0</v>
      </c>
      <c r="AM21" s="336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4">
        <f t="shared" si="26"/>
        <v>43998</v>
      </c>
      <c r="AS21" s="437">
        <f t="shared" si="6"/>
        <v>0.9</v>
      </c>
      <c r="AT21" s="204">
        <f t="shared" si="6"/>
        <v>111</v>
      </c>
      <c r="AU21" s="438">
        <f t="shared" si="34"/>
        <v>1.1000000000000001</v>
      </c>
      <c r="AV21" s="204">
        <f t="shared" si="34"/>
        <v>134</v>
      </c>
      <c r="AW21" s="5">
        <v>2.9</v>
      </c>
      <c r="AX21" s="204">
        <f t="shared" ref="AX21" si="42">AX20</f>
        <v>120</v>
      </c>
      <c r="AY21" s="441">
        <f t="shared" si="7"/>
        <v>99.9</v>
      </c>
      <c r="AZ21" s="441">
        <f t="shared" si="27"/>
        <v>147.4</v>
      </c>
      <c r="BA21" s="441">
        <f t="shared" si="28"/>
        <v>348</v>
      </c>
      <c r="BB21" s="21">
        <f t="shared" si="2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2">
        <f t="shared" si="12"/>
        <v>0</v>
      </c>
      <c r="E22" s="342">
        <f>SUM((C22*$E$4)+(7500/'EDl log'!$A$38))</f>
        <v>250</v>
      </c>
      <c r="F22" s="336"/>
      <c r="G22" s="5">
        <f t="shared" si="13"/>
        <v>599629</v>
      </c>
      <c r="H22" s="5">
        <f t="shared" si="14"/>
        <v>0</v>
      </c>
      <c r="I22" s="5">
        <f t="shared" si="0"/>
        <v>0</v>
      </c>
      <c r="J22" s="343">
        <f t="shared" si="1"/>
        <v>0</v>
      </c>
      <c r="K22" s="5">
        <f>'Swimming Pool quality check '!H22</f>
        <v>6258</v>
      </c>
      <c r="L22" s="84">
        <f t="shared" si="33"/>
        <v>0</v>
      </c>
      <c r="M22" s="423">
        <f t="shared" si="15"/>
        <v>457.44</v>
      </c>
      <c r="N22" s="534">
        <f t="shared" si="35"/>
        <v>0</v>
      </c>
      <c r="O22" s="423">
        <f t="shared" si="16"/>
        <v>529.52</v>
      </c>
      <c r="P22" s="534">
        <f t="shared" si="36"/>
        <v>0</v>
      </c>
      <c r="Q22" s="534">
        <f t="shared" si="37"/>
        <v>0</v>
      </c>
      <c r="R22" s="534"/>
      <c r="S22" s="534"/>
      <c r="T22" s="5">
        <f t="shared" si="18"/>
        <v>4852</v>
      </c>
      <c r="U22" s="5">
        <f t="shared" si="4"/>
        <v>0</v>
      </c>
      <c r="V22" s="5">
        <f t="shared" si="18"/>
        <v>408</v>
      </c>
      <c r="W22" s="333">
        <f t="shared" si="17"/>
        <v>0</v>
      </c>
      <c r="X22" s="5">
        <f t="shared" si="18"/>
        <v>143983</v>
      </c>
      <c r="Y22" s="333">
        <f t="shared" si="19"/>
        <v>0</v>
      </c>
      <c r="Z22" s="5">
        <f t="shared" si="18"/>
        <v>95011</v>
      </c>
      <c r="AA22" s="84">
        <f t="shared" si="20"/>
        <v>0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159.02000000000001</v>
      </c>
      <c r="AF22" s="84">
        <f t="shared" si="21"/>
        <v>0</v>
      </c>
      <c r="AG22" s="5">
        <f t="shared" si="18"/>
        <v>1635.2</v>
      </c>
      <c r="AH22" s="84">
        <f t="shared" si="22"/>
        <v>0</v>
      </c>
      <c r="AI22" s="84">
        <f t="shared" si="23"/>
        <v>0</v>
      </c>
      <c r="AJ22" s="335">
        <f t="shared" si="24"/>
        <v>0</v>
      </c>
      <c r="AK22" s="336">
        <f t="shared" si="5"/>
        <v>0</v>
      </c>
      <c r="AL22" s="336">
        <f t="shared" si="25"/>
        <v>0</v>
      </c>
      <c r="AM22" s="336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4">
        <f t="shared" si="26"/>
        <v>43999</v>
      </c>
      <c r="AS22" s="437">
        <f t="shared" ref="AS22:AT35" si="43">AS21</f>
        <v>0.9</v>
      </c>
      <c r="AT22" s="204">
        <f t="shared" si="43"/>
        <v>111</v>
      </c>
      <c r="AU22" s="438">
        <f t="shared" si="34"/>
        <v>1.1000000000000001</v>
      </c>
      <c r="AV22" s="204">
        <f t="shared" si="34"/>
        <v>134</v>
      </c>
      <c r="AW22" s="5">
        <v>2.9</v>
      </c>
      <c r="AX22" s="204">
        <f t="shared" ref="AX22" si="44">AX21</f>
        <v>120</v>
      </c>
      <c r="AY22" s="441">
        <f t="shared" si="7"/>
        <v>99.9</v>
      </c>
      <c r="AZ22" s="441">
        <f t="shared" si="27"/>
        <v>147.4</v>
      </c>
      <c r="BA22" s="441">
        <f t="shared" si="28"/>
        <v>348</v>
      </c>
      <c r="BB22" s="21">
        <f>AY22-AY21</f>
        <v>0</v>
      </c>
      <c r="BC22" s="21">
        <f t="shared" si="29"/>
        <v>0</v>
      </c>
      <c r="BD22" s="21">
        <f t="shared" si="29"/>
        <v>0</v>
      </c>
      <c r="BE22" s="24">
        <f t="shared" si="31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44000</v>
      </c>
      <c r="B23" s="5">
        <f t="shared" si="10"/>
        <v>108473</v>
      </c>
      <c r="C23" s="5">
        <f t="shared" si="11"/>
        <v>0</v>
      </c>
      <c r="D23" s="432">
        <f t="shared" si="12"/>
        <v>0</v>
      </c>
      <c r="E23" s="342">
        <f>SUM((C23*$E$4)+(7500/'EDl log'!$A$38))</f>
        <v>250</v>
      </c>
      <c r="F23" s="336"/>
      <c r="G23" s="5">
        <f t="shared" si="13"/>
        <v>599629</v>
      </c>
      <c r="H23" s="5">
        <f t="shared" si="14"/>
        <v>0</v>
      </c>
      <c r="I23" s="5">
        <f t="shared" si="0"/>
        <v>0</v>
      </c>
      <c r="J23" s="343">
        <f t="shared" si="1"/>
        <v>0</v>
      </c>
      <c r="K23" s="5">
        <f>'Swimming Pool quality check '!H23</f>
        <v>6258</v>
      </c>
      <c r="L23" s="281">
        <f t="shared" si="33"/>
        <v>0</v>
      </c>
      <c r="M23" s="423">
        <f t="shared" si="15"/>
        <v>457.44</v>
      </c>
      <c r="N23" s="534">
        <f t="shared" si="35"/>
        <v>0</v>
      </c>
      <c r="O23" s="423">
        <f t="shared" si="16"/>
        <v>529.52</v>
      </c>
      <c r="P23" s="534">
        <f t="shared" si="36"/>
        <v>0</v>
      </c>
      <c r="Q23" s="534">
        <f t="shared" si="37"/>
        <v>0</v>
      </c>
      <c r="R23" s="536"/>
      <c r="S23" s="536"/>
      <c r="T23" s="5">
        <f t="shared" si="18"/>
        <v>4852</v>
      </c>
      <c r="U23" s="5">
        <f t="shared" si="4"/>
        <v>0</v>
      </c>
      <c r="V23" s="5">
        <f t="shared" si="18"/>
        <v>408</v>
      </c>
      <c r="W23" s="333">
        <f t="shared" si="17"/>
        <v>0</v>
      </c>
      <c r="X23" s="5">
        <f t="shared" si="18"/>
        <v>143983</v>
      </c>
      <c r="Y23" s="333">
        <f t="shared" si="19"/>
        <v>0</v>
      </c>
      <c r="Z23" s="5">
        <f t="shared" si="18"/>
        <v>95011</v>
      </c>
      <c r="AA23" s="84">
        <f t="shared" si="20"/>
        <v>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f t="shared" si="18"/>
        <v>159.02000000000001</v>
      </c>
      <c r="AF23" s="84">
        <f t="shared" si="21"/>
        <v>0</v>
      </c>
      <c r="AG23" s="5">
        <f t="shared" si="18"/>
        <v>1635.2</v>
      </c>
      <c r="AH23" s="84">
        <f t="shared" si="22"/>
        <v>0</v>
      </c>
      <c r="AI23" s="84">
        <f t="shared" si="23"/>
        <v>0</v>
      </c>
      <c r="AJ23" s="335">
        <f t="shared" si="24"/>
        <v>0</v>
      </c>
      <c r="AK23" s="336">
        <f t="shared" si="5"/>
        <v>0</v>
      </c>
      <c r="AL23" s="336">
        <f t="shared" si="25"/>
        <v>0</v>
      </c>
      <c r="AM23" s="336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4">
        <f t="shared" si="26"/>
        <v>44000</v>
      </c>
      <c r="AS23" s="437">
        <f t="shared" si="43"/>
        <v>0.9</v>
      </c>
      <c r="AT23" s="204">
        <f t="shared" si="43"/>
        <v>111</v>
      </c>
      <c r="AU23" s="438">
        <f t="shared" si="34"/>
        <v>1.1000000000000001</v>
      </c>
      <c r="AV23" s="204">
        <f t="shared" si="34"/>
        <v>134</v>
      </c>
      <c r="AW23" s="5">
        <v>2.9</v>
      </c>
      <c r="AX23" s="204">
        <f t="shared" ref="AX23" si="45">AX22</f>
        <v>120</v>
      </c>
      <c r="AY23" s="441">
        <f t="shared" si="7"/>
        <v>99.9</v>
      </c>
      <c r="AZ23" s="441">
        <f t="shared" si="27"/>
        <v>147.4</v>
      </c>
      <c r="BA23" s="441">
        <f t="shared" si="28"/>
        <v>348</v>
      </c>
      <c r="BB23" s="21">
        <f t="shared" si="29"/>
        <v>0</v>
      </c>
      <c r="BC23" s="21">
        <f t="shared" si="29"/>
        <v>0</v>
      </c>
      <c r="BD23" s="21">
        <f t="shared" si="29"/>
        <v>0</v>
      </c>
      <c r="BE23" s="24">
        <f t="shared" si="31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2">
        <f t="shared" si="12"/>
        <v>0</v>
      </c>
      <c r="E24" s="342">
        <f>SUM((C24*$E$4)+(7500/'EDl log'!$A$38))</f>
        <v>250</v>
      </c>
      <c r="F24" s="336"/>
      <c r="G24" s="5">
        <f t="shared" si="13"/>
        <v>599629</v>
      </c>
      <c r="H24" s="5">
        <f t="shared" si="14"/>
        <v>0</v>
      </c>
      <c r="I24" s="5">
        <f t="shared" si="0"/>
        <v>0</v>
      </c>
      <c r="J24" s="343">
        <f t="shared" si="1"/>
        <v>0</v>
      </c>
      <c r="K24" s="5">
        <f>'Swimming Pool quality check '!H24</f>
        <v>6258</v>
      </c>
      <c r="L24" s="281">
        <f t="shared" si="33"/>
        <v>0</v>
      </c>
      <c r="M24" s="423">
        <f t="shared" si="15"/>
        <v>457.44</v>
      </c>
      <c r="N24" s="534">
        <f t="shared" si="35"/>
        <v>0</v>
      </c>
      <c r="O24" s="423">
        <f t="shared" si="16"/>
        <v>529.52</v>
      </c>
      <c r="P24" s="534">
        <f t="shared" si="36"/>
        <v>0</v>
      </c>
      <c r="Q24" s="534">
        <f t="shared" si="37"/>
        <v>0</v>
      </c>
      <c r="R24" s="536"/>
      <c r="S24" s="536"/>
      <c r="T24" s="5">
        <f t="shared" si="18"/>
        <v>4852</v>
      </c>
      <c r="U24" s="5">
        <f t="shared" si="4"/>
        <v>0</v>
      </c>
      <c r="V24" s="5">
        <f t="shared" si="18"/>
        <v>408</v>
      </c>
      <c r="W24" s="333">
        <f t="shared" si="17"/>
        <v>0</v>
      </c>
      <c r="X24" s="5">
        <f t="shared" si="18"/>
        <v>143983</v>
      </c>
      <c r="Y24" s="333">
        <f t="shared" si="19"/>
        <v>0</v>
      </c>
      <c r="Z24" s="5">
        <f t="shared" si="18"/>
        <v>95011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159.02000000000001</v>
      </c>
      <c r="AF24" s="84">
        <f t="shared" si="21"/>
        <v>0</v>
      </c>
      <c r="AG24" s="5">
        <f t="shared" si="18"/>
        <v>1635.2</v>
      </c>
      <c r="AH24" s="84">
        <f t="shared" si="22"/>
        <v>0</v>
      </c>
      <c r="AI24" s="84">
        <f t="shared" si="23"/>
        <v>0</v>
      </c>
      <c r="AJ24" s="335">
        <f t="shared" si="24"/>
        <v>0</v>
      </c>
      <c r="AK24" s="336">
        <f t="shared" si="5"/>
        <v>0</v>
      </c>
      <c r="AL24" s="336">
        <f t="shared" si="25"/>
        <v>0</v>
      </c>
      <c r="AM24" s="336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4">
        <f t="shared" si="26"/>
        <v>44001</v>
      </c>
      <c r="AS24" s="437">
        <f t="shared" si="43"/>
        <v>0.9</v>
      </c>
      <c r="AT24" s="204">
        <f t="shared" si="43"/>
        <v>111</v>
      </c>
      <c r="AU24" s="438">
        <f t="shared" si="34"/>
        <v>1.1000000000000001</v>
      </c>
      <c r="AV24" s="204">
        <f t="shared" si="34"/>
        <v>134</v>
      </c>
      <c r="AW24" s="5">
        <v>2.9</v>
      </c>
      <c r="AX24" s="204">
        <f t="shared" ref="AX24" si="46">AX23</f>
        <v>120</v>
      </c>
      <c r="AY24" s="441">
        <f t="shared" si="7"/>
        <v>99.9</v>
      </c>
      <c r="AZ24" s="441">
        <f t="shared" si="27"/>
        <v>147.4</v>
      </c>
      <c r="BA24" s="441">
        <f t="shared" si="28"/>
        <v>348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2">
        <f t="shared" si="12"/>
        <v>0</v>
      </c>
      <c r="E25" s="342">
        <f>SUM((C25*$E$4)+(7500/'EDl log'!$A$38))</f>
        <v>250</v>
      </c>
      <c r="F25" s="336"/>
      <c r="G25" s="5">
        <f t="shared" si="13"/>
        <v>599629</v>
      </c>
      <c r="H25" s="5">
        <f t="shared" si="14"/>
        <v>0</v>
      </c>
      <c r="I25" s="5">
        <f t="shared" si="0"/>
        <v>0</v>
      </c>
      <c r="J25" s="343">
        <f t="shared" si="1"/>
        <v>0</v>
      </c>
      <c r="K25" s="5">
        <f>'Swimming Pool quality check '!H25</f>
        <v>6258</v>
      </c>
      <c r="L25" s="281">
        <f t="shared" si="33"/>
        <v>0</v>
      </c>
      <c r="M25" s="423">
        <f t="shared" si="15"/>
        <v>457.44</v>
      </c>
      <c r="N25" s="534">
        <f t="shared" si="35"/>
        <v>0</v>
      </c>
      <c r="O25" s="423">
        <f t="shared" si="16"/>
        <v>529.52</v>
      </c>
      <c r="P25" s="534">
        <f t="shared" si="36"/>
        <v>0</v>
      </c>
      <c r="Q25" s="534">
        <f t="shared" si="37"/>
        <v>0</v>
      </c>
      <c r="R25" s="536"/>
      <c r="S25" s="536"/>
      <c r="T25" s="5">
        <f t="shared" si="18"/>
        <v>4852</v>
      </c>
      <c r="U25" s="5">
        <f t="shared" si="4"/>
        <v>0</v>
      </c>
      <c r="V25" s="5">
        <f t="shared" si="18"/>
        <v>408</v>
      </c>
      <c r="W25" s="333">
        <f t="shared" si="17"/>
        <v>0</v>
      </c>
      <c r="X25" s="5">
        <f t="shared" si="18"/>
        <v>143983</v>
      </c>
      <c r="Y25" s="333">
        <f t="shared" si="19"/>
        <v>0</v>
      </c>
      <c r="Z25" s="5">
        <f t="shared" si="18"/>
        <v>95011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159.02000000000001</v>
      </c>
      <c r="AF25" s="84">
        <f t="shared" si="21"/>
        <v>0</v>
      </c>
      <c r="AG25" s="5">
        <f t="shared" si="18"/>
        <v>1635.2</v>
      </c>
      <c r="AH25" s="84">
        <f t="shared" si="22"/>
        <v>0</v>
      </c>
      <c r="AI25" s="84">
        <f t="shared" si="23"/>
        <v>0</v>
      </c>
      <c r="AJ25" s="335">
        <f t="shared" si="24"/>
        <v>0</v>
      </c>
      <c r="AK25" s="336">
        <f t="shared" si="5"/>
        <v>0</v>
      </c>
      <c r="AL25" s="336">
        <f t="shared" si="25"/>
        <v>0</v>
      </c>
      <c r="AM25" s="336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4">
        <f t="shared" si="26"/>
        <v>44002</v>
      </c>
      <c r="AS25" s="437">
        <f t="shared" si="43"/>
        <v>0.9</v>
      </c>
      <c r="AT25" s="204">
        <f t="shared" si="43"/>
        <v>111</v>
      </c>
      <c r="AU25" s="438">
        <f t="shared" si="34"/>
        <v>1.1000000000000001</v>
      </c>
      <c r="AV25" s="204">
        <f t="shared" si="34"/>
        <v>134</v>
      </c>
      <c r="AW25" s="5">
        <v>2.9</v>
      </c>
      <c r="AX25" s="204">
        <f t="shared" ref="AX25" si="47">AX24</f>
        <v>120</v>
      </c>
      <c r="AY25" s="441">
        <f t="shared" si="7"/>
        <v>99.9</v>
      </c>
      <c r="AZ25" s="441">
        <f t="shared" si="27"/>
        <v>147.4</v>
      </c>
      <c r="BA25" s="441">
        <f t="shared" si="28"/>
        <v>348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2">
        <f t="shared" si="12"/>
        <v>0</v>
      </c>
      <c r="E26" s="342">
        <f>SUM((C26*$E$4)+(7500/'EDl log'!$A$38))</f>
        <v>250</v>
      </c>
      <c r="F26" s="336"/>
      <c r="G26" s="5">
        <f t="shared" si="13"/>
        <v>599629</v>
      </c>
      <c r="H26" s="5">
        <f>G26-G25</f>
        <v>0</v>
      </c>
      <c r="I26" s="5">
        <f t="shared" si="0"/>
        <v>0</v>
      </c>
      <c r="J26" s="343">
        <f t="shared" si="1"/>
        <v>0</v>
      </c>
      <c r="K26" s="5">
        <f>'Swimming Pool quality check '!H26</f>
        <v>6258</v>
      </c>
      <c r="L26" s="281">
        <f t="shared" si="33"/>
        <v>0</v>
      </c>
      <c r="M26" s="423">
        <f t="shared" si="15"/>
        <v>457.44</v>
      </c>
      <c r="N26" s="534">
        <f t="shared" si="35"/>
        <v>0</v>
      </c>
      <c r="O26" s="423">
        <f t="shared" si="16"/>
        <v>529.52</v>
      </c>
      <c r="P26" s="534">
        <f t="shared" si="36"/>
        <v>0</v>
      </c>
      <c r="Q26" s="534">
        <f t="shared" si="37"/>
        <v>0</v>
      </c>
      <c r="R26" s="536"/>
      <c r="S26" s="536"/>
      <c r="T26" s="5">
        <f t="shared" si="18"/>
        <v>4852</v>
      </c>
      <c r="U26" s="5">
        <f t="shared" si="4"/>
        <v>0</v>
      </c>
      <c r="V26" s="5">
        <f t="shared" si="18"/>
        <v>408</v>
      </c>
      <c r="W26" s="333">
        <f t="shared" si="17"/>
        <v>0</v>
      </c>
      <c r="X26" s="5">
        <f t="shared" si="18"/>
        <v>143983</v>
      </c>
      <c r="Y26" s="333">
        <f t="shared" si="19"/>
        <v>0</v>
      </c>
      <c r="Z26" s="5">
        <f t="shared" si="18"/>
        <v>95011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159.02000000000001</v>
      </c>
      <c r="AF26" s="84">
        <f t="shared" si="21"/>
        <v>0</v>
      </c>
      <c r="AG26" s="5">
        <f t="shared" si="18"/>
        <v>1635.2</v>
      </c>
      <c r="AH26" s="84">
        <f t="shared" si="22"/>
        <v>0</v>
      </c>
      <c r="AI26" s="84">
        <f t="shared" si="23"/>
        <v>0</v>
      </c>
      <c r="AJ26" s="335">
        <f t="shared" si="24"/>
        <v>0</v>
      </c>
      <c r="AK26" s="336">
        <f t="shared" si="5"/>
        <v>0</v>
      </c>
      <c r="AL26" s="336">
        <f>SUM(AJ26-W26)</f>
        <v>0</v>
      </c>
      <c r="AM26" s="336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4">
        <f t="shared" si="26"/>
        <v>44003</v>
      </c>
      <c r="AS26" s="437">
        <f t="shared" si="43"/>
        <v>0.9</v>
      </c>
      <c r="AT26" s="204">
        <f t="shared" si="43"/>
        <v>111</v>
      </c>
      <c r="AU26" s="438">
        <f t="shared" si="34"/>
        <v>1.1000000000000001</v>
      </c>
      <c r="AV26" s="204">
        <f t="shared" si="34"/>
        <v>134</v>
      </c>
      <c r="AW26" s="5">
        <v>2.9</v>
      </c>
      <c r="AX26" s="204">
        <f t="shared" ref="AX26" si="48">AX25</f>
        <v>120</v>
      </c>
      <c r="AY26" s="441">
        <f t="shared" si="7"/>
        <v>99.9</v>
      </c>
      <c r="AZ26" s="441">
        <f t="shared" si="27"/>
        <v>147.4</v>
      </c>
      <c r="BA26" s="441">
        <f t="shared" si="28"/>
        <v>348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2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2">
        <f t="shared" si="12"/>
        <v>0</v>
      </c>
      <c r="E27" s="342">
        <f>SUM((C27*$E$4)+(7500/'EDl log'!$A$38))</f>
        <v>250</v>
      </c>
      <c r="F27" s="336"/>
      <c r="G27" s="5">
        <f t="shared" si="13"/>
        <v>599629</v>
      </c>
      <c r="H27" s="5">
        <f t="shared" si="14"/>
        <v>0</v>
      </c>
      <c r="I27" s="5">
        <f t="shared" si="0"/>
        <v>0</v>
      </c>
      <c r="J27" s="343">
        <f t="shared" si="1"/>
        <v>0</v>
      </c>
      <c r="K27" s="5">
        <f>'Swimming Pool quality check '!H27</f>
        <v>6258</v>
      </c>
      <c r="L27" s="281">
        <f t="shared" si="33"/>
        <v>0</v>
      </c>
      <c r="M27" s="423">
        <f t="shared" si="15"/>
        <v>457.44</v>
      </c>
      <c r="N27" s="534">
        <f t="shared" si="35"/>
        <v>0</v>
      </c>
      <c r="O27" s="423">
        <f t="shared" si="16"/>
        <v>529.52</v>
      </c>
      <c r="P27" s="534">
        <f t="shared" si="36"/>
        <v>0</v>
      </c>
      <c r="Q27" s="534">
        <f t="shared" si="37"/>
        <v>0</v>
      </c>
      <c r="R27" s="536"/>
      <c r="S27" s="536"/>
      <c r="T27" s="5">
        <f t="shared" si="18"/>
        <v>4852</v>
      </c>
      <c r="U27" s="5">
        <f t="shared" si="4"/>
        <v>0</v>
      </c>
      <c r="V27" s="5">
        <f t="shared" si="18"/>
        <v>408</v>
      </c>
      <c r="W27" s="333">
        <f t="shared" si="17"/>
        <v>0</v>
      </c>
      <c r="X27" s="5">
        <f t="shared" si="18"/>
        <v>143983</v>
      </c>
      <c r="Y27" s="333">
        <f>SUM(X27-X26)</f>
        <v>0</v>
      </c>
      <c r="Z27" s="5">
        <f t="shared" si="18"/>
        <v>95011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159.02000000000001</v>
      </c>
      <c r="AF27" s="84">
        <f t="shared" si="21"/>
        <v>0</v>
      </c>
      <c r="AG27" s="5">
        <f t="shared" si="18"/>
        <v>1635.2</v>
      </c>
      <c r="AH27" s="84">
        <f t="shared" si="22"/>
        <v>0</v>
      </c>
      <c r="AI27" s="84">
        <f t="shared" si="23"/>
        <v>0</v>
      </c>
      <c r="AJ27" s="335">
        <f t="shared" si="24"/>
        <v>0</v>
      </c>
      <c r="AK27" s="336">
        <f t="shared" si="5"/>
        <v>0</v>
      </c>
      <c r="AL27" s="336">
        <f t="shared" si="25"/>
        <v>0</v>
      </c>
      <c r="AM27" s="336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4">
        <f t="shared" si="26"/>
        <v>44004</v>
      </c>
      <c r="AS27" s="437">
        <f t="shared" si="43"/>
        <v>0.9</v>
      </c>
      <c r="AT27" s="204">
        <f t="shared" si="43"/>
        <v>111</v>
      </c>
      <c r="AU27" s="438">
        <f t="shared" si="34"/>
        <v>1.1000000000000001</v>
      </c>
      <c r="AV27" s="204">
        <f t="shared" si="34"/>
        <v>134</v>
      </c>
      <c r="AW27" s="5">
        <v>2.9</v>
      </c>
      <c r="AX27" s="204">
        <f t="shared" ref="AX27" si="49">AX26</f>
        <v>120</v>
      </c>
      <c r="AY27" s="441">
        <f t="shared" si="7"/>
        <v>99.9</v>
      </c>
      <c r="AZ27" s="441">
        <f t="shared" si="27"/>
        <v>147.4</v>
      </c>
      <c r="BA27" s="441">
        <f t="shared" si="28"/>
        <v>348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2">
        <f t="shared" si="12"/>
        <v>0</v>
      </c>
      <c r="E28" s="342">
        <f>SUM((C28*$E$4)+(7500/'EDl log'!$A$38))</f>
        <v>250</v>
      </c>
      <c r="F28" s="336"/>
      <c r="G28" s="5">
        <f t="shared" si="13"/>
        <v>599629</v>
      </c>
      <c r="H28" s="5">
        <f t="shared" si="14"/>
        <v>0</v>
      </c>
      <c r="I28" s="5">
        <f t="shared" si="0"/>
        <v>0</v>
      </c>
      <c r="J28" s="343">
        <f t="shared" si="1"/>
        <v>0</v>
      </c>
      <c r="K28" s="5">
        <f>'Swimming Pool quality check '!H28</f>
        <v>6258</v>
      </c>
      <c r="L28" s="281">
        <f t="shared" si="33"/>
        <v>0</v>
      </c>
      <c r="M28" s="423">
        <f t="shared" si="15"/>
        <v>457.44</v>
      </c>
      <c r="N28" s="534">
        <f t="shared" si="35"/>
        <v>0</v>
      </c>
      <c r="O28" s="423">
        <f t="shared" si="16"/>
        <v>529.52</v>
      </c>
      <c r="P28" s="534">
        <f t="shared" si="36"/>
        <v>0</v>
      </c>
      <c r="Q28" s="534">
        <f t="shared" si="37"/>
        <v>0</v>
      </c>
      <c r="R28" s="536"/>
      <c r="S28" s="536"/>
      <c r="T28" s="5">
        <f t="shared" si="18"/>
        <v>4852</v>
      </c>
      <c r="U28" s="5">
        <f t="shared" si="4"/>
        <v>0</v>
      </c>
      <c r="V28" s="5">
        <f t="shared" si="18"/>
        <v>408</v>
      </c>
      <c r="W28" s="333">
        <f t="shared" si="17"/>
        <v>0</v>
      </c>
      <c r="X28" s="5">
        <f t="shared" si="18"/>
        <v>143983</v>
      </c>
      <c r="Y28" s="333">
        <f t="shared" si="19"/>
        <v>0</v>
      </c>
      <c r="Z28" s="5">
        <f t="shared" si="18"/>
        <v>95011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159.02000000000001</v>
      </c>
      <c r="AF28" s="84">
        <f t="shared" si="21"/>
        <v>0</v>
      </c>
      <c r="AG28" s="5">
        <f t="shared" si="18"/>
        <v>1635.2</v>
      </c>
      <c r="AH28" s="84">
        <f t="shared" si="22"/>
        <v>0</v>
      </c>
      <c r="AI28" s="84">
        <f t="shared" si="23"/>
        <v>0</v>
      </c>
      <c r="AJ28" s="335">
        <f t="shared" si="24"/>
        <v>0</v>
      </c>
      <c r="AK28" s="336">
        <f t="shared" si="5"/>
        <v>0</v>
      </c>
      <c r="AL28" s="336">
        <f t="shared" si="25"/>
        <v>0</v>
      </c>
      <c r="AM28" s="336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4">
        <f t="shared" si="26"/>
        <v>44005</v>
      </c>
      <c r="AS28" s="437">
        <f t="shared" si="43"/>
        <v>0.9</v>
      </c>
      <c r="AT28" s="204">
        <f t="shared" si="43"/>
        <v>111</v>
      </c>
      <c r="AU28" s="438">
        <f t="shared" si="34"/>
        <v>1.1000000000000001</v>
      </c>
      <c r="AV28" s="204">
        <f t="shared" si="34"/>
        <v>134</v>
      </c>
      <c r="AW28" s="5">
        <v>2.9</v>
      </c>
      <c r="AX28" s="204">
        <f t="shared" ref="AX28" si="50">AX27</f>
        <v>120</v>
      </c>
      <c r="AY28" s="441">
        <f t="shared" si="7"/>
        <v>99.9</v>
      </c>
      <c r="AZ28" s="441">
        <f t="shared" si="27"/>
        <v>147.4</v>
      </c>
      <c r="BA28" s="441">
        <f t="shared" si="28"/>
        <v>348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2">
        <f t="shared" si="12"/>
        <v>0</v>
      </c>
      <c r="E29" s="342">
        <f>SUM((C29*$E$4)+(7500/'EDl log'!$A$38))</f>
        <v>250</v>
      </c>
      <c r="F29" s="336"/>
      <c r="G29" s="5">
        <f t="shared" si="13"/>
        <v>599629</v>
      </c>
      <c r="H29" s="5">
        <f t="shared" si="14"/>
        <v>0</v>
      </c>
      <c r="I29" s="5">
        <f t="shared" si="0"/>
        <v>0</v>
      </c>
      <c r="J29" s="343">
        <f t="shared" si="1"/>
        <v>0</v>
      </c>
      <c r="K29" s="5">
        <f>'Swimming Pool quality check '!H29</f>
        <v>6258</v>
      </c>
      <c r="L29" s="281">
        <f t="shared" si="33"/>
        <v>0</v>
      </c>
      <c r="M29" s="423">
        <f t="shared" si="15"/>
        <v>457.44</v>
      </c>
      <c r="N29" s="534">
        <f t="shared" si="35"/>
        <v>0</v>
      </c>
      <c r="O29" s="423">
        <f t="shared" si="16"/>
        <v>529.52</v>
      </c>
      <c r="P29" s="534">
        <f t="shared" si="36"/>
        <v>0</v>
      </c>
      <c r="Q29" s="534">
        <f t="shared" si="37"/>
        <v>0</v>
      </c>
      <c r="R29" s="536"/>
      <c r="S29" s="536"/>
      <c r="T29" s="5">
        <f t="shared" si="18"/>
        <v>4852</v>
      </c>
      <c r="U29" s="5">
        <f t="shared" si="4"/>
        <v>0</v>
      </c>
      <c r="V29" s="5">
        <f t="shared" si="18"/>
        <v>408</v>
      </c>
      <c r="W29" s="333">
        <f t="shared" si="17"/>
        <v>0</v>
      </c>
      <c r="X29" s="5">
        <f t="shared" si="18"/>
        <v>143983</v>
      </c>
      <c r="Y29" s="333">
        <f t="shared" si="19"/>
        <v>0</v>
      </c>
      <c r="Z29" s="5">
        <f t="shared" si="18"/>
        <v>95011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159.02000000000001</v>
      </c>
      <c r="AF29" s="84">
        <f t="shared" si="21"/>
        <v>0</v>
      </c>
      <c r="AG29" s="5">
        <f t="shared" si="18"/>
        <v>1635.2</v>
      </c>
      <c r="AH29" s="84">
        <f t="shared" si="22"/>
        <v>0</v>
      </c>
      <c r="AI29" s="84">
        <f t="shared" si="23"/>
        <v>0</v>
      </c>
      <c r="AJ29" s="335">
        <f t="shared" si="24"/>
        <v>0</v>
      </c>
      <c r="AK29" s="336">
        <f t="shared" si="5"/>
        <v>0</v>
      </c>
      <c r="AL29" s="336">
        <f t="shared" si="25"/>
        <v>0</v>
      </c>
      <c r="AM29" s="336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4">
        <f t="shared" si="26"/>
        <v>44006</v>
      </c>
      <c r="AS29" s="437">
        <f t="shared" si="43"/>
        <v>0.9</v>
      </c>
      <c r="AT29" s="204">
        <f t="shared" si="43"/>
        <v>111</v>
      </c>
      <c r="AU29" s="438">
        <f t="shared" si="34"/>
        <v>1.1000000000000001</v>
      </c>
      <c r="AV29" s="204">
        <f t="shared" si="34"/>
        <v>134</v>
      </c>
      <c r="AW29" s="5">
        <v>2.9</v>
      </c>
      <c r="AX29" s="204">
        <f t="shared" ref="AX29" si="51">AX28</f>
        <v>120</v>
      </c>
      <c r="AY29" s="441">
        <f t="shared" si="7"/>
        <v>99.9</v>
      </c>
      <c r="AZ29" s="441">
        <f t="shared" si="27"/>
        <v>147.4</v>
      </c>
      <c r="BA29" s="441">
        <f t="shared" si="28"/>
        <v>348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2">
        <f t="shared" si="12"/>
        <v>0</v>
      </c>
      <c r="E30" s="342">
        <f>SUM((C30*$E$4)+(7500/'EDl log'!$A$38))</f>
        <v>250</v>
      </c>
      <c r="F30" s="336"/>
      <c r="G30" s="5">
        <f t="shared" si="13"/>
        <v>599629</v>
      </c>
      <c r="H30" s="5">
        <f t="shared" si="14"/>
        <v>0</v>
      </c>
      <c r="I30" s="5">
        <f t="shared" si="0"/>
        <v>0</v>
      </c>
      <c r="J30" s="343">
        <f t="shared" si="1"/>
        <v>0</v>
      </c>
      <c r="K30" s="5">
        <f>'Swimming Pool quality check '!H30</f>
        <v>6258</v>
      </c>
      <c r="L30" s="281">
        <f t="shared" si="33"/>
        <v>0</v>
      </c>
      <c r="M30" s="423">
        <f t="shared" si="15"/>
        <v>457.44</v>
      </c>
      <c r="N30" s="534">
        <f t="shared" si="35"/>
        <v>0</v>
      </c>
      <c r="O30" s="423">
        <f t="shared" si="16"/>
        <v>529.52</v>
      </c>
      <c r="P30" s="534">
        <f t="shared" si="36"/>
        <v>0</v>
      </c>
      <c r="Q30" s="534">
        <f t="shared" si="37"/>
        <v>0</v>
      </c>
      <c r="R30" s="536"/>
      <c r="S30" s="536"/>
      <c r="T30" s="5">
        <f t="shared" si="18"/>
        <v>4852</v>
      </c>
      <c r="U30" s="5">
        <f t="shared" si="4"/>
        <v>0</v>
      </c>
      <c r="V30" s="5">
        <f t="shared" si="18"/>
        <v>408</v>
      </c>
      <c r="W30" s="333">
        <f t="shared" si="17"/>
        <v>0</v>
      </c>
      <c r="X30" s="5">
        <f t="shared" si="18"/>
        <v>143983</v>
      </c>
      <c r="Y30" s="333">
        <f t="shared" si="19"/>
        <v>0</v>
      </c>
      <c r="Z30" s="5">
        <f t="shared" si="18"/>
        <v>95011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159.02000000000001</v>
      </c>
      <c r="AF30" s="84">
        <f t="shared" si="21"/>
        <v>0</v>
      </c>
      <c r="AG30" s="5">
        <f t="shared" si="18"/>
        <v>1635.2</v>
      </c>
      <c r="AH30" s="84">
        <f t="shared" si="22"/>
        <v>0</v>
      </c>
      <c r="AI30" s="84">
        <f t="shared" si="23"/>
        <v>0</v>
      </c>
      <c r="AJ30" s="335">
        <f t="shared" si="24"/>
        <v>0</v>
      </c>
      <c r="AK30" s="336">
        <f t="shared" si="5"/>
        <v>0</v>
      </c>
      <c r="AL30" s="336">
        <f t="shared" si="25"/>
        <v>0</v>
      </c>
      <c r="AM30" s="336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4">
        <f t="shared" si="26"/>
        <v>44007</v>
      </c>
      <c r="AS30" s="437">
        <f t="shared" si="43"/>
        <v>0.9</v>
      </c>
      <c r="AT30" s="204">
        <f t="shared" si="43"/>
        <v>111</v>
      </c>
      <c r="AU30" s="438">
        <f t="shared" si="34"/>
        <v>1.1000000000000001</v>
      </c>
      <c r="AV30" s="204">
        <f t="shared" si="34"/>
        <v>134</v>
      </c>
      <c r="AW30" s="5">
        <v>2.9</v>
      </c>
      <c r="AX30" s="204">
        <f t="shared" ref="AX30" si="52">AX29</f>
        <v>120</v>
      </c>
      <c r="AY30" s="441">
        <f t="shared" si="7"/>
        <v>99.9</v>
      </c>
      <c r="AZ30" s="441">
        <f t="shared" si="27"/>
        <v>147.4</v>
      </c>
      <c r="BA30" s="441">
        <f t="shared" si="28"/>
        <v>348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2">
        <f t="shared" si="12"/>
        <v>0</v>
      </c>
      <c r="E31" s="342">
        <f>SUM((C31*$E$4)+(7500/'EDl log'!$A$38))</f>
        <v>250</v>
      </c>
      <c r="F31" s="336"/>
      <c r="G31" s="5">
        <f t="shared" si="13"/>
        <v>599629</v>
      </c>
      <c r="H31" s="5">
        <f t="shared" si="14"/>
        <v>0</v>
      </c>
      <c r="I31" s="5">
        <f t="shared" si="0"/>
        <v>0</v>
      </c>
      <c r="J31" s="343">
        <f t="shared" si="1"/>
        <v>0</v>
      </c>
      <c r="K31" s="5">
        <f>'Swimming Pool quality check '!H31</f>
        <v>6258</v>
      </c>
      <c r="L31" s="281">
        <f t="shared" si="33"/>
        <v>0</v>
      </c>
      <c r="M31" s="423">
        <f t="shared" si="15"/>
        <v>457.44</v>
      </c>
      <c r="N31" s="534">
        <f t="shared" si="35"/>
        <v>0</v>
      </c>
      <c r="O31" s="423">
        <f t="shared" si="16"/>
        <v>529.52</v>
      </c>
      <c r="P31" s="534">
        <f t="shared" si="36"/>
        <v>0</v>
      </c>
      <c r="Q31" s="534">
        <f t="shared" si="37"/>
        <v>0</v>
      </c>
      <c r="R31" s="536"/>
      <c r="S31" s="536"/>
      <c r="T31" s="5">
        <f t="shared" si="18"/>
        <v>4852</v>
      </c>
      <c r="U31" s="5">
        <f t="shared" si="4"/>
        <v>0</v>
      </c>
      <c r="V31" s="5">
        <f t="shared" si="18"/>
        <v>408</v>
      </c>
      <c r="W31" s="333">
        <f t="shared" si="17"/>
        <v>0</v>
      </c>
      <c r="X31" s="5">
        <f t="shared" si="18"/>
        <v>143983</v>
      </c>
      <c r="Y31" s="333">
        <f t="shared" si="19"/>
        <v>0</v>
      </c>
      <c r="Z31" s="5">
        <f t="shared" si="18"/>
        <v>95011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159.02000000000001</v>
      </c>
      <c r="AF31" s="84">
        <f t="shared" si="21"/>
        <v>0</v>
      </c>
      <c r="AG31" s="5">
        <f t="shared" si="18"/>
        <v>1635.2</v>
      </c>
      <c r="AH31" s="84">
        <f>AG31-AG30</f>
        <v>0</v>
      </c>
      <c r="AI31" s="84">
        <f>AF31+AH31</f>
        <v>0</v>
      </c>
      <c r="AJ31" s="335">
        <f t="shared" si="24"/>
        <v>0</v>
      </c>
      <c r="AK31" s="336">
        <f>SUM(Y31-L31)</f>
        <v>0</v>
      </c>
      <c r="AL31" s="336">
        <f t="shared" si="25"/>
        <v>0</v>
      </c>
      <c r="AM31" s="336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4">
        <f t="shared" si="26"/>
        <v>44008</v>
      </c>
      <c r="AS31" s="437">
        <f t="shared" si="43"/>
        <v>0.9</v>
      </c>
      <c r="AT31" s="204">
        <f t="shared" si="43"/>
        <v>111</v>
      </c>
      <c r="AU31" s="438">
        <f t="shared" si="34"/>
        <v>1.1000000000000001</v>
      </c>
      <c r="AV31" s="204">
        <f t="shared" si="34"/>
        <v>134</v>
      </c>
      <c r="AW31" s="5">
        <v>2.9</v>
      </c>
      <c r="AX31" s="204">
        <f t="shared" ref="AX31" si="53">AX30</f>
        <v>120</v>
      </c>
      <c r="AY31" s="441">
        <f t="shared" si="7"/>
        <v>99.9</v>
      </c>
      <c r="AZ31" s="441">
        <f t="shared" si="27"/>
        <v>147.4</v>
      </c>
      <c r="BA31" s="441">
        <f t="shared" si="28"/>
        <v>348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2">
        <f t="shared" si="12"/>
        <v>0</v>
      </c>
      <c r="E32" s="342">
        <f>SUM((C32*$E$4)+(7500/'EDl log'!$A$38))</f>
        <v>250</v>
      </c>
      <c r="F32" s="336"/>
      <c r="G32" s="5">
        <f t="shared" si="13"/>
        <v>599629</v>
      </c>
      <c r="H32" s="5">
        <f t="shared" si="14"/>
        <v>0</v>
      </c>
      <c r="I32" s="5">
        <f t="shared" si="0"/>
        <v>0</v>
      </c>
      <c r="J32" s="343">
        <f t="shared" si="1"/>
        <v>0</v>
      </c>
      <c r="K32" s="5">
        <f>'Swimming Pool quality check '!H32</f>
        <v>6258</v>
      </c>
      <c r="L32" s="281">
        <f t="shared" si="33"/>
        <v>0</v>
      </c>
      <c r="M32" s="423">
        <f t="shared" si="15"/>
        <v>457.44</v>
      </c>
      <c r="N32" s="534">
        <f t="shared" si="35"/>
        <v>0</v>
      </c>
      <c r="O32" s="423">
        <f t="shared" si="16"/>
        <v>529.52</v>
      </c>
      <c r="P32" s="534">
        <f t="shared" si="36"/>
        <v>0</v>
      </c>
      <c r="Q32" s="534">
        <f t="shared" si="37"/>
        <v>0</v>
      </c>
      <c r="R32" s="536"/>
      <c r="S32" s="536"/>
      <c r="T32" s="5">
        <f t="shared" si="18"/>
        <v>4852</v>
      </c>
      <c r="U32" s="5">
        <f t="shared" si="4"/>
        <v>0</v>
      </c>
      <c r="V32" s="5">
        <f t="shared" si="18"/>
        <v>408</v>
      </c>
      <c r="W32" s="333">
        <f t="shared" si="17"/>
        <v>0</v>
      </c>
      <c r="X32" s="5">
        <f t="shared" si="18"/>
        <v>143983</v>
      </c>
      <c r="Y32" s="333">
        <f t="shared" si="19"/>
        <v>0</v>
      </c>
      <c r="Z32" s="5">
        <f t="shared" si="18"/>
        <v>95011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159.02000000000001</v>
      </c>
      <c r="AF32" s="84">
        <f t="shared" si="21"/>
        <v>0</v>
      </c>
      <c r="AG32" s="5">
        <f t="shared" si="18"/>
        <v>1635.2</v>
      </c>
      <c r="AH32" s="84">
        <f t="shared" si="22"/>
        <v>0</v>
      </c>
      <c r="AI32" s="84">
        <f t="shared" si="23"/>
        <v>0</v>
      </c>
      <c r="AJ32" s="335">
        <f t="shared" si="24"/>
        <v>0</v>
      </c>
      <c r="AK32" s="336">
        <v>0</v>
      </c>
      <c r="AL32" s="336">
        <f t="shared" si="25"/>
        <v>0</v>
      </c>
      <c r="AM32" s="336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4">
        <f t="shared" si="26"/>
        <v>44009</v>
      </c>
      <c r="AS32" s="437">
        <f t="shared" si="43"/>
        <v>0.9</v>
      </c>
      <c r="AT32" s="204">
        <f t="shared" si="43"/>
        <v>111</v>
      </c>
      <c r="AU32" s="438">
        <f t="shared" si="34"/>
        <v>1.1000000000000001</v>
      </c>
      <c r="AV32" s="204">
        <f t="shared" si="34"/>
        <v>134</v>
      </c>
      <c r="AW32" s="5">
        <v>2.9</v>
      </c>
      <c r="AX32" s="204">
        <f t="shared" ref="AX32" si="54">AX31</f>
        <v>120</v>
      </c>
      <c r="AY32" s="441">
        <f t="shared" si="7"/>
        <v>99.9</v>
      </c>
      <c r="AZ32" s="441">
        <f t="shared" si="27"/>
        <v>147.4</v>
      </c>
      <c r="BA32" s="441">
        <f t="shared" si="28"/>
        <v>348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2">
        <f t="shared" si="12"/>
        <v>0</v>
      </c>
      <c r="E33" s="342">
        <f>SUM((C33*$E$4)+(7500/'EDl log'!$A$38))</f>
        <v>250</v>
      </c>
      <c r="F33" s="336"/>
      <c r="G33" s="5">
        <f t="shared" si="13"/>
        <v>599629</v>
      </c>
      <c r="H33" s="5">
        <f t="shared" si="14"/>
        <v>0</v>
      </c>
      <c r="I33" s="5">
        <f t="shared" si="0"/>
        <v>0</v>
      </c>
      <c r="J33" s="343">
        <f t="shared" si="1"/>
        <v>0</v>
      </c>
      <c r="K33" s="5">
        <f>'Swimming Pool quality check '!H33</f>
        <v>6258</v>
      </c>
      <c r="L33" s="281">
        <f t="shared" si="33"/>
        <v>0</v>
      </c>
      <c r="M33" s="423">
        <f t="shared" si="15"/>
        <v>457.44</v>
      </c>
      <c r="N33" s="534">
        <f t="shared" si="35"/>
        <v>0</v>
      </c>
      <c r="O33" s="423">
        <f t="shared" si="16"/>
        <v>529.52</v>
      </c>
      <c r="P33" s="534">
        <f t="shared" si="36"/>
        <v>0</v>
      </c>
      <c r="Q33" s="534">
        <f t="shared" si="37"/>
        <v>0</v>
      </c>
      <c r="R33" s="536"/>
      <c r="S33" s="536"/>
      <c r="T33" s="5">
        <f t="shared" si="18"/>
        <v>4852</v>
      </c>
      <c r="U33" s="5">
        <f t="shared" si="4"/>
        <v>0</v>
      </c>
      <c r="V33" s="5">
        <f t="shared" si="18"/>
        <v>408</v>
      </c>
      <c r="W33" s="333">
        <f t="shared" si="17"/>
        <v>0</v>
      </c>
      <c r="X33" s="5">
        <f t="shared" si="18"/>
        <v>143983</v>
      </c>
      <c r="Y33" s="333">
        <f t="shared" si="19"/>
        <v>0</v>
      </c>
      <c r="Z33" s="5">
        <f t="shared" si="18"/>
        <v>95011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159.02000000000001</v>
      </c>
      <c r="AF33" s="84">
        <f>AE33-AE32</f>
        <v>0</v>
      </c>
      <c r="AG33" s="5">
        <f t="shared" si="18"/>
        <v>1635.2</v>
      </c>
      <c r="AH33" s="84">
        <f t="shared" si="22"/>
        <v>0</v>
      </c>
      <c r="AI33" s="84">
        <f t="shared" si="23"/>
        <v>0</v>
      </c>
      <c r="AJ33" s="335">
        <f t="shared" si="24"/>
        <v>0</v>
      </c>
      <c r="AK33" s="336">
        <f>SUM(Y33-L33)</f>
        <v>0</v>
      </c>
      <c r="AL33" s="336">
        <f t="shared" si="25"/>
        <v>0</v>
      </c>
      <c r="AM33" s="336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4">
        <f t="shared" si="26"/>
        <v>44010</v>
      </c>
      <c r="AS33" s="437">
        <f t="shared" si="43"/>
        <v>0.9</v>
      </c>
      <c r="AT33" s="204">
        <f t="shared" si="43"/>
        <v>111</v>
      </c>
      <c r="AU33" s="438">
        <f t="shared" si="34"/>
        <v>1.1000000000000001</v>
      </c>
      <c r="AV33" s="204">
        <f t="shared" si="34"/>
        <v>134</v>
      </c>
      <c r="AW33" s="5">
        <v>2.9</v>
      </c>
      <c r="AX33" s="204">
        <f t="shared" ref="AX33" si="55">AX32</f>
        <v>120</v>
      </c>
      <c r="AY33" s="441">
        <f t="shared" si="7"/>
        <v>99.9</v>
      </c>
      <c r="AZ33" s="441">
        <f t="shared" si="27"/>
        <v>147.4</v>
      </c>
      <c r="BA33" s="441">
        <f t="shared" si="28"/>
        <v>348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2">
        <f t="shared" si="12"/>
        <v>0</v>
      </c>
      <c r="E34" s="342">
        <f>SUM((C34*$E$4)+(7500/'EDl log'!$A$38))</f>
        <v>250</v>
      </c>
      <c r="F34" s="336"/>
      <c r="G34" s="5">
        <f t="shared" si="13"/>
        <v>599629</v>
      </c>
      <c r="H34" s="5">
        <f t="shared" si="14"/>
        <v>0</v>
      </c>
      <c r="I34" s="5">
        <f t="shared" si="0"/>
        <v>0</v>
      </c>
      <c r="J34" s="343">
        <f t="shared" si="1"/>
        <v>0</v>
      </c>
      <c r="K34" s="5">
        <f>'Swimming Pool quality check '!H34</f>
        <v>6258</v>
      </c>
      <c r="L34" s="281">
        <f t="shared" si="33"/>
        <v>0</v>
      </c>
      <c r="M34" s="423">
        <f t="shared" si="15"/>
        <v>457.44</v>
      </c>
      <c r="N34" s="534">
        <f t="shared" si="35"/>
        <v>0</v>
      </c>
      <c r="O34" s="423">
        <f t="shared" si="16"/>
        <v>529.52</v>
      </c>
      <c r="P34" s="534">
        <f t="shared" si="36"/>
        <v>0</v>
      </c>
      <c r="Q34" s="534">
        <f t="shared" si="37"/>
        <v>0</v>
      </c>
      <c r="R34" s="536"/>
      <c r="S34" s="536"/>
      <c r="T34" s="5">
        <f t="shared" si="18"/>
        <v>4852</v>
      </c>
      <c r="U34" s="5">
        <f t="shared" si="4"/>
        <v>0</v>
      </c>
      <c r="V34" s="5">
        <f t="shared" si="18"/>
        <v>408</v>
      </c>
      <c r="W34" s="333">
        <f t="shared" si="17"/>
        <v>0</v>
      </c>
      <c r="X34" s="5">
        <f t="shared" si="18"/>
        <v>143983</v>
      </c>
      <c r="Y34" s="333">
        <f t="shared" si="19"/>
        <v>0</v>
      </c>
      <c r="Z34" s="5">
        <f t="shared" si="18"/>
        <v>95011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159.02000000000001</v>
      </c>
      <c r="AF34" s="84">
        <f t="shared" si="21"/>
        <v>0</v>
      </c>
      <c r="AG34" s="5">
        <f t="shared" si="18"/>
        <v>1635.2</v>
      </c>
      <c r="AH34" s="84">
        <f t="shared" si="22"/>
        <v>0</v>
      </c>
      <c r="AI34" s="84">
        <f t="shared" si="23"/>
        <v>0</v>
      </c>
      <c r="AJ34" s="335">
        <f t="shared" si="24"/>
        <v>0</v>
      </c>
      <c r="AK34" s="336">
        <f t="shared" si="5"/>
        <v>0</v>
      </c>
      <c r="AL34" s="336">
        <f t="shared" si="25"/>
        <v>0</v>
      </c>
      <c r="AM34" s="336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4">
        <f t="shared" si="26"/>
        <v>44011</v>
      </c>
      <c r="AS34" s="437">
        <f t="shared" si="43"/>
        <v>0.9</v>
      </c>
      <c r="AT34" s="204">
        <f t="shared" si="43"/>
        <v>111</v>
      </c>
      <c r="AU34" s="439">
        <f t="shared" si="34"/>
        <v>1.1000000000000001</v>
      </c>
      <c r="AV34" s="204">
        <f t="shared" si="34"/>
        <v>134</v>
      </c>
      <c r="AW34" s="5">
        <v>2.9</v>
      </c>
      <c r="AX34" s="204">
        <f t="shared" ref="AX34" si="56">AX33</f>
        <v>120</v>
      </c>
      <c r="AY34" s="441">
        <f t="shared" si="7"/>
        <v>99.9</v>
      </c>
      <c r="AZ34" s="441">
        <f t="shared" si="27"/>
        <v>147.4</v>
      </c>
      <c r="BA34" s="441">
        <f t="shared" si="28"/>
        <v>348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2">
        <f t="shared" si="12"/>
        <v>0</v>
      </c>
      <c r="E35" s="342">
        <f>SUM((C35*$E$4)+(7500/'EDl log'!$A$38))</f>
        <v>250</v>
      </c>
      <c r="F35" s="336"/>
      <c r="G35" s="5">
        <f t="shared" si="13"/>
        <v>599629</v>
      </c>
      <c r="H35" s="5">
        <f t="shared" si="14"/>
        <v>0</v>
      </c>
      <c r="I35" s="5">
        <f t="shared" si="0"/>
        <v>0</v>
      </c>
      <c r="J35" s="343">
        <f t="shared" si="1"/>
        <v>0</v>
      </c>
      <c r="K35" s="5">
        <f>'Swimming Pool quality check '!H35</f>
        <v>6258</v>
      </c>
      <c r="L35" s="84">
        <f t="shared" si="33"/>
        <v>0</v>
      </c>
      <c r="M35" s="423">
        <f t="shared" si="15"/>
        <v>457.44</v>
      </c>
      <c r="N35" s="534">
        <f t="shared" si="35"/>
        <v>0</v>
      </c>
      <c r="O35" s="423">
        <f t="shared" si="16"/>
        <v>529.52</v>
      </c>
      <c r="P35" s="534">
        <f t="shared" si="36"/>
        <v>0</v>
      </c>
      <c r="Q35" s="534">
        <f t="shared" si="37"/>
        <v>0</v>
      </c>
      <c r="R35" s="534"/>
      <c r="S35" s="534"/>
      <c r="T35" s="5">
        <f t="shared" si="18"/>
        <v>4852</v>
      </c>
      <c r="U35" s="5">
        <f t="shared" si="4"/>
        <v>0</v>
      </c>
      <c r="V35" s="5">
        <f t="shared" si="18"/>
        <v>408</v>
      </c>
      <c r="W35" s="333">
        <f t="shared" si="17"/>
        <v>0</v>
      </c>
      <c r="X35" s="5">
        <f t="shared" si="18"/>
        <v>143983</v>
      </c>
      <c r="Y35" s="333">
        <f t="shared" si="19"/>
        <v>0</v>
      </c>
      <c r="Z35" s="5">
        <f t="shared" si="18"/>
        <v>95011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159.02000000000001</v>
      </c>
      <c r="AF35" s="84">
        <f t="shared" si="21"/>
        <v>0</v>
      </c>
      <c r="AG35" s="5">
        <f t="shared" si="18"/>
        <v>1635.2</v>
      </c>
      <c r="AH35" s="84">
        <f t="shared" si="22"/>
        <v>0</v>
      </c>
      <c r="AI35" s="84">
        <f t="shared" si="23"/>
        <v>0</v>
      </c>
      <c r="AJ35" s="335">
        <f t="shared" si="24"/>
        <v>0</v>
      </c>
      <c r="AK35" s="336">
        <f t="shared" si="5"/>
        <v>0</v>
      </c>
      <c r="AL35" s="336">
        <f t="shared" si="25"/>
        <v>0</v>
      </c>
      <c r="AM35" s="336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4">
        <f t="shared" si="26"/>
        <v>44012</v>
      </c>
      <c r="AS35" s="437">
        <f t="shared" si="43"/>
        <v>0.9</v>
      </c>
      <c r="AT35" s="204">
        <f t="shared" si="43"/>
        <v>111</v>
      </c>
      <c r="AU35" s="440">
        <f t="shared" si="34"/>
        <v>1.1000000000000001</v>
      </c>
      <c r="AV35" s="204">
        <f t="shared" si="34"/>
        <v>134</v>
      </c>
      <c r="AW35" s="5">
        <v>2.9</v>
      </c>
      <c r="AX35" s="204">
        <f t="shared" ref="AX35" si="57">AX34</f>
        <v>120</v>
      </c>
      <c r="AY35" s="441">
        <f t="shared" si="7"/>
        <v>99.9</v>
      </c>
      <c r="AZ35" s="441">
        <f t="shared" si="27"/>
        <v>147.4</v>
      </c>
      <c r="BA35" s="441">
        <f t="shared" si="28"/>
        <v>348</v>
      </c>
      <c r="BB35" s="21">
        <f t="shared" si="29"/>
        <v>0</v>
      </c>
      <c r="BC35" s="230">
        <f t="shared" si="29"/>
        <v>0</v>
      </c>
      <c r="BD35" s="230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5">
        <f>SUM(C6:C35)</f>
        <v>0</v>
      </c>
      <c r="D36" s="331">
        <f>SUM(D6:D35)</f>
        <v>0</v>
      </c>
      <c r="F36" s="427">
        <f>SUM(F6:F35)</f>
        <v>0</v>
      </c>
      <c r="H36" s="425">
        <f>SUM(H6:H35)</f>
        <v>655</v>
      </c>
      <c r="I36" s="425">
        <f>SUM(I6:I35)</f>
        <v>655</v>
      </c>
      <c r="L36" s="274">
        <f>SUM(L7:L35)</f>
        <v>46</v>
      </c>
      <c r="Q36" s="513">
        <f>SUM(Q5:Q35)</f>
        <v>0</v>
      </c>
      <c r="U36" s="422">
        <f>SUM(U6:U35)</f>
        <v>22</v>
      </c>
      <c r="X36" s="332"/>
      <c r="Y36" s="331" t="e">
        <f>SUM(Y35,Y33,Y31,Y29,Y27,Y25,Y23,Y21,Y19,Y17,Y15,Y13,Y11,Y9,Y7+#REF!)</f>
        <v>#REF!</v>
      </c>
      <c r="AJ36" s="331">
        <f>SUM(AJ6:AJ35)</f>
        <v>213</v>
      </c>
      <c r="AK36" s="336" t="e">
        <f t="shared" si="5"/>
        <v>#REF!</v>
      </c>
      <c r="AL36" s="331">
        <f>SUM(AL6:AL35)</f>
        <v>212</v>
      </c>
      <c r="AP36" s="17"/>
      <c r="AQ36" s="17"/>
      <c r="AR36" s="17"/>
      <c r="AS36" s="229"/>
      <c r="AT36" s="5"/>
      <c r="AU36" s="229"/>
      <c r="AV36" s="17"/>
      <c r="AW36" s="231"/>
      <c r="AX36" s="231"/>
      <c r="AY36" s="231"/>
      <c r="AZ36" s="17"/>
      <c r="BA36" s="17"/>
      <c r="BB36" s="17"/>
      <c r="BC36" s="17"/>
      <c r="BD36" s="17"/>
    </row>
    <row r="37" spans="1:59">
      <c r="C37" s="1">
        <f>+C36*1.66</f>
        <v>0</v>
      </c>
      <c r="E37" s="341">
        <f>SUM(E6:E35)</f>
        <v>7500</v>
      </c>
      <c r="F37" s="430">
        <f>SUM(F6:F35)</f>
        <v>0</v>
      </c>
      <c r="H37" s="158">
        <v>7500</v>
      </c>
      <c r="I37" s="426">
        <f>SUM('General information '!G36/WATER!I36)</f>
        <v>6.7103816793893128E-2</v>
      </c>
      <c r="L37" s="158"/>
      <c r="O37" s="510">
        <f>SUM(Q36+I36)</f>
        <v>655</v>
      </c>
      <c r="Z37" s="331" t="e">
        <f>SUM(Y36:AJ36)</f>
        <v>#REF!</v>
      </c>
      <c r="AK37" s="336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1">
        <f>9*27</f>
        <v>243</v>
      </c>
      <c r="D38" s="427">
        <f>SUM(D21:D35)</f>
        <v>0</v>
      </c>
      <c r="F38" s="428">
        <f>SUM(F6:F35)</f>
        <v>0</v>
      </c>
      <c r="G38" s="1">
        <f>SUM(I36)</f>
        <v>655</v>
      </c>
      <c r="H38" s="1">
        <f>SUM(H37+C37)</f>
        <v>7500</v>
      </c>
      <c r="K38" s="1">
        <f>SUM(H38/G38)</f>
        <v>11.450381679389313</v>
      </c>
      <c r="AJ38" s="331">
        <f>SUM(C37-AK37)</f>
        <v>0</v>
      </c>
      <c r="AM38" s="358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J17" sqref="J17"/>
    </sheetView>
  </sheetViews>
  <sheetFormatPr defaultRowHeight="15"/>
  <cols>
    <col min="1" max="1" width="11.85546875" style="50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9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499"/>
      <c r="B4" s="150" t="s">
        <v>390</v>
      </c>
      <c r="C4" s="151" t="s">
        <v>158</v>
      </c>
      <c r="D4" s="148" t="s">
        <v>160</v>
      </c>
      <c r="E4" s="152" t="s">
        <v>159</v>
      </c>
      <c r="F4" s="521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0">
        <f>ELEC!C2</f>
        <v>43982</v>
      </c>
      <c r="B5" s="368">
        <f>'[2]General information '!B36</f>
        <v>24</v>
      </c>
      <c r="C5" s="368">
        <f>'[2]General information '!C36</f>
        <v>19</v>
      </c>
      <c r="D5" s="368">
        <f>'[2]General information '!D36</f>
        <v>21.5</v>
      </c>
      <c r="E5" s="368">
        <f>'[2]General information '!E36</f>
        <v>0.59</v>
      </c>
      <c r="F5" s="368">
        <f>'[2]General information '!F36</f>
        <v>1.7399999999999999E-2</v>
      </c>
      <c r="G5" s="368">
        <f>'[2]General information '!G36</f>
        <v>4.0019999999999998</v>
      </c>
      <c r="H5" s="368">
        <f>'[2]General information '!H36</f>
        <v>0</v>
      </c>
      <c r="I5" s="368">
        <f>'[2]General information '!I36</f>
        <v>0</v>
      </c>
      <c r="J5" s="368">
        <f>'[2]General information '!J36</f>
        <v>149</v>
      </c>
      <c r="K5" s="368">
        <f>'[2]General information '!K36</f>
        <v>149</v>
      </c>
      <c r="L5" s="368">
        <f>'[2]General information '!L36</f>
        <v>0</v>
      </c>
      <c r="M5" s="368">
        <f>'[2]General information '!M36</f>
        <v>0</v>
      </c>
      <c r="N5" s="368">
        <f>'[2]General information '!N36</f>
        <v>0</v>
      </c>
      <c r="O5" s="368">
        <f>'[2]General information '!O36</f>
        <v>0</v>
      </c>
    </row>
    <row r="6" spans="1:15">
      <c r="A6" s="500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49">
        <v>0.61</v>
      </c>
      <c r="F6" s="355">
        <v>2.1700000000000001E-2</v>
      </c>
      <c r="G6" s="245">
        <f t="shared" ref="G6:G12" si="1">F6*230</f>
        <v>4.9910000000000005</v>
      </c>
      <c r="H6" s="3">
        <v>0</v>
      </c>
      <c r="I6" s="3"/>
      <c r="J6" s="37">
        <v>137</v>
      </c>
      <c r="K6" s="269">
        <f t="shared" ref="K6:K26" si="2">+J6+H6</f>
        <v>137</v>
      </c>
      <c r="L6" s="3"/>
      <c r="M6" s="3"/>
      <c r="N6" s="156"/>
      <c r="O6" s="3"/>
    </row>
    <row r="7" spans="1:15">
      <c r="A7" s="500">
        <f>ELEC!C4</f>
        <v>43984</v>
      </c>
      <c r="B7" s="37">
        <v>24</v>
      </c>
      <c r="C7" s="37">
        <v>20</v>
      </c>
      <c r="D7" s="26">
        <f t="shared" si="0"/>
        <v>22</v>
      </c>
      <c r="E7" s="349">
        <v>0.6</v>
      </c>
      <c r="F7" s="355">
        <v>8.6999999999999994E-3</v>
      </c>
      <c r="G7" s="245">
        <f t="shared" si="1"/>
        <v>2.0009999999999999</v>
      </c>
      <c r="H7" s="3">
        <v>0</v>
      </c>
      <c r="I7" s="3"/>
      <c r="J7" s="37">
        <v>126</v>
      </c>
      <c r="K7" s="269">
        <f t="shared" si="2"/>
        <v>126</v>
      </c>
      <c r="L7" s="3"/>
      <c r="M7" s="3"/>
      <c r="N7" s="156"/>
      <c r="O7" s="3"/>
    </row>
    <row r="8" spans="1:15">
      <c r="A8" s="500">
        <f>ELEC!C5</f>
        <v>43985</v>
      </c>
      <c r="B8" s="37">
        <v>27</v>
      </c>
      <c r="C8" s="37">
        <v>19</v>
      </c>
      <c r="D8" s="26">
        <f t="shared" si="0"/>
        <v>23</v>
      </c>
      <c r="E8" s="349">
        <v>0.6</v>
      </c>
      <c r="F8" s="349">
        <v>2.6100000000000002E-2</v>
      </c>
      <c r="G8" s="245">
        <f t="shared" si="1"/>
        <v>6.0030000000000001</v>
      </c>
      <c r="H8" s="3"/>
      <c r="I8" s="3"/>
      <c r="J8" s="37">
        <v>172</v>
      </c>
      <c r="K8" s="269">
        <f t="shared" si="2"/>
        <v>172</v>
      </c>
      <c r="L8" s="3"/>
      <c r="M8" s="170"/>
      <c r="N8" s="156"/>
      <c r="O8" s="3"/>
    </row>
    <row r="9" spans="1:15">
      <c r="A9" s="500">
        <f>ELEC!C6</f>
        <v>43986</v>
      </c>
      <c r="B9" s="37">
        <v>26</v>
      </c>
      <c r="C9" s="37">
        <v>18</v>
      </c>
      <c r="D9" s="26">
        <f>(C9+B9)/2</f>
        <v>22</v>
      </c>
      <c r="E9" s="406">
        <v>0.62</v>
      </c>
      <c r="F9" s="406">
        <v>2.1700000000000001E-2</v>
      </c>
      <c r="G9" s="245">
        <f>F9*230</f>
        <v>4.9910000000000005</v>
      </c>
      <c r="H9" s="3">
        <v>0</v>
      </c>
      <c r="I9" s="3"/>
      <c r="J9" s="37">
        <v>182</v>
      </c>
      <c r="K9" s="269">
        <f>+J9+H9</f>
        <v>182</v>
      </c>
      <c r="L9" s="3"/>
      <c r="M9" s="3"/>
      <c r="N9" s="156"/>
      <c r="O9" s="3"/>
    </row>
    <row r="10" spans="1:15">
      <c r="A10" s="500">
        <f>ELEC!C7</f>
        <v>43987</v>
      </c>
      <c r="B10" s="37">
        <v>25</v>
      </c>
      <c r="C10" s="37">
        <v>17</v>
      </c>
      <c r="D10" s="26">
        <f t="shared" si="0"/>
        <v>21</v>
      </c>
      <c r="E10" s="366">
        <v>0.6</v>
      </c>
      <c r="F10" s="349">
        <v>1.2999999999999999E-2</v>
      </c>
      <c r="G10" s="245">
        <f t="shared" si="1"/>
        <v>2.9899999999999998</v>
      </c>
      <c r="H10" s="3">
        <v>0</v>
      </c>
      <c r="I10" s="3"/>
      <c r="J10" s="37">
        <v>292</v>
      </c>
      <c r="K10" s="269">
        <f t="shared" si="2"/>
        <v>292</v>
      </c>
      <c r="L10" s="3"/>
      <c r="M10" s="3"/>
      <c r="N10" s="156"/>
      <c r="O10" s="3"/>
    </row>
    <row r="11" spans="1:15">
      <c r="A11" s="500">
        <f>ELEC!C8</f>
        <v>43988</v>
      </c>
      <c r="B11" s="37">
        <v>26</v>
      </c>
      <c r="C11" s="37">
        <v>18</v>
      </c>
      <c r="D11" s="26">
        <f t="shared" si="0"/>
        <v>22</v>
      </c>
      <c r="E11" s="406">
        <v>0.63</v>
      </c>
      <c r="F11" s="349">
        <v>2.1700000000000001E-2</v>
      </c>
      <c r="G11" s="245">
        <f t="shared" si="1"/>
        <v>4.9910000000000005</v>
      </c>
      <c r="H11" s="3">
        <v>0</v>
      </c>
      <c r="I11" s="3"/>
      <c r="J11" s="37">
        <v>61</v>
      </c>
      <c r="K11" s="269">
        <f>+J11+H11</f>
        <v>61</v>
      </c>
      <c r="L11" s="3"/>
      <c r="M11" s="3"/>
      <c r="N11" s="156"/>
      <c r="O11" s="3"/>
    </row>
    <row r="12" spans="1:15">
      <c r="A12" s="500">
        <f>ELEC!C9</f>
        <v>43989</v>
      </c>
      <c r="B12" s="37">
        <v>27</v>
      </c>
      <c r="C12" s="37">
        <v>21</v>
      </c>
      <c r="D12" s="26">
        <f t="shared" si="0"/>
        <v>24</v>
      </c>
      <c r="E12" s="406">
        <v>0.7</v>
      </c>
      <c r="F12" s="406">
        <v>1.7399999999999999E-2</v>
      </c>
      <c r="G12" s="245">
        <f t="shared" si="1"/>
        <v>4.0019999999999998</v>
      </c>
      <c r="H12" s="3"/>
      <c r="I12" s="3"/>
      <c r="J12" s="37">
        <v>206</v>
      </c>
      <c r="K12" s="269">
        <f t="shared" si="2"/>
        <v>206</v>
      </c>
      <c r="L12" s="3"/>
      <c r="M12" s="3"/>
      <c r="N12" s="156"/>
      <c r="O12" s="3"/>
    </row>
    <row r="13" spans="1:15">
      <c r="A13" s="500">
        <f>ELEC!C10</f>
        <v>43990</v>
      </c>
      <c r="B13" s="37">
        <v>26</v>
      </c>
      <c r="C13" s="37">
        <v>22</v>
      </c>
      <c r="D13" s="26">
        <f>(C13+B13)/2</f>
        <v>24</v>
      </c>
      <c r="E13" s="366">
        <v>0.72</v>
      </c>
      <c r="F13" s="366">
        <v>1.2999999999999999E-2</v>
      </c>
      <c r="G13" s="245">
        <f>F13*230</f>
        <v>2.9899999999999998</v>
      </c>
      <c r="H13" s="3">
        <v>0</v>
      </c>
      <c r="I13" s="3"/>
      <c r="J13" s="37">
        <v>115</v>
      </c>
      <c r="K13" s="269">
        <f t="shared" si="2"/>
        <v>115</v>
      </c>
      <c r="L13" s="3"/>
      <c r="M13" s="3"/>
      <c r="N13" s="156"/>
      <c r="O13" s="3"/>
    </row>
    <row r="14" spans="1:15">
      <c r="A14" s="500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49">
        <v>0.68</v>
      </c>
      <c r="F14" s="349">
        <v>1.7399999999999999E-2</v>
      </c>
      <c r="G14" s="245">
        <f t="shared" ref="G14:G35" si="4">F14*230</f>
        <v>4.0019999999999998</v>
      </c>
      <c r="H14" s="3"/>
      <c r="I14" s="3"/>
      <c r="J14" s="37">
        <v>186</v>
      </c>
      <c r="K14" s="269">
        <f t="shared" si="2"/>
        <v>186</v>
      </c>
      <c r="L14" s="3"/>
      <c r="M14" s="3"/>
      <c r="N14" s="156"/>
      <c r="O14" s="3"/>
    </row>
    <row r="15" spans="1:15">
      <c r="A15" s="500">
        <f>ELEC!C12</f>
        <v>43992</v>
      </c>
      <c r="B15" s="37">
        <v>28</v>
      </c>
      <c r="C15" s="37">
        <v>20</v>
      </c>
      <c r="D15" s="26">
        <f t="shared" si="3"/>
        <v>24</v>
      </c>
      <c r="E15" s="349">
        <v>0.65</v>
      </c>
      <c r="F15" s="349">
        <v>1.7399999999999999E-2</v>
      </c>
      <c r="G15" s="245">
        <f>F15*230</f>
        <v>4.0019999999999998</v>
      </c>
      <c r="H15" s="3"/>
      <c r="I15" s="3"/>
      <c r="J15" s="37">
        <v>177</v>
      </c>
      <c r="K15" s="269">
        <f>+J15+H15</f>
        <v>177</v>
      </c>
      <c r="L15" s="3"/>
      <c r="M15" s="3"/>
      <c r="N15" s="156"/>
      <c r="O15" s="3"/>
    </row>
    <row r="16" spans="1:15">
      <c r="A16" s="500">
        <f>ELEC!C13</f>
        <v>43993</v>
      </c>
      <c r="B16" s="37">
        <v>28</v>
      </c>
      <c r="C16" s="37">
        <v>20</v>
      </c>
      <c r="D16" s="26">
        <f t="shared" si="3"/>
        <v>24</v>
      </c>
      <c r="E16" s="349">
        <v>0.68</v>
      </c>
      <c r="F16" s="349">
        <v>1.2999999999999999E-2</v>
      </c>
      <c r="G16" s="245">
        <f t="shared" si="4"/>
        <v>2.9899999999999998</v>
      </c>
      <c r="H16" s="3"/>
      <c r="I16" s="3"/>
      <c r="J16" s="37">
        <v>162</v>
      </c>
      <c r="K16" s="269">
        <f>+J16+H16</f>
        <v>162</v>
      </c>
      <c r="L16" s="3"/>
      <c r="M16" s="3"/>
      <c r="N16" s="156"/>
      <c r="O16" s="3"/>
    </row>
    <row r="17" spans="1:15">
      <c r="A17" s="500">
        <f>ELEC!C14</f>
        <v>43994</v>
      </c>
      <c r="B17" s="37"/>
      <c r="C17" s="37"/>
      <c r="D17" s="26">
        <f t="shared" si="3"/>
        <v>0</v>
      </c>
      <c r="E17" s="349"/>
      <c r="F17" s="349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6"/>
      <c r="O17" s="3"/>
    </row>
    <row r="18" spans="1:15">
      <c r="A18" s="500">
        <f>ELEC!C15</f>
        <v>43995</v>
      </c>
      <c r="B18" s="37"/>
      <c r="C18" s="37"/>
      <c r="D18" s="26">
        <f t="shared" si="3"/>
        <v>0</v>
      </c>
      <c r="E18" s="442"/>
      <c r="F18" s="349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6"/>
      <c r="O18" s="3"/>
    </row>
    <row r="19" spans="1:15">
      <c r="A19" s="500">
        <f>ELEC!C16</f>
        <v>43996</v>
      </c>
      <c r="B19" s="37"/>
      <c r="C19" s="37"/>
      <c r="D19" s="26">
        <f t="shared" si="3"/>
        <v>0</v>
      </c>
      <c r="E19" s="349"/>
      <c r="F19" s="349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6"/>
      <c r="O19" s="3"/>
    </row>
    <row r="20" spans="1:15">
      <c r="A20" s="500">
        <f>ELEC!C17</f>
        <v>43997</v>
      </c>
      <c r="B20" s="37"/>
      <c r="C20" s="37"/>
      <c r="D20" s="26">
        <f t="shared" si="3"/>
        <v>0</v>
      </c>
      <c r="E20" s="349"/>
      <c r="F20" s="349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6"/>
      <c r="O20" s="3"/>
    </row>
    <row r="21" spans="1:15">
      <c r="A21" s="500">
        <f>ELEC!C18</f>
        <v>43998</v>
      </c>
      <c r="B21" s="37"/>
      <c r="C21" s="37"/>
      <c r="D21" s="26">
        <f>(C21+B21)/2</f>
        <v>0</v>
      </c>
      <c r="E21" s="349"/>
      <c r="F21" s="349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6"/>
      <c r="O21" s="3"/>
    </row>
    <row r="22" spans="1:15">
      <c r="A22" s="500">
        <f>ELEC!C19</f>
        <v>43999</v>
      </c>
      <c r="B22" s="37"/>
      <c r="C22" s="37"/>
      <c r="D22" s="26">
        <f t="shared" si="3"/>
        <v>0</v>
      </c>
      <c r="E22" s="349"/>
      <c r="F22" s="406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6"/>
      <c r="O22" s="3"/>
    </row>
    <row r="23" spans="1:15">
      <c r="A23" s="500">
        <f>ELEC!C20</f>
        <v>44000</v>
      </c>
      <c r="B23" s="37"/>
      <c r="C23" s="37"/>
      <c r="D23" s="26">
        <f>(C23+B23)/2</f>
        <v>0</v>
      </c>
      <c r="E23" s="349"/>
      <c r="F23" s="349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6"/>
      <c r="O23" s="3"/>
    </row>
    <row r="24" spans="1:15">
      <c r="A24" s="500">
        <f>ELEC!C21</f>
        <v>44001</v>
      </c>
      <c r="B24" s="37"/>
      <c r="C24" s="37"/>
      <c r="D24" s="26">
        <f t="shared" si="3"/>
        <v>0</v>
      </c>
      <c r="E24" s="349"/>
      <c r="F24" s="349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6"/>
      <c r="O24" s="3"/>
    </row>
    <row r="25" spans="1:15">
      <c r="A25" s="500">
        <f>ELEC!C22</f>
        <v>44002</v>
      </c>
      <c r="B25" s="37"/>
      <c r="C25" s="37"/>
      <c r="D25" s="26">
        <f t="shared" si="3"/>
        <v>0</v>
      </c>
      <c r="E25" s="349"/>
      <c r="F25" s="349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6"/>
      <c r="O25" s="3"/>
    </row>
    <row r="26" spans="1:15">
      <c r="A26" s="500">
        <f>ELEC!C23</f>
        <v>44003</v>
      </c>
      <c r="B26" s="37"/>
      <c r="C26" s="37"/>
      <c r="D26" s="26">
        <f>(C26+B26)/2</f>
        <v>0</v>
      </c>
      <c r="E26" s="349"/>
      <c r="F26" s="349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6"/>
      <c r="O26" s="3"/>
    </row>
    <row r="27" spans="1:15">
      <c r="A27" s="500">
        <f>ELEC!C24</f>
        <v>44004</v>
      </c>
      <c r="B27" s="37"/>
      <c r="C27" s="37"/>
      <c r="D27" s="26">
        <f t="shared" si="3"/>
        <v>0</v>
      </c>
      <c r="E27" s="349"/>
      <c r="F27" s="349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6"/>
      <c r="O27" s="3"/>
    </row>
    <row r="28" spans="1:15">
      <c r="A28" s="500">
        <f>ELEC!C25</f>
        <v>44005</v>
      </c>
      <c r="B28" s="37"/>
      <c r="C28" s="37"/>
      <c r="D28" s="26">
        <f t="shared" si="3"/>
        <v>0</v>
      </c>
      <c r="E28" s="349"/>
      <c r="F28" s="349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6"/>
      <c r="O28" s="3"/>
    </row>
    <row r="29" spans="1:15">
      <c r="A29" s="500">
        <f>ELEC!C26</f>
        <v>44006</v>
      </c>
      <c r="B29" s="37"/>
      <c r="C29" s="37"/>
      <c r="D29" s="26">
        <f t="shared" si="3"/>
        <v>0</v>
      </c>
      <c r="E29" s="349"/>
      <c r="F29" s="349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6"/>
      <c r="O29" s="3"/>
    </row>
    <row r="30" spans="1:15">
      <c r="A30" s="500">
        <f>ELEC!C27</f>
        <v>44007</v>
      </c>
      <c r="B30" s="37"/>
      <c r="C30" s="37"/>
      <c r="D30" s="26">
        <f t="shared" si="3"/>
        <v>0</v>
      </c>
      <c r="E30" s="349"/>
      <c r="F30" s="406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6"/>
      <c r="O30" s="3"/>
    </row>
    <row r="31" spans="1:15">
      <c r="A31" s="500">
        <f>ELEC!C28</f>
        <v>44008</v>
      </c>
      <c r="B31" s="37"/>
      <c r="C31" s="37"/>
      <c r="D31" s="3">
        <f t="shared" si="3"/>
        <v>0</v>
      </c>
      <c r="E31" s="350"/>
      <c r="F31" s="289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6"/>
      <c r="O31" s="3"/>
    </row>
    <row r="32" spans="1:15">
      <c r="A32" s="500">
        <f>ELEC!C29</f>
        <v>44009</v>
      </c>
      <c r="B32" s="37"/>
      <c r="C32" s="37"/>
      <c r="D32" s="288">
        <f>(C32+B32)/2</f>
        <v>0</v>
      </c>
      <c r="E32" s="350"/>
      <c r="F32" s="354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6"/>
      <c r="O32" s="3"/>
    </row>
    <row r="33" spans="1:15">
      <c r="A33" s="500">
        <f>ELEC!C30</f>
        <v>44010</v>
      </c>
      <c r="B33" s="37"/>
      <c r="C33" s="37"/>
      <c r="D33" s="26">
        <f t="shared" si="3"/>
        <v>0</v>
      </c>
      <c r="E33" s="349"/>
      <c r="F33" s="349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6"/>
      <c r="O33" s="3"/>
    </row>
    <row r="34" spans="1:15">
      <c r="A34" s="500">
        <f>ELEC!C31</f>
        <v>44011</v>
      </c>
      <c r="B34" s="37"/>
      <c r="C34" s="37"/>
      <c r="D34" s="26">
        <f t="shared" si="3"/>
        <v>0</v>
      </c>
      <c r="E34" s="349"/>
      <c r="F34" s="349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6"/>
      <c r="O34" s="3"/>
    </row>
    <row r="35" spans="1:15">
      <c r="A35" s="500">
        <f>ELEC!C32</f>
        <v>44012</v>
      </c>
      <c r="B35" s="37"/>
      <c r="C35" s="37"/>
      <c r="D35" s="26">
        <f t="shared" si="3"/>
        <v>0</v>
      </c>
      <c r="E35" s="366"/>
      <c r="F35" s="366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6"/>
      <c r="O35" s="3"/>
    </row>
    <row r="36" spans="1:15">
      <c r="D36" s="267"/>
      <c r="F36" s="551">
        <f>AVERAGE(F6:F35)</f>
        <v>1.7372727272727276E-2</v>
      </c>
      <c r="G36" s="206">
        <f>SUM(G6:G35)</f>
        <v>43.953000000000003</v>
      </c>
    </row>
    <row r="37" spans="1:15">
      <c r="D37" s="267">
        <f>SUM(D6:D35)/'EDl log'!A36</f>
        <v>22.954545454545453</v>
      </c>
      <c r="F37" s="214"/>
    </row>
    <row r="40" spans="1:15">
      <c r="I40" s="424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0" zoomScale="90" zoomScaleNormal="90" workbookViewId="0">
      <pane xSplit="1" topLeftCell="AP1" activePane="topRight" state="frozen"/>
      <selection pane="topRight" activeCell="AR12" sqref="AR12:AR3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234</v>
      </c>
      <c r="AT3" s="627" t="s">
        <v>302</v>
      </c>
      <c r="AU3" s="628"/>
      <c r="AV3" s="31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222</v>
      </c>
      <c r="AV4" s="313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59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3">
        <f>[2]tanks!AN36</f>
        <v>0.66428571428571426</v>
      </c>
      <c r="AO5" s="554">
        <f>[2]tanks!AO36</f>
        <v>13020</v>
      </c>
      <c r="AP5" s="554">
        <f>[2]tanks!AP36</f>
        <v>0</v>
      </c>
      <c r="AQ5" s="523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3">
        <f>[2]tanks!AZ36</f>
        <v>1.7399999999999999E-2</v>
      </c>
      <c r="BA5" s="568">
        <f>[2]tanks!BA36</f>
        <v>21.5</v>
      </c>
      <c r="BB5" s="523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6"/>
    </row>
    <row r="6" spans="1:61">
      <c r="A6" s="459">
        <f>ELEC!C3</f>
        <v>43983</v>
      </c>
      <c r="B6">
        <f>'B5'!B5</f>
        <v>175</v>
      </c>
      <c r="C6" s="206">
        <f>B6*$B$4</f>
        <v>3765.322580645161</v>
      </c>
      <c r="D6">
        <f>SUM(B6)</f>
        <v>175</v>
      </c>
      <c r="E6" s="206">
        <f>D6*$B$4</f>
        <v>3765.322580645161</v>
      </c>
      <c r="F6">
        <f>SUM(D6)</f>
        <v>175</v>
      </c>
      <c r="G6" s="206">
        <f t="shared" ref="G6:G35" si="1">F6*$B$4</f>
        <v>3765.322580645161</v>
      </c>
      <c r="H6" s="206">
        <f>SUM(F6)</f>
        <v>175</v>
      </c>
      <c r="I6" s="206">
        <f t="shared" ref="I6:I35" si="2">H6*$B$4</f>
        <v>3765.322580645161</v>
      </c>
      <c r="J6" s="206">
        <f>SUM(H6)</f>
        <v>175</v>
      </c>
      <c r="K6" s="206">
        <f t="shared" ref="K6:K35" si="3">J6*$B$4</f>
        <v>3765.322580645161</v>
      </c>
      <c r="L6" s="206">
        <f>SUM(J6)</f>
        <v>175</v>
      </c>
      <c r="M6" s="206">
        <f t="shared" ref="M6:M35" si="4">L6*$B$4</f>
        <v>3765.322580645161</v>
      </c>
      <c r="N6" s="206">
        <f>SUM(L6)</f>
        <v>175</v>
      </c>
      <c r="O6" s="206">
        <f t="shared" ref="O6:O35" si="5">N6*$B$4</f>
        <v>3765.322580645161</v>
      </c>
      <c r="P6" s="206">
        <f>SUM(N6)</f>
        <v>175</v>
      </c>
      <c r="Q6" s="206">
        <f t="shared" ref="Q6:Q35" si="6">P6*$B$4</f>
        <v>3765.322580645161</v>
      </c>
      <c r="R6" s="206">
        <f>SUM(P6)</f>
        <v>175</v>
      </c>
      <c r="S6" s="206">
        <f t="shared" ref="S6:S35" si="7">R6*$B$4</f>
        <v>3765.322580645161</v>
      </c>
      <c r="T6" s="206">
        <f>SUM(R6)</f>
        <v>175</v>
      </c>
      <c r="U6" s="206">
        <f t="shared" ref="U6:U35" si="8">T6*$B$4</f>
        <v>3765.322580645161</v>
      </c>
      <c r="V6" s="206">
        <f>SUM(T6)</f>
        <v>175</v>
      </c>
      <c r="W6" s="206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6">
        <f>'B5'!C5</f>
        <v>182</v>
      </c>
      <c r="AA6" s="206">
        <f>SUM(Z6*$Z$4)</f>
        <v>1820</v>
      </c>
      <c r="AB6" s="206">
        <f>SUM(Z6)</f>
        <v>182</v>
      </c>
      <c r="AC6" s="206">
        <f>SUM(AB6*$Z$4)</f>
        <v>1820</v>
      </c>
      <c r="AD6" s="206">
        <f>SUM(AB6)</f>
        <v>182</v>
      </c>
      <c r="AE6" s="206">
        <f t="shared" ref="AE6:AE35" si="11">SUM(AD6*$Z$4)</f>
        <v>1820</v>
      </c>
      <c r="AF6" s="206">
        <f>SUM(AD6)</f>
        <v>182</v>
      </c>
      <c r="AG6" s="206">
        <f t="shared" ref="AG6:AG35" si="12">SUM(AF6*$Z$4)</f>
        <v>1820</v>
      </c>
      <c r="AH6" s="206">
        <f>SUM(AF6)</f>
        <v>182</v>
      </c>
      <c r="AI6" s="206">
        <f t="shared" ref="AI6:AI35" si="13">SUM(AH6*$Z$4)</f>
        <v>1820</v>
      </c>
      <c r="AJ6" s="206">
        <f>SUM(AH6)</f>
        <v>182</v>
      </c>
      <c r="AK6" s="206">
        <f t="shared" ref="AK6:AK35" si="14">SUM(AJ6*$Z$4)</f>
        <v>1820</v>
      </c>
      <c r="AL6" s="206">
        <f>SUM(AJ6)</f>
        <v>182</v>
      </c>
      <c r="AM6" s="206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6">
        <f>SUM(AR6/92970)</f>
        <v>0.58253789810795698</v>
      </c>
      <c r="AR6" s="38">
        <f>SUM(AO6+Y6)</f>
        <v>54158.548387096758</v>
      </c>
      <c r="AS6" s="200">
        <f>SUM(AR6-AR5-AT6)</f>
        <v>-1226.8096774193777</v>
      </c>
      <c r="AT6" s="367">
        <v>0.1</v>
      </c>
      <c r="AU6" s="451">
        <v>0.1</v>
      </c>
      <c r="AV6" s="539">
        <f>IF(AT6&gt;0,AU6,AV5)</f>
        <v>0.1</v>
      </c>
      <c r="AW6" s="299">
        <f>-SUM('B5'!AI5)</f>
        <v>-452</v>
      </c>
      <c r="AX6" s="299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89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59">
        <f>ELEC!C4</f>
        <v>43984</v>
      </c>
      <c r="B7">
        <f>'B5'!B6</f>
        <v>173</v>
      </c>
      <c r="C7" s="206">
        <f t="shared" ref="C7:E35" si="18">B7*$B$4</f>
        <v>3722.2903225806449</v>
      </c>
      <c r="D7">
        <f t="shared" ref="D7:D29" si="19">SUM(B7)</f>
        <v>173</v>
      </c>
      <c r="E7" s="206">
        <f t="shared" si="18"/>
        <v>3722.2903225806449</v>
      </c>
      <c r="F7">
        <f t="shared" ref="F7:F29" si="20">SUM(D7)</f>
        <v>173</v>
      </c>
      <c r="G7" s="206">
        <f t="shared" si="1"/>
        <v>3722.2903225806449</v>
      </c>
      <c r="H7" s="206">
        <f t="shared" ref="H7:H29" si="21">SUM(F7)</f>
        <v>173</v>
      </c>
      <c r="I7" s="206">
        <f t="shared" si="2"/>
        <v>3722.2903225806449</v>
      </c>
      <c r="J7" s="206">
        <f t="shared" ref="J7:J29" si="22">SUM(H7)</f>
        <v>173</v>
      </c>
      <c r="K7" s="206">
        <f t="shared" si="3"/>
        <v>3722.2903225806449</v>
      </c>
      <c r="L7" s="206">
        <f t="shared" ref="L7:L29" si="23">SUM(J7)</f>
        <v>173</v>
      </c>
      <c r="M7" s="206">
        <f t="shared" si="4"/>
        <v>3722.2903225806449</v>
      </c>
      <c r="N7" s="206">
        <f t="shared" ref="N7:N29" si="24">SUM(L7)</f>
        <v>173</v>
      </c>
      <c r="O7" s="206">
        <f t="shared" si="5"/>
        <v>3722.2903225806449</v>
      </c>
      <c r="P7" s="206">
        <f t="shared" ref="P7:P29" si="25">SUM(N7)</f>
        <v>173</v>
      </c>
      <c r="Q7" s="206">
        <f t="shared" si="6"/>
        <v>3722.2903225806449</v>
      </c>
      <c r="R7" s="206">
        <f t="shared" ref="R7:R29" si="26">SUM(P7)</f>
        <v>173</v>
      </c>
      <c r="S7" s="206">
        <f t="shared" si="7"/>
        <v>3722.2903225806449</v>
      </c>
      <c r="T7" s="206">
        <f t="shared" ref="T7:T29" si="27">SUM(R7)</f>
        <v>173</v>
      </c>
      <c r="U7" s="206">
        <f t="shared" si="8"/>
        <v>3722.2903225806449</v>
      </c>
      <c r="V7" s="206">
        <f t="shared" ref="V7:V29" si="28">SUM(T7)</f>
        <v>173</v>
      </c>
      <c r="W7" s="206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6">
        <f>'B5'!C6</f>
        <v>179</v>
      </c>
      <c r="AA7" s="206">
        <f t="shared" ref="AA7:AC35" si="30">SUM(Z7*$Z$4)</f>
        <v>1790</v>
      </c>
      <c r="AB7" s="206">
        <f t="shared" ref="AB7:AB29" si="31">SUM(Z7)</f>
        <v>179</v>
      </c>
      <c r="AC7" s="206">
        <f t="shared" si="30"/>
        <v>1790</v>
      </c>
      <c r="AD7" s="206">
        <f t="shared" ref="AD7:AD29" si="32">SUM(AB7)</f>
        <v>179</v>
      </c>
      <c r="AE7" s="206">
        <f t="shared" si="11"/>
        <v>1790</v>
      </c>
      <c r="AF7" s="206">
        <f t="shared" ref="AF7:AF29" si="33">SUM(AD7)</f>
        <v>179</v>
      </c>
      <c r="AG7" s="206">
        <f t="shared" si="12"/>
        <v>1790</v>
      </c>
      <c r="AH7" s="206">
        <f t="shared" ref="AH7:AH29" si="34">SUM(AF7)</f>
        <v>179</v>
      </c>
      <c r="AI7" s="206">
        <f t="shared" si="13"/>
        <v>1790</v>
      </c>
      <c r="AJ7" s="206">
        <f t="shared" ref="AJ7:AJ29" si="35">SUM(AH7)</f>
        <v>179</v>
      </c>
      <c r="AK7" s="206">
        <f t="shared" si="14"/>
        <v>1790</v>
      </c>
      <c r="AL7" s="206">
        <f t="shared" ref="AL7:AL29" si="36">SUM(AJ7)</f>
        <v>179</v>
      </c>
      <c r="AM7" s="206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6">
        <f t="shared" ref="AQ7:AQ33" si="37">SUM(AR7/92970)</f>
        <v>0.57518762556079484</v>
      </c>
      <c r="AR7" s="38">
        <f>SUM(AO7+Y7)</f>
        <v>53475.193548387091</v>
      </c>
      <c r="AS7" s="200">
        <f t="shared" ref="AS7:AS35" si="38">SUM(AR7-AR6-AT7)</f>
        <v>-683.35483870966709</v>
      </c>
      <c r="AT7" s="277"/>
      <c r="AU7" s="509"/>
      <c r="AV7" s="539">
        <f>IF(AT7&gt;0,AU7,AV6)</f>
        <v>0.1</v>
      </c>
      <c r="AW7" s="299">
        <f>-SUM('B5'!AI6)</f>
        <v>-296</v>
      </c>
      <c r="AX7" s="299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6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9">
        <f>ELEC!C5</f>
        <v>43985</v>
      </c>
      <c r="B8">
        <f>'B5'!B7</f>
        <v>168</v>
      </c>
      <c r="C8" s="206">
        <f t="shared" si="18"/>
        <v>3614.7096774193546</v>
      </c>
      <c r="D8">
        <f t="shared" si="19"/>
        <v>168</v>
      </c>
      <c r="E8" s="206">
        <f t="shared" si="18"/>
        <v>3614.7096774193546</v>
      </c>
      <c r="F8">
        <f t="shared" si="20"/>
        <v>168</v>
      </c>
      <c r="G8" s="206">
        <f t="shared" si="1"/>
        <v>3614.7096774193546</v>
      </c>
      <c r="H8" s="206">
        <f t="shared" si="21"/>
        <v>168</v>
      </c>
      <c r="I8" s="206">
        <f t="shared" si="2"/>
        <v>3614.7096774193546</v>
      </c>
      <c r="J8" s="206">
        <f t="shared" si="22"/>
        <v>168</v>
      </c>
      <c r="K8" s="206">
        <f t="shared" si="3"/>
        <v>3614.7096774193546</v>
      </c>
      <c r="L8" s="206">
        <f t="shared" si="23"/>
        <v>168</v>
      </c>
      <c r="M8" s="206">
        <f t="shared" si="4"/>
        <v>3614.7096774193546</v>
      </c>
      <c r="N8" s="206">
        <f t="shared" si="24"/>
        <v>168</v>
      </c>
      <c r="O8" s="206">
        <f t="shared" si="5"/>
        <v>3614.7096774193546</v>
      </c>
      <c r="P8" s="206">
        <f t="shared" si="25"/>
        <v>168</v>
      </c>
      <c r="Q8" s="206">
        <f t="shared" si="6"/>
        <v>3614.7096774193546</v>
      </c>
      <c r="R8" s="206">
        <f t="shared" si="26"/>
        <v>168</v>
      </c>
      <c r="S8" s="206">
        <f t="shared" si="7"/>
        <v>3614.7096774193546</v>
      </c>
      <c r="T8" s="206">
        <f t="shared" si="27"/>
        <v>168</v>
      </c>
      <c r="U8" s="206">
        <f t="shared" si="8"/>
        <v>3614.7096774193546</v>
      </c>
      <c r="V8" s="206">
        <f t="shared" si="28"/>
        <v>168</v>
      </c>
      <c r="W8" s="206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6">
        <f>'B5'!C7</f>
        <v>173</v>
      </c>
      <c r="AA8" s="206">
        <f t="shared" si="30"/>
        <v>1730</v>
      </c>
      <c r="AB8" s="206">
        <f t="shared" si="31"/>
        <v>173</v>
      </c>
      <c r="AC8" s="206">
        <f t="shared" si="30"/>
        <v>1730</v>
      </c>
      <c r="AD8" s="206">
        <f t="shared" si="32"/>
        <v>173</v>
      </c>
      <c r="AE8" s="206">
        <f t="shared" si="11"/>
        <v>1730</v>
      </c>
      <c r="AF8" s="206">
        <f t="shared" si="33"/>
        <v>173</v>
      </c>
      <c r="AG8" s="206">
        <f t="shared" si="12"/>
        <v>1730</v>
      </c>
      <c r="AH8" s="206">
        <f t="shared" si="34"/>
        <v>173</v>
      </c>
      <c r="AI8" s="206">
        <f t="shared" si="13"/>
        <v>1730</v>
      </c>
      <c r="AJ8" s="206">
        <f t="shared" si="35"/>
        <v>173</v>
      </c>
      <c r="AK8" s="206">
        <f t="shared" si="14"/>
        <v>1730</v>
      </c>
      <c r="AL8" s="206">
        <f t="shared" si="36"/>
        <v>173</v>
      </c>
      <c r="AM8" s="206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6">
        <f t="shared" si="37"/>
        <v>0.55794134077243096</v>
      </c>
      <c r="AR8" s="38">
        <f t="shared" ref="AR8:AR35" si="41">SUM(AO8+Y8)</f>
        <v>51871.806451612909</v>
      </c>
      <c r="AS8" s="200">
        <f t="shared" si="38"/>
        <v>-1603.3870967741823</v>
      </c>
      <c r="AT8" s="367"/>
      <c r="AU8" s="451"/>
      <c r="AV8" s="539">
        <f t="shared" ref="AV8:AV34" si="42">IF(AT8&gt;0,AU8,AV7)</f>
        <v>0.1</v>
      </c>
      <c r="AW8" s="299">
        <f>-SUM('B5'!AI7)</f>
        <v>-370.59999999997672</v>
      </c>
      <c r="AX8" s="299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6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9">
        <f>ELEC!C6</f>
        <v>43986</v>
      </c>
      <c r="B9">
        <f>'B5'!B8</f>
        <v>203</v>
      </c>
      <c r="C9" s="206">
        <f t="shared" si="18"/>
        <v>4367.7741935483873</v>
      </c>
      <c r="D9">
        <f t="shared" si="19"/>
        <v>203</v>
      </c>
      <c r="E9" s="206">
        <f t="shared" si="18"/>
        <v>4367.7741935483873</v>
      </c>
      <c r="F9">
        <f t="shared" si="20"/>
        <v>203</v>
      </c>
      <c r="G9" s="206">
        <f t="shared" si="1"/>
        <v>4367.7741935483873</v>
      </c>
      <c r="H9" s="206">
        <f t="shared" si="21"/>
        <v>203</v>
      </c>
      <c r="I9" s="206">
        <f t="shared" si="2"/>
        <v>4367.7741935483873</v>
      </c>
      <c r="J9" s="206">
        <f t="shared" si="22"/>
        <v>203</v>
      </c>
      <c r="K9" s="206">
        <f t="shared" si="3"/>
        <v>4367.7741935483873</v>
      </c>
      <c r="L9" s="206">
        <f t="shared" si="23"/>
        <v>203</v>
      </c>
      <c r="M9" s="206">
        <f t="shared" si="4"/>
        <v>4367.7741935483873</v>
      </c>
      <c r="N9" s="206">
        <f t="shared" si="24"/>
        <v>203</v>
      </c>
      <c r="O9" s="206">
        <f t="shared" si="5"/>
        <v>4367.7741935483873</v>
      </c>
      <c r="P9" s="206">
        <f t="shared" si="25"/>
        <v>203</v>
      </c>
      <c r="Q9" s="206">
        <f t="shared" si="6"/>
        <v>4367.7741935483873</v>
      </c>
      <c r="R9" s="206">
        <f t="shared" si="26"/>
        <v>203</v>
      </c>
      <c r="S9" s="206">
        <f t="shared" si="7"/>
        <v>4367.7741935483873</v>
      </c>
      <c r="T9" s="206">
        <f t="shared" si="27"/>
        <v>203</v>
      </c>
      <c r="U9" s="206">
        <f t="shared" si="8"/>
        <v>4367.7741935483873</v>
      </c>
      <c r="V9" s="206">
        <f t="shared" si="28"/>
        <v>203</v>
      </c>
      <c r="W9" s="206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6">
        <f>'B5'!C8</f>
        <v>210</v>
      </c>
      <c r="AA9" s="206">
        <f t="shared" si="30"/>
        <v>2100</v>
      </c>
      <c r="AB9" s="206">
        <f t="shared" si="31"/>
        <v>210</v>
      </c>
      <c r="AC9" s="206">
        <f t="shared" si="30"/>
        <v>2100</v>
      </c>
      <c r="AD9" s="206">
        <f t="shared" si="32"/>
        <v>210</v>
      </c>
      <c r="AE9" s="206">
        <f t="shared" si="11"/>
        <v>2100</v>
      </c>
      <c r="AF9" s="206">
        <f t="shared" si="33"/>
        <v>210</v>
      </c>
      <c r="AG9" s="206">
        <f t="shared" si="12"/>
        <v>2100</v>
      </c>
      <c r="AH9" s="206">
        <f t="shared" si="34"/>
        <v>210</v>
      </c>
      <c r="AI9" s="206">
        <f t="shared" si="13"/>
        <v>2100</v>
      </c>
      <c r="AJ9" s="206">
        <f t="shared" si="35"/>
        <v>210</v>
      </c>
      <c r="AK9" s="206">
        <f t="shared" si="14"/>
        <v>2100</v>
      </c>
      <c r="AL9" s="206">
        <f t="shared" si="36"/>
        <v>210</v>
      </c>
      <c r="AM9" s="206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6">
        <f t="shared" si="37"/>
        <v>0.67490067902583906</v>
      </c>
      <c r="AR9" s="38">
        <f t="shared" si="41"/>
        <v>62745.516129032258</v>
      </c>
      <c r="AS9" s="200">
        <f t="shared" si="38"/>
        <v>520.70967741934874</v>
      </c>
      <c r="AT9" s="367">
        <v>10353</v>
      </c>
      <c r="AU9" s="451">
        <v>0.34</v>
      </c>
      <c r="AV9" s="539">
        <f t="shared" si="42"/>
        <v>0.34</v>
      </c>
      <c r="AW9" s="299">
        <f>-SUM('B5'!AI8)</f>
        <v>-628</v>
      </c>
      <c r="AX9" s="299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6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9">
        <f>ELEC!C7</f>
        <v>43987</v>
      </c>
      <c r="B10">
        <f>'B5'!B9</f>
        <v>199</v>
      </c>
      <c r="C10" s="206">
        <f t="shared" si="18"/>
        <v>4281.7096774193551</v>
      </c>
      <c r="D10">
        <f t="shared" si="19"/>
        <v>199</v>
      </c>
      <c r="E10" s="206">
        <f t="shared" si="18"/>
        <v>4281.7096774193551</v>
      </c>
      <c r="F10">
        <f t="shared" si="20"/>
        <v>199</v>
      </c>
      <c r="G10" s="206">
        <f t="shared" si="1"/>
        <v>4281.7096774193551</v>
      </c>
      <c r="H10" s="206">
        <f t="shared" si="21"/>
        <v>199</v>
      </c>
      <c r="I10" s="206">
        <f t="shared" si="2"/>
        <v>4281.7096774193551</v>
      </c>
      <c r="J10" s="206">
        <f t="shared" si="22"/>
        <v>199</v>
      </c>
      <c r="K10" s="206">
        <f t="shared" si="3"/>
        <v>4281.7096774193551</v>
      </c>
      <c r="L10" s="206">
        <f t="shared" si="23"/>
        <v>199</v>
      </c>
      <c r="M10" s="206">
        <f t="shared" si="4"/>
        <v>4281.7096774193551</v>
      </c>
      <c r="N10" s="206">
        <f t="shared" si="24"/>
        <v>199</v>
      </c>
      <c r="O10" s="206">
        <f t="shared" si="5"/>
        <v>4281.7096774193551</v>
      </c>
      <c r="P10" s="206">
        <f t="shared" si="25"/>
        <v>199</v>
      </c>
      <c r="Q10" s="206">
        <f t="shared" si="6"/>
        <v>4281.7096774193551</v>
      </c>
      <c r="R10" s="206">
        <f t="shared" si="26"/>
        <v>199</v>
      </c>
      <c r="S10" s="206">
        <f t="shared" si="7"/>
        <v>4281.7096774193551</v>
      </c>
      <c r="T10" s="206">
        <f t="shared" si="27"/>
        <v>199</v>
      </c>
      <c r="U10" s="206">
        <f t="shared" si="8"/>
        <v>4281.7096774193551</v>
      </c>
      <c r="V10" s="206">
        <f t="shared" si="28"/>
        <v>199</v>
      </c>
      <c r="W10" s="206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6">
        <f>'B5'!C9</f>
        <v>205</v>
      </c>
      <c r="AA10" s="206">
        <f t="shared" si="30"/>
        <v>2050</v>
      </c>
      <c r="AB10" s="206">
        <f t="shared" si="31"/>
        <v>205</v>
      </c>
      <c r="AC10" s="206">
        <f t="shared" si="30"/>
        <v>2050</v>
      </c>
      <c r="AD10" s="206">
        <f t="shared" si="32"/>
        <v>205</v>
      </c>
      <c r="AE10" s="206">
        <f t="shared" si="11"/>
        <v>2050</v>
      </c>
      <c r="AF10" s="206">
        <f t="shared" si="33"/>
        <v>205</v>
      </c>
      <c r="AG10" s="206">
        <f t="shared" si="12"/>
        <v>2050</v>
      </c>
      <c r="AH10" s="206">
        <f t="shared" si="34"/>
        <v>205</v>
      </c>
      <c r="AI10" s="206">
        <f t="shared" si="13"/>
        <v>2050</v>
      </c>
      <c r="AJ10" s="206">
        <f t="shared" si="35"/>
        <v>205</v>
      </c>
      <c r="AK10" s="206">
        <f t="shared" si="14"/>
        <v>2050</v>
      </c>
      <c r="AL10" s="206">
        <f t="shared" si="36"/>
        <v>205</v>
      </c>
      <c r="AM10" s="206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6">
        <f t="shared" si="37"/>
        <v>0.66095306498454243</v>
      </c>
      <c r="AR10" s="38">
        <f t="shared" si="41"/>
        <v>61448.806451612909</v>
      </c>
      <c r="AS10" s="200">
        <f>SUM(AR10-AR9-AT10)</f>
        <v>-1296.7096774193487</v>
      </c>
      <c r="AT10" s="367"/>
      <c r="AU10" s="451"/>
      <c r="AV10" s="539">
        <f>IF(AT10&gt;0,AU10,AV9)</f>
        <v>0.34</v>
      </c>
      <c r="AW10" s="299">
        <f>-SUM('B5'!AI9)</f>
        <v>-334</v>
      </c>
      <c r="AX10" s="299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6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9">
        <f>ELEC!C8</f>
        <v>43988</v>
      </c>
      <c r="B11">
        <f>'B5'!B10</f>
        <v>196</v>
      </c>
      <c r="C11" s="206">
        <f t="shared" si="18"/>
        <v>4217.1612903225805</v>
      </c>
      <c r="D11">
        <f>SUM(B11)</f>
        <v>196</v>
      </c>
      <c r="E11" s="206">
        <f t="shared" si="18"/>
        <v>4217.1612903225805</v>
      </c>
      <c r="F11">
        <f>SUM(D11)</f>
        <v>196</v>
      </c>
      <c r="G11" s="206">
        <f t="shared" si="1"/>
        <v>4217.1612903225805</v>
      </c>
      <c r="H11" s="206">
        <f>SUM(F11)</f>
        <v>196</v>
      </c>
      <c r="I11" s="206">
        <f t="shared" si="2"/>
        <v>4217.1612903225805</v>
      </c>
      <c r="J11" s="206">
        <f>SUM(H11)</f>
        <v>196</v>
      </c>
      <c r="K11" s="206">
        <f t="shared" si="3"/>
        <v>4217.1612903225805</v>
      </c>
      <c r="L11" s="206">
        <f>SUM(J11)</f>
        <v>196</v>
      </c>
      <c r="M11" s="206">
        <f t="shared" si="4"/>
        <v>4217.1612903225805</v>
      </c>
      <c r="N11" s="206">
        <f>SUM(L11)</f>
        <v>196</v>
      </c>
      <c r="O11" s="206">
        <f t="shared" si="5"/>
        <v>4217.1612903225805</v>
      </c>
      <c r="P11" s="206">
        <f>SUM(N11)</f>
        <v>196</v>
      </c>
      <c r="Q11" s="206">
        <f t="shared" si="6"/>
        <v>4217.1612903225805</v>
      </c>
      <c r="R11" s="206">
        <f>SUM(P11)</f>
        <v>196</v>
      </c>
      <c r="S11" s="206">
        <f t="shared" si="7"/>
        <v>4217.1612903225805</v>
      </c>
      <c r="T11" s="206">
        <f>SUM(R11)</f>
        <v>196</v>
      </c>
      <c r="U11" s="206">
        <f t="shared" si="8"/>
        <v>4217.1612903225805</v>
      </c>
      <c r="V11" s="206">
        <f>SUM(T11)</f>
        <v>196</v>
      </c>
      <c r="W11" s="206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6">
        <f>'B5'!C10</f>
        <v>202</v>
      </c>
      <c r="AA11" s="206">
        <f t="shared" si="30"/>
        <v>2020</v>
      </c>
      <c r="AB11" s="206">
        <f>SUM(Z11)</f>
        <v>202</v>
      </c>
      <c r="AC11" s="206">
        <f t="shared" si="30"/>
        <v>2020</v>
      </c>
      <c r="AD11" s="206">
        <f>SUM(AB11)</f>
        <v>202</v>
      </c>
      <c r="AE11" s="206">
        <f t="shared" si="11"/>
        <v>2020</v>
      </c>
      <c r="AF11" s="206">
        <f>SUM(AD11)</f>
        <v>202</v>
      </c>
      <c r="AG11" s="206">
        <f t="shared" si="12"/>
        <v>2020</v>
      </c>
      <c r="AH11" s="206">
        <f>SUM(AF11)</f>
        <v>202</v>
      </c>
      <c r="AI11" s="206">
        <f t="shared" si="13"/>
        <v>2020</v>
      </c>
      <c r="AJ11" s="206">
        <f>SUM(AH11)</f>
        <v>202</v>
      </c>
      <c r="AK11" s="206">
        <f t="shared" si="14"/>
        <v>2020</v>
      </c>
      <c r="AL11" s="206">
        <f>SUM(AJ11)</f>
        <v>202</v>
      </c>
      <c r="AM11" s="206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6">
        <f t="shared" si="37"/>
        <v>0.6510570527433408</v>
      </c>
      <c r="AR11" s="38">
        <f t="shared" si="41"/>
        <v>60528.774193548394</v>
      </c>
      <c r="AS11" s="200">
        <f>SUM(AR11-AR10-AT11)</f>
        <v>-920.03225806451519</v>
      </c>
      <c r="AT11" s="367"/>
      <c r="AU11" s="451"/>
      <c r="AV11" s="539">
        <f>IF(AT11&gt;0,AU11,AV10)</f>
        <v>0.34</v>
      </c>
      <c r="AW11" s="299">
        <f>-SUM('B5'!AI10)</f>
        <v>-391</v>
      </c>
      <c r="AX11" s="299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6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9">
        <f>ELEC!C9</f>
        <v>43989</v>
      </c>
      <c r="B12">
        <f>'B5'!B11</f>
        <v>192</v>
      </c>
      <c r="C12" s="206">
        <f t="shared" si="18"/>
        <v>4131.0967741935483</v>
      </c>
      <c r="D12">
        <f t="shared" si="19"/>
        <v>192</v>
      </c>
      <c r="E12" s="206">
        <f t="shared" si="18"/>
        <v>4131.0967741935483</v>
      </c>
      <c r="F12">
        <f t="shared" si="20"/>
        <v>192</v>
      </c>
      <c r="G12" s="206">
        <f t="shared" si="1"/>
        <v>4131.0967741935483</v>
      </c>
      <c r="H12" s="206">
        <f t="shared" si="21"/>
        <v>192</v>
      </c>
      <c r="I12" s="206">
        <f t="shared" si="2"/>
        <v>4131.0967741935483</v>
      </c>
      <c r="J12" s="206">
        <f t="shared" si="22"/>
        <v>192</v>
      </c>
      <c r="K12" s="206">
        <f t="shared" si="3"/>
        <v>4131.0967741935483</v>
      </c>
      <c r="L12" s="206">
        <f t="shared" si="23"/>
        <v>192</v>
      </c>
      <c r="M12" s="206">
        <f t="shared" si="4"/>
        <v>4131.0967741935483</v>
      </c>
      <c r="N12" s="206">
        <f t="shared" si="24"/>
        <v>192</v>
      </c>
      <c r="O12" s="206">
        <f t="shared" si="5"/>
        <v>4131.0967741935483</v>
      </c>
      <c r="P12" s="206">
        <f t="shared" si="25"/>
        <v>192</v>
      </c>
      <c r="Q12" s="206">
        <f t="shared" si="6"/>
        <v>4131.0967741935483</v>
      </c>
      <c r="R12" s="206">
        <f t="shared" si="26"/>
        <v>192</v>
      </c>
      <c r="S12" s="206">
        <f t="shared" si="7"/>
        <v>4131.0967741935483</v>
      </c>
      <c r="T12" s="206">
        <f t="shared" si="27"/>
        <v>192</v>
      </c>
      <c r="U12" s="206">
        <f t="shared" si="8"/>
        <v>4131.0967741935483</v>
      </c>
      <c r="V12" s="206">
        <f t="shared" si="28"/>
        <v>192</v>
      </c>
      <c r="W12" s="206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6">
        <f>'B5'!C11</f>
        <v>198</v>
      </c>
      <c r="AA12" s="206">
        <f t="shared" si="30"/>
        <v>1980</v>
      </c>
      <c r="AB12" s="206">
        <f t="shared" si="31"/>
        <v>198</v>
      </c>
      <c r="AC12" s="206">
        <f t="shared" si="30"/>
        <v>1980</v>
      </c>
      <c r="AD12" s="206">
        <f t="shared" si="32"/>
        <v>198</v>
      </c>
      <c r="AE12" s="206">
        <f t="shared" si="11"/>
        <v>1980</v>
      </c>
      <c r="AF12" s="206">
        <f t="shared" si="33"/>
        <v>198</v>
      </c>
      <c r="AG12" s="206">
        <f t="shared" si="12"/>
        <v>1980</v>
      </c>
      <c r="AH12" s="206">
        <f t="shared" si="34"/>
        <v>198</v>
      </c>
      <c r="AI12" s="206">
        <f t="shared" si="13"/>
        <v>1980</v>
      </c>
      <c r="AJ12" s="206">
        <f t="shared" si="35"/>
        <v>198</v>
      </c>
      <c r="AK12" s="206">
        <f t="shared" si="14"/>
        <v>1980</v>
      </c>
      <c r="AL12" s="206">
        <f t="shared" si="36"/>
        <v>198</v>
      </c>
      <c r="AM12" s="206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6">
        <f t="shared" si="37"/>
        <v>0.63786236975507182</v>
      </c>
      <c r="AR12" s="38">
        <f t="shared" si="41"/>
        <v>59302.064516129023</v>
      </c>
      <c r="AS12" s="200">
        <f t="shared" si="38"/>
        <v>-1226.7096774193706</v>
      </c>
      <c r="AT12" s="277"/>
      <c r="AU12" s="495"/>
      <c r="AV12" s="539">
        <f t="shared" si="42"/>
        <v>0.34</v>
      </c>
      <c r="AW12" s="299">
        <f>-SUM('B5'!AI11)</f>
        <v>-363</v>
      </c>
      <c r="AX12" s="299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6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9">
        <f>ELEC!C10</f>
        <v>43990</v>
      </c>
      <c r="B13">
        <f>'B5'!B12</f>
        <v>188</v>
      </c>
      <c r="C13" s="206">
        <f t="shared" si="18"/>
        <v>4045.0322580645161</v>
      </c>
      <c r="D13">
        <f t="shared" si="19"/>
        <v>188</v>
      </c>
      <c r="E13" s="206">
        <f t="shared" si="18"/>
        <v>4045.0322580645161</v>
      </c>
      <c r="F13">
        <f t="shared" si="20"/>
        <v>188</v>
      </c>
      <c r="G13" s="206">
        <f t="shared" si="1"/>
        <v>4045.0322580645161</v>
      </c>
      <c r="H13" s="206">
        <f t="shared" si="21"/>
        <v>188</v>
      </c>
      <c r="I13" s="206">
        <f t="shared" si="2"/>
        <v>4045.0322580645161</v>
      </c>
      <c r="J13" s="206">
        <f t="shared" si="22"/>
        <v>188</v>
      </c>
      <c r="K13" s="206">
        <f t="shared" si="3"/>
        <v>4045.0322580645161</v>
      </c>
      <c r="L13" s="206">
        <f t="shared" si="23"/>
        <v>188</v>
      </c>
      <c r="M13" s="206">
        <f t="shared" si="4"/>
        <v>4045.0322580645161</v>
      </c>
      <c r="N13" s="206">
        <f t="shared" si="24"/>
        <v>188</v>
      </c>
      <c r="O13" s="206">
        <f t="shared" si="5"/>
        <v>4045.0322580645161</v>
      </c>
      <c r="P13" s="206">
        <f t="shared" si="25"/>
        <v>188</v>
      </c>
      <c r="Q13" s="206">
        <f t="shared" si="6"/>
        <v>4045.0322580645161</v>
      </c>
      <c r="R13" s="206">
        <f t="shared" si="26"/>
        <v>188</v>
      </c>
      <c r="S13" s="206">
        <f t="shared" si="7"/>
        <v>4045.0322580645161</v>
      </c>
      <c r="T13" s="206">
        <f t="shared" si="27"/>
        <v>188</v>
      </c>
      <c r="U13" s="206">
        <f t="shared" si="8"/>
        <v>4045.0322580645161</v>
      </c>
      <c r="V13" s="206">
        <f t="shared" si="28"/>
        <v>188</v>
      </c>
      <c r="W13" s="206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6">
        <f>'B5'!C12</f>
        <v>196</v>
      </c>
      <c r="AA13" s="206">
        <f t="shared" si="30"/>
        <v>1960</v>
      </c>
      <c r="AB13" s="206">
        <f t="shared" si="31"/>
        <v>196</v>
      </c>
      <c r="AC13" s="206">
        <f t="shared" si="30"/>
        <v>1960</v>
      </c>
      <c r="AD13" s="206">
        <f t="shared" si="32"/>
        <v>196</v>
      </c>
      <c r="AE13" s="206">
        <f t="shared" si="11"/>
        <v>1960</v>
      </c>
      <c r="AF13" s="206">
        <f t="shared" si="33"/>
        <v>196</v>
      </c>
      <c r="AG13" s="206">
        <f t="shared" si="12"/>
        <v>1960</v>
      </c>
      <c r="AH13" s="206">
        <f t="shared" si="34"/>
        <v>196</v>
      </c>
      <c r="AI13" s="206">
        <f t="shared" si="13"/>
        <v>1960</v>
      </c>
      <c r="AJ13" s="206">
        <f t="shared" si="35"/>
        <v>196</v>
      </c>
      <c r="AK13" s="206">
        <f t="shared" si="14"/>
        <v>1960</v>
      </c>
      <c r="AL13" s="206">
        <f t="shared" si="36"/>
        <v>196</v>
      </c>
      <c r="AM13" s="206">
        <f t="shared" si="15"/>
        <v>1960</v>
      </c>
      <c r="AN13" s="35">
        <f t="shared" si="16"/>
        <v>0.7</v>
      </c>
      <c r="AO13" s="36">
        <f t="shared" si="17"/>
        <v>13720</v>
      </c>
      <c r="AQ13" s="226">
        <f t="shared" si="37"/>
        <v>0.6261735488728587</v>
      </c>
      <c r="AR13" s="38">
        <f t="shared" si="41"/>
        <v>58215.354838709674</v>
      </c>
      <c r="AS13" s="200">
        <f t="shared" si="38"/>
        <v>-1086.7096774193487</v>
      </c>
      <c r="AT13" s="277"/>
      <c r="AU13" s="451"/>
      <c r="AV13" s="539">
        <f t="shared" si="42"/>
        <v>0.34</v>
      </c>
      <c r="AW13" s="299">
        <f>-SUM('B5'!AI12)</f>
        <v>-360</v>
      </c>
      <c r="AX13" s="299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6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9">
        <f>ELEC!C11</f>
        <v>43991</v>
      </c>
      <c r="B14">
        <f>'B5'!B13</f>
        <v>185.2</v>
      </c>
      <c r="C14" s="206">
        <f t="shared" si="18"/>
        <v>3984.7870967741933</v>
      </c>
      <c r="D14">
        <f t="shared" si="19"/>
        <v>185.2</v>
      </c>
      <c r="E14" s="206">
        <f t="shared" si="18"/>
        <v>3984.7870967741933</v>
      </c>
      <c r="F14">
        <f t="shared" si="20"/>
        <v>185.2</v>
      </c>
      <c r="G14" s="206">
        <f t="shared" si="1"/>
        <v>3984.7870967741933</v>
      </c>
      <c r="H14" s="206">
        <f t="shared" si="21"/>
        <v>185.2</v>
      </c>
      <c r="I14" s="206">
        <f t="shared" si="2"/>
        <v>3984.7870967741933</v>
      </c>
      <c r="J14" s="206">
        <f t="shared" si="22"/>
        <v>185.2</v>
      </c>
      <c r="K14" s="206">
        <f t="shared" si="3"/>
        <v>3984.7870967741933</v>
      </c>
      <c r="L14" s="206">
        <f t="shared" si="23"/>
        <v>185.2</v>
      </c>
      <c r="M14" s="206">
        <f t="shared" si="4"/>
        <v>3984.7870967741933</v>
      </c>
      <c r="N14" s="206">
        <f t="shared" si="24"/>
        <v>185.2</v>
      </c>
      <c r="O14" s="206">
        <f t="shared" si="5"/>
        <v>3984.7870967741933</v>
      </c>
      <c r="P14" s="206">
        <f t="shared" si="25"/>
        <v>185.2</v>
      </c>
      <c r="Q14" s="206">
        <f t="shared" si="6"/>
        <v>3984.7870967741933</v>
      </c>
      <c r="R14" s="206">
        <f t="shared" si="26"/>
        <v>185.2</v>
      </c>
      <c r="S14" s="206">
        <f t="shared" si="7"/>
        <v>3984.7870967741933</v>
      </c>
      <c r="T14" s="206">
        <f t="shared" si="27"/>
        <v>185.2</v>
      </c>
      <c r="U14" s="206">
        <f t="shared" si="8"/>
        <v>3984.7870967741933</v>
      </c>
      <c r="V14" s="206">
        <f t="shared" si="28"/>
        <v>185.2</v>
      </c>
      <c r="W14" s="206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6">
        <f>'B5'!C13</f>
        <v>191.3</v>
      </c>
      <c r="AA14" s="206">
        <f t="shared" si="30"/>
        <v>1913</v>
      </c>
      <c r="AB14" s="206">
        <f t="shared" si="31"/>
        <v>191.3</v>
      </c>
      <c r="AC14" s="206">
        <f t="shared" si="30"/>
        <v>1913</v>
      </c>
      <c r="AD14" s="206">
        <f t="shared" si="32"/>
        <v>191.3</v>
      </c>
      <c r="AE14" s="206">
        <f t="shared" si="11"/>
        <v>1913</v>
      </c>
      <c r="AF14" s="206">
        <f t="shared" si="33"/>
        <v>191.3</v>
      </c>
      <c r="AG14" s="206">
        <f t="shared" si="12"/>
        <v>1913</v>
      </c>
      <c r="AH14" s="206">
        <f t="shared" si="34"/>
        <v>191.3</v>
      </c>
      <c r="AI14" s="206">
        <f t="shared" si="13"/>
        <v>1913</v>
      </c>
      <c r="AJ14" s="206">
        <f t="shared" si="35"/>
        <v>191.3</v>
      </c>
      <c r="AK14" s="206">
        <f t="shared" si="14"/>
        <v>1913</v>
      </c>
      <c r="AL14" s="206">
        <f t="shared" si="36"/>
        <v>191.3</v>
      </c>
      <c r="AM14" s="206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6">
        <f t="shared" si="37"/>
        <v>0.61550670178031752</v>
      </c>
      <c r="AR14" s="38">
        <f t="shared" si="41"/>
        <v>57223.658064516123</v>
      </c>
      <c r="AS14" s="200">
        <f t="shared" si="38"/>
        <v>-991.69677419355139</v>
      </c>
      <c r="AT14" s="277"/>
      <c r="AU14" s="495"/>
      <c r="AV14" s="539">
        <f t="shared" si="42"/>
        <v>0.34</v>
      </c>
      <c r="AW14" s="299">
        <f>-SUM('B5'!AI13)</f>
        <v>-282</v>
      </c>
      <c r="AX14" s="299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6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59">
        <f>ELEC!C12</f>
        <v>43992</v>
      </c>
      <c r="B15">
        <f>'B5'!B14</f>
        <v>177.2</v>
      </c>
      <c r="C15" s="206">
        <f t="shared" si="18"/>
        <v>3812.6580645161289</v>
      </c>
      <c r="D15">
        <f t="shared" si="19"/>
        <v>177.2</v>
      </c>
      <c r="E15" s="206">
        <f t="shared" si="18"/>
        <v>3812.6580645161289</v>
      </c>
      <c r="F15">
        <f t="shared" si="20"/>
        <v>177.2</v>
      </c>
      <c r="G15" s="206">
        <f t="shared" si="1"/>
        <v>3812.6580645161289</v>
      </c>
      <c r="H15" s="206">
        <f t="shared" si="21"/>
        <v>177.2</v>
      </c>
      <c r="I15" s="206">
        <f t="shared" si="2"/>
        <v>3812.6580645161289</v>
      </c>
      <c r="J15" s="206">
        <f t="shared" si="22"/>
        <v>177.2</v>
      </c>
      <c r="K15" s="206">
        <f t="shared" si="3"/>
        <v>3812.6580645161289</v>
      </c>
      <c r="L15" s="206">
        <f t="shared" si="23"/>
        <v>177.2</v>
      </c>
      <c r="M15" s="206">
        <f t="shared" si="4"/>
        <v>3812.6580645161289</v>
      </c>
      <c r="N15" s="206">
        <f t="shared" si="24"/>
        <v>177.2</v>
      </c>
      <c r="O15" s="206">
        <f t="shared" si="5"/>
        <v>3812.6580645161289</v>
      </c>
      <c r="P15" s="206">
        <f t="shared" si="25"/>
        <v>177.2</v>
      </c>
      <c r="Q15" s="206">
        <f t="shared" si="6"/>
        <v>3812.6580645161289</v>
      </c>
      <c r="R15" s="206">
        <f t="shared" si="26"/>
        <v>177.2</v>
      </c>
      <c r="S15" s="206">
        <f t="shared" si="7"/>
        <v>3812.6580645161289</v>
      </c>
      <c r="T15" s="206">
        <f t="shared" si="27"/>
        <v>177.2</v>
      </c>
      <c r="U15" s="206">
        <f t="shared" si="8"/>
        <v>3812.6580645161289</v>
      </c>
      <c r="V15" s="206">
        <f t="shared" si="28"/>
        <v>177.2</v>
      </c>
      <c r="W15" s="206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6">
        <f>'B5'!C14</f>
        <v>183.5</v>
      </c>
      <c r="AA15" s="206">
        <f t="shared" si="30"/>
        <v>1835</v>
      </c>
      <c r="AB15" s="206">
        <f t="shared" si="31"/>
        <v>183.5</v>
      </c>
      <c r="AC15" s="206">
        <f t="shared" si="30"/>
        <v>1835</v>
      </c>
      <c r="AD15" s="206">
        <f t="shared" si="32"/>
        <v>183.5</v>
      </c>
      <c r="AE15" s="206">
        <f t="shared" si="11"/>
        <v>1835</v>
      </c>
      <c r="AF15" s="206">
        <f t="shared" si="33"/>
        <v>183.5</v>
      </c>
      <c r="AG15" s="206">
        <f t="shared" si="12"/>
        <v>1835</v>
      </c>
      <c r="AH15" s="206">
        <f t="shared" si="34"/>
        <v>183.5</v>
      </c>
      <c r="AI15" s="206">
        <f t="shared" si="13"/>
        <v>1835</v>
      </c>
      <c r="AJ15" s="206">
        <f t="shared" si="35"/>
        <v>183.5</v>
      </c>
      <c r="AK15" s="206">
        <f t="shared" si="14"/>
        <v>1835</v>
      </c>
      <c r="AL15" s="206">
        <f t="shared" si="36"/>
        <v>183.5</v>
      </c>
      <c r="AM15" s="206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6">
        <f t="shared" si="37"/>
        <v>0.5892679220143856</v>
      </c>
      <c r="AR15" s="38">
        <f t="shared" si="41"/>
        <v>54784.238709677426</v>
      </c>
      <c r="AS15" s="200">
        <f>SUM(AR15-AR14-AT15)</f>
        <v>-2439.4193548386975</v>
      </c>
      <c r="AT15" s="277"/>
      <c r="AU15" s="451"/>
      <c r="AV15" s="539">
        <f>IF(AT15&gt;0,AU15,AV14)</f>
        <v>0.34</v>
      </c>
      <c r="AW15" s="299">
        <f>-SUM('B5'!AI14)</f>
        <v>-600.40000000002328</v>
      </c>
      <c r="AX15" s="299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6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59">
        <f>ELEC!C13</f>
        <v>43993</v>
      </c>
      <c r="B16">
        <f>'B5'!B15</f>
        <v>169</v>
      </c>
      <c r="C16" s="206">
        <f t="shared" si="18"/>
        <v>3636.2258064516127</v>
      </c>
      <c r="D16">
        <f t="shared" si="19"/>
        <v>169</v>
      </c>
      <c r="E16" s="206">
        <f t="shared" si="18"/>
        <v>3636.2258064516127</v>
      </c>
      <c r="F16">
        <f t="shared" si="20"/>
        <v>169</v>
      </c>
      <c r="G16" s="206">
        <f t="shared" si="1"/>
        <v>3636.2258064516127</v>
      </c>
      <c r="H16" s="206">
        <f t="shared" si="21"/>
        <v>169</v>
      </c>
      <c r="I16" s="206">
        <f t="shared" si="2"/>
        <v>3636.2258064516127</v>
      </c>
      <c r="J16" s="206">
        <f t="shared" si="22"/>
        <v>169</v>
      </c>
      <c r="K16" s="206">
        <f t="shared" si="3"/>
        <v>3636.2258064516127</v>
      </c>
      <c r="L16" s="206">
        <f t="shared" si="23"/>
        <v>169</v>
      </c>
      <c r="M16" s="206">
        <f t="shared" si="4"/>
        <v>3636.2258064516127</v>
      </c>
      <c r="N16" s="206">
        <f t="shared" si="24"/>
        <v>169</v>
      </c>
      <c r="O16" s="206">
        <f t="shared" si="5"/>
        <v>3636.2258064516127</v>
      </c>
      <c r="P16" s="206">
        <f t="shared" si="25"/>
        <v>169</v>
      </c>
      <c r="Q16" s="206">
        <f t="shared" si="6"/>
        <v>3636.2258064516127</v>
      </c>
      <c r="R16" s="206">
        <f t="shared" si="26"/>
        <v>169</v>
      </c>
      <c r="S16" s="206">
        <f t="shared" si="7"/>
        <v>3636.2258064516127</v>
      </c>
      <c r="T16" s="206">
        <f t="shared" si="27"/>
        <v>169</v>
      </c>
      <c r="U16" s="206">
        <f t="shared" si="8"/>
        <v>3636.2258064516127</v>
      </c>
      <c r="V16" s="206">
        <f t="shared" si="28"/>
        <v>169</v>
      </c>
      <c r="W16" s="206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6">
        <f>'B5'!C15</f>
        <v>175</v>
      </c>
      <c r="AA16" s="206">
        <f t="shared" si="30"/>
        <v>1750</v>
      </c>
      <c r="AB16" s="206">
        <f t="shared" si="31"/>
        <v>175</v>
      </c>
      <c r="AC16" s="206">
        <f t="shared" si="30"/>
        <v>1750</v>
      </c>
      <c r="AD16" s="206">
        <f t="shared" si="32"/>
        <v>175</v>
      </c>
      <c r="AE16" s="206">
        <f t="shared" si="11"/>
        <v>1750</v>
      </c>
      <c r="AF16" s="206">
        <f t="shared" si="33"/>
        <v>175</v>
      </c>
      <c r="AG16" s="206">
        <f t="shared" si="12"/>
        <v>1750</v>
      </c>
      <c r="AH16" s="206">
        <f t="shared" si="34"/>
        <v>175</v>
      </c>
      <c r="AI16" s="206">
        <f t="shared" si="13"/>
        <v>1750</v>
      </c>
      <c r="AJ16" s="206">
        <f t="shared" si="35"/>
        <v>175</v>
      </c>
      <c r="AK16" s="206">
        <f t="shared" si="14"/>
        <v>1750</v>
      </c>
      <c r="AL16" s="206">
        <f t="shared" si="36"/>
        <v>175</v>
      </c>
      <c r="AM16" s="206">
        <f t="shared" si="15"/>
        <v>1750</v>
      </c>
      <c r="AN16" s="35">
        <f t="shared" si="16"/>
        <v>0.625</v>
      </c>
      <c r="AO16" s="36">
        <f t="shared" si="17"/>
        <v>12250</v>
      </c>
      <c r="AQ16" s="226">
        <f t="shared" si="37"/>
        <v>0.56199294257252597</v>
      </c>
      <c r="AR16" s="38">
        <f t="shared" si="41"/>
        <v>52248.483870967742</v>
      </c>
      <c r="AS16" s="200">
        <f>SUM(AR16-AR15-AT16)</f>
        <v>-2535.7548387096831</v>
      </c>
      <c r="AT16" s="277"/>
      <c r="AU16" s="451"/>
      <c r="AV16" s="539">
        <f>IF(AT16&gt;0,AU16,AV15)</f>
        <v>0.34</v>
      </c>
      <c r="AW16" s="299">
        <f>-SUM('B5'!AI15)</f>
        <v>-368.10000000000582</v>
      </c>
      <c r="AX16" s="299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6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9">
        <f>ELEC!C14</f>
        <v>43994</v>
      </c>
      <c r="B17">
        <f>'B5'!B16</f>
        <v>169</v>
      </c>
      <c r="C17" s="206">
        <f t="shared" si="18"/>
        <v>3636.2258064516127</v>
      </c>
      <c r="D17">
        <f t="shared" si="19"/>
        <v>169</v>
      </c>
      <c r="E17" s="206">
        <f t="shared" si="18"/>
        <v>3636.2258064516127</v>
      </c>
      <c r="F17">
        <f t="shared" si="20"/>
        <v>169</v>
      </c>
      <c r="G17" s="206">
        <f t="shared" si="1"/>
        <v>3636.2258064516127</v>
      </c>
      <c r="H17" s="206">
        <f t="shared" si="21"/>
        <v>169</v>
      </c>
      <c r="I17" s="206">
        <f t="shared" si="2"/>
        <v>3636.2258064516127</v>
      </c>
      <c r="J17" s="206">
        <f t="shared" si="22"/>
        <v>169</v>
      </c>
      <c r="K17" s="206">
        <f t="shared" si="3"/>
        <v>3636.2258064516127</v>
      </c>
      <c r="L17" s="206">
        <f t="shared" si="23"/>
        <v>169</v>
      </c>
      <c r="M17" s="206">
        <f t="shared" si="4"/>
        <v>3636.2258064516127</v>
      </c>
      <c r="N17" s="206">
        <f t="shared" si="24"/>
        <v>169</v>
      </c>
      <c r="O17" s="206">
        <f t="shared" si="5"/>
        <v>3636.2258064516127</v>
      </c>
      <c r="P17" s="206">
        <f t="shared" si="25"/>
        <v>169</v>
      </c>
      <c r="Q17" s="206">
        <f t="shared" si="6"/>
        <v>3636.2258064516127</v>
      </c>
      <c r="R17" s="206">
        <f t="shared" si="26"/>
        <v>169</v>
      </c>
      <c r="S17" s="206">
        <f t="shared" si="7"/>
        <v>3636.2258064516127</v>
      </c>
      <c r="T17" s="206">
        <f t="shared" si="27"/>
        <v>169</v>
      </c>
      <c r="U17" s="206">
        <f t="shared" si="8"/>
        <v>3636.2258064516127</v>
      </c>
      <c r="V17" s="206">
        <f t="shared" si="28"/>
        <v>169</v>
      </c>
      <c r="W17" s="206">
        <f t="shared" si="9"/>
        <v>3636.2258064516127</v>
      </c>
      <c r="X17" s="35">
        <f t="shared" si="10"/>
        <v>0.54516129032258065</v>
      </c>
      <c r="Y17" s="36">
        <f t="shared" si="29"/>
        <v>39998.483870967742</v>
      </c>
      <c r="Z17" s="206">
        <f>'B5'!C16</f>
        <v>175</v>
      </c>
      <c r="AA17" s="206">
        <f t="shared" si="30"/>
        <v>1750</v>
      </c>
      <c r="AB17" s="206">
        <f t="shared" si="31"/>
        <v>175</v>
      </c>
      <c r="AC17" s="206">
        <f t="shared" si="30"/>
        <v>1750</v>
      </c>
      <c r="AD17" s="206">
        <f t="shared" si="32"/>
        <v>175</v>
      </c>
      <c r="AE17" s="206">
        <f t="shared" si="11"/>
        <v>1750</v>
      </c>
      <c r="AF17" s="206">
        <f t="shared" si="33"/>
        <v>175</v>
      </c>
      <c r="AG17" s="206">
        <f t="shared" si="12"/>
        <v>1750</v>
      </c>
      <c r="AH17" s="206">
        <f t="shared" si="34"/>
        <v>175</v>
      </c>
      <c r="AI17" s="206">
        <f t="shared" si="13"/>
        <v>1750</v>
      </c>
      <c r="AJ17" s="206">
        <f t="shared" si="35"/>
        <v>175</v>
      </c>
      <c r="AK17" s="206">
        <f t="shared" si="14"/>
        <v>1750</v>
      </c>
      <c r="AL17" s="206">
        <f t="shared" si="36"/>
        <v>175</v>
      </c>
      <c r="AM17" s="206">
        <f t="shared" si="15"/>
        <v>1750</v>
      </c>
      <c r="AN17" s="35">
        <f t="shared" si="16"/>
        <v>0.625</v>
      </c>
      <c r="AO17" s="36">
        <f>SUM(AA17+AC17+AE17+AG17+AI17+AK17+AM17)</f>
        <v>12250</v>
      </c>
      <c r="AQ17" s="226">
        <f t="shared" si="37"/>
        <v>0.56199294257252597</v>
      </c>
      <c r="AR17" s="38">
        <f t="shared" si="41"/>
        <v>52248.483870967742</v>
      </c>
      <c r="AS17" s="200">
        <f t="shared" si="38"/>
        <v>0</v>
      </c>
      <c r="AT17" s="367"/>
      <c r="AU17" s="495"/>
      <c r="AV17" s="539">
        <f t="shared" si="42"/>
        <v>0.34</v>
      </c>
      <c r="AW17" s="299">
        <f>-SUM('B5'!AI16)</f>
        <v>0</v>
      </c>
      <c r="AX17" s="299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06">
        <f>SUM('General information '!E17)</f>
        <v>0</v>
      </c>
      <c r="BC17" s="3">
        <f t="shared" si="43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9">
        <f>ELEC!C15</f>
        <v>43995</v>
      </c>
      <c r="B18">
        <f>'B5'!B17</f>
        <v>169</v>
      </c>
      <c r="C18" s="206">
        <f t="shared" si="18"/>
        <v>3636.2258064516127</v>
      </c>
      <c r="D18">
        <f t="shared" si="19"/>
        <v>169</v>
      </c>
      <c r="E18" s="206">
        <f t="shared" si="18"/>
        <v>3636.2258064516127</v>
      </c>
      <c r="F18">
        <f t="shared" si="20"/>
        <v>169</v>
      </c>
      <c r="G18" s="206">
        <f t="shared" si="1"/>
        <v>3636.2258064516127</v>
      </c>
      <c r="H18" s="206">
        <f t="shared" si="21"/>
        <v>169</v>
      </c>
      <c r="I18" s="206">
        <f t="shared" si="2"/>
        <v>3636.2258064516127</v>
      </c>
      <c r="J18" s="206">
        <f t="shared" si="22"/>
        <v>169</v>
      </c>
      <c r="K18" s="206">
        <f t="shared" si="3"/>
        <v>3636.2258064516127</v>
      </c>
      <c r="L18" s="206">
        <f t="shared" si="23"/>
        <v>169</v>
      </c>
      <c r="M18" s="206">
        <f t="shared" si="4"/>
        <v>3636.2258064516127</v>
      </c>
      <c r="N18" s="206">
        <f t="shared" si="24"/>
        <v>169</v>
      </c>
      <c r="O18" s="206">
        <f t="shared" si="5"/>
        <v>3636.2258064516127</v>
      </c>
      <c r="P18" s="206">
        <f t="shared" si="25"/>
        <v>169</v>
      </c>
      <c r="Q18" s="206">
        <f t="shared" si="6"/>
        <v>3636.2258064516127</v>
      </c>
      <c r="R18" s="206">
        <f t="shared" si="26"/>
        <v>169</v>
      </c>
      <c r="S18" s="206">
        <f t="shared" si="7"/>
        <v>3636.2258064516127</v>
      </c>
      <c r="T18" s="206">
        <f t="shared" si="27"/>
        <v>169</v>
      </c>
      <c r="U18" s="206">
        <f t="shared" si="8"/>
        <v>3636.2258064516127</v>
      </c>
      <c r="V18" s="206">
        <f t="shared" si="28"/>
        <v>169</v>
      </c>
      <c r="W18" s="206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6">
        <f>'B5'!C17</f>
        <v>175</v>
      </c>
      <c r="AA18" s="206">
        <f t="shared" si="30"/>
        <v>1750</v>
      </c>
      <c r="AB18" s="206">
        <f t="shared" si="31"/>
        <v>175</v>
      </c>
      <c r="AC18" s="206">
        <f t="shared" si="30"/>
        <v>1750</v>
      </c>
      <c r="AD18" s="206">
        <f t="shared" si="32"/>
        <v>175</v>
      </c>
      <c r="AE18" s="206">
        <f t="shared" si="11"/>
        <v>1750</v>
      </c>
      <c r="AF18" s="206">
        <f t="shared" si="33"/>
        <v>175</v>
      </c>
      <c r="AG18" s="206">
        <f t="shared" si="12"/>
        <v>1750</v>
      </c>
      <c r="AH18" s="206">
        <f t="shared" si="34"/>
        <v>175</v>
      </c>
      <c r="AI18" s="206">
        <f t="shared" si="13"/>
        <v>1750</v>
      </c>
      <c r="AJ18" s="206">
        <f t="shared" si="35"/>
        <v>175</v>
      </c>
      <c r="AK18" s="206">
        <f t="shared" si="14"/>
        <v>1750</v>
      </c>
      <c r="AL18" s="206">
        <f t="shared" si="36"/>
        <v>175</v>
      </c>
      <c r="AM18" s="206">
        <f t="shared" si="15"/>
        <v>1750</v>
      </c>
      <c r="AN18" s="35">
        <f t="shared" si="16"/>
        <v>0.625</v>
      </c>
      <c r="AO18" s="36">
        <f t="shared" si="17"/>
        <v>12250</v>
      </c>
      <c r="AQ18" s="226">
        <f t="shared" si="37"/>
        <v>0.56199294257252597</v>
      </c>
      <c r="AR18" s="38">
        <f t="shared" si="41"/>
        <v>52248.483870967742</v>
      </c>
      <c r="AS18" s="200">
        <f t="shared" si="38"/>
        <v>0</v>
      </c>
      <c r="AT18" s="277"/>
      <c r="AU18" s="451"/>
      <c r="AV18" s="539">
        <f>IF(AT18&gt;0,AU18,AV17)</f>
        <v>0.34</v>
      </c>
      <c r="AW18" s="299">
        <f>-SUM('B5'!AI17)</f>
        <v>0</v>
      </c>
      <c r="AX18" s="299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06">
        <f>SUM('General information '!E18)</f>
        <v>0</v>
      </c>
      <c r="BC18" s="3">
        <f t="shared" si="43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9">
        <f>ELEC!C16</f>
        <v>43996</v>
      </c>
      <c r="B19">
        <f>'B5'!B18</f>
        <v>169</v>
      </c>
      <c r="C19" s="206">
        <f t="shared" si="18"/>
        <v>3636.2258064516127</v>
      </c>
      <c r="D19">
        <f t="shared" si="19"/>
        <v>169</v>
      </c>
      <c r="E19" s="206">
        <f t="shared" si="18"/>
        <v>3636.2258064516127</v>
      </c>
      <c r="F19">
        <f t="shared" si="20"/>
        <v>169</v>
      </c>
      <c r="G19" s="206">
        <f t="shared" si="1"/>
        <v>3636.2258064516127</v>
      </c>
      <c r="H19" s="206">
        <f t="shared" si="21"/>
        <v>169</v>
      </c>
      <c r="I19" s="206">
        <f t="shared" si="2"/>
        <v>3636.2258064516127</v>
      </c>
      <c r="J19" s="206">
        <f t="shared" si="22"/>
        <v>169</v>
      </c>
      <c r="K19" s="206">
        <f t="shared" si="3"/>
        <v>3636.2258064516127</v>
      </c>
      <c r="L19" s="206">
        <f t="shared" si="23"/>
        <v>169</v>
      </c>
      <c r="M19" s="206">
        <f t="shared" si="4"/>
        <v>3636.2258064516127</v>
      </c>
      <c r="N19" s="206">
        <f t="shared" si="24"/>
        <v>169</v>
      </c>
      <c r="O19" s="206">
        <f t="shared" si="5"/>
        <v>3636.2258064516127</v>
      </c>
      <c r="P19" s="206">
        <f t="shared" si="25"/>
        <v>169</v>
      </c>
      <c r="Q19" s="206">
        <f t="shared" si="6"/>
        <v>3636.2258064516127</v>
      </c>
      <c r="R19" s="206">
        <f t="shared" si="26"/>
        <v>169</v>
      </c>
      <c r="S19" s="206">
        <f t="shared" si="7"/>
        <v>3636.2258064516127</v>
      </c>
      <c r="T19" s="206">
        <f t="shared" si="27"/>
        <v>169</v>
      </c>
      <c r="U19" s="206">
        <f t="shared" si="8"/>
        <v>3636.2258064516127</v>
      </c>
      <c r="V19" s="206">
        <f t="shared" si="28"/>
        <v>169</v>
      </c>
      <c r="W19" s="206">
        <f t="shared" si="9"/>
        <v>3636.2258064516127</v>
      </c>
      <c r="X19" s="35">
        <f t="shared" si="10"/>
        <v>0.54516129032258065</v>
      </c>
      <c r="Y19" s="36">
        <f t="shared" si="29"/>
        <v>39998.483870967742</v>
      </c>
      <c r="Z19" s="206">
        <f>'B5'!C18</f>
        <v>175</v>
      </c>
      <c r="AA19" s="206">
        <f t="shared" si="30"/>
        <v>1750</v>
      </c>
      <c r="AB19" s="206">
        <f t="shared" si="31"/>
        <v>175</v>
      </c>
      <c r="AC19" s="206">
        <f t="shared" si="30"/>
        <v>1750</v>
      </c>
      <c r="AD19" s="206">
        <f t="shared" si="32"/>
        <v>175</v>
      </c>
      <c r="AE19" s="206">
        <f t="shared" si="11"/>
        <v>1750</v>
      </c>
      <c r="AF19" s="206">
        <f t="shared" si="33"/>
        <v>175</v>
      </c>
      <c r="AG19" s="206">
        <f t="shared" si="12"/>
        <v>1750</v>
      </c>
      <c r="AH19" s="206">
        <f t="shared" si="34"/>
        <v>175</v>
      </c>
      <c r="AI19" s="206">
        <f t="shared" si="13"/>
        <v>1750</v>
      </c>
      <c r="AJ19" s="206">
        <f t="shared" si="35"/>
        <v>175</v>
      </c>
      <c r="AK19" s="206">
        <f t="shared" si="14"/>
        <v>1750</v>
      </c>
      <c r="AL19" s="206">
        <f t="shared" si="36"/>
        <v>175</v>
      </c>
      <c r="AM19" s="206">
        <f t="shared" si="15"/>
        <v>1750</v>
      </c>
      <c r="AN19" s="35">
        <f t="shared" si="16"/>
        <v>0.625</v>
      </c>
      <c r="AO19" s="36">
        <f t="shared" si="17"/>
        <v>12250</v>
      </c>
      <c r="AQ19" s="226">
        <f t="shared" si="37"/>
        <v>0.56199294257252597</v>
      </c>
      <c r="AR19" s="38">
        <f t="shared" si="41"/>
        <v>52248.483870967742</v>
      </c>
      <c r="AS19" s="200">
        <f t="shared" si="38"/>
        <v>0</v>
      </c>
      <c r="AT19" s="277"/>
      <c r="AU19" s="495"/>
      <c r="AV19" s="539">
        <f t="shared" si="42"/>
        <v>0.34</v>
      </c>
      <c r="AW19" s="299">
        <f>-SUM('B5'!AI18)</f>
        <v>0</v>
      </c>
      <c r="AX19" s="299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06">
        <f>SUM('General information '!E19)</f>
        <v>0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9">
        <f>ELEC!C17</f>
        <v>43997</v>
      </c>
      <c r="B20">
        <f>'B5'!B19</f>
        <v>169</v>
      </c>
      <c r="C20" s="206">
        <f t="shared" si="18"/>
        <v>3636.2258064516127</v>
      </c>
      <c r="D20">
        <f t="shared" si="19"/>
        <v>169</v>
      </c>
      <c r="E20" s="206">
        <f t="shared" si="18"/>
        <v>3636.2258064516127</v>
      </c>
      <c r="F20">
        <f t="shared" si="20"/>
        <v>169</v>
      </c>
      <c r="G20" s="206">
        <f t="shared" si="1"/>
        <v>3636.2258064516127</v>
      </c>
      <c r="H20" s="206">
        <f t="shared" si="21"/>
        <v>169</v>
      </c>
      <c r="I20" s="206">
        <f t="shared" si="2"/>
        <v>3636.2258064516127</v>
      </c>
      <c r="J20" s="206">
        <f t="shared" si="22"/>
        <v>169</v>
      </c>
      <c r="K20" s="206">
        <f t="shared" si="3"/>
        <v>3636.2258064516127</v>
      </c>
      <c r="L20" s="206">
        <f t="shared" si="23"/>
        <v>169</v>
      </c>
      <c r="M20" s="206">
        <f t="shared" si="4"/>
        <v>3636.2258064516127</v>
      </c>
      <c r="N20" s="206">
        <f t="shared" si="24"/>
        <v>169</v>
      </c>
      <c r="O20" s="206">
        <f t="shared" si="5"/>
        <v>3636.2258064516127</v>
      </c>
      <c r="P20" s="206">
        <f t="shared" si="25"/>
        <v>169</v>
      </c>
      <c r="Q20" s="206">
        <f t="shared" si="6"/>
        <v>3636.2258064516127</v>
      </c>
      <c r="R20" s="206">
        <f t="shared" si="26"/>
        <v>169</v>
      </c>
      <c r="S20" s="206">
        <f t="shared" si="7"/>
        <v>3636.2258064516127</v>
      </c>
      <c r="T20" s="206">
        <f t="shared" si="27"/>
        <v>169</v>
      </c>
      <c r="U20" s="206">
        <f t="shared" si="8"/>
        <v>3636.2258064516127</v>
      </c>
      <c r="V20" s="206">
        <f t="shared" si="28"/>
        <v>169</v>
      </c>
      <c r="W20" s="206">
        <f t="shared" si="9"/>
        <v>3636.2258064516127</v>
      </c>
      <c r="X20" s="35">
        <f t="shared" si="10"/>
        <v>0.54516129032258065</v>
      </c>
      <c r="Y20" s="36">
        <f t="shared" si="29"/>
        <v>39998.483870967742</v>
      </c>
      <c r="Z20" s="206">
        <f>'B5'!C19</f>
        <v>175</v>
      </c>
      <c r="AA20" s="206">
        <f t="shared" si="30"/>
        <v>1750</v>
      </c>
      <c r="AB20" s="206">
        <f t="shared" si="31"/>
        <v>175</v>
      </c>
      <c r="AC20" s="206">
        <f t="shared" si="30"/>
        <v>1750</v>
      </c>
      <c r="AD20" s="206">
        <f t="shared" si="32"/>
        <v>175</v>
      </c>
      <c r="AE20" s="206">
        <f t="shared" si="11"/>
        <v>1750</v>
      </c>
      <c r="AF20" s="206">
        <f t="shared" si="33"/>
        <v>175</v>
      </c>
      <c r="AG20" s="206">
        <f t="shared" si="12"/>
        <v>1750</v>
      </c>
      <c r="AH20" s="206">
        <f t="shared" si="34"/>
        <v>175</v>
      </c>
      <c r="AI20" s="206">
        <f t="shared" si="13"/>
        <v>1750</v>
      </c>
      <c r="AJ20" s="206">
        <f t="shared" si="35"/>
        <v>175</v>
      </c>
      <c r="AK20" s="206">
        <f t="shared" si="14"/>
        <v>1750</v>
      </c>
      <c r="AL20" s="206">
        <f t="shared" si="36"/>
        <v>175</v>
      </c>
      <c r="AM20" s="206">
        <f t="shared" si="15"/>
        <v>1750</v>
      </c>
      <c r="AN20" s="35">
        <f t="shared" si="16"/>
        <v>0.625</v>
      </c>
      <c r="AO20" s="36">
        <f t="shared" si="17"/>
        <v>12250</v>
      </c>
      <c r="AQ20" s="226">
        <f t="shared" si="37"/>
        <v>0.56199294257252597</v>
      </c>
      <c r="AR20" s="38">
        <f t="shared" si="41"/>
        <v>52248.483870967742</v>
      </c>
      <c r="AS20" s="200">
        <f t="shared" si="38"/>
        <v>0</v>
      </c>
      <c r="AT20" s="277"/>
      <c r="AU20" s="451"/>
      <c r="AV20" s="539">
        <f t="shared" si="42"/>
        <v>0.34</v>
      </c>
      <c r="AW20" s="299">
        <f>-SUM('B5'!AI19)</f>
        <v>0</v>
      </c>
      <c r="AX20" s="299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06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9">
        <f>ELEC!C18</f>
        <v>43998</v>
      </c>
      <c r="B21">
        <f>'B5'!B20</f>
        <v>169</v>
      </c>
      <c r="C21" s="206">
        <f t="shared" si="18"/>
        <v>3636.2258064516127</v>
      </c>
      <c r="D21">
        <f t="shared" si="19"/>
        <v>169</v>
      </c>
      <c r="E21" s="206">
        <f t="shared" si="18"/>
        <v>3636.2258064516127</v>
      </c>
      <c r="F21">
        <f t="shared" si="20"/>
        <v>169</v>
      </c>
      <c r="G21" s="206">
        <f t="shared" si="1"/>
        <v>3636.2258064516127</v>
      </c>
      <c r="H21" s="206">
        <f t="shared" si="21"/>
        <v>169</v>
      </c>
      <c r="I21" s="206">
        <f t="shared" si="2"/>
        <v>3636.2258064516127</v>
      </c>
      <c r="J21" s="206">
        <f t="shared" si="22"/>
        <v>169</v>
      </c>
      <c r="K21" s="206">
        <f t="shared" si="3"/>
        <v>3636.2258064516127</v>
      </c>
      <c r="L21" s="206">
        <f t="shared" si="23"/>
        <v>169</v>
      </c>
      <c r="M21" s="206">
        <f t="shared" si="4"/>
        <v>3636.2258064516127</v>
      </c>
      <c r="N21" s="206">
        <f t="shared" si="24"/>
        <v>169</v>
      </c>
      <c r="O21" s="206">
        <f t="shared" si="5"/>
        <v>3636.2258064516127</v>
      </c>
      <c r="P21" s="206">
        <f t="shared" si="25"/>
        <v>169</v>
      </c>
      <c r="Q21" s="206">
        <f t="shared" si="6"/>
        <v>3636.2258064516127</v>
      </c>
      <c r="R21" s="206">
        <f t="shared" si="26"/>
        <v>169</v>
      </c>
      <c r="S21" s="206">
        <f t="shared" si="7"/>
        <v>3636.2258064516127</v>
      </c>
      <c r="T21" s="206">
        <f t="shared" si="27"/>
        <v>169</v>
      </c>
      <c r="U21" s="206">
        <f t="shared" si="8"/>
        <v>3636.2258064516127</v>
      </c>
      <c r="V21" s="206">
        <f t="shared" si="28"/>
        <v>169</v>
      </c>
      <c r="W21" s="206">
        <f t="shared" si="9"/>
        <v>3636.2258064516127</v>
      </c>
      <c r="X21" s="35">
        <f t="shared" si="10"/>
        <v>0.54516129032258065</v>
      </c>
      <c r="Y21" s="36">
        <f t="shared" si="29"/>
        <v>39998.483870967742</v>
      </c>
      <c r="Z21" s="206">
        <f>'B5'!C20</f>
        <v>175</v>
      </c>
      <c r="AA21" s="206">
        <f t="shared" si="30"/>
        <v>1750</v>
      </c>
      <c r="AB21" s="206">
        <f t="shared" si="31"/>
        <v>175</v>
      </c>
      <c r="AC21" s="206">
        <f t="shared" si="30"/>
        <v>1750</v>
      </c>
      <c r="AD21" s="206">
        <f t="shared" si="32"/>
        <v>175</v>
      </c>
      <c r="AE21" s="206">
        <f t="shared" si="11"/>
        <v>1750</v>
      </c>
      <c r="AF21" s="206">
        <f t="shared" si="33"/>
        <v>175</v>
      </c>
      <c r="AG21" s="206">
        <f t="shared" si="12"/>
        <v>1750</v>
      </c>
      <c r="AH21" s="206">
        <f t="shared" si="34"/>
        <v>175</v>
      </c>
      <c r="AI21" s="206">
        <f t="shared" si="13"/>
        <v>1750</v>
      </c>
      <c r="AJ21" s="206">
        <f t="shared" si="35"/>
        <v>175</v>
      </c>
      <c r="AK21" s="206">
        <f t="shared" si="14"/>
        <v>1750</v>
      </c>
      <c r="AL21" s="206">
        <f t="shared" si="36"/>
        <v>175</v>
      </c>
      <c r="AM21" s="206">
        <f t="shared" si="15"/>
        <v>1750</v>
      </c>
      <c r="AN21" s="35">
        <f t="shared" si="16"/>
        <v>0.625</v>
      </c>
      <c r="AO21" s="36">
        <f t="shared" si="17"/>
        <v>12250</v>
      </c>
      <c r="AQ21" s="226">
        <f t="shared" si="37"/>
        <v>0.56199294257252597</v>
      </c>
      <c r="AR21" s="38">
        <f t="shared" si="41"/>
        <v>52248.483870967742</v>
      </c>
      <c r="AS21" s="200">
        <f t="shared" si="38"/>
        <v>0</v>
      </c>
      <c r="AT21" s="277"/>
      <c r="AU21" s="451"/>
      <c r="AV21" s="539">
        <f t="shared" si="42"/>
        <v>0.34</v>
      </c>
      <c r="AW21" s="299">
        <f>-SUM('B5'!AI20)</f>
        <v>0</v>
      </c>
      <c r="AX21" s="299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06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9">
        <f>ELEC!C19</f>
        <v>43999</v>
      </c>
      <c r="B22">
        <f>'B5'!B21</f>
        <v>169</v>
      </c>
      <c r="C22" s="206">
        <f t="shared" si="18"/>
        <v>3636.2258064516127</v>
      </c>
      <c r="D22">
        <f t="shared" si="19"/>
        <v>169</v>
      </c>
      <c r="E22" s="206">
        <f t="shared" si="18"/>
        <v>3636.2258064516127</v>
      </c>
      <c r="F22">
        <f t="shared" si="20"/>
        <v>169</v>
      </c>
      <c r="G22" s="206">
        <f t="shared" si="1"/>
        <v>3636.2258064516127</v>
      </c>
      <c r="H22" s="206">
        <f t="shared" si="21"/>
        <v>169</v>
      </c>
      <c r="I22" s="206">
        <f t="shared" si="2"/>
        <v>3636.2258064516127</v>
      </c>
      <c r="J22" s="206">
        <f t="shared" si="22"/>
        <v>169</v>
      </c>
      <c r="K22" s="206">
        <f t="shared" si="3"/>
        <v>3636.2258064516127</v>
      </c>
      <c r="L22" s="206">
        <f t="shared" si="23"/>
        <v>169</v>
      </c>
      <c r="M22" s="206">
        <f t="shared" si="4"/>
        <v>3636.2258064516127</v>
      </c>
      <c r="N22" s="206">
        <f t="shared" si="24"/>
        <v>169</v>
      </c>
      <c r="O22" s="206">
        <f t="shared" si="5"/>
        <v>3636.2258064516127</v>
      </c>
      <c r="P22" s="206">
        <f t="shared" si="25"/>
        <v>169</v>
      </c>
      <c r="Q22" s="206">
        <f t="shared" si="6"/>
        <v>3636.2258064516127</v>
      </c>
      <c r="R22" s="206">
        <f t="shared" si="26"/>
        <v>169</v>
      </c>
      <c r="S22" s="206">
        <f t="shared" si="7"/>
        <v>3636.2258064516127</v>
      </c>
      <c r="T22" s="206">
        <f t="shared" si="27"/>
        <v>169</v>
      </c>
      <c r="U22" s="206">
        <f t="shared" si="8"/>
        <v>3636.2258064516127</v>
      </c>
      <c r="V22" s="206">
        <f t="shared" si="28"/>
        <v>169</v>
      </c>
      <c r="W22" s="206">
        <f t="shared" si="9"/>
        <v>3636.2258064516127</v>
      </c>
      <c r="X22" s="35">
        <f t="shared" si="10"/>
        <v>0.54516129032258065</v>
      </c>
      <c r="Y22" s="36">
        <f t="shared" si="29"/>
        <v>39998.483870967742</v>
      </c>
      <c r="Z22" s="206">
        <f>'B5'!C21</f>
        <v>175</v>
      </c>
      <c r="AA22" s="206">
        <f t="shared" si="30"/>
        <v>1750</v>
      </c>
      <c r="AB22" s="206">
        <f t="shared" si="31"/>
        <v>175</v>
      </c>
      <c r="AC22" s="206">
        <f t="shared" si="30"/>
        <v>1750</v>
      </c>
      <c r="AD22" s="206">
        <f t="shared" si="32"/>
        <v>175</v>
      </c>
      <c r="AE22" s="206">
        <f t="shared" si="11"/>
        <v>1750</v>
      </c>
      <c r="AF22" s="206">
        <f t="shared" si="33"/>
        <v>175</v>
      </c>
      <c r="AG22" s="206">
        <f t="shared" si="12"/>
        <v>1750</v>
      </c>
      <c r="AH22" s="206">
        <f t="shared" si="34"/>
        <v>175</v>
      </c>
      <c r="AI22" s="206">
        <f t="shared" si="13"/>
        <v>1750</v>
      </c>
      <c r="AJ22" s="206">
        <f t="shared" si="35"/>
        <v>175</v>
      </c>
      <c r="AK22" s="206">
        <f t="shared" si="14"/>
        <v>1750</v>
      </c>
      <c r="AL22" s="206">
        <f t="shared" si="36"/>
        <v>175</v>
      </c>
      <c r="AM22" s="206">
        <f t="shared" si="15"/>
        <v>1750</v>
      </c>
      <c r="AN22" s="35">
        <f t="shared" si="16"/>
        <v>0.625</v>
      </c>
      <c r="AO22" s="36">
        <f t="shared" si="17"/>
        <v>12250</v>
      </c>
      <c r="AQ22" s="226">
        <f t="shared" si="37"/>
        <v>0.56199294257252597</v>
      </c>
      <c r="AR22" s="38">
        <f t="shared" si="41"/>
        <v>52248.483870967742</v>
      </c>
      <c r="AS22" s="200">
        <f t="shared" si="38"/>
        <v>0</v>
      </c>
      <c r="AT22" s="277"/>
      <c r="AU22" s="451"/>
      <c r="AV22" s="539">
        <f t="shared" si="42"/>
        <v>0.34</v>
      </c>
      <c r="AW22" s="299">
        <f>-SUM('B5'!AI21)</f>
        <v>0</v>
      </c>
      <c r="AX22" s="299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06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9">
        <f>ELEC!C20</f>
        <v>44000</v>
      </c>
      <c r="B23">
        <f>'B5'!B22</f>
        <v>169</v>
      </c>
      <c r="C23" s="206">
        <f t="shared" si="18"/>
        <v>3636.2258064516127</v>
      </c>
      <c r="D23">
        <f t="shared" si="19"/>
        <v>169</v>
      </c>
      <c r="E23" s="206">
        <f t="shared" si="18"/>
        <v>3636.2258064516127</v>
      </c>
      <c r="F23">
        <f t="shared" si="20"/>
        <v>169</v>
      </c>
      <c r="G23" s="206">
        <f t="shared" si="1"/>
        <v>3636.2258064516127</v>
      </c>
      <c r="H23" s="206">
        <f t="shared" si="21"/>
        <v>169</v>
      </c>
      <c r="I23" s="206">
        <f t="shared" si="2"/>
        <v>3636.2258064516127</v>
      </c>
      <c r="J23" s="206">
        <f t="shared" si="22"/>
        <v>169</v>
      </c>
      <c r="K23" s="206">
        <f t="shared" si="3"/>
        <v>3636.2258064516127</v>
      </c>
      <c r="L23" s="206">
        <f t="shared" si="23"/>
        <v>169</v>
      </c>
      <c r="M23" s="206">
        <f t="shared" si="4"/>
        <v>3636.2258064516127</v>
      </c>
      <c r="N23" s="206">
        <f t="shared" si="24"/>
        <v>169</v>
      </c>
      <c r="O23" s="206">
        <f t="shared" si="5"/>
        <v>3636.2258064516127</v>
      </c>
      <c r="P23" s="206">
        <f t="shared" si="25"/>
        <v>169</v>
      </c>
      <c r="Q23" s="206">
        <f t="shared" si="6"/>
        <v>3636.2258064516127</v>
      </c>
      <c r="R23" s="206">
        <f t="shared" si="26"/>
        <v>169</v>
      </c>
      <c r="S23" s="206">
        <f t="shared" si="7"/>
        <v>3636.2258064516127</v>
      </c>
      <c r="T23" s="206">
        <f t="shared" si="27"/>
        <v>169</v>
      </c>
      <c r="U23" s="206">
        <f t="shared" si="8"/>
        <v>3636.2258064516127</v>
      </c>
      <c r="V23" s="206">
        <f t="shared" si="28"/>
        <v>169</v>
      </c>
      <c r="W23" s="206">
        <f t="shared" si="9"/>
        <v>3636.2258064516127</v>
      </c>
      <c r="X23" s="35">
        <f t="shared" si="10"/>
        <v>0.54516129032258065</v>
      </c>
      <c r="Y23" s="36">
        <f t="shared" si="29"/>
        <v>39998.483870967742</v>
      </c>
      <c r="Z23" s="206">
        <f>'B5'!C22</f>
        <v>175</v>
      </c>
      <c r="AA23" s="206">
        <f t="shared" si="30"/>
        <v>1750</v>
      </c>
      <c r="AB23" s="206">
        <f t="shared" si="31"/>
        <v>175</v>
      </c>
      <c r="AC23" s="206">
        <f t="shared" si="30"/>
        <v>1750</v>
      </c>
      <c r="AD23" s="206">
        <f t="shared" si="32"/>
        <v>175</v>
      </c>
      <c r="AE23" s="206">
        <f t="shared" si="11"/>
        <v>1750</v>
      </c>
      <c r="AF23" s="206">
        <f t="shared" si="33"/>
        <v>175</v>
      </c>
      <c r="AG23" s="206">
        <f t="shared" si="12"/>
        <v>1750</v>
      </c>
      <c r="AH23" s="206">
        <f t="shared" si="34"/>
        <v>175</v>
      </c>
      <c r="AI23" s="206">
        <f t="shared" si="13"/>
        <v>1750</v>
      </c>
      <c r="AJ23" s="206">
        <f t="shared" si="35"/>
        <v>175</v>
      </c>
      <c r="AK23" s="206">
        <f t="shared" si="14"/>
        <v>1750</v>
      </c>
      <c r="AL23" s="206">
        <f t="shared" si="36"/>
        <v>175</v>
      </c>
      <c r="AM23" s="206">
        <f t="shared" si="15"/>
        <v>1750</v>
      </c>
      <c r="AN23" s="35">
        <f t="shared" si="16"/>
        <v>0.625</v>
      </c>
      <c r="AO23" s="36">
        <f t="shared" si="17"/>
        <v>12250</v>
      </c>
      <c r="AQ23" s="226">
        <f t="shared" si="37"/>
        <v>0.56199294257252597</v>
      </c>
      <c r="AR23" s="38">
        <f t="shared" si="41"/>
        <v>52248.483870967742</v>
      </c>
      <c r="AS23" s="200">
        <f t="shared" si="38"/>
        <v>0</v>
      </c>
      <c r="AT23" s="277"/>
      <c r="AU23" s="451"/>
      <c r="AV23" s="539">
        <f t="shared" si="42"/>
        <v>0.34</v>
      </c>
      <c r="AW23" s="299">
        <f>-SUM('B5'!AI22)</f>
        <v>0</v>
      </c>
      <c r="AX23" s="299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06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9">
        <f>ELEC!C21</f>
        <v>44001</v>
      </c>
      <c r="B24">
        <f>'B5'!B23</f>
        <v>169</v>
      </c>
      <c r="C24" s="206">
        <f t="shared" si="18"/>
        <v>3636.2258064516127</v>
      </c>
      <c r="D24">
        <f t="shared" si="19"/>
        <v>169</v>
      </c>
      <c r="E24" s="206">
        <f t="shared" si="18"/>
        <v>3636.2258064516127</v>
      </c>
      <c r="F24">
        <f t="shared" si="20"/>
        <v>169</v>
      </c>
      <c r="G24" s="206">
        <f t="shared" si="1"/>
        <v>3636.2258064516127</v>
      </c>
      <c r="H24" s="206">
        <f t="shared" si="21"/>
        <v>169</v>
      </c>
      <c r="I24" s="206">
        <f t="shared" si="2"/>
        <v>3636.2258064516127</v>
      </c>
      <c r="J24" s="206">
        <f t="shared" si="22"/>
        <v>169</v>
      </c>
      <c r="K24" s="206">
        <f t="shared" si="3"/>
        <v>3636.2258064516127</v>
      </c>
      <c r="L24" s="206">
        <f t="shared" si="23"/>
        <v>169</v>
      </c>
      <c r="M24" s="206">
        <f t="shared" si="4"/>
        <v>3636.2258064516127</v>
      </c>
      <c r="N24" s="206">
        <f t="shared" si="24"/>
        <v>169</v>
      </c>
      <c r="O24" s="206">
        <f t="shared" si="5"/>
        <v>3636.2258064516127</v>
      </c>
      <c r="P24" s="206">
        <f t="shared" si="25"/>
        <v>169</v>
      </c>
      <c r="Q24" s="206">
        <f t="shared" si="6"/>
        <v>3636.2258064516127</v>
      </c>
      <c r="R24" s="206">
        <f t="shared" si="26"/>
        <v>169</v>
      </c>
      <c r="S24" s="206">
        <f t="shared" si="7"/>
        <v>3636.2258064516127</v>
      </c>
      <c r="T24" s="206">
        <f t="shared" si="27"/>
        <v>169</v>
      </c>
      <c r="U24" s="206">
        <f t="shared" si="8"/>
        <v>3636.2258064516127</v>
      </c>
      <c r="V24" s="206">
        <f t="shared" si="28"/>
        <v>169</v>
      </c>
      <c r="W24" s="206">
        <f t="shared" si="9"/>
        <v>3636.2258064516127</v>
      </c>
      <c r="X24" s="35">
        <f t="shared" si="10"/>
        <v>0.54516129032258065</v>
      </c>
      <c r="Y24" s="36">
        <f t="shared" si="29"/>
        <v>39998.483870967742</v>
      </c>
      <c r="Z24" s="206">
        <f>'B5'!C23</f>
        <v>175</v>
      </c>
      <c r="AA24" s="206">
        <f t="shared" si="30"/>
        <v>1750</v>
      </c>
      <c r="AB24" s="206">
        <f t="shared" si="31"/>
        <v>175</v>
      </c>
      <c r="AC24" s="206">
        <f t="shared" si="30"/>
        <v>1750</v>
      </c>
      <c r="AD24" s="206">
        <f t="shared" si="32"/>
        <v>175</v>
      </c>
      <c r="AE24" s="206">
        <f t="shared" si="11"/>
        <v>1750</v>
      </c>
      <c r="AF24" s="206">
        <f t="shared" si="33"/>
        <v>175</v>
      </c>
      <c r="AG24" s="206">
        <f t="shared" si="12"/>
        <v>1750</v>
      </c>
      <c r="AH24" s="206">
        <f t="shared" si="34"/>
        <v>175</v>
      </c>
      <c r="AI24" s="206">
        <f t="shared" si="13"/>
        <v>1750</v>
      </c>
      <c r="AJ24" s="206">
        <f t="shared" si="35"/>
        <v>175</v>
      </c>
      <c r="AK24" s="206">
        <f t="shared" si="14"/>
        <v>1750</v>
      </c>
      <c r="AL24" s="206">
        <f t="shared" si="36"/>
        <v>175</v>
      </c>
      <c r="AM24" s="206">
        <f t="shared" si="15"/>
        <v>1750</v>
      </c>
      <c r="AN24" s="35">
        <f t="shared" si="16"/>
        <v>0.625</v>
      </c>
      <c r="AO24" s="36">
        <f t="shared" si="17"/>
        <v>12250</v>
      </c>
      <c r="AQ24" s="226">
        <f t="shared" si="37"/>
        <v>0.56199294257252597</v>
      </c>
      <c r="AR24" s="38">
        <f t="shared" si="41"/>
        <v>52248.483870967742</v>
      </c>
      <c r="AS24" s="200">
        <f t="shared" si="38"/>
        <v>0</v>
      </c>
      <c r="AT24" s="277"/>
      <c r="AU24" s="451"/>
      <c r="AV24" s="539">
        <f t="shared" si="42"/>
        <v>0.34</v>
      </c>
      <c r="AW24" s="299">
        <f>-SUM('B5'!AI23)</f>
        <v>0</v>
      </c>
      <c r="AX24" s="299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6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9">
        <f>ELEC!C22</f>
        <v>44002</v>
      </c>
      <c r="B25">
        <f>'B5'!B24</f>
        <v>169</v>
      </c>
      <c r="C25" s="206">
        <f t="shared" si="18"/>
        <v>3636.2258064516127</v>
      </c>
      <c r="D25">
        <f t="shared" si="19"/>
        <v>169</v>
      </c>
      <c r="E25" s="206">
        <f t="shared" si="18"/>
        <v>3636.2258064516127</v>
      </c>
      <c r="F25">
        <f t="shared" si="20"/>
        <v>169</v>
      </c>
      <c r="G25" s="206">
        <f t="shared" si="1"/>
        <v>3636.2258064516127</v>
      </c>
      <c r="H25" s="206">
        <f t="shared" si="21"/>
        <v>169</v>
      </c>
      <c r="I25" s="206">
        <f t="shared" si="2"/>
        <v>3636.2258064516127</v>
      </c>
      <c r="J25" s="206">
        <f t="shared" si="22"/>
        <v>169</v>
      </c>
      <c r="K25" s="206">
        <f t="shared" si="3"/>
        <v>3636.2258064516127</v>
      </c>
      <c r="L25" s="206">
        <f t="shared" si="23"/>
        <v>169</v>
      </c>
      <c r="M25" s="206">
        <f t="shared" si="4"/>
        <v>3636.2258064516127</v>
      </c>
      <c r="N25" s="206">
        <f t="shared" si="24"/>
        <v>169</v>
      </c>
      <c r="O25" s="206">
        <f t="shared" si="5"/>
        <v>3636.2258064516127</v>
      </c>
      <c r="P25" s="206">
        <f t="shared" si="25"/>
        <v>169</v>
      </c>
      <c r="Q25" s="206">
        <f t="shared" si="6"/>
        <v>3636.2258064516127</v>
      </c>
      <c r="R25" s="206">
        <f t="shared" si="26"/>
        <v>169</v>
      </c>
      <c r="S25" s="206">
        <f t="shared" si="7"/>
        <v>3636.2258064516127</v>
      </c>
      <c r="T25" s="206">
        <f t="shared" si="27"/>
        <v>169</v>
      </c>
      <c r="U25" s="206">
        <f t="shared" si="8"/>
        <v>3636.2258064516127</v>
      </c>
      <c r="V25" s="206">
        <f t="shared" si="28"/>
        <v>169</v>
      </c>
      <c r="W25" s="206">
        <f t="shared" si="9"/>
        <v>3636.2258064516127</v>
      </c>
      <c r="X25" s="35">
        <f t="shared" si="10"/>
        <v>0.54516129032258065</v>
      </c>
      <c r="Y25" s="36">
        <f t="shared" si="29"/>
        <v>39998.483870967742</v>
      </c>
      <c r="Z25" s="206">
        <f>'B5'!C24</f>
        <v>175</v>
      </c>
      <c r="AA25" s="206">
        <f t="shared" si="30"/>
        <v>1750</v>
      </c>
      <c r="AB25" s="206">
        <f t="shared" si="31"/>
        <v>175</v>
      </c>
      <c r="AC25" s="206">
        <f t="shared" si="30"/>
        <v>1750</v>
      </c>
      <c r="AD25" s="206">
        <f t="shared" si="32"/>
        <v>175</v>
      </c>
      <c r="AE25" s="206">
        <f t="shared" si="11"/>
        <v>1750</v>
      </c>
      <c r="AF25" s="206">
        <f t="shared" si="33"/>
        <v>175</v>
      </c>
      <c r="AG25" s="206">
        <f t="shared" si="12"/>
        <v>1750</v>
      </c>
      <c r="AH25" s="206">
        <f t="shared" si="34"/>
        <v>175</v>
      </c>
      <c r="AI25" s="206">
        <f t="shared" si="13"/>
        <v>1750</v>
      </c>
      <c r="AJ25" s="206">
        <f t="shared" si="35"/>
        <v>175</v>
      </c>
      <c r="AK25" s="206">
        <f t="shared" si="14"/>
        <v>1750</v>
      </c>
      <c r="AL25" s="206">
        <f t="shared" si="36"/>
        <v>175</v>
      </c>
      <c r="AM25" s="206">
        <f t="shared" si="15"/>
        <v>1750</v>
      </c>
      <c r="AN25" s="35">
        <f t="shared" si="16"/>
        <v>0.625</v>
      </c>
      <c r="AO25" s="36">
        <f t="shared" si="17"/>
        <v>12250</v>
      </c>
      <c r="AQ25" s="226">
        <f t="shared" si="37"/>
        <v>0.56199294257252597</v>
      </c>
      <c r="AR25" s="38">
        <f t="shared" si="41"/>
        <v>52248.483870967742</v>
      </c>
      <c r="AS25" s="200">
        <f t="shared" si="38"/>
        <v>0</v>
      </c>
      <c r="AT25" s="277"/>
      <c r="AU25" s="451"/>
      <c r="AV25" s="539">
        <f t="shared" si="42"/>
        <v>0.34</v>
      </c>
      <c r="AW25" s="299">
        <f>-SUM('B5'!AI24)</f>
        <v>0</v>
      </c>
      <c r="AX25" s="299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6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9">
        <f>ELEC!C23</f>
        <v>44003</v>
      </c>
      <c r="B26">
        <f>'B5'!B25</f>
        <v>169</v>
      </c>
      <c r="C26" s="206">
        <f t="shared" si="18"/>
        <v>3636.2258064516127</v>
      </c>
      <c r="D26">
        <f t="shared" si="19"/>
        <v>169</v>
      </c>
      <c r="E26" s="206">
        <f t="shared" si="18"/>
        <v>3636.2258064516127</v>
      </c>
      <c r="F26">
        <f t="shared" si="20"/>
        <v>169</v>
      </c>
      <c r="G26" s="206">
        <f t="shared" si="1"/>
        <v>3636.2258064516127</v>
      </c>
      <c r="H26" s="206">
        <f t="shared" si="21"/>
        <v>169</v>
      </c>
      <c r="I26" s="206">
        <f t="shared" si="2"/>
        <v>3636.2258064516127</v>
      </c>
      <c r="J26" s="206">
        <f t="shared" si="22"/>
        <v>169</v>
      </c>
      <c r="K26" s="206">
        <f t="shared" si="3"/>
        <v>3636.2258064516127</v>
      </c>
      <c r="L26" s="206">
        <f t="shared" si="23"/>
        <v>169</v>
      </c>
      <c r="M26" s="206">
        <f t="shared" si="4"/>
        <v>3636.2258064516127</v>
      </c>
      <c r="N26" s="206">
        <f t="shared" si="24"/>
        <v>169</v>
      </c>
      <c r="O26" s="206">
        <f t="shared" si="5"/>
        <v>3636.2258064516127</v>
      </c>
      <c r="P26" s="206">
        <f t="shared" si="25"/>
        <v>169</v>
      </c>
      <c r="Q26" s="206">
        <f t="shared" si="6"/>
        <v>3636.2258064516127</v>
      </c>
      <c r="R26" s="206">
        <f t="shared" si="26"/>
        <v>169</v>
      </c>
      <c r="S26" s="206">
        <f t="shared" si="7"/>
        <v>3636.2258064516127</v>
      </c>
      <c r="T26" s="206">
        <f t="shared" si="27"/>
        <v>169</v>
      </c>
      <c r="U26" s="206">
        <f t="shared" si="8"/>
        <v>3636.2258064516127</v>
      </c>
      <c r="V26" s="206">
        <f t="shared" si="28"/>
        <v>169</v>
      </c>
      <c r="W26" s="206">
        <f t="shared" si="9"/>
        <v>3636.2258064516127</v>
      </c>
      <c r="X26" s="35">
        <f t="shared" si="10"/>
        <v>0.54516129032258065</v>
      </c>
      <c r="Y26" s="36">
        <f t="shared" si="29"/>
        <v>39998.483870967742</v>
      </c>
      <c r="Z26" s="206">
        <f>'B5'!C25</f>
        <v>175</v>
      </c>
      <c r="AA26" s="206">
        <f t="shared" si="30"/>
        <v>1750</v>
      </c>
      <c r="AB26" s="206">
        <f t="shared" si="31"/>
        <v>175</v>
      </c>
      <c r="AC26" s="206">
        <f t="shared" si="30"/>
        <v>1750</v>
      </c>
      <c r="AD26" s="206">
        <f t="shared" si="32"/>
        <v>175</v>
      </c>
      <c r="AE26" s="206">
        <f t="shared" si="11"/>
        <v>1750</v>
      </c>
      <c r="AF26" s="206">
        <f t="shared" si="33"/>
        <v>175</v>
      </c>
      <c r="AG26" s="206">
        <f t="shared" si="12"/>
        <v>1750</v>
      </c>
      <c r="AH26" s="206">
        <f t="shared" si="34"/>
        <v>175</v>
      </c>
      <c r="AI26" s="206">
        <f t="shared" si="13"/>
        <v>1750</v>
      </c>
      <c r="AJ26" s="206">
        <f t="shared" si="35"/>
        <v>175</v>
      </c>
      <c r="AK26" s="206">
        <f t="shared" si="14"/>
        <v>1750</v>
      </c>
      <c r="AL26" s="206">
        <f t="shared" si="36"/>
        <v>175</v>
      </c>
      <c r="AM26" s="206">
        <f t="shared" si="15"/>
        <v>1750</v>
      </c>
      <c r="AN26" s="35">
        <f t="shared" si="16"/>
        <v>0.625</v>
      </c>
      <c r="AO26" s="36">
        <f t="shared" si="17"/>
        <v>12250</v>
      </c>
      <c r="AQ26" s="226">
        <f t="shared" si="37"/>
        <v>0.56199294257252597</v>
      </c>
      <c r="AR26" s="38">
        <f t="shared" si="41"/>
        <v>52248.483870967742</v>
      </c>
      <c r="AS26" s="200">
        <f t="shared" si="38"/>
        <v>0</v>
      </c>
      <c r="AT26" s="277"/>
      <c r="AU26" s="451"/>
      <c r="AV26" s="539">
        <f t="shared" si="42"/>
        <v>0.34</v>
      </c>
      <c r="AW26" s="299">
        <f>-SUM('B5'!AI25)</f>
        <v>0</v>
      </c>
      <c r="AX26" s="299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6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9">
        <f>ELEC!C24</f>
        <v>44004</v>
      </c>
      <c r="B27">
        <f>'B5'!B26</f>
        <v>169</v>
      </c>
      <c r="C27" s="206">
        <f t="shared" si="18"/>
        <v>3636.2258064516127</v>
      </c>
      <c r="D27">
        <f t="shared" si="19"/>
        <v>169</v>
      </c>
      <c r="E27" s="206">
        <f t="shared" si="18"/>
        <v>3636.2258064516127</v>
      </c>
      <c r="F27">
        <f t="shared" si="20"/>
        <v>169</v>
      </c>
      <c r="G27" s="206">
        <f t="shared" si="1"/>
        <v>3636.2258064516127</v>
      </c>
      <c r="H27" s="206">
        <f t="shared" si="21"/>
        <v>169</v>
      </c>
      <c r="I27" s="206">
        <f t="shared" si="2"/>
        <v>3636.2258064516127</v>
      </c>
      <c r="J27" s="206">
        <f t="shared" si="22"/>
        <v>169</v>
      </c>
      <c r="K27" s="206">
        <f t="shared" si="3"/>
        <v>3636.2258064516127</v>
      </c>
      <c r="L27" s="206">
        <f t="shared" si="23"/>
        <v>169</v>
      </c>
      <c r="M27" s="206">
        <f t="shared" si="4"/>
        <v>3636.2258064516127</v>
      </c>
      <c r="N27" s="206">
        <f t="shared" si="24"/>
        <v>169</v>
      </c>
      <c r="O27" s="206">
        <f t="shared" si="5"/>
        <v>3636.2258064516127</v>
      </c>
      <c r="P27" s="206">
        <f t="shared" si="25"/>
        <v>169</v>
      </c>
      <c r="Q27" s="206">
        <f t="shared" si="6"/>
        <v>3636.2258064516127</v>
      </c>
      <c r="R27" s="206">
        <f t="shared" si="26"/>
        <v>169</v>
      </c>
      <c r="S27" s="206">
        <f t="shared" si="7"/>
        <v>3636.2258064516127</v>
      </c>
      <c r="T27" s="206">
        <f t="shared" si="27"/>
        <v>169</v>
      </c>
      <c r="U27" s="206">
        <f t="shared" si="8"/>
        <v>3636.2258064516127</v>
      </c>
      <c r="V27" s="206">
        <f t="shared" si="28"/>
        <v>169</v>
      </c>
      <c r="W27" s="206">
        <f t="shared" si="9"/>
        <v>3636.2258064516127</v>
      </c>
      <c r="X27" s="35">
        <f t="shared" si="10"/>
        <v>0.54516129032258065</v>
      </c>
      <c r="Y27" s="36">
        <f t="shared" si="29"/>
        <v>39998.483870967742</v>
      </c>
      <c r="Z27" s="206">
        <f>'B5'!C26</f>
        <v>175</v>
      </c>
      <c r="AA27" s="206">
        <f t="shared" si="30"/>
        <v>1750</v>
      </c>
      <c r="AB27" s="206">
        <f t="shared" si="31"/>
        <v>175</v>
      </c>
      <c r="AC27" s="206">
        <f t="shared" si="30"/>
        <v>1750</v>
      </c>
      <c r="AD27" s="206">
        <f t="shared" si="32"/>
        <v>175</v>
      </c>
      <c r="AE27" s="206">
        <f t="shared" si="11"/>
        <v>1750</v>
      </c>
      <c r="AF27" s="206">
        <f t="shared" si="33"/>
        <v>175</v>
      </c>
      <c r="AG27" s="206">
        <f t="shared" si="12"/>
        <v>1750</v>
      </c>
      <c r="AH27" s="206">
        <f t="shared" si="34"/>
        <v>175</v>
      </c>
      <c r="AI27" s="206">
        <f t="shared" si="13"/>
        <v>1750</v>
      </c>
      <c r="AJ27" s="206">
        <f t="shared" si="35"/>
        <v>175</v>
      </c>
      <c r="AK27" s="206">
        <f t="shared" si="14"/>
        <v>1750</v>
      </c>
      <c r="AL27" s="206">
        <f t="shared" si="36"/>
        <v>175</v>
      </c>
      <c r="AM27" s="206">
        <f t="shared" si="15"/>
        <v>1750</v>
      </c>
      <c r="AN27" s="35">
        <f t="shared" si="16"/>
        <v>0.625</v>
      </c>
      <c r="AO27" s="36">
        <f t="shared" si="17"/>
        <v>12250</v>
      </c>
      <c r="AQ27" s="226">
        <f t="shared" si="37"/>
        <v>0.56199294257252597</v>
      </c>
      <c r="AR27" s="38">
        <f t="shared" si="41"/>
        <v>52248.483870967742</v>
      </c>
      <c r="AS27" s="200">
        <f t="shared" si="38"/>
        <v>0</v>
      </c>
      <c r="AT27" s="277"/>
      <c r="AU27" s="451"/>
      <c r="AV27" s="539">
        <f t="shared" si="42"/>
        <v>0.34</v>
      </c>
      <c r="AW27" s="299">
        <f>-SUM('B5'!AI26)</f>
        <v>0</v>
      </c>
      <c r="AX27" s="299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6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9">
        <f>ELEC!C25</f>
        <v>44005</v>
      </c>
      <c r="B28">
        <f>'B5'!B27</f>
        <v>169</v>
      </c>
      <c r="C28" s="206">
        <f t="shared" si="18"/>
        <v>3636.2258064516127</v>
      </c>
      <c r="D28">
        <f t="shared" si="19"/>
        <v>169</v>
      </c>
      <c r="E28" s="206">
        <f t="shared" si="18"/>
        <v>3636.2258064516127</v>
      </c>
      <c r="F28">
        <f t="shared" si="20"/>
        <v>169</v>
      </c>
      <c r="G28" s="206">
        <f t="shared" si="1"/>
        <v>3636.2258064516127</v>
      </c>
      <c r="H28" s="206">
        <f t="shared" si="21"/>
        <v>169</v>
      </c>
      <c r="I28" s="206">
        <f t="shared" si="2"/>
        <v>3636.2258064516127</v>
      </c>
      <c r="J28" s="206">
        <f t="shared" si="22"/>
        <v>169</v>
      </c>
      <c r="K28" s="206">
        <f t="shared" si="3"/>
        <v>3636.2258064516127</v>
      </c>
      <c r="L28" s="206">
        <f t="shared" si="23"/>
        <v>169</v>
      </c>
      <c r="M28" s="206">
        <f t="shared" si="4"/>
        <v>3636.2258064516127</v>
      </c>
      <c r="N28" s="206">
        <f t="shared" si="24"/>
        <v>169</v>
      </c>
      <c r="O28" s="206">
        <f t="shared" si="5"/>
        <v>3636.2258064516127</v>
      </c>
      <c r="P28" s="206">
        <f t="shared" si="25"/>
        <v>169</v>
      </c>
      <c r="Q28" s="206">
        <f t="shared" si="6"/>
        <v>3636.2258064516127</v>
      </c>
      <c r="R28" s="206">
        <f t="shared" si="26"/>
        <v>169</v>
      </c>
      <c r="S28" s="206">
        <f t="shared" si="7"/>
        <v>3636.2258064516127</v>
      </c>
      <c r="T28" s="206">
        <f t="shared" si="27"/>
        <v>169</v>
      </c>
      <c r="U28" s="206">
        <f t="shared" si="8"/>
        <v>3636.2258064516127</v>
      </c>
      <c r="V28" s="206">
        <f t="shared" si="28"/>
        <v>169</v>
      </c>
      <c r="W28" s="206">
        <f t="shared" si="9"/>
        <v>3636.2258064516127</v>
      </c>
      <c r="X28" s="35">
        <f t="shared" si="10"/>
        <v>0.54516129032258065</v>
      </c>
      <c r="Y28" s="36">
        <f t="shared" si="29"/>
        <v>39998.483870967742</v>
      </c>
      <c r="Z28" s="206">
        <f>'B5'!C27</f>
        <v>175</v>
      </c>
      <c r="AA28" s="206">
        <f t="shared" si="30"/>
        <v>1750</v>
      </c>
      <c r="AB28" s="206">
        <f t="shared" si="31"/>
        <v>175</v>
      </c>
      <c r="AC28" s="206">
        <f t="shared" si="30"/>
        <v>1750</v>
      </c>
      <c r="AD28" s="206">
        <f t="shared" si="32"/>
        <v>175</v>
      </c>
      <c r="AE28" s="206">
        <f t="shared" si="11"/>
        <v>1750</v>
      </c>
      <c r="AF28" s="206">
        <f t="shared" si="33"/>
        <v>175</v>
      </c>
      <c r="AG28" s="206">
        <f t="shared" si="12"/>
        <v>1750</v>
      </c>
      <c r="AH28" s="206">
        <f t="shared" si="34"/>
        <v>175</v>
      </c>
      <c r="AI28" s="206">
        <f t="shared" si="13"/>
        <v>1750</v>
      </c>
      <c r="AJ28" s="206">
        <f t="shared" si="35"/>
        <v>175</v>
      </c>
      <c r="AK28" s="206">
        <f t="shared" si="14"/>
        <v>1750</v>
      </c>
      <c r="AL28" s="206">
        <f t="shared" si="36"/>
        <v>175</v>
      </c>
      <c r="AM28" s="206">
        <f t="shared" si="15"/>
        <v>1750</v>
      </c>
      <c r="AN28" s="35">
        <f t="shared" si="16"/>
        <v>0.625</v>
      </c>
      <c r="AO28" s="36">
        <f t="shared" si="17"/>
        <v>12250</v>
      </c>
      <c r="AQ28" s="226">
        <f t="shared" si="37"/>
        <v>0.56199294257252597</v>
      </c>
      <c r="AR28" s="38">
        <f t="shared" si="41"/>
        <v>52248.483870967742</v>
      </c>
      <c r="AS28" s="200">
        <f t="shared" si="38"/>
        <v>0</v>
      </c>
      <c r="AT28" s="367"/>
      <c r="AU28" s="451"/>
      <c r="AV28" s="539">
        <f t="shared" si="42"/>
        <v>0.34</v>
      </c>
      <c r="AW28" s="299">
        <f>-SUM('B5'!AI27)</f>
        <v>0</v>
      </c>
      <c r="AX28" s="299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6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9">
        <f>ELEC!C26</f>
        <v>44006</v>
      </c>
      <c r="B29">
        <f>'B5'!B28</f>
        <v>169</v>
      </c>
      <c r="C29" s="206">
        <f t="shared" si="18"/>
        <v>3636.2258064516127</v>
      </c>
      <c r="D29">
        <f t="shared" si="19"/>
        <v>169</v>
      </c>
      <c r="E29" s="206">
        <f t="shared" si="18"/>
        <v>3636.2258064516127</v>
      </c>
      <c r="F29">
        <f t="shared" si="20"/>
        <v>169</v>
      </c>
      <c r="G29" s="206">
        <f t="shared" si="1"/>
        <v>3636.2258064516127</v>
      </c>
      <c r="H29" s="206">
        <f t="shared" si="21"/>
        <v>169</v>
      </c>
      <c r="I29" s="206">
        <f t="shared" si="2"/>
        <v>3636.2258064516127</v>
      </c>
      <c r="J29" s="206">
        <f t="shared" si="22"/>
        <v>169</v>
      </c>
      <c r="K29" s="206">
        <f t="shared" si="3"/>
        <v>3636.2258064516127</v>
      </c>
      <c r="L29" s="206">
        <f t="shared" si="23"/>
        <v>169</v>
      </c>
      <c r="M29" s="206">
        <f t="shared" si="4"/>
        <v>3636.2258064516127</v>
      </c>
      <c r="N29" s="206">
        <f t="shared" si="24"/>
        <v>169</v>
      </c>
      <c r="O29" s="206">
        <f t="shared" si="5"/>
        <v>3636.2258064516127</v>
      </c>
      <c r="P29" s="206">
        <f t="shared" si="25"/>
        <v>169</v>
      </c>
      <c r="Q29" s="206">
        <f t="shared" si="6"/>
        <v>3636.2258064516127</v>
      </c>
      <c r="R29" s="206">
        <f t="shared" si="26"/>
        <v>169</v>
      </c>
      <c r="S29" s="206">
        <f t="shared" si="7"/>
        <v>3636.2258064516127</v>
      </c>
      <c r="T29" s="206">
        <f t="shared" si="27"/>
        <v>169</v>
      </c>
      <c r="U29" s="206">
        <f t="shared" si="8"/>
        <v>3636.2258064516127</v>
      </c>
      <c r="V29" s="206">
        <f t="shared" si="28"/>
        <v>169</v>
      </c>
      <c r="W29" s="206">
        <f t="shared" si="9"/>
        <v>3636.2258064516127</v>
      </c>
      <c r="X29" s="35">
        <f t="shared" si="10"/>
        <v>0.54516129032258065</v>
      </c>
      <c r="Y29" s="36">
        <f t="shared" si="29"/>
        <v>39998.483870967742</v>
      </c>
      <c r="Z29" s="206">
        <f>'B5'!C28</f>
        <v>175</v>
      </c>
      <c r="AA29" s="206">
        <f t="shared" si="30"/>
        <v>1750</v>
      </c>
      <c r="AB29" s="206">
        <f t="shared" si="31"/>
        <v>175</v>
      </c>
      <c r="AC29" s="206">
        <f t="shared" si="30"/>
        <v>1750</v>
      </c>
      <c r="AD29" s="206">
        <f t="shared" si="32"/>
        <v>175</v>
      </c>
      <c r="AE29" s="206">
        <f t="shared" si="11"/>
        <v>1750</v>
      </c>
      <c r="AF29" s="206">
        <f t="shared" si="33"/>
        <v>175</v>
      </c>
      <c r="AG29" s="206">
        <f t="shared" si="12"/>
        <v>1750</v>
      </c>
      <c r="AH29" s="206">
        <f t="shared" si="34"/>
        <v>175</v>
      </c>
      <c r="AI29" s="206">
        <f t="shared" si="13"/>
        <v>1750</v>
      </c>
      <c r="AJ29" s="206">
        <f t="shared" si="35"/>
        <v>175</v>
      </c>
      <c r="AK29" s="206">
        <f t="shared" si="14"/>
        <v>1750</v>
      </c>
      <c r="AL29" s="206">
        <f t="shared" si="36"/>
        <v>175</v>
      </c>
      <c r="AM29" s="206">
        <f t="shared" si="15"/>
        <v>1750</v>
      </c>
      <c r="AN29" s="35">
        <f t="shared" si="16"/>
        <v>0.625</v>
      </c>
      <c r="AO29" s="36">
        <f t="shared" si="17"/>
        <v>12250</v>
      </c>
      <c r="AQ29" s="226">
        <f t="shared" si="37"/>
        <v>0.56199294257252597</v>
      </c>
      <c r="AR29" s="38">
        <f t="shared" si="41"/>
        <v>52248.483870967742</v>
      </c>
      <c r="AS29" s="200">
        <f t="shared" si="38"/>
        <v>0</v>
      </c>
      <c r="AT29" s="367"/>
      <c r="AU29" s="451"/>
      <c r="AV29" s="539">
        <f t="shared" si="42"/>
        <v>0.34</v>
      </c>
      <c r="AW29" s="299">
        <f>-SUM('B5'!AI28)</f>
        <v>0</v>
      </c>
      <c r="AX29" s="299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6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9">
        <f>ELEC!C27</f>
        <v>44007</v>
      </c>
      <c r="B30">
        <f>'B5'!B29</f>
        <v>169</v>
      </c>
      <c r="C30" s="206">
        <f t="shared" si="18"/>
        <v>3636.2258064516127</v>
      </c>
      <c r="D30">
        <f t="shared" ref="D30:D35" si="44">SUM(B30)</f>
        <v>169</v>
      </c>
      <c r="E30" s="206">
        <f t="shared" si="18"/>
        <v>3636.2258064516127</v>
      </c>
      <c r="F30">
        <f t="shared" ref="F30:F35" si="45">SUM(D30)</f>
        <v>169</v>
      </c>
      <c r="G30" s="206">
        <f t="shared" si="1"/>
        <v>3636.2258064516127</v>
      </c>
      <c r="H30" s="206">
        <f t="shared" ref="H30:H35" si="46">SUM(F30)</f>
        <v>169</v>
      </c>
      <c r="I30" s="206">
        <f t="shared" si="2"/>
        <v>3636.2258064516127</v>
      </c>
      <c r="J30" s="206">
        <f t="shared" ref="J30:J35" si="47">SUM(H30)</f>
        <v>169</v>
      </c>
      <c r="K30" s="206">
        <f t="shared" si="3"/>
        <v>3636.2258064516127</v>
      </c>
      <c r="L30" s="206">
        <f t="shared" ref="L30:L35" si="48">SUM(J30)</f>
        <v>169</v>
      </c>
      <c r="M30" s="206">
        <f t="shared" si="4"/>
        <v>3636.2258064516127</v>
      </c>
      <c r="N30" s="206">
        <f t="shared" ref="N30:N35" si="49">SUM(L30)</f>
        <v>169</v>
      </c>
      <c r="O30" s="206">
        <f t="shared" si="5"/>
        <v>3636.2258064516127</v>
      </c>
      <c r="P30" s="206">
        <f t="shared" ref="P30:P35" si="50">SUM(N30)</f>
        <v>169</v>
      </c>
      <c r="Q30" s="206">
        <f t="shared" si="6"/>
        <v>3636.2258064516127</v>
      </c>
      <c r="R30" s="206">
        <f t="shared" ref="R30:R35" si="51">SUM(P30)</f>
        <v>169</v>
      </c>
      <c r="S30" s="206">
        <f t="shared" si="7"/>
        <v>3636.2258064516127</v>
      </c>
      <c r="T30" s="206">
        <f t="shared" ref="T30:T35" si="52">SUM(R30)</f>
        <v>169</v>
      </c>
      <c r="U30" s="206">
        <f t="shared" si="8"/>
        <v>3636.2258064516127</v>
      </c>
      <c r="V30" s="206">
        <f t="shared" ref="V30:V35" si="53">SUM(T30)</f>
        <v>169</v>
      </c>
      <c r="W30" s="206">
        <f t="shared" si="9"/>
        <v>3636.2258064516127</v>
      </c>
      <c r="X30" s="35">
        <f t="shared" ref="X30:X35" si="54">SUM(Y30/73370)</f>
        <v>0.54516129032258065</v>
      </c>
      <c r="Y30" s="36">
        <f t="shared" ref="Y30:Y35" si="55">SUM(C30+E30+G30+I30+K30+M30+O30+Q30+S30+U30+W30)</f>
        <v>39998.483870967742</v>
      </c>
      <c r="Z30" s="206">
        <f>'B5'!C29</f>
        <v>175</v>
      </c>
      <c r="AA30" s="206">
        <f t="shared" si="30"/>
        <v>1750</v>
      </c>
      <c r="AB30" s="206">
        <f t="shared" ref="AB30:AB35" si="56">SUM(Z30)</f>
        <v>175</v>
      </c>
      <c r="AC30" s="206">
        <f t="shared" si="30"/>
        <v>1750</v>
      </c>
      <c r="AD30" s="206">
        <f t="shared" ref="AD30:AD35" si="57">SUM(AB30)</f>
        <v>175</v>
      </c>
      <c r="AE30" s="206">
        <f t="shared" si="11"/>
        <v>1750</v>
      </c>
      <c r="AF30" s="206">
        <f t="shared" ref="AF30:AF35" si="58">SUM(AD30)</f>
        <v>175</v>
      </c>
      <c r="AG30" s="206">
        <f t="shared" si="12"/>
        <v>1750</v>
      </c>
      <c r="AH30" s="206">
        <f t="shared" ref="AH30:AH35" si="59">SUM(AF30)</f>
        <v>175</v>
      </c>
      <c r="AI30" s="206">
        <f t="shared" si="13"/>
        <v>1750</v>
      </c>
      <c r="AJ30" s="206">
        <f t="shared" ref="AJ30:AJ35" si="60">SUM(AH30)</f>
        <v>175</v>
      </c>
      <c r="AK30" s="206">
        <f t="shared" si="14"/>
        <v>1750</v>
      </c>
      <c r="AL30" s="206">
        <f t="shared" ref="AL30:AL35" si="61">SUM(AJ30)</f>
        <v>175</v>
      </c>
      <c r="AM30" s="206">
        <f t="shared" si="15"/>
        <v>1750</v>
      </c>
      <c r="AN30" s="35">
        <f t="shared" ref="AN30:AN35" si="62">SUM(AO30/19600)</f>
        <v>0.625</v>
      </c>
      <c r="AO30" s="36">
        <f t="shared" ref="AO30:AO35" si="63">SUM(AA30+AC30+AE30+AG30+AI30+AK30+AM30)</f>
        <v>12250</v>
      </c>
      <c r="AQ30" s="226">
        <f t="shared" si="37"/>
        <v>0.56199294257252597</v>
      </c>
      <c r="AR30" s="38">
        <f t="shared" si="41"/>
        <v>52248.483870967742</v>
      </c>
      <c r="AS30" s="200">
        <f t="shared" si="38"/>
        <v>0</v>
      </c>
      <c r="AT30" s="367"/>
      <c r="AU30" s="451"/>
      <c r="AV30" s="539">
        <f t="shared" si="42"/>
        <v>0.34</v>
      </c>
      <c r="AW30" s="299">
        <f>-SUM('B5'!AI29)</f>
        <v>0</v>
      </c>
      <c r="AX30" s="299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6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9">
        <f>ELEC!C28</f>
        <v>44008</v>
      </c>
      <c r="B31">
        <f>'B5'!B30</f>
        <v>169</v>
      </c>
      <c r="C31" s="206">
        <f t="shared" si="18"/>
        <v>3636.2258064516127</v>
      </c>
      <c r="D31">
        <f t="shared" si="44"/>
        <v>169</v>
      </c>
      <c r="E31" s="206">
        <f t="shared" si="18"/>
        <v>3636.2258064516127</v>
      </c>
      <c r="F31">
        <f t="shared" si="45"/>
        <v>169</v>
      </c>
      <c r="G31" s="206">
        <f t="shared" si="1"/>
        <v>3636.2258064516127</v>
      </c>
      <c r="H31" s="206">
        <f t="shared" si="46"/>
        <v>169</v>
      </c>
      <c r="I31" s="206">
        <f t="shared" si="2"/>
        <v>3636.2258064516127</v>
      </c>
      <c r="J31" s="206">
        <f t="shared" si="47"/>
        <v>169</v>
      </c>
      <c r="K31" s="206">
        <f t="shared" si="3"/>
        <v>3636.2258064516127</v>
      </c>
      <c r="L31" s="206">
        <f t="shared" si="48"/>
        <v>169</v>
      </c>
      <c r="M31" s="206">
        <f t="shared" si="4"/>
        <v>3636.2258064516127</v>
      </c>
      <c r="N31" s="206">
        <f t="shared" si="49"/>
        <v>169</v>
      </c>
      <c r="O31" s="206">
        <f t="shared" si="5"/>
        <v>3636.2258064516127</v>
      </c>
      <c r="P31" s="206">
        <f t="shared" si="50"/>
        <v>169</v>
      </c>
      <c r="Q31" s="206">
        <f t="shared" si="6"/>
        <v>3636.2258064516127</v>
      </c>
      <c r="R31" s="206">
        <f t="shared" si="51"/>
        <v>169</v>
      </c>
      <c r="S31" s="206">
        <f t="shared" si="7"/>
        <v>3636.2258064516127</v>
      </c>
      <c r="T31" s="206">
        <f t="shared" si="52"/>
        <v>169</v>
      </c>
      <c r="U31" s="206">
        <f t="shared" si="8"/>
        <v>3636.2258064516127</v>
      </c>
      <c r="V31" s="206">
        <f t="shared" si="53"/>
        <v>169</v>
      </c>
      <c r="W31" s="206">
        <f t="shared" si="9"/>
        <v>3636.2258064516127</v>
      </c>
      <c r="X31" s="35">
        <f t="shared" si="54"/>
        <v>0.54516129032258065</v>
      </c>
      <c r="Y31" s="36">
        <f t="shared" si="55"/>
        <v>39998.483870967742</v>
      </c>
      <c r="Z31" s="206">
        <f>'B5'!C30</f>
        <v>175</v>
      </c>
      <c r="AA31" s="206">
        <f t="shared" si="30"/>
        <v>1750</v>
      </c>
      <c r="AB31" s="206">
        <f t="shared" si="56"/>
        <v>175</v>
      </c>
      <c r="AC31" s="206">
        <f t="shared" si="30"/>
        <v>1750</v>
      </c>
      <c r="AD31" s="206">
        <f t="shared" si="57"/>
        <v>175</v>
      </c>
      <c r="AE31" s="206">
        <f t="shared" si="11"/>
        <v>1750</v>
      </c>
      <c r="AF31" s="206">
        <f t="shared" si="58"/>
        <v>175</v>
      </c>
      <c r="AG31" s="206">
        <f t="shared" si="12"/>
        <v>1750</v>
      </c>
      <c r="AH31" s="206">
        <f t="shared" si="59"/>
        <v>175</v>
      </c>
      <c r="AI31" s="206">
        <f t="shared" si="13"/>
        <v>1750</v>
      </c>
      <c r="AJ31" s="206">
        <f t="shared" si="60"/>
        <v>175</v>
      </c>
      <c r="AK31" s="206">
        <f t="shared" si="14"/>
        <v>1750</v>
      </c>
      <c r="AL31" s="206">
        <f t="shared" si="61"/>
        <v>175</v>
      </c>
      <c r="AM31" s="206">
        <f t="shared" si="15"/>
        <v>1750</v>
      </c>
      <c r="AN31" s="35">
        <f t="shared" si="62"/>
        <v>0.625</v>
      </c>
      <c r="AO31" s="36">
        <f t="shared" si="63"/>
        <v>12250</v>
      </c>
      <c r="AQ31" s="226">
        <f t="shared" si="37"/>
        <v>0.56199294257252597</v>
      </c>
      <c r="AR31" s="38">
        <f t="shared" si="41"/>
        <v>52248.483870967742</v>
      </c>
      <c r="AS31" s="200">
        <f>SUM(AR31-AR30-AT31)</f>
        <v>0</v>
      </c>
      <c r="AT31" s="367"/>
      <c r="AU31" s="451"/>
      <c r="AV31" s="539">
        <f t="shared" si="42"/>
        <v>0.34</v>
      </c>
      <c r="AW31" s="299">
        <f>-SUM('B5'!AI30)</f>
        <v>0</v>
      </c>
      <c r="AX31" s="299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6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9">
        <f>ELEC!C29</f>
        <v>44009</v>
      </c>
      <c r="B32">
        <f>'B5'!B31</f>
        <v>169</v>
      </c>
      <c r="C32" s="206">
        <f t="shared" si="18"/>
        <v>3636.2258064516127</v>
      </c>
      <c r="D32">
        <f t="shared" si="44"/>
        <v>169</v>
      </c>
      <c r="E32" s="206">
        <f t="shared" si="18"/>
        <v>3636.2258064516127</v>
      </c>
      <c r="F32">
        <f t="shared" si="45"/>
        <v>169</v>
      </c>
      <c r="G32" s="206">
        <f t="shared" si="1"/>
        <v>3636.2258064516127</v>
      </c>
      <c r="H32" s="206">
        <f t="shared" si="46"/>
        <v>169</v>
      </c>
      <c r="I32" s="206">
        <f t="shared" si="2"/>
        <v>3636.2258064516127</v>
      </c>
      <c r="J32" s="206">
        <f t="shared" si="47"/>
        <v>169</v>
      </c>
      <c r="K32" s="206">
        <f t="shared" si="3"/>
        <v>3636.2258064516127</v>
      </c>
      <c r="L32" s="206">
        <f t="shared" si="48"/>
        <v>169</v>
      </c>
      <c r="M32" s="206">
        <f t="shared" si="4"/>
        <v>3636.2258064516127</v>
      </c>
      <c r="N32" s="206">
        <f t="shared" si="49"/>
        <v>169</v>
      </c>
      <c r="O32" s="206">
        <f t="shared" si="5"/>
        <v>3636.2258064516127</v>
      </c>
      <c r="P32" s="206">
        <f t="shared" si="50"/>
        <v>169</v>
      </c>
      <c r="Q32" s="206">
        <f t="shared" si="6"/>
        <v>3636.2258064516127</v>
      </c>
      <c r="R32" s="206">
        <f t="shared" si="51"/>
        <v>169</v>
      </c>
      <c r="S32" s="206">
        <f t="shared" si="7"/>
        <v>3636.2258064516127</v>
      </c>
      <c r="T32" s="206">
        <f t="shared" si="52"/>
        <v>169</v>
      </c>
      <c r="U32" s="206">
        <f t="shared" si="8"/>
        <v>3636.2258064516127</v>
      </c>
      <c r="V32" s="206">
        <f t="shared" si="53"/>
        <v>169</v>
      </c>
      <c r="W32" s="206">
        <f t="shared" si="9"/>
        <v>3636.2258064516127</v>
      </c>
      <c r="X32" s="35">
        <f t="shared" si="54"/>
        <v>0.54516129032258065</v>
      </c>
      <c r="Y32" s="36">
        <f t="shared" si="55"/>
        <v>39998.483870967742</v>
      </c>
      <c r="Z32" s="206">
        <f>'B5'!C31</f>
        <v>175</v>
      </c>
      <c r="AA32" s="206">
        <f t="shared" si="30"/>
        <v>1750</v>
      </c>
      <c r="AB32" s="206">
        <f t="shared" si="56"/>
        <v>175</v>
      </c>
      <c r="AC32" s="206">
        <f t="shared" si="30"/>
        <v>1750</v>
      </c>
      <c r="AD32" s="206">
        <f t="shared" si="57"/>
        <v>175</v>
      </c>
      <c r="AE32" s="206">
        <f t="shared" si="11"/>
        <v>1750</v>
      </c>
      <c r="AF32" s="206">
        <f t="shared" si="58"/>
        <v>175</v>
      </c>
      <c r="AG32" s="206">
        <f t="shared" si="12"/>
        <v>1750</v>
      </c>
      <c r="AH32" s="206">
        <f t="shared" si="59"/>
        <v>175</v>
      </c>
      <c r="AI32" s="206">
        <f t="shared" si="13"/>
        <v>1750</v>
      </c>
      <c r="AJ32" s="206">
        <f t="shared" si="60"/>
        <v>175</v>
      </c>
      <c r="AK32" s="206">
        <f t="shared" si="14"/>
        <v>1750</v>
      </c>
      <c r="AL32" s="206">
        <f t="shared" si="61"/>
        <v>175</v>
      </c>
      <c r="AM32" s="206">
        <f t="shared" si="15"/>
        <v>1750</v>
      </c>
      <c r="AN32" s="35">
        <f t="shared" si="62"/>
        <v>0.625</v>
      </c>
      <c r="AO32" s="36">
        <f t="shared" si="63"/>
        <v>12250</v>
      </c>
      <c r="AQ32" s="226">
        <f t="shared" si="37"/>
        <v>0.56199294257252597</v>
      </c>
      <c r="AR32" s="38">
        <f t="shared" si="41"/>
        <v>52248.483870967742</v>
      </c>
      <c r="AS32" s="200">
        <f t="shared" si="38"/>
        <v>0</v>
      </c>
      <c r="AT32" s="367"/>
      <c r="AU32" s="451"/>
      <c r="AV32" s="539">
        <f>IF(AT32&gt;0,AU32,AV31)</f>
        <v>0.34</v>
      </c>
      <c r="AW32" s="299">
        <f>-SUM('B5'!AI31)</f>
        <v>0</v>
      </c>
      <c r="AX32" s="299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6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9">
        <f>ELEC!C30</f>
        <v>44010</v>
      </c>
      <c r="B33">
        <f>'B5'!B32</f>
        <v>169</v>
      </c>
      <c r="C33" s="206">
        <f t="shared" si="18"/>
        <v>3636.2258064516127</v>
      </c>
      <c r="D33">
        <f t="shared" si="44"/>
        <v>169</v>
      </c>
      <c r="E33" s="206">
        <f t="shared" si="18"/>
        <v>3636.2258064516127</v>
      </c>
      <c r="F33">
        <f t="shared" si="45"/>
        <v>169</v>
      </c>
      <c r="G33" s="206">
        <f t="shared" si="1"/>
        <v>3636.2258064516127</v>
      </c>
      <c r="H33" s="206">
        <f t="shared" si="46"/>
        <v>169</v>
      </c>
      <c r="I33" s="206">
        <f t="shared" si="2"/>
        <v>3636.2258064516127</v>
      </c>
      <c r="J33" s="206">
        <f t="shared" si="47"/>
        <v>169</v>
      </c>
      <c r="K33" s="206">
        <f t="shared" si="3"/>
        <v>3636.2258064516127</v>
      </c>
      <c r="L33" s="206">
        <f t="shared" si="48"/>
        <v>169</v>
      </c>
      <c r="M33" s="206">
        <f t="shared" si="4"/>
        <v>3636.2258064516127</v>
      </c>
      <c r="N33" s="206">
        <f t="shared" si="49"/>
        <v>169</v>
      </c>
      <c r="O33" s="206">
        <f t="shared" si="5"/>
        <v>3636.2258064516127</v>
      </c>
      <c r="P33" s="206">
        <f t="shared" si="50"/>
        <v>169</v>
      </c>
      <c r="Q33" s="206">
        <f t="shared" si="6"/>
        <v>3636.2258064516127</v>
      </c>
      <c r="R33" s="206">
        <f t="shared" si="51"/>
        <v>169</v>
      </c>
      <c r="S33" s="206">
        <f t="shared" si="7"/>
        <v>3636.2258064516127</v>
      </c>
      <c r="T33" s="206">
        <f t="shared" si="52"/>
        <v>169</v>
      </c>
      <c r="U33" s="206">
        <f t="shared" si="8"/>
        <v>3636.2258064516127</v>
      </c>
      <c r="V33" s="206">
        <f t="shared" si="53"/>
        <v>169</v>
      </c>
      <c r="W33" s="206">
        <f t="shared" si="9"/>
        <v>3636.2258064516127</v>
      </c>
      <c r="X33" s="35">
        <f t="shared" si="54"/>
        <v>0.54516129032258065</v>
      </c>
      <c r="Y33" s="36">
        <f t="shared" si="55"/>
        <v>39998.483870967742</v>
      </c>
      <c r="Z33" s="206">
        <f>'B5'!C32</f>
        <v>175</v>
      </c>
      <c r="AA33" s="206">
        <f t="shared" si="30"/>
        <v>1750</v>
      </c>
      <c r="AB33" s="206">
        <f t="shared" si="56"/>
        <v>175</v>
      </c>
      <c r="AC33" s="206">
        <f t="shared" si="30"/>
        <v>1750</v>
      </c>
      <c r="AD33" s="206">
        <f t="shared" si="57"/>
        <v>175</v>
      </c>
      <c r="AE33" s="206">
        <f t="shared" si="11"/>
        <v>1750</v>
      </c>
      <c r="AF33" s="206">
        <f t="shared" si="58"/>
        <v>175</v>
      </c>
      <c r="AG33" s="206">
        <f t="shared" si="12"/>
        <v>1750</v>
      </c>
      <c r="AH33" s="206">
        <f t="shared" si="59"/>
        <v>175</v>
      </c>
      <c r="AI33" s="206">
        <f t="shared" si="13"/>
        <v>1750</v>
      </c>
      <c r="AJ33" s="206">
        <f t="shared" si="60"/>
        <v>175</v>
      </c>
      <c r="AK33" s="206">
        <f t="shared" si="14"/>
        <v>1750</v>
      </c>
      <c r="AL33" s="206">
        <f t="shared" si="61"/>
        <v>175</v>
      </c>
      <c r="AM33" s="206">
        <f t="shared" si="15"/>
        <v>1750</v>
      </c>
      <c r="AN33" s="35">
        <f t="shared" si="62"/>
        <v>0.625</v>
      </c>
      <c r="AO33" s="36">
        <f t="shared" si="63"/>
        <v>12250</v>
      </c>
      <c r="AQ33" s="226">
        <f t="shared" si="37"/>
        <v>0.56199294257252597</v>
      </c>
      <c r="AR33" s="38">
        <f t="shared" si="41"/>
        <v>52248.483870967742</v>
      </c>
      <c r="AS33" s="200">
        <f t="shared" si="38"/>
        <v>0</v>
      </c>
      <c r="AT33" s="367"/>
      <c r="AU33" s="451"/>
      <c r="AV33" s="539">
        <f>IF(AT33&gt;0,AU33,AV32)</f>
        <v>0.34</v>
      </c>
      <c r="AW33" s="299">
        <f>-SUM('B5'!AI32)</f>
        <v>0</v>
      </c>
      <c r="AX33" s="299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9">
        <f>ELEC!C31</f>
        <v>44011</v>
      </c>
      <c r="B34">
        <f>'B5'!B33</f>
        <v>169</v>
      </c>
      <c r="C34" s="206">
        <f t="shared" si="18"/>
        <v>3636.2258064516127</v>
      </c>
      <c r="D34">
        <f t="shared" si="44"/>
        <v>169</v>
      </c>
      <c r="E34" s="206">
        <f t="shared" si="18"/>
        <v>3636.2258064516127</v>
      </c>
      <c r="F34">
        <f t="shared" si="45"/>
        <v>169</v>
      </c>
      <c r="G34" s="206">
        <f t="shared" si="1"/>
        <v>3636.2258064516127</v>
      </c>
      <c r="H34" s="206">
        <f t="shared" si="46"/>
        <v>169</v>
      </c>
      <c r="I34" s="206">
        <f t="shared" si="2"/>
        <v>3636.2258064516127</v>
      </c>
      <c r="J34" s="206">
        <f t="shared" si="47"/>
        <v>169</v>
      </c>
      <c r="K34" s="206">
        <f t="shared" si="3"/>
        <v>3636.2258064516127</v>
      </c>
      <c r="L34" s="206">
        <f t="shared" si="48"/>
        <v>169</v>
      </c>
      <c r="M34" s="206">
        <f t="shared" si="4"/>
        <v>3636.2258064516127</v>
      </c>
      <c r="N34" s="206">
        <f t="shared" si="49"/>
        <v>169</v>
      </c>
      <c r="O34" s="206">
        <f t="shared" si="5"/>
        <v>3636.2258064516127</v>
      </c>
      <c r="P34" s="206">
        <f t="shared" si="50"/>
        <v>169</v>
      </c>
      <c r="Q34" s="206">
        <f t="shared" si="6"/>
        <v>3636.2258064516127</v>
      </c>
      <c r="R34" s="206">
        <f t="shared" si="51"/>
        <v>169</v>
      </c>
      <c r="S34" s="206">
        <f t="shared" si="7"/>
        <v>3636.2258064516127</v>
      </c>
      <c r="T34" s="206">
        <f t="shared" si="52"/>
        <v>169</v>
      </c>
      <c r="U34" s="206">
        <f t="shared" si="8"/>
        <v>3636.2258064516127</v>
      </c>
      <c r="V34" s="206">
        <f t="shared" si="53"/>
        <v>169</v>
      </c>
      <c r="W34" s="206">
        <f t="shared" si="9"/>
        <v>3636.2258064516127</v>
      </c>
      <c r="X34" s="35">
        <f t="shared" si="54"/>
        <v>0.54516129032258065</v>
      </c>
      <c r="Y34" s="36">
        <f t="shared" si="55"/>
        <v>39998.483870967742</v>
      </c>
      <c r="Z34" s="206">
        <f>'B5'!C33</f>
        <v>175</v>
      </c>
      <c r="AA34" s="206">
        <f t="shared" si="30"/>
        <v>1750</v>
      </c>
      <c r="AB34" s="206">
        <f t="shared" si="56"/>
        <v>175</v>
      </c>
      <c r="AC34" s="206">
        <f t="shared" si="30"/>
        <v>1750</v>
      </c>
      <c r="AD34" s="206">
        <f t="shared" si="57"/>
        <v>175</v>
      </c>
      <c r="AE34" s="206">
        <f t="shared" si="11"/>
        <v>1750</v>
      </c>
      <c r="AF34" s="206">
        <f t="shared" si="58"/>
        <v>175</v>
      </c>
      <c r="AG34" s="206">
        <f t="shared" si="12"/>
        <v>1750</v>
      </c>
      <c r="AH34" s="206">
        <f t="shared" si="59"/>
        <v>175</v>
      </c>
      <c r="AI34" s="206">
        <f t="shared" si="13"/>
        <v>1750</v>
      </c>
      <c r="AJ34" s="206">
        <f t="shared" si="60"/>
        <v>175</v>
      </c>
      <c r="AK34" s="206">
        <f t="shared" si="14"/>
        <v>1750</v>
      </c>
      <c r="AL34" s="206">
        <f t="shared" si="61"/>
        <v>175</v>
      </c>
      <c r="AM34" s="206">
        <f t="shared" si="15"/>
        <v>1750</v>
      </c>
      <c r="AN34" s="35">
        <f t="shared" si="62"/>
        <v>0.625</v>
      </c>
      <c r="AO34" s="36">
        <f t="shared" si="63"/>
        <v>12250</v>
      </c>
      <c r="AQ34" s="226">
        <f>SUM(AR34/92970)</f>
        <v>0.56199294257252597</v>
      </c>
      <c r="AR34" s="38">
        <f t="shared" si="41"/>
        <v>52248.483870967742</v>
      </c>
      <c r="AS34" s="200">
        <f t="shared" si="38"/>
        <v>0</v>
      </c>
      <c r="AT34" s="367"/>
      <c r="AU34" s="451"/>
      <c r="AV34" s="539">
        <f t="shared" si="42"/>
        <v>0.34</v>
      </c>
      <c r="AW34" s="299">
        <f>-SUM('B5'!AI33)</f>
        <v>0</v>
      </c>
      <c r="AX34" s="299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9">
        <f>ELEC!C32</f>
        <v>44012</v>
      </c>
      <c r="B35">
        <f>'B5'!B34</f>
        <v>169</v>
      </c>
      <c r="C35" s="206">
        <f t="shared" si="18"/>
        <v>3636.2258064516127</v>
      </c>
      <c r="D35">
        <f t="shared" si="44"/>
        <v>169</v>
      </c>
      <c r="E35" s="206">
        <f t="shared" si="18"/>
        <v>3636.2258064516127</v>
      </c>
      <c r="F35">
        <f t="shared" si="45"/>
        <v>169</v>
      </c>
      <c r="G35" s="206">
        <f t="shared" si="1"/>
        <v>3636.2258064516127</v>
      </c>
      <c r="H35" s="206">
        <f t="shared" si="46"/>
        <v>169</v>
      </c>
      <c r="I35" s="206">
        <f t="shared" si="2"/>
        <v>3636.2258064516127</v>
      </c>
      <c r="J35" s="206">
        <f t="shared" si="47"/>
        <v>169</v>
      </c>
      <c r="K35" s="206">
        <f t="shared" si="3"/>
        <v>3636.2258064516127</v>
      </c>
      <c r="L35" s="206">
        <f t="shared" si="48"/>
        <v>169</v>
      </c>
      <c r="M35" s="206">
        <f t="shared" si="4"/>
        <v>3636.2258064516127</v>
      </c>
      <c r="N35" s="206">
        <f t="shared" si="49"/>
        <v>169</v>
      </c>
      <c r="O35" s="206">
        <f t="shared" si="5"/>
        <v>3636.2258064516127</v>
      </c>
      <c r="P35" s="206">
        <f t="shared" si="50"/>
        <v>169</v>
      </c>
      <c r="Q35" s="206">
        <f t="shared" si="6"/>
        <v>3636.2258064516127</v>
      </c>
      <c r="R35" s="206">
        <f t="shared" si="51"/>
        <v>169</v>
      </c>
      <c r="S35" s="206">
        <f t="shared" si="7"/>
        <v>3636.2258064516127</v>
      </c>
      <c r="T35" s="206">
        <f t="shared" si="52"/>
        <v>169</v>
      </c>
      <c r="U35" s="206">
        <f t="shared" si="8"/>
        <v>3636.2258064516127</v>
      </c>
      <c r="V35" s="206">
        <f t="shared" si="53"/>
        <v>169</v>
      </c>
      <c r="W35" s="206">
        <f t="shared" si="9"/>
        <v>3636.2258064516127</v>
      </c>
      <c r="X35" s="35">
        <f t="shared" si="54"/>
        <v>0.54516129032258065</v>
      </c>
      <c r="Y35" s="36">
        <f t="shared" si="55"/>
        <v>39998.483870967742</v>
      </c>
      <c r="Z35" s="206">
        <f>'B5'!C34</f>
        <v>175</v>
      </c>
      <c r="AA35" s="206">
        <f t="shared" si="30"/>
        <v>1750</v>
      </c>
      <c r="AB35" s="206">
        <f t="shared" si="56"/>
        <v>175</v>
      </c>
      <c r="AC35" s="206">
        <f t="shared" si="30"/>
        <v>1750</v>
      </c>
      <c r="AD35" s="206">
        <f t="shared" si="57"/>
        <v>175</v>
      </c>
      <c r="AE35" s="206">
        <f t="shared" si="11"/>
        <v>1750</v>
      </c>
      <c r="AF35" s="206">
        <f t="shared" si="58"/>
        <v>175</v>
      </c>
      <c r="AG35" s="206">
        <f t="shared" si="12"/>
        <v>1750</v>
      </c>
      <c r="AH35" s="206">
        <f t="shared" si="59"/>
        <v>175</v>
      </c>
      <c r="AI35" s="206">
        <f t="shared" si="13"/>
        <v>1750</v>
      </c>
      <c r="AJ35" s="206">
        <f t="shared" si="60"/>
        <v>175</v>
      </c>
      <c r="AK35" s="206">
        <f t="shared" si="14"/>
        <v>1750</v>
      </c>
      <c r="AL35" s="206">
        <f t="shared" si="61"/>
        <v>175</v>
      </c>
      <c r="AM35" s="206">
        <f t="shared" si="15"/>
        <v>1750</v>
      </c>
      <c r="AN35" s="35">
        <f t="shared" si="62"/>
        <v>0.625</v>
      </c>
      <c r="AO35" s="36">
        <f t="shared" si="63"/>
        <v>12250</v>
      </c>
      <c r="AQ35" s="226">
        <f>SUM(AR35/92970)</f>
        <v>0.56199294257252597</v>
      </c>
      <c r="AR35" s="38">
        <f t="shared" si="41"/>
        <v>52248.483870967742</v>
      </c>
      <c r="AS35" s="200">
        <f t="shared" si="38"/>
        <v>0</v>
      </c>
      <c r="AT35" s="367"/>
      <c r="AU35" s="451"/>
      <c r="AV35" s="539">
        <f>IF(AT35&gt;0,AU35,AV34)</f>
        <v>0.34</v>
      </c>
      <c r="AW35" s="299">
        <f>-SUM('B5'!AI34)</f>
        <v>0</v>
      </c>
      <c r="AX35" s="299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6" t="s">
        <v>226</v>
      </c>
      <c r="AS36" s="502">
        <f>COUNT(AT6:AT35)</f>
        <v>2</v>
      </c>
      <c r="AT36" s="206">
        <f>SUM(AT6:AT35)</f>
        <v>10353.1</v>
      </c>
      <c r="AU36">
        <f>SUM(AU6:AU35)/AS36</f>
        <v>0.22000000000000003</v>
      </c>
      <c r="AX36" s="206">
        <f>SUM(AX6:AX35)</f>
        <v>-9044.7741935483882</v>
      </c>
      <c r="AY36" s="206">
        <f>SUM(AY6:AY35)</f>
        <v>-13489.874193548394</v>
      </c>
    </row>
    <row r="37" spans="1:60">
      <c r="AS37" s="209"/>
      <c r="AT37">
        <f>+AT36*AU36</f>
        <v>2277.6820000000002</v>
      </c>
    </row>
    <row r="39" spans="1:60">
      <c r="AS39" s="165">
        <f>SUM(AS6:AS35)/'EDl log'!A36</f>
        <v>-1226.3521994134903</v>
      </c>
      <c r="AT39" s="206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K1" zoomScaleNormal="100" workbookViewId="0">
      <pane ySplit="1" topLeftCell="A2" activePane="bottomLeft" state="frozen"/>
      <selection pane="bottomLeft" activeCell="AD13" sqref="AD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1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1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5"/>
      <c r="P1" s="25" t="s">
        <v>46</v>
      </c>
      <c r="Q1" s="25" t="s">
        <v>49</v>
      </c>
      <c r="R1" s="421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5" t="s">
        <v>375</v>
      </c>
      <c r="AC1" s="295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6">
        <f>[2]GEN!B33</f>
        <v>8655</v>
      </c>
      <c r="C2" s="276">
        <f>[2]GEN!C33</f>
        <v>3</v>
      </c>
      <c r="D2" s="276">
        <f>[2]GEN!D33</f>
        <v>153095</v>
      </c>
      <c r="E2" s="276">
        <f>[2]GEN!E33</f>
        <v>1435</v>
      </c>
      <c r="F2" s="276">
        <f>[2]GEN!F33</f>
        <v>478.33333333333331</v>
      </c>
      <c r="G2" s="276">
        <f>[2]GEN!G33</f>
        <v>0</v>
      </c>
      <c r="H2" s="276">
        <f>[2]GEN!H33</f>
        <v>8770</v>
      </c>
      <c r="I2" s="276" t="str">
        <f>[2]GEN!I33</f>
        <v>ok</v>
      </c>
      <c r="J2" s="276">
        <f>[2]GEN!J33</f>
        <v>10689</v>
      </c>
      <c r="K2" s="276">
        <f>[2]GEN!K33</f>
        <v>0</v>
      </c>
      <c r="L2" s="276">
        <f>[2]GEN!L33</f>
        <v>237075</v>
      </c>
      <c r="M2" s="276">
        <f>[2]GEN!M33</f>
        <v>0</v>
      </c>
      <c r="N2" s="276">
        <f>[2]GEN!N33</f>
        <v>0</v>
      </c>
      <c r="O2" s="276">
        <f>[2]GEN!O33</f>
        <v>0</v>
      </c>
      <c r="P2" s="276">
        <f>[2]GEN!P33</f>
        <v>10873</v>
      </c>
      <c r="Q2" s="276" t="str">
        <f>[2]GEN!Q33</f>
        <v>ok</v>
      </c>
      <c r="R2" s="276">
        <f>[2]GEN!R33</f>
        <v>11201</v>
      </c>
      <c r="S2" s="276">
        <f>[2]GEN!S33</f>
        <v>1</v>
      </c>
      <c r="T2" s="276">
        <f>[2]GEN!T33</f>
        <v>253282</v>
      </c>
      <c r="U2" s="276">
        <f>[2]GEN!U33</f>
        <v>111</v>
      </c>
      <c r="V2" s="276">
        <f>[2]GEN!V33</f>
        <v>111</v>
      </c>
      <c r="W2" s="276">
        <f>[2]GEN!W33</f>
        <v>0</v>
      </c>
      <c r="X2" s="276">
        <f>[2]GEN!X33</f>
        <v>11889</v>
      </c>
      <c r="Y2" s="276" t="str">
        <f>[2]GEN!Y33</f>
        <v>ok</v>
      </c>
      <c r="Z2" s="276">
        <f>[2]GEN!Z33</f>
        <v>4</v>
      </c>
      <c r="AA2" s="276">
        <f>[2]GEN!AA33</f>
        <v>1546</v>
      </c>
      <c r="AB2" s="276">
        <f>[2]GEN!AB33</f>
        <v>589.33333333333326</v>
      </c>
      <c r="AC2" s="276">
        <f>[2]GEN!AC33</f>
        <v>386.5</v>
      </c>
      <c r="AD2" s="276">
        <f>[2]GEN!AD33</f>
        <v>1280.0000000006548</v>
      </c>
      <c r="AE2" s="276">
        <f>[2]GEN!AE33</f>
        <v>320.00000000016371</v>
      </c>
      <c r="AF2" s="276">
        <f>[2]GEN!AF33</f>
        <v>0.20000000000010232</v>
      </c>
      <c r="AG2" s="276">
        <f>[2]GEN!AG33</f>
        <v>64.000000000032742</v>
      </c>
      <c r="AH2" s="276">
        <f>[2]GEN!AH33</f>
        <v>322.49999999996726</v>
      </c>
      <c r="AI2" s="276">
        <f>[2]GEN!AI33</f>
        <v>0</v>
      </c>
      <c r="AJ2" s="276">
        <f>[2]GEN!AJ33</f>
        <v>0</v>
      </c>
      <c r="AK2" s="276">
        <f>[2]GEN!AK33</f>
        <v>0</v>
      </c>
    </row>
    <row r="3" spans="1:37" ht="15.75" thickBot="1">
      <c r="A3" s="4">
        <f>ELEC!C3</f>
        <v>43983</v>
      </c>
      <c r="B3" s="584">
        <v>8659</v>
      </c>
      <c r="C3" s="296">
        <f>B3-B2</f>
        <v>4</v>
      </c>
      <c r="D3" s="585">
        <v>153808</v>
      </c>
      <c r="E3" s="296">
        <f>SUM(D3-D2)</f>
        <v>713</v>
      </c>
      <c r="F3" s="296">
        <f t="shared" ref="F3:F32" si="0">IF(C3&gt;0,E3/C3,0)</f>
        <v>178.25</v>
      </c>
      <c r="G3" s="276">
        <f>[3]GEN!G32</f>
        <v>0</v>
      </c>
      <c r="H3" s="297">
        <f>H2</f>
        <v>8770</v>
      </c>
      <c r="I3" s="296" t="str">
        <f t="shared" ref="I3:I32" si="1">IF(B3-H3&lt;=0,"ok","oil change")</f>
        <v>ok</v>
      </c>
      <c r="J3" s="276">
        <f>J2</f>
        <v>10689</v>
      </c>
      <c r="K3" s="296">
        <f t="shared" ref="K3:K31" si="2">J3-J2</f>
        <v>0</v>
      </c>
      <c r="L3" s="585">
        <v>237118</v>
      </c>
      <c r="M3" s="296">
        <f t="shared" ref="M3:M32" si="3">SUM(L3-L2)</f>
        <v>43</v>
      </c>
      <c r="N3" s="296">
        <f>IF(K3&gt;0,M3/K3,0)</f>
        <v>0</v>
      </c>
      <c r="O3" s="276">
        <f>[3]GEN!O32</f>
        <v>0</v>
      </c>
      <c r="P3" s="297">
        <f>P2</f>
        <v>10873</v>
      </c>
      <c r="Q3" s="296" t="str">
        <f t="shared" ref="Q3:Q17" si="4">IF(J3-P3&lt;=0,"ok","oil change")</f>
        <v>ok</v>
      </c>
      <c r="R3" s="276">
        <f>R2</f>
        <v>11201</v>
      </c>
      <c r="S3" s="296">
        <f t="shared" ref="S3:S32" si="5">R3-R2</f>
        <v>0</v>
      </c>
      <c r="T3" s="585">
        <v>253331</v>
      </c>
      <c r="U3" s="296">
        <f t="shared" ref="U3:U19" si="6">SUM(T3-T2)</f>
        <v>49</v>
      </c>
      <c r="V3" s="296">
        <f>IF(S3&gt;0,U3/S3,0)</f>
        <v>0</v>
      </c>
      <c r="W3" s="276">
        <f>[3]GEN!W32</f>
        <v>0</v>
      </c>
      <c r="X3" s="297">
        <f>X2</f>
        <v>11889</v>
      </c>
      <c r="Y3" s="296" t="str">
        <f t="shared" ref="Y3:Y20" si="7">IF(R3-X3&lt;=0,"ok","oil change")</f>
        <v>ok</v>
      </c>
      <c r="Z3" s="296">
        <f t="shared" ref="Z3:Z32" si="8">C3+K3+S3</f>
        <v>4</v>
      </c>
      <c r="AA3" s="296">
        <f>U3+M3+E3</f>
        <v>805</v>
      </c>
      <c r="AB3" s="296">
        <f>V3+N3+F3</f>
        <v>178.25</v>
      </c>
      <c r="AC3" s="296">
        <f>IF(Z3&gt;0,AA3/Z3,0)</f>
        <v>201.25</v>
      </c>
      <c r="AD3" s="74">
        <f>ELEC!Q3</f>
        <v>2000</v>
      </c>
      <c r="AE3" s="74">
        <f>SUM(AD3/Z3)</f>
        <v>500</v>
      </c>
      <c r="AF3" s="415">
        <f>SUM(AE3/1600)</f>
        <v>0.3125</v>
      </c>
      <c r="AG3" s="416">
        <f>SUM(360*AF3)</f>
        <v>112.5</v>
      </c>
      <c r="AH3" s="416">
        <f>SUM(AC3-AG3)</f>
        <v>88.75</v>
      </c>
      <c r="AI3" s="74">
        <f>AD3*AJ3</f>
        <v>514.76793248945148</v>
      </c>
      <c r="AJ3" s="298">
        <f t="shared" ref="AJ3:AJ32" si="9">305/1185</f>
        <v>0.25738396624472576</v>
      </c>
      <c r="AK3" s="298">
        <f t="shared" ref="AK3:AK8" si="10">AI3/Z3</f>
        <v>128.69198312236287</v>
      </c>
    </row>
    <row r="4" spans="1:37" ht="15.75" thickBot="1">
      <c r="A4" s="4">
        <f>ELEC!C4</f>
        <v>43984</v>
      </c>
      <c r="B4" s="276">
        <v>8662</v>
      </c>
      <c r="C4" s="296">
        <f t="shared" ref="C4:C32" si="11">B4-B3</f>
        <v>3</v>
      </c>
      <c r="D4" s="276">
        <v>154342</v>
      </c>
      <c r="E4" s="296">
        <f t="shared" ref="E4:E32" si="12">SUM(D4-D3)</f>
        <v>534</v>
      </c>
      <c r="F4" s="296">
        <f t="shared" si="0"/>
        <v>178</v>
      </c>
      <c r="G4" s="199"/>
      <c r="H4" s="297">
        <f t="shared" ref="H4:H32" si="13">H3</f>
        <v>8770</v>
      </c>
      <c r="I4" s="296" t="str">
        <f t="shared" si="1"/>
        <v>ok</v>
      </c>
      <c r="J4" s="276">
        <f t="shared" ref="J4:L32" si="14">J3</f>
        <v>10689</v>
      </c>
      <c r="K4" s="296">
        <f t="shared" si="2"/>
        <v>0</v>
      </c>
      <c r="L4" s="276">
        <f t="shared" si="14"/>
        <v>237118</v>
      </c>
      <c r="M4" s="296">
        <f t="shared" si="3"/>
        <v>0</v>
      </c>
      <c r="N4" s="296">
        <f t="shared" ref="N4:N32" si="15">IF(K4&gt;0,M4/K4,0)</f>
        <v>0</v>
      </c>
      <c r="O4" s="199"/>
      <c r="P4" s="297">
        <f t="shared" ref="P4:P32" si="16">P3</f>
        <v>10873</v>
      </c>
      <c r="Q4" s="296" t="str">
        <f t="shared" si="4"/>
        <v>ok</v>
      </c>
      <c r="R4" s="276">
        <f t="shared" ref="R4:T32" si="17">R3</f>
        <v>11201</v>
      </c>
      <c r="S4" s="296">
        <f t="shared" si="5"/>
        <v>0</v>
      </c>
      <c r="T4" s="585">
        <v>253377</v>
      </c>
      <c r="U4" s="296">
        <f t="shared" si="6"/>
        <v>46</v>
      </c>
      <c r="V4" s="296">
        <f t="shared" ref="V4:V32" si="18">IF(S4&gt;0,U4/S4,0)</f>
        <v>0</v>
      </c>
      <c r="W4" s="199"/>
      <c r="X4" s="297">
        <f t="shared" ref="X4:X32" si="19">X3</f>
        <v>11889</v>
      </c>
      <c r="Y4" s="296" t="str">
        <f t="shared" si="7"/>
        <v>ok</v>
      </c>
      <c r="Z4" s="296">
        <f>C4+K4+S4</f>
        <v>3</v>
      </c>
      <c r="AA4" s="296">
        <f t="shared" ref="AA4:AA32" si="20">U4+M4+E4</f>
        <v>580</v>
      </c>
      <c r="AB4" s="296">
        <f t="shared" ref="AB4:AB32" si="21">V4+N4+F4</f>
        <v>178</v>
      </c>
      <c r="AC4" s="296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5">
        <f>SUM(AE4/1600)</f>
        <v>0.41666666666666663</v>
      </c>
      <c r="AG4" s="416">
        <f>SUM(360*AF4)</f>
        <v>150</v>
      </c>
      <c r="AH4" s="416">
        <f t="shared" ref="AH4:AH32" si="23">SUM(AC4-AG4)</f>
        <v>43.333333333333343</v>
      </c>
      <c r="AI4" s="74">
        <f>AD4*AJ4</f>
        <v>514.76793248945148</v>
      </c>
      <c r="AJ4" s="298">
        <f t="shared" si="9"/>
        <v>0.25738396624472576</v>
      </c>
      <c r="AK4" s="298">
        <f t="shared" si="10"/>
        <v>171.58931082981715</v>
      </c>
    </row>
    <row r="5" spans="1:37">
      <c r="A5" s="4">
        <f>ELEC!C5</f>
        <v>43985</v>
      </c>
      <c r="B5" s="276">
        <v>8665</v>
      </c>
      <c r="C5" s="296">
        <f t="shared" si="11"/>
        <v>3</v>
      </c>
      <c r="D5" s="276">
        <v>154903</v>
      </c>
      <c r="E5" s="296">
        <f t="shared" si="12"/>
        <v>561</v>
      </c>
      <c r="F5" s="296">
        <f t="shared" si="0"/>
        <v>187</v>
      </c>
      <c r="G5" s="294"/>
      <c r="H5" s="297">
        <f>H4</f>
        <v>8770</v>
      </c>
      <c r="I5" s="296" t="str">
        <f t="shared" si="1"/>
        <v>ok</v>
      </c>
      <c r="J5" s="276">
        <v>10689</v>
      </c>
      <c r="K5" s="296">
        <f t="shared" si="2"/>
        <v>0</v>
      </c>
      <c r="L5" s="276">
        <f t="shared" si="14"/>
        <v>237118</v>
      </c>
      <c r="M5" s="296">
        <f t="shared" si="3"/>
        <v>0</v>
      </c>
      <c r="N5" s="296">
        <f t="shared" si="15"/>
        <v>0</v>
      </c>
      <c r="O5" s="199"/>
      <c r="P5" s="297">
        <f>P4</f>
        <v>10873</v>
      </c>
      <c r="Q5" s="296" t="str">
        <f t="shared" si="4"/>
        <v>ok</v>
      </c>
      <c r="R5" s="276">
        <v>11201</v>
      </c>
      <c r="S5" s="296">
        <f t="shared" si="5"/>
        <v>0</v>
      </c>
      <c r="T5" s="585">
        <v>253380</v>
      </c>
      <c r="U5" s="296">
        <f t="shared" si="6"/>
        <v>3</v>
      </c>
      <c r="V5" s="296">
        <f>IF(S5&gt;0,U5/S5,0)</f>
        <v>0</v>
      </c>
      <c r="W5" s="199"/>
      <c r="X5" s="297">
        <f t="shared" si="19"/>
        <v>11889</v>
      </c>
      <c r="Y5" s="296" t="str">
        <f t="shared" si="7"/>
        <v>ok</v>
      </c>
      <c r="Z5" s="296">
        <f t="shared" si="8"/>
        <v>3</v>
      </c>
      <c r="AA5" s="296">
        <f t="shared" si="20"/>
        <v>564</v>
      </c>
      <c r="AB5" s="296">
        <f t="shared" si="21"/>
        <v>187</v>
      </c>
      <c r="AC5" s="296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5">
        <f t="shared" ref="AF5:AF32" si="25">SUM(AE5/1600)</f>
        <v>0.41666666666666663</v>
      </c>
      <c r="AG5" s="416">
        <f t="shared" ref="AG5:AG32" si="26">SUM(320*AF5)</f>
        <v>133.33333333333331</v>
      </c>
      <c r="AH5" s="416">
        <f t="shared" si="23"/>
        <v>54.666666666666686</v>
      </c>
      <c r="AI5" s="74">
        <f t="shared" ref="AI5:AI32" si="27">AD5*AJ5</f>
        <v>514.76793248945148</v>
      </c>
      <c r="AJ5" s="298">
        <f t="shared" si="9"/>
        <v>0.25738396624472576</v>
      </c>
      <c r="AK5" s="298">
        <f t="shared" si="10"/>
        <v>171.58931082981715</v>
      </c>
    </row>
    <row r="6" spans="1:37">
      <c r="A6" s="4">
        <f>ELEC!C6</f>
        <v>43986</v>
      </c>
      <c r="B6" s="276">
        <v>8667</v>
      </c>
      <c r="C6" s="296">
        <f t="shared" si="11"/>
        <v>2</v>
      </c>
      <c r="D6" s="276">
        <v>155467</v>
      </c>
      <c r="E6" s="296">
        <f t="shared" si="12"/>
        <v>564</v>
      </c>
      <c r="F6" s="296">
        <f t="shared" si="0"/>
        <v>282</v>
      </c>
      <c r="G6" s="199"/>
      <c r="H6" s="297">
        <f t="shared" si="13"/>
        <v>8770</v>
      </c>
      <c r="I6" s="296" t="str">
        <f t="shared" si="1"/>
        <v>ok</v>
      </c>
      <c r="J6" s="276">
        <f t="shared" si="14"/>
        <v>10689</v>
      </c>
      <c r="K6" s="296">
        <f t="shared" si="2"/>
        <v>0</v>
      </c>
      <c r="L6" s="276">
        <f t="shared" si="14"/>
        <v>237118</v>
      </c>
      <c r="M6" s="296">
        <f t="shared" si="3"/>
        <v>0</v>
      </c>
      <c r="N6" s="296">
        <f t="shared" si="15"/>
        <v>0</v>
      </c>
      <c r="O6" s="316"/>
      <c r="P6" s="297">
        <f t="shared" si="16"/>
        <v>10873</v>
      </c>
      <c r="Q6" s="296" t="str">
        <f t="shared" si="4"/>
        <v>ok</v>
      </c>
      <c r="R6" s="276">
        <f t="shared" si="17"/>
        <v>11201</v>
      </c>
      <c r="S6" s="296">
        <f t="shared" si="5"/>
        <v>0</v>
      </c>
      <c r="T6" s="276">
        <v>253380</v>
      </c>
      <c r="U6" s="296">
        <f t="shared" si="6"/>
        <v>0</v>
      </c>
      <c r="V6" s="296">
        <f t="shared" si="18"/>
        <v>0</v>
      </c>
      <c r="W6" s="316"/>
      <c r="X6" s="297">
        <f t="shared" si="19"/>
        <v>11889</v>
      </c>
      <c r="Y6" s="296" t="str">
        <f t="shared" si="7"/>
        <v>ok</v>
      </c>
      <c r="Z6" s="296">
        <f t="shared" si="8"/>
        <v>2</v>
      </c>
      <c r="AA6" s="296">
        <f t="shared" si="20"/>
        <v>564</v>
      </c>
      <c r="AB6" s="296">
        <f t="shared" si="21"/>
        <v>282</v>
      </c>
      <c r="AC6" s="296">
        <f t="shared" si="22"/>
        <v>282</v>
      </c>
      <c r="AD6" s="74">
        <f>ELEC!Q6</f>
        <v>2000</v>
      </c>
      <c r="AE6" s="74">
        <f>SUM(AD6/Z6)</f>
        <v>1000</v>
      </c>
      <c r="AF6" s="415">
        <f t="shared" si="25"/>
        <v>0.625</v>
      </c>
      <c r="AG6" s="416">
        <f>SUM(320*AF6)</f>
        <v>200</v>
      </c>
      <c r="AH6" s="416">
        <f t="shared" si="23"/>
        <v>82</v>
      </c>
      <c r="AI6" s="74">
        <f t="shared" si="27"/>
        <v>514.76793248945148</v>
      </c>
      <c r="AJ6" s="298">
        <f t="shared" si="9"/>
        <v>0.25738396624472576</v>
      </c>
      <c r="AK6" s="298">
        <f t="shared" si="10"/>
        <v>257.38396624472574</v>
      </c>
    </row>
    <row r="7" spans="1:37">
      <c r="A7" s="4">
        <f>ELEC!C7</f>
        <v>43987</v>
      </c>
      <c r="B7" s="276">
        <f t="shared" ref="B7:D32" si="28">B6</f>
        <v>8667</v>
      </c>
      <c r="C7" s="296">
        <f t="shared" si="11"/>
        <v>0</v>
      </c>
      <c r="D7" s="276">
        <f t="shared" si="28"/>
        <v>155467</v>
      </c>
      <c r="E7" s="296">
        <f t="shared" si="12"/>
        <v>0</v>
      </c>
      <c r="F7" s="296">
        <f t="shared" si="0"/>
        <v>0</v>
      </c>
      <c r="G7" s="199"/>
      <c r="H7" s="297">
        <f t="shared" si="13"/>
        <v>8770</v>
      </c>
      <c r="I7" s="296" t="str">
        <f t="shared" si="1"/>
        <v>ok</v>
      </c>
      <c r="J7" s="276">
        <v>10693</v>
      </c>
      <c r="K7" s="296">
        <f t="shared" si="2"/>
        <v>4</v>
      </c>
      <c r="L7" s="276">
        <v>237634</v>
      </c>
      <c r="M7" s="296">
        <f t="shared" si="3"/>
        <v>516</v>
      </c>
      <c r="N7" s="296">
        <f t="shared" si="15"/>
        <v>129</v>
      </c>
      <c r="O7" s="316"/>
      <c r="P7" s="297">
        <f t="shared" si="16"/>
        <v>10873</v>
      </c>
      <c r="Q7" s="296" t="str">
        <f t="shared" si="4"/>
        <v>ok</v>
      </c>
      <c r="R7" s="276">
        <f t="shared" si="17"/>
        <v>11201</v>
      </c>
      <c r="S7" s="296">
        <f t="shared" si="5"/>
        <v>0</v>
      </c>
      <c r="T7" s="276">
        <v>253394</v>
      </c>
      <c r="U7" s="296">
        <f t="shared" si="6"/>
        <v>14</v>
      </c>
      <c r="V7" s="296">
        <f t="shared" si="18"/>
        <v>0</v>
      </c>
      <c r="W7" s="199"/>
      <c r="X7" s="297">
        <f t="shared" si="19"/>
        <v>11889</v>
      </c>
      <c r="Y7" s="296" t="str">
        <f t="shared" si="7"/>
        <v>ok</v>
      </c>
      <c r="Z7" s="296">
        <f t="shared" si="8"/>
        <v>4</v>
      </c>
      <c r="AA7" s="296">
        <f>U7+M7+E7</f>
        <v>530</v>
      </c>
      <c r="AB7" s="296">
        <f t="shared" si="21"/>
        <v>129</v>
      </c>
      <c r="AC7" s="296">
        <f t="shared" si="22"/>
        <v>132.5</v>
      </c>
      <c r="AD7" s="74">
        <f>ELEC!Q7</f>
        <v>2000</v>
      </c>
      <c r="AE7" s="74">
        <f t="shared" si="24"/>
        <v>500</v>
      </c>
      <c r="AF7" s="415">
        <f t="shared" si="25"/>
        <v>0.3125</v>
      </c>
      <c r="AG7" s="522" t="s">
        <v>406</v>
      </c>
      <c r="AH7" s="416" t="e">
        <f t="shared" si="23"/>
        <v>#VALUE!</v>
      </c>
      <c r="AI7" s="74">
        <f t="shared" si="27"/>
        <v>514.76793248945148</v>
      </c>
      <c r="AJ7" s="298">
        <f t="shared" si="9"/>
        <v>0.25738396624472576</v>
      </c>
      <c r="AK7" s="298">
        <f t="shared" si="10"/>
        <v>128.69198312236287</v>
      </c>
    </row>
    <row r="8" spans="1:37">
      <c r="A8" s="4">
        <f>ELEC!C8</f>
        <v>43988</v>
      </c>
      <c r="B8" s="276">
        <v>8668</v>
      </c>
      <c r="C8" s="296">
        <f t="shared" si="11"/>
        <v>1</v>
      </c>
      <c r="D8" s="276">
        <v>155499</v>
      </c>
      <c r="E8" s="296">
        <f t="shared" si="12"/>
        <v>32</v>
      </c>
      <c r="F8" s="296">
        <f t="shared" si="0"/>
        <v>32</v>
      </c>
      <c r="G8" s="199"/>
      <c r="H8" s="297">
        <f t="shared" si="13"/>
        <v>8770</v>
      </c>
      <c r="I8" s="296" t="str">
        <f t="shared" si="1"/>
        <v>ok</v>
      </c>
      <c r="J8" s="276">
        <v>10696</v>
      </c>
      <c r="K8" s="296">
        <f t="shared" si="2"/>
        <v>3</v>
      </c>
      <c r="L8" s="276">
        <v>238182</v>
      </c>
      <c r="M8" s="296">
        <f t="shared" si="3"/>
        <v>548</v>
      </c>
      <c r="N8" s="296">
        <f t="shared" si="15"/>
        <v>182.66666666666666</v>
      </c>
      <c r="O8" s="199"/>
      <c r="P8" s="297">
        <f t="shared" si="16"/>
        <v>10873</v>
      </c>
      <c r="Q8" s="296" t="str">
        <f t="shared" si="4"/>
        <v>ok</v>
      </c>
      <c r="R8" s="276">
        <f t="shared" si="17"/>
        <v>11201</v>
      </c>
      <c r="S8" s="296">
        <f t="shared" si="5"/>
        <v>0</v>
      </c>
      <c r="T8" s="276">
        <v>253394</v>
      </c>
      <c r="U8" s="296">
        <f t="shared" si="6"/>
        <v>0</v>
      </c>
      <c r="V8" s="296">
        <f t="shared" si="18"/>
        <v>0</v>
      </c>
      <c r="W8" s="199"/>
      <c r="X8" s="297">
        <f t="shared" si="19"/>
        <v>11889</v>
      </c>
      <c r="Y8" s="296" t="str">
        <f t="shared" si="7"/>
        <v>ok</v>
      </c>
      <c r="Z8" s="296">
        <f t="shared" si="8"/>
        <v>4</v>
      </c>
      <c r="AA8" s="296">
        <f t="shared" si="20"/>
        <v>580</v>
      </c>
      <c r="AB8" s="296">
        <f t="shared" si="21"/>
        <v>214.66666666666666</v>
      </c>
      <c r="AC8" s="296">
        <f t="shared" si="22"/>
        <v>145</v>
      </c>
      <c r="AD8" s="74">
        <f>ELEC!Q8</f>
        <v>2000</v>
      </c>
      <c r="AE8" s="74">
        <f t="shared" si="24"/>
        <v>500</v>
      </c>
      <c r="AF8" s="415">
        <f t="shared" si="25"/>
        <v>0.3125</v>
      </c>
      <c r="AG8" s="416">
        <f t="shared" si="26"/>
        <v>100</v>
      </c>
      <c r="AH8" s="416">
        <f t="shared" si="23"/>
        <v>45</v>
      </c>
      <c r="AI8" s="74">
        <f t="shared" si="27"/>
        <v>514.76793248945148</v>
      </c>
      <c r="AJ8" s="298">
        <f t="shared" si="9"/>
        <v>0.25738396624472576</v>
      </c>
      <c r="AK8" s="298">
        <f t="shared" si="10"/>
        <v>128.69198312236287</v>
      </c>
    </row>
    <row r="9" spans="1:37">
      <c r="A9" s="4">
        <f>ELEC!C9</f>
        <v>43989</v>
      </c>
      <c r="B9" s="276">
        <v>8669</v>
      </c>
      <c r="C9" s="296">
        <f t="shared" si="11"/>
        <v>1</v>
      </c>
      <c r="D9" s="276">
        <v>155788</v>
      </c>
      <c r="E9" s="296">
        <f t="shared" si="12"/>
        <v>289</v>
      </c>
      <c r="F9" s="296">
        <f t="shared" si="0"/>
        <v>289</v>
      </c>
      <c r="G9" s="199"/>
      <c r="H9" s="297">
        <f t="shared" si="13"/>
        <v>8770</v>
      </c>
      <c r="I9" s="296" t="str">
        <f t="shared" si="1"/>
        <v>ok</v>
      </c>
      <c r="J9" s="276">
        <v>10698</v>
      </c>
      <c r="K9" s="296">
        <f t="shared" si="2"/>
        <v>2</v>
      </c>
      <c r="L9" s="276">
        <v>238479</v>
      </c>
      <c r="M9" s="296">
        <f t="shared" si="3"/>
        <v>297</v>
      </c>
      <c r="N9" s="296">
        <f t="shared" si="15"/>
        <v>148.5</v>
      </c>
      <c r="O9" s="199"/>
      <c r="P9" s="297">
        <f t="shared" si="16"/>
        <v>10873</v>
      </c>
      <c r="Q9" s="296" t="str">
        <f t="shared" si="4"/>
        <v>ok</v>
      </c>
      <c r="R9" s="276">
        <f t="shared" si="17"/>
        <v>11201</v>
      </c>
      <c r="S9" s="296">
        <f t="shared" si="5"/>
        <v>0</v>
      </c>
      <c r="T9" s="276">
        <v>253394</v>
      </c>
      <c r="U9" s="296">
        <f t="shared" si="6"/>
        <v>0</v>
      </c>
      <c r="V9" s="296">
        <f t="shared" si="18"/>
        <v>0</v>
      </c>
      <c r="W9" s="199"/>
      <c r="X9" s="297">
        <f t="shared" si="19"/>
        <v>11889</v>
      </c>
      <c r="Y9" s="296" t="str">
        <f t="shared" si="7"/>
        <v>ok</v>
      </c>
      <c r="Z9" s="296">
        <f t="shared" si="8"/>
        <v>3</v>
      </c>
      <c r="AA9" s="296">
        <f t="shared" si="20"/>
        <v>586</v>
      </c>
      <c r="AB9" s="296">
        <f t="shared" si="21"/>
        <v>437.5</v>
      </c>
      <c r="AC9" s="296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5">
        <f t="shared" si="25"/>
        <v>0.41666666666666663</v>
      </c>
      <c r="AG9" s="416">
        <f t="shared" si="26"/>
        <v>133.33333333333331</v>
      </c>
      <c r="AH9" s="416">
        <f t="shared" si="23"/>
        <v>62.000000000000028</v>
      </c>
      <c r="AI9" s="74">
        <f t="shared" si="27"/>
        <v>514.76793248945148</v>
      </c>
      <c r="AJ9" s="298">
        <v>0.25738396624472576</v>
      </c>
      <c r="AK9" s="298">
        <f t="shared" ref="AK9:AK16" si="29">IF(Z9&gt;0,AI9/Z9,0)</f>
        <v>171.58931082981715</v>
      </c>
    </row>
    <row r="10" spans="1:37">
      <c r="A10" s="4">
        <f>ELEC!C10</f>
        <v>43990</v>
      </c>
      <c r="B10" s="592">
        <v>8672</v>
      </c>
      <c r="C10" s="296">
        <f t="shared" si="11"/>
        <v>3</v>
      </c>
      <c r="D10" s="276">
        <v>156350</v>
      </c>
      <c r="E10" s="296">
        <f t="shared" si="12"/>
        <v>562</v>
      </c>
      <c r="F10" s="296">
        <f t="shared" si="0"/>
        <v>187.33333333333334</v>
      </c>
      <c r="G10" s="199"/>
      <c r="H10" s="297">
        <f t="shared" si="13"/>
        <v>8770</v>
      </c>
      <c r="I10" s="296" t="str">
        <f t="shared" si="1"/>
        <v>ok</v>
      </c>
      <c r="J10" s="276">
        <f t="shared" si="14"/>
        <v>10698</v>
      </c>
      <c r="K10" s="296">
        <f t="shared" si="2"/>
        <v>0</v>
      </c>
      <c r="L10" s="276">
        <f t="shared" si="14"/>
        <v>238479</v>
      </c>
      <c r="M10" s="296">
        <f t="shared" si="3"/>
        <v>0</v>
      </c>
      <c r="N10" s="296">
        <f t="shared" si="15"/>
        <v>0</v>
      </c>
      <c r="O10" s="199"/>
      <c r="P10" s="297">
        <v>10873</v>
      </c>
      <c r="Q10" s="296" t="str">
        <f t="shared" si="4"/>
        <v>ok</v>
      </c>
      <c r="R10" s="276">
        <f t="shared" si="17"/>
        <v>11201</v>
      </c>
      <c r="S10" s="296">
        <f t="shared" si="5"/>
        <v>0</v>
      </c>
      <c r="T10" s="276">
        <v>253394</v>
      </c>
      <c r="U10" s="296">
        <f t="shared" si="6"/>
        <v>0</v>
      </c>
      <c r="V10" s="296">
        <f t="shared" si="18"/>
        <v>0</v>
      </c>
      <c r="W10" s="199"/>
      <c r="X10" s="297">
        <f t="shared" si="19"/>
        <v>11889</v>
      </c>
      <c r="Y10" s="296" t="str">
        <f t="shared" si="7"/>
        <v>ok</v>
      </c>
      <c r="Z10" s="296">
        <f t="shared" si="8"/>
        <v>3</v>
      </c>
      <c r="AA10" s="296">
        <f t="shared" si="20"/>
        <v>562</v>
      </c>
      <c r="AB10" s="296">
        <f t="shared" si="21"/>
        <v>187.33333333333334</v>
      </c>
      <c r="AC10" s="296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5">
        <f t="shared" si="25"/>
        <v>0.41666666666666663</v>
      </c>
      <c r="AG10" s="416">
        <f t="shared" si="26"/>
        <v>133.33333333333331</v>
      </c>
      <c r="AH10" s="416">
        <f t="shared" si="23"/>
        <v>54.000000000000028</v>
      </c>
      <c r="AI10" s="74">
        <f t="shared" si="27"/>
        <v>514.76793248945148</v>
      </c>
      <c r="AJ10" s="298">
        <f t="shared" si="9"/>
        <v>0.25738396624472576</v>
      </c>
      <c r="AK10" s="298">
        <f t="shared" si="29"/>
        <v>171.58931082981715</v>
      </c>
    </row>
    <row r="11" spans="1:37">
      <c r="A11" s="4">
        <f>ELEC!C11</f>
        <v>43991</v>
      </c>
      <c r="B11" s="276">
        <v>8672</v>
      </c>
      <c r="C11" s="296">
        <f t="shared" si="11"/>
        <v>0</v>
      </c>
      <c r="D11" s="276">
        <v>156429</v>
      </c>
      <c r="E11" s="296">
        <f t="shared" si="12"/>
        <v>79</v>
      </c>
      <c r="F11" s="296">
        <f t="shared" si="0"/>
        <v>0</v>
      </c>
      <c r="G11" s="199"/>
      <c r="H11" s="297">
        <f t="shared" si="13"/>
        <v>8770</v>
      </c>
      <c r="I11" s="296" t="str">
        <f t="shared" si="1"/>
        <v>ok</v>
      </c>
      <c r="J11" s="276">
        <v>10698</v>
      </c>
      <c r="K11" s="296">
        <f t="shared" si="2"/>
        <v>0</v>
      </c>
      <c r="L11" s="276">
        <f t="shared" si="14"/>
        <v>238479</v>
      </c>
      <c r="M11" s="296">
        <f t="shared" si="3"/>
        <v>0</v>
      </c>
      <c r="N11" s="296">
        <f t="shared" si="15"/>
        <v>0</v>
      </c>
      <c r="O11" s="199"/>
      <c r="P11" s="297">
        <f t="shared" si="16"/>
        <v>10873</v>
      </c>
      <c r="Q11" s="296" t="str">
        <f t="shared" si="4"/>
        <v>ok</v>
      </c>
      <c r="R11" s="276">
        <v>11205</v>
      </c>
      <c r="S11" s="296">
        <f t="shared" si="5"/>
        <v>4</v>
      </c>
      <c r="T11" s="276">
        <v>254281</v>
      </c>
      <c r="U11" s="296">
        <f t="shared" si="6"/>
        <v>887</v>
      </c>
      <c r="V11" s="296">
        <f t="shared" si="18"/>
        <v>221.75</v>
      </c>
      <c r="W11" s="199"/>
      <c r="X11" s="297">
        <f t="shared" si="19"/>
        <v>11889</v>
      </c>
      <c r="Y11" s="296" t="str">
        <f t="shared" si="7"/>
        <v>ok</v>
      </c>
      <c r="Z11" s="296">
        <f t="shared" si="8"/>
        <v>4</v>
      </c>
      <c r="AA11" s="296">
        <f t="shared" si="20"/>
        <v>966</v>
      </c>
      <c r="AB11" s="296">
        <f t="shared" si="21"/>
        <v>221.75</v>
      </c>
      <c r="AC11" s="296">
        <f t="shared" si="22"/>
        <v>241.5</v>
      </c>
      <c r="AD11" s="74">
        <f>ELEC!Q11</f>
        <v>2000</v>
      </c>
      <c r="AE11" s="74">
        <f t="shared" si="24"/>
        <v>500</v>
      </c>
      <c r="AF11" s="415">
        <f t="shared" si="25"/>
        <v>0.3125</v>
      </c>
      <c r="AG11" s="416">
        <f t="shared" si="26"/>
        <v>100</v>
      </c>
      <c r="AH11" s="416">
        <f t="shared" si="23"/>
        <v>141.5</v>
      </c>
      <c r="AI11" s="74">
        <f t="shared" si="27"/>
        <v>514.76793248945148</v>
      </c>
      <c r="AJ11" s="298">
        <f t="shared" si="9"/>
        <v>0.25738396624472576</v>
      </c>
      <c r="AK11" s="298">
        <f t="shared" si="29"/>
        <v>128.69198312236287</v>
      </c>
    </row>
    <row r="12" spans="1:37">
      <c r="A12" s="4">
        <f>ELEC!C12</f>
        <v>43992</v>
      </c>
      <c r="B12" s="276">
        <v>8672</v>
      </c>
      <c r="C12" s="296">
        <f t="shared" si="11"/>
        <v>0</v>
      </c>
      <c r="D12" s="276">
        <f t="shared" si="28"/>
        <v>156429</v>
      </c>
      <c r="E12" s="296">
        <f t="shared" si="12"/>
        <v>0</v>
      </c>
      <c r="F12" s="296">
        <f t="shared" si="0"/>
        <v>0</v>
      </c>
      <c r="G12" s="199"/>
      <c r="H12" s="297">
        <f t="shared" si="13"/>
        <v>8770</v>
      </c>
      <c r="I12" s="296" t="str">
        <f t="shared" si="1"/>
        <v>ok</v>
      </c>
      <c r="J12" s="276">
        <f t="shared" si="14"/>
        <v>10698</v>
      </c>
      <c r="K12" s="296">
        <f t="shared" si="2"/>
        <v>0</v>
      </c>
      <c r="L12" s="276">
        <f t="shared" si="14"/>
        <v>238479</v>
      </c>
      <c r="M12" s="296">
        <f t="shared" si="3"/>
        <v>0</v>
      </c>
      <c r="N12" s="296">
        <f t="shared" si="15"/>
        <v>0</v>
      </c>
      <c r="O12" s="199"/>
      <c r="P12" s="297">
        <f t="shared" si="16"/>
        <v>10873</v>
      </c>
      <c r="Q12" s="296" t="str">
        <f t="shared" si="4"/>
        <v>ok</v>
      </c>
      <c r="R12" s="276">
        <v>11212</v>
      </c>
      <c r="S12" s="296">
        <f t="shared" si="5"/>
        <v>7</v>
      </c>
      <c r="T12" s="276">
        <v>256096</v>
      </c>
      <c r="U12" s="296">
        <f t="shared" si="6"/>
        <v>1815</v>
      </c>
      <c r="V12" s="296">
        <f t="shared" si="18"/>
        <v>259.28571428571428</v>
      </c>
      <c r="W12" s="199"/>
      <c r="X12" s="297">
        <f t="shared" si="19"/>
        <v>11889</v>
      </c>
      <c r="Y12" s="296" t="str">
        <f t="shared" si="7"/>
        <v>ok</v>
      </c>
      <c r="Z12" s="296">
        <f t="shared" si="8"/>
        <v>7</v>
      </c>
      <c r="AA12" s="296">
        <f t="shared" si="20"/>
        <v>1815</v>
      </c>
      <c r="AB12" s="296">
        <f t="shared" si="21"/>
        <v>259.28571428571428</v>
      </c>
      <c r="AC12" s="296">
        <f t="shared" si="22"/>
        <v>259.28571428571428</v>
      </c>
      <c r="AD12" s="74">
        <f>ELEC!Q12</f>
        <v>6000</v>
      </c>
      <c r="AE12" s="74">
        <f t="shared" si="24"/>
        <v>857.14285714285711</v>
      </c>
      <c r="AF12" s="415">
        <f t="shared" si="25"/>
        <v>0.5357142857142857</v>
      </c>
      <c r="AG12" s="416">
        <f t="shared" si="26"/>
        <v>171.42857142857142</v>
      </c>
      <c r="AH12" s="416">
        <f t="shared" si="23"/>
        <v>87.857142857142861</v>
      </c>
      <c r="AI12" s="74">
        <f t="shared" si="27"/>
        <v>1544.3037974683546</v>
      </c>
      <c r="AJ12" s="298">
        <f t="shared" si="9"/>
        <v>0.25738396624472576</v>
      </c>
      <c r="AK12" s="298">
        <f t="shared" si="29"/>
        <v>220.61482820976494</v>
      </c>
    </row>
    <row r="13" spans="1:37">
      <c r="A13" s="4">
        <f>ELEC!C13</f>
        <v>43993</v>
      </c>
      <c r="B13" s="276">
        <v>8672</v>
      </c>
      <c r="C13" s="296">
        <f t="shared" si="11"/>
        <v>0</v>
      </c>
      <c r="D13" s="276">
        <v>156438</v>
      </c>
      <c r="E13" s="296">
        <f t="shared" si="12"/>
        <v>9</v>
      </c>
      <c r="F13" s="296">
        <f t="shared" si="0"/>
        <v>0</v>
      </c>
      <c r="G13" s="199"/>
      <c r="H13" s="297">
        <f t="shared" si="13"/>
        <v>8770</v>
      </c>
      <c r="I13" s="296" t="str">
        <f t="shared" si="1"/>
        <v>ok</v>
      </c>
      <c r="J13" s="276">
        <v>10698</v>
      </c>
      <c r="K13" s="296">
        <f t="shared" si="2"/>
        <v>0</v>
      </c>
      <c r="L13" s="276">
        <f>L12</f>
        <v>238479</v>
      </c>
      <c r="M13" s="296">
        <f t="shared" si="3"/>
        <v>0</v>
      </c>
      <c r="N13" s="296">
        <f t="shared" si="15"/>
        <v>0</v>
      </c>
      <c r="O13" s="199"/>
      <c r="P13" s="297">
        <f t="shared" si="16"/>
        <v>10873</v>
      </c>
      <c r="Q13" s="296" t="str">
        <f t="shared" si="4"/>
        <v>ok</v>
      </c>
      <c r="R13" s="276">
        <v>11221</v>
      </c>
      <c r="S13" s="296">
        <f t="shared" si="5"/>
        <v>9</v>
      </c>
      <c r="T13" s="276">
        <v>258169</v>
      </c>
      <c r="U13" s="296">
        <f t="shared" si="6"/>
        <v>2073</v>
      </c>
      <c r="V13" s="296">
        <f t="shared" si="18"/>
        <v>230.33333333333334</v>
      </c>
      <c r="W13" s="199"/>
      <c r="X13" s="297">
        <f>X12+180</f>
        <v>12069</v>
      </c>
      <c r="Y13" s="296" t="str">
        <f t="shared" si="7"/>
        <v>ok</v>
      </c>
      <c r="Z13" s="296">
        <f t="shared" si="8"/>
        <v>9</v>
      </c>
      <c r="AA13" s="296">
        <f t="shared" si="20"/>
        <v>2082</v>
      </c>
      <c r="AB13" s="296">
        <f t="shared" si="21"/>
        <v>230.33333333333334</v>
      </c>
      <c r="AC13" s="296">
        <f t="shared" si="22"/>
        <v>231.33333333333334</v>
      </c>
      <c r="AD13" s="74">
        <f>ELEC!Q13</f>
        <v>5000</v>
      </c>
      <c r="AE13" s="74">
        <f t="shared" si="24"/>
        <v>555.55555555555554</v>
      </c>
      <c r="AF13" s="415">
        <f t="shared" si="25"/>
        <v>0.34722222222222221</v>
      </c>
      <c r="AG13" s="416">
        <f t="shared" si="26"/>
        <v>111.11111111111111</v>
      </c>
      <c r="AH13" s="416">
        <f t="shared" si="23"/>
        <v>120.22222222222223</v>
      </c>
      <c r="AI13" s="74">
        <f t="shared" si="27"/>
        <v>1286.9198312236288</v>
      </c>
      <c r="AJ13" s="298">
        <f t="shared" si="9"/>
        <v>0.25738396624472576</v>
      </c>
      <c r="AK13" s="298">
        <f t="shared" si="29"/>
        <v>142.99109235818096</v>
      </c>
    </row>
    <row r="14" spans="1:37">
      <c r="A14" s="4">
        <f>ELEC!C14</f>
        <v>43994</v>
      </c>
      <c r="B14" s="276">
        <f t="shared" si="28"/>
        <v>8672</v>
      </c>
      <c r="C14" s="296">
        <f t="shared" si="11"/>
        <v>0</v>
      </c>
      <c r="D14" s="276">
        <f t="shared" si="28"/>
        <v>156438</v>
      </c>
      <c r="E14" s="296">
        <f t="shared" si="12"/>
        <v>0</v>
      </c>
      <c r="F14" s="296">
        <f t="shared" si="0"/>
        <v>0</v>
      </c>
      <c r="G14" s="199"/>
      <c r="H14" s="297">
        <f t="shared" si="13"/>
        <v>8770</v>
      </c>
      <c r="I14" s="296" t="str">
        <f t="shared" si="1"/>
        <v>ok</v>
      </c>
      <c r="J14" s="276">
        <f t="shared" si="14"/>
        <v>10698</v>
      </c>
      <c r="K14" s="296">
        <f t="shared" si="2"/>
        <v>0</v>
      </c>
      <c r="L14" s="276">
        <f t="shared" si="14"/>
        <v>238479</v>
      </c>
      <c r="M14" s="296">
        <f t="shared" si="3"/>
        <v>0</v>
      </c>
      <c r="N14" s="296">
        <f t="shared" si="15"/>
        <v>0</v>
      </c>
      <c r="O14" s="199"/>
      <c r="P14" s="297">
        <f t="shared" si="16"/>
        <v>10873</v>
      </c>
      <c r="Q14" s="296" t="str">
        <f t="shared" si="4"/>
        <v>ok</v>
      </c>
      <c r="R14" s="276">
        <f t="shared" si="17"/>
        <v>11221</v>
      </c>
      <c r="S14" s="296">
        <f t="shared" si="5"/>
        <v>0</v>
      </c>
      <c r="T14" s="276">
        <f t="shared" si="17"/>
        <v>258169</v>
      </c>
      <c r="U14" s="296">
        <f t="shared" si="6"/>
        <v>0</v>
      </c>
      <c r="V14" s="296">
        <f t="shared" si="18"/>
        <v>0</v>
      </c>
      <c r="W14" s="199"/>
      <c r="X14" s="297">
        <f t="shared" si="19"/>
        <v>12069</v>
      </c>
      <c r="Y14" s="296" t="str">
        <f t="shared" si="7"/>
        <v>ok</v>
      </c>
      <c r="Z14" s="296">
        <f t="shared" si="8"/>
        <v>0</v>
      </c>
      <c r="AA14" s="296">
        <f t="shared" si="20"/>
        <v>0</v>
      </c>
      <c r="AB14" s="296">
        <f t="shared" si="21"/>
        <v>0</v>
      </c>
      <c r="AC14" s="296">
        <f t="shared" si="22"/>
        <v>0</v>
      </c>
      <c r="AD14" s="74">
        <f>ELEC!Q14</f>
        <v>0</v>
      </c>
      <c r="AE14" s="74" t="e">
        <f t="shared" si="24"/>
        <v>#DIV/0!</v>
      </c>
      <c r="AF14" s="415" t="e">
        <f t="shared" si="25"/>
        <v>#DIV/0!</v>
      </c>
      <c r="AG14" s="416" t="e">
        <f t="shared" si="26"/>
        <v>#DIV/0!</v>
      </c>
      <c r="AH14" s="416" t="e">
        <f t="shared" si="23"/>
        <v>#DIV/0!</v>
      </c>
      <c r="AI14" s="74">
        <f t="shared" si="27"/>
        <v>0</v>
      </c>
      <c r="AJ14" s="298">
        <f t="shared" si="9"/>
        <v>0.25738396624472576</v>
      </c>
      <c r="AK14" s="298">
        <f t="shared" si="29"/>
        <v>0</v>
      </c>
    </row>
    <row r="15" spans="1:37">
      <c r="A15" s="4">
        <f>ELEC!C15</f>
        <v>43995</v>
      </c>
      <c r="B15" s="276">
        <f t="shared" si="28"/>
        <v>8672</v>
      </c>
      <c r="C15" s="296">
        <f t="shared" si="11"/>
        <v>0</v>
      </c>
      <c r="D15" s="276">
        <f t="shared" si="28"/>
        <v>156438</v>
      </c>
      <c r="E15" s="296">
        <f t="shared" si="12"/>
        <v>0</v>
      </c>
      <c r="F15" s="296">
        <f t="shared" si="0"/>
        <v>0</v>
      </c>
      <c r="G15" s="199"/>
      <c r="H15" s="297">
        <f t="shared" si="13"/>
        <v>8770</v>
      </c>
      <c r="I15" s="296" t="str">
        <f t="shared" si="1"/>
        <v>ok</v>
      </c>
      <c r="J15" s="276">
        <f t="shared" si="14"/>
        <v>10698</v>
      </c>
      <c r="K15" s="296">
        <f t="shared" si="2"/>
        <v>0</v>
      </c>
      <c r="L15" s="276">
        <f t="shared" si="14"/>
        <v>238479</v>
      </c>
      <c r="M15" s="296">
        <f t="shared" si="3"/>
        <v>0</v>
      </c>
      <c r="N15" s="296">
        <f t="shared" si="15"/>
        <v>0</v>
      </c>
      <c r="O15" s="199"/>
      <c r="P15" s="297">
        <f t="shared" si="16"/>
        <v>10873</v>
      </c>
      <c r="Q15" s="296" t="str">
        <f t="shared" si="4"/>
        <v>ok</v>
      </c>
      <c r="R15" s="276">
        <f t="shared" si="17"/>
        <v>11221</v>
      </c>
      <c r="S15" s="296">
        <f t="shared" si="5"/>
        <v>0</v>
      </c>
      <c r="T15" s="276">
        <f t="shared" si="17"/>
        <v>258169</v>
      </c>
      <c r="U15" s="296">
        <f t="shared" si="6"/>
        <v>0</v>
      </c>
      <c r="V15" s="296">
        <f t="shared" si="18"/>
        <v>0</v>
      </c>
      <c r="W15" s="199"/>
      <c r="X15" s="297">
        <f t="shared" si="19"/>
        <v>12069</v>
      </c>
      <c r="Y15" s="296" t="str">
        <f t="shared" si="7"/>
        <v>ok</v>
      </c>
      <c r="Z15" s="296">
        <f t="shared" si="8"/>
        <v>0</v>
      </c>
      <c r="AA15" s="296">
        <f t="shared" si="20"/>
        <v>0</v>
      </c>
      <c r="AB15" s="296">
        <f t="shared" si="21"/>
        <v>0</v>
      </c>
      <c r="AC15" s="296">
        <f t="shared" si="22"/>
        <v>0</v>
      </c>
      <c r="AD15" s="74">
        <f>ELEC!Q15</f>
        <v>0</v>
      </c>
      <c r="AE15" s="74" t="e">
        <f t="shared" si="24"/>
        <v>#DIV/0!</v>
      </c>
      <c r="AF15" s="415" t="e">
        <f t="shared" si="25"/>
        <v>#DIV/0!</v>
      </c>
      <c r="AG15" s="416" t="e">
        <f t="shared" si="26"/>
        <v>#DIV/0!</v>
      </c>
      <c r="AH15" s="416" t="e">
        <f t="shared" si="23"/>
        <v>#DIV/0!</v>
      </c>
      <c r="AI15" s="74">
        <f t="shared" si="27"/>
        <v>0</v>
      </c>
      <c r="AJ15" s="298">
        <f t="shared" si="9"/>
        <v>0.25738396624472576</v>
      </c>
      <c r="AK15" s="298">
        <f t="shared" si="29"/>
        <v>0</v>
      </c>
    </row>
    <row r="16" spans="1:37">
      <c r="A16" s="4">
        <f>ELEC!C16</f>
        <v>43996</v>
      </c>
      <c r="B16" s="276">
        <f t="shared" si="28"/>
        <v>8672</v>
      </c>
      <c r="C16" s="296">
        <f t="shared" si="11"/>
        <v>0</v>
      </c>
      <c r="D16" s="276">
        <f t="shared" si="28"/>
        <v>156438</v>
      </c>
      <c r="E16" s="296">
        <f t="shared" si="12"/>
        <v>0</v>
      </c>
      <c r="F16" s="296">
        <f t="shared" si="0"/>
        <v>0</v>
      </c>
      <c r="G16" s="199"/>
      <c r="H16" s="297">
        <f t="shared" si="13"/>
        <v>8770</v>
      </c>
      <c r="I16" s="296" t="str">
        <f t="shared" si="1"/>
        <v>ok</v>
      </c>
      <c r="J16" s="276">
        <f t="shared" si="14"/>
        <v>10698</v>
      </c>
      <c r="K16" s="296">
        <f t="shared" si="2"/>
        <v>0</v>
      </c>
      <c r="L16" s="276">
        <f t="shared" si="14"/>
        <v>238479</v>
      </c>
      <c r="M16" s="296">
        <f t="shared" si="3"/>
        <v>0</v>
      </c>
      <c r="N16" s="296">
        <f t="shared" si="15"/>
        <v>0</v>
      </c>
      <c r="O16" s="199"/>
      <c r="P16" s="297">
        <f t="shared" si="16"/>
        <v>10873</v>
      </c>
      <c r="Q16" s="296" t="str">
        <f t="shared" si="4"/>
        <v>ok</v>
      </c>
      <c r="R16" s="276">
        <f t="shared" si="17"/>
        <v>11221</v>
      </c>
      <c r="S16" s="529">
        <f t="shared" si="5"/>
        <v>0</v>
      </c>
      <c r="T16" s="276">
        <f t="shared" si="17"/>
        <v>258169</v>
      </c>
      <c r="U16" s="296">
        <f t="shared" si="6"/>
        <v>0</v>
      </c>
      <c r="V16" s="296">
        <f t="shared" si="18"/>
        <v>0</v>
      </c>
      <c r="W16" s="199"/>
      <c r="X16" s="297">
        <f t="shared" si="19"/>
        <v>12069</v>
      </c>
      <c r="Y16" s="296" t="str">
        <f t="shared" si="7"/>
        <v>ok</v>
      </c>
      <c r="Z16" s="296">
        <f t="shared" si="8"/>
        <v>0</v>
      </c>
      <c r="AA16" s="296">
        <f t="shared" si="20"/>
        <v>0</v>
      </c>
      <c r="AB16" s="296">
        <f t="shared" si="21"/>
        <v>0</v>
      </c>
      <c r="AC16" s="296">
        <f t="shared" si="22"/>
        <v>0</v>
      </c>
      <c r="AD16" s="74">
        <f>ELEC!Q16</f>
        <v>0</v>
      </c>
      <c r="AE16" s="74" t="e">
        <f t="shared" si="24"/>
        <v>#DIV/0!</v>
      </c>
      <c r="AF16" s="415" t="e">
        <f t="shared" si="25"/>
        <v>#DIV/0!</v>
      </c>
      <c r="AG16" s="416" t="e">
        <f t="shared" si="26"/>
        <v>#DIV/0!</v>
      </c>
      <c r="AH16" s="416" t="e">
        <f t="shared" si="23"/>
        <v>#DIV/0!</v>
      </c>
      <c r="AI16" s="74">
        <f t="shared" si="27"/>
        <v>0</v>
      </c>
      <c r="AJ16" s="298">
        <f t="shared" si="9"/>
        <v>0.25738396624472576</v>
      </c>
      <c r="AK16" s="298">
        <f t="shared" si="29"/>
        <v>0</v>
      </c>
    </row>
    <row r="17" spans="1:37">
      <c r="A17" s="4">
        <f>ELEC!C17</f>
        <v>43997</v>
      </c>
      <c r="B17" s="276">
        <f t="shared" si="28"/>
        <v>8672</v>
      </c>
      <c r="C17" s="296">
        <f t="shared" si="11"/>
        <v>0</v>
      </c>
      <c r="D17" s="276">
        <f t="shared" si="28"/>
        <v>156438</v>
      </c>
      <c r="E17" s="296">
        <f t="shared" si="12"/>
        <v>0</v>
      </c>
      <c r="F17" s="296">
        <f t="shared" si="0"/>
        <v>0</v>
      </c>
      <c r="G17" s="199"/>
      <c r="H17" s="297">
        <f t="shared" si="13"/>
        <v>8770</v>
      </c>
      <c r="I17" s="296" t="str">
        <f t="shared" si="1"/>
        <v>ok</v>
      </c>
      <c r="J17" s="276">
        <f t="shared" si="14"/>
        <v>10698</v>
      </c>
      <c r="K17" s="296">
        <f t="shared" si="2"/>
        <v>0</v>
      </c>
      <c r="L17" s="276">
        <f t="shared" si="14"/>
        <v>238479</v>
      </c>
      <c r="M17" s="296">
        <f t="shared" si="3"/>
        <v>0</v>
      </c>
      <c r="N17" s="296">
        <f t="shared" si="15"/>
        <v>0</v>
      </c>
      <c r="O17" s="199"/>
      <c r="P17" s="297">
        <f t="shared" si="16"/>
        <v>10873</v>
      </c>
      <c r="Q17" s="296" t="str">
        <f t="shared" si="4"/>
        <v>ok</v>
      </c>
      <c r="R17" s="276">
        <f t="shared" si="17"/>
        <v>11221</v>
      </c>
      <c r="S17" s="530">
        <f t="shared" si="5"/>
        <v>0</v>
      </c>
      <c r="T17" s="276">
        <f t="shared" si="17"/>
        <v>258169</v>
      </c>
      <c r="U17" s="296">
        <f t="shared" si="6"/>
        <v>0</v>
      </c>
      <c r="V17" s="296">
        <f t="shared" si="18"/>
        <v>0</v>
      </c>
      <c r="W17" s="199"/>
      <c r="X17" s="297">
        <f t="shared" si="19"/>
        <v>12069</v>
      </c>
      <c r="Y17" s="296" t="str">
        <f t="shared" si="7"/>
        <v>ok</v>
      </c>
      <c r="Z17" s="296">
        <f t="shared" si="8"/>
        <v>0</v>
      </c>
      <c r="AA17" s="296">
        <f t="shared" si="20"/>
        <v>0</v>
      </c>
      <c r="AB17" s="296">
        <f t="shared" si="21"/>
        <v>0</v>
      </c>
      <c r="AC17" s="296">
        <f t="shared" si="22"/>
        <v>0</v>
      </c>
      <c r="AD17" s="74">
        <f>ELEC!Q17</f>
        <v>0</v>
      </c>
      <c r="AE17" s="74" t="e">
        <f t="shared" si="24"/>
        <v>#DIV/0!</v>
      </c>
      <c r="AF17" s="415" t="e">
        <f t="shared" si="25"/>
        <v>#DIV/0!</v>
      </c>
      <c r="AG17" s="416" t="e">
        <f t="shared" si="26"/>
        <v>#DIV/0!</v>
      </c>
      <c r="AH17" s="416" t="e">
        <f t="shared" si="23"/>
        <v>#DIV/0!</v>
      </c>
      <c r="AI17" s="74">
        <f t="shared" si="27"/>
        <v>0</v>
      </c>
      <c r="AJ17" s="298">
        <f t="shared" si="9"/>
        <v>0.25738396624472576</v>
      </c>
      <c r="AK17" s="298">
        <f t="shared" ref="AK17:AK32" si="30">IF(Z17&gt;0,AI17/Z17,0)</f>
        <v>0</v>
      </c>
    </row>
    <row r="18" spans="1:37">
      <c r="A18" s="4">
        <f>ELEC!C18</f>
        <v>43998</v>
      </c>
      <c r="B18" s="276">
        <f t="shared" si="28"/>
        <v>8672</v>
      </c>
      <c r="C18" s="296">
        <f t="shared" si="11"/>
        <v>0</v>
      </c>
      <c r="D18" s="276">
        <f t="shared" si="28"/>
        <v>156438</v>
      </c>
      <c r="E18" s="296">
        <f t="shared" si="12"/>
        <v>0</v>
      </c>
      <c r="F18" s="296">
        <f t="shared" si="0"/>
        <v>0</v>
      </c>
      <c r="G18" s="199"/>
      <c r="H18" s="297">
        <f t="shared" si="13"/>
        <v>8770</v>
      </c>
      <c r="I18" s="296" t="str">
        <f t="shared" si="1"/>
        <v>ok</v>
      </c>
      <c r="J18" s="276">
        <f t="shared" si="14"/>
        <v>10698</v>
      </c>
      <c r="K18" s="296">
        <f t="shared" si="2"/>
        <v>0</v>
      </c>
      <c r="L18" s="276">
        <f t="shared" si="14"/>
        <v>238479</v>
      </c>
      <c r="M18" s="296">
        <f t="shared" si="3"/>
        <v>0</v>
      </c>
      <c r="N18" s="296">
        <f t="shared" si="15"/>
        <v>0</v>
      </c>
      <c r="O18" s="199"/>
      <c r="P18" s="297">
        <f t="shared" si="16"/>
        <v>10873</v>
      </c>
      <c r="Q18" s="296" t="str">
        <f>IF(J18-P14&lt;=0,"ok","oil change")</f>
        <v>ok</v>
      </c>
      <c r="R18" s="276">
        <f t="shared" si="17"/>
        <v>11221</v>
      </c>
      <c r="S18" s="296">
        <f t="shared" si="5"/>
        <v>0</v>
      </c>
      <c r="T18" s="276">
        <f t="shared" si="17"/>
        <v>258169</v>
      </c>
      <c r="U18" s="296">
        <f t="shared" si="6"/>
        <v>0</v>
      </c>
      <c r="V18" s="296">
        <f t="shared" si="18"/>
        <v>0</v>
      </c>
      <c r="W18" s="347"/>
      <c r="X18" s="297">
        <f t="shared" si="19"/>
        <v>12069</v>
      </c>
      <c r="Y18" s="296" t="str">
        <f t="shared" si="7"/>
        <v>ok</v>
      </c>
      <c r="Z18" s="296">
        <f t="shared" si="8"/>
        <v>0</v>
      </c>
      <c r="AA18" s="296">
        <f t="shared" si="20"/>
        <v>0</v>
      </c>
      <c r="AB18" s="296">
        <f t="shared" si="21"/>
        <v>0</v>
      </c>
      <c r="AC18" s="296">
        <f t="shared" si="22"/>
        <v>0</v>
      </c>
      <c r="AD18" s="74">
        <f>ELEC!Q18</f>
        <v>0</v>
      </c>
      <c r="AE18" s="74" t="e">
        <f t="shared" si="24"/>
        <v>#DIV/0!</v>
      </c>
      <c r="AF18" s="415" t="e">
        <f t="shared" si="25"/>
        <v>#DIV/0!</v>
      </c>
      <c r="AG18" s="416" t="e">
        <f t="shared" si="26"/>
        <v>#DIV/0!</v>
      </c>
      <c r="AH18" s="416" t="e">
        <f t="shared" si="23"/>
        <v>#DIV/0!</v>
      </c>
      <c r="AI18" s="74">
        <f t="shared" si="27"/>
        <v>0</v>
      </c>
      <c r="AJ18" s="298">
        <f t="shared" si="9"/>
        <v>0.25738396624472576</v>
      </c>
      <c r="AK18" s="298">
        <f t="shared" si="30"/>
        <v>0</v>
      </c>
    </row>
    <row r="19" spans="1:37">
      <c r="A19" s="4">
        <f>ELEC!C19</f>
        <v>43999</v>
      </c>
      <c r="B19" s="276">
        <f t="shared" si="28"/>
        <v>8672</v>
      </c>
      <c r="C19" s="296">
        <f t="shared" si="11"/>
        <v>0</v>
      </c>
      <c r="D19" s="276">
        <f t="shared" si="28"/>
        <v>156438</v>
      </c>
      <c r="E19" s="296">
        <f t="shared" si="12"/>
        <v>0</v>
      </c>
      <c r="F19" s="296">
        <f t="shared" si="0"/>
        <v>0</v>
      </c>
      <c r="G19" s="199"/>
      <c r="H19" s="297">
        <f t="shared" si="13"/>
        <v>8770</v>
      </c>
      <c r="I19" s="296" t="str">
        <f t="shared" si="1"/>
        <v>ok</v>
      </c>
      <c r="J19" s="276">
        <f t="shared" si="14"/>
        <v>10698</v>
      </c>
      <c r="K19" s="296">
        <f t="shared" si="2"/>
        <v>0</v>
      </c>
      <c r="L19" s="276">
        <f t="shared" si="14"/>
        <v>238479</v>
      </c>
      <c r="M19" s="296">
        <f t="shared" si="3"/>
        <v>0</v>
      </c>
      <c r="N19" s="296">
        <f t="shared" si="15"/>
        <v>0</v>
      </c>
      <c r="O19" s="199"/>
      <c r="P19" s="297">
        <f t="shared" si="16"/>
        <v>10873</v>
      </c>
      <c r="Q19" s="296" t="str">
        <f t="shared" ref="Q19:Q32" si="31">IF(J19-P19&lt;=0,"ok","oil change")</f>
        <v>ok</v>
      </c>
      <c r="R19" s="276">
        <f t="shared" si="17"/>
        <v>11221</v>
      </c>
      <c r="S19" s="296">
        <f t="shared" si="5"/>
        <v>0</v>
      </c>
      <c r="T19" s="276">
        <f t="shared" si="17"/>
        <v>258169</v>
      </c>
      <c r="U19" s="296">
        <f t="shared" si="6"/>
        <v>0</v>
      </c>
      <c r="V19" s="296">
        <f t="shared" si="18"/>
        <v>0</v>
      </c>
      <c r="W19" s="199"/>
      <c r="X19" s="297">
        <f t="shared" si="19"/>
        <v>12069</v>
      </c>
      <c r="Y19" s="296" t="str">
        <f t="shared" si="7"/>
        <v>ok</v>
      </c>
      <c r="Z19" s="296">
        <f t="shared" si="8"/>
        <v>0</v>
      </c>
      <c r="AA19" s="296">
        <f t="shared" si="20"/>
        <v>0</v>
      </c>
      <c r="AB19" s="296">
        <f t="shared" si="21"/>
        <v>0</v>
      </c>
      <c r="AC19" s="296">
        <f t="shared" si="22"/>
        <v>0</v>
      </c>
      <c r="AD19" s="74">
        <f>ELEC!Q19</f>
        <v>0</v>
      </c>
      <c r="AE19" s="74" t="e">
        <f t="shared" si="24"/>
        <v>#DIV/0!</v>
      </c>
      <c r="AF19" s="415" t="e">
        <f t="shared" si="25"/>
        <v>#DIV/0!</v>
      </c>
      <c r="AG19" s="416" t="e">
        <f t="shared" si="26"/>
        <v>#DIV/0!</v>
      </c>
      <c r="AH19" s="416" t="e">
        <f t="shared" si="23"/>
        <v>#DIV/0!</v>
      </c>
      <c r="AI19" s="74">
        <f t="shared" si="27"/>
        <v>0</v>
      </c>
      <c r="AJ19" s="298">
        <f t="shared" si="9"/>
        <v>0.25738396624472576</v>
      </c>
      <c r="AK19" s="298">
        <f t="shared" si="30"/>
        <v>0</v>
      </c>
    </row>
    <row r="20" spans="1:37">
      <c r="A20" s="4">
        <f>ELEC!C20</f>
        <v>44000</v>
      </c>
      <c r="B20" s="276">
        <f t="shared" si="28"/>
        <v>8672</v>
      </c>
      <c r="C20" s="296">
        <f>B20-B19</f>
        <v>0</v>
      </c>
      <c r="D20" s="276">
        <f t="shared" si="28"/>
        <v>156438</v>
      </c>
      <c r="E20" s="296">
        <f t="shared" si="12"/>
        <v>0</v>
      </c>
      <c r="F20" s="296">
        <f t="shared" si="0"/>
        <v>0</v>
      </c>
      <c r="G20" s="199"/>
      <c r="H20" s="297">
        <f t="shared" si="13"/>
        <v>8770</v>
      </c>
      <c r="I20" s="296" t="str">
        <f t="shared" si="1"/>
        <v>ok</v>
      </c>
      <c r="J20" s="276">
        <f t="shared" si="14"/>
        <v>10698</v>
      </c>
      <c r="K20" s="296">
        <f t="shared" si="2"/>
        <v>0</v>
      </c>
      <c r="L20" s="276">
        <f t="shared" si="14"/>
        <v>238479</v>
      </c>
      <c r="M20" s="296">
        <f t="shared" si="3"/>
        <v>0</v>
      </c>
      <c r="N20" s="296">
        <f t="shared" si="15"/>
        <v>0</v>
      </c>
      <c r="O20" s="199"/>
      <c r="P20" s="297">
        <f t="shared" si="16"/>
        <v>10873</v>
      </c>
      <c r="Q20" s="296" t="str">
        <f t="shared" si="31"/>
        <v>ok</v>
      </c>
      <c r="R20" s="276">
        <f t="shared" si="17"/>
        <v>11221</v>
      </c>
      <c r="S20" s="296">
        <f t="shared" si="5"/>
        <v>0</v>
      </c>
      <c r="T20" s="276">
        <f t="shared" si="17"/>
        <v>258169</v>
      </c>
      <c r="U20" s="296">
        <f t="shared" ref="U20:U32" si="32">SUM(T20-T19)</f>
        <v>0</v>
      </c>
      <c r="V20" s="296">
        <f t="shared" si="18"/>
        <v>0</v>
      </c>
      <c r="W20" s="199"/>
      <c r="X20" s="297">
        <f t="shared" si="19"/>
        <v>12069</v>
      </c>
      <c r="Y20" s="296" t="str">
        <f t="shared" si="7"/>
        <v>ok</v>
      </c>
      <c r="Z20" s="296">
        <f t="shared" si="8"/>
        <v>0</v>
      </c>
      <c r="AA20" s="296">
        <f t="shared" si="20"/>
        <v>0</v>
      </c>
      <c r="AB20" s="296">
        <f t="shared" si="21"/>
        <v>0</v>
      </c>
      <c r="AC20" s="296">
        <f t="shared" si="22"/>
        <v>0</v>
      </c>
      <c r="AD20" s="74">
        <f>ELEC!Q20</f>
        <v>0</v>
      </c>
      <c r="AE20" s="74" t="e">
        <f t="shared" si="24"/>
        <v>#DIV/0!</v>
      </c>
      <c r="AF20" s="415" t="e">
        <f t="shared" si="25"/>
        <v>#DIV/0!</v>
      </c>
      <c r="AG20" s="416" t="e">
        <f t="shared" si="26"/>
        <v>#DIV/0!</v>
      </c>
      <c r="AH20" s="416" t="e">
        <f t="shared" si="23"/>
        <v>#DIV/0!</v>
      </c>
      <c r="AI20" s="74">
        <f>AD20*AJ20</f>
        <v>0</v>
      </c>
      <c r="AJ20" s="298">
        <f t="shared" si="9"/>
        <v>0.25738396624472576</v>
      </c>
      <c r="AK20" s="298">
        <f t="shared" si="30"/>
        <v>0</v>
      </c>
    </row>
    <row r="21" spans="1:37">
      <c r="A21" s="4">
        <f>ELEC!C21</f>
        <v>44001</v>
      </c>
      <c r="B21" s="276">
        <f t="shared" si="28"/>
        <v>8672</v>
      </c>
      <c r="C21" s="296">
        <f t="shared" si="11"/>
        <v>0</v>
      </c>
      <c r="D21" s="276">
        <f t="shared" si="28"/>
        <v>156438</v>
      </c>
      <c r="E21" s="296">
        <f t="shared" si="12"/>
        <v>0</v>
      </c>
      <c r="F21" s="296">
        <f t="shared" si="0"/>
        <v>0</v>
      </c>
      <c r="G21" s="199"/>
      <c r="H21" s="297">
        <f t="shared" si="13"/>
        <v>8770</v>
      </c>
      <c r="I21" s="296" t="str">
        <f t="shared" si="1"/>
        <v>ok</v>
      </c>
      <c r="J21" s="276">
        <f t="shared" si="14"/>
        <v>10698</v>
      </c>
      <c r="K21" s="296">
        <f t="shared" si="2"/>
        <v>0</v>
      </c>
      <c r="L21" s="276">
        <f t="shared" si="14"/>
        <v>238479</v>
      </c>
      <c r="M21" s="296">
        <f t="shared" si="3"/>
        <v>0</v>
      </c>
      <c r="N21" s="296">
        <f t="shared" si="15"/>
        <v>0</v>
      </c>
      <c r="O21" s="199"/>
      <c r="P21" s="297">
        <f t="shared" si="16"/>
        <v>10873</v>
      </c>
      <c r="Q21" s="296" t="str">
        <f t="shared" si="31"/>
        <v>ok</v>
      </c>
      <c r="R21" s="276">
        <f t="shared" si="17"/>
        <v>11221</v>
      </c>
      <c r="S21" s="296">
        <f t="shared" si="5"/>
        <v>0</v>
      </c>
      <c r="T21" s="276">
        <f t="shared" si="17"/>
        <v>258169</v>
      </c>
      <c r="U21" s="296">
        <f t="shared" si="32"/>
        <v>0</v>
      </c>
      <c r="V21" s="296">
        <f t="shared" si="18"/>
        <v>0</v>
      </c>
      <c r="W21" s="199"/>
      <c r="X21" s="297">
        <f t="shared" si="19"/>
        <v>12069</v>
      </c>
      <c r="Y21" s="296" t="str">
        <f>Y20</f>
        <v>ok</v>
      </c>
      <c r="Z21" s="296">
        <f t="shared" si="8"/>
        <v>0</v>
      </c>
      <c r="AA21" s="296">
        <f t="shared" si="20"/>
        <v>0</v>
      </c>
      <c r="AB21" s="296">
        <f t="shared" si="21"/>
        <v>0</v>
      </c>
      <c r="AC21" s="296">
        <f t="shared" si="22"/>
        <v>0</v>
      </c>
      <c r="AD21" s="74">
        <f>ELEC!Q21</f>
        <v>0</v>
      </c>
      <c r="AE21" s="74" t="e">
        <f t="shared" si="24"/>
        <v>#DIV/0!</v>
      </c>
      <c r="AF21" s="415" t="e">
        <f t="shared" si="25"/>
        <v>#DIV/0!</v>
      </c>
      <c r="AG21" s="416" t="e">
        <f t="shared" si="26"/>
        <v>#DIV/0!</v>
      </c>
      <c r="AH21" s="416" t="e">
        <f t="shared" si="23"/>
        <v>#DIV/0!</v>
      </c>
      <c r="AI21" s="74">
        <f t="shared" si="27"/>
        <v>0</v>
      </c>
      <c r="AJ21" s="298">
        <f t="shared" si="9"/>
        <v>0.25738396624472576</v>
      </c>
      <c r="AK21" s="298">
        <f t="shared" si="30"/>
        <v>0</v>
      </c>
    </row>
    <row r="22" spans="1:37">
      <c r="A22" s="4">
        <f>ELEC!C22</f>
        <v>44002</v>
      </c>
      <c r="B22" s="276">
        <f t="shared" si="28"/>
        <v>8672</v>
      </c>
      <c r="C22" s="296">
        <f t="shared" si="11"/>
        <v>0</v>
      </c>
      <c r="D22" s="276">
        <f t="shared" si="28"/>
        <v>156438</v>
      </c>
      <c r="E22" s="296">
        <f t="shared" si="12"/>
        <v>0</v>
      </c>
      <c r="F22" s="296">
        <f t="shared" si="0"/>
        <v>0</v>
      </c>
      <c r="G22" s="199"/>
      <c r="H22" s="297">
        <f t="shared" si="13"/>
        <v>8770</v>
      </c>
      <c r="I22" s="296" t="str">
        <f t="shared" si="1"/>
        <v>ok</v>
      </c>
      <c r="J22" s="276">
        <f t="shared" si="14"/>
        <v>10698</v>
      </c>
      <c r="K22" s="296">
        <f t="shared" si="2"/>
        <v>0</v>
      </c>
      <c r="L22" s="276">
        <f t="shared" si="14"/>
        <v>238479</v>
      </c>
      <c r="M22" s="296">
        <f t="shared" si="3"/>
        <v>0</v>
      </c>
      <c r="N22" s="296">
        <f t="shared" si="15"/>
        <v>0</v>
      </c>
      <c r="O22" s="199"/>
      <c r="P22" s="297">
        <f t="shared" si="16"/>
        <v>10873</v>
      </c>
      <c r="Q22" s="296" t="str">
        <f t="shared" si="31"/>
        <v>ok</v>
      </c>
      <c r="R22" s="276">
        <f t="shared" si="17"/>
        <v>11221</v>
      </c>
      <c r="S22" s="296">
        <f t="shared" si="5"/>
        <v>0</v>
      </c>
      <c r="T22" s="276">
        <f t="shared" si="17"/>
        <v>258169</v>
      </c>
      <c r="U22" s="296">
        <f t="shared" si="32"/>
        <v>0</v>
      </c>
      <c r="V22" s="296">
        <f t="shared" si="18"/>
        <v>0</v>
      </c>
      <c r="W22" s="199"/>
      <c r="X22" s="297">
        <f t="shared" si="19"/>
        <v>12069</v>
      </c>
      <c r="Y22" s="296" t="str">
        <f t="shared" ref="Y22:Y32" si="33">IF(R22-X22&lt;=0,"ok","oil change")</f>
        <v>ok</v>
      </c>
      <c r="Z22" s="296">
        <f t="shared" si="8"/>
        <v>0</v>
      </c>
      <c r="AA22" s="296">
        <f t="shared" si="20"/>
        <v>0</v>
      </c>
      <c r="AB22" s="296">
        <f t="shared" si="21"/>
        <v>0</v>
      </c>
      <c r="AC22" s="296">
        <f t="shared" si="22"/>
        <v>0</v>
      </c>
      <c r="AD22" s="74">
        <f>ELEC!Q22</f>
        <v>0</v>
      </c>
      <c r="AE22" s="74" t="e">
        <f t="shared" si="24"/>
        <v>#DIV/0!</v>
      </c>
      <c r="AF22" s="415" t="e">
        <f t="shared" si="25"/>
        <v>#DIV/0!</v>
      </c>
      <c r="AG22" s="416" t="e">
        <f t="shared" si="26"/>
        <v>#DIV/0!</v>
      </c>
      <c r="AH22" s="416" t="e">
        <f t="shared" si="23"/>
        <v>#DIV/0!</v>
      </c>
      <c r="AI22" s="74">
        <f t="shared" si="27"/>
        <v>0</v>
      </c>
      <c r="AJ22" s="298">
        <f t="shared" si="9"/>
        <v>0.25738396624472576</v>
      </c>
      <c r="AK22" s="298">
        <f t="shared" si="30"/>
        <v>0</v>
      </c>
    </row>
    <row r="23" spans="1:37">
      <c r="A23" s="4">
        <f>ELEC!C23</f>
        <v>44003</v>
      </c>
      <c r="B23" s="276">
        <f t="shared" si="28"/>
        <v>8672</v>
      </c>
      <c r="C23" s="296">
        <f t="shared" si="11"/>
        <v>0</v>
      </c>
      <c r="D23" s="276">
        <f t="shared" si="28"/>
        <v>156438</v>
      </c>
      <c r="E23" s="296">
        <f t="shared" si="12"/>
        <v>0</v>
      </c>
      <c r="F23" s="296">
        <f t="shared" si="0"/>
        <v>0</v>
      </c>
      <c r="G23" s="199"/>
      <c r="H23" s="297">
        <f t="shared" si="13"/>
        <v>8770</v>
      </c>
      <c r="I23" s="296" t="str">
        <f t="shared" si="1"/>
        <v>ok</v>
      </c>
      <c r="J23" s="276">
        <f t="shared" si="14"/>
        <v>10698</v>
      </c>
      <c r="K23" s="296">
        <f t="shared" si="2"/>
        <v>0</v>
      </c>
      <c r="L23" s="276">
        <f t="shared" si="14"/>
        <v>238479</v>
      </c>
      <c r="M23" s="296">
        <f t="shared" si="3"/>
        <v>0</v>
      </c>
      <c r="N23" s="296">
        <f t="shared" si="15"/>
        <v>0</v>
      </c>
      <c r="O23" s="199"/>
      <c r="P23" s="297">
        <f t="shared" si="16"/>
        <v>10873</v>
      </c>
      <c r="Q23" s="296" t="str">
        <f t="shared" si="31"/>
        <v>ok</v>
      </c>
      <c r="R23" s="276">
        <f t="shared" si="17"/>
        <v>11221</v>
      </c>
      <c r="S23" s="296">
        <f t="shared" si="5"/>
        <v>0</v>
      </c>
      <c r="T23" s="276">
        <f t="shared" si="17"/>
        <v>258169</v>
      </c>
      <c r="U23" s="296">
        <f t="shared" si="32"/>
        <v>0</v>
      </c>
      <c r="V23" s="296">
        <f t="shared" si="18"/>
        <v>0</v>
      </c>
      <c r="W23" s="199"/>
      <c r="X23" s="297">
        <f t="shared" si="19"/>
        <v>12069</v>
      </c>
      <c r="Y23" s="296" t="str">
        <f t="shared" si="33"/>
        <v>ok</v>
      </c>
      <c r="Z23" s="296">
        <f t="shared" si="8"/>
        <v>0</v>
      </c>
      <c r="AA23" s="296">
        <f t="shared" si="20"/>
        <v>0</v>
      </c>
      <c r="AB23" s="296">
        <f t="shared" si="21"/>
        <v>0</v>
      </c>
      <c r="AC23" s="296">
        <f t="shared" si="22"/>
        <v>0</v>
      </c>
      <c r="AD23" s="74">
        <f>ELEC!Q23</f>
        <v>0</v>
      </c>
      <c r="AE23" s="74" t="e">
        <f t="shared" si="24"/>
        <v>#DIV/0!</v>
      </c>
      <c r="AF23" s="415" t="e">
        <f t="shared" si="25"/>
        <v>#DIV/0!</v>
      </c>
      <c r="AG23" s="416" t="e">
        <f t="shared" si="26"/>
        <v>#DIV/0!</v>
      </c>
      <c r="AH23" s="416" t="e">
        <f t="shared" si="23"/>
        <v>#DIV/0!</v>
      </c>
      <c r="AI23" s="74">
        <f t="shared" si="27"/>
        <v>0</v>
      </c>
      <c r="AJ23" s="298">
        <f t="shared" si="9"/>
        <v>0.25738396624472576</v>
      </c>
      <c r="AK23" s="298">
        <f t="shared" si="30"/>
        <v>0</v>
      </c>
    </row>
    <row r="24" spans="1:37">
      <c r="A24" s="4">
        <f>ELEC!C24</f>
        <v>44004</v>
      </c>
      <c r="B24" s="276">
        <f t="shared" si="28"/>
        <v>8672</v>
      </c>
      <c r="C24" s="296">
        <f t="shared" si="11"/>
        <v>0</v>
      </c>
      <c r="D24" s="276">
        <f t="shared" si="28"/>
        <v>156438</v>
      </c>
      <c r="E24" s="296">
        <f t="shared" si="12"/>
        <v>0</v>
      </c>
      <c r="F24" s="296">
        <f t="shared" si="0"/>
        <v>0</v>
      </c>
      <c r="G24" s="199"/>
      <c r="H24" s="297">
        <f t="shared" si="13"/>
        <v>8770</v>
      </c>
      <c r="I24" s="296" t="str">
        <f t="shared" si="1"/>
        <v>ok</v>
      </c>
      <c r="J24" s="276">
        <f t="shared" si="14"/>
        <v>10698</v>
      </c>
      <c r="K24" s="296">
        <f t="shared" si="2"/>
        <v>0</v>
      </c>
      <c r="L24" s="276">
        <f t="shared" si="14"/>
        <v>238479</v>
      </c>
      <c r="M24" s="296">
        <f t="shared" si="3"/>
        <v>0</v>
      </c>
      <c r="N24" s="296">
        <f t="shared" si="15"/>
        <v>0</v>
      </c>
      <c r="O24" s="199"/>
      <c r="P24" s="297">
        <f>P23</f>
        <v>10873</v>
      </c>
      <c r="Q24" s="296" t="str">
        <f t="shared" si="31"/>
        <v>ok</v>
      </c>
      <c r="R24" s="276">
        <f t="shared" si="17"/>
        <v>11221</v>
      </c>
      <c r="S24" s="296">
        <f t="shared" si="5"/>
        <v>0</v>
      </c>
      <c r="T24" s="276">
        <f t="shared" si="17"/>
        <v>258169</v>
      </c>
      <c r="U24" s="296">
        <f t="shared" si="32"/>
        <v>0</v>
      </c>
      <c r="V24" s="296">
        <f t="shared" si="18"/>
        <v>0</v>
      </c>
      <c r="W24" s="199"/>
      <c r="X24" s="297">
        <f t="shared" si="19"/>
        <v>12069</v>
      </c>
      <c r="Y24" s="296" t="str">
        <f t="shared" si="33"/>
        <v>ok</v>
      </c>
      <c r="Z24" s="296">
        <f t="shared" si="8"/>
        <v>0</v>
      </c>
      <c r="AA24" s="296">
        <f t="shared" si="20"/>
        <v>0</v>
      </c>
      <c r="AB24" s="296">
        <f t="shared" si="21"/>
        <v>0</v>
      </c>
      <c r="AC24" s="296">
        <f t="shared" si="22"/>
        <v>0</v>
      </c>
      <c r="AD24" s="74">
        <f>ELEC!Q24</f>
        <v>0</v>
      </c>
      <c r="AE24" s="74" t="e">
        <f t="shared" si="24"/>
        <v>#DIV/0!</v>
      </c>
      <c r="AF24" s="415" t="e">
        <f t="shared" si="25"/>
        <v>#DIV/0!</v>
      </c>
      <c r="AG24" s="416" t="e">
        <f t="shared" si="26"/>
        <v>#DIV/0!</v>
      </c>
      <c r="AH24" s="416" t="e">
        <f t="shared" si="23"/>
        <v>#DIV/0!</v>
      </c>
      <c r="AI24" s="74">
        <f t="shared" si="27"/>
        <v>0</v>
      </c>
      <c r="AJ24" s="298">
        <f t="shared" si="9"/>
        <v>0.25738396624472576</v>
      </c>
      <c r="AK24" s="298">
        <f t="shared" si="30"/>
        <v>0</v>
      </c>
    </row>
    <row r="25" spans="1:37">
      <c r="A25" s="4">
        <f>ELEC!C25</f>
        <v>44005</v>
      </c>
      <c r="B25" s="276">
        <f t="shared" si="28"/>
        <v>8672</v>
      </c>
      <c r="C25" s="296">
        <f t="shared" si="11"/>
        <v>0</v>
      </c>
      <c r="D25" s="276">
        <f t="shared" si="28"/>
        <v>156438</v>
      </c>
      <c r="E25" s="296">
        <f t="shared" si="12"/>
        <v>0</v>
      </c>
      <c r="F25" s="296">
        <f t="shared" si="0"/>
        <v>0</v>
      </c>
      <c r="G25" s="199"/>
      <c r="H25" s="297">
        <v>8770</v>
      </c>
      <c r="I25" s="296" t="str">
        <f t="shared" si="1"/>
        <v>ok</v>
      </c>
      <c r="J25" s="276">
        <f t="shared" si="14"/>
        <v>10698</v>
      </c>
      <c r="K25" s="296">
        <f t="shared" si="2"/>
        <v>0</v>
      </c>
      <c r="L25" s="276">
        <f t="shared" si="14"/>
        <v>238479</v>
      </c>
      <c r="M25" s="296">
        <f t="shared" si="3"/>
        <v>0</v>
      </c>
      <c r="N25" s="296">
        <f t="shared" si="15"/>
        <v>0</v>
      </c>
      <c r="O25" s="199"/>
      <c r="P25" s="297">
        <f t="shared" si="16"/>
        <v>10873</v>
      </c>
      <c r="Q25" s="296" t="str">
        <f t="shared" si="31"/>
        <v>ok</v>
      </c>
      <c r="R25" s="276">
        <f t="shared" si="17"/>
        <v>11221</v>
      </c>
      <c r="S25" s="296">
        <f t="shared" si="5"/>
        <v>0</v>
      </c>
      <c r="T25" s="276">
        <f t="shared" si="17"/>
        <v>258169</v>
      </c>
      <c r="U25" s="296">
        <f t="shared" si="32"/>
        <v>0</v>
      </c>
      <c r="V25" s="296">
        <f t="shared" si="18"/>
        <v>0</v>
      </c>
      <c r="W25" s="199"/>
      <c r="X25" s="297">
        <f t="shared" si="19"/>
        <v>12069</v>
      </c>
      <c r="Y25" s="296" t="str">
        <f t="shared" si="33"/>
        <v>ok</v>
      </c>
      <c r="Z25" s="296">
        <f t="shared" si="8"/>
        <v>0</v>
      </c>
      <c r="AA25" s="296">
        <f t="shared" si="20"/>
        <v>0</v>
      </c>
      <c r="AB25" s="296">
        <f t="shared" si="21"/>
        <v>0</v>
      </c>
      <c r="AC25" s="296">
        <f t="shared" si="22"/>
        <v>0</v>
      </c>
      <c r="AD25" s="74">
        <f>ELEC!Q25</f>
        <v>0</v>
      </c>
      <c r="AE25" s="74" t="e">
        <f t="shared" si="24"/>
        <v>#DIV/0!</v>
      </c>
      <c r="AF25" s="415" t="e">
        <f t="shared" si="25"/>
        <v>#DIV/0!</v>
      </c>
      <c r="AG25" s="416" t="e">
        <f t="shared" si="26"/>
        <v>#DIV/0!</v>
      </c>
      <c r="AH25" s="416" t="e">
        <f t="shared" si="23"/>
        <v>#DIV/0!</v>
      </c>
      <c r="AI25" s="74">
        <f t="shared" si="27"/>
        <v>0</v>
      </c>
      <c r="AJ25" s="298">
        <f t="shared" si="9"/>
        <v>0.25738396624472576</v>
      </c>
      <c r="AK25" s="298">
        <f t="shared" si="30"/>
        <v>0</v>
      </c>
    </row>
    <row r="26" spans="1:37">
      <c r="A26" s="4">
        <f>ELEC!C26</f>
        <v>44006</v>
      </c>
      <c r="B26" s="276">
        <f t="shared" si="28"/>
        <v>8672</v>
      </c>
      <c r="C26" s="296">
        <f t="shared" si="11"/>
        <v>0</v>
      </c>
      <c r="D26" s="276">
        <f t="shared" si="28"/>
        <v>156438</v>
      </c>
      <c r="E26" s="296">
        <f t="shared" si="12"/>
        <v>0</v>
      </c>
      <c r="F26" s="296">
        <f t="shared" si="0"/>
        <v>0</v>
      </c>
      <c r="G26" s="199"/>
      <c r="H26" s="297">
        <f t="shared" si="13"/>
        <v>8770</v>
      </c>
      <c r="I26" s="296" t="str">
        <f t="shared" si="1"/>
        <v>ok</v>
      </c>
      <c r="J26" s="276">
        <f t="shared" si="14"/>
        <v>10698</v>
      </c>
      <c r="K26" s="296">
        <f t="shared" si="2"/>
        <v>0</v>
      </c>
      <c r="L26" s="276">
        <f t="shared" si="14"/>
        <v>238479</v>
      </c>
      <c r="M26" s="296">
        <f t="shared" si="3"/>
        <v>0</v>
      </c>
      <c r="N26" s="296">
        <f t="shared" si="15"/>
        <v>0</v>
      </c>
      <c r="O26" s="199"/>
      <c r="P26" s="297">
        <f t="shared" si="16"/>
        <v>10873</v>
      </c>
      <c r="Q26" s="296" t="str">
        <f t="shared" si="31"/>
        <v>ok</v>
      </c>
      <c r="R26" s="276">
        <f t="shared" si="17"/>
        <v>11221</v>
      </c>
      <c r="S26" s="296">
        <f t="shared" si="5"/>
        <v>0</v>
      </c>
      <c r="T26" s="276">
        <f t="shared" si="17"/>
        <v>258169</v>
      </c>
      <c r="U26" s="296">
        <f t="shared" si="32"/>
        <v>0</v>
      </c>
      <c r="V26" s="296">
        <f t="shared" si="18"/>
        <v>0</v>
      </c>
      <c r="W26" s="199"/>
      <c r="X26" s="297">
        <f t="shared" si="19"/>
        <v>12069</v>
      </c>
      <c r="Y26" s="296" t="str">
        <f t="shared" si="33"/>
        <v>ok</v>
      </c>
      <c r="Z26" s="296">
        <f t="shared" si="8"/>
        <v>0</v>
      </c>
      <c r="AA26" s="296">
        <f t="shared" si="20"/>
        <v>0</v>
      </c>
      <c r="AB26" s="296">
        <f t="shared" si="21"/>
        <v>0</v>
      </c>
      <c r="AC26" s="296">
        <f t="shared" si="22"/>
        <v>0</v>
      </c>
      <c r="AD26" s="74">
        <f>ELEC!Q26</f>
        <v>0</v>
      </c>
      <c r="AE26" s="74" t="e">
        <f t="shared" si="24"/>
        <v>#DIV/0!</v>
      </c>
      <c r="AF26" s="415" t="e">
        <f t="shared" si="25"/>
        <v>#DIV/0!</v>
      </c>
      <c r="AG26" s="416" t="e">
        <f t="shared" si="26"/>
        <v>#DIV/0!</v>
      </c>
      <c r="AH26" s="416" t="e">
        <f t="shared" si="23"/>
        <v>#DIV/0!</v>
      </c>
      <c r="AI26" s="74">
        <f t="shared" si="27"/>
        <v>0</v>
      </c>
      <c r="AJ26" s="298">
        <f t="shared" si="9"/>
        <v>0.25738396624472576</v>
      </c>
      <c r="AK26" s="298">
        <f t="shared" si="30"/>
        <v>0</v>
      </c>
    </row>
    <row r="27" spans="1:37">
      <c r="A27" s="4">
        <f>ELEC!C27</f>
        <v>44007</v>
      </c>
      <c r="B27" s="276">
        <f t="shared" si="28"/>
        <v>8672</v>
      </c>
      <c r="C27" s="296">
        <f t="shared" si="11"/>
        <v>0</v>
      </c>
      <c r="D27" s="276">
        <f t="shared" si="28"/>
        <v>156438</v>
      </c>
      <c r="E27" s="296">
        <f t="shared" si="12"/>
        <v>0</v>
      </c>
      <c r="F27" s="296">
        <f t="shared" si="0"/>
        <v>0</v>
      </c>
      <c r="G27" s="199"/>
      <c r="H27" s="297">
        <f t="shared" si="13"/>
        <v>8770</v>
      </c>
      <c r="I27" s="296" t="str">
        <f>IF(B27-H27&lt;=0,"ok","oil change")</f>
        <v>ok</v>
      </c>
      <c r="J27" s="276">
        <f t="shared" si="14"/>
        <v>10698</v>
      </c>
      <c r="K27" s="296">
        <f t="shared" si="2"/>
        <v>0</v>
      </c>
      <c r="L27" s="276">
        <f t="shared" si="14"/>
        <v>238479</v>
      </c>
      <c r="M27" s="296">
        <f t="shared" si="3"/>
        <v>0</v>
      </c>
      <c r="N27" s="296">
        <f t="shared" si="15"/>
        <v>0</v>
      </c>
      <c r="O27" s="199"/>
      <c r="P27" s="297">
        <f t="shared" si="16"/>
        <v>10873</v>
      </c>
      <c r="Q27" s="296" t="str">
        <f t="shared" si="31"/>
        <v>ok</v>
      </c>
      <c r="R27" s="276">
        <f t="shared" si="17"/>
        <v>11221</v>
      </c>
      <c r="S27" s="296">
        <f t="shared" si="5"/>
        <v>0</v>
      </c>
      <c r="T27" s="276">
        <f t="shared" si="17"/>
        <v>258169</v>
      </c>
      <c r="U27" s="296">
        <f t="shared" si="32"/>
        <v>0</v>
      </c>
      <c r="V27" s="296">
        <f t="shared" si="18"/>
        <v>0</v>
      </c>
      <c r="W27" s="199"/>
      <c r="X27" s="297">
        <f t="shared" si="19"/>
        <v>12069</v>
      </c>
      <c r="Y27" s="296" t="str">
        <f t="shared" si="33"/>
        <v>ok</v>
      </c>
      <c r="Z27" s="296">
        <f t="shared" si="8"/>
        <v>0</v>
      </c>
      <c r="AA27" s="296">
        <f t="shared" si="20"/>
        <v>0</v>
      </c>
      <c r="AB27" s="296">
        <f t="shared" si="21"/>
        <v>0</v>
      </c>
      <c r="AC27" s="296">
        <f t="shared" si="22"/>
        <v>0</v>
      </c>
      <c r="AD27" s="74">
        <f>ELEC!Q27</f>
        <v>0</v>
      </c>
      <c r="AE27" s="74" t="e">
        <f t="shared" si="24"/>
        <v>#DIV/0!</v>
      </c>
      <c r="AF27" s="415" t="e">
        <f t="shared" si="25"/>
        <v>#DIV/0!</v>
      </c>
      <c r="AG27" s="416" t="e">
        <f t="shared" si="26"/>
        <v>#DIV/0!</v>
      </c>
      <c r="AH27" s="416" t="e">
        <f t="shared" si="23"/>
        <v>#DIV/0!</v>
      </c>
      <c r="AI27" s="74">
        <f t="shared" si="27"/>
        <v>0</v>
      </c>
      <c r="AJ27" s="298">
        <f t="shared" si="9"/>
        <v>0.25738396624472576</v>
      </c>
      <c r="AK27" s="298">
        <f t="shared" si="30"/>
        <v>0</v>
      </c>
    </row>
    <row r="28" spans="1:37">
      <c r="A28" s="4">
        <f>ELEC!C28</f>
        <v>44008</v>
      </c>
      <c r="B28" s="276">
        <f t="shared" si="28"/>
        <v>8672</v>
      </c>
      <c r="C28" s="296">
        <f t="shared" si="11"/>
        <v>0</v>
      </c>
      <c r="D28" s="276">
        <f t="shared" si="28"/>
        <v>156438</v>
      </c>
      <c r="E28" s="296">
        <f t="shared" si="12"/>
        <v>0</v>
      </c>
      <c r="F28" s="296">
        <f t="shared" si="0"/>
        <v>0</v>
      </c>
      <c r="G28" s="294"/>
      <c r="H28" s="297">
        <f t="shared" si="13"/>
        <v>8770</v>
      </c>
      <c r="I28" s="296" t="str">
        <f t="shared" si="1"/>
        <v>ok</v>
      </c>
      <c r="J28" s="276">
        <f t="shared" si="14"/>
        <v>10698</v>
      </c>
      <c r="K28" s="296">
        <f t="shared" si="2"/>
        <v>0</v>
      </c>
      <c r="L28" s="276">
        <f t="shared" si="14"/>
        <v>238479</v>
      </c>
      <c r="M28" s="296">
        <f t="shared" si="3"/>
        <v>0</v>
      </c>
      <c r="N28" s="296">
        <f t="shared" si="15"/>
        <v>0</v>
      </c>
      <c r="O28" s="199"/>
      <c r="P28" s="297">
        <f t="shared" si="16"/>
        <v>10873</v>
      </c>
      <c r="Q28" s="296" t="str">
        <f t="shared" si="31"/>
        <v>ok</v>
      </c>
      <c r="R28" s="276">
        <f t="shared" si="17"/>
        <v>11221</v>
      </c>
      <c r="S28" s="296">
        <f t="shared" si="5"/>
        <v>0</v>
      </c>
      <c r="T28" s="276">
        <f t="shared" si="17"/>
        <v>258169</v>
      </c>
      <c r="U28" s="296">
        <f t="shared" si="32"/>
        <v>0</v>
      </c>
      <c r="V28" s="296">
        <f t="shared" si="18"/>
        <v>0</v>
      </c>
      <c r="W28" s="199"/>
      <c r="X28" s="297">
        <f t="shared" si="19"/>
        <v>12069</v>
      </c>
      <c r="Y28" s="296" t="str">
        <f t="shared" si="33"/>
        <v>ok</v>
      </c>
      <c r="Z28" s="296">
        <f t="shared" si="8"/>
        <v>0</v>
      </c>
      <c r="AA28" s="296">
        <f t="shared" si="20"/>
        <v>0</v>
      </c>
      <c r="AB28" s="296">
        <f t="shared" si="21"/>
        <v>0</v>
      </c>
      <c r="AC28" s="296">
        <f t="shared" si="22"/>
        <v>0</v>
      </c>
      <c r="AD28" s="74">
        <f>ELEC!Q28</f>
        <v>0</v>
      </c>
      <c r="AE28" s="74" t="e">
        <f t="shared" si="24"/>
        <v>#DIV/0!</v>
      </c>
      <c r="AF28" s="415" t="e">
        <f t="shared" si="25"/>
        <v>#DIV/0!</v>
      </c>
      <c r="AG28" s="416" t="e">
        <f t="shared" si="26"/>
        <v>#DIV/0!</v>
      </c>
      <c r="AH28" s="416" t="e">
        <f t="shared" si="23"/>
        <v>#DIV/0!</v>
      </c>
      <c r="AI28" s="74">
        <f t="shared" si="27"/>
        <v>0</v>
      </c>
      <c r="AJ28" s="298">
        <f t="shared" si="9"/>
        <v>0.25738396624472576</v>
      </c>
      <c r="AK28" s="298">
        <f t="shared" si="30"/>
        <v>0</v>
      </c>
    </row>
    <row r="29" spans="1:37">
      <c r="A29" s="4">
        <f>ELEC!C29</f>
        <v>44009</v>
      </c>
      <c r="B29" s="276">
        <f t="shared" si="28"/>
        <v>8672</v>
      </c>
      <c r="C29" s="296">
        <f t="shared" si="11"/>
        <v>0</v>
      </c>
      <c r="D29" s="276">
        <f t="shared" si="28"/>
        <v>156438</v>
      </c>
      <c r="E29" s="296">
        <f>SUM(D29-D28)</f>
        <v>0</v>
      </c>
      <c r="F29" s="296">
        <f t="shared" si="0"/>
        <v>0</v>
      </c>
      <c r="G29" s="199"/>
      <c r="H29" s="297">
        <f t="shared" si="13"/>
        <v>8770</v>
      </c>
      <c r="I29" s="296" t="str">
        <f t="shared" si="1"/>
        <v>ok</v>
      </c>
      <c r="J29" s="276">
        <f t="shared" si="14"/>
        <v>10698</v>
      </c>
      <c r="K29" s="296">
        <f t="shared" si="2"/>
        <v>0</v>
      </c>
      <c r="L29" s="276">
        <f t="shared" si="14"/>
        <v>238479</v>
      </c>
      <c r="M29" s="296">
        <f t="shared" si="3"/>
        <v>0</v>
      </c>
      <c r="N29" s="296">
        <f t="shared" si="15"/>
        <v>0</v>
      </c>
      <c r="O29" s="199"/>
      <c r="P29" s="297">
        <f t="shared" si="16"/>
        <v>10873</v>
      </c>
      <c r="Q29" s="296" t="str">
        <f t="shared" si="31"/>
        <v>ok</v>
      </c>
      <c r="R29" s="276">
        <f t="shared" si="17"/>
        <v>11221</v>
      </c>
      <c r="S29" s="296">
        <f t="shared" si="5"/>
        <v>0</v>
      </c>
      <c r="T29" s="276">
        <f t="shared" si="17"/>
        <v>258169</v>
      </c>
      <c r="U29" s="296">
        <f t="shared" si="32"/>
        <v>0</v>
      </c>
      <c r="V29" s="296">
        <f t="shared" si="18"/>
        <v>0</v>
      </c>
      <c r="W29" s="199"/>
      <c r="X29" s="297">
        <f t="shared" si="19"/>
        <v>12069</v>
      </c>
      <c r="Y29" s="296" t="str">
        <f t="shared" si="33"/>
        <v>ok</v>
      </c>
      <c r="Z29" s="296">
        <f t="shared" si="8"/>
        <v>0</v>
      </c>
      <c r="AA29" s="296">
        <f t="shared" si="20"/>
        <v>0</v>
      </c>
      <c r="AB29" s="296">
        <f t="shared" si="21"/>
        <v>0</v>
      </c>
      <c r="AC29" s="296">
        <f t="shared" si="22"/>
        <v>0</v>
      </c>
      <c r="AD29" s="74">
        <f>ELEC!Q29</f>
        <v>0</v>
      </c>
      <c r="AE29" s="74" t="e">
        <f t="shared" si="24"/>
        <v>#DIV/0!</v>
      </c>
      <c r="AF29" s="415" t="e">
        <f t="shared" si="25"/>
        <v>#DIV/0!</v>
      </c>
      <c r="AG29" s="416" t="e">
        <f t="shared" si="26"/>
        <v>#DIV/0!</v>
      </c>
      <c r="AH29" s="416" t="e">
        <f t="shared" si="23"/>
        <v>#DIV/0!</v>
      </c>
      <c r="AI29" s="74">
        <f t="shared" si="27"/>
        <v>0</v>
      </c>
      <c r="AJ29" s="298">
        <f t="shared" si="9"/>
        <v>0.25738396624472576</v>
      </c>
      <c r="AK29" s="298">
        <f t="shared" si="30"/>
        <v>0</v>
      </c>
    </row>
    <row r="30" spans="1:37">
      <c r="A30" s="4">
        <f>ELEC!C30</f>
        <v>44010</v>
      </c>
      <c r="B30" s="276">
        <f t="shared" si="28"/>
        <v>8672</v>
      </c>
      <c r="C30" s="296">
        <f t="shared" si="11"/>
        <v>0</v>
      </c>
      <c r="D30" s="276">
        <f t="shared" si="28"/>
        <v>156438</v>
      </c>
      <c r="E30" s="296">
        <f t="shared" si="12"/>
        <v>0</v>
      </c>
      <c r="F30" s="296">
        <f t="shared" si="0"/>
        <v>0</v>
      </c>
      <c r="G30" s="199"/>
      <c r="H30" s="297">
        <f t="shared" si="13"/>
        <v>8770</v>
      </c>
      <c r="I30" s="296" t="str">
        <f t="shared" si="1"/>
        <v>ok</v>
      </c>
      <c r="J30" s="276">
        <f t="shared" si="14"/>
        <v>10698</v>
      </c>
      <c r="K30" s="296">
        <f t="shared" si="2"/>
        <v>0</v>
      </c>
      <c r="L30" s="276">
        <f t="shared" si="14"/>
        <v>238479</v>
      </c>
      <c r="M30" s="296">
        <f t="shared" si="3"/>
        <v>0</v>
      </c>
      <c r="N30" s="296">
        <f t="shared" si="15"/>
        <v>0</v>
      </c>
      <c r="O30" s="199"/>
      <c r="P30" s="297">
        <f t="shared" si="16"/>
        <v>10873</v>
      </c>
      <c r="Q30" s="296" t="str">
        <f t="shared" si="31"/>
        <v>ok</v>
      </c>
      <c r="R30" s="276">
        <f t="shared" si="17"/>
        <v>11221</v>
      </c>
      <c r="S30" s="296">
        <f t="shared" si="5"/>
        <v>0</v>
      </c>
      <c r="T30" s="276">
        <f t="shared" si="17"/>
        <v>258169</v>
      </c>
      <c r="U30" s="296">
        <f t="shared" si="32"/>
        <v>0</v>
      </c>
      <c r="V30" s="296">
        <f t="shared" si="18"/>
        <v>0</v>
      </c>
      <c r="W30" s="294"/>
      <c r="X30" s="297">
        <f t="shared" si="19"/>
        <v>12069</v>
      </c>
      <c r="Y30" s="296" t="str">
        <f t="shared" si="33"/>
        <v>ok</v>
      </c>
      <c r="Z30" s="296">
        <f t="shared" si="8"/>
        <v>0</v>
      </c>
      <c r="AA30" s="296">
        <f t="shared" si="20"/>
        <v>0</v>
      </c>
      <c r="AB30" s="296">
        <f t="shared" si="21"/>
        <v>0</v>
      </c>
      <c r="AC30" s="296">
        <f t="shared" si="22"/>
        <v>0</v>
      </c>
      <c r="AD30" s="74">
        <f>ELEC!Q30</f>
        <v>0</v>
      </c>
      <c r="AE30" s="74" t="e">
        <f t="shared" si="24"/>
        <v>#DIV/0!</v>
      </c>
      <c r="AF30" s="415" t="e">
        <f t="shared" si="25"/>
        <v>#DIV/0!</v>
      </c>
      <c r="AG30" s="416" t="e">
        <f t="shared" si="26"/>
        <v>#DIV/0!</v>
      </c>
      <c r="AH30" s="416" t="e">
        <f t="shared" si="23"/>
        <v>#DIV/0!</v>
      </c>
      <c r="AI30" s="74">
        <f t="shared" si="27"/>
        <v>0</v>
      </c>
      <c r="AJ30" s="298">
        <f t="shared" si="9"/>
        <v>0.25738396624472576</v>
      </c>
      <c r="AK30" s="298">
        <f t="shared" si="30"/>
        <v>0</v>
      </c>
    </row>
    <row r="31" spans="1:37">
      <c r="A31" s="4">
        <f>ELEC!C31</f>
        <v>44011</v>
      </c>
      <c r="B31" s="276">
        <f t="shared" si="28"/>
        <v>8672</v>
      </c>
      <c r="C31" s="296">
        <f t="shared" si="11"/>
        <v>0</v>
      </c>
      <c r="D31" s="276">
        <f t="shared" si="28"/>
        <v>156438</v>
      </c>
      <c r="E31" s="296">
        <f t="shared" si="12"/>
        <v>0</v>
      </c>
      <c r="F31" s="296">
        <f t="shared" si="0"/>
        <v>0</v>
      </c>
      <c r="G31" s="199"/>
      <c r="H31" s="297">
        <f t="shared" si="13"/>
        <v>8770</v>
      </c>
      <c r="I31" s="296" t="str">
        <f t="shared" si="1"/>
        <v>ok</v>
      </c>
      <c r="J31" s="276">
        <f t="shared" si="14"/>
        <v>10698</v>
      </c>
      <c r="K31" s="296">
        <f t="shared" si="2"/>
        <v>0</v>
      </c>
      <c r="L31" s="276">
        <f t="shared" si="14"/>
        <v>238479</v>
      </c>
      <c r="M31" s="296">
        <f t="shared" si="3"/>
        <v>0</v>
      </c>
      <c r="N31" s="296">
        <f t="shared" si="15"/>
        <v>0</v>
      </c>
      <c r="O31" s="199"/>
      <c r="P31" s="297">
        <f t="shared" si="16"/>
        <v>10873</v>
      </c>
      <c r="Q31" s="296" t="str">
        <f t="shared" si="31"/>
        <v>ok</v>
      </c>
      <c r="R31" s="276">
        <f t="shared" si="17"/>
        <v>11221</v>
      </c>
      <c r="S31" s="296">
        <f t="shared" si="5"/>
        <v>0</v>
      </c>
      <c r="T31" s="276">
        <f t="shared" si="17"/>
        <v>258169</v>
      </c>
      <c r="U31" s="296">
        <f t="shared" si="32"/>
        <v>0</v>
      </c>
      <c r="V31" s="296">
        <f t="shared" si="18"/>
        <v>0</v>
      </c>
      <c r="W31" s="199"/>
      <c r="X31" s="297">
        <f t="shared" si="19"/>
        <v>12069</v>
      </c>
      <c r="Y31" s="296" t="str">
        <f t="shared" si="33"/>
        <v>ok</v>
      </c>
      <c r="Z31" s="296">
        <f t="shared" si="8"/>
        <v>0</v>
      </c>
      <c r="AA31" s="296">
        <f t="shared" si="20"/>
        <v>0</v>
      </c>
      <c r="AB31" s="296">
        <f t="shared" si="21"/>
        <v>0</v>
      </c>
      <c r="AC31" s="296">
        <f t="shared" si="22"/>
        <v>0</v>
      </c>
      <c r="AD31" s="74">
        <f>ELEC!Q31</f>
        <v>0</v>
      </c>
      <c r="AE31" s="74" t="e">
        <f t="shared" si="24"/>
        <v>#DIV/0!</v>
      </c>
      <c r="AF31" s="415" t="e">
        <f t="shared" si="25"/>
        <v>#DIV/0!</v>
      </c>
      <c r="AG31" s="416" t="e">
        <f t="shared" si="26"/>
        <v>#DIV/0!</v>
      </c>
      <c r="AH31" s="416" t="e">
        <f t="shared" si="23"/>
        <v>#DIV/0!</v>
      </c>
      <c r="AI31" s="74">
        <f t="shared" si="27"/>
        <v>0</v>
      </c>
      <c r="AJ31" s="298">
        <f t="shared" si="9"/>
        <v>0.25738396624472576</v>
      </c>
      <c r="AK31" s="298">
        <f t="shared" si="30"/>
        <v>0</v>
      </c>
    </row>
    <row r="32" spans="1:37">
      <c r="A32" s="4">
        <f>ELEC!C32</f>
        <v>44012</v>
      </c>
      <c r="B32" s="276">
        <f t="shared" si="28"/>
        <v>8672</v>
      </c>
      <c r="C32" s="296">
        <f t="shared" si="11"/>
        <v>0</v>
      </c>
      <c r="D32" s="276">
        <f t="shared" si="28"/>
        <v>156438</v>
      </c>
      <c r="E32" s="296">
        <f t="shared" si="12"/>
        <v>0</v>
      </c>
      <c r="F32" s="296">
        <f t="shared" si="0"/>
        <v>0</v>
      </c>
      <c r="G32" s="199"/>
      <c r="H32" s="297">
        <f t="shared" si="13"/>
        <v>8770</v>
      </c>
      <c r="I32" s="296" t="str">
        <f t="shared" si="1"/>
        <v>ok</v>
      </c>
      <c r="J32" s="276">
        <f t="shared" si="14"/>
        <v>10698</v>
      </c>
      <c r="K32" s="296">
        <f>J32-J31</f>
        <v>0</v>
      </c>
      <c r="L32" s="276">
        <f t="shared" si="14"/>
        <v>238479</v>
      </c>
      <c r="M32" s="296">
        <f t="shared" si="3"/>
        <v>0</v>
      </c>
      <c r="N32" s="296">
        <f t="shared" si="15"/>
        <v>0</v>
      </c>
      <c r="O32" s="199"/>
      <c r="P32" s="297">
        <f t="shared" si="16"/>
        <v>10873</v>
      </c>
      <c r="Q32" s="296" t="str">
        <f t="shared" si="31"/>
        <v>ok</v>
      </c>
      <c r="R32" s="276">
        <f t="shared" si="17"/>
        <v>11221</v>
      </c>
      <c r="S32" s="296">
        <f t="shared" si="5"/>
        <v>0</v>
      </c>
      <c r="T32" s="276">
        <f t="shared" si="17"/>
        <v>258169</v>
      </c>
      <c r="U32" s="296">
        <f t="shared" si="32"/>
        <v>0</v>
      </c>
      <c r="V32" s="296">
        <f t="shared" si="18"/>
        <v>0</v>
      </c>
      <c r="W32" s="199"/>
      <c r="X32" s="297">
        <f t="shared" si="19"/>
        <v>12069</v>
      </c>
      <c r="Y32" s="296" t="str">
        <f t="shared" si="33"/>
        <v>ok</v>
      </c>
      <c r="Z32" s="296">
        <f t="shared" si="8"/>
        <v>0</v>
      </c>
      <c r="AA32" s="296">
        <f t="shared" si="20"/>
        <v>0</v>
      </c>
      <c r="AB32" s="296">
        <f t="shared" si="21"/>
        <v>0</v>
      </c>
      <c r="AC32" s="296">
        <f t="shared" si="22"/>
        <v>0</v>
      </c>
      <c r="AD32" s="74">
        <f>ELEC!Q32</f>
        <v>0</v>
      </c>
      <c r="AE32" s="74" t="e">
        <f t="shared" si="24"/>
        <v>#DIV/0!</v>
      </c>
      <c r="AF32" s="415" t="e">
        <f t="shared" si="25"/>
        <v>#DIV/0!</v>
      </c>
      <c r="AG32" s="416" t="e">
        <f t="shared" si="26"/>
        <v>#DIV/0!</v>
      </c>
      <c r="AH32" s="416" t="e">
        <f t="shared" si="23"/>
        <v>#DIV/0!</v>
      </c>
      <c r="AI32" s="74">
        <f t="shared" si="27"/>
        <v>0</v>
      </c>
      <c r="AJ32" s="298">
        <f t="shared" si="9"/>
        <v>0.25738396624472576</v>
      </c>
      <c r="AK32" s="298">
        <f t="shared" si="30"/>
        <v>0</v>
      </c>
    </row>
    <row r="33" spans="3:26">
      <c r="H33" s="39"/>
      <c r="I33" s="273"/>
      <c r="M33" s="39"/>
      <c r="N33" s="39"/>
      <c r="O33" s="39"/>
      <c r="P33" s="83">
        <f>+O33/3</f>
        <v>0</v>
      </c>
      <c r="S33" s="39"/>
      <c r="T33" s="39"/>
      <c r="U33" s="40">
        <f>SUM(C34:S34)</f>
        <v>46</v>
      </c>
      <c r="V33" s="40"/>
      <c r="X33">
        <v>341</v>
      </c>
      <c r="Z33" s="434">
        <f>SUM(Z3:Z32)</f>
        <v>46</v>
      </c>
    </row>
    <row r="34" spans="3:26">
      <c r="C34" s="40">
        <f>SUM(C3:C32)</f>
        <v>17</v>
      </c>
      <c r="K34" s="40">
        <f>SUM(K3:K32)</f>
        <v>9</v>
      </c>
      <c r="S34" s="40">
        <f>SUM(S3:S32)</f>
        <v>20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18.000000000000014</v>
      </c>
      <c r="J13" s="9">
        <f>'B5'!A15</f>
        <v>43993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43994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43995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43996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43997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43998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4"/>
      <c r="B1" s="631" t="s">
        <v>119</v>
      </c>
      <c r="C1" s="631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39" t="s">
        <v>115</v>
      </c>
      <c r="I1" s="640" t="s">
        <v>116</v>
      </c>
      <c r="J1" s="639" t="s">
        <v>117</v>
      </c>
      <c r="K1" s="633" t="s">
        <v>121</v>
      </c>
      <c r="L1" s="633" t="s">
        <v>122</v>
      </c>
      <c r="M1" s="633" t="s">
        <v>123</v>
      </c>
      <c r="N1" s="633" t="s">
        <v>124</v>
      </c>
    </row>
    <row r="2" spans="1:14">
      <c r="A2" s="635"/>
      <c r="B2" s="632"/>
      <c r="C2" s="632"/>
      <c r="D2" s="636"/>
      <c r="E2" s="636"/>
      <c r="F2" s="637"/>
      <c r="G2" s="638"/>
      <c r="H2" s="639"/>
      <c r="I2" s="641"/>
      <c r="J2" s="639"/>
      <c r="K2" s="633"/>
      <c r="L2" s="633"/>
      <c r="M2" s="633"/>
      <c r="N2" s="63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7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7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7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7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7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7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7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7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7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7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7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0</v>
      </c>
      <c r="C16" s="77">
        <f>'B5'!AH16</f>
        <v>0</v>
      </c>
      <c r="D16" s="77">
        <f>GEN!AI14</f>
        <v>0</v>
      </c>
      <c r="E16" s="247">
        <f t="shared" si="0"/>
        <v>0</v>
      </c>
      <c r="F16" s="76">
        <f>WATER!L16</f>
        <v>6</v>
      </c>
      <c r="G16" s="79">
        <f>WATER!BG16</f>
        <v>-53.09999999999998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0</v>
      </c>
      <c r="C17" s="77">
        <f>'B5'!AH17</f>
        <v>0</v>
      </c>
      <c r="D17" s="77">
        <f>GEN!AI15</f>
        <v>0</v>
      </c>
      <c r="E17" s="247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0</v>
      </c>
      <c r="C18" s="77">
        <f>'B5'!AH18</f>
        <v>0</v>
      </c>
      <c r="D18" s="77">
        <f>GEN!AI16</f>
        <v>0</v>
      </c>
      <c r="E18" s="247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0</v>
      </c>
      <c r="C19" s="77">
        <f>'B5'!AH19</f>
        <v>0</v>
      </c>
      <c r="D19" s="77">
        <f>GEN!AI17</f>
        <v>0</v>
      </c>
      <c r="E19" s="247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0</v>
      </c>
      <c r="C20" s="77">
        <f>'B5'!AH20</f>
        <v>0</v>
      </c>
      <c r="D20" s="77">
        <f>GEN!AI18</f>
        <v>0</v>
      </c>
      <c r="E20" s="247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0</v>
      </c>
      <c r="C21" s="77">
        <f>'B5'!AH21</f>
        <v>0</v>
      </c>
      <c r="D21" s="77">
        <f>GEN!AI19</f>
        <v>0</v>
      </c>
      <c r="E21" s="247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0</v>
      </c>
      <c r="C22" s="77">
        <f>'B5'!AH22</f>
        <v>0</v>
      </c>
      <c r="D22" s="77">
        <f>GEN!AI20</f>
        <v>0</v>
      </c>
      <c r="E22" s="247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7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7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7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7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7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7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Q14" zoomScale="80" zoomScaleNormal="80" workbookViewId="0">
      <selection activeCell="AA31" sqref="AA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2" customWidth="1"/>
    <col min="20" max="20" width="10.28515625" style="346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7"/>
      <c r="T1" s="344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7"/>
      <c r="T2" s="344"/>
    </row>
    <row r="3" spans="1:30" ht="15.75" thickBot="1">
      <c r="A3" s="163">
        <f>ELEC!C2</f>
        <v>43982</v>
      </c>
      <c r="B3" s="270">
        <f>'[2]EDl log'!B34</f>
        <v>49988652</v>
      </c>
      <c r="C3" s="270">
        <f>'[2]EDl log'!C34</f>
        <v>6031</v>
      </c>
      <c r="D3" s="270">
        <f>'[2]EDl log'!D34</f>
        <v>6031</v>
      </c>
      <c r="E3" s="270">
        <f>'[2]EDl log'!E34</f>
        <v>49988652</v>
      </c>
      <c r="F3" s="270">
        <f>'[2]EDl log'!F34</f>
        <v>8028763</v>
      </c>
      <c r="G3" s="270">
        <f>'[2]EDl log'!G34</f>
        <v>887</v>
      </c>
      <c r="H3" s="270">
        <f>'[2]EDl log'!H34</f>
        <v>24624749</v>
      </c>
      <c r="I3" s="270">
        <f>'[2]EDl log'!I34</f>
        <v>3111</v>
      </c>
      <c r="J3" s="270">
        <f>'[2]EDl log'!J34</f>
        <v>17335141</v>
      </c>
      <c r="K3" s="270">
        <f>'[2]EDl log'!K34</f>
        <v>2033</v>
      </c>
      <c r="L3" s="270">
        <f>'[2]EDl log'!L34</f>
        <v>188.28524046434495</v>
      </c>
      <c r="M3" s="270">
        <f>'[2]EDl log'!M34</f>
        <v>231.13233830845772</v>
      </c>
      <c r="N3" s="270">
        <f>'[2]EDl log'!N34</f>
        <v>107.88723051409619</v>
      </c>
      <c r="O3" s="270">
        <f>'[2]EDl log'!O34</f>
        <v>154.80303857058792</v>
      </c>
      <c r="P3" s="270">
        <f>'[2]EDl log'!P34</f>
        <v>682.10784785748683</v>
      </c>
      <c r="Q3" s="270">
        <f>'[2]EDl log'!Q34</f>
        <v>152.05333870967581</v>
      </c>
      <c r="R3" s="270">
        <f>'[2]EDl log'!R34</f>
        <v>834.16118656716264</v>
      </c>
      <c r="S3" s="270">
        <f>'[2]EDl log'!S34</f>
        <v>13605</v>
      </c>
      <c r="T3" s="270">
        <f>'[2]EDl log'!T34</f>
        <v>6.1312839879982553E-2</v>
      </c>
      <c r="Z3" t="s">
        <v>214</v>
      </c>
      <c r="AA3">
        <v>0.1</v>
      </c>
    </row>
    <row r="4" spans="1:30">
      <c r="A4" s="163">
        <f>ELEC!C3</f>
        <v>43983</v>
      </c>
      <c r="B4" s="581">
        <v>49995052</v>
      </c>
      <c r="C4" s="279">
        <f>SUM(B4-B3)</f>
        <v>6400</v>
      </c>
      <c r="D4" s="317">
        <f>SUM(G4+I4+K4)</f>
        <v>6398</v>
      </c>
      <c r="E4" s="317">
        <f>B3+D4</f>
        <v>49995050</v>
      </c>
      <c r="F4" s="581">
        <v>8029660</v>
      </c>
      <c r="G4" s="160">
        <f t="shared" ref="G4:G32" si="0">F4-F3</f>
        <v>897</v>
      </c>
      <c r="H4" s="581">
        <v>24627769</v>
      </c>
      <c r="I4" s="161">
        <f t="shared" ref="I4:I33" si="1">H4-H3</f>
        <v>3020</v>
      </c>
      <c r="J4" s="583">
        <v>17337622</v>
      </c>
      <c r="K4" s="162">
        <f t="shared" ref="K4:K33" si="2">J4-J3</f>
        <v>2481</v>
      </c>
      <c r="L4" s="305">
        <f>SUM(G4*$Y$28)/1507.5</f>
        <v>190.40796019900498</v>
      </c>
      <c r="M4" s="305">
        <f>SUM(I4*$Y$27)/1507.5</f>
        <v>224.37147595356549</v>
      </c>
      <c r="N4" s="305">
        <f>SUM(K4*$Y$26)/1507.5</f>
        <v>131.66169154228857</v>
      </c>
      <c r="O4" s="305">
        <f>($AC$31/$A$38)/1507.5</f>
        <v>58.653151280633864</v>
      </c>
      <c r="P4" s="306">
        <f>SUM(L4:O4)</f>
        <v>605.0942789754929</v>
      </c>
      <c r="Q4" s="306">
        <f>SUM(-tanks!AX6*tanks!$AU$36)</f>
        <v>170.45812903226312</v>
      </c>
      <c r="R4" s="306">
        <f>SUM(P4:Q4)</f>
        <v>775.55240800775596</v>
      </c>
      <c r="S4" s="308">
        <f>SUM(ELEC!N3)</f>
        <v>14293</v>
      </c>
      <c r="T4" s="345">
        <f>IF(S4&gt;0,R4/S4,0)</f>
        <v>5.4260995452861956E-2</v>
      </c>
      <c r="U4" s="255"/>
      <c r="V4" s="256" t="str">
        <f>'[4]EDl log'!V21</f>
        <v xml:space="preserve">EDL </v>
      </c>
      <c r="W4" s="167">
        <v>43971</v>
      </c>
      <c r="X4" s="169"/>
      <c r="Y4" s="169"/>
      <c r="Z4" s="169" t="s">
        <v>202</v>
      </c>
      <c r="AA4" s="169"/>
      <c r="AB4" s="653"/>
      <c r="AC4" s="654"/>
    </row>
    <row r="5" spans="1:30">
      <c r="A5" s="163">
        <f>ELEC!C4</f>
        <v>43984</v>
      </c>
      <c r="B5" s="579">
        <v>50001162</v>
      </c>
      <c r="C5" s="270">
        <f t="shared" ref="C5:C33" si="3">SUM(B5-B4)</f>
        <v>6110</v>
      </c>
      <c r="D5" s="317">
        <f t="shared" ref="D5:D34" si="4">SUM(G5+I5+K5)</f>
        <v>6111</v>
      </c>
      <c r="E5" s="317">
        <f>B4+D5</f>
        <v>50001163</v>
      </c>
      <c r="F5" s="579">
        <v>8030570</v>
      </c>
      <c r="G5" s="160">
        <f t="shared" si="0"/>
        <v>910</v>
      </c>
      <c r="H5" s="579">
        <v>24630940</v>
      </c>
      <c r="I5" s="161">
        <f t="shared" si="1"/>
        <v>3171</v>
      </c>
      <c r="J5" s="587">
        <v>17339652</v>
      </c>
      <c r="K5" s="162">
        <f t="shared" si="2"/>
        <v>2030</v>
      </c>
      <c r="L5" s="305">
        <f t="shared" ref="L5:L32" si="5">SUM(G5*$Y$28)/1507.5</f>
        <v>193.16749585406302</v>
      </c>
      <c r="M5" s="305">
        <f t="shared" ref="M5:M34" si="6">SUM(I5*$Y$27)/1507.5</f>
        <v>235.59004975124378</v>
      </c>
      <c r="N5" s="305">
        <f t="shared" ref="N5:N34" si="7">SUM(K5*$Y$26)/1507.5</f>
        <v>107.72802653399668</v>
      </c>
      <c r="O5" s="305">
        <f t="shared" ref="O5:O33" si="8">($AC$31/$A$38)/1507.5</f>
        <v>58.653151280633864</v>
      </c>
      <c r="P5" s="306">
        <f t="shared" ref="P5:P32" si="9">SUM(L5:O5)</f>
        <v>595.13872341993738</v>
      </c>
      <c r="Q5" s="306">
        <f>SUM(-tanks!AX7*tanks!$AU$36)</f>
        <v>85.218064516126773</v>
      </c>
      <c r="R5" s="306">
        <f t="shared" ref="R5:R32" si="10">SUM(P5:Q5)</f>
        <v>680.35678793606417</v>
      </c>
      <c r="S5" s="308">
        <f>SUM(ELEC!N4)</f>
        <v>13728</v>
      </c>
      <c r="T5" s="345">
        <f>IF(S5&gt;0,R5/S5,0)</f>
        <v>4.9559789331007006E-2</v>
      </c>
      <c r="U5" s="255"/>
      <c r="V5" s="647"/>
      <c r="W5" s="648"/>
      <c r="X5" s="648"/>
      <c r="Y5" s="649"/>
      <c r="Z5" s="26" t="s">
        <v>203</v>
      </c>
      <c r="AA5" s="270">
        <f>'[2]EDl log'!AA22</f>
        <v>5000</v>
      </c>
      <c r="AB5" s="655"/>
      <c r="AC5" s="656"/>
    </row>
    <row r="6" spans="1:30">
      <c r="A6" s="163">
        <f>ELEC!C5</f>
        <v>43985</v>
      </c>
      <c r="B6" s="567">
        <v>50007676</v>
      </c>
      <c r="C6" s="270">
        <f t="shared" si="3"/>
        <v>6514</v>
      </c>
      <c r="D6" s="317">
        <f t="shared" si="4"/>
        <v>6517</v>
      </c>
      <c r="E6" s="317">
        <f t="shared" ref="E6:E33" si="11">B5+D6</f>
        <v>50007679</v>
      </c>
      <c r="F6" s="567">
        <v>8031383</v>
      </c>
      <c r="G6" s="160">
        <f t="shared" si="0"/>
        <v>813</v>
      </c>
      <c r="H6" s="567">
        <v>24635178</v>
      </c>
      <c r="I6" s="161">
        <f t="shared" si="1"/>
        <v>4238</v>
      </c>
      <c r="J6" s="567">
        <v>17341118</v>
      </c>
      <c r="K6" s="162">
        <f t="shared" si="2"/>
        <v>1466</v>
      </c>
      <c r="L6" s="305">
        <f t="shared" si="5"/>
        <v>172.57711442786069</v>
      </c>
      <c r="M6" s="305">
        <f t="shared" si="6"/>
        <v>314.86301824212273</v>
      </c>
      <c r="N6" s="305">
        <f t="shared" si="7"/>
        <v>77.79767827529021</v>
      </c>
      <c r="O6" s="305">
        <f t="shared" si="8"/>
        <v>58.653151280633864</v>
      </c>
      <c r="P6" s="306">
        <f t="shared" si="9"/>
        <v>623.89096222590751</v>
      </c>
      <c r="Q6" s="306">
        <f>SUM(-tanks!AX8*tanks!$AU$36)</f>
        <v>271.21316129032527</v>
      </c>
      <c r="R6" s="306">
        <f t="shared" si="10"/>
        <v>895.10412351623279</v>
      </c>
      <c r="S6" s="308">
        <f>SUM(ELEC!N5)</f>
        <v>14416</v>
      </c>
      <c r="T6" s="345">
        <f t="shared" ref="T6:T32" si="12">IF(S6&gt;0,R6/S6,0)</f>
        <v>6.2091018556897394E-2</v>
      </c>
      <c r="V6" s="650"/>
      <c r="W6" s="651"/>
      <c r="X6" s="651"/>
      <c r="Y6" s="652"/>
      <c r="Z6" s="3"/>
      <c r="AA6" s="3"/>
      <c r="AB6" s="655"/>
      <c r="AC6" s="656"/>
    </row>
    <row r="7" spans="1:30" ht="15" customHeight="1">
      <c r="A7" s="163">
        <f>ELEC!C6</f>
        <v>43986</v>
      </c>
      <c r="B7" s="589">
        <v>50013240</v>
      </c>
      <c r="C7" s="270">
        <f t="shared" si="3"/>
        <v>5564</v>
      </c>
      <c r="D7" s="317">
        <f t="shared" si="4"/>
        <v>5562</v>
      </c>
      <c r="E7" s="317">
        <f t="shared" si="11"/>
        <v>50013238</v>
      </c>
      <c r="F7" s="589">
        <v>8032171</v>
      </c>
      <c r="G7" s="160">
        <f t="shared" si="0"/>
        <v>788</v>
      </c>
      <c r="H7" s="589">
        <v>24638023</v>
      </c>
      <c r="I7" s="161">
        <f t="shared" si="1"/>
        <v>2845</v>
      </c>
      <c r="J7" s="587">
        <v>17343047</v>
      </c>
      <c r="K7" s="162">
        <f t="shared" si="2"/>
        <v>1929</v>
      </c>
      <c r="L7" s="305">
        <f t="shared" si="5"/>
        <v>167.27031509121062</v>
      </c>
      <c r="M7" s="305">
        <f t="shared" si="6"/>
        <v>211.3698175787728</v>
      </c>
      <c r="N7" s="305">
        <f t="shared" si="7"/>
        <v>102.3681592039801</v>
      </c>
      <c r="O7" s="305">
        <f t="shared" si="8"/>
        <v>58.653151280633864</v>
      </c>
      <c r="P7" s="306">
        <f t="shared" si="9"/>
        <v>539.66144315459735</v>
      </c>
      <c r="Q7" s="306">
        <f>SUM(-tanks!AX9*tanks!$AU$36)</f>
        <v>-252.71612903225676</v>
      </c>
      <c r="R7" s="306">
        <f t="shared" si="10"/>
        <v>286.94531412234062</v>
      </c>
      <c r="S7" s="308">
        <f>SUM(ELEC!N6)</f>
        <v>12453</v>
      </c>
      <c r="T7" s="345">
        <f t="shared" si="12"/>
        <v>2.3042264042587378E-2</v>
      </c>
      <c r="V7" s="643" t="s">
        <v>204</v>
      </c>
      <c r="W7" s="644"/>
      <c r="X7" s="645" t="s">
        <v>205</v>
      </c>
      <c r="Y7" s="646"/>
      <c r="Z7" s="644"/>
      <c r="AA7" s="26"/>
      <c r="AB7" s="657"/>
      <c r="AC7" s="658"/>
    </row>
    <row r="8" spans="1:30" ht="15.75" customHeight="1">
      <c r="A8" s="163">
        <f>ELEC!C7</f>
        <v>43987</v>
      </c>
      <c r="B8" s="567">
        <v>50019099</v>
      </c>
      <c r="C8" s="270">
        <f t="shared" si="3"/>
        <v>5859</v>
      </c>
      <c r="D8" s="317">
        <f t="shared" si="4"/>
        <v>5858</v>
      </c>
      <c r="E8" s="317">
        <f t="shared" si="11"/>
        <v>50019098</v>
      </c>
      <c r="F8" s="567">
        <v>8032954</v>
      </c>
      <c r="G8" s="160">
        <f t="shared" si="0"/>
        <v>783</v>
      </c>
      <c r="H8" s="567">
        <v>24641021</v>
      </c>
      <c r="I8" s="161">
        <f t="shared" si="1"/>
        <v>2998</v>
      </c>
      <c r="J8" s="567">
        <v>17345124</v>
      </c>
      <c r="K8" s="162">
        <f>J8-J7</f>
        <v>2077</v>
      </c>
      <c r="L8" s="305">
        <f>SUM(G8*$Y$28)/1507.5</f>
        <v>166.20895522388059</v>
      </c>
      <c r="M8" s="305">
        <f>SUM(I8*$Y$27)/1507.5</f>
        <v>222.73698175787729</v>
      </c>
      <c r="N8" s="305">
        <f>SUM(K8*$Y$26)/1507.5</f>
        <v>110.22222222222223</v>
      </c>
      <c r="O8" s="305">
        <f t="shared" si="8"/>
        <v>58.653151280633864</v>
      </c>
      <c r="P8" s="306">
        <f t="shared" si="9"/>
        <v>557.82131048461395</v>
      </c>
      <c r="Q8" s="306">
        <f>SUM(-tanks!AX10*tanks!$AU$36)</f>
        <v>211.79612903225674</v>
      </c>
      <c r="R8" s="306">
        <f t="shared" si="10"/>
        <v>769.61743951687072</v>
      </c>
      <c r="S8" s="308">
        <f>SUM(ELEC!N7)</f>
        <v>13633</v>
      </c>
      <c r="T8" s="345">
        <f>IF(S8&gt;0,R8/S8,0)</f>
        <v>5.6452537190410823E-2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7" t="s">
        <v>212</v>
      </c>
    </row>
    <row r="9" spans="1:30">
      <c r="A9" s="163">
        <f>ELEC!C8</f>
        <v>43988</v>
      </c>
      <c r="B9" s="567">
        <v>50025216</v>
      </c>
      <c r="C9" s="270">
        <f t="shared" si="3"/>
        <v>6117</v>
      </c>
      <c r="D9" s="317">
        <f t="shared" si="4"/>
        <v>6117</v>
      </c>
      <c r="E9" s="317">
        <f t="shared" si="11"/>
        <v>50025216</v>
      </c>
      <c r="F9" s="567">
        <v>8033888</v>
      </c>
      <c r="G9" s="160">
        <f t="shared" si="0"/>
        <v>934</v>
      </c>
      <c r="H9" s="567">
        <v>24644340</v>
      </c>
      <c r="I9" s="161">
        <f t="shared" si="1"/>
        <v>3319</v>
      </c>
      <c r="J9" s="567">
        <v>17346988</v>
      </c>
      <c r="K9" s="162">
        <f>J9-J8</f>
        <v>1864</v>
      </c>
      <c r="L9" s="305">
        <f>SUM(G9*$Y$28)/1507.5</f>
        <v>198.2620232172471</v>
      </c>
      <c r="M9" s="305">
        <f>SUM(I9*$Y$27)/1507.5</f>
        <v>246.58573797678275</v>
      </c>
      <c r="N9" s="305">
        <f>SUM(K9*$Y$26)/1507.5</f>
        <v>98.91873963515755</v>
      </c>
      <c r="O9" s="305">
        <f t="shared" si="8"/>
        <v>58.653151280633864</v>
      </c>
      <c r="P9" s="306">
        <f t="shared" si="9"/>
        <v>602.4196521098213</v>
      </c>
      <c r="Q9" s="306">
        <f>SUM(-tanks!AX11*tanks!$AU$36)</f>
        <v>116.38709677419335</v>
      </c>
      <c r="R9" s="306">
        <f>SUM(P9:Q9)</f>
        <v>718.80674888401461</v>
      </c>
      <c r="S9" s="308">
        <f>SUM(ELEC!N8)</f>
        <v>13778</v>
      </c>
      <c r="T9" s="345">
        <f t="shared" si="12"/>
        <v>5.2170616118741082E-2</v>
      </c>
      <c r="V9" s="270">
        <f>'[2]EDl log'!V26</f>
        <v>17280141</v>
      </c>
      <c r="W9" s="270">
        <f>'[2]EDl log'!W26</f>
        <v>17335141</v>
      </c>
      <c r="X9" s="270" t="str">
        <f>'[2]EDl log'!X26</f>
        <v>Night</v>
      </c>
      <c r="Y9" s="270">
        <f>'[2]EDl log'!Y26</f>
        <v>80</v>
      </c>
      <c r="Z9" s="270">
        <f>'[2]EDl log'!Z26</f>
        <v>1</v>
      </c>
      <c r="AA9" s="270">
        <f>'[2]EDl log'!AA26</f>
        <v>55000</v>
      </c>
      <c r="AB9" s="270">
        <f>'[2]EDl log'!AB26</f>
        <v>4400000</v>
      </c>
      <c r="AC9" s="270">
        <f>'[2]EDl log'!AC26</f>
        <v>1033333</v>
      </c>
      <c r="AD9" s="270">
        <f>'[2]EDl log'!AD26</f>
        <v>0.33083150196794181</v>
      </c>
    </row>
    <row r="10" spans="1:30">
      <c r="A10" s="163">
        <f>ELEC!C9</f>
        <v>43989</v>
      </c>
      <c r="B10" s="567">
        <v>50032502</v>
      </c>
      <c r="C10" s="270">
        <f t="shared" si="3"/>
        <v>7286</v>
      </c>
      <c r="D10" s="317">
        <f t="shared" si="4"/>
        <v>7287</v>
      </c>
      <c r="E10" s="317">
        <f t="shared" si="11"/>
        <v>50032503</v>
      </c>
      <c r="F10" s="567">
        <v>8035096</v>
      </c>
      <c r="G10" s="160">
        <f t="shared" si="0"/>
        <v>1208</v>
      </c>
      <c r="H10" s="567">
        <v>24648943</v>
      </c>
      <c r="I10" s="161">
        <f t="shared" si="1"/>
        <v>4603</v>
      </c>
      <c r="J10" s="567">
        <v>17348464</v>
      </c>
      <c r="K10" s="162">
        <f t="shared" si="2"/>
        <v>1476</v>
      </c>
      <c r="L10" s="305">
        <f t="shared" si="5"/>
        <v>256.42454394693203</v>
      </c>
      <c r="M10" s="305">
        <f t="shared" si="6"/>
        <v>341.98076285240467</v>
      </c>
      <c r="N10" s="305">
        <f t="shared" si="7"/>
        <v>78.328358208955223</v>
      </c>
      <c r="O10" s="305">
        <f t="shared" si="8"/>
        <v>58.653151280633864</v>
      </c>
      <c r="P10" s="306">
        <f t="shared" si="9"/>
        <v>735.38681628892584</v>
      </c>
      <c r="Q10" s="306">
        <f>SUM(-tanks!AX12*tanks!$AU$36)</f>
        <v>190.01612903226155</v>
      </c>
      <c r="R10" s="306">
        <f t="shared" si="10"/>
        <v>925.40294532118742</v>
      </c>
      <c r="S10" s="308">
        <f>SUM(ELEC!N9)</f>
        <v>16205</v>
      </c>
      <c r="T10" s="345">
        <f t="shared" si="12"/>
        <v>5.7106013287330296E-2</v>
      </c>
      <c r="V10" s="270">
        <f>'[2]EDl log'!V27</f>
        <v>24537919</v>
      </c>
      <c r="W10" s="270">
        <f>'[2]EDl log'!W27</f>
        <v>24624749</v>
      </c>
      <c r="X10" s="270" t="str">
        <f>'[2]EDl log'!X27</f>
        <v>day</v>
      </c>
      <c r="Y10" s="270">
        <f>'[2]EDl log'!Y27</f>
        <v>112</v>
      </c>
      <c r="Z10" s="270">
        <f>'[2]EDl log'!Z27</f>
        <v>1</v>
      </c>
      <c r="AA10" s="270">
        <f>'[2]EDl log'!AA27</f>
        <v>86830</v>
      </c>
      <c r="AB10" s="270">
        <f>'[2]EDl log'!AB27</f>
        <v>9724960</v>
      </c>
      <c r="AC10" s="270">
        <f>'[2]EDl log'!AC27</f>
        <v>6200000</v>
      </c>
      <c r="AD10" s="270">
        <f>'[2]EDl log'!AD27</f>
        <v>0.52547770700636942</v>
      </c>
    </row>
    <row r="11" spans="1:30">
      <c r="A11" s="163">
        <f>ELEC!C10</f>
        <v>43990</v>
      </c>
      <c r="B11" s="590">
        <v>50039496</v>
      </c>
      <c r="C11" s="270">
        <f t="shared" si="3"/>
        <v>6994</v>
      </c>
      <c r="D11" s="317">
        <f>SUM(G11+I11+K11)</f>
        <v>6992</v>
      </c>
      <c r="E11" s="317">
        <f t="shared" si="11"/>
        <v>50039494</v>
      </c>
      <c r="F11" s="590">
        <v>8036024</v>
      </c>
      <c r="G11" s="160">
        <f t="shared" si="0"/>
        <v>928</v>
      </c>
      <c r="H11" s="590">
        <v>24652464</v>
      </c>
      <c r="I11" s="161">
        <f t="shared" si="1"/>
        <v>3521</v>
      </c>
      <c r="J11" s="587">
        <v>17351007</v>
      </c>
      <c r="K11" s="162">
        <f t="shared" si="2"/>
        <v>2543</v>
      </c>
      <c r="L11" s="305">
        <f t="shared" si="5"/>
        <v>196.98839137645109</v>
      </c>
      <c r="M11" s="305">
        <f t="shared" si="6"/>
        <v>261.59336650082918</v>
      </c>
      <c r="N11" s="305">
        <f t="shared" si="7"/>
        <v>134.95190713101161</v>
      </c>
      <c r="O11" s="305">
        <f t="shared" si="8"/>
        <v>58.653151280633864</v>
      </c>
      <c r="P11" s="306">
        <f t="shared" si="9"/>
        <v>652.1868162889258</v>
      </c>
      <c r="Q11" s="306">
        <f>SUM(-tanks!AX13*tanks!$AU$36)</f>
        <v>159.87612903225676</v>
      </c>
      <c r="R11" s="306">
        <f t="shared" si="10"/>
        <v>812.0629453211825</v>
      </c>
      <c r="S11" s="308">
        <f>SUM(ELEC!N10)</f>
        <v>15745</v>
      </c>
      <c r="T11" s="345">
        <f t="shared" si="12"/>
        <v>5.1575925393533346E-2</v>
      </c>
      <c r="V11" s="270">
        <f>'[2]EDl log'!V28</f>
        <v>8005117</v>
      </c>
      <c r="W11" s="270">
        <f>'[2]EDl log'!W28</f>
        <v>8028763</v>
      </c>
      <c r="X11" s="270" t="str">
        <f>'[2]EDl log'!X28</f>
        <v>Peak</v>
      </c>
      <c r="Y11" s="270">
        <f>'[2]EDl log'!Y28</f>
        <v>320</v>
      </c>
      <c r="Z11" s="270">
        <f>'[2]EDl log'!Z28</f>
        <v>1</v>
      </c>
      <c r="AA11" s="270">
        <f>'[2]EDl log'!AA28</f>
        <v>23646</v>
      </c>
      <c r="AB11" s="270">
        <f>'[2]EDl log'!AB28</f>
        <v>7566720</v>
      </c>
      <c r="AC11" s="270">
        <f>'[2]EDl log'!AC28</f>
        <v>1000</v>
      </c>
      <c r="AD11" s="270">
        <f>'[2]EDl log'!AD28</f>
        <v>0.1437032070622416</v>
      </c>
    </row>
    <row r="12" spans="1:30">
      <c r="A12" s="163">
        <f>ELEC!C11</f>
        <v>43991</v>
      </c>
      <c r="B12" s="567">
        <v>50046427</v>
      </c>
      <c r="C12" s="270">
        <f t="shared" si="3"/>
        <v>6931</v>
      </c>
      <c r="D12" s="317">
        <f t="shared" si="4"/>
        <v>6934</v>
      </c>
      <c r="E12" s="317">
        <f t="shared" si="11"/>
        <v>50046430</v>
      </c>
      <c r="F12" s="567">
        <v>8037265</v>
      </c>
      <c r="G12" s="160">
        <f t="shared" si="0"/>
        <v>1241</v>
      </c>
      <c r="H12" s="567">
        <v>24655859</v>
      </c>
      <c r="I12" s="161">
        <f t="shared" si="1"/>
        <v>3395</v>
      </c>
      <c r="J12" s="567">
        <v>17353305</v>
      </c>
      <c r="K12" s="162">
        <f t="shared" si="2"/>
        <v>2298</v>
      </c>
      <c r="L12" s="305">
        <f t="shared" si="5"/>
        <v>263.4295190713101</v>
      </c>
      <c r="M12" s="305">
        <f t="shared" si="6"/>
        <v>252.23217247097844</v>
      </c>
      <c r="N12" s="305">
        <f t="shared" si="7"/>
        <v>121.95024875621891</v>
      </c>
      <c r="O12" s="305">
        <f t="shared" si="8"/>
        <v>58.653151280633864</v>
      </c>
      <c r="P12" s="306">
        <f t="shared" si="9"/>
        <v>696.26509157914131</v>
      </c>
      <c r="Q12" s="306">
        <f>SUM(-tanks!AX14*tanks!$AU$36)</f>
        <v>156.13329032258133</v>
      </c>
      <c r="R12" s="306">
        <f t="shared" si="10"/>
        <v>852.39838190172259</v>
      </c>
      <c r="S12" s="308">
        <f>SUM(ELEC!N11)</f>
        <v>15283</v>
      </c>
      <c r="T12" s="345">
        <f t="shared" si="12"/>
        <v>5.5774283969228726E-2</v>
      </c>
      <c r="V12" s="270"/>
      <c r="W12" s="270"/>
      <c r="X12" s="3"/>
      <c r="Y12" s="270"/>
      <c r="Z12" s="28"/>
      <c r="AA12" s="270">
        <f>'[2]EDl log'!AA29</f>
        <v>165476</v>
      </c>
      <c r="AB12" s="270">
        <f>'[5]EDl log'!AB29</f>
        <v>0</v>
      </c>
      <c r="AC12" s="270">
        <f>'[5]EDl log'!AC29</f>
        <v>0</v>
      </c>
    </row>
    <row r="13" spans="1:30">
      <c r="A13" s="163">
        <f>ELEC!C12</f>
        <v>43992</v>
      </c>
      <c r="B13" s="567">
        <v>50052150</v>
      </c>
      <c r="C13" s="270">
        <f t="shared" si="3"/>
        <v>5723</v>
      </c>
      <c r="D13" s="317">
        <f t="shared" si="4"/>
        <v>5723</v>
      </c>
      <c r="E13" s="317">
        <f t="shared" si="11"/>
        <v>50052150</v>
      </c>
      <c r="F13" s="567">
        <v>8037688</v>
      </c>
      <c r="G13" s="160">
        <f t="shared" si="0"/>
        <v>423</v>
      </c>
      <c r="H13" s="567">
        <v>24658386</v>
      </c>
      <c r="I13" s="161">
        <f t="shared" si="1"/>
        <v>2527</v>
      </c>
      <c r="J13" s="567">
        <v>17356078</v>
      </c>
      <c r="K13" s="162">
        <f t="shared" si="2"/>
        <v>2773</v>
      </c>
      <c r="L13" s="305">
        <f t="shared" si="5"/>
        <v>89.791044776119406</v>
      </c>
      <c r="M13" s="305">
        <f t="shared" si="6"/>
        <v>187.74394693200662</v>
      </c>
      <c r="N13" s="305">
        <f t="shared" si="7"/>
        <v>147.15754560530681</v>
      </c>
      <c r="O13" s="305">
        <f t="shared" si="8"/>
        <v>58.653151280633864</v>
      </c>
      <c r="P13" s="306">
        <f t="shared" si="9"/>
        <v>483.3456885940667</v>
      </c>
      <c r="Q13" s="306">
        <f>SUM(-tanks!AX15*tanks!$AU$36)</f>
        <v>404.58425806450839</v>
      </c>
      <c r="R13" s="306">
        <f t="shared" si="10"/>
        <v>887.92994665857509</v>
      </c>
      <c r="S13" s="308">
        <f>SUM(ELEC!N12)</f>
        <v>16634</v>
      </c>
      <c r="T13" s="345">
        <f t="shared" si="12"/>
        <v>5.3380422427472353E-2</v>
      </c>
      <c r="V13" s="270" t="str">
        <f>'[2]EDl log'!V30</f>
        <v>Occ %</v>
      </c>
      <c r="W13" s="524">
        <f>'[2]EDl log'!W30</f>
        <v>1.9296774193548385E-2</v>
      </c>
      <c r="X13" s="270">
        <f>'[2]EDl log'!X30</f>
        <v>0</v>
      </c>
      <c r="Y13" s="270" t="str">
        <f>'[2]EDl log'!Y30</f>
        <v>Per G</v>
      </c>
      <c r="Z13" s="3"/>
      <c r="AA13" s="3"/>
      <c r="AB13" s="270">
        <f>'[2]EDl log'!AB30</f>
        <v>21691680</v>
      </c>
      <c r="AC13" s="270">
        <f>'[2]EDl log'!AC30</f>
        <v>7234333</v>
      </c>
    </row>
    <row r="14" spans="1:30">
      <c r="A14" s="593">
        <f>ELEC!C13</f>
        <v>43993</v>
      </c>
      <c r="B14" s="594">
        <v>4163</v>
      </c>
      <c r="C14" s="595">
        <f>2504+B14</f>
        <v>6667</v>
      </c>
      <c r="D14" s="594">
        <f t="shared" si="4"/>
        <v>6668</v>
      </c>
      <c r="E14" s="594">
        <f t="shared" si="11"/>
        <v>50058818</v>
      </c>
      <c r="F14" s="594">
        <v>413</v>
      </c>
      <c r="G14" s="594">
        <v>413</v>
      </c>
      <c r="H14" s="594">
        <v>1912</v>
      </c>
      <c r="I14" s="594">
        <f>873+H14</f>
        <v>2785</v>
      </c>
      <c r="J14" s="594">
        <v>1838</v>
      </c>
      <c r="K14" s="594">
        <f>1632+J14</f>
        <v>3470</v>
      </c>
      <c r="L14" s="596">
        <f t="shared" si="5"/>
        <v>87.668325041459369</v>
      </c>
      <c r="M14" s="596">
        <f t="shared" si="6"/>
        <v>206.91210613598673</v>
      </c>
      <c r="N14" s="596">
        <f t="shared" si="7"/>
        <v>184.14593698175787</v>
      </c>
      <c r="O14" s="596">
        <f t="shared" si="8"/>
        <v>58.653151280633864</v>
      </c>
      <c r="P14" s="597">
        <f t="shared" si="9"/>
        <v>537.37951943983785</v>
      </c>
      <c r="Q14" s="597">
        <f>SUM(-tanks!AX16*tanks!$AU$36)</f>
        <v>476.88406451612906</v>
      </c>
      <c r="R14" s="597">
        <f>SUM(P14:Q14)</f>
        <v>1014.2635839559669</v>
      </c>
      <c r="S14" s="598">
        <f>SUM(ELEC!N13)</f>
        <v>14437</v>
      </c>
      <c r="T14" s="345">
        <f t="shared" si="12"/>
        <v>7.0254456185908906E-2</v>
      </c>
      <c r="V14" s="270" t="str">
        <f>'[2]EDl log'!V31</f>
        <v>Gen RH</v>
      </c>
      <c r="W14" s="270">
        <f>'[2]EDl log'!W31</f>
        <v>119.48999999999978</v>
      </c>
      <c r="X14" s="270">
        <f>'[2]EDl log'!X31</f>
        <v>3.8545161290322509</v>
      </c>
      <c r="Y14" s="270">
        <f>'[2]EDl log'!Y31</f>
        <v>1.9272580645161255</v>
      </c>
      <c r="Z14" s="3"/>
      <c r="AA14" s="3"/>
      <c r="AB14" s="270">
        <f>'[2]EDl log'!AB31</f>
        <v>28926013</v>
      </c>
      <c r="AC14" s="270">
        <f>'[2]EDl log'!AC31</f>
        <v>7234333</v>
      </c>
    </row>
    <row r="15" spans="1:30">
      <c r="A15" s="163">
        <f>ELEC!C14</f>
        <v>43994</v>
      </c>
      <c r="B15" s="567">
        <f t="shared" ref="B15:B33" si="13">B14</f>
        <v>4163</v>
      </c>
      <c r="C15" s="270">
        <f t="shared" si="3"/>
        <v>0</v>
      </c>
      <c r="D15" s="317">
        <f t="shared" si="4"/>
        <v>0</v>
      </c>
      <c r="E15" s="317">
        <f t="shared" si="11"/>
        <v>4163</v>
      </c>
      <c r="F15" s="567">
        <f t="shared" ref="F15:J33" si="14">F14</f>
        <v>413</v>
      </c>
      <c r="G15" s="160">
        <f t="shared" si="0"/>
        <v>0</v>
      </c>
      <c r="H15" s="567">
        <f t="shared" si="14"/>
        <v>1912</v>
      </c>
      <c r="I15" s="161">
        <f t="shared" si="1"/>
        <v>0</v>
      </c>
      <c r="J15" s="567">
        <f t="shared" si="14"/>
        <v>1838</v>
      </c>
      <c r="K15" s="162">
        <f t="shared" si="2"/>
        <v>0</v>
      </c>
      <c r="L15" s="305">
        <f t="shared" si="5"/>
        <v>0</v>
      </c>
      <c r="M15" s="305">
        <f t="shared" si="6"/>
        <v>0</v>
      </c>
      <c r="N15" s="305">
        <f t="shared" si="7"/>
        <v>0</v>
      </c>
      <c r="O15" s="305">
        <f t="shared" si="8"/>
        <v>58.653151280633864</v>
      </c>
      <c r="P15" s="306">
        <f t="shared" si="9"/>
        <v>58.653151280633864</v>
      </c>
      <c r="Q15" s="306">
        <f>SUM(-tanks!AX17*tanks!$AU$36)</f>
        <v>0</v>
      </c>
      <c r="R15" s="306">
        <f t="shared" si="10"/>
        <v>58.653151280633864</v>
      </c>
      <c r="S15" s="308">
        <f>SUM(ELEC!N14)</f>
        <v>0</v>
      </c>
      <c r="T15" s="345">
        <f t="shared" si="12"/>
        <v>0</v>
      </c>
      <c r="V15" s="270" t="str">
        <f>'[2]EDl log'!V32</f>
        <v>H Deg</v>
      </c>
      <c r="W15" s="270">
        <f>'[2]EDl log'!W32</f>
        <v>-549.00000000000011</v>
      </c>
      <c r="X15" s="270">
        <f>'[2]EDl log'!X32</f>
        <v>0</v>
      </c>
      <c r="Y15" s="270">
        <f>'[2]EDl log'!Y32</f>
        <v>0</v>
      </c>
      <c r="Z15" s="3"/>
      <c r="AA15" s="3"/>
      <c r="AB15" s="270">
        <f>'[2]EDl log'!AB32</f>
        <v>0</v>
      </c>
      <c r="AC15" s="270">
        <f>'[2]EDl log'!AC32</f>
        <v>0</v>
      </c>
    </row>
    <row r="16" spans="1:30">
      <c r="A16" s="163">
        <f>ELEC!C15</f>
        <v>43995</v>
      </c>
      <c r="B16" s="567">
        <f t="shared" si="13"/>
        <v>4163</v>
      </c>
      <c r="C16" s="270">
        <f t="shared" si="3"/>
        <v>0</v>
      </c>
      <c r="D16" s="317">
        <f t="shared" si="4"/>
        <v>0</v>
      </c>
      <c r="E16" s="317">
        <f t="shared" si="11"/>
        <v>4163</v>
      </c>
      <c r="F16" s="567">
        <f t="shared" si="14"/>
        <v>413</v>
      </c>
      <c r="G16" s="160">
        <f t="shared" si="0"/>
        <v>0</v>
      </c>
      <c r="H16" s="567">
        <f t="shared" si="14"/>
        <v>1912</v>
      </c>
      <c r="I16" s="161">
        <f t="shared" si="1"/>
        <v>0</v>
      </c>
      <c r="J16" s="567">
        <f t="shared" si="14"/>
        <v>1838</v>
      </c>
      <c r="K16" s="162">
        <f t="shared" si="2"/>
        <v>0</v>
      </c>
      <c r="L16" s="305">
        <f t="shared" si="5"/>
        <v>0</v>
      </c>
      <c r="M16" s="305">
        <f t="shared" si="6"/>
        <v>0</v>
      </c>
      <c r="N16" s="305">
        <f t="shared" si="7"/>
        <v>0</v>
      </c>
      <c r="O16" s="305">
        <f t="shared" si="8"/>
        <v>58.653151280633864</v>
      </c>
      <c r="P16" s="306">
        <f t="shared" si="9"/>
        <v>58.653151280633864</v>
      </c>
      <c r="Q16" s="306">
        <f>SUM(-tanks!AX18*tanks!$AU$36)</f>
        <v>0</v>
      </c>
      <c r="R16" s="306">
        <f t="shared" si="10"/>
        <v>58.653151280633864</v>
      </c>
      <c r="S16" s="308">
        <f>SUM(ELEC!N15)</f>
        <v>0</v>
      </c>
      <c r="T16" s="345">
        <f t="shared" si="12"/>
        <v>0</v>
      </c>
      <c r="V16" s="270" t="str">
        <f>'[2]EDl log'!V33</f>
        <v>C Deg</v>
      </c>
      <c r="W16" s="270">
        <f>'[2]EDl log'!W33</f>
        <v>0</v>
      </c>
      <c r="X16" s="270">
        <f>'[2]EDl log'!X33</f>
        <v>0</v>
      </c>
      <c r="Y16" s="270">
        <f>'[2]EDl log'!Y33</f>
        <v>0</v>
      </c>
      <c r="Z16" s="3"/>
      <c r="AA16" s="3"/>
      <c r="AB16" s="270">
        <f>'[2]EDl log'!AB33</f>
        <v>0</v>
      </c>
      <c r="AC16" s="270">
        <f>'[2]EDl log'!AC33</f>
        <v>0</v>
      </c>
    </row>
    <row r="17" spans="1:32">
      <c r="A17" s="163">
        <f>ELEC!C16</f>
        <v>43996</v>
      </c>
      <c r="B17" s="567">
        <f t="shared" si="13"/>
        <v>4163</v>
      </c>
      <c r="C17" s="270">
        <f t="shared" si="3"/>
        <v>0</v>
      </c>
      <c r="D17" s="317">
        <f t="shared" si="4"/>
        <v>0</v>
      </c>
      <c r="E17" s="317">
        <f t="shared" si="11"/>
        <v>4163</v>
      </c>
      <c r="F17" s="567">
        <f t="shared" si="14"/>
        <v>413</v>
      </c>
      <c r="G17" s="160">
        <f t="shared" si="0"/>
        <v>0</v>
      </c>
      <c r="H17" s="567">
        <f t="shared" si="14"/>
        <v>1912</v>
      </c>
      <c r="I17" s="161">
        <f t="shared" si="1"/>
        <v>0</v>
      </c>
      <c r="J17" s="567">
        <f t="shared" si="14"/>
        <v>1838</v>
      </c>
      <c r="K17" s="162">
        <f t="shared" si="2"/>
        <v>0</v>
      </c>
      <c r="L17" s="305">
        <f t="shared" si="5"/>
        <v>0</v>
      </c>
      <c r="M17" s="305">
        <f t="shared" si="6"/>
        <v>0</v>
      </c>
      <c r="N17" s="305">
        <f t="shared" si="7"/>
        <v>0</v>
      </c>
      <c r="O17" s="305">
        <f t="shared" si="8"/>
        <v>58.653151280633864</v>
      </c>
      <c r="P17" s="306">
        <f t="shared" si="9"/>
        <v>58.653151280633864</v>
      </c>
      <c r="Q17" s="306">
        <f>SUM(-tanks!AX19*tanks!$AU$36)</f>
        <v>0</v>
      </c>
      <c r="R17" s="306">
        <f t="shared" si="10"/>
        <v>58.653151280633864</v>
      </c>
      <c r="S17" s="308">
        <f>SUM(ELEC!N16)</f>
        <v>0</v>
      </c>
      <c r="T17" s="345">
        <f t="shared" si="12"/>
        <v>0</v>
      </c>
      <c r="V17" s="258"/>
      <c r="W17" s="270">
        <f>'[6]EDl log'!W34</f>
        <v>0</v>
      </c>
      <c r="X17" s="17"/>
      <c r="Y17" s="445"/>
      <c r="Z17" s="524"/>
      <c r="AA17" s="524"/>
      <c r="AB17" s="270"/>
      <c r="AC17" s="555"/>
    </row>
    <row r="18" spans="1:32" ht="15.75" thickBot="1">
      <c r="A18" s="163">
        <f>ELEC!C17</f>
        <v>43997</v>
      </c>
      <c r="B18" s="567">
        <f t="shared" si="13"/>
        <v>4163</v>
      </c>
      <c r="C18" s="270">
        <f t="shared" si="3"/>
        <v>0</v>
      </c>
      <c r="D18" s="317">
        <f t="shared" si="4"/>
        <v>0</v>
      </c>
      <c r="E18" s="317">
        <f t="shared" si="11"/>
        <v>4163</v>
      </c>
      <c r="F18" s="567">
        <f t="shared" si="14"/>
        <v>413</v>
      </c>
      <c r="G18" s="160">
        <f t="shared" si="0"/>
        <v>0</v>
      </c>
      <c r="H18" s="567">
        <f t="shared" si="14"/>
        <v>1912</v>
      </c>
      <c r="I18" s="161">
        <f t="shared" si="1"/>
        <v>0</v>
      </c>
      <c r="J18" s="567">
        <f t="shared" si="14"/>
        <v>1838</v>
      </c>
      <c r="K18" s="162">
        <f t="shared" si="2"/>
        <v>0</v>
      </c>
      <c r="L18" s="305">
        <f t="shared" si="5"/>
        <v>0</v>
      </c>
      <c r="M18" s="305">
        <f t="shared" si="6"/>
        <v>0</v>
      </c>
      <c r="N18" s="305">
        <f t="shared" si="7"/>
        <v>0</v>
      </c>
      <c r="O18" s="305">
        <f t="shared" si="8"/>
        <v>58.653151280633864</v>
      </c>
      <c r="P18" s="306">
        <f t="shared" si="9"/>
        <v>58.653151280633864</v>
      </c>
      <c r="Q18" s="306">
        <f>SUM(-tanks!AX20*tanks!$AU$36)</f>
        <v>0</v>
      </c>
      <c r="R18" s="306">
        <f t="shared" si="10"/>
        <v>58.653151280633864</v>
      </c>
      <c r="S18" s="308">
        <f>SUM(ELEC!N17)</f>
        <v>0</v>
      </c>
      <c r="T18" s="345">
        <f t="shared" si="12"/>
        <v>0</v>
      </c>
      <c r="V18" s="232"/>
      <c r="W18" s="233"/>
      <c r="X18" s="233"/>
      <c r="Y18" s="445"/>
      <c r="Z18" s="524" t="str">
        <f>'[2]EDl log'!Z35</f>
        <v xml:space="preserve">VAT </v>
      </c>
      <c r="AA18" s="524">
        <f>'[2]EDl log'!AA35</f>
        <v>0.11</v>
      </c>
      <c r="AB18" s="270">
        <f>'[2]EDl log'!AB35</f>
        <v>3181861.43</v>
      </c>
      <c r="AC18" s="555">
        <f>'[5]EDl log'!AC35</f>
        <v>0</v>
      </c>
    </row>
    <row r="19" spans="1:32" ht="15.75" thickBot="1">
      <c r="A19" s="163">
        <f>ELEC!C18</f>
        <v>43998</v>
      </c>
      <c r="B19" s="567">
        <f t="shared" si="13"/>
        <v>4163</v>
      </c>
      <c r="C19" s="270">
        <f t="shared" si="3"/>
        <v>0</v>
      </c>
      <c r="D19" s="317">
        <f t="shared" si="4"/>
        <v>0</v>
      </c>
      <c r="E19" s="317">
        <f t="shared" si="11"/>
        <v>4163</v>
      </c>
      <c r="F19" s="567">
        <f t="shared" si="14"/>
        <v>413</v>
      </c>
      <c r="G19" s="160">
        <f>F19-F18</f>
        <v>0</v>
      </c>
      <c r="H19" s="567">
        <f t="shared" si="14"/>
        <v>1912</v>
      </c>
      <c r="I19" s="161">
        <f t="shared" si="1"/>
        <v>0</v>
      </c>
      <c r="J19" s="567">
        <f t="shared" si="14"/>
        <v>1838</v>
      </c>
      <c r="K19" s="162">
        <f t="shared" si="2"/>
        <v>0</v>
      </c>
      <c r="L19" s="305">
        <f t="shared" si="5"/>
        <v>0</v>
      </c>
      <c r="M19" s="305">
        <f t="shared" si="6"/>
        <v>0</v>
      </c>
      <c r="N19" s="305">
        <f t="shared" si="7"/>
        <v>0</v>
      </c>
      <c r="O19" s="305">
        <f t="shared" si="8"/>
        <v>58.653151280633864</v>
      </c>
      <c r="P19" s="306">
        <f t="shared" si="9"/>
        <v>58.653151280633864</v>
      </c>
      <c r="Q19" s="306">
        <f>SUM(-tanks!AX21*tanks!$AU$36)</f>
        <v>0</v>
      </c>
      <c r="R19" s="306">
        <f t="shared" si="10"/>
        <v>58.653151280633864</v>
      </c>
      <c r="S19" s="308">
        <f>SUM(ELEC!N18)</f>
        <v>0</v>
      </c>
      <c r="T19" s="345">
        <f t="shared" si="12"/>
        <v>0</v>
      </c>
      <c r="V19" s="232"/>
      <c r="W19" s="233"/>
      <c r="X19" s="233"/>
      <c r="Y19" s="445"/>
      <c r="Z19" s="445"/>
      <c r="AA19" s="270"/>
      <c r="AB19" s="270">
        <f>'[2]EDl log'!AB36</f>
        <v>32107874.43</v>
      </c>
      <c r="AC19" s="270">
        <f>'[2]EDl log'!AC36</f>
        <v>0</v>
      </c>
    </row>
    <row r="20" spans="1:32" ht="15.75" thickBot="1">
      <c r="A20" s="163">
        <f>ELEC!C19</f>
        <v>43999</v>
      </c>
      <c r="B20" s="567">
        <f t="shared" si="13"/>
        <v>4163</v>
      </c>
      <c r="C20" s="270">
        <f t="shared" si="3"/>
        <v>0</v>
      </c>
      <c r="D20" s="317">
        <f t="shared" si="4"/>
        <v>0</v>
      </c>
      <c r="E20" s="317">
        <f t="shared" si="11"/>
        <v>4163</v>
      </c>
      <c r="F20" s="567">
        <f t="shared" si="14"/>
        <v>413</v>
      </c>
      <c r="G20" s="160">
        <f t="shared" si="0"/>
        <v>0</v>
      </c>
      <c r="H20" s="567">
        <f t="shared" si="14"/>
        <v>1912</v>
      </c>
      <c r="I20" s="161">
        <f t="shared" si="1"/>
        <v>0</v>
      </c>
      <c r="J20" s="567">
        <f t="shared" si="14"/>
        <v>1838</v>
      </c>
      <c r="K20" s="162">
        <f t="shared" si="2"/>
        <v>0</v>
      </c>
      <c r="L20" s="305">
        <f t="shared" si="5"/>
        <v>0</v>
      </c>
      <c r="M20" s="305">
        <f t="shared" si="6"/>
        <v>0</v>
      </c>
      <c r="N20" s="305">
        <f t="shared" si="7"/>
        <v>0</v>
      </c>
      <c r="O20" s="305">
        <f t="shared" si="8"/>
        <v>58.653151280633864</v>
      </c>
      <c r="P20" s="306">
        <f t="shared" si="9"/>
        <v>58.653151280633864</v>
      </c>
      <c r="Q20" s="306">
        <f>SUM(-tanks!AX22*tanks!$AU$36)</f>
        <v>0</v>
      </c>
      <c r="R20" s="306">
        <f t="shared" si="10"/>
        <v>58.653151280633864</v>
      </c>
      <c r="S20" s="308">
        <f>SUM(ELEC!N19)</f>
        <v>0</v>
      </c>
      <c r="T20" s="345">
        <f t="shared" si="12"/>
        <v>0</v>
      </c>
      <c r="AB20" s="270"/>
    </row>
    <row r="21" spans="1:32">
      <c r="A21" s="163">
        <f>ELEC!C20</f>
        <v>44000</v>
      </c>
      <c r="B21" s="567">
        <f t="shared" si="13"/>
        <v>4163</v>
      </c>
      <c r="C21" s="270">
        <f t="shared" si="3"/>
        <v>0</v>
      </c>
      <c r="D21" s="317">
        <f t="shared" si="4"/>
        <v>0</v>
      </c>
      <c r="E21" s="317">
        <f t="shared" si="11"/>
        <v>4163</v>
      </c>
      <c r="F21" s="567">
        <f t="shared" si="14"/>
        <v>413</v>
      </c>
      <c r="G21" s="160">
        <f t="shared" si="0"/>
        <v>0</v>
      </c>
      <c r="H21" s="567">
        <f t="shared" si="14"/>
        <v>1912</v>
      </c>
      <c r="I21" s="161">
        <f t="shared" si="1"/>
        <v>0</v>
      </c>
      <c r="J21" s="567">
        <f t="shared" si="14"/>
        <v>1838</v>
      </c>
      <c r="K21" s="162">
        <f t="shared" si="2"/>
        <v>0</v>
      </c>
      <c r="L21" s="305">
        <f t="shared" si="5"/>
        <v>0</v>
      </c>
      <c r="M21" s="305">
        <f t="shared" si="6"/>
        <v>0</v>
      </c>
      <c r="N21" s="305">
        <f t="shared" si="7"/>
        <v>0</v>
      </c>
      <c r="O21" s="305">
        <f t="shared" si="8"/>
        <v>58.653151280633864</v>
      </c>
      <c r="P21" s="306">
        <f t="shared" si="9"/>
        <v>58.653151280633864</v>
      </c>
      <c r="Q21" s="306">
        <f>SUM(-tanks!AX23*tanks!$AU$36)</f>
        <v>0</v>
      </c>
      <c r="R21" s="306">
        <f t="shared" si="10"/>
        <v>58.653151280633864</v>
      </c>
      <c r="S21" s="308">
        <f>SUM(ELEC!N20)</f>
        <v>0</v>
      </c>
      <c r="T21" s="345">
        <f t="shared" si="12"/>
        <v>0</v>
      </c>
      <c r="V21" s="166" t="s">
        <v>201</v>
      </c>
      <c r="W21" s="167">
        <v>44002</v>
      </c>
      <c r="X21" s="168"/>
      <c r="Y21" s="168"/>
      <c r="Z21" s="169" t="s">
        <v>202</v>
      </c>
      <c r="AA21" s="168"/>
      <c r="AB21" s="653"/>
      <c r="AC21" s="654"/>
    </row>
    <row r="22" spans="1:32">
      <c r="A22" s="163">
        <f>ELEC!C21</f>
        <v>44001</v>
      </c>
      <c r="B22" s="567">
        <f t="shared" si="13"/>
        <v>4163</v>
      </c>
      <c r="C22" s="270">
        <f t="shared" si="3"/>
        <v>0</v>
      </c>
      <c r="D22" s="317">
        <f t="shared" si="4"/>
        <v>0</v>
      </c>
      <c r="E22" s="317">
        <f t="shared" si="11"/>
        <v>4163</v>
      </c>
      <c r="F22" s="567">
        <f t="shared" si="14"/>
        <v>413</v>
      </c>
      <c r="G22" s="160">
        <f t="shared" si="0"/>
        <v>0</v>
      </c>
      <c r="H22" s="567">
        <f t="shared" si="14"/>
        <v>1912</v>
      </c>
      <c r="I22" s="161">
        <f t="shared" si="1"/>
        <v>0</v>
      </c>
      <c r="J22" s="567">
        <f t="shared" si="14"/>
        <v>1838</v>
      </c>
      <c r="K22" s="162">
        <f t="shared" si="2"/>
        <v>0</v>
      </c>
      <c r="L22" s="305">
        <f t="shared" si="5"/>
        <v>0</v>
      </c>
      <c r="M22" s="305">
        <f t="shared" si="6"/>
        <v>0</v>
      </c>
      <c r="N22" s="305">
        <f t="shared" si="7"/>
        <v>0</v>
      </c>
      <c r="O22" s="305">
        <f t="shared" si="8"/>
        <v>58.653151280633864</v>
      </c>
      <c r="P22" s="306">
        <f t="shared" si="9"/>
        <v>58.653151280633864</v>
      </c>
      <c r="Q22" s="306">
        <f>SUM(-tanks!AX24*tanks!$AU$36)</f>
        <v>0</v>
      </c>
      <c r="R22" s="306">
        <f t="shared" si="10"/>
        <v>58.653151280633864</v>
      </c>
      <c r="S22" s="308">
        <f>SUM(ELEC!N21)</f>
        <v>0</v>
      </c>
      <c r="T22" s="345">
        <f t="shared" si="12"/>
        <v>0</v>
      </c>
      <c r="V22" s="659"/>
      <c r="W22" s="660"/>
      <c r="X22" s="660"/>
      <c r="Y22" s="661"/>
      <c r="Z22" s="26" t="s">
        <v>203</v>
      </c>
      <c r="AA22" s="26">
        <v>5000</v>
      </c>
      <c r="AB22" s="655"/>
      <c r="AC22" s="656"/>
    </row>
    <row r="23" spans="1:32">
      <c r="A23" s="163">
        <f>ELEC!C22</f>
        <v>44002</v>
      </c>
      <c r="B23" s="567">
        <f t="shared" si="13"/>
        <v>4163</v>
      </c>
      <c r="C23" s="270">
        <f t="shared" si="3"/>
        <v>0</v>
      </c>
      <c r="D23" s="317">
        <f t="shared" si="4"/>
        <v>0</v>
      </c>
      <c r="E23" s="317">
        <f t="shared" si="11"/>
        <v>4163</v>
      </c>
      <c r="F23" s="567">
        <f t="shared" si="14"/>
        <v>413</v>
      </c>
      <c r="G23" s="160">
        <f t="shared" si="0"/>
        <v>0</v>
      </c>
      <c r="H23" s="567">
        <f t="shared" si="14"/>
        <v>1912</v>
      </c>
      <c r="I23" s="161">
        <f t="shared" si="1"/>
        <v>0</v>
      </c>
      <c r="J23" s="567">
        <f t="shared" si="14"/>
        <v>1838</v>
      </c>
      <c r="K23" s="162">
        <f t="shared" si="2"/>
        <v>0</v>
      </c>
      <c r="L23" s="305">
        <f t="shared" si="5"/>
        <v>0</v>
      </c>
      <c r="M23" s="305">
        <f t="shared" si="6"/>
        <v>0</v>
      </c>
      <c r="N23" s="305">
        <f t="shared" si="7"/>
        <v>0</v>
      </c>
      <c r="O23" s="305">
        <f t="shared" si="8"/>
        <v>58.653151280633864</v>
      </c>
      <c r="P23" s="306">
        <f t="shared" si="9"/>
        <v>58.653151280633864</v>
      </c>
      <c r="Q23" s="306">
        <f>SUM(-tanks!AX25*tanks!$AU$36)</f>
        <v>0</v>
      </c>
      <c r="R23" s="306">
        <f t="shared" si="10"/>
        <v>58.653151280633864</v>
      </c>
      <c r="S23" s="308">
        <f>SUM(ELEC!N22)</f>
        <v>0</v>
      </c>
      <c r="T23" s="345">
        <f t="shared" si="12"/>
        <v>0</v>
      </c>
      <c r="V23" s="662"/>
      <c r="W23" s="663"/>
      <c r="X23" s="663"/>
      <c r="Y23" s="664"/>
      <c r="Z23" s="665"/>
      <c r="AA23" s="666"/>
      <c r="AB23" s="655"/>
      <c r="AC23" s="656"/>
    </row>
    <row r="24" spans="1:32" ht="15" customHeight="1">
      <c r="A24" s="163">
        <f>ELEC!C23</f>
        <v>44003</v>
      </c>
      <c r="B24" s="567">
        <f t="shared" si="13"/>
        <v>4163</v>
      </c>
      <c r="C24" s="270">
        <f t="shared" si="3"/>
        <v>0</v>
      </c>
      <c r="D24" s="317">
        <f t="shared" si="4"/>
        <v>0</v>
      </c>
      <c r="E24" s="317">
        <f t="shared" si="11"/>
        <v>4163</v>
      </c>
      <c r="F24" s="567">
        <f t="shared" si="14"/>
        <v>413</v>
      </c>
      <c r="G24" s="160">
        <f t="shared" si="0"/>
        <v>0</v>
      </c>
      <c r="H24" s="567">
        <f t="shared" si="14"/>
        <v>1912</v>
      </c>
      <c r="I24" s="161">
        <f t="shared" si="1"/>
        <v>0</v>
      </c>
      <c r="J24" s="567">
        <f t="shared" si="14"/>
        <v>1838</v>
      </c>
      <c r="K24" s="162">
        <f t="shared" si="2"/>
        <v>0</v>
      </c>
      <c r="L24" s="305">
        <f t="shared" si="5"/>
        <v>0</v>
      </c>
      <c r="M24" s="305">
        <f t="shared" si="6"/>
        <v>0</v>
      </c>
      <c r="N24" s="305">
        <f t="shared" si="7"/>
        <v>0</v>
      </c>
      <c r="O24" s="305">
        <f t="shared" si="8"/>
        <v>58.653151280633864</v>
      </c>
      <c r="P24" s="306">
        <f t="shared" si="9"/>
        <v>58.653151280633864</v>
      </c>
      <c r="Q24" s="306">
        <f>SUM(-tanks!AX26*tanks!$AU$36)</f>
        <v>0</v>
      </c>
      <c r="R24" s="306">
        <f t="shared" si="10"/>
        <v>58.653151280633864</v>
      </c>
      <c r="S24" s="308">
        <f>SUM(ELEC!N23)</f>
        <v>0</v>
      </c>
      <c r="T24" s="345">
        <f t="shared" si="12"/>
        <v>0</v>
      </c>
      <c r="V24" s="667" t="s">
        <v>204</v>
      </c>
      <c r="W24" s="668"/>
      <c r="X24" s="669" t="s">
        <v>205</v>
      </c>
      <c r="Y24" s="670"/>
      <c r="Z24" s="671"/>
      <c r="AA24" s="170"/>
      <c r="AB24" s="657"/>
      <c r="AC24" s="658"/>
    </row>
    <row r="25" spans="1:32" ht="17.25" customHeight="1">
      <c r="A25" s="163">
        <f>ELEC!C24</f>
        <v>44004</v>
      </c>
      <c r="B25" s="567">
        <f t="shared" si="13"/>
        <v>4163</v>
      </c>
      <c r="C25" s="270">
        <f t="shared" si="3"/>
        <v>0</v>
      </c>
      <c r="D25" s="317">
        <f t="shared" si="4"/>
        <v>0</v>
      </c>
      <c r="E25" s="317">
        <f t="shared" si="11"/>
        <v>4163</v>
      </c>
      <c r="F25" s="567">
        <f t="shared" si="14"/>
        <v>413</v>
      </c>
      <c r="G25" s="160">
        <f t="shared" si="0"/>
        <v>0</v>
      </c>
      <c r="H25" s="567">
        <f t="shared" si="14"/>
        <v>1912</v>
      </c>
      <c r="I25" s="161">
        <f t="shared" si="1"/>
        <v>0</v>
      </c>
      <c r="J25" s="567">
        <f t="shared" si="14"/>
        <v>1838</v>
      </c>
      <c r="K25" s="162">
        <f t="shared" si="2"/>
        <v>0</v>
      </c>
      <c r="L25" s="305">
        <f t="shared" si="5"/>
        <v>0</v>
      </c>
      <c r="M25" s="305">
        <f t="shared" si="6"/>
        <v>0</v>
      </c>
      <c r="N25" s="305">
        <f t="shared" si="7"/>
        <v>0</v>
      </c>
      <c r="O25" s="305">
        <f t="shared" si="8"/>
        <v>58.653151280633864</v>
      </c>
      <c r="P25" s="306">
        <f t="shared" si="9"/>
        <v>58.653151280633864</v>
      </c>
      <c r="Q25" s="306">
        <f>SUM(-tanks!AX27*tanks!$AU$36)</f>
        <v>0</v>
      </c>
      <c r="R25" s="306">
        <f t="shared" si="10"/>
        <v>58.653151280633864</v>
      </c>
      <c r="S25" s="308">
        <f>SUM(ELEC!N24)</f>
        <v>0</v>
      </c>
      <c r="T25" s="345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>
      <c r="A26" s="163">
        <f>ELEC!C25</f>
        <v>44005</v>
      </c>
      <c r="B26" s="567">
        <f t="shared" si="13"/>
        <v>4163</v>
      </c>
      <c r="C26" s="270">
        <f t="shared" si="3"/>
        <v>0</v>
      </c>
      <c r="D26" s="317">
        <f t="shared" si="4"/>
        <v>0</v>
      </c>
      <c r="E26" s="317">
        <f t="shared" si="11"/>
        <v>4163</v>
      </c>
      <c r="F26" s="567">
        <f t="shared" si="14"/>
        <v>413</v>
      </c>
      <c r="G26" s="160">
        <f t="shared" si="0"/>
        <v>0</v>
      </c>
      <c r="H26" s="567">
        <f t="shared" si="14"/>
        <v>1912</v>
      </c>
      <c r="I26" s="161">
        <f t="shared" si="1"/>
        <v>0</v>
      </c>
      <c r="J26" s="567">
        <f t="shared" si="14"/>
        <v>1838</v>
      </c>
      <c r="K26" s="162">
        <f t="shared" si="2"/>
        <v>0</v>
      </c>
      <c r="L26" s="305">
        <f t="shared" si="5"/>
        <v>0</v>
      </c>
      <c r="M26" s="305">
        <f t="shared" si="6"/>
        <v>0</v>
      </c>
      <c r="N26" s="305">
        <f t="shared" si="7"/>
        <v>0</v>
      </c>
      <c r="O26" s="305">
        <f t="shared" si="8"/>
        <v>58.653151280633864</v>
      </c>
      <c r="P26" s="306">
        <f t="shared" si="9"/>
        <v>58.653151280633864</v>
      </c>
      <c r="Q26" s="306">
        <f>SUM(-tanks!AX28*tanks!$AU$36)</f>
        <v>0</v>
      </c>
      <c r="R26" s="306">
        <f t="shared" si="10"/>
        <v>58.653151280633864</v>
      </c>
      <c r="S26" s="308">
        <f>SUM(ELEC!N25)</f>
        <v>0</v>
      </c>
      <c r="T26" s="345">
        <f t="shared" si="12"/>
        <v>0</v>
      </c>
      <c r="V26" s="259">
        <f>W9</f>
        <v>17335141</v>
      </c>
      <c r="W26" s="170">
        <f>J33</f>
        <v>1838</v>
      </c>
      <c r="X26" s="172" t="s">
        <v>199</v>
      </c>
      <c r="Y26" s="172">
        <v>80</v>
      </c>
      <c r="Z26" s="172">
        <v>1</v>
      </c>
      <c r="AA26" s="600">
        <f>K34*Z26</f>
        <v>24407</v>
      </c>
      <c r="AB26" s="199">
        <f>AA26*Y26</f>
        <v>1952560</v>
      </c>
      <c r="AC26" s="254">
        <f>AC9</f>
        <v>1033333</v>
      </c>
      <c r="AD26" s="215">
        <f>SUM(K37)</f>
        <v>0</v>
      </c>
    </row>
    <row r="27" spans="1:32">
      <c r="A27" s="163">
        <f>ELEC!C26</f>
        <v>44006</v>
      </c>
      <c r="B27" s="567">
        <f t="shared" si="13"/>
        <v>4163</v>
      </c>
      <c r="C27" s="270">
        <f t="shared" si="3"/>
        <v>0</v>
      </c>
      <c r="D27" s="317">
        <f t="shared" si="4"/>
        <v>0</v>
      </c>
      <c r="E27" s="317">
        <f t="shared" si="11"/>
        <v>4163</v>
      </c>
      <c r="F27" s="567">
        <f t="shared" si="14"/>
        <v>413</v>
      </c>
      <c r="G27" s="160">
        <f t="shared" si="0"/>
        <v>0</v>
      </c>
      <c r="H27" s="567">
        <f t="shared" si="14"/>
        <v>1912</v>
      </c>
      <c r="I27" s="161">
        <f t="shared" si="1"/>
        <v>0</v>
      </c>
      <c r="J27" s="567">
        <f t="shared" si="14"/>
        <v>1838</v>
      </c>
      <c r="K27" s="162">
        <f t="shared" si="2"/>
        <v>0</v>
      </c>
      <c r="L27" s="305">
        <f t="shared" si="5"/>
        <v>0</v>
      </c>
      <c r="M27" s="305">
        <f t="shared" si="6"/>
        <v>0</v>
      </c>
      <c r="N27" s="305">
        <f t="shared" si="7"/>
        <v>0</v>
      </c>
      <c r="O27" s="305">
        <f t="shared" si="8"/>
        <v>58.653151280633864</v>
      </c>
      <c r="P27" s="306">
        <f t="shared" si="9"/>
        <v>58.653151280633864</v>
      </c>
      <c r="Q27" s="306">
        <f>SUM(-tanks!AX29*tanks!$AU$36)</f>
        <v>0</v>
      </c>
      <c r="R27" s="306">
        <f t="shared" si="10"/>
        <v>58.653151280633864</v>
      </c>
      <c r="S27" s="308">
        <f>SUM(ELEC!N26)</f>
        <v>0</v>
      </c>
      <c r="T27" s="345">
        <f t="shared" si="12"/>
        <v>0</v>
      </c>
      <c r="V27" s="259">
        <f>W10</f>
        <v>24624749</v>
      </c>
      <c r="W27" s="170">
        <f>H33</f>
        <v>1912</v>
      </c>
      <c r="X27" s="172" t="s">
        <v>213</v>
      </c>
      <c r="Y27" s="172">
        <v>112</v>
      </c>
      <c r="Z27" s="172">
        <v>1</v>
      </c>
      <c r="AA27" s="600">
        <f>I34*Z27</f>
        <v>36422</v>
      </c>
      <c r="AB27" s="199">
        <f>SUM(AA27*Y27)</f>
        <v>4079264</v>
      </c>
      <c r="AC27" s="254">
        <f>AC10</f>
        <v>6200000</v>
      </c>
      <c r="AD27" s="215">
        <f>SUM(I37)</f>
        <v>0.51909071474381807</v>
      </c>
    </row>
    <row r="28" spans="1:32">
      <c r="A28" s="163">
        <f>ELEC!C27</f>
        <v>44007</v>
      </c>
      <c r="B28" s="567">
        <f t="shared" si="13"/>
        <v>4163</v>
      </c>
      <c r="C28" s="270">
        <f t="shared" si="3"/>
        <v>0</v>
      </c>
      <c r="D28" s="317">
        <f t="shared" si="4"/>
        <v>0</v>
      </c>
      <c r="E28" s="317">
        <f t="shared" si="11"/>
        <v>4163</v>
      </c>
      <c r="F28" s="567">
        <f t="shared" si="14"/>
        <v>413</v>
      </c>
      <c r="G28" s="160">
        <f t="shared" si="0"/>
        <v>0</v>
      </c>
      <c r="H28" s="567">
        <f t="shared" si="14"/>
        <v>1912</v>
      </c>
      <c r="I28" s="161">
        <f t="shared" si="1"/>
        <v>0</v>
      </c>
      <c r="J28" s="567">
        <f t="shared" si="14"/>
        <v>1838</v>
      </c>
      <c r="K28" s="162">
        <f t="shared" si="2"/>
        <v>0</v>
      </c>
      <c r="L28" s="305">
        <f t="shared" si="5"/>
        <v>0</v>
      </c>
      <c r="M28" s="305">
        <f t="shared" si="6"/>
        <v>0</v>
      </c>
      <c r="N28" s="305">
        <f t="shared" si="7"/>
        <v>0</v>
      </c>
      <c r="O28" s="305">
        <f t="shared" si="8"/>
        <v>58.653151280633864</v>
      </c>
      <c r="P28" s="306">
        <f t="shared" si="9"/>
        <v>58.653151280633864</v>
      </c>
      <c r="Q28" s="306">
        <f>SUM(-tanks!AX30*tanks!$AU$36)</f>
        <v>0</v>
      </c>
      <c r="R28" s="306">
        <f t="shared" si="10"/>
        <v>58.653151280633864</v>
      </c>
      <c r="S28" s="308">
        <f>SUM(ELEC!N27)</f>
        <v>0</v>
      </c>
      <c r="T28" s="345">
        <f t="shared" si="12"/>
        <v>0</v>
      </c>
      <c r="V28" s="259">
        <f>W11</f>
        <v>8028763</v>
      </c>
      <c r="W28" s="170">
        <f>F33</f>
        <v>413</v>
      </c>
      <c r="X28" s="172" t="s">
        <v>197</v>
      </c>
      <c r="Y28" s="172">
        <v>320</v>
      </c>
      <c r="Z28" s="172">
        <v>1</v>
      </c>
      <c r="AA28" s="600">
        <f>G34</f>
        <v>9338</v>
      </c>
      <c r="AB28" s="199">
        <f>SUM(AA28*Y28)</f>
        <v>2988160</v>
      </c>
      <c r="AC28" s="254">
        <f>AC11</f>
        <v>1000</v>
      </c>
      <c r="AD28" s="215">
        <f>SUM(G37)</f>
        <v>0.13308629658661725</v>
      </c>
      <c r="AE28" s="40">
        <f>SUM(AB28*5%)</f>
        <v>149408</v>
      </c>
      <c r="AF28" s="83">
        <f>SUM(AE28/7)*31</f>
        <v>661664</v>
      </c>
    </row>
    <row r="29" spans="1:32">
      <c r="A29" s="163">
        <f>ELEC!C28</f>
        <v>44008</v>
      </c>
      <c r="B29" s="567">
        <f t="shared" si="13"/>
        <v>4163</v>
      </c>
      <c r="C29" s="270">
        <f t="shared" si="3"/>
        <v>0</v>
      </c>
      <c r="D29" s="317">
        <f t="shared" si="4"/>
        <v>0</v>
      </c>
      <c r="E29" s="317">
        <f t="shared" si="11"/>
        <v>4163</v>
      </c>
      <c r="F29" s="567">
        <f t="shared" si="14"/>
        <v>413</v>
      </c>
      <c r="G29" s="160">
        <f t="shared" si="0"/>
        <v>0</v>
      </c>
      <c r="H29" s="567">
        <f t="shared" si="14"/>
        <v>1912</v>
      </c>
      <c r="I29" s="161">
        <f t="shared" si="1"/>
        <v>0</v>
      </c>
      <c r="J29" s="567">
        <f t="shared" si="14"/>
        <v>1838</v>
      </c>
      <c r="K29" s="162">
        <f t="shared" si="2"/>
        <v>0</v>
      </c>
      <c r="L29" s="305">
        <f t="shared" si="5"/>
        <v>0</v>
      </c>
      <c r="M29" s="305">
        <f t="shared" si="6"/>
        <v>0</v>
      </c>
      <c r="N29" s="305">
        <f t="shared" si="7"/>
        <v>0</v>
      </c>
      <c r="O29" s="305">
        <f t="shared" si="8"/>
        <v>58.653151280633864</v>
      </c>
      <c r="P29" s="306">
        <f t="shared" si="9"/>
        <v>58.653151280633864</v>
      </c>
      <c r="Q29" s="306">
        <f>SUM(-tanks!AX31*tanks!$AU$36)</f>
        <v>0</v>
      </c>
      <c r="R29" s="306">
        <f t="shared" si="10"/>
        <v>58.653151280633864</v>
      </c>
      <c r="S29" s="308">
        <f>SUM(ELEC!N28)</f>
        <v>0</v>
      </c>
      <c r="T29" s="345">
        <f t="shared" si="12"/>
        <v>0</v>
      </c>
      <c r="V29" s="216"/>
      <c r="W29" s="217"/>
      <c r="X29" s="217"/>
      <c r="Y29" s="218"/>
      <c r="Z29" s="3"/>
      <c r="AA29" s="294">
        <f>SUM(AA26:AA28)</f>
        <v>70167</v>
      </c>
      <c r="AB29" s="199"/>
      <c r="AC29" s="254"/>
    </row>
    <row r="30" spans="1:32" ht="14.25" customHeight="1">
      <c r="A30" s="163">
        <f>ELEC!C29</f>
        <v>44009</v>
      </c>
      <c r="B30" s="567">
        <f t="shared" si="13"/>
        <v>4163</v>
      </c>
      <c r="C30" s="270">
        <f t="shared" si="3"/>
        <v>0</v>
      </c>
      <c r="D30" s="317">
        <f t="shared" si="4"/>
        <v>0</v>
      </c>
      <c r="E30" s="317">
        <f t="shared" si="11"/>
        <v>4163</v>
      </c>
      <c r="F30" s="567">
        <f t="shared" si="14"/>
        <v>413</v>
      </c>
      <c r="G30" s="160">
        <f t="shared" si="0"/>
        <v>0</v>
      </c>
      <c r="H30" s="567">
        <f t="shared" si="14"/>
        <v>1912</v>
      </c>
      <c r="I30" s="161">
        <f t="shared" si="1"/>
        <v>0</v>
      </c>
      <c r="J30" s="567">
        <f t="shared" si="14"/>
        <v>1838</v>
      </c>
      <c r="K30" s="162">
        <f t="shared" si="2"/>
        <v>0</v>
      </c>
      <c r="L30" s="305">
        <f t="shared" si="5"/>
        <v>0</v>
      </c>
      <c r="M30" s="305">
        <f t="shared" si="6"/>
        <v>0</v>
      </c>
      <c r="N30" s="305">
        <f t="shared" si="7"/>
        <v>0</v>
      </c>
      <c r="O30" s="305">
        <f t="shared" si="8"/>
        <v>58.653151280633864</v>
      </c>
      <c r="P30" s="306">
        <f t="shared" si="9"/>
        <v>58.653151280633864</v>
      </c>
      <c r="Q30" s="306">
        <f>SUM(-tanks!AX32*tanks!$AU$36)</f>
        <v>0</v>
      </c>
      <c r="R30" s="306">
        <f t="shared" si="10"/>
        <v>58.653151280633864</v>
      </c>
      <c r="S30" s="308">
        <f>SUM(ELEC!N29)</f>
        <v>0</v>
      </c>
      <c r="T30" s="345">
        <f t="shared" si="12"/>
        <v>0</v>
      </c>
      <c r="V30" s="219" t="s">
        <v>317</v>
      </c>
      <c r="W30" s="458">
        <f>'General information '!F36</f>
        <v>1.7372727272727276E-2</v>
      </c>
      <c r="X30" s="220"/>
      <c r="Y30" s="221" t="s">
        <v>333</v>
      </c>
      <c r="Z30" s="3"/>
      <c r="AA30" s="294"/>
      <c r="AB30" s="199">
        <f>SUM(AB26:AB29)</f>
        <v>9019984</v>
      </c>
      <c r="AC30" s="254">
        <f>SUM(AC26:AC29)/A38*A36</f>
        <v>2652588.7666666666</v>
      </c>
    </row>
    <row r="31" spans="1:32">
      <c r="A31" s="163">
        <f>ELEC!C30</f>
        <v>44010</v>
      </c>
      <c r="B31" s="567">
        <f t="shared" si="13"/>
        <v>4163</v>
      </c>
      <c r="C31" s="270">
        <f t="shared" si="3"/>
        <v>0</v>
      </c>
      <c r="D31" s="317">
        <f t="shared" si="4"/>
        <v>0</v>
      </c>
      <c r="E31" s="317">
        <f t="shared" si="11"/>
        <v>4163</v>
      </c>
      <c r="F31" s="567">
        <f t="shared" si="14"/>
        <v>413</v>
      </c>
      <c r="G31" s="160">
        <f t="shared" si="0"/>
        <v>0</v>
      </c>
      <c r="H31" s="567">
        <f t="shared" si="14"/>
        <v>1912</v>
      </c>
      <c r="I31" s="161">
        <f t="shared" si="1"/>
        <v>0</v>
      </c>
      <c r="J31" s="567">
        <f t="shared" si="14"/>
        <v>1838</v>
      </c>
      <c r="K31" s="162">
        <f t="shared" si="2"/>
        <v>0</v>
      </c>
      <c r="L31" s="305">
        <f t="shared" si="5"/>
        <v>0</v>
      </c>
      <c r="M31" s="305">
        <f t="shared" si="6"/>
        <v>0</v>
      </c>
      <c r="N31" s="305">
        <f t="shared" si="7"/>
        <v>0</v>
      </c>
      <c r="O31" s="305">
        <f t="shared" si="8"/>
        <v>58.653151280633864</v>
      </c>
      <c r="P31" s="306">
        <f t="shared" si="9"/>
        <v>58.653151280633864</v>
      </c>
      <c r="Q31" s="306">
        <f>SUM(-tanks!AX33*tanks!$AU$36)</f>
        <v>0</v>
      </c>
      <c r="R31" s="306">
        <f t="shared" si="10"/>
        <v>58.653151280633864</v>
      </c>
      <c r="S31" s="308">
        <f>SUM(ELEC!N30)</f>
        <v>0</v>
      </c>
      <c r="T31" s="345">
        <f t="shared" si="12"/>
        <v>0</v>
      </c>
      <c r="V31" s="219" t="s">
        <v>318</v>
      </c>
      <c r="W31" s="220">
        <f>SUM(GEN!U33)</f>
        <v>46</v>
      </c>
      <c r="X31" s="225">
        <f>SUM(W31/A36)</f>
        <v>4.1818181818181817</v>
      </c>
      <c r="Y31" s="266">
        <f>SUM(X31/2)</f>
        <v>2.0909090909090908</v>
      </c>
      <c r="Z31" s="3"/>
      <c r="AA31" s="3"/>
      <c r="AB31" s="199">
        <f>SUM(AB30+AC31)</f>
        <v>11672572.766666666</v>
      </c>
      <c r="AC31" s="254">
        <f>SUM(AC30)</f>
        <v>2652588.7666666666</v>
      </c>
    </row>
    <row r="32" spans="1:32">
      <c r="A32" s="163">
        <f>ELEC!C31</f>
        <v>44011</v>
      </c>
      <c r="B32" s="567">
        <f t="shared" si="13"/>
        <v>4163</v>
      </c>
      <c r="C32" s="270">
        <f t="shared" si="3"/>
        <v>0</v>
      </c>
      <c r="D32" s="317">
        <f t="shared" si="4"/>
        <v>0</v>
      </c>
      <c r="E32" s="317">
        <f t="shared" si="11"/>
        <v>4163</v>
      </c>
      <c r="F32" s="567">
        <f t="shared" si="14"/>
        <v>413</v>
      </c>
      <c r="G32" s="160">
        <f t="shared" si="0"/>
        <v>0</v>
      </c>
      <c r="H32" s="567">
        <f t="shared" si="14"/>
        <v>1912</v>
      </c>
      <c r="I32" s="161">
        <f t="shared" si="1"/>
        <v>0</v>
      </c>
      <c r="J32" s="567">
        <f t="shared" si="14"/>
        <v>1838</v>
      </c>
      <c r="K32" s="162">
        <f t="shared" si="2"/>
        <v>0</v>
      </c>
      <c r="L32" s="305">
        <f t="shared" si="5"/>
        <v>0</v>
      </c>
      <c r="M32" s="305">
        <f t="shared" si="6"/>
        <v>0</v>
      </c>
      <c r="N32" s="305">
        <f t="shared" si="7"/>
        <v>0</v>
      </c>
      <c r="O32" s="305">
        <f t="shared" si="8"/>
        <v>58.653151280633864</v>
      </c>
      <c r="P32" s="306">
        <f t="shared" si="9"/>
        <v>58.653151280633864</v>
      </c>
      <c r="Q32" s="306">
        <f>SUM(-tanks!AX34*tanks!$AU$36)</f>
        <v>0</v>
      </c>
      <c r="R32" s="306">
        <f t="shared" si="10"/>
        <v>58.653151280633864</v>
      </c>
      <c r="S32" s="308">
        <f>SUM(ELEC!N31)</f>
        <v>0</v>
      </c>
      <c r="T32" s="345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29">
      <c r="A33" s="163">
        <f>ELEC!C32</f>
        <v>44012</v>
      </c>
      <c r="B33" s="567">
        <f t="shared" si="13"/>
        <v>4163</v>
      </c>
      <c r="C33" s="270">
        <f t="shared" si="3"/>
        <v>0</v>
      </c>
      <c r="D33" s="317">
        <f t="shared" si="4"/>
        <v>0</v>
      </c>
      <c r="E33" s="317">
        <f t="shared" si="11"/>
        <v>4163</v>
      </c>
      <c r="F33" s="567">
        <f t="shared" si="14"/>
        <v>413</v>
      </c>
      <c r="G33" s="160">
        <f>F33-F32</f>
        <v>0</v>
      </c>
      <c r="H33" s="567">
        <f t="shared" si="14"/>
        <v>1912</v>
      </c>
      <c r="I33" s="161">
        <f t="shared" si="1"/>
        <v>0</v>
      </c>
      <c r="J33" s="567">
        <f t="shared" si="14"/>
        <v>1838</v>
      </c>
      <c r="K33" s="162">
        <f t="shared" si="2"/>
        <v>0</v>
      </c>
      <c r="L33" s="305">
        <f>SUM(G33*$Y$28)/1507.5</f>
        <v>0</v>
      </c>
      <c r="M33" s="305">
        <f t="shared" si="6"/>
        <v>0</v>
      </c>
      <c r="N33" s="305">
        <f t="shared" si="7"/>
        <v>0</v>
      </c>
      <c r="O33" s="305">
        <f t="shared" si="8"/>
        <v>58.653151280633864</v>
      </c>
      <c r="P33" s="306">
        <f>SUM(L33:O33)</f>
        <v>58.653151280633864</v>
      </c>
      <c r="Q33" s="306">
        <f>SUM(-tanks!AX35*tanks!$AU$36)</f>
        <v>0</v>
      </c>
      <c r="R33" s="306">
        <f>SUM(P33:Q33)</f>
        <v>58.653151280633864</v>
      </c>
      <c r="S33" s="308">
        <f>SUM(ELEC!N32)</f>
        <v>0</v>
      </c>
      <c r="T33" s="345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29">
      <c r="A34" s="570"/>
      <c r="B34" s="571"/>
      <c r="C34" s="572">
        <f>SUM(C4:C33)</f>
        <v>70165</v>
      </c>
      <c r="D34" s="571">
        <f t="shared" si="4"/>
        <v>70167</v>
      </c>
      <c r="E34" s="571"/>
      <c r="F34" s="571"/>
      <c r="G34" s="571">
        <f>SUM(G4:G33)</f>
        <v>9338</v>
      </c>
      <c r="H34" s="571"/>
      <c r="I34" s="571">
        <f>SUM(I4:I33)</f>
        <v>36422</v>
      </c>
      <c r="J34" s="571"/>
      <c r="K34" s="571">
        <f>SUM(K4:K33)</f>
        <v>24407</v>
      </c>
      <c r="L34" s="573">
        <f>SUM(G34*$Y$28)/1507.5</f>
        <v>1982.195688225539</v>
      </c>
      <c r="M34" s="573">
        <f t="shared" si="6"/>
        <v>2705.9794361525705</v>
      </c>
      <c r="N34" s="573">
        <f t="shared" si="7"/>
        <v>1295.2305140961857</v>
      </c>
      <c r="O34" s="573"/>
      <c r="P34" s="574"/>
      <c r="Q34" s="574"/>
      <c r="R34" s="574"/>
      <c r="S34" s="575"/>
      <c r="T34" s="576"/>
      <c r="V34" s="219"/>
      <c r="W34" s="220"/>
      <c r="X34" s="220"/>
      <c r="Y34" s="220"/>
      <c r="Z34" s="3"/>
      <c r="AA34" s="3"/>
      <c r="AB34" s="3"/>
      <c r="AC34" s="246"/>
    </row>
    <row r="35" spans="1:29">
      <c r="A35" s="570"/>
      <c r="B35" s="571"/>
      <c r="C35" s="572"/>
      <c r="D35" s="572"/>
      <c r="E35" s="572"/>
      <c r="F35" s="571"/>
      <c r="G35" s="571"/>
      <c r="H35" s="571"/>
      <c r="I35" s="571"/>
      <c r="J35" s="571"/>
      <c r="K35" s="577"/>
      <c r="L35" s="574"/>
      <c r="M35" s="574"/>
      <c r="N35" s="574"/>
      <c r="O35" s="574"/>
      <c r="P35" s="575"/>
      <c r="Q35" s="575"/>
      <c r="R35" s="575"/>
      <c r="S35" s="575"/>
      <c r="T35" s="576"/>
      <c r="V35" s="258"/>
      <c r="W35" s="17"/>
      <c r="X35" s="17"/>
      <c r="Y35" s="17"/>
      <c r="Z35" s="3" t="s">
        <v>214</v>
      </c>
      <c r="AA35" s="285">
        <v>0.11</v>
      </c>
      <c r="AB35" s="300">
        <f>SUM(AB31*AA35)</f>
        <v>1283983.0043333333</v>
      </c>
      <c r="AC35" s="287"/>
    </row>
    <row r="36" spans="1:29" ht="15.75" thickBot="1">
      <c r="A36" s="569">
        <f>A38-COUNTIF(C4:C34,0)</f>
        <v>11</v>
      </c>
      <c r="C36" s="176">
        <f>SUM(C4:C34)/A36</f>
        <v>12757.272727272728</v>
      </c>
      <c r="D36" s="176"/>
      <c r="E36" s="176"/>
      <c r="G36" s="176">
        <f>SUM(G4:G34)/A36</f>
        <v>1697.8181818181818</v>
      </c>
      <c r="I36" s="176">
        <f>SUM(I4:I34)/A36</f>
        <v>6622.181818181818</v>
      </c>
      <c r="K36" s="176"/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9"/>
      <c r="V36" s="232"/>
      <c r="W36" s="233"/>
      <c r="X36" s="233"/>
      <c r="Y36" s="233"/>
      <c r="Z36" s="3"/>
      <c r="AA36" s="45"/>
      <c r="AB36" s="300">
        <f>SUM(AB31+AB35)</f>
        <v>12956555.771</v>
      </c>
      <c r="AC36" s="287"/>
    </row>
    <row r="37" spans="1:29" ht="15.75" thickBot="1">
      <c r="A37" s="213"/>
      <c r="C37" s="215">
        <f>SUM(G37:K37)</f>
        <v>0.65217701133043526</v>
      </c>
      <c r="G37" s="228">
        <f>IF(C36&gt;0,G36/C36,0)</f>
        <v>0.13308629658661725</v>
      </c>
      <c r="H37" s="215"/>
      <c r="I37" s="228">
        <f>SUM(I36/C36)</f>
        <v>0.51909071474381807</v>
      </c>
      <c r="J37" s="215"/>
      <c r="K37" s="228">
        <f>SUM(K35/C36)</f>
        <v>0</v>
      </c>
      <c r="L37" s="228"/>
      <c r="M37" s="228"/>
      <c r="N37" s="228"/>
      <c r="O37" s="228"/>
      <c r="P37" s="228"/>
      <c r="Q37" s="228"/>
      <c r="R37" s="228"/>
      <c r="S37" s="310"/>
      <c r="V37" s="232"/>
      <c r="W37" s="233"/>
      <c r="X37" s="233"/>
      <c r="Y37" s="233"/>
      <c r="Z37" s="233"/>
      <c r="AA37" s="233" t="s">
        <v>215</v>
      </c>
      <c r="AB37" s="300">
        <f>SUM(AB31/1507.5)</f>
        <v>7743.0001768933107</v>
      </c>
      <c r="AC37" s="287"/>
    </row>
    <row r="38" spans="1:29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2"/>
      <c r="W38" s="222"/>
      <c r="X38" s="222"/>
      <c r="Y38" s="223"/>
      <c r="Z38" s="174"/>
      <c r="AA38" s="174"/>
      <c r="AB38" s="262"/>
      <c r="AC38" s="175"/>
    </row>
    <row r="39" spans="1:29">
      <c r="V39" s="220"/>
      <c r="W39" s="83">
        <f>AC30/1500</f>
        <v>1768.3925111111112</v>
      </c>
      <c r="Z39" s="40"/>
      <c r="AA39" s="301" t="s">
        <v>215</v>
      </c>
      <c r="AB39" s="302">
        <f>SUM(AB37)</f>
        <v>7743.0001768933107</v>
      </c>
    </row>
    <row r="40" spans="1:29">
      <c r="V40" s="220"/>
      <c r="W40" s="83">
        <f>AB30/1500</f>
        <v>6013.3226666666669</v>
      </c>
      <c r="Z40" s="303">
        <f>SUM(AB39)</f>
        <v>7743.0001768933107</v>
      </c>
      <c r="AA40" s="302"/>
      <c r="AB40" s="302"/>
    </row>
    <row r="41" spans="1:29">
      <c r="V41" s="17"/>
      <c r="W41" s="83">
        <f>SUM(W39:W40)</f>
        <v>7781.7151777777781</v>
      </c>
      <c r="Y41" s="83"/>
      <c r="Z41" s="303">
        <f>SUM(-tanks!AX36)*tanks!AU36</f>
        <v>1989.8503225806458</v>
      </c>
      <c r="AA41" s="102">
        <f>SUM(AB31/A36)</f>
        <v>1061142.9787878788</v>
      </c>
      <c r="AB41" s="360">
        <f>SUM(AA41*A38)</f>
        <v>31834289.363636363</v>
      </c>
    </row>
    <row r="42" spans="1:29" ht="18.75">
      <c r="W42" s="83">
        <f>AB30/1500</f>
        <v>6013.3226666666669</v>
      </c>
      <c r="Z42" s="283">
        <f>SUM(Z40:Z41)</f>
        <v>9732.850499473956</v>
      </c>
      <c r="AA42" s="302">
        <f>SUM(AA41/1507.5)</f>
        <v>703.90910699030098</v>
      </c>
      <c r="AB42" s="359">
        <f>SUM(AB41/1507.5)</f>
        <v>21117.27320970903</v>
      </c>
    </row>
    <row r="43" spans="1:29">
      <c r="D43" s="540"/>
      <c r="E43" s="540"/>
      <c r="F43" s="540"/>
      <c r="W43" s="83">
        <f>SUM(W41:W42)</f>
        <v>13795.037844444445</v>
      </c>
      <c r="Z43" s="304" t="e">
        <f>SUM(ELEC!#REF!)</f>
        <v>#REF!</v>
      </c>
    </row>
    <row r="44" spans="1:29">
      <c r="Z44" s="302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3 I5:I13 I20:I24 I26:I33 G20:G28 I16:I18 G30:G32 G15:G18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2" activePane="bottomLeft" state="frozen"/>
      <selection pane="bottomLeft" activeCell="P16" sqref="P1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8" customWidth="1"/>
    <col min="12" max="12" width="26.42578125" bestFit="1" customWidth="1"/>
    <col min="14" max="14" width="14.28515625" customWidth="1"/>
  </cols>
  <sheetData>
    <row r="1" spans="1:18" ht="39.75" customHeight="1" thickBot="1">
      <c r="A1" s="672" t="s">
        <v>51</v>
      </c>
      <c r="B1" s="684" t="s">
        <v>321</v>
      </c>
      <c r="C1" s="685"/>
      <c r="D1" s="687"/>
      <c r="E1" s="684" t="s">
        <v>322</v>
      </c>
      <c r="F1" s="685"/>
      <c r="G1" s="686"/>
      <c r="H1" s="681" t="s">
        <v>327</v>
      </c>
      <c r="I1" s="678" t="s">
        <v>328</v>
      </c>
      <c r="J1" s="675" t="s">
        <v>43</v>
      </c>
    </row>
    <row r="2" spans="1:18" ht="57" thickBot="1">
      <c r="A2" s="673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82"/>
      <c r="I2" s="679"/>
      <c r="J2" s="676"/>
    </row>
    <row r="3" spans="1:18" ht="24" customHeight="1" thickBot="1">
      <c r="A3" s="674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83"/>
      <c r="I3" s="680"/>
      <c r="J3" s="677"/>
    </row>
    <row r="4" spans="1:18" ht="19.5" thickBot="1">
      <c r="A4" s="248"/>
      <c r="B4" s="526"/>
      <c r="C4" s="526"/>
      <c r="D4" s="526"/>
      <c r="E4" s="526"/>
      <c r="F4" s="526"/>
      <c r="G4" s="526"/>
      <c r="H4" s="249">
        <v>0</v>
      </c>
      <c r="I4" s="249"/>
      <c r="J4" s="503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5">
        <f>ELEC!C2</f>
        <v>43982</v>
      </c>
      <c r="B5" s="527">
        <f>'[2]Swimming Pool quality check '!B36</f>
        <v>2</v>
      </c>
      <c r="C5" s="527">
        <f>'[2]Swimming Pool quality check '!C36</f>
        <v>7.8</v>
      </c>
      <c r="D5" s="527">
        <f>'[2]Swimming Pool quality check '!D36</f>
        <v>29</v>
      </c>
      <c r="E5" s="527">
        <f>'[2]Swimming Pool quality check '!E36</f>
        <v>2</v>
      </c>
      <c r="F5" s="527">
        <f>'[2]Swimming Pool quality check '!F36</f>
        <v>8</v>
      </c>
      <c r="G5" s="527">
        <f>'[2]Swimming Pool quality check '!G36</f>
        <v>35</v>
      </c>
      <c r="H5" s="527">
        <f>'[2]Swimming Pool quality check '!H36</f>
        <v>6208</v>
      </c>
      <c r="I5" s="527">
        <f>'[2]Swimming Pool quality check '!I36</f>
        <v>5</v>
      </c>
      <c r="J5" s="538">
        <f>'[7]Swimming Pool quality check '!J36</f>
        <v>0.33333333333333398</v>
      </c>
      <c r="K5" s="419">
        <v>0</v>
      </c>
      <c r="L5" s="556">
        <f>A5</f>
        <v>43982</v>
      </c>
      <c r="M5" s="527">
        <f>'[2]Swimming Pool quality check '!M36</f>
        <v>6194</v>
      </c>
      <c r="N5" s="527">
        <f>'[2]Swimming Pool quality check '!N36</f>
        <v>642</v>
      </c>
      <c r="O5" s="527">
        <f>'[2]Swimming Pool quality check '!O36</f>
        <v>6836</v>
      </c>
    </row>
    <row r="6" spans="1:18" ht="15.75" customHeight="1" thickBot="1">
      <c r="A6" s="244">
        <f>ELEC!C3</f>
        <v>43983</v>
      </c>
      <c r="B6" s="580">
        <v>5.5</v>
      </c>
      <c r="C6" s="581">
        <v>7.84</v>
      </c>
      <c r="D6" s="582">
        <v>29</v>
      </c>
      <c r="E6" s="582">
        <v>4</v>
      </c>
      <c r="F6" s="582">
        <v>8</v>
      </c>
      <c r="G6" s="582">
        <v>35</v>
      </c>
      <c r="H6" s="582">
        <v>6212</v>
      </c>
      <c r="I6" s="527">
        <f>H6-H5</f>
        <v>4</v>
      </c>
      <c r="J6" s="504">
        <v>0.29166666666666669</v>
      </c>
      <c r="L6" s="100">
        <f t="shared" ref="L6:L35" si="0">A6</f>
        <v>43983</v>
      </c>
      <c r="M6" s="3">
        <f>M5</f>
        <v>6194</v>
      </c>
      <c r="N6" s="527">
        <v>487</v>
      </c>
      <c r="O6" s="527">
        <f t="shared" ref="O6:O35" si="1">M6+N6</f>
        <v>6681</v>
      </c>
    </row>
    <row r="7" spans="1:18" ht="15.75" thickBot="1">
      <c r="A7" s="244">
        <f>ELEC!C4</f>
        <v>43984</v>
      </c>
      <c r="B7" s="560">
        <v>3</v>
      </c>
      <c r="C7" s="579">
        <v>7.8</v>
      </c>
      <c r="D7" s="170">
        <v>27.5</v>
      </c>
      <c r="E7" s="170">
        <v>1</v>
      </c>
      <c r="F7" s="170">
        <v>8.3000000000000007</v>
      </c>
      <c r="G7" s="170">
        <v>34</v>
      </c>
      <c r="H7" s="578">
        <v>6214</v>
      </c>
      <c r="I7" s="527">
        <f t="shared" ref="I7:I35" si="2">H7-H6</f>
        <v>2</v>
      </c>
      <c r="J7" s="505">
        <v>0.29166666666666669</v>
      </c>
      <c r="L7" s="100">
        <f t="shared" si="0"/>
        <v>43984</v>
      </c>
      <c r="M7" s="3">
        <f t="shared" ref="M7:M35" si="3">M6</f>
        <v>6194</v>
      </c>
      <c r="N7" s="527">
        <v>487</v>
      </c>
      <c r="O7" s="527">
        <f t="shared" si="1"/>
        <v>6681</v>
      </c>
    </row>
    <row r="8" spans="1:18" ht="15.75" thickBot="1">
      <c r="A8" s="244">
        <f>ELEC!C5</f>
        <v>43985</v>
      </c>
      <c r="B8" s="560">
        <v>1</v>
      </c>
      <c r="C8" s="559">
        <v>7.9</v>
      </c>
      <c r="D8" s="170">
        <v>24</v>
      </c>
      <c r="E8" s="170">
        <v>1.5</v>
      </c>
      <c r="F8" s="170">
        <v>8.3000000000000007</v>
      </c>
      <c r="G8" s="170">
        <v>34</v>
      </c>
      <c r="H8" s="578">
        <v>6218</v>
      </c>
      <c r="I8" s="527">
        <f t="shared" si="2"/>
        <v>4</v>
      </c>
      <c r="J8" s="505">
        <v>0.29166666666666669</v>
      </c>
      <c r="L8" s="100">
        <f t="shared" si="0"/>
        <v>43985</v>
      </c>
      <c r="M8" s="3">
        <f t="shared" si="3"/>
        <v>6194</v>
      </c>
      <c r="N8" s="527">
        <v>487</v>
      </c>
      <c r="O8" s="527">
        <f t="shared" si="1"/>
        <v>6681</v>
      </c>
    </row>
    <row r="9" spans="1:18" ht="15.75" thickBot="1">
      <c r="A9" s="244">
        <f>ELEC!C6</f>
        <v>43986</v>
      </c>
      <c r="B9" s="560">
        <v>2.5</v>
      </c>
      <c r="C9" s="589">
        <v>7.8</v>
      </c>
      <c r="D9" s="170">
        <v>29</v>
      </c>
      <c r="E9" s="170">
        <v>1.2</v>
      </c>
      <c r="F9" s="170">
        <v>7.8</v>
      </c>
      <c r="G9" s="170">
        <v>35</v>
      </c>
      <c r="H9" s="170">
        <v>6218</v>
      </c>
      <c r="I9" s="527">
        <f t="shared" si="2"/>
        <v>0</v>
      </c>
      <c r="J9" s="505">
        <v>0.29166666666666669</v>
      </c>
      <c r="L9" s="100">
        <f t="shared" si="0"/>
        <v>43986</v>
      </c>
      <c r="M9" s="3">
        <f t="shared" si="3"/>
        <v>6194</v>
      </c>
      <c r="N9" s="527">
        <v>487</v>
      </c>
      <c r="O9" s="527">
        <f t="shared" si="1"/>
        <v>6681</v>
      </c>
    </row>
    <row r="10" spans="1:18" ht="15.75" thickBot="1">
      <c r="A10" s="244">
        <f>ELEC!C7</f>
        <v>43987</v>
      </c>
      <c r="B10" s="527">
        <v>1.5</v>
      </c>
      <c r="C10" s="527">
        <v>7.7</v>
      </c>
      <c r="D10" s="527">
        <v>29</v>
      </c>
      <c r="E10" s="170">
        <v>2.4</v>
      </c>
      <c r="F10" s="170">
        <v>8</v>
      </c>
      <c r="G10" s="170">
        <v>37</v>
      </c>
      <c r="H10" s="578">
        <v>6228</v>
      </c>
      <c r="I10" s="527">
        <f t="shared" si="2"/>
        <v>10</v>
      </c>
      <c r="J10" s="505">
        <v>0.29166666666666669</v>
      </c>
      <c r="L10" s="100">
        <f t="shared" si="0"/>
        <v>43987</v>
      </c>
      <c r="M10" s="3">
        <f t="shared" si="3"/>
        <v>6194</v>
      </c>
      <c r="N10" s="527">
        <v>487</v>
      </c>
      <c r="O10" s="527">
        <f t="shared" si="1"/>
        <v>6681</v>
      </c>
    </row>
    <row r="11" spans="1:18" ht="15.75" thickBot="1">
      <c r="A11" s="244">
        <f>ELEC!C8</f>
        <v>43988</v>
      </c>
      <c r="B11" s="527">
        <v>2.2000000000000002</v>
      </c>
      <c r="C11" s="527">
        <v>7.8</v>
      </c>
      <c r="D11" s="527">
        <v>28</v>
      </c>
      <c r="E11" s="527">
        <v>1.1000000000000001</v>
      </c>
      <c r="F11" s="527">
        <v>8.3000000000000007</v>
      </c>
      <c r="G11" s="527">
        <v>34</v>
      </c>
      <c r="H11" s="578">
        <v>6232</v>
      </c>
      <c r="I11" s="527">
        <f t="shared" si="2"/>
        <v>4</v>
      </c>
      <c r="J11" s="505">
        <v>0.29166666666666669</v>
      </c>
      <c r="L11" s="100">
        <f t="shared" si="0"/>
        <v>43988</v>
      </c>
      <c r="M11" s="3">
        <f t="shared" si="3"/>
        <v>6194</v>
      </c>
      <c r="N11" s="527">
        <v>487</v>
      </c>
      <c r="O11" s="527">
        <f t="shared" si="1"/>
        <v>6681</v>
      </c>
    </row>
    <row r="12" spans="1:18" ht="16.5" thickBot="1">
      <c r="A12" s="244">
        <f>ELEC!C9</f>
        <v>43989</v>
      </c>
      <c r="B12" s="527">
        <v>1.98</v>
      </c>
      <c r="C12" s="527">
        <v>7.7</v>
      </c>
      <c r="D12" s="527">
        <v>27</v>
      </c>
      <c r="E12" s="527">
        <v>2.2999999999999998</v>
      </c>
      <c r="F12" s="527">
        <v>8.5</v>
      </c>
      <c r="G12" s="527">
        <v>33</v>
      </c>
      <c r="H12" s="578">
        <f t="shared" ref="H12:H35" si="4">H11</f>
        <v>6232</v>
      </c>
      <c r="I12" s="527">
        <f t="shared" si="2"/>
        <v>0</v>
      </c>
      <c r="J12" s="505">
        <v>0.29166666666666669</v>
      </c>
      <c r="L12" s="100">
        <f t="shared" si="0"/>
        <v>43989</v>
      </c>
      <c r="M12" s="3">
        <f t="shared" si="3"/>
        <v>6194</v>
      </c>
      <c r="N12" s="527">
        <v>487</v>
      </c>
      <c r="O12" s="527">
        <f t="shared" si="1"/>
        <v>6681</v>
      </c>
      <c r="P12" s="452"/>
      <c r="Q12" s="370"/>
      <c r="R12" s="370"/>
    </row>
    <row r="13" spans="1:18" ht="15.75" thickBot="1">
      <c r="A13" s="244">
        <f>ELEC!C10</f>
        <v>43990</v>
      </c>
      <c r="B13" s="560">
        <v>1</v>
      </c>
      <c r="C13" s="590">
        <v>7.8</v>
      </c>
      <c r="D13" s="170">
        <v>28</v>
      </c>
      <c r="E13" s="170">
        <v>1.4</v>
      </c>
      <c r="F13" s="170">
        <v>8</v>
      </c>
      <c r="G13" s="170">
        <v>35</v>
      </c>
      <c r="H13" s="591">
        <v>6242</v>
      </c>
      <c r="I13" s="527">
        <f t="shared" si="2"/>
        <v>10</v>
      </c>
      <c r="J13" s="505">
        <v>0.29166666666666669</v>
      </c>
      <c r="L13" s="100">
        <f t="shared" si="0"/>
        <v>43990</v>
      </c>
      <c r="M13" s="3">
        <f t="shared" si="3"/>
        <v>6194</v>
      </c>
      <c r="N13" s="527">
        <v>487</v>
      </c>
      <c r="O13" s="527">
        <f t="shared" si="1"/>
        <v>6681</v>
      </c>
    </row>
    <row r="14" spans="1:18" ht="15.75" thickBot="1">
      <c r="A14" s="244">
        <f>ELEC!C11</f>
        <v>43991</v>
      </c>
      <c r="B14" s="259">
        <v>2.5</v>
      </c>
      <c r="C14" s="562">
        <v>7.7</v>
      </c>
      <c r="D14" s="170">
        <v>22</v>
      </c>
      <c r="E14" s="170">
        <v>1.5</v>
      </c>
      <c r="F14" s="170">
        <v>8</v>
      </c>
      <c r="G14" s="170">
        <v>35</v>
      </c>
      <c r="H14" s="578">
        <v>6247</v>
      </c>
      <c r="I14" s="527">
        <f t="shared" si="2"/>
        <v>5</v>
      </c>
      <c r="J14" s="505">
        <v>0.29166666666666669</v>
      </c>
      <c r="L14" s="100">
        <f t="shared" si="0"/>
        <v>43991</v>
      </c>
      <c r="M14" s="3">
        <f t="shared" si="3"/>
        <v>6194</v>
      </c>
      <c r="N14" s="527">
        <v>487</v>
      </c>
      <c r="O14" s="527">
        <f t="shared" si="1"/>
        <v>6681</v>
      </c>
    </row>
    <row r="15" spans="1:18" ht="15.75" thickBot="1">
      <c r="A15" s="244">
        <f>ELEC!C12</f>
        <v>43992</v>
      </c>
      <c r="B15" s="259">
        <v>2.2999999999999998</v>
      </c>
      <c r="C15" s="563">
        <v>7.8</v>
      </c>
      <c r="D15" s="170">
        <v>29</v>
      </c>
      <c r="E15" s="170">
        <v>1.5</v>
      </c>
      <c r="F15" s="170">
        <v>8.1</v>
      </c>
      <c r="G15" s="170">
        <v>35</v>
      </c>
      <c r="H15" s="578">
        <v>6252</v>
      </c>
      <c r="I15" s="527">
        <f t="shared" si="2"/>
        <v>5</v>
      </c>
      <c r="J15" s="505">
        <v>0.29166666666666669</v>
      </c>
      <c r="L15" s="100">
        <f t="shared" si="0"/>
        <v>43992</v>
      </c>
      <c r="M15" s="3">
        <f t="shared" si="3"/>
        <v>6194</v>
      </c>
      <c r="N15" s="527">
        <v>487</v>
      </c>
      <c r="O15" s="527">
        <f t="shared" si="1"/>
        <v>6681</v>
      </c>
    </row>
    <row r="16" spans="1:18" ht="15.75" thickBot="1">
      <c r="A16" s="244">
        <f>ELEC!C13</f>
        <v>43993</v>
      </c>
      <c r="B16" s="259">
        <v>2.48</v>
      </c>
      <c r="C16" s="564">
        <v>7.8</v>
      </c>
      <c r="D16" s="170">
        <v>29</v>
      </c>
      <c r="E16" s="170">
        <v>2</v>
      </c>
      <c r="F16" s="170">
        <v>7.8</v>
      </c>
      <c r="G16" s="170">
        <v>36</v>
      </c>
      <c r="H16" s="578">
        <v>6258</v>
      </c>
      <c r="I16" s="527">
        <f t="shared" si="2"/>
        <v>6</v>
      </c>
      <c r="J16" s="505">
        <v>0.29166666666666669</v>
      </c>
      <c r="L16" s="100">
        <f t="shared" si="0"/>
        <v>43993</v>
      </c>
      <c r="M16" s="3">
        <f t="shared" si="3"/>
        <v>6194</v>
      </c>
      <c r="N16" s="527">
        <v>487</v>
      </c>
      <c r="O16" s="527">
        <f t="shared" si="1"/>
        <v>6681</v>
      </c>
    </row>
    <row r="17" spans="1:17" ht="15.75" thickBot="1">
      <c r="A17" s="244">
        <f>ELEC!C14</f>
        <v>43994</v>
      </c>
      <c r="B17" s="527"/>
      <c r="C17" s="527"/>
      <c r="D17" s="527"/>
      <c r="E17" s="527"/>
      <c r="F17" s="527"/>
      <c r="G17" s="527"/>
      <c r="H17" s="578">
        <f t="shared" si="4"/>
        <v>6258</v>
      </c>
      <c r="I17" s="527">
        <f t="shared" si="2"/>
        <v>0</v>
      </c>
      <c r="J17" s="505">
        <v>0.29166666666666669</v>
      </c>
      <c r="L17" s="100">
        <f t="shared" si="0"/>
        <v>43994</v>
      </c>
      <c r="M17" s="3">
        <f t="shared" si="3"/>
        <v>6194</v>
      </c>
      <c r="N17" s="527">
        <v>487</v>
      </c>
      <c r="O17" s="527">
        <f t="shared" si="1"/>
        <v>6681</v>
      </c>
    </row>
    <row r="18" spans="1:17" ht="15.75" thickBot="1">
      <c r="A18" s="244">
        <f>ELEC!C15</f>
        <v>43995</v>
      </c>
      <c r="B18" s="527"/>
      <c r="C18" s="527"/>
      <c r="D18" s="527"/>
      <c r="E18" s="527"/>
      <c r="F18" s="527"/>
      <c r="G18" s="527"/>
      <c r="H18" s="578">
        <f t="shared" si="4"/>
        <v>6258</v>
      </c>
      <c r="I18" s="527">
        <f t="shared" si="2"/>
        <v>0</v>
      </c>
      <c r="J18" s="505">
        <v>0.29166666666666669</v>
      </c>
      <c r="L18" s="100">
        <f t="shared" si="0"/>
        <v>43995</v>
      </c>
      <c r="M18" s="3">
        <f t="shared" si="3"/>
        <v>6194</v>
      </c>
      <c r="N18" s="527">
        <v>487</v>
      </c>
      <c r="O18" s="527">
        <f t="shared" si="1"/>
        <v>6681</v>
      </c>
    </row>
    <row r="19" spans="1:17" ht="15.75" thickBot="1">
      <c r="A19" s="244">
        <f>ELEC!C16</f>
        <v>43996</v>
      </c>
      <c r="B19" s="527"/>
      <c r="C19" s="527"/>
      <c r="D19" s="527"/>
      <c r="E19" s="527"/>
      <c r="F19" s="527"/>
      <c r="G19" s="537"/>
      <c r="H19" s="578">
        <f t="shared" si="4"/>
        <v>6258</v>
      </c>
      <c r="I19" s="527">
        <f t="shared" si="2"/>
        <v>0</v>
      </c>
      <c r="J19" s="505">
        <v>0.29166666666666669</v>
      </c>
      <c r="L19" s="100">
        <f t="shared" si="0"/>
        <v>43996</v>
      </c>
      <c r="M19" s="3">
        <f t="shared" si="3"/>
        <v>6194</v>
      </c>
      <c r="N19" s="527">
        <v>487</v>
      </c>
      <c r="O19" s="527">
        <f t="shared" si="1"/>
        <v>6681</v>
      </c>
    </row>
    <row r="20" spans="1:17" ht="15.75" thickBot="1">
      <c r="A20" s="244">
        <f>ELEC!C17</f>
        <v>43997</v>
      </c>
      <c r="B20" s="527"/>
      <c r="C20" s="527"/>
      <c r="D20" s="527"/>
      <c r="E20" s="527"/>
      <c r="F20" s="527"/>
      <c r="G20" s="527"/>
      <c r="H20" s="578">
        <f t="shared" si="4"/>
        <v>6258</v>
      </c>
      <c r="I20" s="527">
        <f t="shared" si="2"/>
        <v>0</v>
      </c>
      <c r="J20" s="505">
        <v>0.29166666666666669</v>
      </c>
      <c r="L20" s="100">
        <f t="shared" si="0"/>
        <v>43997</v>
      </c>
      <c r="M20" s="3">
        <f t="shared" si="3"/>
        <v>6194</v>
      </c>
      <c r="N20" s="527">
        <v>487</v>
      </c>
      <c r="O20" s="527">
        <f t="shared" si="1"/>
        <v>6681</v>
      </c>
    </row>
    <row r="21" spans="1:17" ht="15.75" thickBot="1">
      <c r="A21" s="244">
        <f>ELEC!C18</f>
        <v>43998</v>
      </c>
      <c r="B21" s="527"/>
      <c r="C21" s="527"/>
      <c r="D21" s="527"/>
      <c r="E21" s="527"/>
      <c r="F21" s="527"/>
      <c r="G21" s="527"/>
      <c r="H21" s="578">
        <f t="shared" si="4"/>
        <v>6258</v>
      </c>
      <c r="I21" s="527">
        <f t="shared" si="2"/>
        <v>0</v>
      </c>
      <c r="J21" s="505">
        <v>0.29166666666666669</v>
      </c>
      <c r="L21" s="100">
        <f t="shared" si="0"/>
        <v>43998</v>
      </c>
      <c r="M21" s="3">
        <f t="shared" si="3"/>
        <v>6194</v>
      </c>
      <c r="N21" s="527">
        <v>487</v>
      </c>
      <c r="O21" s="527">
        <f t="shared" si="1"/>
        <v>6681</v>
      </c>
    </row>
    <row r="22" spans="1:17" ht="15.75" thickBot="1">
      <c r="A22" s="244">
        <f>ELEC!C19</f>
        <v>43999</v>
      </c>
      <c r="B22" s="259"/>
      <c r="C22" s="565"/>
      <c r="D22" s="170"/>
      <c r="E22" s="170"/>
      <c r="F22" s="170"/>
      <c r="G22" s="170"/>
      <c r="H22" s="578">
        <f t="shared" si="4"/>
        <v>6258</v>
      </c>
      <c r="I22" s="527">
        <f t="shared" si="2"/>
        <v>0</v>
      </c>
      <c r="J22" s="505">
        <v>0.29166666666666669</v>
      </c>
      <c r="L22" s="100">
        <f t="shared" si="0"/>
        <v>43999</v>
      </c>
      <c r="M22" s="3">
        <f t="shared" si="3"/>
        <v>6194</v>
      </c>
      <c r="N22" s="527">
        <v>487</v>
      </c>
      <c r="O22" s="527">
        <f t="shared" si="1"/>
        <v>6681</v>
      </c>
    </row>
    <row r="23" spans="1:17" ht="15.75" thickBot="1">
      <c r="A23" s="244">
        <f>ELEC!C20</f>
        <v>44000</v>
      </c>
      <c r="B23" s="170"/>
      <c r="C23" s="170"/>
      <c r="D23" s="170"/>
      <c r="E23" s="170"/>
      <c r="F23" s="170"/>
      <c r="G23" s="170"/>
      <c r="H23" s="578">
        <f t="shared" si="4"/>
        <v>6258</v>
      </c>
      <c r="I23" s="527">
        <f t="shared" si="2"/>
        <v>0</v>
      </c>
      <c r="J23" s="505">
        <v>0.29166666666666669</v>
      </c>
      <c r="L23" s="100">
        <f t="shared" si="0"/>
        <v>44000</v>
      </c>
      <c r="M23" s="3">
        <f t="shared" si="3"/>
        <v>6194</v>
      </c>
      <c r="N23" s="527">
        <v>487</v>
      </c>
      <c r="O23" s="527">
        <f t="shared" si="1"/>
        <v>6681</v>
      </c>
    </row>
    <row r="24" spans="1:17" ht="15.75" thickBot="1">
      <c r="A24" s="244">
        <f>ELEC!C21</f>
        <v>44001</v>
      </c>
      <c r="B24" s="527"/>
      <c r="C24" s="527"/>
      <c r="D24" s="527"/>
      <c r="E24" s="527"/>
      <c r="F24" s="527"/>
      <c r="G24" s="527"/>
      <c r="H24" s="578">
        <f t="shared" si="4"/>
        <v>6258</v>
      </c>
      <c r="I24" s="527">
        <f t="shared" si="2"/>
        <v>0</v>
      </c>
      <c r="J24" s="505">
        <v>0.29166666666666702</v>
      </c>
      <c r="L24" s="100">
        <f t="shared" si="0"/>
        <v>44001</v>
      </c>
      <c r="M24" s="3">
        <f t="shared" si="3"/>
        <v>6194</v>
      </c>
      <c r="N24" s="527">
        <v>487</v>
      </c>
      <c r="O24" s="527">
        <f t="shared" si="1"/>
        <v>6681</v>
      </c>
    </row>
    <row r="25" spans="1:17" ht="15.75" thickBot="1">
      <c r="A25" s="244">
        <f>ELEC!C22</f>
        <v>44002</v>
      </c>
      <c r="B25" s="527"/>
      <c r="C25" s="527"/>
      <c r="D25" s="527"/>
      <c r="E25" s="527"/>
      <c r="F25" s="527"/>
      <c r="G25" s="527"/>
      <c r="H25" s="578">
        <f t="shared" si="4"/>
        <v>6258</v>
      </c>
      <c r="I25" s="527">
        <f t="shared" si="2"/>
        <v>0</v>
      </c>
      <c r="J25" s="505">
        <v>0.29166666666666702</v>
      </c>
      <c r="L25" s="100">
        <f t="shared" si="0"/>
        <v>44002</v>
      </c>
      <c r="M25" s="3">
        <f t="shared" si="3"/>
        <v>6194</v>
      </c>
      <c r="N25" s="527">
        <v>487</v>
      </c>
      <c r="O25" s="527">
        <f t="shared" si="1"/>
        <v>6681</v>
      </c>
    </row>
    <row r="26" spans="1:17" ht="15.75" thickBot="1">
      <c r="A26" s="244">
        <f>ELEC!C23</f>
        <v>44003</v>
      </c>
      <c r="B26" s="527"/>
      <c r="C26" s="527"/>
      <c r="D26" s="527"/>
      <c r="E26" s="527"/>
      <c r="F26" s="527"/>
      <c r="G26" s="527"/>
      <c r="H26" s="578">
        <f t="shared" si="4"/>
        <v>6258</v>
      </c>
      <c r="I26" s="527">
        <f t="shared" si="2"/>
        <v>0</v>
      </c>
      <c r="J26" s="505">
        <v>0.29166666666666702</v>
      </c>
      <c r="L26" s="100">
        <f t="shared" si="0"/>
        <v>44003</v>
      </c>
      <c r="M26" s="3">
        <f t="shared" si="3"/>
        <v>6194</v>
      </c>
      <c r="N26" s="527">
        <v>487</v>
      </c>
      <c r="O26" s="527">
        <f t="shared" si="1"/>
        <v>6681</v>
      </c>
    </row>
    <row r="27" spans="1:17" ht="15.75" thickBot="1">
      <c r="A27" s="244">
        <f>ELEC!C24</f>
        <v>44004</v>
      </c>
      <c r="B27" s="527"/>
      <c r="C27" s="527"/>
      <c r="D27" s="527"/>
      <c r="E27" s="527"/>
      <c r="F27" s="527"/>
      <c r="G27" s="527"/>
      <c r="H27" s="578">
        <f t="shared" si="4"/>
        <v>6258</v>
      </c>
      <c r="I27" s="527">
        <f t="shared" si="2"/>
        <v>0</v>
      </c>
      <c r="J27" s="505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7">
        <f t="shared" si="1"/>
        <v>6836</v>
      </c>
    </row>
    <row r="28" spans="1:17" ht="15.75" thickBot="1">
      <c r="A28" s="244">
        <f>ELEC!C25</f>
        <v>44005</v>
      </c>
      <c r="B28" s="527"/>
      <c r="C28" s="527"/>
      <c r="D28" s="527"/>
      <c r="E28" s="527"/>
      <c r="F28" s="527"/>
      <c r="G28" s="527"/>
      <c r="H28" s="578">
        <f t="shared" si="4"/>
        <v>6258</v>
      </c>
      <c r="I28" s="527">
        <f t="shared" si="2"/>
        <v>0</v>
      </c>
      <c r="J28" s="506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7">
        <f t="shared" si="1"/>
        <v>6836</v>
      </c>
    </row>
    <row r="29" spans="1:17" ht="15.75" thickBot="1">
      <c r="A29" s="244">
        <f>ELEC!C26</f>
        <v>44006</v>
      </c>
      <c r="B29" s="527"/>
      <c r="C29" s="527"/>
      <c r="D29" s="527"/>
      <c r="E29" s="527"/>
      <c r="F29" s="527"/>
      <c r="G29" s="527"/>
      <c r="H29" s="578">
        <f t="shared" si="4"/>
        <v>6258</v>
      </c>
      <c r="I29" s="527">
        <f t="shared" si="2"/>
        <v>0</v>
      </c>
      <c r="J29" s="505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7">
        <f t="shared" si="1"/>
        <v>6836</v>
      </c>
    </row>
    <row r="30" spans="1:17" ht="15.75" thickBot="1">
      <c r="A30" s="244">
        <f>ELEC!C27</f>
        <v>44007</v>
      </c>
      <c r="B30" s="259"/>
      <c r="C30" s="566"/>
      <c r="D30" s="170"/>
      <c r="E30" s="170"/>
      <c r="F30" s="170"/>
      <c r="G30" s="170"/>
      <c r="H30" s="578">
        <f t="shared" si="4"/>
        <v>6258</v>
      </c>
      <c r="I30" s="527">
        <f t="shared" si="2"/>
        <v>0</v>
      </c>
      <c r="J30" s="505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7">
        <f t="shared" si="1"/>
        <v>6836</v>
      </c>
    </row>
    <row r="31" spans="1:17" ht="15.75" thickBot="1">
      <c r="A31" s="244">
        <f>ELEC!C28</f>
        <v>44008</v>
      </c>
      <c r="B31" s="259"/>
      <c r="C31" s="566"/>
      <c r="D31" s="170"/>
      <c r="E31" s="170"/>
      <c r="F31" s="170"/>
      <c r="G31" s="170"/>
      <c r="H31" s="578">
        <f t="shared" si="4"/>
        <v>6258</v>
      </c>
      <c r="I31" s="527">
        <f t="shared" si="2"/>
        <v>0</v>
      </c>
      <c r="J31" s="505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7">
        <f t="shared" si="1"/>
        <v>6836</v>
      </c>
    </row>
    <row r="32" spans="1:17" ht="15.75" thickBot="1">
      <c r="A32" s="244">
        <f>ELEC!C29</f>
        <v>44009</v>
      </c>
      <c r="B32" s="527"/>
      <c r="C32" s="527"/>
      <c r="D32" s="527"/>
      <c r="E32" s="527"/>
      <c r="F32" s="527"/>
      <c r="G32" s="527"/>
      <c r="H32" s="578">
        <f t="shared" si="4"/>
        <v>6258</v>
      </c>
      <c r="I32" s="527">
        <f t="shared" si="2"/>
        <v>0</v>
      </c>
      <c r="J32" s="505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7">
        <f t="shared" si="1"/>
        <v>6836</v>
      </c>
    </row>
    <row r="33" spans="1:15" ht="15.75" thickBot="1">
      <c r="A33" s="244">
        <f>ELEC!C30</f>
        <v>44010</v>
      </c>
      <c r="B33" s="527"/>
      <c r="C33" s="527"/>
      <c r="D33" s="527"/>
      <c r="E33" s="527"/>
      <c r="F33" s="527"/>
      <c r="G33" s="527"/>
      <c r="H33" s="578">
        <f t="shared" si="4"/>
        <v>6258</v>
      </c>
      <c r="I33" s="527">
        <f t="shared" si="2"/>
        <v>0</v>
      </c>
      <c r="J33" s="505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7">
        <f t="shared" si="1"/>
        <v>6836</v>
      </c>
    </row>
    <row r="34" spans="1:15" ht="15.75" thickBot="1">
      <c r="A34" s="244">
        <f>ELEC!C31</f>
        <v>44011</v>
      </c>
      <c r="B34" s="527"/>
      <c r="C34" s="527"/>
      <c r="D34" s="527"/>
      <c r="E34" s="527"/>
      <c r="F34" s="527"/>
      <c r="G34" s="527"/>
      <c r="H34" s="578">
        <f t="shared" si="4"/>
        <v>6258</v>
      </c>
      <c r="I34" s="527">
        <f t="shared" si="2"/>
        <v>0</v>
      </c>
      <c r="J34" s="505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7">
        <f t="shared" si="1"/>
        <v>6836</v>
      </c>
    </row>
    <row r="35" spans="1:15">
      <c r="A35" s="420">
        <f>ELEC!C32</f>
        <v>44012</v>
      </c>
      <c r="B35" s="527"/>
      <c r="C35" s="527"/>
      <c r="D35" s="527"/>
      <c r="E35" s="527"/>
      <c r="F35" s="527"/>
      <c r="G35" s="527"/>
      <c r="H35" s="578">
        <f t="shared" si="4"/>
        <v>6258</v>
      </c>
      <c r="I35" s="527">
        <f t="shared" si="2"/>
        <v>0</v>
      </c>
      <c r="J35" s="507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7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60" zoomScaleNormal="60" workbookViewId="0">
      <selection activeCell="AE19" sqref="AE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  <col min="27" max="27" width="14.7109375" bestFit="1" customWidth="1"/>
  </cols>
  <sheetData>
    <row r="1" spans="1:28" ht="18.75">
      <c r="A1" s="688" t="s">
        <v>161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</row>
    <row r="2" spans="1:28" ht="19.5">
      <c r="A2" s="689"/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</row>
    <row r="3" spans="1:28" ht="19.5">
      <c r="A3" s="689" t="s">
        <v>162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89"/>
      <c r="T3" s="689"/>
      <c r="U3" s="689"/>
      <c r="V3" s="689"/>
      <c r="W3" s="689"/>
      <c r="X3" s="689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89" t="s">
        <v>414</v>
      </c>
      <c r="B5" s="689"/>
      <c r="C5" s="689"/>
      <c r="D5" s="689"/>
      <c r="E5" s="689"/>
      <c r="F5" s="689"/>
      <c r="G5" s="689"/>
      <c r="H5" s="689"/>
      <c r="I5" s="689"/>
      <c r="J5" s="689"/>
      <c r="K5" s="689"/>
      <c r="L5" s="689"/>
      <c r="M5" s="689"/>
      <c r="N5" s="689"/>
      <c r="O5" s="689"/>
      <c r="P5" s="689"/>
      <c r="Q5" s="689"/>
      <c r="R5" s="689"/>
      <c r="S5" s="689"/>
      <c r="T5" s="689"/>
      <c r="U5" s="689"/>
      <c r="V5" s="689"/>
      <c r="W5" s="689"/>
      <c r="X5" s="689"/>
    </row>
    <row r="6" spans="1:28" ht="15.75" thickBot="1">
      <c r="A6" s="690"/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90"/>
      <c r="X6" s="690"/>
    </row>
    <row r="7" spans="1:28" ht="15.75" thickBot="1">
      <c r="A7" s="692" t="s">
        <v>163</v>
      </c>
      <c r="B7" s="693"/>
      <c r="C7" s="694" t="s">
        <v>164</v>
      </c>
      <c r="D7" s="695"/>
      <c r="E7" s="695"/>
      <c r="F7" s="695"/>
      <c r="G7" s="695"/>
      <c r="H7" s="695"/>
      <c r="I7" s="695"/>
      <c r="J7" s="695"/>
      <c r="K7" s="696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6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599" t="s">
        <v>174</v>
      </c>
      <c r="AB9" s="599" t="s">
        <v>175</v>
      </c>
    </row>
    <row r="10" spans="1:28">
      <c r="A10" s="118">
        <v>1</v>
      </c>
      <c r="B10" s="278">
        <f>'[2]Degree Days 2018'!B10</f>
        <v>16</v>
      </c>
      <c r="C10" s="278">
        <f>'[2]Degree Days 2018'!C10</f>
        <v>11</v>
      </c>
      <c r="D10" s="278">
        <f>(B10+C10)/2-18.3</f>
        <v>-4.8000000000000007</v>
      </c>
      <c r="E10" s="278">
        <f>'[5]Degree Days 2018'!E10</f>
        <v>1</v>
      </c>
      <c r="F10" s="278">
        <f>'[2]Degree Days 2018'!F10</f>
        <v>17</v>
      </c>
      <c r="G10" s="278">
        <f>'[2]Degree Days 2018'!G10</f>
        <v>12</v>
      </c>
      <c r="H10" s="278">
        <f>(F10+G10)/2-18.3</f>
        <v>-3.8000000000000007</v>
      </c>
      <c r="I10" s="278">
        <f>'[5]Degree Days 2018'!I10</f>
        <v>1</v>
      </c>
      <c r="J10" s="278">
        <f>'[2]Degree Days 2018'!J10</f>
        <v>17</v>
      </c>
      <c r="K10" s="278">
        <f>'[2]Degree Days 2018'!K10</f>
        <v>10</v>
      </c>
      <c r="L10" s="278">
        <f>(J10+K10)/2-18.3</f>
        <v>-4.8000000000000007</v>
      </c>
      <c r="M10" s="278">
        <f>'[5]Degree Days 2018'!M10</f>
        <v>1</v>
      </c>
      <c r="N10" s="278">
        <f>'[2]Degree Days 2018'!N10</f>
        <v>19</v>
      </c>
      <c r="O10" s="278">
        <f>'[2]Degree Days 2018'!O10</f>
        <v>14</v>
      </c>
      <c r="P10" s="278">
        <f>(N10+O10)/2-18.3</f>
        <v>-1.8000000000000007</v>
      </c>
      <c r="Q10" s="552">
        <v>1</v>
      </c>
      <c r="R10" s="278">
        <f>'[2]Degree Days 2018'!R10</f>
        <v>22</v>
      </c>
      <c r="S10" s="278">
        <f>'[2]Degree Days 2018'!S10</f>
        <v>16</v>
      </c>
      <c r="T10" s="278">
        <f>(R10+S10)/2-18.3</f>
        <v>0.69999999999999929</v>
      </c>
      <c r="U10" s="552">
        <v>1</v>
      </c>
      <c r="V10" s="278">
        <f>'General information '!B6</f>
        <v>25</v>
      </c>
      <c r="W10" s="278">
        <f>'General information '!C6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8">
        <v>2</v>
      </c>
      <c r="B11" s="278">
        <f>'[2]Degree Days 2018'!B11</f>
        <v>17</v>
      </c>
      <c r="C11" s="278">
        <f>'[2]Degree Days 2018'!C11</f>
        <v>12</v>
      </c>
      <c r="D11" s="278">
        <f t="shared" ref="D11:D40" si="0">(B11+C11)/2-18.3</f>
        <v>-3.8000000000000007</v>
      </c>
      <c r="E11" s="278">
        <f>'[5]Degree Days 2018'!E11</f>
        <v>2</v>
      </c>
      <c r="F11" s="278">
        <f>'[2]Degree Days 2018'!F11</f>
        <v>17</v>
      </c>
      <c r="G11" s="278">
        <f>'[2]Degree Days 2018'!G11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'[2]Degree Days 2018'!J11</f>
        <v>18</v>
      </c>
      <c r="K11" s="278">
        <f>'[2]Degree Days 2018'!K11</f>
        <v>11</v>
      </c>
      <c r="L11" s="278">
        <f t="shared" ref="L11:L40" si="2">(J11+K11)/2-18.3</f>
        <v>-3.8000000000000007</v>
      </c>
      <c r="M11" s="278">
        <f>'[5]Degree Days 2018'!M11</f>
        <v>2</v>
      </c>
      <c r="N11" s="278">
        <f>'[2]Degree Days 2018'!N11</f>
        <v>19</v>
      </c>
      <c r="O11" s="278">
        <f>'[2]Degree Days 2018'!O11</f>
        <v>15</v>
      </c>
      <c r="P11" s="278">
        <f t="shared" ref="P11:P40" si="3">(N11+O11)/2-18.3</f>
        <v>-1.3000000000000007</v>
      </c>
      <c r="Q11" s="552">
        <v>2</v>
      </c>
      <c r="R11" s="278">
        <f>'[2]Degree Days 2018'!R11</f>
        <v>21</v>
      </c>
      <c r="S11" s="278">
        <f>'[2]Degree Days 2018'!S11</f>
        <v>14</v>
      </c>
      <c r="T11" s="278">
        <f t="shared" ref="T11:T40" si="4">(R11+S11)/2-18.3</f>
        <v>-0.80000000000000071</v>
      </c>
      <c r="U11" s="552">
        <v>2</v>
      </c>
      <c r="V11" s="278">
        <f>'General information '!B7</f>
        <v>24</v>
      </c>
      <c r="W11" s="278">
        <f>'General information '!C7</f>
        <v>20</v>
      </c>
      <c r="X11" s="278">
        <f t="shared" ref="X11:X39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8">
        <v>3</v>
      </c>
      <c r="B12" s="278">
        <f>'[2]Degree Days 2018'!B12</f>
        <v>16</v>
      </c>
      <c r="C12" s="278">
        <f>'[2]Degree Days 2018'!C12</f>
        <v>12</v>
      </c>
      <c r="D12" s="278">
        <f t="shared" si="0"/>
        <v>-4.3000000000000007</v>
      </c>
      <c r="E12" s="278">
        <f>'[5]Degree Days 2018'!E12</f>
        <v>3</v>
      </c>
      <c r="F12" s="278">
        <f>'[2]Degree Days 2018'!F12</f>
        <v>16</v>
      </c>
      <c r="G12" s="278">
        <f>'[2]Degree Days 2018'!G12</f>
        <v>10</v>
      </c>
      <c r="H12" s="278">
        <f t="shared" si="1"/>
        <v>-5.3000000000000007</v>
      </c>
      <c r="I12" s="278">
        <f>'[5]Degree Days 2018'!I12</f>
        <v>3</v>
      </c>
      <c r="J12" s="278">
        <f>'[2]Degree Days 2018'!J12</f>
        <v>19</v>
      </c>
      <c r="K12" s="278">
        <f>'[2]Degree Days 2018'!K12</f>
        <v>12</v>
      </c>
      <c r="L12" s="278">
        <f t="shared" si="2"/>
        <v>-2.8000000000000007</v>
      </c>
      <c r="M12" s="278">
        <f>'[5]Degree Days 2018'!M12</f>
        <v>3</v>
      </c>
      <c r="N12" s="278">
        <f>'[2]Degree Days 2018'!N12</f>
        <v>20</v>
      </c>
      <c r="O12" s="278">
        <f>'[2]Degree Days 2018'!O12</f>
        <v>14</v>
      </c>
      <c r="P12" s="278">
        <f t="shared" si="3"/>
        <v>-1.3000000000000007</v>
      </c>
      <c r="Q12" s="552">
        <v>3</v>
      </c>
      <c r="R12" s="278">
        <f>'[2]Degree Days 2018'!R12</f>
        <v>24</v>
      </c>
      <c r="S12" s="278">
        <f>'[2]Degree Days 2018'!S12</f>
        <v>17</v>
      </c>
      <c r="T12" s="278">
        <f t="shared" si="4"/>
        <v>2.1999999999999993</v>
      </c>
      <c r="U12" s="552">
        <v>3</v>
      </c>
      <c r="V12" s="278">
        <f>'General information '!B8</f>
        <v>27</v>
      </c>
      <c r="W12" s="278">
        <f>'General information '!C8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8">
        <v>4</v>
      </c>
      <c r="B13" s="278">
        <f>'[2]Degree Days 2018'!B13</f>
        <v>15</v>
      </c>
      <c r="C13" s="278">
        <f>'[2]Degree Days 2018'!C13</f>
        <v>11</v>
      </c>
      <c r="D13" s="278">
        <f t="shared" si="0"/>
        <v>-5.3000000000000007</v>
      </c>
      <c r="E13" s="278">
        <f>'[5]Degree Days 2018'!E13</f>
        <v>4</v>
      </c>
      <c r="F13" s="278">
        <f>'[2]Degree Days 2018'!F13</f>
        <v>17</v>
      </c>
      <c r="G13" s="278">
        <f>'[2]Degree Days 2018'!G13</f>
        <v>13</v>
      </c>
      <c r="H13" s="278">
        <f t="shared" si="1"/>
        <v>-3.3000000000000007</v>
      </c>
      <c r="I13" s="278">
        <f>'[5]Degree Days 2018'!I13</f>
        <v>4</v>
      </c>
      <c r="J13" s="278">
        <f>'[2]Degree Days 2018'!J13</f>
        <v>19</v>
      </c>
      <c r="K13" s="278">
        <f>'[2]Degree Days 2018'!K13</f>
        <v>12</v>
      </c>
      <c r="L13" s="278">
        <f t="shared" si="2"/>
        <v>-2.8000000000000007</v>
      </c>
      <c r="M13" s="278">
        <f>'[5]Degree Days 2018'!M13</f>
        <v>4</v>
      </c>
      <c r="N13" s="278">
        <f>'[2]Degree Days 2018'!N13</f>
        <v>23</v>
      </c>
      <c r="O13" s="278">
        <f>'[2]Degree Days 2018'!O13</f>
        <v>14</v>
      </c>
      <c r="P13" s="278">
        <f t="shared" si="3"/>
        <v>0.19999999999999929</v>
      </c>
      <c r="Q13" s="552">
        <v>4</v>
      </c>
      <c r="R13" s="278">
        <f>'[2]Degree Days 2018'!R13</f>
        <v>23</v>
      </c>
      <c r="S13" s="278">
        <f>'[2]Degree Days 2018'!S13</f>
        <v>17</v>
      </c>
      <c r="T13" s="278">
        <f t="shared" si="4"/>
        <v>1.6999999999999993</v>
      </c>
      <c r="U13" s="552">
        <v>4</v>
      </c>
      <c r="V13" s="278">
        <f>'General information '!B9</f>
        <v>26</v>
      </c>
      <c r="W13" s="278">
        <f>'General information '!C9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8">
        <v>5</v>
      </c>
      <c r="B14" s="278">
        <f>'[2]Degree Days 2018'!B14</f>
        <v>15</v>
      </c>
      <c r="C14" s="278">
        <f>'[2]Degree Days 2018'!C14</f>
        <v>11</v>
      </c>
      <c r="D14" s="278">
        <f t="shared" si="0"/>
        <v>-5.3000000000000007</v>
      </c>
      <c r="E14" s="278">
        <f>'[5]Degree Days 2018'!E14</f>
        <v>5</v>
      </c>
      <c r="F14" s="278">
        <f>'[2]Degree Days 2018'!F14</f>
        <v>20</v>
      </c>
      <c r="G14" s="278">
        <f>'[2]Degree Days 2018'!G14</f>
        <v>15</v>
      </c>
      <c r="H14" s="278">
        <f t="shared" si="1"/>
        <v>-0.80000000000000071</v>
      </c>
      <c r="I14" s="278">
        <f>'[5]Degree Days 2018'!I14</f>
        <v>5</v>
      </c>
      <c r="J14" s="278">
        <f>'[2]Degree Days 2018'!J14</f>
        <v>19</v>
      </c>
      <c r="K14" s="278">
        <f>'[2]Degree Days 2018'!K14</f>
        <v>14</v>
      </c>
      <c r="L14" s="278">
        <f t="shared" si="2"/>
        <v>-1.8000000000000007</v>
      </c>
      <c r="M14" s="278">
        <f>'[5]Degree Days 2018'!M14</f>
        <v>5</v>
      </c>
      <c r="N14" s="278">
        <f>'[2]Degree Days 2018'!N14</f>
        <v>34</v>
      </c>
      <c r="O14" s="278">
        <f>'[2]Degree Days 2018'!O14</f>
        <v>17</v>
      </c>
      <c r="P14" s="278">
        <f t="shared" si="3"/>
        <v>7.1999999999999993</v>
      </c>
      <c r="Q14" s="552">
        <v>5</v>
      </c>
      <c r="R14" s="278">
        <f>'[2]Degree Days 2018'!R14</f>
        <v>22</v>
      </c>
      <c r="S14" s="278">
        <f>'[2]Degree Days 2018'!S14</f>
        <v>18</v>
      </c>
      <c r="T14" s="278">
        <f t="shared" si="4"/>
        <v>1.6999999999999993</v>
      </c>
      <c r="U14" s="552">
        <v>5</v>
      </c>
      <c r="V14" s="278">
        <f>'General information '!B10</f>
        <v>25</v>
      </c>
      <c r="W14" s="278">
        <f>'General information '!C10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8">
        <v>6</v>
      </c>
      <c r="B15" s="278">
        <f>'[2]Degree Days 2018'!B15</f>
        <v>16</v>
      </c>
      <c r="C15" s="278">
        <f>'[2]Degree Days 2018'!C15</f>
        <v>12</v>
      </c>
      <c r="D15" s="278">
        <f t="shared" si="0"/>
        <v>-4.3000000000000007</v>
      </c>
      <c r="E15" s="278">
        <f>'[5]Degree Days 2018'!E15</f>
        <v>6</v>
      </c>
      <c r="F15" s="278">
        <f>'[2]Degree Days 2018'!F15</f>
        <v>22</v>
      </c>
      <c r="G15" s="278">
        <f>'[2]Degree Days 2018'!G15</f>
        <v>16</v>
      </c>
      <c r="H15" s="278">
        <f t="shared" si="1"/>
        <v>0.69999999999999929</v>
      </c>
      <c r="I15" s="278">
        <f>'[5]Degree Days 2018'!I15</f>
        <v>6</v>
      </c>
      <c r="J15" s="278">
        <f>'[2]Degree Days 2018'!J15</f>
        <v>18</v>
      </c>
      <c r="K15" s="278">
        <f>'[2]Degree Days 2018'!K15</f>
        <v>12</v>
      </c>
      <c r="L15" s="278">
        <f t="shared" si="2"/>
        <v>-3.3000000000000007</v>
      </c>
      <c r="M15" s="278">
        <f>'[5]Degree Days 2018'!M15</f>
        <v>6</v>
      </c>
      <c r="N15" s="278">
        <f>'[2]Degree Days 2018'!N15</f>
        <v>19</v>
      </c>
      <c r="O15" s="278">
        <f>'[2]Degree Days 2018'!O15</f>
        <v>17</v>
      </c>
      <c r="P15" s="278">
        <f t="shared" si="3"/>
        <v>-0.30000000000000071</v>
      </c>
      <c r="Q15" s="552">
        <v>6</v>
      </c>
      <c r="R15" s="278">
        <f>'[2]Degree Days 2018'!R15</f>
        <v>23</v>
      </c>
      <c r="S15" s="278">
        <f>'[2]Degree Days 2018'!S15</f>
        <v>17</v>
      </c>
      <c r="T15" s="278">
        <f t="shared" si="4"/>
        <v>1.6999999999999993</v>
      </c>
      <c r="U15" s="552">
        <v>6</v>
      </c>
      <c r="V15" s="278">
        <f>'General information '!B11</f>
        <v>26</v>
      </c>
      <c r="W15" s="278">
        <f>'General information '!C11</f>
        <v>18</v>
      </c>
      <c r="X15" s="278">
        <f t="shared" si="5"/>
        <v>3.6999999999999993</v>
      </c>
      <c r="Z15" t="s">
        <v>173</v>
      </c>
      <c r="AA15" s="278">
        <f>V43</f>
        <v>-329.40000000000009</v>
      </c>
      <c r="AB15" s="278">
        <f>W43</f>
        <v>56.900000000000006</v>
      </c>
    </row>
    <row r="16" spans="1:28">
      <c r="A16" s="118">
        <v>7</v>
      </c>
      <c r="B16" s="278">
        <f>'[2]Degree Days 2018'!B16</f>
        <v>16</v>
      </c>
      <c r="C16" s="278">
        <f>'[2]Degree Days 2018'!C16</f>
        <v>12</v>
      </c>
      <c r="D16" s="278">
        <f t="shared" si="0"/>
        <v>-4.3000000000000007</v>
      </c>
      <c r="E16" s="278">
        <f>'[5]Degree Days 2018'!E16</f>
        <v>7</v>
      </c>
      <c r="F16" s="278">
        <f>'[2]Degree Days 2018'!F16</f>
        <v>16</v>
      </c>
      <c r="G16" s="278">
        <f>'[2]Degree Days 2018'!G16</f>
        <v>10</v>
      </c>
      <c r="H16" s="278">
        <f t="shared" si="1"/>
        <v>-5.3000000000000007</v>
      </c>
      <c r="I16" s="278">
        <f>'[5]Degree Days 2018'!I16</f>
        <v>7</v>
      </c>
      <c r="J16" s="278">
        <f>'[2]Degree Days 2018'!J16</f>
        <v>18</v>
      </c>
      <c r="K16" s="278">
        <f>'[2]Degree Days 2018'!K16</f>
        <v>12</v>
      </c>
      <c r="L16" s="278">
        <f t="shared" si="2"/>
        <v>-3.3000000000000007</v>
      </c>
      <c r="M16" s="278">
        <f>'[5]Degree Days 2018'!M16</f>
        <v>7</v>
      </c>
      <c r="N16" s="278">
        <f>'[2]Degree Days 2018'!N16</f>
        <v>20</v>
      </c>
      <c r="O16" s="278">
        <f>'[2]Degree Days 2018'!O16</f>
        <v>16</v>
      </c>
      <c r="P16" s="278">
        <f t="shared" si="3"/>
        <v>-0.30000000000000071</v>
      </c>
      <c r="Q16" s="552">
        <v>7</v>
      </c>
      <c r="R16" s="278">
        <f>'[2]Degree Days 2018'!R16</f>
        <v>25</v>
      </c>
      <c r="S16" s="278">
        <f>'[2]Degree Days 2018'!S16</f>
        <v>18</v>
      </c>
      <c r="T16" s="278">
        <f t="shared" si="4"/>
        <v>3.1999999999999993</v>
      </c>
      <c r="U16" s="552">
        <v>7</v>
      </c>
      <c r="V16" s="278">
        <f>'General information '!B12</f>
        <v>27</v>
      </c>
      <c r="W16" s="278">
        <f>'General information '!C12</f>
        <v>21</v>
      </c>
      <c r="X16" s="278">
        <f t="shared" si="5"/>
        <v>5.6999999999999993</v>
      </c>
      <c r="Z16" t="s">
        <v>176</v>
      </c>
      <c r="AA16" s="278">
        <f>B81</f>
        <v>-567.30000000000007</v>
      </c>
      <c r="AB16" s="278">
        <f>C81</f>
        <v>0</v>
      </c>
    </row>
    <row r="17" spans="1:28">
      <c r="A17" s="118">
        <v>8</v>
      </c>
      <c r="B17" s="278">
        <f>'[2]Degree Days 2018'!B17</f>
        <v>14</v>
      </c>
      <c r="C17" s="278">
        <f>'[2]Degree Days 2018'!C17</f>
        <v>11</v>
      </c>
      <c r="D17" s="278">
        <f t="shared" si="0"/>
        <v>-5.8000000000000007</v>
      </c>
      <c r="E17" s="278">
        <f>'[5]Degree Days 2018'!E17</f>
        <v>8</v>
      </c>
      <c r="F17" s="278">
        <f>'[2]Degree Days 2018'!F17</f>
        <v>14</v>
      </c>
      <c r="G17" s="278">
        <f>'[2]Degree Days 2018'!G17</f>
        <v>9</v>
      </c>
      <c r="H17" s="278">
        <f t="shared" si="1"/>
        <v>-6.8000000000000007</v>
      </c>
      <c r="I17" s="278">
        <f>'[5]Degree Days 2018'!I17</f>
        <v>8</v>
      </c>
      <c r="J17" s="278">
        <f>'[2]Degree Days 2018'!J17</f>
        <v>19</v>
      </c>
      <c r="K17" s="278">
        <f>'[2]Degree Days 2018'!K17</f>
        <v>13</v>
      </c>
      <c r="L17" s="278">
        <f t="shared" si="2"/>
        <v>-2.3000000000000007</v>
      </c>
      <c r="M17" s="278">
        <f>'[5]Degree Days 2018'!M17</f>
        <v>8</v>
      </c>
      <c r="N17" s="278">
        <f>'[2]Degree Days 2018'!N17</f>
        <v>19</v>
      </c>
      <c r="O17" s="278">
        <f>'[2]Degree Days 2018'!O17</f>
        <v>15</v>
      </c>
      <c r="P17" s="278">
        <f t="shared" si="3"/>
        <v>-1.3000000000000007</v>
      </c>
      <c r="Q17" s="552">
        <v>8</v>
      </c>
      <c r="R17" s="278">
        <f>'[2]Degree Days 2018'!R17</f>
        <v>23</v>
      </c>
      <c r="S17" s="278">
        <f>'[2]Degree Days 2018'!S17</f>
        <v>17</v>
      </c>
      <c r="T17" s="278">
        <f t="shared" si="4"/>
        <v>1.6999999999999993</v>
      </c>
      <c r="U17" s="552">
        <v>8</v>
      </c>
      <c r="V17" s="278">
        <f>'General information '!B13</f>
        <v>26</v>
      </c>
      <c r="W17" s="278">
        <f>'General information '!C13</f>
        <v>22</v>
      </c>
      <c r="X17" s="278">
        <f t="shared" si="5"/>
        <v>5.6999999999999993</v>
      </c>
      <c r="Z17" t="s">
        <v>177</v>
      </c>
      <c r="AA17" s="278">
        <f>F81</f>
        <v>-567.30000000000007</v>
      </c>
      <c r="AB17" s="278">
        <f>G81</f>
        <v>0</v>
      </c>
    </row>
    <row r="18" spans="1:28">
      <c r="A18" s="118">
        <v>9</v>
      </c>
      <c r="B18" s="278">
        <f>'[2]Degree Days 2018'!B18</f>
        <v>14</v>
      </c>
      <c r="C18" s="278">
        <f>'[2]Degree Days 2018'!C18</f>
        <v>11</v>
      </c>
      <c r="D18" s="278">
        <f t="shared" si="0"/>
        <v>-5.8000000000000007</v>
      </c>
      <c r="E18" s="278">
        <f>'[5]Degree Days 2018'!E18</f>
        <v>9</v>
      </c>
      <c r="F18" s="278">
        <f>'[2]Degree Days 2018'!F18</f>
        <v>9</v>
      </c>
      <c r="G18" s="278">
        <f>'[2]Degree Days 2018'!G18</f>
        <v>8</v>
      </c>
      <c r="H18" s="278">
        <f t="shared" si="1"/>
        <v>-9.8000000000000007</v>
      </c>
      <c r="I18" s="278">
        <f>'[5]Degree Days 2018'!I18</f>
        <v>9</v>
      </c>
      <c r="J18" s="278">
        <f>'[2]Degree Days 2018'!J18</f>
        <v>20</v>
      </c>
      <c r="K18" s="278">
        <f>'[2]Degree Days 2018'!K18</f>
        <v>14</v>
      </c>
      <c r="L18" s="278">
        <f t="shared" si="2"/>
        <v>-1.3000000000000007</v>
      </c>
      <c r="M18" s="278">
        <f>'[5]Degree Days 2018'!M18</f>
        <v>9</v>
      </c>
      <c r="N18" s="278">
        <f>'[2]Degree Days 2018'!N18</f>
        <v>18</v>
      </c>
      <c r="O18" s="278">
        <f>'[2]Degree Days 2018'!O18</f>
        <v>15</v>
      </c>
      <c r="P18" s="278">
        <f t="shared" si="3"/>
        <v>-1.8000000000000007</v>
      </c>
      <c r="Q18" s="552">
        <v>9</v>
      </c>
      <c r="R18" s="278">
        <f>'[2]Degree Days 2018'!R18</f>
        <v>24</v>
      </c>
      <c r="S18" s="278">
        <f>'[2]Degree Days 2018'!S18</f>
        <v>18</v>
      </c>
      <c r="T18" s="278">
        <f t="shared" si="4"/>
        <v>2.6999999999999993</v>
      </c>
      <c r="U18" s="552">
        <v>9</v>
      </c>
      <c r="V18" s="278">
        <f>'General information '!B14</f>
        <v>28</v>
      </c>
      <c r="W18" s="278">
        <f>'General information '!C14</f>
        <v>20</v>
      </c>
      <c r="X18" s="278">
        <f t="shared" si="5"/>
        <v>5.6999999999999993</v>
      </c>
      <c r="Z18" t="s">
        <v>178</v>
      </c>
      <c r="AA18" s="278">
        <f>J81</f>
        <v>-549.00000000000011</v>
      </c>
      <c r="AB18" s="278">
        <f>K81</f>
        <v>0</v>
      </c>
    </row>
    <row r="19" spans="1:28">
      <c r="A19" s="118">
        <v>10</v>
      </c>
      <c r="B19" s="278">
        <f>'[2]Degree Days 2018'!B19</f>
        <v>17</v>
      </c>
      <c r="C19" s="278">
        <f>'[2]Degree Days 2018'!C19</f>
        <v>12</v>
      </c>
      <c r="D19" s="278">
        <f t="shared" si="0"/>
        <v>-3.8000000000000007</v>
      </c>
      <c r="E19" s="278">
        <f>'[5]Degree Days 2018'!E19</f>
        <v>10</v>
      </c>
      <c r="F19" s="278">
        <f>'[2]Degree Days 2018'!F19</f>
        <v>10</v>
      </c>
      <c r="G19" s="278">
        <f>'[2]Degree Days 2018'!G19</f>
        <v>7</v>
      </c>
      <c r="H19" s="278">
        <f t="shared" si="1"/>
        <v>-9.8000000000000007</v>
      </c>
      <c r="I19" s="278">
        <f>'[5]Degree Days 2018'!I19</f>
        <v>10</v>
      </c>
      <c r="J19" s="278">
        <f>'[2]Degree Days 2018'!J19</f>
        <v>19</v>
      </c>
      <c r="K19" s="278">
        <f>'[2]Degree Days 2018'!K19</f>
        <v>16</v>
      </c>
      <c r="L19" s="278">
        <f t="shared" si="2"/>
        <v>-0.80000000000000071</v>
      </c>
      <c r="M19" s="278">
        <f>'[5]Degree Days 2018'!M19</f>
        <v>10</v>
      </c>
      <c r="N19" s="278">
        <f>'[2]Degree Days 2018'!N19</f>
        <v>16</v>
      </c>
      <c r="O19" s="278">
        <f>'[2]Degree Days 2018'!O19</f>
        <v>13</v>
      </c>
      <c r="P19" s="278">
        <f t="shared" si="3"/>
        <v>-3.8000000000000007</v>
      </c>
      <c r="Q19" s="552">
        <v>10</v>
      </c>
      <c r="R19" s="278">
        <f>'[2]Degree Days 2018'!R19</f>
        <v>23</v>
      </c>
      <c r="S19" s="278">
        <f>'[2]Degree Days 2018'!S19</f>
        <v>17</v>
      </c>
      <c r="T19" s="278">
        <f t="shared" si="4"/>
        <v>1.6999999999999993</v>
      </c>
      <c r="U19" s="552">
        <v>10</v>
      </c>
      <c r="V19" s="278">
        <f>'General information '!B15</f>
        <v>28</v>
      </c>
      <c r="W19" s="278">
        <f>'General information '!C15</f>
        <v>20</v>
      </c>
      <c r="X19" s="278">
        <f t="shared" si="5"/>
        <v>5.6999999999999993</v>
      </c>
      <c r="Z19" t="s">
        <v>179</v>
      </c>
      <c r="AA19" s="278">
        <f>N81</f>
        <v>-567.30000000000007</v>
      </c>
      <c r="AB19" s="278">
        <f>O81</f>
        <v>0</v>
      </c>
    </row>
    <row r="20" spans="1:28">
      <c r="A20" s="118">
        <v>11</v>
      </c>
      <c r="B20" s="278">
        <f>'[2]Degree Days 2018'!B20</f>
        <v>17</v>
      </c>
      <c r="C20" s="278">
        <f>'[2]Degree Days 2018'!C20</f>
        <v>13</v>
      </c>
      <c r="D20" s="278">
        <f t="shared" si="0"/>
        <v>-3.3000000000000007</v>
      </c>
      <c r="E20" s="278">
        <f>'[5]Degree Days 2018'!E20</f>
        <v>11</v>
      </c>
      <c r="F20" s="278">
        <f>'[2]Degree Days 2018'!F20</f>
        <v>14</v>
      </c>
      <c r="G20" s="278">
        <f>'[2]Degree Days 2018'!G20</f>
        <v>8</v>
      </c>
      <c r="H20" s="278">
        <f t="shared" si="1"/>
        <v>-7.3000000000000007</v>
      </c>
      <c r="I20" s="278">
        <f>'[5]Degree Days 2018'!I20</f>
        <v>11</v>
      </c>
      <c r="J20" s="278">
        <f>'[2]Degree Days 2018'!J20</f>
        <v>18</v>
      </c>
      <c r="K20" s="278">
        <f>'[2]Degree Days 2018'!K20</f>
        <v>14</v>
      </c>
      <c r="L20" s="278">
        <f t="shared" si="2"/>
        <v>-2.3000000000000007</v>
      </c>
      <c r="M20" s="278">
        <f>'[5]Degree Days 2018'!M20</f>
        <v>11</v>
      </c>
      <c r="N20" s="278">
        <f>'[2]Degree Days 2018'!N20</f>
        <v>17</v>
      </c>
      <c r="O20" s="278">
        <f>'[2]Degree Days 2018'!O20</f>
        <v>14</v>
      </c>
      <c r="P20" s="278">
        <f t="shared" si="3"/>
        <v>-2.8000000000000007</v>
      </c>
      <c r="Q20" s="552">
        <v>11</v>
      </c>
      <c r="R20" s="278">
        <f>'[2]Degree Days 2018'!R20</f>
        <v>23</v>
      </c>
      <c r="S20" s="278">
        <f>'[2]Degree Days 2018'!S20</f>
        <v>18</v>
      </c>
      <c r="T20" s="278">
        <f t="shared" si="4"/>
        <v>2.1999999999999993</v>
      </c>
      <c r="U20" s="552">
        <v>11</v>
      </c>
      <c r="V20" s="278">
        <f>'General information '!B16</f>
        <v>28</v>
      </c>
      <c r="W20" s="278">
        <f>'General information '!C16</f>
        <v>20</v>
      </c>
      <c r="X20" s="278">
        <f t="shared" si="5"/>
        <v>5.6999999999999993</v>
      </c>
      <c r="Z20" t="s">
        <v>180</v>
      </c>
      <c r="AA20" s="278">
        <f>V81</f>
        <v>-549.00000000000011</v>
      </c>
      <c r="AB20" s="278">
        <f>W81</f>
        <v>0</v>
      </c>
    </row>
    <row r="21" spans="1:28">
      <c r="A21" s="118">
        <v>12</v>
      </c>
      <c r="B21" s="278">
        <f>'[2]Degree Days 2018'!B21</f>
        <v>16</v>
      </c>
      <c r="C21" s="278">
        <f>'[2]Degree Days 2018'!C21</f>
        <v>12</v>
      </c>
      <c r="D21" s="278">
        <f t="shared" si="0"/>
        <v>-4.3000000000000007</v>
      </c>
      <c r="E21" s="278">
        <f>'[5]Degree Days 2018'!E21</f>
        <v>12</v>
      </c>
      <c r="F21" s="278">
        <f>'[2]Degree Days 2018'!F21</f>
        <v>16</v>
      </c>
      <c r="G21" s="278">
        <f>'[2]Degree Days 2018'!G21</f>
        <v>13</v>
      </c>
      <c r="H21" s="278">
        <f t="shared" si="1"/>
        <v>-3.8000000000000007</v>
      </c>
      <c r="I21" s="278">
        <f>'[5]Degree Days 2018'!I21</f>
        <v>12</v>
      </c>
      <c r="J21" s="278">
        <f>'[2]Degree Days 2018'!J21</f>
        <v>27</v>
      </c>
      <c r="K21" s="278">
        <f>'[2]Degree Days 2018'!K21</f>
        <v>16</v>
      </c>
      <c r="L21" s="278">
        <f t="shared" si="2"/>
        <v>3.1999999999999993</v>
      </c>
      <c r="M21" s="278">
        <f>'[5]Degree Days 2018'!M21</f>
        <v>12</v>
      </c>
      <c r="N21" s="278">
        <f>'[2]Degree Days 2018'!N21</f>
        <v>20</v>
      </c>
      <c r="O21" s="278">
        <f>'[2]Degree Days 2018'!O21</f>
        <v>14</v>
      </c>
      <c r="P21" s="278">
        <f t="shared" si="3"/>
        <v>-1.3000000000000007</v>
      </c>
      <c r="Q21" s="552">
        <v>12</v>
      </c>
      <c r="R21" s="278">
        <f>'[2]Degree Days 2018'!R21</f>
        <v>24</v>
      </c>
      <c r="S21" s="278">
        <f>'[2]Degree Days 2018'!S21</f>
        <v>18</v>
      </c>
      <c r="T21" s="278">
        <f t="shared" si="4"/>
        <v>2.6999999999999993</v>
      </c>
      <c r="U21" s="552">
        <v>12</v>
      </c>
      <c r="V21" s="278">
        <v>28</v>
      </c>
      <c r="W21" s="278">
        <v>20</v>
      </c>
      <c r="X21" s="278">
        <f t="shared" si="5"/>
        <v>5.6999999999999993</v>
      </c>
      <c r="Z21" t="s">
        <v>181</v>
      </c>
      <c r="AA21" s="120">
        <f>V81</f>
        <v>-549.00000000000011</v>
      </c>
      <c r="AB21" s="120">
        <f>W81</f>
        <v>0</v>
      </c>
    </row>
    <row r="22" spans="1:28">
      <c r="A22" s="118">
        <v>13</v>
      </c>
      <c r="B22" s="278">
        <f>'[2]Degree Days 2018'!B22</f>
        <v>17</v>
      </c>
      <c r="C22" s="278">
        <f>'[2]Degree Days 2018'!C22</f>
        <v>13</v>
      </c>
      <c r="D22" s="278">
        <f t="shared" si="0"/>
        <v>-3.3000000000000007</v>
      </c>
      <c r="E22" s="278">
        <f>'[5]Degree Days 2018'!E22</f>
        <v>13</v>
      </c>
      <c r="F22" s="278">
        <f>'[2]Degree Days 2018'!F22</f>
        <v>17</v>
      </c>
      <c r="G22" s="278">
        <f>'[2]Degree Days 2018'!G22</f>
        <v>14</v>
      </c>
      <c r="H22" s="278">
        <f t="shared" si="1"/>
        <v>-2.8000000000000007</v>
      </c>
      <c r="I22" s="278">
        <f>'[5]Degree Days 2018'!I22</f>
        <v>13</v>
      </c>
      <c r="J22" s="278">
        <f>'[2]Degree Days 2018'!J22</f>
        <v>26</v>
      </c>
      <c r="K22" s="278">
        <f>'[2]Degree Days 2018'!K22</f>
        <v>15</v>
      </c>
      <c r="L22" s="278">
        <f t="shared" si="2"/>
        <v>2.1999999999999993</v>
      </c>
      <c r="M22" s="278">
        <f>'[5]Degree Days 2018'!M22</f>
        <v>13</v>
      </c>
      <c r="N22" s="278">
        <f>'[2]Degree Days 2018'!N22</f>
        <v>21</v>
      </c>
      <c r="O22" s="278">
        <f>'[2]Degree Days 2018'!O22</f>
        <v>15</v>
      </c>
      <c r="P22" s="278">
        <f t="shared" si="3"/>
        <v>-0.30000000000000071</v>
      </c>
      <c r="Q22" s="552">
        <v>13</v>
      </c>
      <c r="R22" s="278">
        <f>'[2]Degree Days 2018'!R22</f>
        <v>27</v>
      </c>
      <c r="S22" s="278">
        <f>'[2]Degree Days 2018'!S22</f>
        <v>21</v>
      </c>
      <c r="T22" s="278">
        <f t="shared" si="4"/>
        <v>5.6999999999999993</v>
      </c>
      <c r="U22" s="552">
        <v>13</v>
      </c>
      <c r="V22" s="278">
        <f>'General information '!B18</f>
        <v>0</v>
      </c>
      <c r="W22" s="278">
        <f>'General information '!C18</f>
        <v>0</v>
      </c>
      <c r="X22" s="278">
        <f t="shared" si="5"/>
        <v>-18.3</v>
      </c>
    </row>
    <row r="23" spans="1:28">
      <c r="A23" s="118">
        <v>14</v>
      </c>
      <c r="B23" s="278">
        <f>'[2]Degree Days 2018'!B23</f>
        <v>16</v>
      </c>
      <c r="C23" s="278">
        <f>'[2]Degree Days 2018'!C23</f>
        <v>12</v>
      </c>
      <c r="D23" s="278">
        <f t="shared" si="0"/>
        <v>-4.3000000000000007</v>
      </c>
      <c r="E23" s="278">
        <f>'[5]Degree Days 2018'!E23</f>
        <v>14</v>
      </c>
      <c r="F23" s="278">
        <f>'[2]Degree Days 2018'!F23</f>
        <v>17</v>
      </c>
      <c r="G23" s="278">
        <f>'[2]Degree Days 2018'!G23</f>
        <v>11</v>
      </c>
      <c r="H23" s="278">
        <f t="shared" si="1"/>
        <v>-4.3000000000000007</v>
      </c>
      <c r="I23" s="278">
        <f>'[5]Degree Days 2018'!I23</f>
        <v>14</v>
      </c>
      <c r="J23" s="278">
        <f>'[2]Degree Days 2018'!J23</f>
        <v>19</v>
      </c>
      <c r="K23" s="278">
        <f>'[2]Degree Days 2018'!K23</f>
        <v>15</v>
      </c>
      <c r="L23" s="278">
        <f t="shared" si="2"/>
        <v>-1.3000000000000007</v>
      </c>
      <c r="M23" s="278">
        <f>'[5]Degree Days 2018'!M23</f>
        <v>14</v>
      </c>
      <c r="N23" s="278">
        <f>'[2]Degree Days 2018'!N23</f>
        <v>22</v>
      </c>
      <c r="O23" s="278">
        <f>'[2]Degree Days 2018'!O23</f>
        <v>16</v>
      </c>
      <c r="P23" s="278">
        <f t="shared" si="3"/>
        <v>0.69999999999999929</v>
      </c>
      <c r="Q23" s="552">
        <v>14</v>
      </c>
      <c r="R23" s="278">
        <f>'[2]Degree Days 2018'!R23</f>
        <v>29</v>
      </c>
      <c r="S23" s="278">
        <f>'[2]Degree Days 2018'!S23</f>
        <v>22</v>
      </c>
      <c r="T23" s="278">
        <f t="shared" si="4"/>
        <v>7.1999999999999993</v>
      </c>
      <c r="U23" s="552">
        <v>14</v>
      </c>
      <c r="V23" s="278">
        <f>'General information '!B19</f>
        <v>0</v>
      </c>
      <c r="W23" s="278">
        <f>'General information '!C19</f>
        <v>0</v>
      </c>
      <c r="X23" s="278">
        <f t="shared" si="5"/>
        <v>-18.3</v>
      </c>
      <c r="AA23" s="135">
        <f>SUM(AA10:AA22)</f>
        <v>-4097.8000000000011</v>
      </c>
      <c r="AB23" s="135">
        <f>SUM(AB10:AB22)</f>
        <v>225.9</v>
      </c>
    </row>
    <row r="24" spans="1:28">
      <c r="A24" s="118">
        <v>15</v>
      </c>
      <c r="B24" s="278">
        <f>'[2]Degree Days 2018'!B24</f>
        <v>17</v>
      </c>
      <c r="C24" s="278">
        <f>'[2]Degree Days 2018'!C24</f>
        <v>13</v>
      </c>
      <c r="D24" s="278">
        <f t="shared" si="0"/>
        <v>-3.3000000000000007</v>
      </c>
      <c r="E24" s="278">
        <f>'[5]Degree Days 2018'!E24</f>
        <v>15</v>
      </c>
      <c r="F24" s="278">
        <f>'[2]Degree Days 2018'!F24</f>
        <v>17</v>
      </c>
      <c r="G24" s="278">
        <f>'[2]Degree Days 2018'!G24</f>
        <v>12</v>
      </c>
      <c r="H24" s="278">
        <f t="shared" si="1"/>
        <v>-3.8000000000000007</v>
      </c>
      <c r="I24" s="278">
        <f>'[5]Degree Days 2018'!I24</f>
        <v>15</v>
      </c>
      <c r="J24" s="278">
        <f>'[2]Degree Days 2018'!J24</f>
        <v>19</v>
      </c>
      <c r="K24" s="278">
        <f>'[2]Degree Days 2018'!K24</f>
        <v>15</v>
      </c>
      <c r="L24" s="278">
        <f t="shared" si="2"/>
        <v>-1.3000000000000007</v>
      </c>
      <c r="M24" s="278">
        <f>'[5]Degree Days 2018'!M24</f>
        <v>15</v>
      </c>
      <c r="N24" s="278">
        <f>'[2]Degree Days 2018'!N24</f>
        <v>20</v>
      </c>
      <c r="O24" s="278">
        <f>'[2]Degree Days 2018'!O24</f>
        <v>16</v>
      </c>
      <c r="P24" s="278">
        <f t="shared" si="3"/>
        <v>-0.30000000000000071</v>
      </c>
      <c r="Q24" s="552">
        <v>15</v>
      </c>
      <c r="R24" s="278">
        <f>'[2]Degree Days 2018'!R24</f>
        <v>30</v>
      </c>
      <c r="S24" s="278">
        <f>'[2]Degree Days 2018'!S24</f>
        <v>23</v>
      </c>
      <c r="T24" s="278">
        <f t="shared" si="4"/>
        <v>8.1999999999999993</v>
      </c>
      <c r="U24" s="552">
        <v>15</v>
      </c>
      <c r="V24" s="278">
        <f>'General information '!B20</f>
        <v>0</v>
      </c>
      <c r="W24" s="278">
        <f>'General information '!C20</f>
        <v>0</v>
      </c>
      <c r="X24" s="278">
        <f t="shared" si="5"/>
        <v>-18.3</v>
      </c>
    </row>
    <row r="25" spans="1:28">
      <c r="A25" s="118">
        <v>16</v>
      </c>
      <c r="B25" s="278">
        <f>'[2]Degree Days 2018'!B25</f>
        <v>19</v>
      </c>
      <c r="C25" s="278">
        <f>'[2]Degree Days 2018'!C25</f>
        <v>13</v>
      </c>
      <c r="D25" s="278">
        <f t="shared" si="0"/>
        <v>-2.3000000000000007</v>
      </c>
      <c r="E25" s="278">
        <f>'[5]Degree Days 2018'!E25</f>
        <v>16</v>
      </c>
      <c r="F25" s="278">
        <f>'[2]Degree Days 2018'!F25</f>
        <v>17</v>
      </c>
      <c r="G25" s="278">
        <f>'[2]Degree Days 2018'!G25</f>
        <v>11</v>
      </c>
      <c r="H25" s="278">
        <f t="shared" si="1"/>
        <v>-4.3000000000000007</v>
      </c>
      <c r="I25" s="278">
        <f>'[5]Degree Days 2018'!I25</f>
        <v>16</v>
      </c>
      <c r="J25" s="278">
        <f>'[2]Degree Days 2018'!J25</f>
        <v>18</v>
      </c>
      <c r="K25" s="278">
        <f>'[2]Degree Days 2018'!K25</f>
        <v>11</v>
      </c>
      <c r="L25" s="278">
        <f t="shared" si="2"/>
        <v>-3.8000000000000007</v>
      </c>
      <c r="M25" s="278">
        <f>'[5]Degree Days 2018'!M25</f>
        <v>16</v>
      </c>
      <c r="N25" s="278">
        <f>'[2]Degree Days 2018'!N25</f>
        <v>20</v>
      </c>
      <c r="O25" s="278">
        <f>'[2]Degree Days 2018'!O25</f>
        <v>15</v>
      </c>
      <c r="P25" s="278">
        <f t="shared" si="3"/>
        <v>-0.80000000000000071</v>
      </c>
      <c r="Q25" s="552">
        <v>16</v>
      </c>
      <c r="R25" s="278">
        <f>'[2]Degree Days 2018'!R25</f>
        <v>32</v>
      </c>
      <c r="S25" s="278">
        <f>'[2]Degree Days 2018'!S25</f>
        <v>24</v>
      </c>
      <c r="T25" s="278">
        <f t="shared" si="4"/>
        <v>9.6999999999999993</v>
      </c>
      <c r="U25" s="552">
        <v>16</v>
      </c>
      <c r="V25" s="278">
        <f>'General information '!B21</f>
        <v>0</v>
      </c>
      <c r="W25" s="278">
        <f>'General information '!C21</f>
        <v>0</v>
      </c>
      <c r="X25" s="278">
        <f t="shared" si="5"/>
        <v>-18.3</v>
      </c>
    </row>
    <row r="26" spans="1:28">
      <c r="A26" s="118">
        <v>17</v>
      </c>
      <c r="B26" s="278">
        <f>'[2]Degree Days 2018'!B26</f>
        <v>20</v>
      </c>
      <c r="C26" s="278">
        <f>'[2]Degree Days 2018'!C26</f>
        <v>13</v>
      </c>
      <c r="D26" s="278">
        <f t="shared" si="0"/>
        <v>-1.8000000000000007</v>
      </c>
      <c r="E26" s="278">
        <f>'[5]Degree Days 2018'!E26</f>
        <v>17</v>
      </c>
      <c r="F26" s="278">
        <f>'[2]Degree Days 2018'!F26</f>
        <v>16</v>
      </c>
      <c r="G26" s="278">
        <f>'[2]Degree Days 2018'!G26</f>
        <v>12</v>
      </c>
      <c r="H26" s="278">
        <f t="shared" si="1"/>
        <v>-4.3000000000000007</v>
      </c>
      <c r="I26" s="278">
        <f>'[5]Degree Days 2018'!I26</f>
        <v>17</v>
      </c>
      <c r="J26" s="278">
        <f>'[2]Degree Days 2018'!J26</f>
        <v>19</v>
      </c>
      <c r="K26" s="278">
        <f>'[2]Degree Days 2018'!K26</f>
        <v>12</v>
      </c>
      <c r="L26" s="278">
        <f t="shared" si="2"/>
        <v>-2.8000000000000007</v>
      </c>
      <c r="M26" s="278">
        <f>'[5]Degree Days 2018'!M26</f>
        <v>17</v>
      </c>
      <c r="N26" s="278">
        <f>'[2]Degree Days 2018'!N26</f>
        <v>22</v>
      </c>
      <c r="O26" s="278">
        <f>'[2]Degree Days 2018'!O26</f>
        <v>17</v>
      </c>
      <c r="P26" s="278">
        <f t="shared" si="3"/>
        <v>1.1999999999999993</v>
      </c>
      <c r="Q26" s="552">
        <v>17</v>
      </c>
      <c r="R26" s="278">
        <f>'[2]Degree Days 2018'!R26</f>
        <v>36</v>
      </c>
      <c r="S26" s="278">
        <f>'[2]Degree Days 2018'!S26</f>
        <v>26</v>
      </c>
      <c r="T26" s="278">
        <f t="shared" si="4"/>
        <v>12.7</v>
      </c>
      <c r="U26" s="552">
        <v>17</v>
      </c>
      <c r="V26" s="278">
        <f>'General information '!B22</f>
        <v>0</v>
      </c>
      <c r="W26" s="278">
        <f>'General information '!C22</f>
        <v>0</v>
      </c>
      <c r="X26" s="278">
        <f t="shared" si="5"/>
        <v>-18.3</v>
      </c>
    </row>
    <row r="27" spans="1:28">
      <c r="A27" s="118">
        <v>18</v>
      </c>
      <c r="B27" s="278">
        <f>'[2]Degree Days 2018'!B27</f>
        <v>14</v>
      </c>
      <c r="C27" s="278">
        <f>'[2]Degree Days 2018'!C27</f>
        <v>13</v>
      </c>
      <c r="D27" s="278">
        <f t="shared" si="0"/>
        <v>-4.8000000000000007</v>
      </c>
      <c r="E27" s="278">
        <f>'[5]Degree Days 2018'!E27</f>
        <v>18</v>
      </c>
      <c r="F27" s="278">
        <f>'[2]Degree Days 2018'!F27</f>
        <v>17</v>
      </c>
      <c r="G27" s="278">
        <f>'[2]Degree Days 2018'!G27</f>
        <v>11</v>
      </c>
      <c r="H27" s="278">
        <f t="shared" si="1"/>
        <v>-4.3000000000000007</v>
      </c>
      <c r="I27" s="278">
        <f>'[5]Degree Days 2018'!I27</f>
        <v>18</v>
      </c>
      <c r="J27" s="278">
        <f>'[2]Degree Days 2018'!J27</f>
        <v>15</v>
      </c>
      <c r="K27" s="278">
        <f>'[2]Degree Days 2018'!K27</f>
        <v>13</v>
      </c>
      <c r="L27" s="278">
        <f t="shared" si="2"/>
        <v>-4.3000000000000007</v>
      </c>
      <c r="M27" s="278">
        <f>'[5]Degree Days 2018'!M27</f>
        <v>18</v>
      </c>
      <c r="N27" s="278">
        <f>'[2]Degree Days 2018'!N27</f>
        <v>24</v>
      </c>
      <c r="O27" s="278">
        <f>'[2]Degree Days 2018'!O27</f>
        <v>17</v>
      </c>
      <c r="P27" s="278">
        <f t="shared" si="3"/>
        <v>2.1999999999999993</v>
      </c>
      <c r="Q27" s="552">
        <v>18</v>
      </c>
      <c r="R27" s="278">
        <f>'[2]Degree Days 2018'!R27</f>
        <v>32</v>
      </c>
      <c r="S27" s="278">
        <f>'[2]Degree Days 2018'!S27</f>
        <v>24</v>
      </c>
      <c r="T27" s="278">
        <f t="shared" si="4"/>
        <v>9.6999999999999993</v>
      </c>
      <c r="U27" s="552">
        <v>18</v>
      </c>
      <c r="V27" s="278">
        <f>'General information '!B23</f>
        <v>0</v>
      </c>
      <c r="W27" s="278">
        <f>'General information '!C23</f>
        <v>0</v>
      </c>
      <c r="X27" s="278">
        <f t="shared" si="5"/>
        <v>-18.3</v>
      </c>
    </row>
    <row r="28" spans="1:28">
      <c r="A28" s="118">
        <v>19</v>
      </c>
      <c r="B28" s="278">
        <f>'[2]Degree Days 2018'!B28</f>
        <v>15</v>
      </c>
      <c r="C28" s="278">
        <f>'[2]Degree Days 2018'!C28</f>
        <v>13</v>
      </c>
      <c r="D28" s="278">
        <f t="shared" si="0"/>
        <v>-4.3000000000000007</v>
      </c>
      <c r="E28" s="278">
        <f>'[5]Degree Days 2018'!E28</f>
        <v>19</v>
      </c>
      <c r="F28" s="278">
        <f>'[2]Degree Days 2018'!F28</f>
        <v>17</v>
      </c>
      <c r="G28" s="278">
        <f>'[2]Degree Days 2018'!G28</f>
        <v>14</v>
      </c>
      <c r="H28" s="278">
        <f t="shared" si="1"/>
        <v>-2.8000000000000007</v>
      </c>
      <c r="I28" s="278">
        <f>'[5]Degree Days 2018'!I28</f>
        <v>19</v>
      </c>
      <c r="J28" s="278">
        <f>'[2]Degree Days 2018'!J28</f>
        <v>17</v>
      </c>
      <c r="K28" s="278">
        <f>'[2]Degree Days 2018'!K28</f>
        <v>14</v>
      </c>
      <c r="L28" s="278">
        <f t="shared" si="2"/>
        <v>-2.8000000000000007</v>
      </c>
      <c r="M28" s="278">
        <f>'[5]Degree Days 2018'!M28</f>
        <v>19</v>
      </c>
      <c r="N28" s="278">
        <f>'[2]Degree Days 2018'!N28</f>
        <v>24</v>
      </c>
      <c r="O28" s="278">
        <f>'[2]Degree Days 2018'!O28</f>
        <v>17</v>
      </c>
      <c r="P28" s="278">
        <f t="shared" si="3"/>
        <v>2.1999999999999993</v>
      </c>
      <c r="Q28" s="552">
        <v>19</v>
      </c>
      <c r="R28" s="278">
        <f>'[2]Degree Days 2018'!R28</f>
        <v>34</v>
      </c>
      <c r="S28" s="278">
        <f>'[2]Degree Days 2018'!S28</f>
        <v>27</v>
      </c>
      <c r="T28" s="278">
        <f t="shared" si="4"/>
        <v>12.2</v>
      </c>
      <c r="U28" s="552">
        <v>19</v>
      </c>
      <c r="V28" s="278">
        <f>'General information '!B24</f>
        <v>0</v>
      </c>
      <c r="W28" s="278">
        <f>'General information '!C24</f>
        <v>0</v>
      </c>
      <c r="X28" s="278">
        <f t="shared" si="5"/>
        <v>-18.3</v>
      </c>
    </row>
    <row r="29" spans="1:28">
      <c r="A29" s="118">
        <v>20</v>
      </c>
      <c r="B29" s="278">
        <f>'[2]Degree Days 2018'!B29</f>
        <v>15</v>
      </c>
      <c r="C29" s="278">
        <f>'[2]Degree Days 2018'!C29</f>
        <v>10</v>
      </c>
      <c r="D29" s="278">
        <f t="shared" si="0"/>
        <v>-5.8000000000000007</v>
      </c>
      <c r="E29" s="278">
        <f>'[5]Degree Days 2018'!E29</f>
        <v>20</v>
      </c>
      <c r="F29" s="278">
        <f>'[2]Degree Days 2018'!F29</f>
        <v>17</v>
      </c>
      <c r="G29" s="278">
        <f>'[2]Degree Days 2018'!G29</f>
        <v>14</v>
      </c>
      <c r="H29" s="278">
        <f t="shared" si="1"/>
        <v>-2.8000000000000007</v>
      </c>
      <c r="I29" s="278">
        <f>'[5]Degree Days 2018'!I29</f>
        <v>20</v>
      </c>
      <c r="J29" s="278">
        <f>'[2]Degree Days 2018'!J29</f>
        <v>16</v>
      </c>
      <c r="K29" s="278">
        <f>'[2]Degree Days 2018'!K29</f>
        <v>13</v>
      </c>
      <c r="L29" s="278">
        <f t="shared" si="2"/>
        <v>-3.8000000000000007</v>
      </c>
      <c r="M29" s="278">
        <f>'[5]Degree Days 2018'!M29</f>
        <v>20</v>
      </c>
      <c r="N29" s="278">
        <f>'[2]Degree Days 2018'!N29</f>
        <v>23</v>
      </c>
      <c r="O29" s="278">
        <f>'[2]Degree Days 2018'!O29</f>
        <v>18</v>
      </c>
      <c r="P29" s="278">
        <f t="shared" si="3"/>
        <v>2.1999999999999993</v>
      </c>
      <c r="Q29" s="552">
        <v>20</v>
      </c>
      <c r="R29" s="278">
        <f>'[2]Degree Days 2018'!R29</f>
        <v>30</v>
      </c>
      <c r="S29" s="278">
        <f>'[2]Degree Days 2018'!S29</f>
        <v>22</v>
      </c>
      <c r="T29" s="278">
        <f t="shared" si="4"/>
        <v>7.6999999999999993</v>
      </c>
      <c r="U29" s="552">
        <v>20</v>
      </c>
      <c r="V29" s="278">
        <f>'General information '!B25</f>
        <v>0</v>
      </c>
      <c r="W29" s="278">
        <f>'General information '!C25</f>
        <v>0</v>
      </c>
      <c r="X29" s="278">
        <f t="shared" si="5"/>
        <v>-18.3</v>
      </c>
    </row>
    <row r="30" spans="1:28">
      <c r="A30" s="118">
        <v>21</v>
      </c>
      <c r="B30" s="278">
        <f>'[2]Degree Days 2018'!B30</f>
        <v>13</v>
      </c>
      <c r="C30" s="278">
        <f>'[2]Degree Days 2018'!C30</f>
        <v>9</v>
      </c>
      <c r="D30" s="278">
        <f t="shared" si="0"/>
        <v>-7.3000000000000007</v>
      </c>
      <c r="E30" s="278">
        <f>'[5]Degree Days 2018'!E30</f>
        <v>21</v>
      </c>
      <c r="F30" s="278">
        <f>'[2]Degree Days 2018'!F30</f>
        <v>16</v>
      </c>
      <c r="G30" s="278">
        <f>'[2]Degree Days 2018'!G30</f>
        <v>12</v>
      </c>
      <c r="H30" s="278">
        <f t="shared" si="1"/>
        <v>-4.3000000000000007</v>
      </c>
      <c r="I30" s="278">
        <f>'[5]Degree Days 2018'!I30</f>
        <v>21</v>
      </c>
      <c r="J30" s="278">
        <f>'[2]Degree Days 2018'!J30</f>
        <v>17</v>
      </c>
      <c r="K30" s="278">
        <f>'[2]Degree Days 2018'!K30</f>
        <v>14</v>
      </c>
      <c r="L30" s="278">
        <f t="shared" si="2"/>
        <v>-2.8000000000000007</v>
      </c>
      <c r="M30" s="278">
        <f>'[5]Degree Days 2018'!M30</f>
        <v>21</v>
      </c>
      <c r="N30" s="278">
        <f>'[2]Degree Days 2018'!N30</f>
        <v>24</v>
      </c>
      <c r="O30" s="278">
        <f>'[2]Degree Days 2018'!O30</f>
        <v>18</v>
      </c>
      <c r="P30" s="278">
        <f t="shared" si="3"/>
        <v>2.6999999999999993</v>
      </c>
      <c r="Q30" s="552">
        <v>21</v>
      </c>
      <c r="R30" s="278">
        <f>'[2]Degree Days 2018'!R30</f>
        <v>31</v>
      </c>
      <c r="S30" s="278">
        <f>'[2]Degree Days 2018'!S30</f>
        <v>23</v>
      </c>
      <c r="T30" s="278">
        <f t="shared" si="4"/>
        <v>8.6999999999999993</v>
      </c>
      <c r="U30" s="552">
        <v>21</v>
      </c>
      <c r="V30" s="278">
        <f>'General information '!B26</f>
        <v>0</v>
      </c>
      <c r="W30" s="278">
        <f>'General information '!C26</f>
        <v>0</v>
      </c>
      <c r="X30" s="278">
        <f t="shared" si="5"/>
        <v>-18.3</v>
      </c>
    </row>
    <row r="31" spans="1:28">
      <c r="A31" s="118">
        <v>22</v>
      </c>
      <c r="B31" s="278">
        <f>'[2]Degree Days 2018'!B31</f>
        <v>14</v>
      </c>
      <c r="C31" s="278">
        <f>'[2]Degree Days 2018'!C31</f>
        <v>10</v>
      </c>
      <c r="D31" s="278">
        <f t="shared" si="0"/>
        <v>-6.3000000000000007</v>
      </c>
      <c r="E31" s="278">
        <f>'[5]Degree Days 2018'!E31</f>
        <v>22</v>
      </c>
      <c r="F31" s="278">
        <f>'[2]Degree Days 2018'!F31</f>
        <v>17</v>
      </c>
      <c r="G31" s="278">
        <f>'[2]Degree Days 2018'!G31</f>
        <v>12</v>
      </c>
      <c r="H31" s="278">
        <f t="shared" si="1"/>
        <v>-3.8000000000000007</v>
      </c>
      <c r="I31" s="278">
        <f>'[5]Degree Days 2018'!I31</f>
        <v>22</v>
      </c>
      <c r="J31" s="278">
        <f>'[2]Degree Days 2018'!J31</f>
        <v>19</v>
      </c>
      <c r="K31" s="278">
        <f>'[2]Degree Days 2018'!K31</f>
        <v>14</v>
      </c>
      <c r="L31" s="278">
        <f t="shared" si="2"/>
        <v>-1.8000000000000007</v>
      </c>
      <c r="M31" s="278">
        <f>'[5]Degree Days 2018'!M31</f>
        <v>22</v>
      </c>
      <c r="N31" s="278">
        <f>'[2]Degree Days 2018'!N31</f>
        <v>25</v>
      </c>
      <c r="O31" s="278">
        <f>'[2]Degree Days 2018'!O31</f>
        <v>18</v>
      </c>
      <c r="P31" s="278">
        <f t="shared" si="3"/>
        <v>3.1999999999999993</v>
      </c>
      <c r="Q31" s="552">
        <v>22</v>
      </c>
      <c r="R31" s="278">
        <f>'[2]Degree Days 2018'!R31</f>
        <v>25</v>
      </c>
      <c r="S31" s="278">
        <f>'[2]Degree Days 2018'!S31</f>
        <v>16</v>
      </c>
      <c r="T31" s="278">
        <f t="shared" si="4"/>
        <v>2.1999999999999993</v>
      </c>
      <c r="U31" s="552">
        <v>22</v>
      </c>
      <c r="V31" s="278">
        <f>'General information '!B27</f>
        <v>0</v>
      </c>
      <c r="W31" s="278">
        <f>'General information '!C27</f>
        <v>0</v>
      </c>
      <c r="X31" s="278">
        <f t="shared" si="5"/>
        <v>-18.3</v>
      </c>
    </row>
    <row r="32" spans="1:28">
      <c r="A32" s="118">
        <v>23</v>
      </c>
      <c r="B32" s="278">
        <f>'[2]Degree Days 2018'!B32</f>
        <v>13</v>
      </c>
      <c r="C32" s="278">
        <f>'[2]Degree Days 2018'!C32</f>
        <v>7</v>
      </c>
      <c r="D32" s="278">
        <f t="shared" si="0"/>
        <v>-8.3000000000000007</v>
      </c>
      <c r="E32" s="278">
        <f>'[5]Degree Days 2018'!E32</f>
        <v>23</v>
      </c>
      <c r="F32" s="278">
        <f>'[2]Degree Days 2018'!F32</f>
        <v>16</v>
      </c>
      <c r="G32" s="278">
        <f>'[2]Degree Days 2018'!G32</f>
        <v>14</v>
      </c>
      <c r="H32" s="278">
        <f t="shared" si="1"/>
        <v>-3.3000000000000007</v>
      </c>
      <c r="I32" s="278">
        <f>'[5]Degree Days 2018'!I32</f>
        <v>23</v>
      </c>
      <c r="J32" s="278">
        <f>'[2]Degree Days 2018'!J32</f>
        <v>21</v>
      </c>
      <c r="K32" s="278">
        <f>'[2]Degree Days 2018'!K32</f>
        <v>14</v>
      </c>
      <c r="L32" s="278">
        <f t="shared" si="2"/>
        <v>-0.80000000000000071</v>
      </c>
      <c r="M32" s="278">
        <f>'[5]Degree Days 2018'!M32</f>
        <v>23</v>
      </c>
      <c r="N32" s="278">
        <f>'[2]Degree Days 2018'!N32</f>
        <v>23</v>
      </c>
      <c r="O32" s="278">
        <f>'[2]Degree Days 2018'!O32</f>
        <v>15</v>
      </c>
      <c r="P32" s="278">
        <f t="shared" si="3"/>
        <v>0.69999999999999929</v>
      </c>
      <c r="Q32" s="552">
        <v>23</v>
      </c>
      <c r="R32" s="278">
        <f>'[2]Degree Days 2018'!R32</f>
        <v>22</v>
      </c>
      <c r="S32" s="278">
        <f>'[2]Degree Days 2018'!S32</f>
        <v>19</v>
      </c>
      <c r="T32" s="278">
        <f t="shared" si="4"/>
        <v>2.1999999999999993</v>
      </c>
      <c r="U32" s="552">
        <v>23</v>
      </c>
      <c r="V32" s="278">
        <f>'General information '!B28</f>
        <v>0</v>
      </c>
      <c r="W32" s="278">
        <f>'General information '!C28</f>
        <v>0</v>
      </c>
      <c r="X32" s="278">
        <f t="shared" si="5"/>
        <v>-18.3</v>
      </c>
    </row>
    <row r="33" spans="1:24">
      <c r="A33" s="118">
        <v>24</v>
      </c>
      <c r="B33" s="278">
        <f>'[2]Degree Days 2018'!B33</f>
        <v>14</v>
      </c>
      <c r="C33" s="278">
        <f>'[2]Degree Days 2018'!C33</f>
        <v>8</v>
      </c>
      <c r="D33" s="278">
        <f t="shared" si="0"/>
        <v>-7.3000000000000007</v>
      </c>
      <c r="E33" s="278">
        <f>'[5]Degree Days 2018'!E33</f>
        <v>24</v>
      </c>
      <c r="F33" s="278">
        <f>'[2]Degree Days 2018'!F33</f>
        <v>17</v>
      </c>
      <c r="G33" s="278">
        <f>'[2]Degree Days 2018'!G33</f>
        <v>13</v>
      </c>
      <c r="H33" s="278">
        <f t="shared" si="1"/>
        <v>-3.3000000000000007</v>
      </c>
      <c r="I33" s="278">
        <f>'[5]Degree Days 2018'!I33</f>
        <v>24</v>
      </c>
      <c r="J33" s="278">
        <f>'[2]Degree Days 2018'!J33</f>
        <v>22</v>
      </c>
      <c r="K33" s="278">
        <f>'[2]Degree Days 2018'!K33</f>
        <v>15</v>
      </c>
      <c r="L33" s="278">
        <f t="shared" si="2"/>
        <v>0.19999999999999929</v>
      </c>
      <c r="M33" s="278">
        <f>'[5]Degree Days 2018'!M33</f>
        <v>24</v>
      </c>
      <c r="N33" s="278">
        <f>'[2]Degree Days 2018'!N33</f>
        <v>23</v>
      </c>
      <c r="O33" s="278">
        <f>'[2]Degree Days 2018'!O33</f>
        <v>16</v>
      </c>
      <c r="P33" s="278">
        <f t="shared" si="3"/>
        <v>1.1999999999999993</v>
      </c>
      <c r="Q33" s="552">
        <v>24</v>
      </c>
      <c r="R33" s="278">
        <f>'[2]Degree Days 2018'!R33</f>
        <v>24</v>
      </c>
      <c r="S33" s="278">
        <f>'[2]Degree Days 2018'!S33</f>
        <v>16</v>
      </c>
      <c r="T33" s="278">
        <f t="shared" si="4"/>
        <v>1.6999999999999993</v>
      </c>
      <c r="U33" s="552">
        <v>24</v>
      </c>
      <c r="V33" s="278">
        <f>'General information '!B29</f>
        <v>0</v>
      </c>
      <c r="W33" s="278">
        <f>'General information '!C29</f>
        <v>0</v>
      </c>
      <c r="X33" s="278">
        <f t="shared" si="5"/>
        <v>-18.3</v>
      </c>
    </row>
    <row r="34" spans="1:24">
      <c r="A34" s="118">
        <v>25</v>
      </c>
      <c r="B34" s="278">
        <f>'[2]Degree Days 2018'!B34</f>
        <v>16</v>
      </c>
      <c r="C34" s="278">
        <f>'[2]Degree Days 2018'!C34</f>
        <v>10</v>
      </c>
      <c r="D34" s="278">
        <f t="shared" si="0"/>
        <v>-5.3000000000000007</v>
      </c>
      <c r="E34" s="278">
        <f>'[5]Degree Days 2018'!E34</f>
        <v>25</v>
      </c>
      <c r="F34" s="278">
        <f>'[2]Degree Days 2018'!F34</f>
        <v>17</v>
      </c>
      <c r="G34" s="278">
        <f>'[2]Degree Days 2018'!G34</f>
        <v>13</v>
      </c>
      <c r="H34" s="278">
        <f t="shared" si="1"/>
        <v>-3.3000000000000007</v>
      </c>
      <c r="I34" s="278">
        <f>'[5]Degree Days 2018'!I34</f>
        <v>25</v>
      </c>
      <c r="J34" s="278">
        <f>'[2]Degree Days 2018'!J34</f>
        <v>21</v>
      </c>
      <c r="K34" s="278">
        <f>'[2]Degree Days 2018'!K34</f>
        <v>15</v>
      </c>
      <c r="L34" s="278">
        <f t="shared" si="2"/>
        <v>-0.30000000000000071</v>
      </c>
      <c r="M34" s="278">
        <f>'[5]Degree Days 2018'!M34</f>
        <v>25</v>
      </c>
      <c r="N34" s="278">
        <f>'[2]Degree Days 2018'!N34</f>
        <v>22</v>
      </c>
      <c r="O34" s="278">
        <f>'[2]Degree Days 2018'!O34</f>
        <v>14</v>
      </c>
      <c r="P34" s="278">
        <f t="shared" si="3"/>
        <v>-0.30000000000000071</v>
      </c>
      <c r="Q34" s="552">
        <v>25</v>
      </c>
      <c r="R34" s="278">
        <f>'[2]Degree Days 2018'!R34</f>
        <v>24</v>
      </c>
      <c r="S34" s="278">
        <f>'[2]Degree Days 2018'!S34</f>
        <v>18</v>
      </c>
      <c r="T34" s="278">
        <f t="shared" si="4"/>
        <v>2.6999999999999993</v>
      </c>
      <c r="U34" s="552">
        <v>25</v>
      </c>
      <c r="V34" s="278">
        <f>'General information '!B30</f>
        <v>0</v>
      </c>
      <c r="W34" s="278">
        <f>'General information '!C30</f>
        <v>0</v>
      </c>
      <c r="X34" s="278">
        <f t="shared" si="5"/>
        <v>-18.3</v>
      </c>
    </row>
    <row r="35" spans="1:24">
      <c r="A35" s="118">
        <v>26</v>
      </c>
      <c r="B35" s="278">
        <f>'[2]Degree Days 2018'!B35</f>
        <v>15</v>
      </c>
      <c r="C35" s="278">
        <f>'[2]Degree Days 2018'!C35</f>
        <v>9</v>
      </c>
      <c r="D35" s="278">
        <f t="shared" si="0"/>
        <v>-6.3000000000000007</v>
      </c>
      <c r="E35" s="278">
        <f>'[5]Degree Days 2018'!E35</f>
        <v>26</v>
      </c>
      <c r="F35" s="278">
        <f>'[2]Degree Days 2018'!F35</f>
        <v>18</v>
      </c>
      <c r="G35" s="278">
        <f>'[2]Degree Days 2018'!G35</f>
        <v>14</v>
      </c>
      <c r="H35" s="278">
        <f t="shared" si="1"/>
        <v>-2.3000000000000007</v>
      </c>
      <c r="I35" s="278">
        <f>'[5]Degree Days 2018'!I35</f>
        <v>26</v>
      </c>
      <c r="J35" s="278">
        <f>'[2]Degree Days 2018'!J35</f>
        <v>21</v>
      </c>
      <c r="K35" s="278">
        <f>'[2]Degree Days 2018'!K35</f>
        <v>15</v>
      </c>
      <c r="L35" s="278">
        <f t="shared" si="2"/>
        <v>-0.30000000000000071</v>
      </c>
      <c r="M35" s="278">
        <f>'[5]Degree Days 2018'!M35</f>
        <v>26</v>
      </c>
      <c r="N35" s="278">
        <f>'[2]Degree Days 2018'!N35</f>
        <v>21</v>
      </c>
      <c r="O35" s="278">
        <f>'[2]Degree Days 2018'!O35</f>
        <v>17</v>
      </c>
      <c r="P35" s="278">
        <f t="shared" si="3"/>
        <v>0.69999999999999929</v>
      </c>
      <c r="Q35" s="552">
        <v>26</v>
      </c>
      <c r="R35" s="278">
        <f>'[2]Degree Days 2018'!R35</f>
        <v>25</v>
      </c>
      <c r="S35" s="278">
        <f>'[2]Degree Days 2018'!S35</f>
        <v>20</v>
      </c>
      <c r="T35" s="278">
        <f t="shared" si="4"/>
        <v>4.1999999999999993</v>
      </c>
      <c r="U35" s="552">
        <v>26</v>
      </c>
      <c r="V35" s="278">
        <f>'General information '!B31</f>
        <v>0</v>
      </c>
      <c r="W35" s="278">
        <f>'General information '!C31</f>
        <v>0</v>
      </c>
      <c r="X35" s="278">
        <f t="shared" si="5"/>
        <v>-18.3</v>
      </c>
    </row>
    <row r="36" spans="1:24">
      <c r="A36" s="118">
        <v>27</v>
      </c>
      <c r="B36" s="278">
        <f>'[2]Degree Days 2018'!B36</f>
        <v>17</v>
      </c>
      <c r="C36" s="278">
        <f>'[2]Degree Days 2018'!C36</f>
        <v>11</v>
      </c>
      <c r="D36" s="278">
        <f t="shared" si="0"/>
        <v>-4.3000000000000007</v>
      </c>
      <c r="E36" s="278">
        <f>'[5]Degree Days 2018'!E36</f>
        <v>27</v>
      </c>
      <c r="F36" s="278">
        <f>'[2]Degree Days 2018'!F36</f>
        <v>19</v>
      </c>
      <c r="G36" s="278">
        <f>'[2]Degree Days 2018'!G36</f>
        <v>13</v>
      </c>
      <c r="H36" s="278">
        <f t="shared" si="1"/>
        <v>-2.3000000000000007</v>
      </c>
      <c r="I36" s="278">
        <f>'[5]Degree Days 2018'!I36</f>
        <v>27</v>
      </c>
      <c r="J36" s="278">
        <f>'[2]Degree Days 2018'!J36</f>
        <v>18</v>
      </c>
      <c r="K36" s="278">
        <f>'[2]Degree Days 2018'!K36</f>
        <v>13</v>
      </c>
      <c r="L36" s="278">
        <f t="shared" si="2"/>
        <v>-2.8000000000000007</v>
      </c>
      <c r="M36" s="278">
        <f>'[5]Degree Days 2018'!M36</f>
        <v>27</v>
      </c>
      <c r="N36" s="278">
        <f>'[2]Degree Days 2018'!N36</f>
        <v>20</v>
      </c>
      <c r="O36" s="278">
        <f>'[2]Degree Days 2018'!O36</f>
        <v>16</v>
      </c>
      <c r="P36" s="278">
        <f t="shared" si="3"/>
        <v>-0.30000000000000071</v>
      </c>
      <c r="Q36" s="552">
        <v>27</v>
      </c>
      <c r="R36" s="278">
        <f>'[2]Degree Days 2018'!R36</f>
        <v>27</v>
      </c>
      <c r="S36" s="278">
        <f>'[2]Degree Days 2018'!S36</f>
        <v>19</v>
      </c>
      <c r="T36" s="278">
        <f t="shared" si="4"/>
        <v>4.6999999999999993</v>
      </c>
      <c r="U36" s="552">
        <v>27</v>
      </c>
      <c r="V36" s="278">
        <f>'General information '!B32</f>
        <v>0</v>
      </c>
      <c r="W36" s="278">
        <f>'General information '!C32</f>
        <v>0</v>
      </c>
      <c r="X36" s="278">
        <f t="shared" si="5"/>
        <v>-18.3</v>
      </c>
    </row>
    <row r="37" spans="1:24">
      <c r="A37" s="118">
        <v>28</v>
      </c>
      <c r="B37" s="278">
        <f>'[2]Degree Days 2018'!B37</f>
        <v>16</v>
      </c>
      <c r="C37" s="278">
        <f>'[2]Degree Days 2018'!C37</f>
        <v>10</v>
      </c>
      <c r="D37" s="278">
        <f t="shared" si="0"/>
        <v>-5.3000000000000007</v>
      </c>
      <c r="E37" s="278">
        <f>'[5]Degree Days 2018'!E37</f>
        <v>28</v>
      </c>
      <c r="F37" s="278">
        <f>'[2]Degree Days 2018'!F37</f>
        <v>19</v>
      </c>
      <c r="G37" s="278">
        <f>'[2]Degree Days 2018'!G37</f>
        <v>14</v>
      </c>
      <c r="H37" s="278">
        <f t="shared" si="1"/>
        <v>-1.8000000000000007</v>
      </c>
      <c r="I37" s="278">
        <f>'[5]Degree Days 2018'!I37</f>
        <v>28</v>
      </c>
      <c r="J37" s="278">
        <f>'[2]Degree Days 2018'!J37</f>
        <v>17</v>
      </c>
      <c r="K37" s="278">
        <f>'[2]Degree Days 2018'!K37</f>
        <v>13</v>
      </c>
      <c r="L37" s="278">
        <f t="shared" si="2"/>
        <v>-3.3000000000000007</v>
      </c>
      <c r="M37" s="278">
        <f>'[5]Degree Days 2018'!M37</f>
        <v>28</v>
      </c>
      <c r="N37" s="278">
        <f>'[2]Degree Days 2018'!N37</f>
        <v>21</v>
      </c>
      <c r="O37" s="278">
        <f>'[2]Degree Days 2018'!O37</f>
        <v>16</v>
      </c>
      <c r="P37" s="278">
        <f t="shared" si="3"/>
        <v>0.19999999999999929</v>
      </c>
      <c r="Q37" s="552">
        <v>28</v>
      </c>
      <c r="R37" s="278">
        <f>'[2]Degree Days 2018'!R37</f>
        <v>27</v>
      </c>
      <c r="S37" s="278">
        <f>'[2]Degree Days 2018'!S37</f>
        <v>19</v>
      </c>
      <c r="T37" s="278">
        <f t="shared" si="4"/>
        <v>4.6999999999999993</v>
      </c>
      <c r="U37" s="552">
        <v>28</v>
      </c>
      <c r="V37" s="278">
        <f>'General information '!B33</f>
        <v>0</v>
      </c>
      <c r="W37" s="278">
        <f>'General information '!C33</f>
        <v>0</v>
      </c>
      <c r="X37" s="278">
        <f t="shared" si="5"/>
        <v>-18.3</v>
      </c>
    </row>
    <row r="38" spans="1:24">
      <c r="A38" s="118">
        <v>29</v>
      </c>
      <c r="B38" s="278">
        <f>'[2]Degree Days 2018'!B38</f>
        <v>16</v>
      </c>
      <c r="C38" s="278">
        <f>'[2]Degree Days 2018'!C38</f>
        <v>10</v>
      </c>
      <c r="D38" s="278">
        <f t="shared" si="0"/>
        <v>-5.3000000000000007</v>
      </c>
      <c r="E38" s="278">
        <f>'[5]Degree Days 2018'!E38</f>
        <v>29</v>
      </c>
      <c r="F38" s="278">
        <f>'[2]Degree Days 2018'!F38</f>
        <v>18</v>
      </c>
      <c r="G38" s="278">
        <f>'[2]Degree Days 2018'!G38</f>
        <v>13</v>
      </c>
      <c r="H38" s="278">
        <f t="shared" si="1"/>
        <v>-2.8000000000000007</v>
      </c>
      <c r="I38" s="278">
        <f>'[5]Degree Days 2018'!I38</f>
        <v>29</v>
      </c>
      <c r="J38" s="278">
        <f>'[2]Degree Days 2018'!J38</f>
        <v>20</v>
      </c>
      <c r="K38" s="278">
        <f>'[2]Degree Days 2018'!K38</f>
        <v>16</v>
      </c>
      <c r="L38" s="278">
        <f t="shared" si="2"/>
        <v>-0.30000000000000071</v>
      </c>
      <c r="M38" s="278">
        <f>'[5]Degree Days 2018'!M38</f>
        <v>29</v>
      </c>
      <c r="N38" s="278">
        <f>'[2]Degree Days 2018'!N38</f>
        <v>21</v>
      </c>
      <c r="O38" s="278">
        <f>'[2]Degree Days 2018'!O38</f>
        <v>17</v>
      </c>
      <c r="P38" s="278">
        <f t="shared" si="3"/>
        <v>0.69999999999999929</v>
      </c>
      <c r="Q38" s="552">
        <v>29</v>
      </c>
      <c r="R38" s="278">
        <f>'[2]Degree Days 2018'!R38</f>
        <v>23</v>
      </c>
      <c r="S38" s="278">
        <f>'[2]Degree Days 2018'!S38</f>
        <v>14</v>
      </c>
      <c r="T38" s="278">
        <f t="shared" si="4"/>
        <v>0.19999999999999929</v>
      </c>
      <c r="U38" s="552">
        <v>29</v>
      </c>
      <c r="V38" s="278">
        <f>'General information '!B34</f>
        <v>0</v>
      </c>
      <c r="W38" s="278">
        <f>'General information '!C34</f>
        <v>0</v>
      </c>
      <c r="X38" s="278">
        <f t="shared" si="5"/>
        <v>-18.3</v>
      </c>
    </row>
    <row r="39" spans="1:24">
      <c r="A39" s="118">
        <v>30</v>
      </c>
      <c r="B39" s="278">
        <f>'[2]Degree Days 2018'!B39</f>
        <v>16</v>
      </c>
      <c r="C39" s="278">
        <f>'[2]Degree Days 2018'!C39</f>
        <v>11</v>
      </c>
      <c r="D39" s="278">
        <f t="shared" si="0"/>
        <v>-4.8000000000000007</v>
      </c>
      <c r="E39" s="278">
        <f>'[5]Degree Days 2018'!E39</f>
        <v>0</v>
      </c>
      <c r="F39" s="278">
        <f>'[2]Degree Days 2018'!F39</f>
        <v>0</v>
      </c>
      <c r="G39" s="278">
        <f>'[2]Degree Days 2018'!G39</f>
        <v>0</v>
      </c>
      <c r="H39" s="278">
        <f t="shared" si="1"/>
        <v>-18.3</v>
      </c>
      <c r="I39" s="278">
        <f>'[5]Degree Days 2018'!I39</f>
        <v>30</v>
      </c>
      <c r="J39" s="278">
        <f>'[2]Degree Days 2018'!J39</f>
        <v>20</v>
      </c>
      <c r="K39" s="278">
        <f>'[2]Degree Days 2018'!K39</f>
        <v>17</v>
      </c>
      <c r="L39" s="278">
        <f t="shared" si="2"/>
        <v>0.19999999999999929</v>
      </c>
      <c r="M39" s="278">
        <f>'[5]Degree Days 2018'!M39</f>
        <v>30</v>
      </c>
      <c r="N39" s="278">
        <f>'[2]Degree Days 2018'!N39</f>
        <v>0</v>
      </c>
      <c r="O39" s="278">
        <f>'[2]Degree Days 2018'!O39</f>
        <v>0</v>
      </c>
      <c r="P39" s="278">
        <f t="shared" si="3"/>
        <v>-18.3</v>
      </c>
      <c r="Q39" s="552">
        <v>30</v>
      </c>
      <c r="R39" s="278">
        <f>'[2]Degree Days 2018'!R39</f>
        <v>23</v>
      </c>
      <c r="S39" s="278">
        <f>'[2]Degree Days 2018'!S39</f>
        <v>17</v>
      </c>
      <c r="T39" s="278">
        <f t="shared" si="4"/>
        <v>1.6999999999999993</v>
      </c>
      <c r="U39" s="552">
        <v>30</v>
      </c>
      <c r="V39" s="278">
        <f>'General information '!B35</f>
        <v>0</v>
      </c>
      <c r="W39" s="278">
        <f>'General information '!C35</f>
        <v>0</v>
      </c>
      <c r="X39" s="278">
        <f t="shared" si="5"/>
        <v>-18.3</v>
      </c>
    </row>
    <row r="40" spans="1:24">
      <c r="A40" s="121">
        <v>31</v>
      </c>
      <c r="B40" s="278">
        <f>'[2]Degree Days 2018'!B40</f>
        <v>17</v>
      </c>
      <c r="C40" s="278">
        <f>'[2]Degree Days 2018'!C40</f>
        <v>13</v>
      </c>
      <c r="D40" s="278">
        <f t="shared" si="0"/>
        <v>-3.3000000000000007</v>
      </c>
      <c r="E40" s="278">
        <f>'[5]Degree Days 2018'!E40</f>
        <v>0</v>
      </c>
      <c r="F40" s="278">
        <f>'[2]Degree Days 2018'!F40</f>
        <v>0</v>
      </c>
      <c r="G40" s="278">
        <f>'[2]Degree Days 2018'!G40</f>
        <v>0</v>
      </c>
      <c r="H40" s="278">
        <f t="shared" si="1"/>
        <v>-18.3</v>
      </c>
      <c r="I40" s="278">
        <f>'[5]Degree Days 2018'!I40</f>
        <v>31</v>
      </c>
      <c r="J40" s="278">
        <f>'[2]Degree Days 2018'!J40</f>
        <v>30</v>
      </c>
      <c r="K40" s="278">
        <f>'[2]Degree Days 2018'!K40</f>
        <v>18</v>
      </c>
      <c r="L40" s="278">
        <f t="shared" si="2"/>
        <v>5.6999999999999993</v>
      </c>
      <c r="M40" s="278">
        <f>'[5]Degree Days 2018'!M40</f>
        <v>0</v>
      </c>
      <c r="N40" s="278">
        <f>'[2]Degree Days 2018'!N40</f>
        <v>0</v>
      </c>
      <c r="O40" s="278">
        <f>'[2]Degree Days 2018'!O40</f>
        <v>0</v>
      </c>
      <c r="P40" s="278">
        <f t="shared" si="3"/>
        <v>-18.3</v>
      </c>
      <c r="Q40" s="552">
        <v>31</v>
      </c>
      <c r="R40" s="278">
        <f>'[2]Degree Days 2018'!R40</f>
        <v>24</v>
      </c>
      <c r="S40" s="278">
        <f>'[2]Degree Days 2018'!S40</f>
        <v>19</v>
      </c>
      <c r="T40" s="278">
        <f t="shared" si="4"/>
        <v>3.1999999999999993</v>
      </c>
      <c r="U40" s="278"/>
      <c r="V40" s="278"/>
      <c r="W40" s="278"/>
      <c r="X40" s="278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-329.40000000000009</v>
      </c>
      <c r="W43" s="120">
        <f>SUMIF(X10:X40,"&gt;0")</f>
        <v>56.900000000000006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8"/>
      <c r="C48" s="278"/>
      <c r="D48" s="120">
        <f t="shared" ref="D48:D56" si="6">(B48+C48)/2-18.3</f>
        <v>-18.3</v>
      </c>
      <c r="E48" s="118">
        <v>1</v>
      </c>
      <c r="F48" s="278"/>
      <c r="G48" s="278"/>
      <c r="H48" s="120">
        <f t="shared" ref="H48:H78" si="7">(F48+G48)/2-18.3</f>
        <v>-18.3</v>
      </c>
      <c r="I48" s="118">
        <v>1</v>
      </c>
      <c r="J48" s="278"/>
      <c r="K48" s="278"/>
      <c r="L48" s="120">
        <f>(J48+K48)/2-18.3</f>
        <v>-18.3</v>
      </c>
      <c r="M48" s="118">
        <v>1</v>
      </c>
      <c r="N48" s="278"/>
      <c r="O48" s="278"/>
      <c r="P48" s="120">
        <f>(N48+O48)/2-18.3</f>
        <v>-18.3</v>
      </c>
      <c r="Q48" s="118">
        <v>1</v>
      </c>
      <c r="R48" s="278"/>
      <c r="S48" s="278"/>
      <c r="T48" s="120">
        <f>(R48+S48)/2-18.3</f>
        <v>-18.3</v>
      </c>
      <c r="U48" s="118">
        <v>1</v>
      </c>
      <c r="V48" s="278"/>
      <c r="W48" s="278"/>
      <c r="X48" s="120">
        <f t="shared" ref="X48:X77" si="8">(V48+W48)/2-18.3</f>
        <v>-18.3</v>
      </c>
    </row>
    <row r="49" spans="1:24">
      <c r="A49" s="118">
        <v>2</v>
      </c>
      <c r="B49" s="278"/>
      <c r="C49" s="278"/>
      <c r="D49" s="120">
        <f t="shared" si="6"/>
        <v>-18.3</v>
      </c>
      <c r="E49" s="118">
        <v>2</v>
      </c>
      <c r="F49" s="278"/>
      <c r="G49" s="278"/>
      <c r="H49" s="120">
        <f t="shared" si="7"/>
        <v>-18.3</v>
      </c>
      <c r="I49" s="118">
        <v>2</v>
      </c>
      <c r="J49" s="278"/>
      <c r="K49" s="278"/>
      <c r="L49" s="120">
        <f t="shared" ref="L49:L77" si="9">(J49+K49)/2-18.3</f>
        <v>-18.3</v>
      </c>
      <c r="M49" s="118">
        <v>2</v>
      </c>
      <c r="N49" s="278"/>
      <c r="O49" s="278"/>
      <c r="P49" s="120">
        <f t="shared" ref="P49:P78" si="10">(N49+O49)/2-18.3</f>
        <v>-18.3</v>
      </c>
      <c r="Q49" s="118">
        <v>2</v>
      </c>
      <c r="R49" s="278"/>
      <c r="S49" s="278"/>
      <c r="T49" s="120">
        <f t="shared" ref="T49:T77" si="11">(R49+S49)/2-18.3</f>
        <v>-18.3</v>
      </c>
      <c r="U49" s="118">
        <v>2</v>
      </c>
      <c r="V49" s="278"/>
      <c r="W49" s="278"/>
      <c r="X49" s="120">
        <f t="shared" si="8"/>
        <v>-18.3</v>
      </c>
    </row>
    <row r="50" spans="1:24">
      <c r="A50" s="118">
        <v>3</v>
      </c>
      <c r="B50" s="278"/>
      <c r="C50" s="278"/>
      <c r="D50" s="120">
        <f t="shared" si="6"/>
        <v>-18.3</v>
      </c>
      <c r="E50" s="118">
        <v>3</v>
      </c>
      <c r="F50" s="278"/>
      <c r="G50" s="278"/>
      <c r="H50" s="120">
        <f t="shared" si="7"/>
        <v>-18.3</v>
      </c>
      <c r="I50" s="118">
        <v>3</v>
      </c>
      <c r="J50" s="278"/>
      <c r="K50" s="278"/>
      <c r="L50" s="120">
        <f t="shared" si="9"/>
        <v>-18.3</v>
      </c>
      <c r="M50" s="118">
        <v>3</v>
      </c>
      <c r="N50" s="278"/>
      <c r="O50" s="278"/>
      <c r="P50" s="120">
        <f t="shared" si="10"/>
        <v>-18.3</v>
      </c>
      <c r="Q50" s="118">
        <v>3</v>
      </c>
      <c r="R50" s="278"/>
      <c r="S50" s="278"/>
      <c r="T50" s="120">
        <f t="shared" si="11"/>
        <v>-18.3</v>
      </c>
      <c r="U50" s="118">
        <v>3</v>
      </c>
      <c r="V50" s="278"/>
      <c r="W50" s="278"/>
      <c r="X50" s="120">
        <f t="shared" si="8"/>
        <v>-18.3</v>
      </c>
    </row>
    <row r="51" spans="1:24">
      <c r="A51" s="118">
        <v>4</v>
      </c>
      <c r="B51" s="278"/>
      <c r="C51" s="278"/>
      <c r="D51" s="120">
        <f t="shared" si="6"/>
        <v>-18.3</v>
      </c>
      <c r="E51" s="118">
        <v>4</v>
      </c>
      <c r="F51" s="278"/>
      <c r="G51" s="278"/>
      <c r="H51" s="120">
        <f t="shared" si="7"/>
        <v>-18.3</v>
      </c>
      <c r="I51" s="118">
        <v>4</v>
      </c>
      <c r="J51" s="278"/>
      <c r="K51" s="278"/>
      <c r="L51" s="120">
        <f t="shared" si="9"/>
        <v>-18.3</v>
      </c>
      <c r="M51" s="118">
        <v>4</v>
      </c>
      <c r="N51" s="278"/>
      <c r="O51" s="278"/>
      <c r="P51" s="120">
        <f t="shared" si="10"/>
        <v>-18.3</v>
      </c>
      <c r="Q51" s="118">
        <v>4</v>
      </c>
      <c r="R51" s="278"/>
      <c r="S51" s="278"/>
      <c r="T51" s="120">
        <f t="shared" si="11"/>
        <v>-18.3</v>
      </c>
      <c r="U51" s="118">
        <v>4</v>
      </c>
      <c r="V51" s="278"/>
      <c r="W51" s="278"/>
      <c r="X51" s="120">
        <f t="shared" si="8"/>
        <v>-18.3</v>
      </c>
    </row>
    <row r="52" spans="1:24">
      <c r="A52" s="118">
        <v>5</v>
      </c>
      <c r="B52" s="278"/>
      <c r="C52" s="278"/>
      <c r="D52" s="120">
        <f t="shared" si="6"/>
        <v>-18.3</v>
      </c>
      <c r="E52" s="118">
        <v>5</v>
      </c>
      <c r="F52" s="278"/>
      <c r="G52" s="278"/>
      <c r="H52" s="120">
        <f t="shared" si="7"/>
        <v>-18.3</v>
      </c>
      <c r="I52" s="118">
        <v>5</v>
      </c>
      <c r="J52" s="278"/>
      <c r="K52" s="278"/>
      <c r="L52" s="120">
        <f t="shared" si="9"/>
        <v>-18.3</v>
      </c>
      <c r="M52" s="118">
        <v>5</v>
      </c>
      <c r="N52" s="278"/>
      <c r="O52" s="278"/>
      <c r="P52" s="120">
        <f t="shared" si="10"/>
        <v>-18.3</v>
      </c>
      <c r="Q52" s="118">
        <v>5</v>
      </c>
      <c r="R52" s="278"/>
      <c r="S52" s="278"/>
      <c r="T52" s="120">
        <f t="shared" si="11"/>
        <v>-18.3</v>
      </c>
      <c r="U52" s="118">
        <v>5</v>
      </c>
      <c r="V52" s="278"/>
      <c r="W52" s="278"/>
      <c r="X52" s="120">
        <f t="shared" si="8"/>
        <v>-18.3</v>
      </c>
    </row>
    <row r="53" spans="1:24">
      <c r="A53" s="118">
        <v>6</v>
      </c>
      <c r="B53" s="278"/>
      <c r="C53" s="278"/>
      <c r="D53" s="120">
        <f t="shared" si="6"/>
        <v>-18.3</v>
      </c>
      <c r="E53" s="118">
        <v>6</v>
      </c>
      <c r="F53" s="278"/>
      <c r="G53" s="278"/>
      <c r="H53" s="120">
        <f t="shared" si="7"/>
        <v>-18.3</v>
      </c>
      <c r="I53" s="118">
        <v>6</v>
      </c>
      <c r="J53" s="278"/>
      <c r="K53" s="278"/>
      <c r="L53" s="120">
        <f t="shared" si="9"/>
        <v>-18.3</v>
      </c>
      <c r="M53" s="118">
        <v>6</v>
      </c>
      <c r="N53" s="278"/>
      <c r="O53" s="278"/>
      <c r="P53" s="120">
        <f t="shared" si="10"/>
        <v>-18.3</v>
      </c>
      <c r="Q53" s="118">
        <v>6</v>
      </c>
      <c r="R53" s="278"/>
      <c r="S53" s="278"/>
      <c r="T53" s="120">
        <f t="shared" si="11"/>
        <v>-18.3</v>
      </c>
      <c r="U53" s="118">
        <v>6</v>
      </c>
      <c r="V53" s="278"/>
      <c r="W53" s="278"/>
      <c r="X53" s="120">
        <f t="shared" si="8"/>
        <v>-18.3</v>
      </c>
    </row>
    <row r="54" spans="1:24">
      <c r="A54" s="118">
        <v>7</v>
      </c>
      <c r="B54" s="278"/>
      <c r="C54" s="278"/>
      <c r="D54" s="120">
        <f t="shared" si="6"/>
        <v>-18.3</v>
      </c>
      <c r="E54" s="118">
        <v>7</v>
      </c>
      <c r="F54" s="278"/>
      <c r="G54" s="278"/>
      <c r="H54" s="120">
        <f t="shared" si="7"/>
        <v>-18.3</v>
      </c>
      <c r="I54" s="118">
        <v>7</v>
      </c>
      <c r="J54" s="278"/>
      <c r="K54" s="278"/>
      <c r="L54" s="120">
        <f t="shared" si="9"/>
        <v>-18.3</v>
      </c>
      <c r="M54" s="118">
        <v>7</v>
      </c>
      <c r="N54" s="278"/>
      <c r="O54" s="278"/>
      <c r="P54" s="120">
        <f t="shared" si="10"/>
        <v>-18.3</v>
      </c>
      <c r="Q54" s="118">
        <v>7</v>
      </c>
      <c r="R54" s="278"/>
      <c r="S54" s="278"/>
      <c r="T54" s="120">
        <f t="shared" si="11"/>
        <v>-18.3</v>
      </c>
      <c r="U54" s="118">
        <v>7</v>
      </c>
      <c r="V54" s="278"/>
      <c r="W54" s="278"/>
      <c r="X54" s="120">
        <f t="shared" si="8"/>
        <v>-18.3</v>
      </c>
    </row>
    <row r="55" spans="1:24">
      <c r="A55" s="118">
        <v>8</v>
      </c>
      <c r="B55" s="278"/>
      <c r="C55" s="278"/>
      <c r="D55" s="120">
        <f t="shared" si="6"/>
        <v>-18.3</v>
      </c>
      <c r="E55" s="118">
        <v>8</v>
      </c>
      <c r="F55" s="278"/>
      <c r="G55" s="278"/>
      <c r="H55" s="120">
        <f t="shared" si="7"/>
        <v>-18.3</v>
      </c>
      <c r="I55" s="118">
        <v>8</v>
      </c>
      <c r="J55" s="278"/>
      <c r="K55" s="278"/>
      <c r="L55" s="120">
        <f t="shared" si="9"/>
        <v>-18.3</v>
      </c>
      <c r="M55" s="118">
        <v>8</v>
      </c>
      <c r="N55" s="278"/>
      <c r="O55" s="278"/>
      <c r="P55" s="120">
        <f t="shared" si="10"/>
        <v>-18.3</v>
      </c>
      <c r="Q55" s="118">
        <v>8</v>
      </c>
      <c r="R55" s="278"/>
      <c r="S55" s="278"/>
      <c r="T55" s="120">
        <f t="shared" si="11"/>
        <v>-18.3</v>
      </c>
      <c r="U55" s="118">
        <v>8</v>
      </c>
      <c r="V55" s="278"/>
      <c r="W55" s="278"/>
      <c r="X55" s="120">
        <f t="shared" si="8"/>
        <v>-18.3</v>
      </c>
    </row>
    <row r="56" spans="1:24">
      <c r="A56" s="118">
        <v>9</v>
      </c>
      <c r="B56" s="278"/>
      <c r="C56" s="278"/>
      <c r="D56" s="120">
        <f t="shared" si="6"/>
        <v>-18.3</v>
      </c>
      <c r="E56" s="118">
        <v>9</v>
      </c>
      <c r="F56" s="278"/>
      <c r="G56" s="278"/>
      <c r="H56" s="120">
        <f t="shared" si="7"/>
        <v>-18.3</v>
      </c>
      <c r="I56" s="118">
        <v>9</v>
      </c>
      <c r="J56" s="278"/>
      <c r="K56" s="278"/>
      <c r="L56" s="120">
        <f t="shared" si="9"/>
        <v>-18.3</v>
      </c>
      <c r="M56" s="118">
        <v>9</v>
      </c>
      <c r="N56" s="278"/>
      <c r="O56" s="278"/>
      <c r="P56" s="120">
        <f t="shared" si="10"/>
        <v>-18.3</v>
      </c>
      <c r="Q56" s="118">
        <v>9</v>
      </c>
      <c r="R56" s="278"/>
      <c r="S56" s="278"/>
      <c r="T56" s="120">
        <f t="shared" si="11"/>
        <v>-18.3</v>
      </c>
      <c r="U56" s="118">
        <v>9</v>
      </c>
      <c r="V56" s="278"/>
      <c r="W56" s="278"/>
      <c r="X56" s="120">
        <f t="shared" si="8"/>
        <v>-18.3</v>
      </c>
    </row>
    <row r="57" spans="1:24">
      <c r="A57" s="118">
        <v>10</v>
      </c>
      <c r="B57" s="278"/>
      <c r="C57" s="278"/>
      <c r="D57" s="120">
        <f t="shared" ref="D57:D78" si="12">(B57+C57)/2-18.3</f>
        <v>-18.3</v>
      </c>
      <c r="E57" s="118">
        <v>10</v>
      </c>
      <c r="F57" s="278"/>
      <c r="G57" s="278"/>
      <c r="H57" s="120">
        <f t="shared" si="7"/>
        <v>-18.3</v>
      </c>
      <c r="I57" s="118">
        <v>10</v>
      </c>
      <c r="J57" s="278"/>
      <c r="K57" s="278"/>
      <c r="L57" s="120">
        <f t="shared" si="9"/>
        <v>-18.3</v>
      </c>
      <c r="M57" s="118">
        <v>10</v>
      </c>
      <c r="N57" s="278"/>
      <c r="O57" s="278"/>
      <c r="P57" s="120">
        <f t="shared" si="10"/>
        <v>-18.3</v>
      </c>
      <c r="Q57" s="118">
        <v>10</v>
      </c>
      <c r="R57" s="278"/>
      <c r="S57" s="278"/>
      <c r="T57" s="120">
        <f t="shared" si="11"/>
        <v>-18.3</v>
      </c>
      <c r="U57" s="118">
        <v>10</v>
      </c>
      <c r="V57" s="278"/>
      <c r="W57" s="278"/>
      <c r="X57" s="120">
        <f t="shared" si="8"/>
        <v>-18.3</v>
      </c>
    </row>
    <row r="58" spans="1:24">
      <c r="A58" s="118">
        <v>11</v>
      </c>
      <c r="B58" s="278"/>
      <c r="C58" s="278"/>
      <c r="D58" s="120">
        <f t="shared" si="12"/>
        <v>-18.3</v>
      </c>
      <c r="E58" s="118">
        <v>11</v>
      </c>
      <c r="F58" s="278"/>
      <c r="G58" s="278"/>
      <c r="H58" s="120">
        <f t="shared" si="7"/>
        <v>-18.3</v>
      </c>
      <c r="I58" s="118">
        <v>11</v>
      </c>
      <c r="J58" s="278"/>
      <c r="K58" s="278"/>
      <c r="L58" s="120">
        <f t="shared" si="9"/>
        <v>-18.3</v>
      </c>
      <c r="M58" s="118">
        <v>11</v>
      </c>
      <c r="N58" s="278"/>
      <c r="O58" s="278"/>
      <c r="P58" s="120">
        <f t="shared" si="10"/>
        <v>-18.3</v>
      </c>
      <c r="Q58" s="118">
        <v>11</v>
      </c>
      <c r="R58" s="278"/>
      <c r="S58" s="278"/>
      <c r="T58" s="120">
        <f t="shared" si="11"/>
        <v>-18.3</v>
      </c>
      <c r="U58" s="118">
        <v>11</v>
      </c>
      <c r="V58" s="278"/>
      <c r="W58" s="278"/>
      <c r="X58" s="120">
        <f t="shared" si="8"/>
        <v>-18.3</v>
      </c>
    </row>
    <row r="59" spans="1:24">
      <c r="A59" s="118">
        <v>12</v>
      </c>
      <c r="B59" s="278"/>
      <c r="C59" s="278"/>
      <c r="D59" s="120">
        <f t="shared" si="12"/>
        <v>-18.3</v>
      </c>
      <c r="E59" s="118">
        <v>12</v>
      </c>
      <c r="F59" s="278"/>
      <c r="G59" s="278"/>
      <c r="H59" s="120">
        <f t="shared" si="7"/>
        <v>-18.3</v>
      </c>
      <c r="I59" s="118">
        <v>12</v>
      </c>
      <c r="J59" s="278"/>
      <c r="K59" s="278"/>
      <c r="L59" s="120">
        <f t="shared" si="9"/>
        <v>-18.3</v>
      </c>
      <c r="M59" s="118">
        <v>12</v>
      </c>
      <c r="N59" s="278"/>
      <c r="O59" s="278"/>
      <c r="P59" s="120">
        <f t="shared" si="10"/>
        <v>-18.3</v>
      </c>
      <c r="Q59" s="118">
        <v>12</v>
      </c>
      <c r="R59" s="278"/>
      <c r="S59" s="278"/>
      <c r="T59" s="120">
        <f t="shared" si="11"/>
        <v>-18.3</v>
      </c>
      <c r="U59" s="118">
        <v>12</v>
      </c>
      <c r="V59" s="278"/>
      <c r="W59" s="278"/>
      <c r="X59" s="120">
        <f t="shared" si="8"/>
        <v>-18.3</v>
      </c>
    </row>
    <row r="60" spans="1:24">
      <c r="A60" s="118">
        <v>13</v>
      </c>
      <c r="B60" s="278"/>
      <c r="C60" s="278"/>
      <c r="D60" s="120">
        <f t="shared" si="12"/>
        <v>-18.3</v>
      </c>
      <c r="E60" s="118">
        <v>13</v>
      </c>
      <c r="F60" s="278"/>
      <c r="G60" s="278"/>
      <c r="H60" s="120">
        <f t="shared" si="7"/>
        <v>-18.3</v>
      </c>
      <c r="I60" s="118">
        <v>13</v>
      </c>
      <c r="J60" s="278"/>
      <c r="K60" s="278"/>
      <c r="L60" s="120">
        <f t="shared" si="9"/>
        <v>-18.3</v>
      </c>
      <c r="M60" s="118">
        <v>13</v>
      </c>
      <c r="N60" s="278"/>
      <c r="O60" s="278"/>
      <c r="P60" s="120">
        <f t="shared" si="10"/>
        <v>-18.3</v>
      </c>
      <c r="Q60" s="118">
        <v>13</v>
      </c>
      <c r="R60" s="278"/>
      <c r="S60" s="278"/>
      <c r="T60" s="120">
        <f t="shared" si="11"/>
        <v>-18.3</v>
      </c>
      <c r="U60" s="118">
        <v>13</v>
      </c>
      <c r="V60" s="278"/>
      <c r="W60" s="278"/>
      <c r="X60" s="120">
        <f t="shared" si="8"/>
        <v>-18.3</v>
      </c>
    </row>
    <row r="61" spans="1:24">
      <c r="A61" s="118">
        <v>14</v>
      </c>
      <c r="B61" s="278"/>
      <c r="C61" s="278"/>
      <c r="D61" s="120">
        <f t="shared" si="12"/>
        <v>-18.3</v>
      </c>
      <c r="E61" s="118">
        <v>14</v>
      </c>
      <c r="F61" s="278"/>
      <c r="G61" s="278"/>
      <c r="H61" s="120">
        <f t="shared" si="7"/>
        <v>-18.3</v>
      </c>
      <c r="I61" s="118">
        <v>14</v>
      </c>
      <c r="J61" s="278"/>
      <c r="K61" s="278"/>
      <c r="L61" s="120">
        <f t="shared" si="9"/>
        <v>-18.3</v>
      </c>
      <c r="M61" s="118">
        <v>14</v>
      </c>
      <c r="N61" s="278"/>
      <c r="O61" s="278"/>
      <c r="P61" s="120">
        <f t="shared" si="10"/>
        <v>-18.3</v>
      </c>
      <c r="Q61" s="118">
        <v>14</v>
      </c>
      <c r="R61" s="278"/>
      <c r="S61" s="278"/>
      <c r="T61" s="120">
        <f t="shared" si="11"/>
        <v>-18.3</v>
      </c>
      <c r="U61" s="118">
        <v>14</v>
      </c>
      <c r="V61" s="278"/>
      <c r="W61" s="278"/>
      <c r="X61" s="120">
        <f t="shared" si="8"/>
        <v>-18.3</v>
      </c>
    </row>
    <row r="62" spans="1:24">
      <c r="A62" s="118">
        <v>15</v>
      </c>
      <c r="B62" s="278"/>
      <c r="C62" s="278"/>
      <c r="D62" s="120">
        <f t="shared" si="12"/>
        <v>-18.3</v>
      </c>
      <c r="E62" s="118">
        <v>15</v>
      </c>
      <c r="F62" s="278"/>
      <c r="G62" s="278"/>
      <c r="H62" s="120">
        <f t="shared" si="7"/>
        <v>-18.3</v>
      </c>
      <c r="I62" s="118">
        <v>15</v>
      </c>
      <c r="J62" s="278"/>
      <c r="K62" s="278"/>
      <c r="L62" s="120">
        <f t="shared" si="9"/>
        <v>-18.3</v>
      </c>
      <c r="M62" s="118">
        <v>15</v>
      </c>
      <c r="N62" s="278"/>
      <c r="O62" s="278"/>
      <c r="P62" s="120">
        <f t="shared" si="10"/>
        <v>-18.3</v>
      </c>
      <c r="Q62" s="118">
        <v>15</v>
      </c>
      <c r="R62" s="278"/>
      <c r="S62" s="278"/>
      <c r="T62" s="120">
        <f t="shared" si="11"/>
        <v>-18.3</v>
      </c>
      <c r="U62" s="118">
        <v>15</v>
      </c>
      <c r="V62" s="278"/>
      <c r="W62" s="278"/>
      <c r="X62" s="120">
        <f t="shared" si="8"/>
        <v>-18.3</v>
      </c>
    </row>
    <row r="63" spans="1:24">
      <c r="A63" s="118">
        <v>16</v>
      </c>
      <c r="B63" s="278"/>
      <c r="C63" s="278"/>
      <c r="D63" s="120">
        <f t="shared" si="12"/>
        <v>-18.3</v>
      </c>
      <c r="E63" s="118">
        <v>16</v>
      </c>
      <c r="F63" s="278"/>
      <c r="G63" s="278"/>
      <c r="H63" s="120">
        <f t="shared" si="7"/>
        <v>-18.3</v>
      </c>
      <c r="I63" s="118">
        <v>16</v>
      </c>
      <c r="J63" s="278"/>
      <c r="K63" s="278"/>
      <c r="L63" s="120">
        <f t="shared" si="9"/>
        <v>-18.3</v>
      </c>
      <c r="M63" s="118">
        <v>16</v>
      </c>
      <c r="N63" s="278"/>
      <c r="O63" s="278"/>
      <c r="P63" s="120">
        <f t="shared" si="10"/>
        <v>-18.3</v>
      </c>
      <c r="Q63" s="118">
        <v>16</v>
      </c>
      <c r="R63" s="278"/>
      <c r="S63" s="278"/>
      <c r="T63" s="120">
        <f t="shared" si="11"/>
        <v>-18.3</v>
      </c>
      <c r="U63" s="118">
        <v>16</v>
      </c>
      <c r="V63" s="278"/>
      <c r="W63" s="278"/>
      <c r="X63" s="120">
        <f t="shared" si="8"/>
        <v>-18.3</v>
      </c>
    </row>
    <row r="64" spans="1:24">
      <c r="A64" s="118">
        <v>17</v>
      </c>
      <c r="B64" s="278"/>
      <c r="C64" s="278"/>
      <c r="D64" s="120">
        <f t="shared" si="12"/>
        <v>-18.3</v>
      </c>
      <c r="E64" s="118">
        <v>17</v>
      </c>
      <c r="F64" s="278"/>
      <c r="G64" s="278"/>
      <c r="H64" s="120">
        <f t="shared" si="7"/>
        <v>-18.3</v>
      </c>
      <c r="I64" s="118">
        <v>17</v>
      </c>
      <c r="J64" s="278"/>
      <c r="K64" s="278"/>
      <c r="L64" s="120">
        <f t="shared" si="9"/>
        <v>-18.3</v>
      </c>
      <c r="M64" s="118">
        <v>17</v>
      </c>
      <c r="N64" s="278"/>
      <c r="O64" s="278"/>
      <c r="P64" s="120">
        <f t="shared" si="10"/>
        <v>-18.3</v>
      </c>
      <c r="Q64" s="118">
        <v>17</v>
      </c>
      <c r="R64" s="278"/>
      <c r="S64" s="278"/>
      <c r="T64" s="120">
        <f t="shared" si="11"/>
        <v>-18.3</v>
      </c>
      <c r="U64" s="118">
        <v>17</v>
      </c>
      <c r="V64" s="278"/>
      <c r="W64" s="278"/>
      <c r="X64" s="120">
        <f t="shared" si="8"/>
        <v>-18.3</v>
      </c>
    </row>
    <row r="65" spans="1:24">
      <c r="A65" s="118">
        <v>18</v>
      </c>
      <c r="B65" s="278"/>
      <c r="C65" s="278"/>
      <c r="D65" s="120">
        <f t="shared" si="12"/>
        <v>-18.3</v>
      </c>
      <c r="E65" s="118">
        <v>18</v>
      </c>
      <c r="F65" s="278"/>
      <c r="G65" s="278"/>
      <c r="H65" s="120">
        <f t="shared" si="7"/>
        <v>-18.3</v>
      </c>
      <c r="I65" s="118">
        <v>18</v>
      </c>
      <c r="J65" s="278"/>
      <c r="K65" s="278"/>
      <c r="L65" s="120">
        <f t="shared" si="9"/>
        <v>-18.3</v>
      </c>
      <c r="M65" s="118">
        <v>18</v>
      </c>
      <c r="N65" s="278"/>
      <c r="O65" s="278"/>
      <c r="P65" s="120">
        <f t="shared" si="10"/>
        <v>-18.3</v>
      </c>
      <c r="Q65" s="118">
        <v>18</v>
      </c>
      <c r="R65" s="278"/>
      <c r="S65" s="278"/>
      <c r="T65" s="120">
        <f t="shared" si="11"/>
        <v>-18.3</v>
      </c>
      <c r="U65" s="118">
        <v>18</v>
      </c>
      <c r="V65" s="278"/>
      <c r="W65" s="278"/>
      <c r="X65" s="120">
        <f t="shared" si="8"/>
        <v>-18.3</v>
      </c>
    </row>
    <row r="66" spans="1:24">
      <c r="A66" s="118">
        <v>19</v>
      </c>
      <c r="B66" s="278"/>
      <c r="C66" s="278"/>
      <c r="D66" s="120">
        <f t="shared" si="12"/>
        <v>-18.3</v>
      </c>
      <c r="E66" s="118">
        <v>19</v>
      </c>
      <c r="F66" s="278"/>
      <c r="G66" s="278"/>
      <c r="H66" s="120">
        <f t="shared" si="7"/>
        <v>-18.3</v>
      </c>
      <c r="I66" s="118">
        <v>19</v>
      </c>
      <c r="J66" s="278"/>
      <c r="K66" s="278"/>
      <c r="L66" s="120">
        <f t="shared" si="9"/>
        <v>-18.3</v>
      </c>
      <c r="M66" s="118">
        <v>19</v>
      </c>
      <c r="N66" s="278"/>
      <c r="O66" s="278"/>
      <c r="P66" s="120">
        <f t="shared" si="10"/>
        <v>-18.3</v>
      </c>
      <c r="Q66" s="118">
        <v>19</v>
      </c>
      <c r="R66" s="278"/>
      <c r="S66" s="278"/>
      <c r="T66" s="120">
        <f t="shared" si="11"/>
        <v>-18.3</v>
      </c>
      <c r="U66" s="118">
        <v>19</v>
      </c>
      <c r="V66" s="278"/>
      <c r="W66" s="278"/>
      <c r="X66" s="120">
        <f t="shared" si="8"/>
        <v>-18.3</v>
      </c>
    </row>
    <row r="67" spans="1:24">
      <c r="A67" s="118">
        <v>20</v>
      </c>
      <c r="B67" s="278"/>
      <c r="C67" s="278"/>
      <c r="D67" s="120">
        <f t="shared" si="12"/>
        <v>-18.3</v>
      </c>
      <c r="E67" s="118">
        <v>20</v>
      </c>
      <c r="F67" s="278"/>
      <c r="G67" s="278"/>
      <c r="H67" s="120">
        <f t="shared" si="7"/>
        <v>-18.3</v>
      </c>
      <c r="I67" s="118">
        <v>20</v>
      </c>
      <c r="J67" s="278"/>
      <c r="K67" s="278"/>
      <c r="L67" s="120">
        <f t="shared" si="9"/>
        <v>-18.3</v>
      </c>
      <c r="M67" s="118">
        <v>20</v>
      </c>
      <c r="N67" s="278"/>
      <c r="O67" s="278"/>
      <c r="P67" s="120">
        <f t="shared" si="10"/>
        <v>-18.3</v>
      </c>
      <c r="Q67" s="118">
        <v>20</v>
      </c>
      <c r="R67" s="278"/>
      <c r="S67" s="278"/>
      <c r="T67" s="120">
        <f t="shared" si="11"/>
        <v>-18.3</v>
      </c>
      <c r="U67" s="118">
        <v>20</v>
      </c>
      <c r="V67" s="278"/>
      <c r="W67" s="278"/>
      <c r="X67" s="120">
        <f t="shared" si="8"/>
        <v>-18.3</v>
      </c>
    </row>
    <row r="68" spans="1:24">
      <c r="A68" s="118">
        <v>21</v>
      </c>
      <c r="B68" s="278"/>
      <c r="C68" s="278"/>
      <c r="D68" s="120">
        <f t="shared" si="12"/>
        <v>-18.3</v>
      </c>
      <c r="E68" s="118">
        <v>21</v>
      </c>
      <c r="F68" s="278"/>
      <c r="G68" s="278"/>
      <c r="H68" s="120">
        <f t="shared" si="7"/>
        <v>-18.3</v>
      </c>
      <c r="I68" s="118">
        <v>21</v>
      </c>
      <c r="J68" s="278"/>
      <c r="K68" s="278"/>
      <c r="L68" s="120">
        <f t="shared" si="9"/>
        <v>-18.3</v>
      </c>
      <c r="M68" s="118">
        <v>21</v>
      </c>
      <c r="N68" s="278"/>
      <c r="O68" s="278"/>
      <c r="P68" s="120">
        <f t="shared" si="10"/>
        <v>-18.3</v>
      </c>
      <c r="Q68" s="118">
        <v>21</v>
      </c>
      <c r="R68" s="278"/>
      <c r="S68" s="278"/>
      <c r="T68" s="120">
        <f t="shared" si="11"/>
        <v>-18.3</v>
      </c>
      <c r="U68" s="118">
        <v>21</v>
      </c>
      <c r="V68" s="278"/>
      <c r="W68" s="278"/>
      <c r="X68" s="120">
        <f t="shared" si="8"/>
        <v>-18.3</v>
      </c>
    </row>
    <row r="69" spans="1:24">
      <c r="A69" s="118">
        <v>22</v>
      </c>
      <c r="B69" s="278"/>
      <c r="C69" s="278"/>
      <c r="D69" s="120">
        <f t="shared" si="12"/>
        <v>-18.3</v>
      </c>
      <c r="E69" s="118">
        <v>22</v>
      </c>
      <c r="F69" s="278"/>
      <c r="G69" s="278"/>
      <c r="H69" s="120">
        <f t="shared" si="7"/>
        <v>-18.3</v>
      </c>
      <c r="I69" s="118">
        <v>22</v>
      </c>
      <c r="J69" s="278"/>
      <c r="K69" s="278"/>
      <c r="L69" s="120">
        <f t="shared" si="9"/>
        <v>-18.3</v>
      </c>
      <c r="M69" s="118">
        <v>22</v>
      </c>
      <c r="N69" s="278"/>
      <c r="O69" s="278"/>
      <c r="P69" s="120">
        <f t="shared" si="10"/>
        <v>-18.3</v>
      </c>
      <c r="Q69" s="118">
        <v>22</v>
      </c>
      <c r="R69" s="278"/>
      <c r="S69" s="278"/>
      <c r="T69" s="120">
        <f>(R69+S69)/2-18.3</f>
        <v>-18.3</v>
      </c>
      <c r="U69" s="118">
        <v>22</v>
      </c>
      <c r="V69" s="278"/>
      <c r="W69" s="278"/>
      <c r="X69" s="120">
        <f t="shared" si="8"/>
        <v>-18.3</v>
      </c>
    </row>
    <row r="70" spans="1:24">
      <c r="A70" s="118">
        <v>23</v>
      </c>
      <c r="B70" s="278"/>
      <c r="C70" s="278"/>
      <c r="D70" s="120">
        <f t="shared" si="12"/>
        <v>-18.3</v>
      </c>
      <c r="E70" s="118">
        <v>23</v>
      </c>
      <c r="F70" s="278"/>
      <c r="G70" s="278"/>
      <c r="H70" s="120">
        <f t="shared" si="7"/>
        <v>-18.3</v>
      </c>
      <c r="I70" s="118">
        <v>23</v>
      </c>
      <c r="J70" s="278"/>
      <c r="K70" s="278"/>
      <c r="L70" s="120">
        <f t="shared" si="9"/>
        <v>-18.3</v>
      </c>
      <c r="M70" s="118">
        <v>23</v>
      </c>
      <c r="N70" s="278"/>
      <c r="O70" s="278"/>
      <c r="P70" s="120">
        <f t="shared" si="10"/>
        <v>-18.3</v>
      </c>
      <c r="Q70" s="118">
        <v>23</v>
      </c>
      <c r="R70" s="278"/>
      <c r="S70" s="278"/>
      <c r="T70" s="120">
        <f t="shared" si="11"/>
        <v>-18.3</v>
      </c>
      <c r="U70" s="118">
        <v>23</v>
      </c>
      <c r="V70" s="278"/>
      <c r="W70" s="278"/>
      <c r="X70" s="120">
        <f t="shared" si="8"/>
        <v>-18.3</v>
      </c>
    </row>
    <row r="71" spans="1:24">
      <c r="A71" s="118">
        <v>24</v>
      </c>
      <c r="B71" s="278"/>
      <c r="C71" s="278"/>
      <c r="D71" s="120">
        <f t="shared" si="12"/>
        <v>-18.3</v>
      </c>
      <c r="E71" s="118">
        <v>24</v>
      </c>
      <c r="F71" s="278"/>
      <c r="G71" s="278"/>
      <c r="H71" s="120">
        <f t="shared" si="7"/>
        <v>-18.3</v>
      </c>
      <c r="I71" s="118">
        <v>24</v>
      </c>
      <c r="J71" s="278"/>
      <c r="K71" s="278"/>
      <c r="L71" s="120">
        <f t="shared" si="9"/>
        <v>-18.3</v>
      </c>
      <c r="M71" s="118">
        <v>24</v>
      </c>
      <c r="N71" s="278"/>
      <c r="O71" s="278"/>
      <c r="P71" s="120">
        <f t="shared" si="10"/>
        <v>-18.3</v>
      </c>
      <c r="Q71" s="118">
        <v>24</v>
      </c>
      <c r="R71" s="278"/>
      <c r="S71" s="278"/>
      <c r="T71" s="120">
        <f t="shared" si="11"/>
        <v>-18.3</v>
      </c>
      <c r="U71" s="118">
        <v>24</v>
      </c>
      <c r="V71" s="278"/>
      <c r="W71" s="278"/>
      <c r="X71" s="120">
        <f t="shared" si="8"/>
        <v>-18.3</v>
      </c>
    </row>
    <row r="72" spans="1:24">
      <c r="A72" s="118">
        <v>25</v>
      </c>
      <c r="B72" s="278"/>
      <c r="C72" s="278"/>
      <c r="D72" s="120">
        <f t="shared" si="12"/>
        <v>-18.3</v>
      </c>
      <c r="E72" s="118">
        <v>25</v>
      </c>
      <c r="F72" s="278"/>
      <c r="G72" s="278"/>
      <c r="H72" s="120">
        <f t="shared" si="7"/>
        <v>-18.3</v>
      </c>
      <c r="I72" s="118">
        <v>25</v>
      </c>
      <c r="J72" s="278"/>
      <c r="K72" s="278"/>
      <c r="L72" s="120">
        <f t="shared" si="9"/>
        <v>-18.3</v>
      </c>
      <c r="M72" s="118">
        <v>25</v>
      </c>
      <c r="N72" s="278"/>
      <c r="O72" s="278"/>
      <c r="P72" s="120">
        <f t="shared" si="10"/>
        <v>-18.3</v>
      </c>
      <c r="Q72" s="118">
        <v>25</v>
      </c>
      <c r="R72" s="278"/>
      <c r="S72" s="278"/>
      <c r="T72" s="120">
        <f t="shared" si="11"/>
        <v>-18.3</v>
      </c>
      <c r="U72" s="118">
        <v>25</v>
      </c>
      <c r="V72" s="278"/>
      <c r="W72" s="278"/>
      <c r="X72" s="120">
        <f t="shared" si="8"/>
        <v>-18.3</v>
      </c>
    </row>
    <row r="73" spans="1:24">
      <c r="A73" s="118">
        <v>26</v>
      </c>
      <c r="B73" s="278"/>
      <c r="C73" s="278"/>
      <c r="D73" s="120">
        <f t="shared" si="12"/>
        <v>-18.3</v>
      </c>
      <c r="E73" s="118">
        <v>26</v>
      </c>
      <c r="F73" s="278"/>
      <c r="G73" s="278"/>
      <c r="H73" s="120">
        <f t="shared" si="7"/>
        <v>-18.3</v>
      </c>
      <c r="I73" s="118">
        <v>26</v>
      </c>
      <c r="J73" s="278"/>
      <c r="K73" s="278"/>
      <c r="L73" s="120">
        <f t="shared" si="9"/>
        <v>-18.3</v>
      </c>
      <c r="M73" s="118">
        <v>26</v>
      </c>
      <c r="N73" s="278"/>
      <c r="O73" s="278"/>
      <c r="P73" s="120">
        <f t="shared" si="10"/>
        <v>-18.3</v>
      </c>
      <c r="Q73" s="118">
        <v>26</v>
      </c>
      <c r="R73" s="278"/>
      <c r="S73" s="278"/>
      <c r="T73" s="120">
        <f t="shared" si="11"/>
        <v>-18.3</v>
      </c>
      <c r="U73" s="118">
        <v>26</v>
      </c>
      <c r="V73" s="278"/>
      <c r="W73" s="278"/>
      <c r="X73" s="120">
        <f t="shared" si="8"/>
        <v>-18.3</v>
      </c>
    </row>
    <row r="74" spans="1:24">
      <c r="A74" s="118">
        <v>27</v>
      </c>
      <c r="B74" s="278"/>
      <c r="C74" s="278"/>
      <c r="D74" s="120">
        <f t="shared" si="12"/>
        <v>-18.3</v>
      </c>
      <c r="E74" s="118">
        <v>27</v>
      </c>
      <c r="F74" s="278"/>
      <c r="G74" s="278"/>
      <c r="H74" s="120">
        <f t="shared" si="7"/>
        <v>-18.3</v>
      </c>
      <c r="I74" s="118">
        <v>27</v>
      </c>
      <c r="J74" s="278"/>
      <c r="K74" s="278"/>
      <c r="L74" s="120">
        <f t="shared" si="9"/>
        <v>-18.3</v>
      </c>
      <c r="M74" s="118">
        <v>27</v>
      </c>
      <c r="N74" s="278"/>
      <c r="O74" s="278"/>
      <c r="P74" s="120">
        <f t="shared" si="10"/>
        <v>-18.3</v>
      </c>
      <c r="Q74" s="118">
        <v>27</v>
      </c>
      <c r="R74" s="278"/>
      <c r="S74" s="278"/>
      <c r="T74" s="120">
        <f t="shared" si="11"/>
        <v>-18.3</v>
      </c>
      <c r="U74" s="118">
        <v>27</v>
      </c>
      <c r="V74" s="278"/>
      <c r="W74" s="278"/>
      <c r="X74" s="120">
        <f t="shared" si="8"/>
        <v>-18.3</v>
      </c>
    </row>
    <row r="75" spans="1:24">
      <c r="A75" s="118">
        <v>28</v>
      </c>
      <c r="B75" s="278"/>
      <c r="C75" s="278"/>
      <c r="D75" s="120">
        <f t="shared" si="12"/>
        <v>-18.3</v>
      </c>
      <c r="E75" s="118">
        <v>28</v>
      </c>
      <c r="F75" s="278"/>
      <c r="G75" s="278"/>
      <c r="H75" s="120">
        <f t="shared" si="7"/>
        <v>-18.3</v>
      </c>
      <c r="I75" s="118">
        <v>28</v>
      </c>
      <c r="J75" s="278"/>
      <c r="K75" s="278"/>
      <c r="L75" s="120">
        <f t="shared" si="9"/>
        <v>-18.3</v>
      </c>
      <c r="M75" s="118">
        <v>28</v>
      </c>
      <c r="N75" s="278"/>
      <c r="O75" s="278"/>
      <c r="P75" s="120">
        <f t="shared" si="10"/>
        <v>-18.3</v>
      </c>
      <c r="Q75" s="118">
        <v>28</v>
      </c>
      <c r="R75" s="278"/>
      <c r="S75" s="278"/>
      <c r="T75" s="120">
        <f t="shared" si="11"/>
        <v>-18.3</v>
      </c>
      <c r="U75" s="118">
        <v>28</v>
      </c>
      <c r="V75" s="278"/>
      <c r="W75" s="278"/>
      <c r="X75" s="120">
        <f t="shared" si="8"/>
        <v>-18.3</v>
      </c>
    </row>
    <row r="76" spans="1:24">
      <c r="A76" s="118">
        <v>29</v>
      </c>
      <c r="B76" s="278"/>
      <c r="C76" s="278"/>
      <c r="D76" s="120">
        <f t="shared" si="12"/>
        <v>-18.3</v>
      </c>
      <c r="E76" s="118">
        <v>29</v>
      </c>
      <c r="F76" s="278"/>
      <c r="G76" s="278"/>
      <c r="H76" s="120">
        <f t="shared" si="7"/>
        <v>-18.3</v>
      </c>
      <c r="I76" s="118">
        <v>29</v>
      </c>
      <c r="J76" s="278"/>
      <c r="K76" s="278"/>
      <c r="L76" s="120">
        <f t="shared" si="9"/>
        <v>-18.3</v>
      </c>
      <c r="M76" s="118">
        <v>29</v>
      </c>
      <c r="N76" s="278"/>
      <c r="O76" s="278"/>
      <c r="P76" s="120">
        <f t="shared" si="10"/>
        <v>-18.3</v>
      </c>
      <c r="Q76" s="118">
        <v>29</v>
      </c>
      <c r="R76" s="278"/>
      <c r="S76" s="278"/>
      <c r="T76" s="120">
        <f t="shared" si="11"/>
        <v>-18.3</v>
      </c>
      <c r="U76" s="118">
        <v>29</v>
      </c>
      <c r="V76" s="278"/>
      <c r="W76" s="278"/>
      <c r="X76" s="120">
        <f t="shared" si="8"/>
        <v>-18.3</v>
      </c>
    </row>
    <row r="77" spans="1:24">
      <c r="A77" s="118">
        <v>30</v>
      </c>
      <c r="B77" s="278"/>
      <c r="C77" s="278"/>
      <c r="D77" s="120">
        <f t="shared" si="12"/>
        <v>-18.3</v>
      </c>
      <c r="E77" s="118">
        <v>30</v>
      </c>
      <c r="F77" s="278"/>
      <c r="G77" s="278"/>
      <c r="H77" s="120">
        <f t="shared" si="7"/>
        <v>-18.3</v>
      </c>
      <c r="I77" s="118">
        <v>30</v>
      </c>
      <c r="J77" s="278"/>
      <c r="K77" s="278"/>
      <c r="L77" s="120">
        <f t="shared" si="9"/>
        <v>-18.3</v>
      </c>
      <c r="M77" s="118">
        <v>30</v>
      </c>
      <c r="N77" s="278"/>
      <c r="O77" s="278"/>
      <c r="P77" s="120">
        <f t="shared" si="10"/>
        <v>-18.3</v>
      </c>
      <c r="Q77" s="118">
        <v>30</v>
      </c>
      <c r="R77" s="278"/>
      <c r="S77" s="278"/>
      <c r="T77" s="120">
        <f t="shared" si="11"/>
        <v>-18.3</v>
      </c>
      <c r="U77" s="118">
        <v>30</v>
      </c>
      <c r="V77" s="278"/>
      <c r="W77" s="278"/>
      <c r="X77" s="120">
        <f t="shared" si="8"/>
        <v>-18.3</v>
      </c>
    </row>
    <row r="78" spans="1:24">
      <c r="A78" s="121">
        <v>31</v>
      </c>
      <c r="B78" s="278"/>
      <c r="C78" s="278"/>
      <c r="D78" s="120">
        <f t="shared" si="12"/>
        <v>-18.3</v>
      </c>
      <c r="E78" s="121">
        <v>31</v>
      </c>
      <c r="F78" s="278"/>
      <c r="G78" s="278"/>
      <c r="H78" s="120">
        <f t="shared" si="7"/>
        <v>-18.3</v>
      </c>
      <c r="I78" s="121"/>
      <c r="J78" s="278"/>
      <c r="K78" s="278"/>
      <c r="L78" s="123"/>
      <c r="M78" s="121">
        <v>31</v>
      </c>
      <c r="N78" s="278"/>
      <c r="O78" s="278"/>
      <c r="P78" s="123">
        <f t="shared" si="10"/>
        <v>-18.3</v>
      </c>
      <c r="Q78" s="121"/>
      <c r="R78" s="278"/>
      <c r="S78" s="278"/>
      <c r="T78" s="123"/>
      <c r="U78" s="121">
        <v>31</v>
      </c>
      <c r="V78" s="278"/>
      <c r="W78" s="278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97" t="s">
        <v>174</v>
      </c>
      <c r="O84" s="697" t="s">
        <v>175</v>
      </c>
      <c r="P84" s="135"/>
      <c r="T84" s="135"/>
      <c r="X84" s="135"/>
    </row>
    <row r="85" spans="1:24" ht="20.25" thickBot="1">
      <c r="D85" s="135"/>
      <c r="I85" s="699" t="s">
        <v>182</v>
      </c>
      <c r="J85" s="700"/>
      <c r="K85" s="700"/>
      <c r="L85" s="700"/>
      <c r="N85" s="698"/>
      <c r="O85" s="698"/>
      <c r="P85" s="135"/>
      <c r="R85" s="17"/>
      <c r="S85" s="17"/>
      <c r="T85" s="141"/>
      <c r="U85" s="142"/>
      <c r="X85" s="135"/>
    </row>
    <row r="86" spans="1:24" ht="18.75" thickBot="1">
      <c r="D86" s="135"/>
      <c r="I86" s="701" t="s">
        <v>183</v>
      </c>
      <c r="J86" s="701"/>
      <c r="K86" s="701"/>
      <c r="L86" s="701"/>
      <c r="N86" s="143">
        <f>B43+F43+J43+N43+R43+V43+B81+F81+J81+N81+R81+V81</f>
        <v>-4097.8000000000011</v>
      </c>
      <c r="O86" s="143">
        <f>C43+G43+K43+O43+S43+W43+C81+G81+K81+O81+S81+W81</f>
        <v>225.9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91"/>
      <c r="C88" s="691"/>
      <c r="D88" s="691"/>
      <c r="E88" s="691"/>
      <c r="F88" s="691"/>
      <c r="G88" s="691"/>
      <c r="H88" s="691"/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59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2" t="s">
        <v>216</v>
      </c>
      <c r="B2" s="702"/>
      <c r="C2" s="702"/>
      <c r="D2" s="702"/>
      <c r="E2" s="702"/>
      <c r="F2" s="702"/>
      <c r="G2" s="702"/>
      <c r="H2" s="702"/>
      <c r="I2" s="702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log'!A36</f>
        <v>11</v>
      </c>
      <c r="G4" s="198">
        <v>30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4"/>
    </row>
    <row r="6" spans="1:11">
      <c r="A6" s="187" t="s">
        <v>217</v>
      </c>
      <c r="B6" s="362">
        <f>WATER!C36</f>
        <v>0</v>
      </c>
      <c r="C6" s="338">
        <v>1.45</v>
      </c>
      <c r="D6" s="187">
        <f>SUM(C6*B6)*D4</f>
        <v>0</v>
      </c>
      <c r="E6" s="450">
        <f>SUM(D6/D4)/F4</f>
        <v>0</v>
      </c>
      <c r="F6" s="188">
        <f>SUM(E6*F4)</f>
        <v>0</v>
      </c>
      <c r="G6" s="189">
        <f>SUM(B6*C6)</f>
        <v>0</v>
      </c>
      <c r="H6" s="188">
        <f>9128-H7</f>
        <v>1628</v>
      </c>
      <c r="I6" s="353">
        <f>10400-I7</f>
        <v>2900</v>
      </c>
      <c r="J6" s="283"/>
    </row>
    <row r="7" spans="1:11">
      <c r="A7" s="187" t="s">
        <v>218</v>
      </c>
      <c r="B7" s="362">
        <f>WATER!H36</f>
        <v>655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2750</v>
      </c>
      <c r="G7" s="528">
        <v>7500</v>
      </c>
      <c r="H7" s="192">
        <v>7500</v>
      </c>
      <c r="I7" s="188">
        <v>7500</v>
      </c>
      <c r="J7" s="283"/>
    </row>
    <row r="8" spans="1:11">
      <c r="A8" s="193" t="s">
        <v>219</v>
      </c>
      <c r="B8" s="363">
        <f>tanks!AT36</f>
        <v>10353.1</v>
      </c>
      <c r="C8" s="511">
        <f>SUM(tanks!AU36)</f>
        <v>0.22000000000000003</v>
      </c>
      <c r="D8" s="194">
        <f>SUM(B8*C8)*D4</f>
        <v>3433605.6150000002</v>
      </c>
      <c r="E8" s="195">
        <f>SUM(D8/D4/F4)</f>
        <v>207.06200000000001</v>
      </c>
      <c r="F8" s="195">
        <f>SUM(E8*F4)</f>
        <v>2277.6820000000002</v>
      </c>
      <c r="G8" s="528">
        <f>E8*$G$4</f>
        <v>6211.8600000000006</v>
      </c>
      <c r="H8" s="192">
        <v>23290</v>
      </c>
      <c r="I8" s="195">
        <v>30600</v>
      </c>
      <c r="J8" s="283"/>
    </row>
    <row r="9" spans="1:11">
      <c r="A9" s="2" t="s">
        <v>220</v>
      </c>
      <c r="B9" s="364">
        <f>'B5'!AV35</f>
        <v>1100</v>
      </c>
      <c r="C9" s="361">
        <v>0.7</v>
      </c>
      <c r="D9" s="191">
        <f>SUM(B9*C9)*D4</f>
        <v>1160775</v>
      </c>
      <c r="E9" s="192">
        <f>SUM(C9*B9)/F4</f>
        <v>70</v>
      </c>
      <c r="F9" s="192">
        <f>SUM(E9*F4)</f>
        <v>770</v>
      </c>
      <c r="G9" s="528">
        <f>E9*$G$4</f>
        <v>2100</v>
      </c>
      <c r="H9" s="192">
        <v>4425.42</v>
      </c>
      <c r="I9" s="192">
        <v>5800</v>
      </c>
      <c r="J9" s="283"/>
    </row>
    <row r="10" spans="1:11">
      <c r="A10" s="184" t="s">
        <v>221</v>
      </c>
      <c r="B10" s="365"/>
      <c r="C10" s="184"/>
      <c r="D10" s="186">
        <f>SUM('EDl log'!AB31)</f>
        <v>11672572.766666666</v>
      </c>
      <c r="E10" s="185">
        <f>SUM(D10/D4/F4)</f>
        <v>703.90910699030098</v>
      </c>
      <c r="F10" s="185">
        <f>SUM(E10*F4)</f>
        <v>7743.0001768933107</v>
      </c>
      <c r="G10" s="528">
        <f>E10*$G$4</f>
        <v>21117.27320970903</v>
      </c>
      <c r="H10" s="192">
        <v>24092.08785</v>
      </c>
      <c r="I10" s="286">
        <v>33700</v>
      </c>
      <c r="J10" s="283"/>
      <c r="K10" s="283"/>
    </row>
    <row r="11" spans="1:11">
      <c r="I11" s="283"/>
      <c r="J11" s="283"/>
      <c r="K11" s="283"/>
    </row>
    <row r="12" spans="1:11" ht="42.75" customHeight="1">
      <c r="E12" s="443">
        <f>SUM(E6:E11)</f>
        <v>1230.971106990301</v>
      </c>
      <c r="F12" s="183">
        <f>SUM(F6:F10)</f>
        <v>13540.682176893311</v>
      </c>
      <c r="G12" s="182">
        <f>SUM(G6:G10)</f>
        <v>36929.133209709034</v>
      </c>
      <c r="H12" s="182">
        <f>SUM(H6:H11)</f>
        <v>60935.507849999995</v>
      </c>
      <c r="I12" s="224">
        <f>SUM(I6:I11)</f>
        <v>80500</v>
      </c>
      <c r="J12" s="283"/>
    </row>
    <row r="13" spans="1:11" ht="45">
      <c r="A13" s="3"/>
      <c r="B13" s="178" t="s">
        <v>227</v>
      </c>
      <c r="C13" s="433" t="s">
        <v>387</v>
      </c>
      <c r="D13" s="433" t="s">
        <v>391</v>
      </c>
      <c r="E13" s="433" t="s">
        <v>388</v>
      </c>
      <c r="F13" s="433" t="s">
        <v>412</v>
      </c>
      <c r="G13" s="435"/>
      <c r="H13" s="17"/>
      <c r="I13" s="17"/>
      <c r="J13" s="17"/>
    </row>
    <row r="14" spans="1:11">
      <c r="A14" s="464" t="s">
        <v>303</v>
      </c>
      <c r="B14" s="98">
        <f>'Degree Days 2020'!AB15</f>
        <v>56.900000000000006</v>
      </c>
      <c r="C14" s="447">
        <f>'[8]Utility Cost '!C14</f>
        <v>151</v>
      </c>
      <c r="D14" s="170"/>
      <c r="E14" s="170">
        <f t="shared" ref="E14:E18" si="0">B14-C14</f>
        <v>-94.1</v>
      </c>
      <c r="F14" s="527">
        <v>0</v>
      </c>
      <c r="G14" s="435"/>
      <c r="H14" s="436">
        <f>SUM(G12-H12)</f>
        <v>-24006.37464029096</v>
      </c>
      <c r="I14" s="436">
        <f>SUM(G12-I12)</f>
        <v>-43570.866790290966</v>
      </c>
    </row>
    <row r="15" spans="1:11">
      <c r="A15" s="464" t="s">
        <v>304</v>
      </c>
      <c r="B15" s="98">
        <f>'Degree Days 2020'!AA15</f>
        <v>-329.40000000000009</v>
      </c>
      <c r="C15" s="447">
        <f>'[8]Utility Cost '!C15</f>
        <v>-18.3</v>
      </c>
      <c r="D15" s="170"/>
      <c r="E15" s="170">
        <f t="shared" si="0"/>
        <v>-311.10000000000008</v>
      </c>
      <c r="F15" s="527">
        <v>0</v>
      </c>
      <c r="G15" s="435"/>
      <c r="H15" s="17"/>
      <c r="I15" s="17"/>
      <c r="J15" s="17"/>
    </row>
    <row r="16" spans="1:11">
      <c r="A16" s="464" t="s">
        <v>305</v>
      </c>
      <c r="B16" s="98">
        <f>'General information '!D37</f>
        <v>22.954545454545453</v>
      </c>
      <c r="C16" s="447">
        <f>'[8]Utility Cost '!C16</f>
        <v>26.483333333333334</v>
      </c>
      <c r="D16" s="447"/>
      <c r="E16" s="448">
        <f t="shared" si="0"/>
        <v>-3.528787878787881</v>
      </c>
      <c r="F16" s="550">
        <v>0</v>
      </c>
      <c r="G16" s="435"/>
      <c r="H16" s="17"/>
      <c r="I16" s="17"/>
      <c r="J16" s="17"/>
    </row>
    <row r="17" spans="1:10">
      <c r="A17" s="542" t="s">
        <v>317</v>
      </c>
      <c r="B17" s="545">
        <f>'General information '!F36</f>
        <v>1.7372727272727276E-2</v>
      </c>
      <c r="C17" s="447">
        <f>'[8]Utility Cost '!C17</f>
        <v>0.78620999999999996</v>
      </c>
      <c r="D17" s="494">
        <f>'[9]Other Fuel Calculation 2020'!$G$62</f>
        <v>0.59360000000000002</v>
      </c>
      <c r="E17" s="544">
        <f t="shared" si="0"/>
        <v>-0.76883727272727265</v>
      </c>
      <c r="F17" s="548">
        <f>B17-D17</f>
        <v>-0.5762272727272727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46</v>
      </c>
      <c r="C18" s="447">
        <f>'[8]Utility Cost '!C18</f>
        <v>225</v>
      </c>
      <c r="D18" s="445">
        <f>'[9]Other Fuel Calculation 2020'!$G$60</f>
        <v>217</v>
      </c>
      <c r="E18" s="546">
        <f t="shared" si="0"/>
        <v>-179</v>
      </c>
      <c r="F18" s="549">
        <f>B18-D18</f>
        <v>-171</v>
      </c>
    </row>
    <row r="19" spans="1:10">
      <c r="A19" s="543" t="s">
        <v>413</v>
      </c>
      <c r="B19" s="541">
        <f>SUM(B18/$F$4)</f>
        <v>4.1818181818181817</v>
      </c>
      <c r="C19" s="447">
        <f>'[8]Utility Cost '!C19</f>
        <v>7.5</v>
      </c>
      <c r="D19" s="446"/>
      <c r="E19" s="446"/>
      <c r="F19" s="52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7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2020-06-12T11:19:17Z</dcterms:modified>
</cp:coreProperties>
</file>