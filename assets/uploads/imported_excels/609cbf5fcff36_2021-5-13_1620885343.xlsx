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10"/>
  <workbookPr/>
  <mc:AlternateContent xmlns:mc="http://schemas.openxmlformats.org/markup-compatibility/2006">
    <mc:Choice Requires="x15">
      <x15ac:absPath xmlns:x15ac="http://schemas.microsoft.com/office/spreadsheetml/2010/11/ac" url="C:\Users\Joe El Khoury\Desktop\"/>
    </mc:Choice>
  </mc:AlternateContent>
  <xr:revisionPtr revIDLastSave="0" documentId="8_{64755593-858C-47E2-AC45-68868651EAD4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X11" i="1"/>
  <c r="B32" i="4"/>
  <c r="X4" i="1"/>
  <c r="X5" i="1"/>
  <c r="X6" i="1"/>
  <c r="X7" i="1"/>
  <c r="X8" i="1"/>
  <c r="X9" i="1"/>
  <c r="X10" i="1"/>
  <c r="X3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W4" i="1"/>
  <c r="W5" i="1"/>
  <c r="R35" i="1"/>
  <c r="S35" i="1"/>
  <c r="T35" i="1"/>
  <c r="U35" i="1"/>
  <c r="V35" i="1"/>
  <c r="Q34" i="1"/>
  <c r="W35" i="1"/>
  <c r="N34" i="1"/>
  <c r="O34" i="1"/>
  <c r="P34" i="1"/>
  <c r="M34" i="1"/>
  <c r="B30" i="4"/>
  <c r="B31" i="4"/>
  <c r="AH15" i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T3" i="4"/>
  <c r="O3" i="4"/>
  <c r="P3" i="4"/>
  <c r="Q3" i="4"/>
  <c r="R3" i="4"/>
  <c r="S3" i="4"/>
  <c r="AH10" i="1" l="1"/>
  <c r="AB3" i="4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G32" i="3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<sst xmlns="http://schemas.openxmlformats.org/spreadsheetml/2006/main" count="149" uniqueCount="81">
  <si>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</si>
  <si>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</si>
  <si>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</si>
  <si>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</si>
  <si>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</si>
  <si>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</si>
  <si>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</si>
  <si>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</si>
  <si>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</si>
  <si>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</si>
  <si>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</si>
  <si>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</si>
  <si>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</si>
  <si>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</si>
  <si>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</si>
  <si>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</si>
  <si>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</si>
  <si>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</si>
  <si>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</si>
  <si>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</si>
  <si>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</si>
  <si>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</si>
  <si>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</si>
  <si>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</si>
  <si>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</si>
  <si>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</si>
  <si>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</si>
  <si>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</si>
  <si>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</si>
  <si>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</si>
  <si>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</si>
  <si>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</si>
  <si>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</si>
  <si>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</si>
  <si>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</si>
  <si>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</si>
  <si>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</si>
  <si>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</si>
  <si>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</si>
  <si>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</si>
  <si>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</si>
  <si>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</si>
  <si>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</si>
  <si>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</si>
  <si>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</si>
  <si>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</si>
  <si>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</si>
  <si>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</si>
  <si>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</si>
  <si>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</si>
  <si>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</si>
  <si>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</si>
  <si>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</si>
  <si>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</si>
  <si>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</si>
  <si>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Generator#1 (Liter)</t>
  </si>
  <si>
    <t>Generator#2 (Liter)</t>
  </si>
  <si>
    <t>Generator#3 (Liter)</t>
  </si>
  <si>
    <t>Generator#4 (Liter)</t>
  </si>
  <si>
    <t>Generator#5 (Liter)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</si>
  <si>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</si>
  <si>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</si>
  <si>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</si>
  <si>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</si>
  <si>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</si>
  <si>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</si>
  <si>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</si>
  <si>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</si>
  <si>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</si>
  <si>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</si>
  <si>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</si>
  <si>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</si>
  <si>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</si>
  <si>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</si>
  <si>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</si>
  <si>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</si>
  <si>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</si>
  <si>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</si>
  <si>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KWH CONSUMED</t>
  </si>
  <si>
    <t>PER ENGINE</t>
  </si>
  <si>
    <t>FUEL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</si>
</sst>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0" fontId="13" fillId="5" borderId="10" xfId="0" applyFont="1" applyFill="1" applyBorder="1" applyAlignment="1">
      <alignment horizontal="center" vertical="center" wrapText="1"/>
    </xf>
    <xf numFmtId="2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2" fontId="14" fillId="0" borderId="18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3" fillId="8" borderId="0" xfId="0" applyNumberFormat="1" applyFont="1" applyFill="1"/>
    <xf numFmtId="4" fontId="12" fillId="8" borderId="0" xfId="0" applyNumberFormat="1" applyFont="1" applyFill="1"/>
    <xf numFmtId="0" fontId="12" fillId="8" borderId="0" xfId="0" applyFont="1" applyFill="1"/>
    <xf numFmtId="0" fontId="13" fillId="8" borderId="2" xfId="0" applyFont="1" applyFill="1" applyBorder="1" applyAlignment="1">
      <alignment horizontal="center" vertical="center" wrapText="1"/>
    </xf>
    <xf numFmtId="4" fontId="12" fillId="8" borderId="2" xfId="0" applyNumberFormat="1" applyFont="1" applyFill="1" applyBorder="1"/>
    <xf numFmtId="4" fontId="14" fillId="8" borderId="2" xfId="0" applyNumberFormat="1" applyFont="1" applyFill="1" applyBorder="1" applyAlignment="1">
      <alignment horizontal="right"/>
    </xf>
    <xf numFmtId="4" fontId="14" fillId="8" borderId="9" xfId="0" applyNumberFormat="1" applyFont="1" applyFill="1" applyBorder="1" applyAlignment="1">
      <alignment horizontal="right"/>
    </xf>
    <xf numFmtId="0" fontId="13" fillId="9" borderId="2" xfId="0" applyFont="1" applyFill="1" applyBorder="1" applyAlignment="1">
      <alignment horizontal="center" vertical="center" wrapText="1"/>
    </xf>
    <xf numFmtId="2" fontId="12" fillId="0" borderId="1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C2" sqref="C2:C3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5</v>
      </c>
      <c r="D2" s="1">
        <v>2021</v>
      </c>
      <c r="E2" s="12">
        <f>'Submetering '!O2+'Submetering '!P2+'Submetering '!Q2+'Submetering '!R2+'Submetering '!S2</f>
        <v>35076</v>
      </c>
      <c r="F2" s="11">
        <f>('FS Seychelles'!W3*'FS Seychelles'!X3)/TOTAL!E2</f>
        <v>0.25517409624814691</v>
      </c>
      <c r="G2" s="12">
        <f>'Submetering '!AB2</f>
        <v>0</v>
      </c>
      <c r="H2" s="11">
        <v>18.899999999999999</v>
      </c>
      <c r="I2" s="12">
        <f>'FS Seychelles'!Y3+'FS Seychelles'!AA3+'FS Seychelles'!AB3+'FS Seychelles'!AC3</f>
        <v>310</v>
      </c>
      <c r="J2" s="11">
        <v>0</v>
      </c>
      <c r="K2" s="29">
        <f>'Submetering '!Z2</f>
        <v>4</v>
      </c>
      <c r="L2" s="11">
        <v>0</v>
      </c>
      <c r="M2" s="60">
        <f>'FS Seychelles'!B3</f>
        <v>45</v>
      </c>
    </row>
    <row r="3" spans="1:13" s="15" customFormat="1">
      <c r="A3" s="1" t="s">
        <v>13</v>
      </c>
      <c r="B3" s="14">
        <f>B2+1</f>
        <v>2</v>
      </c>
      <c r="C3" s="11">
        <v>5</v>
      </c>
      <c r="D3" s="1">
        <v>2021</v>
      </c>
      <c r="E3" s="12">
        <f>'Submetering '!O3+'Submetering '!P3+'Submetering '!Q3+'Submetering '!R3+'Submetering '!S3</f>
        <v>32383</v>
      </c>
      <c r="F3" s="11">
        <f>('FS Seychelles'!W4*'FS Seychelles'!X4)/TOTAL!E3</f>
        <v>0.27195585029181979</v>
      </c>
      <c r="G3" s="12">
        <f>'Submetering '!AB3</f>
        <v>0</v>
      </c>
      <c r="H3" s="11">
        <f>H2</f>
        <v>18.899999999999999</v>
      </c>
      <c r="I3" s="12">
        <f>'FS Seychelles'!Y4+'FS Seychelles'!AA4+'FS Seychelles'!AB4+'FS Seychelles'!AC4</f>
        <v>375</v>
      </c>
      <c r="J3" s="11">
        <f>J2</f>
        <v>0</v>
      </c>
      <c r="K3" s="29">
        <f>'Submetering '!Z3</f>
        <v>4</v>
      </c>
      <c r="L3" s="11">
        <f>L2</f>
        <v>0</v>
      </c>
      <c r="M3" s="60">
        <f>'FS Seychelles'!B4</f>
        <v>55.26</v>
      </c>
    </row>
    <row r="4" spans="1:13" s="15" customFormat="1">
      <c r="A4" s="1" t="s">
        <v>13</v>
      </c>
      <c r="B4" s="14">
        <f t="shared" ref="B4:B32" si="0">B3+1</f>
        <v>3</v>
      </c>
      <c r="C4" s="11">
        <v>5</v>
      </c>
      <c r="D4" s="1">
        <v>2021</v>
      </c>
      <c r="E4" s="12">
        <f>'Submetering '!O4+'Submetering '!P4+'Submetering '!Q4+'Submetering '!R4+'Submetering '!S4</f>
        <v>34173</v>
      </c>
      <c r="F4" s="11">
        <f>('FS Seychelles'!W5*'FS Seychelles'!X5)/TOTAL!E4</f>
        <v>0.26880500395048723</v>
      </c>
      <c r="G4" s="12">
        <f>'Submetering '!AB4</f>
        <v>0</v>
      </c>
      <c r="H4" s="11">
        <f t="shared" ref="H4:H32" si="1">H3</f>
        <v>18.899999999999999</v>
      </c>
      <c r="I4" s="12">
        <f>'FS Seychelles'!Y5+'FS Seychelles'!AA5+'FS Seychelles'!AB5+'FS Seychelles'!AC5</f>
        <v>328</v>
      </c>
      <c r="J4" s="11">
        <f t="shared" ref="J4:L32" si="2">J3</f>
        <v>0</v>
      </c>
      <c r="K4" s="29">
        <f>'Submetering '!Z4</f>
        <v>3</v>
      </c>
      <c r="L4" s="11">
        <f t="shared" si="2"/>
        <v>0</v>
      </c>
      <c r="M4" s="60">
        <f>'FS Seychelles'!B5</f>
        <v>52.63</v>
      </c>
    </row>
    <row r="5" spans="1:13" s="15" customFormat="1">
      <c r="A5" s="1" t="s">
        <v>13</v>
      </c>
      <c r="B5" s="14">
        <f t="shared" si="0"/>
        <v>4</v>
      </c>
      <c r="C5" s="11">
        <v>5</v>
      </c>
      <c r="D5" s="1">
        <v>2021</v>
      </c>
      <c r="E5" s="12">
        <f>'Submetering '!O5+'Submetering '!P5+'Submetering '!Q5+'Submetering '!R5+'Submetering '!S5</f>
        <v>25537</v>
      </c>
      <c r="F5" s="11">
        <f>('FS Seychelles'!W6*'FS Seychelles'!X6)/TOTAL!E5</f>
        <v>0.26779803030896349</v>
      </c>
      <c r="G5" s="12">
        <f>'Submetering '!AB5</f>
        <v>0</v>
      </c>
      <c r="H5" s="11">
        <f t="shared" si="1"/>
        <v>18.899999999999999</v>
      </c>
      <c r="I5" s="12">
        <f>'FS Seychelles'!Y6+'FS Seychelles'!AA6+'FS Seychelles'!AB6+'FS Seychelles'!AC6</f>
        <v>428</v>
      </c>
      <c r="J5" s="11">
        <f t="shared" si="2"/>
        <v>0</v>
      </c>
      <c r="K5" s="29">
        <f>'Submetering '!Z5</f>
        <v>62</v>
      </c>
      <c r="L5" s="11">
        <f t="shared" si="2"/>
        <v>0</v>
      </c>
      <c r="M5" s="60">
        <f>'FS Seychelles'!B6</f>
        <v>60.53</v>
      </c>
    </row>
    <row r="6" spans="1:13" s="15" customFormat="1">
      <c r="A6" s="1" t="s">
        <v>13</v>
      </c>
      <c r="B6" s="14">
        <f t="shared" si="0"/>
        <v>5</v>
      </c>
      <c r="C6" s="11">
        <v>5</v>
      </c>
      <c r="D6" s="1">
        <v>2021</v>
      </c>
      <c r="E6" s="12">
        <f>'Submetering '!O6+'Submetering '!P6+'Submetering '!Q6+'Submetering '!R6+'Submetering '!S6</f>
        <v>31490</v>
      </c>
      <c r="F6" s="11">
        <f>('FS Seychelles'!W7*'FS Seychelles'!X7)/TOTAL!E6</f>
        <v>0.27050812956494125</v>
      </c>
      <c r="G6" s="12">
        <f>'Submetering '!AB6</f>
        <v>0</v>
      </c>
      <c r="H6" s="11">
        <f t="shared" si="1"/>
        <v>18.899999999999999</v>
      </c>
      <c r="I6" s="12">
        <f>'FS Seychelles'!Y7+'FS Seychelles'!AA7+'FS Seychelles'!AB7+'FS Seychelles'!AC7</f>
        <v>370</v>
      </c>
      <c r="J6" s="11">
        <f t="shared" si="2"/>
        <v>0</v>
      </c>
      <c r="K6" s="29">
        <f>'Submetering '!Z6</f>
        <v>91</v>
      </c>
      <c r="L6" s="11">
        <f t="shared" si="2"/>
        <v>0</v>
      </c>
      <c r="M6" s="60">
        <f>'FS Seychelles'!B7</f>
        <v>57.89</v>
      </c>
    </row>
    <row r="7" spans="1:13" s="15" customFormat="1">
      <c r="A7" s="1" t="s">
        <v>13</v>
      </c>
      <c r="B7" s="14">
        <f t="shared" si="0"/>
        <v>6</v>
      </c>
      <c r="C7" s="11">
        <v>5</v>
      </c>
      <c r="D7" s="1">
        <v>2021</v>
      </c>
      <c r="E7" s="12">
        <f>'Submetering '!O7+'Submetering '!P7+'Submetering '!Q7+'Submetering '!R7+'Submetering '!S7</f>
        <v>44518</v>
      </c>
      <c r="F7" s="11">
        <f>('FS Seychelles'!W8*'FS Seychelles'!X8)/TOTAL!E7</f>
        <v>0.26465432184734267</v>
      </c>
      <c r="G7" s="12">
        <f>'Submetering '!AB7</f>
        <v>0</v>
      </c>
      <c r="H7" s="11">
        <f t="shared" si="1"/>
        <v>18.899999999999999</v>
      </c>
      <c r="I7" s="12">
        <f>'FS Seychelles'!Y8+'FS Seychelles'!AA8+'FS Seychelles'!AB8+'FS Seychelles'!AC8</f>
        <v>410</v>
      </c>
      <c r="J7" s="11">
        <f t="shared" si="2"/>
        <v>0</v>
      </c>
      <c r="K7" s="29">
        <f>'Submetering '!Z7</f>
        <v>46</v>
      </c>
      <c r="L7" s="11">
        <f t="shared" si="2"/>
        <v>0</v>
      </c>
      <c r="M7" s="60">
        <f>'FS Seychelles'!B8</f>
        <v>61.84</v>
      </c>
    </row>
    <row r="8" spans="1:13" s="15" customFormat="1">
      <c r="A8" s="1" t="s">
        <v>13</v>
      </c>
      <c r="B8" s="14">
        <f t="shared" si="0"/>
        <v>7</v>
      </c>
      <c r="C8" s="11">
        <v>5</v>
      </c>
      <c r="D8" s="1">
        <v>2021</v>
      </c>
      <c r="E8" s="12">
        <f>'Submetering '!O8+'Submetering '!P8+'Submetering '!Q8+'Submetering '!R8+'Submetering '!S8</f>
        <v>20892</v>
      </c>
      <c r="F8" s="11">
        <f>('FS Seychelles'!W9*'FS Seychelles'!X9)/TOTAL!E8</f>
        <v>0.25844466302891062</v>
      </c>
      <c r="G8" s="12">
        <f>'Submetering '!AB8</f>
        <v>0</v>
      </c>
      <c r="H8" s="11">
        <f t="shared" si="1"/>
        <v>18.899999999999999</v>
      </c>
      <c r="I8" s="12">
        <f>'FS Seychelles'!Y9+'FS Seychelles'!AA9+'FS Seychelles'!AB9+'FS Seychelles'!AC9</f>
        <v>414</v>
      </c>
      <c r="J8" s="11">
        <f t="shared" si="2"/>
        <v>0</v>
      </c>
      <c r="K8" s="29">
        <f>'Submetering '!Z8</f>
        <v>86</v>
      </c>
      <c r="L8" s="11">
        <f t="shared" si="2"/>
        <v>0</v>
      </c>
      <c r="M8" s="60">
        <f>'FS Seychelles'!B9</f>
        <v>68.42</v>
      </c>
    </row>
    <row r="9" spans="1:13" s="15" customFormat="1">
      <c r="A9" s="1" t="s">
        <v>13</v>
      </c>
      <c r="B9" s="14">
        <f t="shared" si="0"/>
        <v>8</v>
      </c>
      <c r="C9" s="11">
        <v>5</v>
      </c>
      <c r="D9" s="1">
        <v>2021</v>
      </c>
      <c r="E9" s="12">
        <f>'Submetering '!O9+'Submetering '!P9+'Submetering '!Q9+'Submetering '!R9+'Submetering '!S9</f>
        <v>30487</v>
      </c>
      <c r="F9" s="11">
        <f>('FS Seychelles'!W10*'FS Seychelles'!X10)/TOTAL!E9</f>
        <v>0.26940846262341323</v>
      </c>
      <c r="G9" s="12">
        <f>'Submetering '!AB9</f>
        <v>0</v>
      </c>
      <c r="H9" s="11">
        <f t="shared" si="1"/>
        <v>18.899999999999999</v>
      </c>
      <c r="I9" s="12">
        <f>'FS Seychelles'!Y10+'FS Seychelles'!AA10+'FS Seychelles'!AB10+'FS Seychelles'!AC10</f>
        <v>435</v>
      </c>
      <c r="J9" s="11">
        <f t="shared" si="2"/>
        <v>0</v>
      </c>
      <c r="K9" s="29">
        <f>'Submetering '!Z9</f>
        <v>128</v>
      </c>
      <c r="L9" s="11">
        <f t="shared" si="2"/>
        <v>0</v>
      </c>
      <c r="M9" s="60">
        <f>'FS Seychelles'!B10</f>
        <v>69.73</v>
      </c>
    </row>
    <row r="10" spans="1:13" s="15" customFormat="1">
      <c r="A10" s="1" t="s">
        <v>13</v>
      </c>
      <c r="B10" s="14">
        <f t="shared" si="0"/>
        <v>9</v>
      </c>
      <c r="C10" s="11">
        <v>5</v>
      </c>
      <c r="D10" s="1">
        <v>2021</v>
      </c>
      <c r="E10" s="12">
        <f>'Submetering '!O10+'Submetering '!P10+'Submetering '!Q10+'Submetering '!R10+'Submetering '!S10</f>
        <v>21171</v>
      </c>
      <c r="F10" s="11">
        <f>('FS Seychelles'!W11*'FS Seychelles'!X14)/TOTAL!E10</f>
        <v>0</v>
      </c>
      <c r="G10" s="12">
        <f>'Submetering '!AB10</f>
        <v>0</v>
      </c>
      <c r="H10" s="11">
        <f t="shared" si="1"/>
        <v>18.899999999999999</v>
      </c>
      <c r="I10" s="12">
        <f>'FS Seychelles'!Y11+'FS Seychelles'!AA11+'FS Seychelles'!AB11+'FS Seychelles'!AC11</f>
        <v>352</v>
      </c>
      <c r="J10" s="11">
        <f t="shared" si="2"/>
        <v>0</v>
      </c>
      <c r="K10" s="29">
        <f>'Submetering '!Z10</f>
        <v>74</v>
      </c>
      <c r="L10" s="11">
        <f t="shared" si="2"/>
        <v>0</v>
      </c>
      <c r="M10" s="60">
        <f>'FS Seychelles'!B11</f>
        <v>64.47</v>
      </c>
    </row>
    <row r="11" spans="1:13" s="15" customFormat="1">
      <c r="A11" s="1" t="s">
        <v>13</v>
      </c>
      <c r="B11" s="14">
        <f t="shared" si="0"/>
        <v>10</v>
      </c>
      <c r="C11" s="11">
        <v>5</v>
      </c>
      <c r="D11" s="1">
        <v>2021</v>
      </c>
      <c r="E11" s="12">
        <f>'Submetering '!O11+'Submetering '!P11+'Submetering '!Q11+'Submetering '!R11+'Submetering '!S11</f>
        <v>28949</v>
      </c>
      <c r="F11" s="11">
        <f>('FS Seychelles'!W12*'FS Seychelles'!X12)/TOTAL!E11</f>
        <v>0.26406034059898442</v>
      </c>
      <c r="G11" s="12">
        <f>'Submetering '!AB11</f>
        <v>0</v>
      </c>
      <c r="H11" s="11">
        <f t="shared" si="1"/>
        <v>18.899999999999999</v>
      </c>
      <c r="I11" s="12">
        <f>'FS Seychelles'!Y12+'FS Seychelles'!AA12+'FS Seychelles'!AB12+'FS Seychelles'!AC12</f>
        <v>0</v>
      </c>
      <c r="J11" s="11">
        <f t="shared" si="2"/>
        <v>0</v>
      </c>
      <c r="K11" s="29">
        <f>'Submetering '!Z11</f>
        <v>0</v>
      </c>
      <c r="L11" s="11">
        <f t="shared" si="2"/>
        <v>0</v>
      </c>
      <c r="M11" s="60">
        <f>'FS Seychelles'!B12</f>
        <v>44.74</v>
      </c>
    </row>
    <row r="12" spans="1:13" s="15" customFormat="1">
      <c r="A12" s="1" t="s">
        <v>13</v>
      </c>
      <c r="B12" s="14">
        <f t="shared" si="0"/>
        <v>11</v>
      </c>
      <c r="C12" s="11">
        <v>5</v>
      </c>
      <c r="D12" s="1">
        <v>2021</v>
      </c>
      <c r="E12" s="12">
        <f>'Submetering '!O12+'Submetering '!P12+'Submetering '!Q12+'Submetering '!R12+'Submetering '!S12</f>
        <v>30508</v>
      </c>
      <c r="F12" s="11">
        <f>('FS Seychelles'!W13*'FS Seychelles'!X13)/TOTAL!E12</f>
        <v>0.26759669594860364</v>
      </c>
      <c r="G12" s="12">
        <f>'Submetering '!AB12</f>
        <v>0</v>
      </c>
      <c r="H12" s="11">
        <f t="shared" si="1"/>
        <v>18.899999999999999</v>
      </c>
      <c r="I12" s="12">
        <f>'FS Seychelles'!Y13+'FS Seychelles'!AA13+'FS Seychelles'!AB13+'FS Seychelles'!AC13</f>
        <v>370</v>
      </c>
      <c r="J12" s="11">
        <f t="shared" si="2"/>
        <v>0</v>
      </c>
      <c r="K12" s="29">
        <f>'Submetering '!Z12</f>
        <v>52</v>
      </c>
      <c r="L12" s="11">
        <f t="shared" si="2"/>
        <v>0</v>
      </c>
      <c r="M12" s="60">
        <f>'FS Seychelles'!B13</f>
        <v>46.05</v>
      </c>
    </row>
    <row r="13" spans="1:13" s="15" customFormat="1">
      <c r="A13" s="1" t="s">
        <v>13</v>
      </c>
      <c r="B13" s="14">
        <f t="shared" si="0"/>
        <v>12</v>
      </c>
      <c r="C13" s="11">
        <v>5</v>
      </c>
      <c r="D13" s="1">
        <v>2021</v>
      </c>
      <c r="E13" s="12">
        <f>'Submetering '!O13+'Submetering '!P13+'Submetering '!Q13+'Submetering '!R13+'Submetering '!S13</f>
        <v>0</v>
      </c>
      <c r="F13" s="11" t="e">
        <f>('FS Seychelles'!W14*'FS Seychelles'!#REF!)/TOTAL!E13</f>
        <v>#REF!</v>
      </c>
      <c r="G13" s="12">
        <f>'Submetering '!AB13</f>
        <v>0</v>
      </c>
      <c r="H13" s="11">
        <f t="shared" si="1"/>
        <v>18.899999999999999</v>
      </c>
      <c r="I13" s="12">
        <f>'FS Seychelles'!Y14+'FS Seychelles'!AA14+'FS Seychelles'!AB14+'FS Seychelles'!AC14</f>
        <v>0</v>
      </c>
      <c r="J13" s="11">
        <f t="shared" si="2"/>
        <v>0</v>
      </c>
      <c r="K13" s="29">
        <f>'Submetering '!Z13</f>
        <v>0</v>
      </c>
      <c r="L13" s="11">
        <f t="shared" si="2"/>
        <v>0</v>
      </c>
      <c r="M13" s="60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v>5</v>
      </c>
      <c r="D14" s="1">
        <v>2021</v>
      </c>
      <c r="E14" s="12">
        <f>'Submetering '!O14+'Submetering '!P14+'Submetering '!Q14+'Submetering '!R14+'Submetering '!S14</f>
        <v>0</v>
      </c>
      <c r="F14" s="11" t="e">
        <f>('FS Seychelles'!W15*'FS Seychelles'!X15)/TOTAL!E14</f>
        <v>#DIV/0!</v>
      </c>
      <c r="G14" s="12">
        <f>'Submetering '!AB14</f>
        <v>0</v>
      </c>
      <c r="H14" s="11">
        <f t="shared" si="1"/>
        <v>18.899999999999999</v>
      </c>
      <c r="I14" s="12">
        <f>'FS Seychelles'!Y15+'FS Seychelles'!AA15+'FS Seychelles'!AB15+'FS Seychelles'!AC15</f>
        <v>0</v>
      </c>
      <c r="J14" s="11">
        <f t="shared" si="2"/>
        <v>0</v>
      </c>
      <c r="K14" s="29">
        <f>'Submetering '!Z14</f>
        <v>0</v>
      </c>
      <c r="L14" s="11">
        <f t="shared" si="2"/>
        <v>0</v>
      </c>
      <c r="M14" s="60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v>5</v>
      </c>
      <c r="D15" s="1">
        <v>2021</v>
      </c>
      <c r="E15" s="12">
        <f>'Submetering '!O15+'Submetering '!P15+'Submetering '!Q15+'Submetering '!R15+'Submetering '!S15</f>
        <v>0</v>
      </c>
      <c r="F15" s="11" t="e">
        <f>('FS Seychelles'!W16*'FS Seychelles'!X16)/TOTAL!E15</f>
        <v>#DIV/0!</v>
      </c>
      <c r="G15" s="12">
        <f>'Submetering '!AB15</f>
        <v>0</v>
      </c>
      <c r="H15" s="11">
        <f t="shared" si="1"/>
        <v>18.899999999999999</v>
      </c>
      <c r="I15" s="12">
        <f>'FS Seychelles'!Y16+'FS Seychelles'!AA16+'FS Seychelles'!AB16+'FS Seychelles'!AC16</f>
        <v>0</v>
      </c>
      <c r="J15" s="11">
        <f t="shared" si="2"/>
        <v>0</v>
      </c>
      <c r="K15" s="29">
        <f>'Submetering '!Z15</f>
        <v>0</v>
      </c>
      <c r="L15" s="11">
        <f t="shared" si="2"/>
        <v>0</v>
      </c>
      <c r="M15" s="60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v>5</v>
      </c>
      <c r="D16" s="1">
        <v>2021</v>
      </c>
      <c r="E16" s="12">
        <f>'Submetering '!O16+'Submetering '!P16+'Submetering '!Q16+'Submetering '!R16+'Submetering '!S16</f>
        <v>0</v>
      </c>
      <c r="F16" s="11" t="e">
        <f>('FS Seychelles'!W17*'FS Seychelles'!X17)/TOTAL!E16</f>
        <v>#DIV/0!</v>
      </c>
      <c r="G16" s="12">
        <f>'Submetering '!AB16</f>
        <v>0</v>
      </c>
      <c r="H16" s="11">
        <f t="shared" si="1"/>
        <v>18.899999999999999</v>
      </c>
      <c r="I16" s="12">
        <f>'FS Seychelles'!Y17+'FS Seychelles'!AA17+'FS Seychelles'!AB17+'FS Seychelles'!AC17</f>
        <v>0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60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5</v>
      </c>
      <c r="D17" s="1">
        <v>2021</v>
      </c>
      <c r="E17" s="12">
        <f>'Submetering '!O17+'Submetering '!P17+'Submetering '!Q17+'Submetering '!R17+'Submetering '!S17</f>
        <v>0</v>
      </c>
      <c r="F17" s="11" t="e">
        <f>('FS Seychelles'!W18*'FS Seychelles'!X18)/TOTAL!E17</f>
        <v>#DIV/0!</v>
      </c>
      <c r="G17" s="12">
        <f>'Submetering '!AB17</f>
        <v>0</v>
      </c>
      <c r="H17" s="11">
        <f t="shared" si="1"/>
        <v>18.899999999999999</v>
      </c>
      <c r="I17" s="12">
        <f>'FS Seychelles'!Y18+'FS Seychelles'!AA18+'FS Seychelles'!AB18+'FS Seychelles'!AC18</f>
        <v>0</v>
      </c>
      <c r="J17" s="11">
        <f t="shared" si="2"/>
        <v>0</v>
      </c>
      <c r="K17" s="29">
        <f>'Submetering '!Z17</f>
        <v>0</v>
      </c>
      <c r="L17" s="11">
        <f t="shared" si="2"/>
        <v>0</v>
      </c>
      <c r="M17" s="60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5</v>
      </c>
      <c r="D18" s="1">
        <v>2021</v>
      </c>
      <c r="E18" s="12">
        <f>'Submetering '!O18+'Submetering '!P18+'Submetering '!Q18+'Submetering '!R18+'Submetering '!S18</f>
        <v>0</v>
      </c>
      <c r="F18" s="11" t="e">
        <f>('FS Seychelles'!W19*'FS Seychelles'!X19)/TOTAL!E18</f>
        <v>#DIV/0!</v>
      </c>
      <c r="G18" s="12">
        <f>'Submetering '!AB18</f>
        <v>0</v>
      </c>
      <c r="H18" s="11">
        <f t="shared" si="1"/>
        <v>18.899999999999999</v>
      </c>
      <c r="I18" s="12">
        <f>'FS Seychelles'!Y19+'FS Seychelles'!AA19+'FS Seychelles'!AB19+'FS Seychelles'!AC19</f>
        <v>0</v>
      </c>
      <c r="J18" s="11">
        <f t="shared" si="2"/>
        <v>0</v>
      </c>
      <c r="K18" s="29">
        <f>'Submetering '!Z18</f>
        <v>0</v>
      </c>
      <c r="L18" s="11">
        <f t="shared" si="2"/>
        <v>0</v>
      </c>
      <c r="M18" s="6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5</v>
      </c>
      <c r="D19" s="1">
        <v>2021</v>
      </c>
      <c r="E19" s="12">
        <f>'Submetering '!O19+'Submetering '!P19+'Submetering '!Q19+'Submetering '!R19+'Submetering '!S19</f>
        <v>0</v>
      </c>
      <c r="F19" s="11" t="e">
        <f>('FS Seychelles'!W20*'FS Seychelles'!X20)/TOTAL!E19</f>
        <v>#DIV/0!</v>
      </c>
      <c r="G19" s="12">
        <f>'Submetering '!AB19</f>
        <v>0</v>
      </c>
      <c r="H19" s="11">
        <f t="shared" si="1"/>
        <v>18.899999999999999</v>
      </c>
      <c r="I19" s="12">
        <f>'FS Seychelles'!Y20+'FS Seychelles'!AA20+'FS Seychelles'!AB20+'FS Seychelles'!AC20</f>
        <v>0</v>
      </c>
      <c r="J19" s="11">
        <f t="shared" si="2"/>
        <v>0</v>
      </c>
      <c r="K19" s="29">
        <f>'Submetering '!Z19</f>
        <v>0</v>
      </c>
      <c r="L19" s="11">
        <f t="shared" si="2"/>
        <v>0</v>
      </c>
      <c r="M19" s="6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5</v>
      </c>
      <c r="D20" s="1">
        <v>2021</v>
      </c>
      <c r="E20" s="12">
        <f>'Submetering '!O20+'Submetering '!P20+'Submetering '!Q20+'Submetering '!R20+'Submetering '!S20</f>
        <v>0</v>
      </c>
      <c r="F20" s="11" t="e">
        <f>('FS Seychelles'!W21*'FS Seychelles'!X21)/TOTAL!E20</f>
        <v>#DIV/0!</v>
      </c>
      <c r="G20" s="12">
        <f>'Submetering '!AB20</f>
        <v>0</v>
      </c>
      <c r="H20" s="11">
        <f t="shared" si="1"/>
        <v>18.899999999999999</v>
      </c>
      <c r="I20" s="12">
        <f>'FS Seychelles'!Y21+'FS Seychelles'!AA21+'FS Seychelles'!AB21+'FS Seychelles'!AC21</f>
        <v>0</v>
      </c>
      <c r="J20" s="11">
        <f t="shared" si="2"/>
        <v>0</v>
      </c>
      <c r="K20" s="29">
        <f>'Submetering '!Z20</f>
        <v>0</v>
      </c>
      <c r="L20" s="11">
        <f t="shared" si="2"/>
        <v>0</v>
      </c>
      <c r="M20" s="6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5</v>
      </c>
      <c r="D21" s="1">
        <v>2021</v>
      </c>
      <c r="E21" s="12">
        <f>'Submetering '!O21+'Submetering '!P21+'Submetering '!Q21+'Submetering '!R21+'Submetering '!S21</f>
        <v>0</v>
      </c>
      <c r="F21" s="11" t="e">
        <f>('FS Seychelles'!W22*'FS Seychelles'!X22)/TOTAL!E21</f>
        <v>#DIV/0!</v>
      </c>
      <c r="G21" s="12">
        <f>'Submetering '!AB21</f>
        <v>0</v>
      </c>
      <c r="H21" s="11">
        <f t="shared" si="1"/>
        <v>18.899999999999999</v>
      </c>
      <c r="I21" s="12">
        <f>'FS Seychelles'!Y22+'FS Seychelles'!AA22+'FS Seychelles'!AB22+'FS Seychelles'!AC22</f>
        <v>0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6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5</v>
      </c>
      <c r="D22" s="1">
        <v>2021</v>
      </c>
      <c r="E22" s="12">
        <f>'Submetering '!O22+'Submetering '!P22+'Submetering '!Q22+'Submetering '!R22+'Submetering '!S22</f>
        <v>0</v>
      </c>
      <c r="F22" s="11" t="e">
        <f>('FS Seychelles'!W23*'FS Seychelles'!X23)/TOTAL!E22</f>
        <v>#DIV/0!</v>
      </c>
      <c r="G22" s="12" t="e">
        <f>'Submetering '!AB22</f>
        <v>#REF!</v>
      </c>
      <c r="H22" s="11">
        <f t="shared" si="1"/>
        <v>18.899999999999999</v>
      </c>
      <c r="I22" s="12">
        <f>'FS Seychelles'!Y23+'FS Seychelles'!AA23+'FS Seychelles'!AB23+'FS Seychelles'!AC23</f>
        <v>0</v>
      </c>
      <c r="J22" s="11">
        <f t="shared" si="2"/>
        <v>0</v>
      </c>
      <c r="K22" s="29">
        <f>'Submetering '!Z22</f>
        <v>0</v>
      </c>
      <c r="L22" s="11">
        <f t="shared" si="2"/>
        <v>0</v>
      </c>
      <c r="M22" s="6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5</v>
      </c>
      <c r="D23" s="1">
        <v>2021</v>
      </c>
      <c r="E23" s="12">
        <f>'Submetering '!O23+'Submetering '!P23+'Submetering '!Q23+'Submetering '!R23+'Submetering '!S23</f>
        <v>0</v>
      </c>
      <c r="F23" s="11" t="e">
        <f>('FS Seychelles'!W24*'FS Seychelles'!X24)/TOTAL!E23</f>
        <v>#DIV/0!</v>
      </c>
      <c r="G23" s="12" t="e">
        <f>'Submetering '!AB23</f>
        <v>#REF!</v>
      </c>
      <c r="H23" s="11">
        <f t="shared" si="1"/>
        <v>18.899999999999999</v>
      </c>
      <c r="I23" s="12">
        <f>'FS Seychelles'!Y24+'FS Seychelles'!AA24+'FS Seychelles'!AB24+'FS Seychelles'!AC24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6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5</v>
      </c>
      <c r="D24" s="1">
        <v>2021</v>
      </c>
      <c r="E24" s="12">
        <f>'Submetering '!O24+'Submetering '!P24+'Submetering '!Q24+'Submetering '!R24+'Submetering '!S24</f>
        <v>0</v>
      </c>
      <c r="F24" s="11" t="e">
        <f>('FS Seychelles'!W25*'FS Seychelles'!X25)/TOTAL!E24</f>
        <v>#DIV/0!</v>
      </c>
      <c r="G24" s="12" t="e">
        <f>'Submetering '!AB24</f>
        <v>#REF!</v>
      </c>
      <c r="H24" s="11">
        <f t="shared" si="1"/>
        <v>18.899999999999999</v>
      </c>
      <c r="I24" s="12">
        <f>'FS Seychelles'!Y25+'FS Seychelles'!AA25+'FS Seychelles'!AB25+'FS Seychelles'!AC25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6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5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Seychelles'!W26*'FS Seychelles'!X26)/TOTAL!E25</f>
        <v>#DIV/0!</v>
      </c>
      <c r="G25" s="12" t="e">
        <f>'Submetering '!AB25</f>
        <v>#REF!</v>
      </c>
      <c r="H25" s="11">
        <f t="shared" si="1"/>
        <v>18.899999999999999</v>
      </c>
      <c r="I25" s="12">
        <f>'FS Seychelles'!Y26+'FS Seychelles'!AA26+'FS Seychelles'!AB26+'FS Seychelles'!AC26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6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5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Seychelles'!W27*'FS Seychelles'!X27)/TOTAL!E26</f>
        <v>#DIV/0!</v>
      </c>
      <c r="G26" s="12" t="e">
        <f>'Submetering '!AB26</f>
        <v>#REF!</v>
      </c>
      <c r="H26" s="11">
        <f t="shared" si="1"/>
        <v>18.899999999999999</v>
      </c>
      <c r="I26" s="12">
        <f>'FS Seychelles'!Y27+'FS Seychelles'!AA27+'FS Seychelles'!AB27+'FS Seychelles'!AC27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6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5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Seychelles'!W28*'FS Seychelles'!X28)/TOTAL!E27</f>
        <v>#DIV/0!</v>
      </c>
      <c r="G27" s="12" t="e">
        <f>'Submetering '!AB27</f>
        <v>#REF!</v>
      </c>
      <c r="H27" s="11">
        <f t="shared" si="1"/>
        <v>18.899999999999999</v>
      </c>
      <c r="I27" s="12">
        <f>'FS Seychelles'!Y28+'FS Seychelles'!AA28+'FS Seychelles'!AB28+'FS Seychelles'!AC28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6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5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Seychelles'!W29*'FS Seychelles'!X29)/TOTAL!E28</f>
        <v>#DIV/0!</v>
      </c>
      <c r="G28" s="12" t="e">
        <f>'Submetering '!AB28</f>
        <v>#REF!</v>
      </c>
      <c r="H28" s="11">
        <f t="shared" si="1"/>
        <v>18.899999999999999</v>
      </c>
      <c r="I28" s="12">
        <f>'FS Seychelles'!Y29+'FS Seychelles'!AA29+'FS Seychelles'!AB29+'FS Seychelles'!AC29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6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5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Seychelles'!W30*'FS Seychelles'!X30)/TOTAL!E29</f>
        <v>#DIV/0!</v>
      </c>
      <c r="G29" s="12" t="e">
        <f>'Submetering '!AB29</f>
        <v>#REF!</v>
      </c>
      <c r="H29" s="11">
        <f t="shared" si="1"/>
        <v>18.899999999999999</v>
      </c>
      <c r="I29" s="12">
        <f>'FS Seychelles'!Y30+'FS Seychelles'!AA30+'FS Seychelles'!AB30+'FS Seychelles'!AC30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6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5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Seychelles'!W31*'FS Seychelles'!X31)/TOTAL!E30</f>
        <v>#DIV/0!</v>
      </c>
      <c r="G30" s="12" t="e">
        <f>'Submetering '!AB30</f>
        <v>#REF!</v>
      </c>
      <c r="H30" s="11">
        <f t="shared" si="1"/>
        <v>18.899999999999999</v>
      </c>
      <c r="I30" s="12">
        <f>'FS Seychelles'!Y31+'FS Seychelles'!AA31+'FS Seychelles'!AB31+'FS Seychelles'!AC31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6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5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Seychelles'!W32*'FS Seychelles'!X32)/TOTAL!E31</f>
        <v>#DIV/0!</v>
      </c>
      <c r="G31" s="12" t="e">
        <f>'Submetering '!AB31</f>
        <v>#REF!</v>
      </c>
      <c r="H31" s="11">
        <f t="shared" si="1"/>
        <v>18.899999999999999</v>
      </c>
      <c r="I31" s="12">
        <f>'FS Seychelles'!Y32+'FS Seychelles'!AA32+'FS Seychelles'!AB32+'FS Seychelles'!AC32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6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v>5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Seychelles'!W33*'FS Seychelles'!X33)/TOTAL!E32</f>
        <v>#DIV/0!</v>
      </c>
      <c r="G32" s="12" t="e">
        <f>'Submetering '!AB32</f>
        <v>#REF!</v>
      </c>
      <c r="H32" s="11">
        <f t="shared" si="1"/>
        <v>18.899999999999999</v>
      </c>
      <c r="I32" s="12">
        <f>'FS Seychelles'!Y33+'FS Seychelles'!AA33+'FS Seychelles'!AB33+'FS Seychelles'!AC33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6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N1" workbookViewId="0">
      <selection activeCell="D33" sqref="D33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5</v>
      </c>
      <c r="D2" s="11">
        <v>2021</v>
      </c>
      <c r="E2" s="18">
        <f>'FS Seychelles'!B3</f>
        <v>45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0</v>
      </c>
      <c r="P2" s="18">
        <f>'FS Seychelles'!N3</f>
        <v>6868</v>
      </c>
      <c r="Q2" s="18">
        <f>'FS Seychelles'!O3</f>
        <v>7735</v>
      </c>
      <c r="R2" s="18">
        <f>'FS Seychelles'!P3</f>
        <v>11302</v>
      </c>
      <c r="S2" s="18">
        <f>'FS Seychelles'!Q3</f>
        <v>9171</v>
      </c>
      <c r="T2" s="18">
        <f>'FS Seychelles'!W3</f>
        <v>9278</v>
      </c>
      <c r="U2" s="18">
        <f>'FS Seychelles'!Y3</f>
        <v>51</v>
      </c>
      <c r="V2" s="18">
        <f>'FS Seychelles'!Z3</f>
        <v>47</v>
      </c>
      <c r="W2" s="18">
        <f>'FS Seychelles'!AA3</f>
        <v>38</v>
      </c>
      <c r="X2" s="18">
        <f>'FS Seychelles'!AB3</f>
        <v>77</v>
      </c>
      <c r="Y2" s="18">
        <f>'FS Seychelles'!AC3</f>
        <v>144</v>
      </c>
      <c r="Z2" s="18">
        <f>'FS Seychelles'!AD3</f>
        <v>4</v>
      </c>
      <c r="AA2" s="18">
        <f>'FS Seychelles'!AE3</f>
        <v>0</v>
      </c>
      <c r="AB2" s="18">
        <f>('FS Seychelles'!AH9+'FS Seychelles'!AH15)/30</f>
        <v>0</v>
      </c>
    </row>
    <row r="3" spans="1:28">
      <c r="A3" s="1" t="s">
        <v>13</v>
      </c>
      <c r="B3" s="11">
        <f>B2+1</f>
        <v>2</v>
      </c>
      <c r="C3" s="11">
        <v>5</v>
      </c>
      <c r="D3" s="11">
        <v>2021</v>
      </c>
      <c r="E3" s="18">
        <f>'FS Seychelles'!B4</f>
        <v>55.26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0</v>
      </c>
      <c r="P3" s="18">
        <f>'FS Seychelles'!N4</f>
        <v>9662</v>
      </c>
      <c r="Q3" s="18">
        <f>'FS Seychelles'!O4</f>
        <v>6534</v>
      </c>
      <c r="R3" s="18">
        <f>'FS Seychelles'!P4</f>
        <v>16187</v>
      </c>
      <c r="S3" s="18">
        <f>'FS Seychelles'!Q4</f>
        <v>0</v>
      </c>
      <c r="T3" s="18">
        <f>'FS Seychelles'!W4</f>
        <v>9129</v>
      </c>
      <c r="U3" s="18">
        <f>'FS Seychelles'!Y4</f>
        <v>54</v>
      </c>
      <c r="V3" s="18">
        <f>'FS Seychelles'!Z4</f>
        <v>26</v>
      </c>
      <c r="W3" s="18">
        <f>'FS Seychelles'!AA4</f>
        <v>73</v>
      </c>
      <c r="X3" s="18">
        <f>'FS Seychelles'!AB4</f>
        <v>101</v>
      </c>
      <c r="Y3" s="18">
        <f>'FS Seychelles'!AC4</f>
        <v>147</v>
      </c>
      <c r="Z3" s="18">
        <f>'FS Seychelles'!AD4</f>
        <v>4</v>
      </c>
      <c r="AA3" s="18">
        <f>'FS Seychelles'!AE4</f>
        <v>0</v>
      </c>
      <c r="AB3" s="18">
        <f>('FS Seychelles'!AH10+'FS Seychelles'!AH16)/30</f>
        <v>0</v>
      </c>
    </row>
    <row r="4" spans="1:28">
      <c r="A4" s="1" t="s">
        <v>13</v>
      </c>
      <c r="B4" s="11">
        <f t="shared" ref="B4:B32" si="0">B3+1</f>
        <v>3</v>
      </c>
      <c r="C4" s="11">
        <v>5</v>
      </c>
      <c r="D4" s="11">
        <v>2021</v>
      </c>
      <c r="E4" s="18">
        <f>'FS Seychelles'!B5</f>
        <v>52.63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0</v>
      </c>
      <c r="P4" s="18">
        <f>'FS Seychelles'!N5</f>
        <v>9674</v>
      </c>
      <c r="Q4" s="18">
        <f>'FS Seychelles'!O5</f>
        <v>6545</v>
      </c>
      <c r="R4" s="18">
        <f>'FS Seychelles'!P5</f>
        <v>9089</v>
      </c>
      <c r="S4" s="18">
        <f>'FS Seychelles'!Q5</f>
        <v>8865</v>
      </c>
      <c r="T4" s="18">
        <f>'FS Seychelles'!W5</f>
        <v>9522</v>
      </c>
      <c r="U4" s="18">
        <f>'FS Seychelles'!Y5</f>
        <v>55</v>
      </c>
      <c r="V4" s="18">
        <f>'FS Seychelles'!Z5</f>
        <v>20</v>
      </c>
      <c r="W4" s="18">
        <f>'FS Seychelles'!AA5</f>
        <v>57</v>
      </c>
      <c r="X4" s="18">
        <f>'FS Seychelles'!AB5</f>
        <v>87</v>
      </c>
      <c r="Y4" s="18">
        <f>'FS Seychelles'!AC5</f>
        <v>129</v>
      </c>
      <c r="Z4" s="18">
        <f>'FS Seychelles'!AD5</f>
        <v>3</v>
      </c>
      <c r="AA4" s="18">
        <f>'FS Seychelles'!AE5</f>
        <v>0</v>
      </c>
      <c r="AB4" s="18">
        <f>('FS Seychelles'!AH11+'FS Seychelles'!AH17)/30</f>
        <v>0</v>
      </c>
    </row>
    <row r="5" spans="1:28">
      <c r="A5" s="1" t="s">
        <v>13</v>
      </c>
      <c r="B5" s="11">
        <f t="shared" si="0"/>
        <v>4</v>
      </c>
      <c r="C5" s="11">
        <v>5</v>
      </c>
      <c r="D5" s="11">
        <v>2021</v>
      </c>
      <c r="E5" s="18">
        <f>'FS Seychelles'!B6</f>
        <v>60.53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0</v>
      </c>
      <c r="P5" s="18">
        <f>'FS Seychelles'!N6</f>
        <v>5980</v>
      </c>
      <c r="Q5" s="18">
        <f>'FS Seychelles'!O6</f>
        <v>11921</v>
      </c>
      <c r="R5" s="18">
        <f>'FS Seychelles'!P6</f>
        <v>7636</v>
      </c>
      <c r="S5" s="18">
        <f>'FS Seychelles'!Q6</f>
        <v>0</v>
      </c>
      <c r="T5" s="18">
        <f>'FS Seychelles'!W6</f>
        <v>7089</v>
      </c>
      <c r="U5" s="18">
        <f>'FS Seychelles'!Y6</f>
        <v>53</v>
      </c>
      <c r="V5" s="18">
        <f>'FS Seychelles'!Z6</f>
        <v>31</v>
      </c>
      <c r="W5" s="18">
        <f>'FS Seychelles'!AA6</f>
        <v>106</v>
      </c>
      <c r="X5" s="18">
        <f>'FS Seychelles'!AB6</f>
        <v>97</v>
      </c>
      <c r="Y5" s="18">
        <f>'FS Seychelles'!AC6</f>
        <v>172</v>
      </c>
      <c r="Z5" s="18">
        <f>'FS Seychelles'!AD6</f>
        <v>62</v>
      </c>
      <c r="AA5" s="18">
        <f>'FS Seychelles'!AE6</f>
        <v>0</v>
      </c>
      <c r="AB5" s="18">
        <f>('FS Seychelles'!AH12+'FS Seychelles'!AH18)/30</f>
        <v>0</v>
      </c>
    </row>
    <row r="6" spans="1:28">
      <c r="A6" s="1" t="s">
        <v>13</v>
      </c>
      <c r="B6" s="11">
        <f t="shared" si="0"/>
        <v>5</v>
      </c>
      <c r="C6" s="11">
        <v>5</v>
      </c>
      <c r="D6" s="11">
        <v>2021</v>
      </c>
      <c r="E6" s="18">
        <f>'FS Seychelles'!B7</f>
        <v>57.89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0</v>
      </c>
      <c r="P6" s="18">
        <f>'FS Seychelles'!N7</f>
        <v>9975</v>
      </c>
      <c r="Q6" s="18">
        <f>'FS Seychelles'!O7</f>
        <v>4629</v>
      </c>
      <c r="R6" s="18">
        <f>'FS Seychelles'!P7</f>
        <v>8474</v>
      </c>
      <c r="S6" s="18">
        <f>'FS Seychelles'!Q7</f>
        <v>8412</v>
      </c>
      <c r="T6" s="18">
        <f>'FS Seychelles'!W7</f>
        <v>8830</v>
      </c>
      <c r="U6" s="18">
        <f>'FS Seychelles'!Y7</f>
        <v>57</v>
      </c>
      <c r="V6" s="18">
        <f>'FS Seychelles'!Z7</f>
        <v>64</v>
      </c>
      <c r="W6" s="18">
        <f>'FS Seychelles'!AA7</f>
        <v>72</v>
      </c>
      <c r="X6" s="18">
        <f>'FS Seychelles'!AB7</f>
        <v>97</v>
      </c>
      <c r="Y6" s="18">
        <f>'FS Seychelles'!AC7</f>
        <v>144</v>
      </c>
      <c r="Z6" s="18">
        <f>'FS Seychelles'!AD7</f>
        <v>91</v>
      </c>
      <c r="AA6" s="18">
        <f>'FS Seychelles'!AE7</f>
        <v>0</v>
      </c>
      <c r="AB6" s="18">
        <f>('FS Seychelles'!AH13+'FS Seychelles'!AH19)/30</f>
        <v>0</v>
      </c>
    </row>
    <row r="7" spans="1:28">
      <c r="A7" s="1" t="s">
        <v>13</v>
      </c>
      <c r="B7" s="11">
        <f t="shared" si="0"/>
        <v>6</v>
      </c>
      <c r="C7" s="11">
        <v>5</v>
      </c>
      <c r="D7" s="11">
        <v>2021</v>
      </c>
      <c r="E7" s="18">
        <f>'FS Seychelles'!B8</f>
        <v>61.84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0</v>
      </c>
      <c r="P7" s="18">
        <f>'FS Seychelles'!N8</f>
        <v>10607</v>
      </c>
      <c r="Q7" s="18">
        <f>'FS Seychelles'!O8</f>
        <v>9131</v>
      </c>
      <c r="R7" s="18">
        <f>'FS Seychelles'!P8</f>
        <v>12870</v>
      </c>
      <c r="S7" s="18">
        <f>'FS Seychelles'!Q8</f>
        <v>11910</v>
      </c>
      <c r="T7" s="18">
        <f>'FS Seychelles'!W8</f>
        <v>12213</v>
      </c>
      <c r="U7" s="18">
        <f>'FS Seychelles'!Y8</f>
        <v>58</v>
      </c>
      <c r="V7" s="18">
        <f>'FS Seychelles'!Z8</f>
        <v>22</v>
      </c>
      <c r="W7" s="18">
        <f>'FS Seychelles'!AA8</f>
        <v>78</v>
      </c>
      <c r="X7" s="18">
        <f>'FS Seychelles'!AB8</f>
        <v>123</v>
      </c>
      <c r="Y7" s="18">
        <f>'FS Seychelles'!AC8</f>
        <v>151</v>
      </c>
      <c r="Z7" s="18">
        <f>'FS Seychelles'!AD8</f>
        <v>46</v>
      </c>
      <c r="AA7" s="18">
        <f>'FS Seychelles'!AE8</f>
        <v>0</v>
      </c>
      <c r="AB7" s="18">
        <f>('FS Seychelles'!AH14+'FS Seychelles'!AH20)/30</f>
        <v>0</v>
      </c>
    </row>
    <row r="8" spans="1:28">
      <c r="A8" s="1" t="s">
        <v>13</v>
      </c>
      <c r="B8" s="11">
        <f t="shared" si="0"/>
        <v>7</v>
      </c>
      <c r="C8" s="11">
        <v>5</v>
      </c>
      <c r="D8" s="11">
        <v>2021</v>
      </c>
      <c r="E8" s="18">
        <f>'FS Seychelles'!B9</f>
        <v>68.42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0</v>
      </c>
      <c r="P8" s="18">
        <f>'FS Seychelles'!N9</f>
        <v>12118</v>
      </c>
      <c r="Q8" s="18">
        <f>'FS Seychelles'!O9</f>
        <v>4235</v>
      </c>
      <c r="R8" s="18">
        <f>'FS Seychelles'!P9</f>
        <v>0</v>
      </c>
      <c r="S8" s="18">
        <f>'FS Seychelles'!Q9</f>
        <v>4539</v>
      </c>
      <c r="T8" s="18">
        <f>'FS Seychelles'!W9</f>
        <v>5597</v>
      </c>
      <c r="U8" s="18">
        <f>'FS Seychelles'!Y9</f>
        <v>52</v>
      </c>
      <c r="V8" s="18">
        <f>'FS Seychelles'!Z9</f>
        <v>19</v>
      </c>
      <c r="W8" s="18">
        <f>'FS Seychelles'!AA9</f>
        <v>68</v>
      </c>
      <c r="X8" s="18">
        <f>'FS Seychelles'!AB9</f>
        <v>108</v>
      </c>
      <c r="Y8" s="18">
        <f>'FS Seychelles'!AC9</f>
        <v>186</v>
      </c>
      <c r="Z8" s="18">
        <f>'FS Seychelles'!AD9</f>
        <v>86</v>
      </c>
      <c r="AA8" s="18">
        <f>'FS Seychelles'!AE9</f>
        <v>0</v>
      </c>
      <c r="AB8" s="18">
        <f>('FS Seychelles'!AH15+'FS Seychelles'!AH21)/30</f>
        <v>0</v>
      </c>
    </row>
    <row r="9" spans="1:28">
      <c r="A9" s="1" t="s">
        <v>13</v>
      </c>
      <c r="B9" s="11">
        <f t="shared" si="0"/>
        <v>8</v>
      </c>
      <c r="C9" s="11">
        <v>5</v>
      </c>
      <c r="D9" s="11">
        <v>2021</v>
      </c>
      <c r="E9" s="18">
        <f>'FS Seychelles'!B10</f>
        <v>69.73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0</v>
      </c>
      <c r="P9" s="18">
        <f>'FS Seychelles'!N10</f>
        <v>10401</v>
      </c>
      <c r="Q9" s="18">
        <f>'FS Seychelles'!O10</f>
        <v>5213</v>
      </c>
      <c r="R9" s="18">
        <f>'FS Seychelles'!P10</f>
        <v>11081</v>
      </c>
      <c r="S9" s="18">
        <f>'FS Seychelles'!Q10</f>
        <v>3792</v>
      </c>
      <c r="T9" s="18">
        <f>'FS Seychelles'!W10</f>
        <v>8514</v>
      </c>
      <c r="U9" s="18">
        <f>'FS Seychelles'!Y10</f>
        <v>53</v>
      </c>
      <c r="V9" s="18">
        <f>'FS Seychelles'!Z10</f>
        <v>23</v>
      </c>
      <c r="W9" s="18">
        <f>'FS Seychelles'!AA10</f>
        <v>64</v>
      </c>
      <c r="X9" s="18">
        <f>'FS Seychelles'!AB10</f>
        <v>155</v>
      </c>
      <c r="Y9" s="18">
        <f>'FS Seychelles'!AC10</f>
        <v>163</v>
      </c>
      <c r="Z9" s="18">
        <f>'FS Seychelles'!AD10</f>
        <v>128</v>
      </c>
      <c r="AA9" s="18">
        <f>'FS Seychelles'!AE10</f>
        <v>0</v>
      </c>
      <c r="AB9" s="18">
        <f>('FS Seychelles'!AH16+'FS Seychelles'!AH22)/30</f>
        <v>0</v>
      </c>
    </row>
    <row r="10" spans="1:28">
      <c r="A10" s="1" t="s">
        <v>13</v>
      </c>
      <c r="B10" s="11">
        <f t="shared" si="0"/>
        <v>9</v>
      </c>
      <c r="C10" s="11">
        <v>5</v>
      </c>
      <c r="D10" s="11">
        <v>2021</v>
      </c>
      <c r="E10" s="18">
        <f>'FS Seychelles'!B11</f>
        <v>64.47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0</v>
      </c>
      <c r="P10" s="18">
        <f>'FS Seychelles'!N11</f>
        <v>0</v>
      </c>
      <c r="Q10" s="18">
        <f>'FS Seychelles'!O11</f>
        <v>7612</v>
      </c>
      <c r="R10" s="18">
        <f>'FS Seychelles'!P11</f>
        <v>12353</v>
      </c>
      <c r="S10" s="18">
        <f>'FS Seychelles'!Q11</f>
        <v>1206</v>
      </c>
      <c r="T10" s="18">
        <f>'FS Seychelles'!W11</f>
        <v>6940</v>
      </c>
      <c r="U10" s="18">
        <f>'FS Seychelles'!Y11</f>
        <v>49</v>
      </c>
      <c r="V10" s="18">
        <f>'FS Seychelles'!Z11</f>
        <v>27</v>
      </c>
      <c r="W10" s="18">
        <f>'FS Seychelles'!AA11</f>
        <v>54</v>
      </c>
      <c r="X10" s="18">
        <f>'FS Seychelles'!AB11</f>
        <v>83</v>
      </c>
      <c r="Y10" s="18">
        <f>'FS Seychelles'!AC11</f>
        <v>166</v>
      </c>
      <c r="Z10" s="18">
        <f>'FS Seychelles'!AD11</f>
        <v>74</v>
      </c>
      <c r="AA10" s="18">
        <f>'FS Seychelles'!AE11</f>
        <v>0</v>
      </c>
      <c r="AB10" s="18">
        <f>('FS Seychelles'!AH17+'FS Seychelles'!AH23)/30</f>
        <v>0</v>
      </c>
    </row>
    <row r="11" spans="1:28">
      <c r="A11" s="1" t="s">
        <v>13</v>
      </c>
      <c r="B11" s="11">
        <f t="shared" si="0"/>
        <v>10</v>
      </c>
      <c r="C11" s="11">
        <v>5</v>
      </c>
      <c r="D11" s="11">
        <v>2021</v>
      </c>
      <c r="E11" s="18">
        <f>'FS Seychelles'!B12</f>
        <v>44.74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8861</v>
      </c>
      <c r="Q11" s="18">
        <f>'FS Seychelles'!O12</f>
        <v>5932</v>
      </c>
      <c r="R11" s="18">
        <f>'FS Seychelles'!P12</f>
        <v>8844</v>
      </c>
      <c r="S11" s="18">
        <f>'FS Seychelles'!Q12</f>
        <v>5312</v>
      </c>
      <c r="T11" s="18">
        <f>'FS Seychelles'!W12</f>
        <v>7924</v>
      </c>
      <c r="U11" s="18">
        <f>'FS Seychelles'!Y12</f>
        <v>0</v>
      </c>
      <c r="V11" s="18">
        <f>'FS Seychelles'!Z12</f>
        <v>0</v>
      </c>
      <c r="W11" s="18">
        <f>'FS Seychelles'!AA12</f>
        <v>0</v>
      </c>
      <c r="X11" s="18">
        <f>'FS Seychelles'!AB12</f>
        <v>0</v>
      </c>
      <c r="Y11" s="18">
        <f>'FS Seychelles'!AC12</f>
        <v>0</v>
      </c>
      <c r="Z11" s="18">
        <f>'FS Seychelles'!AD12</f>
        <v>0</v>
      </c>
      <c r="AA11" s="18">
        <f>'FS Seychelles'!AE12</f>
        <v>0</v>
      </c>
      <c r="AB11" s="18">
        <f>('FS Seychelles'!AH18+'FS Seychelles'!AH24)/30</f>
        <v>0</v>
      </c>
    </row>
    <row r="12" spans="1:28">
      <c r="A12" s="1" t="s">
        <v>13</v>
      </c>
      <c r="B12" s="11">
        <f t="shared" si="0"/>
        <v>11</v>
      </c>
      <c r="C12" s="11">
        <v>5</v>
      </c>
      <c r="D12" s="11">
        <v>2021</v>
      </c>
      <c r="E12" s="18">
        <f>'FS Seychelles'!B13</f>
        <v>46.05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0</v>
      </c>
      <c r="P12" s="18">
        <f>'FS Seychelles'!N13</f>
        <v>10450</v>
      </c>
      <c r="Q12" s="18">
        <f>'FS Seychelles'!O13</f>
        <v>5287</v>
      </c>
      <c r="R12" s="18">
        <f>'FS Seychelles'!P13</f>
        <v>10291</v>
      </c>
      <c r="S12" s="18">
        <f>'FS Seychelles'!Q13</f>
        <v>4480</v>
      </c>
      <c r="T12" s="18">
        <f>'FS Seychelles'!W13</f>
        <v>8504</v>
      </c>
      <c r="U12" s="18">
        <f>'FS Seychelles'!Y13</f>
        <v>55</v>
      </c>
      <c r="V12" s="18">
        <f>'FS Seychelles'!Z13</f>
        <v>36</v>
      </c>
      <c r="W12" s="18">
        <f>'FS Seychelles'!AA13</f>
        <v>67</v>
      </c>
      <c r="X12" s="18">
        <f>'FS Seychelles'!AB13</f>
        <v>118</v>
      </c>
      <c r="Y12" s="18">
        <f>'FS Seychelles'!AC13</f>
        <v>130</v>
      </c>
      <c r="Z12" s="18">
        <f>'FS Seychelles'!AD13</f>
        <v>52</v>
      </c>
      <c r="AA12" s="18">
        <f>'FS Seychelles'!AE13</f>
        <v>0</v>
      </c>
      <c r="AB12" s="18">
        <f>('FS Seychelles'!AH19+'FS Seychelles'!AH25)/30</f>
        <v>0</v>
      </c>
    </row>
    <row r="13" spans="1:28">
      <c r="A13" s="1" t="s">
        <v>13</v>
      </c>
      <c r="B13" s="11">
        <f t="shared" si="0"/>
        <v>12</v>
      </c>
      <c r="C13" s="11">
        <v>5</v>
      </c>
      <c r="D13" s="11">
        <v>2021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Seychelles'!W14</f>
        <v>0</v>
      </c>
      <c r="U13" s="18">
        <f>'FS Seychelles'!Y14</f>
        <v>0</v>
      </c>
      <c r="V13" s="18">
        <f>'FS Seychelles'!Z14</f>
        <v>0</v>
      </c>
      <c r="W13" s="18">
        <f>'FS Seychelles'!AA14</f>
        <v>0</v>
      </c>
      <c r="X13" s="18">
        <f>'FS Seychelles'!AB14</f>
        <v>0</v>
      </c>
      <c r="Y13" s="18">
        <f>'FS Seychelles'!AC14</f>
        <v>0</v>
      </c>
      <c r="Z13" s="18">
        <f>'FS Seychelles'!AD14</f>
        <v>0</v>
      </c>
      <c r="AA13" s="18">
        <f>'FS Seychelles'!AE14</f>
        <v>0</v>
      </c>
      <c r="AB13" s="18">
        <f>('FS Seychelles'!AH20+'FS Seychelles'!AH26)/30</f>
        <v>0</v>
      </c>
    </row>
    <row r="14" spans="1:28">
      <c r="A14" s="1" t="s">
        <v>13</v>
      </c>
      <c r="B14" s="11">
        <f t="shared" si="0"/>
        <v>13</v>
      </c>
      <c r="C14" s="11">
        <v>5</v>
      </c>
      <c r="D14" s="11">
        <v>2021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Seychelles'!W15</f>
        <v>0</v>
      </c>
      <c r="U14" s="18">
        <f>'FS Seychelles'!Y15</f>
        <v>0</v>
      </c>
      <c r="V14" s="18">
        <f>'FS Seychelles'!Z15</f>
        <v>0</v>
      </c>
      <c r="W14" s="18">
        <f>'FS Seychelles'!AA15</f>
        <v>0</v>
      </c>
      <c r="X14" s="18">
        <f>'FS Seychelles'!AB15</f>
        <v>0</v>
      </c>
      <c r="Y14" s="18">
        <f>'FS Seychelles'!AC15</f>
        <v>0</v>
      </c>
      <c r="Z14" s="18">
        <f>'FS Seychelles'!AD15</f>
        <v>0</v>
      </c>
      <c r="AA14" s="18">
        <f>'FS Seychelles'!AE15</f>
        <v>0</v>
      </c>
      <c r="AB14" s="18">
        <f>('FS Seychelles'!AH21+'FS Seychelles'!AH27)/30</f>
        <v>0</v>
      </c>
    </row>
    <row r="15" spans="1:28">
      <c r="A15" s="1" t="s">
        <v>13</v>
      </c>
      <c r="B15" s="11">
        <f t="shared" si="0"/>
        <v>14</v>
      </c>
      <c r="C15" s="11">
        <v>5</v>
      </c>
      <c r="D15" s="11">
        <v>2021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Seychelles'!W17</f>
        <v>0</v>
      </c>
      <c r="U15" s="18">
        <f>'FS Seychelles'!Y16</f>
        <v>0</v>
      </c>
      <c r="V15" s="18">
        <f>'FS Seychelles'!Z16</f>
        <v>0</v>
      </c>
      <c r="W15" s="18">
        <f>'FS Seychelles'!AA16</f>
        <v>0</v>
      </c>
      <c r="X15" s="18">
        <f>'FS Seychelles'!AB16</f>
        <v>0</v>
      </c>
      <c r="Y15" s="18">
        <f>'FS Seychelles'!AC16</f>
        <v>0</v>
      </c>
      <c r="Z15" s="18">
        <f>'FS Seychelles'!AD16</f>
        <v>0</v>
      </c>
      <c r="AA15" s="18">
        <f>'FS Seychelles'!AE16</f>
        <v>0</v>
      </c>
      <c r="AB15" s="18">
        <f>('FS Seychelles'!AH22+'FS Seychelles'!AH28)/30</f>
        <v>0</v>
      </c>
    </row>
    <row r="16" spans="1:28">
      <c r="A16" s="1" t="s">
        <v>13</v>
      </c>
      <c r="B16" s="11">
        <f t="shared" si="0"/>
        <v>15</v>
      </c>
      <c r="C16" s="11">
        <v>5</v>
      </c>
      <c r="D16" s="11">
        <v>2021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Seychelles'!W18</f>
        <v>0</v>
      </c>
      <c r="U16" s="18">
        <f>'FS Seychelles'!Y17</f>
        <v>0</v>
      </c>
      <c r="V16" s="18">
        <f>'FS Seychelles'!Z17</f>
        <v>0</v>
      </c>
      <c r="W16" s="18">
        <f>'FS Seychelles'!AA17</f>
        <v>0</v>
      </c>
      <c r="X16" s="18">
        <f>'FS Seychelles'!AB17</f>
        <v>0</v>
      </c>
      <c r="Y16" s="18">
        <f>'FS Seychelles'!AC17</f>
        <v>0</v>
      </c>
      <c r="Z16" s="18">
        <f>'FS Seychelles'!AD17</f>
        <v>0</v>
      </c>
      <c r="AA16" s="18">
        <f>'FS Seychelles'!AE17</f>
        <v>0</v>
      </c>
      <c r="AB16" s="18">
        <f>('FS Seychelles'!AH23+'FS Seychelles'!AH29)/30</f>
        <v>0</v>
      </c>
    </row>
    <row r="17" spans="1:28">
      <c r="A17" s="1" t="s">
        <v>13</v>
      </c>
      <c r="B17" s="11">
        <f t="shared" si="0"/>
        <v>16</v>
      </c>
      <c r="C17" s="11">
        <v>5</v>
      </c>
      <c r="D17" s="11">
        <v>2021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Seychelles'!W18</f>
        <v>0</v>
      </c>
      <c r="U17" s="18">
        <f>'FS Seychelles'!Y18</f>
        <v>0</v>
      </c>
      <c r="V17" s="18">
        <f>'FS Seychelles'!Z18</f>
        <v>0</v>
      </c>
      <c r="W17" s="18">
        <f>'FS Seychelles'!AA18</f>
        <v>0</v>
      </c>
      <c r="X17" s="18">
        <f>'FS Seychelles'!AB18</f>
        <v>0</v>
      </c>
      <c r="Y17" s="18">
        <f>'FS Seychelles'!AC18</f>
        <v>0</v>
      </c>
      <c r="Z17" s="18">
        <f>'FS Seychelles'!AD18</f>
        <v>0</v>
      </c>
      <c r="AA17" s="18">
        <f>'FS Seychelles'!AE18</f>
        <v>0</v>
      </c>
      <c r="AB17" s="18">
        <f>('FS Seychelles'!AH24+'FS Seychelles'!AH30)/30</f>
        <v>0</v>
      </c>
    </row>
    <row r="18" spans="1:28">
      <c r="A18" s="1" t="s">
        <v>13</v>
      </c>
      <c r="B18" s="11">
        <f t="shared" si="0"/>
        <v>17</v>
      </c>
      <c r="C18" s="11">
        <v>5</v>
      </c>
      <c r="D18" s="11">
        <v>2021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Seychelles'!W19</f>
        <v>0</v>
      </c>
      <c r="U18" s="18">
        <f>'FS Seychelles'!Y19</f>
        <v>0</v>
      </c>
      <c r="V18" s="18">
        <f>'FS Seychelles'!Z19</f>
        <v>0</v>
      </c>
      <c r="W18" s="18">
        <f>'FS Seychelles'!AA19</f>
        <v>0</v>
      </c>
      <c r="X18" s="18">
        <f>'FS Seychelles'!AB19</f>
        <v>0</v>
      </c>
      <c r="Y18" s="18">
        <f>'FS Seychelles'!AC19</f>
        <v>0</v>
      </c>
      <c r="Z18" s="18">
        <f>'FS Seychelles'!AD19</f>
        <v>0</v>
      </c>
      <c r="AA18" s="18">
        <f>'FS Seychelles'!AE19</f>
        <v>0</v>
      </c>
      <c r="AB18" s="18">
        <f>('FS Seychelles'!AH25+'FS Seychelles'!AH31)/30</f>
        <v>0</v>
      </c>
    </row>
    <row r="19" spans="1:28">
      <c r="A19" s="1" t="s">
        <v>13</v>
      </c>
      <c r="B19" s="11">
        <f t="shared" si="0"/>
        <v>18</v>
      </c>
      <c r="C19" s="11">
        <v>5</v>
      </c>
      <c r="D19" s="11">
        <v>2021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Seychelles'!W20</f>
        <v>0</v>
      </c>
      <c r="U19" s="18">
        <f>'FS Seychelles'!Y20</f>
        <v>0</v>
      </c>
      <c r="V19" s="18">
        <f>'FS Seychelles'!Z20</f>
        <v>0</v>
      </c>
      <c r="W19" s="18">
        <f>'FS Seychelles'!AA20</f>
        <v>0</v>
      </c>
      <c r="X19" s="18">
        <f>'FS Seychelles'!AB20</f>
        <v>0</v>
      </c>
      <c r="Y19" s="18">
        <f>'FS Seychelles'!AC20</f>
        <v>0</v>
      </c>
      <c r="Z19" s="18">
        <f>'FS Seychelles'!AD20</f>
        <v>0</v>
      </c>
      <c r="AA19" s="18">
        <f>'FS Seychelles'!AE20</f>
        <v>0</v>
      </c>
      <c r="AB19" s="18">
        <f>('FS Seychelles'!AH26+'FS Seychelles'!AH32)/30</f>
        <v>0</v>
      </c>
    </row>
    <row r="20" spans="1:28">
      <c r="A20" s="1" t="s">
        <v>13</v>
      </c>
      <c r="B20" s="11">
        <f t="shared" si="0"/>
        <v>19</v>
      </c>
      <c r="C20" s="11">
        <v>5</v>
      </c>
      <c r="D20" s="11">
        <v>2021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Seychelles'!W21</f>
        <v>0</v>
      </c>
      <c r="U20" s="18">
        <f>'FS Seychelles'!Y21</f>
        <v>0</v>
      </c>
      <c r="V20" s="18">
        <f>'FS Seychelles'!Z21</f>
        <v>0</v>
      </c>
      <c r="W20" s="18">
        <f>'FS Seychelles'!AA21</f>
        <v>0</v>
      </c>
      <c r="X20" s="18">
        <f>'FS Seychelles'!AB21</f>
        <v>0</v>
      </c>
      <c r="Y20" s="18">
        <f>'FS Seychelles'!AC21</f>
        <v>0</v>
      </c>
      <c r="Z20" s="18">
        <f>'FS Seychelles'!AD21</f>
        <v>0</v>
      </c>
      <c r="AA20" s="18">
        <f>'FS Seychelles'!AE21</f>
        <v>0</v>
      </c>
      <c r="AB20" s="18">
        <f>('FS Seychelles'!AH27+'FS Seychelles'!AH33)/30</f>
        <v>0</v>
      </c>
    </row>
    <row r="21" spans="1:28">
      <c r="A21" s="1" t="s">
        <v>13</v>
      </c>
      <c r="B21" s="11">
        <f t="shared" si="0"/>
        <v>20</v>
      </c>
      <c r="C21" s="11">
        <v>5</v>
      </c>
      <c r="D21" s="11">
        <v>2021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Seychelles'!W22</f>
        <v>0</v>
      </c>
      <c r="U21" s="18">
        <f>'FS Seychelles'!Y22</f>
        <v>0</v>
      </c>
      <c r="V21" s="18">
        <f>'FS Seychelles'!Z22</f>
        <v>0</v>
      </c>
      <c r="W21" s="18">
        <f>'FS Seychelles'!AA22</f>
        <v>0</v>
      </c>
      <c r="X21" s="18">
        <f>'FS Seychelles'!AB22</f>
        <v>0</v>
      </c>
      <c r="Y21" s="18">
        <f>'FS Seychelles'!AC22</f>
        <v>0</v>
      </c>
      <c r="Z21" s="18">
        <f>'FS Seychelles'!AD22</f>
        <v>0</v>
      </c>
      <c r="AA21" s="18">
        <f>'FS Seychelles'!AE22</f>
        <v>0</v>
      </c>
      <c r="AB21" s="18">
        <f>('FS Seychelles'!AH28+'FS Seychelles'!AH34)/30</f>
        <v>0</v>
      </c>
    </row>
    <row r="22" spans="1:28">
      <c r="A22" s="1" t="s">
        <v>13</v>
      </c>
      <c r="B22" s="11">
        <f t="shared" si="0"/>
        <v>21</v>
      </c>
      <c r="C22" s="11">
        <v>5</v>
      </c>
      <c r="D22" s="11">
        <v>2021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Seychelles'!W23</f>
        <v>0</v>
      </c>
      <c r="U22" s="18">
        <f>'FS Seychelles'!Y23</f>
        <v>0</v>
      </c>
      <c r="V22" s="18">
        <f>'FS Seychelles'!Z23</f>
        <v>0</v>
      </c>
      <c r="W22" s="18">
        <f>'FS Seychelles'!AA23</f>
        <v>0</v>
      </c>
      <c r="X22" s="18">
        <f>'FS Seychelles'!AB23</f>
        <v>0</v>
      </c>
      <c r="Y22" s="18">
        <f>'FS Seychelles'!AC23</f>
        <v>0</v>
      </c>
      <c r="Z22" s="18">
        <f>'FS Seychelles'!AD23</f>
        <v>0</v>
      </c>
      <c r="AA22" s="18">
        <f>'FS Seychelles'!AE23</f>
        <v>0</v>
      </c>
      <c r="AB22" s="18" t="e">
        <f>('FS Seychelles'!AH29+'FS Seychelles'!#REF!)/30</f>
        <v>#REF!</v>
      </c>
    </row>
    <row r="23" spans="1:28">
      <c r="A23" s="1" t="s">
        <v>13</v>
      </c>
      <c r="B23" s="11">
        <f t="shared" si="0"/>
        <v>22</v>
      </c>
      <c r="C23" s="11">
        <v>5</v>
      </c>
      <c r="D23" s="11">
        <v>2021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Seychelles'!W24</f>
        <v>0</v>
      </c>
      <c r="U23" s="18">
        <f>'FS Seychelles'!Y24</f>
        <v>0</v>
      </c>
      <c r="V23" s="18">
        <f>'FS Seychelles'!Z24</f>
        <v>0</v>
      </c>
      <c r="W23" s="18">
        <f>'FS Seychelles'!AA24</f>
        <v>0</v>
      </c>
      <c r="X23" s="18">
        <f>'FS Seychelles'!AB24</f>
        <v>0</v>
      </c>
      <c r="Y23" s="18">
        <f>'FS Seychelles'!AC24</f>
        <v>0</v>
      </c>
      <c r="Z23" s="18">
        <f>'FS Seychelles'!AD24</f>
        <v>0</v>
      </c>
      <c r="AA23" s="18">
        <f>'FS Seychelles'!AE24</f>
        <v>0</v>
      </c>
      <c r="AB23" s="18" t="e">
        <f>('FS Seychelles'!AH30+'FS Seychelles'!#REF!)/30</f>
        <v>#REF!</v>
      </c>
    </row>
    <row r="24" spans="1:28">
      <c r="A24" s="1" t="s">
        <v>13</v>
      </c>
      <c r="B24" s="11">
        <f t="shared" si="0"/>
        <v>23</v>
      </c>
      <c r="C24" s="11">
        <v>5</v>
      </c>
      <c r="D24" s="11">
        <v>2021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Seychelles'!W25</f>
        <v>0</v>
      </c>
      <c r="U24" s="18">
        <f>'FS Seychelles'!Y25</f>
        <v>0</v>
      </c>
      <c r="V24" s="18">
        <f>'FS Seychelles'!Z25</f>
        <v>0</v>
      </c>
      <c r="W24" s="18">
        <f>'FS Seychelles'!AA25</f>
        <v>0</v>
      </c>
      <c r="X24" s="18">
        <f>'FS Seychelles'!AB25</f>
        <v>0</v>
      </c>
      <c r="Y24" s="18">
        <f>'FS Seychelles'!AC25</f>
        <v>0</v>
      </c>
      <c r="Z24" s="18">
        <f>'FS Seychelles'!AD25</f>
        <v>0</v>
      </c>
      <c r="AA24" s="18">
        <f>'FS Seychelles'!AE25</f>
        <v>0</v>
      </c>
      <c r="AB24" s="18" t="e">
        <f>('FS Seychelles'!AH31+'FS Seychelles'!#REF!)/30</f>
        <v>#REF!</v>
      </c>
    </row>
    <row r="25" spans="1:28">
      <c r="A25" s="1" t="s">
        <v>13</v>
      </c>
      <c r="B25" s="11">
        <f t="shared" si="0"/>
        <v>24</v>
      </c>
      <c r="C25" s="11">
        <v>5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Seychelles'!W26</f>
        <v>0</v>
      </c>
      <c r="U25" s="18">
        <f>'FS Seychelles'!Y26</f>
        <v>0</v>
      </c>
      <c r="V25" s="18">
        <f>'FS Seychelles'!Z26</f>
        <v>0</v>
      </c>
      <c r="W25" s="18">
        <f>'FS Seychelles'!AA26</f>
        <v>0</v>
      </c>
      <c r="X25" s="18">
        <f>'FS Seychelles'!AB26</f>
        <v>0</v>
      </c>
      <c r="Y25" s="18">
        <f>'FS Seychelles'!AC26</f>
        <v>0</v>
      </c>
      <c r="Z25" s="18">
        <f>'FS Seychelles'!AD26</f>
        <v>0</v>
      </c>
      <c r="AA25" s="18">
        <f>'FS Seychelles'!AE26</f>
        <v>0</v>
      </c>
      <c r="AB25" s="18" t="e">
        <f>('FS Seychelles'!AH32+'FS Seychelles'!#REF!)/30</f>
        <v>#REF!</v>
      </c>
    </row>
    <row r="26" spans="1:28">
      <c r="A26" s="1" t="s">
        <v>13</v>
      </c>
      <c r="B26" s="11">
        <f>B25+1</f>
        <v>25</v>
      </c>
      <c r="C26" s="11">
        <v>5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Seychelles'!W27</f>
        <v>0</v>
      </c>
      <c r="U26" s="18">
        <f>'FS Seychelles'!Y27</f>
        <v>0</v>
      </c>
      <c r="V26" s="18">
        <f>'FS Seychelles'!Z27</f>
        <v>0</v>
      </c>
      <c r="W26" s="18">
        <f>'FS Seychelles'!AA27</f>
        <v>0</v>
      </c>
      <c r="X26" s="18">
        <f>'FS Seychelles'!AB27</f>
        <v>0</v>
      </c>
      <c r="Y26" s="18">
        <f>'FS Seychelles'!AC27</f>
        <v>0</v>
      </c>
      <c r="Z26" s="18">
        <f>'FS Seychelles'!AD27</f>
        <v>0</v>
      </c>
      <c r="AA26" s="18">
        <f>'FS Seychelles'!AE27</f>
        <v>0</v>
      </c>
      <c r="AB26" s="18" t="e">
        <f>('FS Seychelles'!AH33+'FS Seychelles'!#REF!)/30</f>
        <v>#REF!</v>
      </c>
    </row>
    <row r="27" spans="1:28">
      <c r="A27" s="1" t="s">
        <v>13</v>
      </c>
      <c r="B27" s="11">
        <f t="shared" si="0"/>
        <v>26</v>
      </c>
      <c r="C27" s="11">
        <v>5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Seychelles'!W28</f>
        <v>0</v>
      </c>
      <c r="U27" s="18">
        <f>'FS Seychelles'!Y28</f>
        <v>0</v>
      </c>
      <c r="V27" s="18">
        <f>'FS Seychelles'!Z28</f>
        <v>0</v>
      </c>
      <c r="W27" s="18">
        <f>'FS Seychelles'!AA28</f>
        <v>0</v>
      </c>
      <c r="X27" s="18">
        <f>'FS Seychelles'!AB28</f>
        <v>0</v>
      </c>
      <c r="Y27" s="18">
        <f>'FS Seychelles'!AC28</f>
        <v>0</v>
      </c>
      <c r="Z27" s="18">
        <f>'FS Seychelles'!AD28</f>
        <v>0</v>
      </c>
      <c r="AA27" s="18">
        <f>'FS Seychelles'!AE28</f>
        <v>0</v>
      </c>
      <c r="AB27" s="18" t="e">
        <f>('FS Seychelles'!AH34+'FS Seychelles'!#REF!)/30</f>
        <v>#REF!</v>
      </c>
    </row>
    <row r="28" spans="1:28">
      <c r="A28" s="1" t="s">
        <v>13</v>
      </c>
      <c r="B28" s="11">
        <f t="shared" si="0"/>
        <v>27</v>
      </c>
      <c r="C28" s="11">
        <v>5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Seychelles'!W29</f>
        <v>0</v>
      </c>
      <c r="U28" s="18">
        <f>'FS Seychelles'!Y29</f>
        <v>0</v>
      </c>
      <c r="V28" s="18">
        <f>'FS Seychelles'!Z29</f>
        <v>0</v>
      </c>
      <c r="W28" s="18">
        <f>'FS Seychelles'!AA29</f>
        <v>0</v>
      </c>
      <c r="X28" s="18">
        <f>'FS Seychelles'!AB29</f>
        <v>0</v>
      </c>
      <c r="Y28" s="18">
        <f>'FS Seychelles'!AC29</f>
        <v>0</v>
      </c>
      <c r="Z28" s="18">
        <f>'FS Seychelles'!AD29</f>
        <v>0</v>
      </c>
      <c r="AA28" s="18">
        <f>'FS Seychelles'!AE29</f>
        <v>0</v>
      </c>
      <c r="AB28" s="18" t="e">
        <f>('FS Seychelles'!#REF!+'FS Seychelles'!AH35)/30</f>
        <v>#REF!</v>
      </c>
    </row>
    <row r="29" spans="1:28">
      <c r="A29" s="1" t="s">
        <v>13</v>
      </c>
      <c r="B29" s="11">
        <f t="shared" si="0"/>
        <v>28</v>
      </c>
      <c r="C29" s="11">
        <v>5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Seychelles'!W30</f>
        <v>0</v>
      </c>
      <c r="U29" s="18">
        <f>'FS Seychelles'!Y30</f>
        <v>0</v>
      </c>
      <c r="V29" s="18">
        <f>'FS Seychelles'!Z30</f>
        <v>0</v>
      </c>
      <c r="W29" s="18">
        <f>'FS Seychelles'!AA30</f>
        <v>0</v>
      </c>
      <c r="X29" s="18">
        <f>'FS Seychelles'!AB30</f>
        <v>0</v>
      </c>
      <c r="Y29" s="18">
        <f>'FS Seychelles'!AC30</f>
        <v>0</v>
      </c>
      <c r="Z29" s="18">
        <f>'FS Seychelles'!AD30</f>
        <v>0</v>
      </c>
      <c r="AA29" s="18">
        <f>'FS Seychelles'!AE30</f>
        <v>0</v>
      </c>
      <c r="AB29" s="18" t="e">
        <f>('FS Seychelles'!#REF!+'FS Seychelles'!AH36)/30</f>
        <v>#REF!</v>
      </c>
    </row>
    <row r="30" spans="1:28">
      <c r="A30" s="1" t="s">
        <v>13</v>
      </c>
      <c r="B30" s="11">
        <f t="shared" si="0"/>
        <v>29</v>
      </c>
      <c r="C30" s="11">
        <v>5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Seychelles'!W31</f>
        <v>0</v>
      </c>
      <c r="U30" s="18">
        <f>'FS Seychelles'!Y31</f>
        <v>0</v>
      </c>
      <c r="V30" s="18">
        <f>'FS Seychelles'!Z31</f>
        <v>0</v>
      </c>
      <c r="W30" s="18">
        <f>'FS Seychelles'!AA31</f>
        <v>0</v>
      </c>
      <c r="X30" s="18">
        <f>'FS Seychelles'!AB31</f>
        <v>0</v>
      </c>
      <c r="Y30" s="18">
        <f>'FS Seychelles'!AC31</f>
        <v>0</v>
      </c>
      <c r="Z30" s="18">
        <f>'FS Seychelles'!AD31</f>
        <v>0</v>
      </c>
      <c r="AA30" s="18">
        <f>'FS Seychelles'!AE31</f>
        <v>0</v>
      </c>
      <c r="AB30" s="18" t="e">
        <f>('FS Seychelles'!#REF!+'FS Seychelles'!AH37)/30</f>
        <v>#REF!</v>
      </c>
    </row>
    <row r="31" spans="1:28">
      <c r="A31" s="1" t="s">
        <v>13</v>
      </c>
      <c r="B31" s="11">
        <f t="shared" si="0"/>
        <v>30</v>
      </c>
      <c r="C31" s="11">
        <v>5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Seychelles'!W32</f>
        <v>0</v>
      </c>
      <c r="U31" s="18">
        <f>'FS Seychelles'!Y32</f>
        <v>0</v>
      </c>
      <c r="V31" s="18">
        <f>'FS Seychelles'!Z32</f>
        <v>0</v>
      </c>
      <c r="W31" s="18">
        <f>'FS Seychelles'!AA32</f>
        <v>0</v>
      </c>
      <c r="X31" s="18">
        <f>'FS Seychelles'!AB32</f>
        <v>0</v>
      </c>
      <c r="Y31" s="18">
        <f>'FS Seychelles'!AC32</f>
        <v>0</v>
      </c>
      <c r="Z31" s="18">
        <f>'FS Seychelles'!AD32</f>
        <v>0</v>
      </c>
      <c r="AA31" s="18">
        <f>'FS Seychelles'!AE32</f>
        <v>0</v>
      </c>
      <c r="AB31" s="18" t="e">
        <f>('FS Seychelles'!#REF!+'FS Seychelles'!AH38)/30</f>
        <v>#REF!</v>
      </c>
    </row>
    <row r="32" spans="1:28">
      <c r="A32" s="1" t="s">
        <v>13</v>
      </c>
      <c r="B32" s="11">
        <f t="shared" si="0"/>
        <v>31</v>
      </c>
      <c r="C32" s="11">
        <v>5</v>
      </c>
      <c r="D32" s="11">
        <v>2021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Seychelles'!W33</f>
        <v>0</v>
      </c>
      <c r="U32" s="18">
        <f>'FS Seychelles'!Y33</f>
        <v>0</v>
      </c>
      <c r="V32" s="18">
        <f>'FS Seychelles'!Z33</f>
        <v>0</v>
      </c>
      <c r="W32" s="18">
        <f>'FS Seychelles'!AA33</f>
        <v>0</v>
      </c>
      <c r="X32" s="18">
        <f>'FS Seychelles'!AB33</f>
        <v>0</v>
      </c>
      <c r="Y32" s="18">
        <f>'FS Seychelles'!AC33</f>
        <v>0</v>
      </c>
      <c r="Z32" s="18">
        <f>'FS Seychelles'!AD33</f>
        <v>0</v>
      </c>
      <c r="AA32" s="18">
        <f>'FS Seychelles'!AE33</f>
        <v>0</v>
      </c>
      <c r="AB32" s="18" t="e">
        <f>('FS Seychelles'!#REF!+'FS Seychelles'!AH39)/30</f>
        <v>#REF!</v>
      </c>
    </row>
    <row r="33" spans="15:18">
      <c r="O33" s="18">
        <f>SUM(O2:O32)</f>
        <v>0</v>
      </c>
      <c r="P33" s="18">
        <f>SUM(P2:P32)</f>
        <v>94596</v>
      </c>
      <c r="Q33" s="18">
        <f>SUM(Q2:Q32)</f>
        <v>74774</v>
      </c>
      <c r="R33" s="18">
        <f>SUM(R2:R32)</f>
        <v>108127</v>
      </c>
    </row>
    <row r="35" spans="15:18">
      <c r="R35" s="18">
        <f>SUM(O33:R33)</f>
        <v>277497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5"/>
  <sheetViews>
    <sheetView tabSelected="1" zoomScaleNormal="100" workbookViewId="0">
      <pane xSplit="1" topLeftCell="M1" activePane="topRight" state="frozen"/>
      <selection pane="topRight" activeCell="W13" sqref="W13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1"/>
    <col min="10" max="10" width="12.85546875" style="41" customWidth="1"/>
    <col min="11" max="11" width="9.140625" style="41"/>
    <col min="12" max="12" width="10.7109375" style="41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22" width="11.7109375" style="19" customWidth="1"/>
    <col min="23" max="24" width="12" style="19" customWidth="1"/>
    <col min="25" max="26" width="10.7109375" style="19" customWidth="1"/>
    <col min="27" max="27" width="9.42578125" style="19" bestFit="1" customWidth="1"/>
    <col min="28" max="28" width="9.140625" style="19"/>
    <col min="29" max="29" width="8.140625" style="19" customWidth="1"/>
    <col min="30" max="30" width="9.140625" style="19"/>
    <col min="31" max="31" width="11.85546875" style="19" customWidth="1"/>
    <col min="32" max="32" width="13.5703125" style="37" customWidth="1"/>
    <col min="33" max="34" width="9.140625" style="37"/>
    <col min="35" max="16384" width="9.140625" style="19"/>
  </cols>
  <sheetData>
    <row r="1" spans="1:34">
      <c r="D1" s="99"/>
      <c r="E1" s="99"/>
      <c r="F1" s="99"/>
      <c r="G1" s="99"/>
      <c r="H1" s="99"/>
      <c r="I1" s="99"/>
      <c r="J1" s="99"/>
      <c r="K1" s="99"/>
      <c r="L1" s="99"/>
    </row>
    <row r="2" spans="1:34" s="23" customFormat="1" ht="31.5" customHeight="1">
      <c r="A2" s="32" t="s">
        <v>38</v>
      </c>
      <c r="B2" s="63" t="s">
        <v>39</v>
      </c>
      <c r="C2" s="91" t="s">
        <v>40</v>
      </c>
      <c r="D2" s="64" t="s">
        <v>41</v>
      </c>
      <c r="E2" s="65" t="s">
        <v>42</v>
      </c>
      <c r="F2" s="65" t="s">
        <v>43</v>
      </c>
      <c r="G2" s="65" t="s">
        <v>44</v>
      </c>
      <c r="H2" s="65" t="s">
        <v>45</v>
      </c>
      <c r="I2" s="65" t="s">
        <v>46</v>
      </c>
      <c r="J2" s="65" t="s">
        <v>47</v>
      </c>
      <c r="K2" s="65" t="s">
        <v>48</v>
      </c>
      <c r="L2" s="65" t="s">
        <v>49</v>
      </c>
      <c r="M2" s="79" t="s">
        <v>50</v>
      </c>
      <c r="N2" s="43" t="s">
        <v>51</v>
      </c>
      <c r="O2" s="43" t="s">
        <v>52</v>
      </c>
      <c r="P2" s="43" t="s">
        <v>53</v>
      </c>
      <c r="Q2" s="43" t="s">
        <v>54</v>
      </c>
      <c r="R2" s="87" t="s">
        <v>55</v>
      </c>
      <c r="S2" s="87" t="s">
        <v>56</v>
      </c>
      <c r="T2" s="87" t="s">
        <v>57</v>
      </c>
      <c r="U2" s="87" t="s">
        <v>58</v>
      </c>
      <c r="V2" s="87" t="s">
        <v>59</v>
      </c>
      <c r="W2" s="44" t="s">
        <v>60</v>
      </c>
      <c r="X2" s="44" t="s">
        <v>61</v>
      </c>
      <c r="Y2" s="42" t="s">
        <v>62</v>
      </c>
      <c r="Z2" s="42" t="s">
        <v>63</v>
      </c>
      <c r="AA2" s="42" t="s">
        <v>64</v>
      </c>
      <c r="AB2" s="42" t="s">
        <v>65</v>
      </c>
      <c r="AC2" s="42" t="s">
        <v>66</v>
      </c>
      <c r="AD2" s="42" t="s">
        <v>67</v>
      </c>
      <c r="AE2" s="45" t="s">
        <v>68</v>
      </c>
      <c r="AF2" s="101" t="s">
        <v>37</v>
      </c>
      <c r="AG2" s="101"/>
      <c r="AH2" s="101"/>
    </row>
    <row r="3" spans="1:34" ht="15" customHeight="1">
      <c r="A3" s="61">
        <v>44317</v>
      </c>
      <c r="B3" s="78">
        <v>45</v>
      </c>
      <c r="C3" s="78"/>
      <c r="D3" s="83"/>
      <c r="E3" s="77"/>
      <c r="F3" s="77"/>
      <c r="G3" s="77"/>
      <c r="H3" s="77"/>
      <c r="I3" s="77"/>
      <c r="J3" s="77"/>
      <c r="K3" s="77"/>
      <c r="L3" s="77"/>
      <c r="M3" s="74">
        <v>0</v>
      </c>
      <c r="N3" s="62">
        <v>6868</v>
      </c>
      <c r="O3" s="33">
        <v>7735</v>
      </c>
      <c r="P3" s="33">
        <v>11302</v>
      </c>
      <c r="Q3" s="33">
        <v>9171</v>
      </c>
      <c r="R3" s="88">
        <v>0</v>
      </c>
      <c r="S3" s="88">
        <v>1626</v>
      </c>
      <c r="T3" s="88">
        <v>1998</v>
      </c>
      <c r="U3" s="88">
        <v>3337</v>
      </c>
      <c r="V3" s="88">
        <v>2317</v>
      </c>
      <c r="W3" s="21">
        <f t="shared" ref="W3:W33" si="0">SUM(R3:V3)</f>
        <v>9278</v>
      </c>
      <c r="X3" s="21">
        <f>17.54*0.055</f>
        <v>0.9647</v>
      </c>
      <c r="Y3" s="31">
        <v>51</v>
      </c>
      <c r="Z3" s="20">
        <v>47</v>
      </c>
      <c r="AA3" s="20">
        <v>38</v>
      </c>
      <c r="AB3" s="20">
        <v>77</v>
      </c>
      <c r="AC3" s="20">
        <v>144</v>
      </c>
      <c r="AD3" s="31">
        <v>4</v>
      </c>
      <c r="AE3" s="36">
        <v>0</v>
      </c>
      <c r="AF3" s="102" t="s">
        <v>69</v>
      </c>
      <c r="AG3" s="102"/>
      <c r="AH3" s="102"/>
    </row>
    <row r="4" spans="1:34" ht="16.5" customHeight="1">
      <c r="A4" s="61">
        <v>44318</v>
      </c>
      <c r="B4" s="78">
        <v>55.26</v>
      </c>
      <c r="C4" s="78"/>
      <c r="D4" s="83"/>
      <c r="E4" s="77"/>
      <c r="F4" s="77"/>
      <c r="G4" s="77"/>
      <c r="H4" s="77"/>
      <c r="I4" s="77"/>
      <c r="J4" s="77"/>
      <c r="K4" s="77"/>
      <c r="L4" s="77"/>
      <c r="M4" s="75">
        <v>0</v>
      </c>
      <c r="N4" s="62">
        <v>9662</v>
      </c>
      <c r="O4" s="33">
        <v>6534</v>
      </c>
      <c r="P4" s="33">
        <v>16187</v>
      </c>
      <c r="Q4" s="33">
        <v>0</v>
      </c>
      <c r="R4" s="88">
        <v>0</v>
      </c>
      <c r="S4" s="88">
        <v>2512</v>
      </c>
      <c r="T4" s="88">
        <v>1835</v>
      </c>
      <c r="U4" s="88">
        <v>4782</v>
      </c>
      <c r="V4" s="88">
        <v>0</v>
      </c>
      <c r="W4" s="21">
        <f t="shared" si="0"/>
        <v>9129</v>
      </c>
      <c r="X4" s="21">
        <f t="shared" ref="X4:Y14" si="1">17.54*0.055</f>
        <v>0.9647</v>
      </c>
      <c r="Y4" s="31">
        <v>54</v>
      </c>
      <c r="Z4" s="20">
        <v>26</v>
      </c>
      <c r="AA4" s="20">
        <v>73</v>
      </c>
      <c r="AB4" s="20">
        <v>101</v>
      </c>
      <c r="AC4" s="20">
        <v>147</v>
      </c>
      <c r="AD4" s="31">
        <v>4</v>
      </c>
      <c r="AE4" s="36">
        <v>0</v>
      </c>
      <c r="AF4" s="34" t="s">
        <v>70</v>
      </c>
      <c r="AG4" s="40" t="s">
        <v>71</v>
      </c>
      <c r="AH4" s="34" t="s">
        <v>72</v>
      </c>
    </row>
    <row r="5" spans="1:34" ht="15">
      <c r="A5" s="61">
        <v>44319</v>
      </c>
      <c r="B5" s="78">
        <v>52.63</v>
      </c>
      <c r="C5" s="78"/>
      <c r="D5" s="83"/>
      <c r="E5" s="77"/>
      <c r="F5" s="77"/>
      <c r="G5" s="77"/>
      <c r="H5" s="77"/>
      <c r="I5" s="77"/>
      <c r="J5" s="77"/>
      <c r="K5" s="77"/>
      <c r="L5" s="77"/>
      <c r="M5" s="74">
        <v>0</v>
      </c>
      <c r="N5" s="62">
        <v>9674</v>
      </c>
      <c r="O5" s="33">
        <v>6545</v>
      </c>
      <c r="P5" s="33">
        <v>9089</v>
      </c>
      <c r="Q5" s="33">
        <v>8865</v>
      </c>
      <c r="R5" s="88">
        <v>0</v>
      </c>
      <c r="S5" s="88">
        <v>2565</v>
      </c>
      <c r="T5" s="88">
        <v>1764</v>
      </c>
      <c r="U5" s="88">
        <v>2689</v>
      </c>
      <c r="V5" s="88">
        <v>2504</v>
      </c>
      <c r="W5" s="21">
        <f>SUM(R5:V5)</f>
        <v>9522</v>
      </c>
      <c r="X5" s="21">
        <f t="shared" si="1"/>
        <v>0.9647</v>
      </c>
      <c r="Y5" s="31">
        <v>55</v>
      </c>
      <c r="Z5" s="20">
        <v>20</v>
      </c>
      <c r="AA5" s="20">
        <v>57</v>
      </c>
      <c r="AB5" s="20">
        <v>87</v>
      </c>
      <c r="AC5" s="20">
        <v>129</v>
      </c>
      <c r="AD5" s="20">
        <v>3</v>
      </c>
      <c r="AE5" s="36">
        <v>0</v>
      </c>
      <c r="AF5" s="35">
        <v>4.5</v>
      </c>
      <c r="AG5" s="38"/>
      <c r="AH5" s="35"/>
    </row>
    <row r="6" spans="1:34" ht="15">
      <c r="A6" s="61">
        <v>44320</v>
      </c>
      <c r="B6" s="78">
        <v>60.53</v>
      </c>
      <c r="C6" s="78"/>
      <c r="D6" s="83"/>
      <c r="E6" s="77"/>
      <c r="F6" s="77"/>
      <c r="G6" s="77"/>
      <c r="H6" s="77"/>
      <c r="I6" s="77"/>
      <c r="J6" s="77"/>
      <c r="K6" s="77"/>
      <c r="L6" s="77"/>
      <c r="M6" s="74">
        <v>0</v>
      </c>
      <c r="N6" s="62">
        <v>5980</v>
      </c>
      <c r="O6" s="33">
        <v>11921</v>
      </c>
      <c r="P6" s="33">
        <v>7636</v>
      </c>
      <c r="Q6" s="33">
        <v>0</v>
      </c>
      <c r="R6" s="88">
        <v>0</v>
      </c>
      <c r="S6" s="88">
        <v>1576</v>
      </c>
      <c r="T6" s="88">
        <v>3208</v>
      </c>
      <c r="U6" s="88">
        <v>2305</v>
      </c>
      <c r="V6" s="88">
        <v>0</v>
      </c>
      <c r="W6" s="21">
        <f t="shared" si="0"/>
        <v>7089</v>
      </c>
      <c r="X6" s="21">
        <f t="shared" si="1"/>
        <v>0.9647</v>
      </c>
      <c r="Y6" s="31">
        <v>53</v>
      </c>
      <c r="Z6" s="20">
        <v>31</v>
      </c>
      <c r="AA6" s="20">
        <v>106</v>
      </c>
      <c r="AB6" s="20">
        <v>97</v>
      </c>
      <c r="AC6" s="20">
        <v>172</v>
      </c>
      <c r="AD6" s="20">
        <v>62</v>
      </c>
      <c r="AE6" s="36">
        <v>0</v>
      </c>
      <c r="AF6" s="35">
        <v>9</v>
      </c>
      <c r="AG6" s="38"/>
      <c r="AH6" s="35"/>
    </row>
    <row r="7" spans="1:34" ht="15">
      <c r="A7" s="61">
        <v>44321</v>
      </c>
      <c r="B7" s="78">
        <v>57.89</v>
      </c>
      <c r="C7" s="78"/>
      <c r="D7" s="83"/>
      <c r="E7" s="77"/>
      <c r="F7" s="77"/>
      <c r="G7" s="77"/>
      <c r="H7" s="77"/>
      <c r="I7" s="77"/>
      <c r="J7" s="77"/>
      <c r="K7" s="77"/>
      <c r="L7" s="77"/>
      <c r="M7" s="74">
        <v>0</v>
      </c>
      <c r="N7" s="62">
        <v>9975</v>
      </c>
      <c r="O7" s="33">
        <v>4629</v>
      </c>
      <c r="P7" s="33">
        <v>8474</v>
      </c>
      <c r="Q7" s="33">
        <v>8412</v>
      </c>
      <c r="R7" s="88">
        <v>0</v>
      </c>
      <c r="S7" s="88">
        <v>2673</v>
      </c>
      <c r="T7" s="88">
        <v>1244</v>
      </c>
      <c r="U7" s="88">
        <v>2573</v>
      </c>
      <c r="V7" s="88">
        <v>2340</v>
      </c>
      <c r="W7" s="21">
        <f t="shared" si="0"/>
        <v>8830</v>
      </c>
      <c r="X7" s="21">
        <f t="shared" si="1"/>
        <v>0.9647</v>
      </c>
      <c r="Y7" s="31">
        <v>57</v>
      </c>
      <c r="Z7" s="20">
        <v>64</v>
      </c>
      <c r="AA7" s="20">
        <v>72</v>
      </c>
      <c r="AB7" s="20">
        <v>97</v>
      </c>
      <c r="AC7" s="20">
        <v>144</v>
      </c>
      <c r="AD7" s="48">
        <v>91</v>
      </c>
      <c r="AE7" s="36">
        <v>0</v>
      </c>
      <c r="AF7" s="35">
        <v>5</v>
      </c>
      <c r="AG7" s="68"/>
      <c r="AH7" s="35"/>
    </row>
    <row r="8" spans="1:34" ht="15">
      <c r="A8" s="61">
        <v>44322</v>
      </c>
      <c r="B8" s="78">
        <v>61.84</v>
      </c>
      <c r="C8" s="78"/>
      <c r="D8" s="83"/>
      <c r="E8" s="77"/>
      <c r="F8" s="77"/>
      <c r="G8" s="77"/>
      <c r="H8" s="77"/>
      <c r="I8" s="77"/>
      <c r="J8" s="77"/>
      <c r="K8" s="77"/>
      <c r="L8" s="77"/>
      <c r="M8" s="74">
        <v>0</v>
      </c>
      <c r="N8" s="62">
        <v>10607</v>
      </c>
      <c r="O8" s="33">
        <v>9131</v>
      </c>
      <c r="P8" s="33">
        <v>12870</v>
      </c>
      <c r="Q8" s="33">
        <v>11910</v>
      </c>
      <c r="R8" s="88">
        <v>0</v>
      </c>
      <c r="S8" s="88">
        <v>2734</v>
      </c>
      <c r="T8" s="88">
        <v>2436</v>
      </c>
      <c r="U8" s="88">
        <v>3827</v>
      </c>
      <c r="V8" s="88">
        <v>3216</v>
      </c>
      <c r="W8" s="21">
        <f t="shared" si="0"/>
        <v>12213</v>
      </c>
      <c r="X8" s="21">
        <f t="shared" si="1"/>
        <v>0.9647</v>
      </c>
      <c r="Y8" s="48">
        <v>58</v>
      </c>
      <c r="Z8" s="48">
        <v>22</v>
      </c>
      <c r="AA8" s="48">
        <v>78</v>
      </c>
      <c r="AB8" s="48">
        <v>123</v>
      </c>
      <c r="AC8" s="48">
        <v>151</v>
      </c>
      <c r="AD8" s="48">
        <v>46</v>
      </c>
      <c r="AE8" s="36">
        <v>0</v>
      </c>
      <c r="AF8" s="70">
        <v>20</v>
      </c>
      <c r="AG8" s="69"/>
      <c r="AH8" s="35"/>
    </row>
    <row r="9" spans="1:34" ht="15" customHeight="1">
      <c r="A9" s="61">
        <v>44323</v>
      </c>
      <c r="B9" s="78">
        <v>68.42</v>
      </c>
      <c r="C9" s="78"/>
      <c r="D9" s="83"/>
      <c r="E9" s="77"/>
      <c r="F9" s="77"/>
      <c r="G9" s="77"/>
      <c r="H9" s="77"/>
      <c r="I9" s="77"/>
      <c r="J9" s="77"/>
      <c r="K9" s="77"/>
      <c r="L9" s="77"/>
      <c r="M9" s="74">
        <v>0</v>
      </c>
      <c r="N9" s="62">
        <v>12118</v>
      </c>
      <c r="O9" s="33">
        <v>4235</v>
      </c>
      <c r="P9" s="33">
        <v>0</v>
      </c>
      <c r="Q9" s="33">
        <v>4539</v>
      </c>
      <c r="R9" s="88">
        <v>0</v>
      </c>
      <c r="S9" s="88">
        <v>3215</v>
      </c>
      <c r="T9" s="88">
        <v>1128</v>
      </c>
      <c r="U9" s="88">
        <v>0</v>
      </c>
      <c r="V9" s="88">
        <v>1254</v>
      </c>
      <c r="W9" s="21">
        <f t="shared" si="0"/>
        <v>5597</v>
      </c>
      <c r="X9" s="21">
        <f t="shared" si="1"/>
        <v>0.9647</v>
      </c>
      <c r="Y9" s="31">
        <v>52</v>
      </c>
      <c r="Z9" s="20">
        <v>19</v>
      </c>
      <c r="AA9" s="20">
        <v>68</v>
      </c>
      <c r="AB9" s="20">
        <v>108</v>
      </c>
      <c r="AC9" s="20">
        <v>186</v>
      </c>
      <c r="AD9" s="31">
        <v>86</v>
      </c>
      <c r="AE9" s="36">
        <v>0</v>
      </c>
      <c r="AF9" s="71">
        <v>10</v>
      </c>
      <c r="AG9" s="69"/>
      <c r="AH9" s="35"/>
    </row>
    <row r="10" spans="1:34" ht="15.75" customHeight="1">
      <c r="A10" s="61">
        <v>44324</v>
      </c>
      <c r="B10" s="78">
        <v>69.73</v>
      </c>
      <c r="C10" s="78"/>
      <c r="D10" s="83"/>
      <c r="E10" s="77"/>
      <c r="F10" s="77"/>
      <c r="G10" s="77"/>
      <c r="H10" s="77"/>
      <c r="I10" s="77"/>
      <c r="J10" s="77"/>
      <c r="K10" s="77"/>
      <c r="L10" s="77"/>
      <c r="M10" s="74">
        <v>0</v>
      </c>
      <c r="N10" s="62">
        <v>10401</v>
      </c>
      <c r="O10" s="33">
        <v>5213</v>
      </c>
      <c r="P10" s="33">
        <v>11081</v>
      </c>
      <c r="Q10" s="33">
        <v>3792</v>
      </c>
      <c r="R10" s="88">
        <v>0</v>
      </c>
      <c r="S10" s="88">
        <v>2719</v>
      </c>
      <c r="T10" s="88">
        <v>1392</v>
      </c>
      <c r="U10" s="88">
        <v>3333</v>
      </c>
      <c r="V10" s="88">
        <v>1070</v>
      </c>
      <c r="W10" s="21">
        <f t="shared" si="0"/>
        <v>8514</v>
      </c>
      <c r="X10" s="21">
        <f t="shared" si="1"/>
        <v>0.9647</v>
      </c>
      <c r="Y10" s="31">
        <v>53</v>
      </c>
      <c r="Z10" s="20">
        <v>23</v>
      </c>
      <c r="AA10" s="20">
        <v>64</v>
      </c>
      <c r="AB10" s="20">
        <v>155</v>
      </c>
      <c r="AC10" s="20">
        <v>163</v>
      </c>
      <c r="AD10" s="31">
        <v>128</v>
      </c>
      <c r="AE10" s="36">
        <v>0</v>
      </c>
      <c r="AF10" s="47"/>
      <c r="AG10" s="66" t="s">
        <v>73</v>
      </c>
      <c r="AH10" s="67">
        <f>SUM(AH6:AH9)</f>
        <v>0</v>
      </c>
    </row>
    <row r="11" spans="1:34" ht="15" customHeight="1">
      <c r="A11" s="61">
        <v>44325</v>
      </c>
      <c r="B11" s="78">
        <v>64.47</v>
      </c>
      <c r="C11" s="78"/>
      <c r="D11" s="83"/>
      <c r="E11" s="77"/>
      <c r="F11" s="77"/>
      <c r="G11" s="77"/>
      <c r="H11" s="77"/>
      <c r="I11" s="77"/>
      <c r="J11" s="77"/>
      <c r="K11" s="77"/>
      <c r="L11" s="77"/>
      <c r="M11" s="74">
        <v>0</v>
      </c>
      <c r="N11" s="62">
        <v>0</v>
      </c>
      <c r="O11" s="33">
        <v>7612</v>
      </c>
      <c r="P11" s="33">
        <v>12353</v>
      </c>
      <c r="Q11" s="33">
        <v>1206</v>
      </c>
      <c r="R11" s="88">
        <v>0</v>
      </c>
      <c r="S11" s="88">
        <v>0</v>
      </c>
      <c r="T11" s="88">
        <v>2067</v>
      </c>
      <c r="U11" s="88">
        <v>3667</v>
      </c>
      <c r="V11" s="88">
        <v>1206</v>
      </c>
      <c r="W11" s="21">
        <f t="shared" si="0"/>
        <v>6940</v>
      </c>
      <c r="X11" s="21">
        <f t="shared" si="1"/>
        <v>0.9647</v>
      </c>
      <c r="Y11" s="31">
        <v>49</v>
      </c>
      <c r="Z11" s="20">
        <v>27</v>
      </c>
      <c r="AA11" s="20">
        <v>54</v>
      </c>
      <c r="AB11" s="20">
        <v>83</v>
      </c>
      <c r="AC11" s="20">
        <v>166</v>
      </c>
      <c r="AD11" s="31">
        <v>74</v>
      </c>
      <c r="AE11" s="36">
        <v>0</v>
      </c>
      <c r="AF11" s="103" t="s">
        <v>74</v>
      </c>
      <c r="AG11" s="104"/>
      <c r="AH11" s="104"/>
    </row>
    <row r="12" spans="1:34" ht="15" customHeight="1">
      <c r="A12" s="61">
        <v>44326</v>
      </c>
      <c r="B12" s="78">
        <v>44.74</v>
      </c>
      <c r="C12" s="78"/>
      <c r="D12" s="83"/>
      <c r="E12" s="77"/>
      <c r="F12" s="77"/>
      <c r="G12" s="77"/>
      <c r="H12" s="77"/>
      <c r="I12" s="77"/>
      <c r="J12" s="77"/>
      <c r="K12" s="77"/>
      <c r="L12" s="77"/>
      <c r="M12" s="74">
        <v>0</v>
      </c>
      <c r="N12" s="62">
        <v>8861</v>
      </c>
      <c r="O12" s="33">
        <v>5932</v>
      </c>
      <c r="P12" s="33">
        <v>8844</v>
      </c>
      <c r="Q12" s="33">
        <v>5312</v>
      </c>
      <c r="R12" s="88">
        <v>0</v>
      </c>
      <c r="S12" s="88">
        <v>2307</v>
      </c>
      <c r="T12" s="88">
        <v>1596</v>
      </c>
      <c r="U12" s="88">
        <v>2663</v>
      </c>
      <c r="V12" s="88">
        <v>1358</v>
      </c>
      <c r="W12" s="21">
        <f t="shared" si="0"/>
        <v>7924</v>
      </c>
      <c r="X12" s="21">
        <f t="shared" si="1"/>
        <v>0.9647</v>
      </c>
      <c r="Y12" s="31"/>
      <c r="Z12" s="20"/>
      <c r="AA12" s="20"/>
      <c r="AB12" s="20"/>
      <c r="AC12" s="20"/>
      <c r="AD12" s="31"/>
      <c r="AE12" s="36">
        <v>0</v>
      </c>
      <c r="AF12" s="72"/>
      <c r="AG12" s="105" t="s">
        <v>75</v>
      </c>
      <c r="AH12" s="106"/>
    </row>
    <row r="13" spans="1:34" ht="15" customHeight="1">
      <c r="A13" s="61">
        <v>44327</v>
      </c>
      <c r="B13" s="78">
        <v>46.05</v>
      </c>
      <c r="C13" s="78"/>
      <c r="D13" s="83"/>
      <c r="E13" s="77"/>
      <c r="F13" s="77"/>
      <c r="G13" s="77"/>
      <c r="H13" s="77"/>
      <c r="I13" s="77"/>
      <c r="J13" s="77"/>
      <c r="K13" s="77"/>
      <c r="L13" s="77"/>
      <c r="M13" s="74">
        <v>0</v>
      </c>
      <c r="N13" s="62">
        <v>10450</v>
      </c>
      <c r="O13" s="33">
        <v>5287</v>
      </c>
      <c r="P13" s="33">
        <v>10291</v>
      </c>
      <c r="Q13" s="33">
        <v>4480</v>
      </c>
      <c r="R13" s="88">
        <v>0</v>
      </c>
      <c r="S13" s="88">
        <v>2737</v>
      </c>
      <c r="T13" s="88">
        <v>1425</v>
      </c>
      <c r="U13" s="88">
        <v>3094</v>
      </c>
      <c r="V13" s="88">
        <v>1248</v>
      </c>
      <c r="W13" s="21">
        <f t="shared" si="0"/>
        <v>8504</v>
      </c>
      <c r="X13" s="21">
        <v>0.96</v>
      </c>
      <c r="Y13" s="31">
        <v>55</v>
      </c>
      <c r="Z13" s="31">
        <v>36</v>
      </c>
      <c r="AA13" s="31">
        <v>67</v>
      </c>
      <c r="AB13" s="31">
        <v>118</v>
      </c>
      <c r="AC13" s="31">
        <v>130</v>
      </c>
      <c r="AD13" s="31">
        <v>52</v>
      </c>
      <c r="AE13" s="36">
        <v>0</v>
      </c>
      <c r="AF13" s="46" t="s">
        <v>76</v>
      </c>
      <c r="AG13" s="93"/>
      <c r="AH13" s="94"/>
    </row>
    <row r="14" spans="1:34" ht="15" customHeight="1">
      <c r="A14" s="61">
        <v>44328</v>
      </c>
      <c r="B14" s="78"/>
      <c r="C14" s="78"/>
      <c r="D14" s="83"/>
      <c r="E14" s="77"/>
      <c r="F14" s="77"/>
      <c r="G14" s="77"/>
      <c r="H14" s="77"/>
      <c r="I14" s="77"/>
      <c r="J14" s="77"/>
      <c r="K14" s="77"/>
      <c r="L14" s="77"/>
      <c r="M14" s="76"/>
      <c r="N14" s="52"/>
      <c r="O14" s="50"/>
      <c r="P14" s="50"/>
      <c r="Q14" s="50"/>
      <c r="R14" s="89"/>
      <c r="S14" s="89"/>
      <c r="T14" s="89"/>
      <c r="U14" s="89"/>
      <c r="V14" s="89"/>
      <c r="W14" s="21">
        <f t="shared" si="0"/>
        <v>0</v>
      </c>
      <c r="X14" s="21"/>
      <c r="Y14" s="31"/>
      <c r="Z14" s="20"/>
      <c r="AA14" s="20"/>
      <c r="AB14" s="20"/>
      <c r="AC14" s="20"/>
      <c r="AD14" s="20"/>
      <c r="AE14" s="36">
        <v>0</v>
      </c>
      <c r="AF14" s="46" t="s">
        <v>77</v>
      </c>
      <c r="AG14" s="93"/>
      <c r="AH14" s="94"/>
    </row>
    <row r="15" spans="1:34" ht="15">
      <c r="A15" s="61">
        <v>44329</v>
      </c>
      <c r="B15" s="78"/>
      <c r="C15" s="78"/>
      <c r="D15" s="83"/>
      <c r="E15" s="77"/>
      <c r="F15" s="77"/>
      <c r="G15" s="77"/>
      <c r="H15" s="77"/>
      <c r="I15" s="77"/>
      <c r="J15" s="77"/>
      <c r="K15" s="77"/>
      <c r="L15" s="77"/>
      <c r="M15" s="76"/>
      <c r="N15" s="52"/>
      <c r="O15" s="50"/>
      <c r="P15" s="50"/>
      <c r="Q15" s="50"/>
      <c r="R15" s="89"/>
      <c r="S15" s="89"/>
      <c r="T15" s="89"/>
      <c r="U15" s="89"/>
      <c r="V15" s="89"/>
      <c r="W15" s="21">
        <f t="shared" si="0"/>
        <v>0</v>
      </c>
      <c r="X15" s="21"/>
      <c r="Y15" s="31"/>
      <c r="Z15" s="31"/>
      <c r="AA15" s="20"/>
      <c r="AB15" s="20"/>
      <c r="AC15" s="20"/>
      <c r="AD15" s="20"/>
      <c r="AE15" s="36">
        <v>0</v>
      </c>
      <c r="AF15" s="73"/>
      <c r="AG15" s="39" t="s">
        <v>73</v>
      </c>
      <c r="AH15" s="35">
        <f>SUM(AG13:AH14)</f>
        <v>0</v>
      </c>
    </row>
    <row r="16" spans="1:34" ht="15" customHeight="1">
      <c r="A16" s="61">
        <v>44330</v>
      </c>
      <c r="B16" s="78"/>
      <c r="C16" s="78"/>
      <c r="D16" s="83"/>
      <c r="E16" s="77"/>
      <c r="F16" s="77"/>
      <c r="G16" s="77"/>
      <c r="H16" s="77"/>
      <c r="I16" s="77"/>
      <c r="J16" s="77"/>
      <c r="K16" s="77"/>
      <c r="L16" s="77"/>
      <c r="M16" s="76"/>
      <c r="N16" s="52"/>
      <c r="O16" s="50"/>
      <c r="P16" s="50"/>
      <c r="Q16" s="50"/>
      <c r="R16" s="89"/>
      <c r="S16" s="89"/>
      <c r="T16" s="89"/>
      <c r="U16" s="89"/>
      <c r="V16" s="89"/>
      <c r="W16" s="21">
        <f t="shared" si="0"/>
        <v>0</v>
      </c>
      <c r="X16" s="21"/>
      <c r="Y16" s="31"/>
      <c r="Z16" s="31"/>
      <c r="AA16" s="31"/>
      <c r="AB16" s="31"/>
      <c r="AC16" s="31"/>
      <c r="AD16" s="31"/>
      <c r="AE16" s="36">
        <v>0</v>
      </c>
      <c r="AF16" s="95"/>
      <c r="AG16" s="96"/>
      <c r="AH16" s="97"/>
    </row>
    <row r="17" spans="1:35" ht="15" customHeight="1">
      <c r="A17" s="61">
        <v>44331</v>
      </c>
      <c r="B17" s="78"/>
      <c r="C17" s="78"/>
      <c r="D17" s="83"/>
      <c r="E17" s="77"/>
      <c r="F17" s="77"/>
      <c r="G17" s="77"/>
      <c r="H17" s="77"/>
      <c r="I17" s="77"/>
      <c r="J17" s="77"/>
      <c r="K17" s="77"/>
      <c r="L17" s="77"/>
      <c r="M17" s="76"/>
      <c r="N17" s="52"/>
      <c r="O17" s="50"/>
      <c r="P17" s="50"/>
      <c r="Q17" s="50"/>
      <c r="R17" s="89"/>
      <c r="S17" s="89"/>
      <c r="T17" s="89"/>
      <c r="U17" s="89"/>
      <c r="V17" s="89"/>
      <c r="W17" s="21">
        <f t="shared" si="0"/>
        <v>0</v>
      </c>
      <c r="X17" s="21"/>
      <c r="Y17" s="31"/>
      <c r="Z17" s="31"/>
      <c r="AA17" s="31"/>
      <c r="AB17" s="31"/>
      <c r="AC17" s="31"/>
      <c r="AD17" s="31"/>
      <c r="AE17" s="36">
        <v>0</v>
      </c>
      <c r="AF17" s="95"/>
      <c r="AG17" s="96"/>
      <c r="AH17" s="97"/>
    </row>
    <row r="18" spans="1:35" ht="15" customHeight="1">
      <c r="A18" s="61">
        <v>44332</v>
      </c>
      <c r="B18" s="78"/>
      <c r="C18" s="78"/>
      <c r="D18" s="83"/>
      <c r="E18" s="77"/>
      <c r="F18" s="77"/>
      <c r="G18" s="77"/>
      <c r="H18" s="77"/>
      <c r="I18" s="77"/>
      <c r="J18" s="77"/>
      <c r="K18" s="77"/>
      <c r="L18" s="77"/>
      <c r="M18" s="76"/>
      <c r="N18" s="52"/>
      <c r="O18" s="50"/>
      <c r="P18" s="50"/>
      <c r="Q18" s="50"/>
      <c r="R18" s="89"/>
      <c r="S18" s="89"/>
      <c r="T18" s="89"/>
      <c r="U18" s="89"/>
      <c r="V18" s="89"/>
      <c r="W18" s="21">
        <f t="shared" si="0"/>
        <v>0</v>
      </c>
      <c r="X18" s="21"/>
      <c r="Y18" s="31"/>
      <c r="Z18" s="31"/>
      <c r="AA18" s="31"/>
      <c r="AB18" s="31"/>
      <c r="AC18" s="31"/>
      <c r="AD18" s="31"/>
      <c r="AE18" s="36">
        <v>0</v>
      </c>
      <c r="AF18" s="95"/>
      <c r="AG18" s="96"/>
      <c r="AH18" s="97"/>
    </row>
    <row r="19" spans="1:35" ht="15" customHeight="1">
      <c r="A19" s="61">
        <v>44333</v>
      </c>
      <c r="B19" s="78"/>
      <c r="C19" s="78"/>
      <c r="D19" s="83"/>
      <c r="E19" s="77"/>
      <c r="F19" s="77"/>
      <c r="G19" s="77"/>
      <c r="H19" s="77"/>
      <c r="I19" s="77"/>
      <c r="J19" s="77"/>
      <c r="K19" s="77"/>
      <c r="L19" s="77"/>
      <c r="M19" s="76"/>
      <c r="N19" s="52"/>
      <c r="O19" s="50"/>
      <c r="P19" s="50"/>
      <c r="Q19" s="50"/>
      <c r="R19" s="89"/>
      <c r="S19" s="89"/>
      <c r="T19" s="89"/>
      <c r="U19" s="89"/>
      <c r="V19" s="89"/>
      <c r="W19" s="21">
        <f t="shared" si="0"/>
        <v>0</v>
      </c>
      <c r="X19" s="21"/>
      <c r="Y19" s="31"/>
      <c r="Z19" s="31"/>
      <c r="AA19" s="31"/>
      <c r="AB19" s="31"/>
      <c r="AC19" s="31"/>
      <c r="AD19" s="31"/>
      <c r="AE19" s="36">
        <v>0</v>
      </c>
      <c r="AF19" s="95"/>
      <c r="AG19" s="96"/>
      <c r="AH19" s="97"/>
    </row>
    <row r="20" spans="1:35" ht="15" customHeight="1">
      <c r="A20" s="61">
        <v>44334</v>
      </c>
      <c r="B20" s="78"/>
      <c r="C20" s="78"/>
      <c r="D20" s="83"/>
      <c r="E20" s="77"/>
      <c r="F20" s="77"/>
      <c r="G20" s="77"/>
      <c r="H20" s="77"/>
      <c r="I20" s="77"/>
      <c r="J20" s="77"/>
      <c r="K20" s="77"/>
      <c r="L20" s="77"/>
      <c r="M20" s="76"/>
      <c r="N20" s="52"/>
      <c r="O20" s="50"/>
      <c r="P20" s="50"/>
      <c r="Q20" s="50"/>
      <c r="R20" s="89"/>
      <c r="S20" s="89"/>
      <c r="T20" s="89"/>
      <c r="U20" s="89"/>
      <c r="V20" s="89"/>
      <c r="W20" s="21">
        <f t="shared" si="0"/>
        <v>0</v>
      </c>
      <c r="X20" s="21"/>
      <c r="Y20" s="31"/>
      <c r="Z20" s="31"/>
      <c r="AA20" s="31"/>
      <c r="AB20" s="31"/>
      <c r="AC20" s="31"/>
      <c r="AD20" s="31"/>
      <c r="AE20" s="36">
        <v>0</v>
      </c>
      <c r="AF20" s="95"/>
      <c r="AG20" s="96"/>
      <c r="AH20" s="97"/>
    </row>
    <row r="21" spans="1:35" ht="15" customHeight="1">
      <c r="A21" s="61">
        <v>44335</v>
      </c>
      <c r="B21" s="78"/>
      <c r="C21" s="78"/>
      <c r="D21" s="83"/>
      <c r="E21" s="77"/>
      <c r="F21" s="77"/>
      <c r="G21" s="77"/>
      <c r="H21" s="77"/>
      <c r="I21" s="77"/>
      <c r="J21" s="77"/>
      <c r="K21" s="77"/>
      <c r="L21" s="77"/>
      <c r="M21" s="76"/>
      <c r="N21" s="52"/>
      <c r="O21" s="50"/>
      <c r="P21" s="50"/>
      <c r="Q21" s="50"/>
      <c r="R21" s="89"/>
      <c r="S21" s="89"/>
      <c r="T21" s="89"/>
      <c r="U21" s="89"/>
      <c r="V21" s="89"/>
      <c r="W21" s="21">
        <f t="shared" si="0"/>
        <v>0</v>
      </c>
      <c r="X21" s="21"/>
      <c r="Y21" s="31"/>
      <c r="Z21" s="31"/>
      <c r="AA21" s="31"/>
      <c r="AB21" s="31"/>
      <c r="AC21" s="31"/>
      <c r="AD21" s="31"/>
      <c r="AE21" s="36">
        <v>0</v>
      </c>
      <c r="AF21" s="95"/>
      <c r="AG21" s="96"/>
      <c r="AH21" s="97"/>
      <c r="AI21" s="22"/>
    </row>
    <row r="22" spans="1:35" ht="15" customHeight="1">
      <c r="A22" s="61">
        <v>44336</v>
      </c>
      <c r="B22" s="78"/>
      <c r="C22" s="78"/>
      <c r="D22" s="83"/>
      <c r="E22" s="77"/>
      <c r="F22" s="77"/>
      <c r="G22" s="77"/>
      <c r="H22" s="77"/>
      <c r="I22" s="77"/>
      <c r="J22" s="77"/>
      <c r="K22" s="77"/>
      <c r="L22" s="77"/>
      <c r="M22" s="76"/>
      <c r="N22" s="52"/>
      <c r="O22" s="50"/>
      <c r="P22" s="50"/>
      <c r="Q22" s="50"/>
      <c r="R22" s="89"/>
      <c r="S22" s="89"/>
      <c r="T22" s="89"/>
      <c r="U22" s="89"/>
      <c r="V22" s="89"/>
      <c r="W22" s="21">
        <f t="shared" si="0"/>
        <v>0</v>
      </c>
      <c r="X22" s="21"/>
      <c r="Y22" s="31"/>
      <c r="Z22" s="31"/>
      <c r="AA22" s="31"/>
      <c r="AB22" s="31"/>
      <c r="AC22" s="31"/>
      <c r="AD22" s="31"/>
      <c r="AE22" s="36">
        <v>0</v>
      </c>
      <c r="AF22" s="95"/>
      <c r="AG22" s="96"/>
      <c r="AH22" s="97"/>
      <c r="AI22" s="22"/>
    </row>
    <row r="23" spans="1:35" ht="15" customHeight="1">
      <c r="A23" s="61">
        <v>44337</v>
      </c>
      <c r="B23" s="78"/>
      <c r="C23" s="78"/>
      <c r="D23" s="83"/>
      <c r="E23" s="77"/>
      <c r="F23" s="77"/>
      <c r="G23" s="77"/>
      <c r="H23" s="77"/>
      <c r="I23" s="77"/>
      <c r="J23" s="77"/>
      <c r="K23" s="77"/>
      <c r="L23" s="77"/>
      <c r="M23" s="76"/>
      <c r="N23" s="52"/>
      <c r="O23" s="50"/>
      <c r="P23" s="50"/>
      <c r="Q23" s="50"/>
      <c r="R23" s="89"/>
      <c r="S23" s="89"/>
      <c r="T23" s="89"/>
      <c r="U23" s="89"/>
      <c r="V23" s="89"/>
      <c r="W23" s="21">
        <f t="shared" si="0"/>
        <v>0</v>
      </c>
      <c r="X23" s="21"/>
      <c r="Y23" s="31"/>
      <c r="Z23" s="31"/>
      <c r="AA23" s="31"/>
      <c r="AB23" s="31"/>
      <c r="AC23" s="31"/>
      <c r="AD23" s="31"/>
      <c r="AE23" s="36">
        <v>0</v>
      </c>
      <c r="AF23" s="95"/>
      <c r="AG23" s="96"/>
      <c r="AH23" s="97"/>
      <c r="AI23" s="22"/>
    </row>
    <row r="24" spans="1:35" ht="15" customHeight="1">
      <c r="A24" s="61">
        <v>44338</v>
      </c>
      <c r="B24" s="78"/>
      <c r="C24" s="78"/>
      <c r="D24" s="83"/>
      <c r="E24" s="77"/>
      <c r="F24" s="77"/>
      <c r="G24" s="77"/>
      <c r="H24" s="77"/>
      <c r="I24" s="77"/>
      <c r="J24" s="77"/>
      <c r="K24" s="77"/>
      <c r="L24" s="77"/>
      <c r="M24" s="77"/>
      <c r="N24" s="49"/>
      <c r="O24" s="21"/>
      <c r="P24" s="21"/>
      <c r="Q24" s="21"/>
      <c r="R24" s="88"/>
      <c r="S24" s="88"/>
      <c r="T24" s="88"/>
      <c r="U24" s="88"/>
      <c r="V24" s="88"/>
      <c r="W24" s="21">
        <f t="shared" si="0"/>
        <v>0</v>
      </c>
      <c r="X24" s="21"/>
      <c r="Y24" s="31"/>
      <c r="Z24" s="31"/>
      <c r="AA24" s="31"/>
      <c r="AB24" s="31"/>
      <c r="AC24" s="31"/>
      <c r="AD24" s="31"/>
      <c r="AE24" s="36">
        <v>0</v>
      </c>
      <c r="AF24" s="95"/>
      <c r="AG24" s="96"/>
      <c r="AH24" s="97"/>
      <c r="AI24" s="22"/>
    </row>
    <row r="25" spans="1:35" ht="15" customHeight="1">
      <c r="A25" s="61">
        <v>44339</v>
      </c>
      <c r="B25" s="78"/>
      <c r="C25" s="78"/>
      <c r="D25" s="83"/>
      <c r="E25" s="77"/>
      <c r="F25" s="77"/>
      <c r="G25" s="77"/>
      <c r="H25" s="77"/>
      <c r="I25" s="77"/>
      <c r="J25" s="77"/>
      <c r="K25" s="77"/>
      <c r="L25" s="77"/>
      <c r="M25" s="76"/>
      <c r="N25" s="52"/>
      <c r="O25" s="50"/>
      <c r="P25" s="50"/>
      <c r="Q25" s="50"/>
      <c r="R25" s="89"/>
      <c r="S25" s="89"/>
      <c r="T25" s="89"/>
      <c r="U25" s="89"/>
      <c r="V25" s="89"/>
      <c r="W25" s="21">
        <f t="shared" si="0"/>
        <v>0</v>
      </c>
      <c r="X25" s="21"/>
      <c r="Y25" s="31"/>
      <c r="Z25" s="31"/>
      <c r="AA25" s="20"/>
      <c r="AB25" s="20"/>
      <c r="AC25" s="20"/>
      <c r="AD25" s="20"/>
      <c r="AE25" s="36">
        <v>0</v>
      </c>
      <c r="AF25" s="95"/>
      <c r="AG25" s="96"/>
      <c r="AH25" s="97"/>
      <c r="AI25" s="22"/>
    </row>
    <row r="26" spans="1:35" ht="15" customHeight="1">
      <c r="A26" s="61">
        <v>44340</v>
      </c>
      <c r="B26" s="78"/>
      <c r="C26" s="78"/>
      <c r="D26" s="83"/>
      <c r="E26" s="77"/>
      <c r="F26" s="77"/>
      <c r="G26" s="77"/>
      <c r="H26" s="77"/>
      <c r="I26" s="77"/>
      <c r="J26" s="77"/>
      <c r="K26" s="77"/>
      <c r="L26" s="77"/>
      <c r="M26" s="76"/>
      <c r="N26" s="52"/>
      <c r="O26" s="50"/>
      <c r="P26" s="50"/>
      <c r="Q26" s="50"/>
      <c r="R26" s="89"/>
      <c r="S26" s="89"/>
      <c r="T26" s="89"/>
      <c r="U26" s="89"/>
      <c r="V26" s="89"/>
      <c r="W26" s="21">
        <f t="shared" si="0"/>
        <v>0</v>
      </c>
      <c r="X26" s="21"/>
      <c r="Y26" s="31"/>
      <c r="Z26" s="31"/>
      <c r="AA26" s="20"/>
      <c r="AB26" s="20"/>
      <c r="AC26" s="20"/>
      <c r="AD26" s="20"/>
      <c r="AE26" s="36">
        <v>0</v>
      </c>
      <c r="AF26" s="95"/>
      <c r="AG26" s="96"/>
      <c r="AH26" s="97"/>
      <c r="AI26" s="22"/>
    </row>
    <row r="27" spans="1:35" ht="15" customHeight="1">
      <c r="A27" s="61">
        <v>44341</v>
      </c>
      <c r="B27" s="78"/>
      <c r="C27" s="78"/>
      <c r="D27" s="83"/>
      <c r="E27" s="77"/>
      <c r="F27" s="77"/>
      <c r="G27" s="77"/>
      <c r="H27" s="77"/>
      <c r="I27" s="77"/>
      <c r="J27" s="77"/>
      <c r="K27" s="77"/>
      <c r="L27" s="77"/>
      <c r="M27" s="76"/>
      <c r="N27" s="52"/>
      <c r="O27" s="50"/>
      <c r="P27" s="50"/>
      <c r="Q27" s="50"/>
      <c r="R27" s="89"/>
      <c r="S27" s="89"/>
      <c r="T27" s="89"/>
      <c r="U27" s="89"/>
      <c r="V27" s="89"/>
      <c r="W27" s="21">
        <f t="shared" si="0"/>
        <v>0</v>
      </c>
      <c r="X27" s="21"/>
      <c r="Y27" s="31"/>
      <c r="Z27" s="31"/>
      <c r="AA27" s="20"/>
      <c r="AB27" s="20"/>
      <c r="AC27" s="20"/>
      <c r="AD27" s="20"/>
      <c r="AE27" s="36">
        <v>0</v>
      </c>
      <c r="AF27" s="95"/>
      <c r="AG27" s="96"/>
      <c r="AH27" s="97"/>
      <c r="AI27" s="22"/>
    </row>
    <row r="28" spans="1:35" ht="15" customHeight="1">
      <c r="A28" s="61">
        <v>44342</v>
      </c>
      <c r="B28" s="78"/>
      <c r="C28" s="78"/>
      <c r="D28" s="83"/>
      <c r="E28" s="77"/>
      <c r="F28" s="77"/>
      <c r="G28" s="77"/>
      <c r="H28" s="77"/>
      <c r="I28" s="77"/>
      <c r="J28" s="77"/>
      <c r="K28" s="77"/>
      <c r="L28" s="77"/>
      <c r="M28" s="76"/>
      <c r="N28" s="52"/>
      <c r="O28" s="50"/>
      <c r="P28" s="50"/>
      <c r="Q28" s="50"/>
      <c r="R28" s="89"/>
      <c r="S28" s="89"/>
      <c r="T28" s="89"/>
      <c r="U28" s="89"/>
      <c r="V28" s="89"/>
      <c r="W28" s="21">
        <f t="shared" si="0"/>
        <v>0</v>
      </c>
      <c r="X28" s="21"/>
      <c r="Y28" s="31"/>
      <c r="Z28" s="31"/>
      <c r="AA28" s="20"/>
      <c r="AB28" s="20"/>
      <c r="AC28" s="20"/>
      <c r="AD28" s="20"/>
      <c r="AE28" s="36">
        <v>0</v>
      </c>
      <c r="AF28" s="95"/>
      <c r="AG28" s="96"/>
      <c r="AH28" s="97"/>
      <c r="AI28" s="22"/>
    </row>
    <row r="29" spans="1:35" ht="15" customHeight="1">
      <c r="A29" s="61">
        <v>44343</v>
      </c>
      <c r="B29" s="78"/>
      <c r="C29" s="78"/>
      <c r="D29" s="83"/>
      <c r="E29" s="77"/>
      <c r="F29" s="77"/>
      <c r="G29" s="77"/>
      <c r="H29" s="77"/>
      <c r="I29" s="77"/>
      <c r="J29" s="77"/>
      <c r="K29" s="77"/>
      <c r="L29" s="77"/>
      <c r="M29" s="76"/>
      <c r="N29" s="52"/>
      <c r="O29" s="50"/>
      <c r="P29" s="50"/>
      <c r="Q29" s="50"/>
      <c r="R29" s="89"/>
      <c r="S29" s="89"/>
      <c r="T29" s="89"/>
      <c r="U29" s="89"/>
      <c r="V29" s="89"/>
      <c r="W29" s="21">
        <f t="shared" si="0"/>
        <v>0</v>
      </c>
      <c r="X29" s="21"/>
      <c r="Y29" s="31"/>
      <c r="Z29" s="31"/>
      <c r="AA29" s="20"/>
      <c r="AB29" s="20"/>
      <c r="AC29" s="20"/>
      <c r="AD29" s="20"/>
      <c r="AE29" s="36">
        <v>0</v>
      </c>
      <c r="AF29" s="95"/>
      <c r="AG29" s="96"/>
      <c r="AH29" s="97"/>
      <c r="AI29" s="22"/>
    </row>
    <row r="30" spans="1:35" ht="15" customHeight="1">
      <c r="A30" s="61">
        <v>44344</v>
      </c>
      <c r="B30" s="78"/>
      <c r="C30" s="78"/>
      <c r="D30" s="83"/>
      <c r="E30" s="77"/>
      <c r="F30" s="77"/>
      <c r="G30" s="77"/>
      <c r="H30" s="77"/>
      <c r="I30" s="77"/>
      <c r="J30" s="77"/>
      <c r="K30" s="77"/>
      <c r="L30" s="77"/>
      <c r="M30" s="76"/>
      <c r="N30" s="52"/>
      <c r="O30" s="50"/>
      <c r="P30" s="50"/>
      <c r="Q30" s="50"/>
      <c r="R30" s="89"/>
      <c r="S30" s="89"/>
      <c r="T30" s="89"/>
      <c r="U30" s="89"/>
      <c r="V30" s="89"/>
      <c r="W30" s="21">
        <f t="shared" si="0"/>
        <v>0</v>
      </c>
      <c r="X30" s="21"/>
      <c r="Y30" s="31"/>
      <c r="Z30" s="31"/>
      <c r="AA30" s="20"/>
      <c r="AB30" s="20"/>
      <c r="AC30" s="20"/>
      <c r="AD30" s="20"/>
      <c r="AE30" s="36">
        <v>0</v>
      </c>
      <c r="AF30" s="95"/>
      <c r="AG30" s="96"/>
      <c r="AH30" s="97"/>
      <c r="AI30" s="22"/>
    </row>
    <row r="31" spans="1:35" ht="15" customHeight="1">
      <c r="A31" s="61">
        <v>44345</v>
      </c>
      <c r="B31" s="78"/>
      <c r="C31" s="78"/>
      <c r="D31" s="83"/>
      <c r="E31" s="77"/>
      <c r="F31" s="77"/>
      <c r="G31" s="77"/>
      <c r="H31" s="77"/>
      <c r="I31" s="77"/>
      <c r="J31" s="77"/>
      <c r="K31" s="77"/>
      <c r="L31" s="77"/>
      <c r="M31" s="76"/>
      <c r="N31" s="53"/>
      <c r="O31" s="54"/>
      <c r="P31" s="50"/>
      <c r="Q31" s="50"/>
      <c r="R31" s="89"/>
      <c r="S31" s="89"/>
      <c r="T31" s="89"/>
      <c r="U31" s="89"/>
      <c r="V31" s="89"/>
      <c r="W31" s="21">
        <f t="shared" si="0"/>
        <v>0</v>
      </c>
      <c r="X31" s="21"/>
      <c r="Y31" s="31"/>
      <c r="Z31" s="31"/>
      <c r="AA31" s="31"/>
      <c r="AB31" s="31"/>
      <c r="AC31" s="31"/>
      <c r="AD31" s="31"/>
      <c r="AE31" s="36">
        <v>0</v>
      </c>
      <c r="AF31" s="95"/>
      <c r="AG31" s="96"/>
      <c r="AH31" s="97"/>
      <c r="AI31" s="22"/>
    </row>
    <row r="32" spans="1:35" ht="15" customHeight="1">
      <c r="A32" s="61">
        <v>44346</v>
      </c>
      <c r="B32" s="78"/>
      <c r="C32" s="78"/>
      <c r="D32" s="83"/>
      <c r="E32" s="77"/>
      <c r="F32" s="77"/>
      <c r="G32" s="77"/>
      <c r="H32" s="77"/>
      <c r="I32" s="77"/>
      <c r="J32" s="77"/>
      <c r="K32" s="77"/>
      <c r="L32" s="77"/>
      <c r="M32" s="56"/>
      <c r="N32" s="55"/>
      <c r="O32" s="56"/>
      <c r="P32" s="56"/>
      <c r="Q32" s="56"/>
      <c r="R32" s="89"/>
      <c r="S32" s="89"/>
      <c r="T32" s="89"/>
      <c r="U32" s="89"/>
      <c r="V32" s="89"/>
      <c r="W32" s="21">
        <f t="shared" si="0"/>
        <v>0</v>
      </c>
      <c r="X32" s="21"/>
      <c r="Y32" s="31"/>
      <c r="Z32" s="31"/>
      <c r="AA32" s="31"/>
      <c r="AB32" s="31"/>
      <c r="AC32" s="31"/>
      <c r="AD32" s="31"/>
      <c r="AE32" s="36">
        <v>0</v>
      </c>
      <c r="AF32" s="95"/>
      <c r="AG32" s="96"/>
      <c r="AH32" s="97"/>
      <c r="AI32" s="22"/>
    </row>
    <row r="33" spans="1:34" ht="12.75" customHeight="1">
      <c r="A33" s="61">
        <v>44347</v>
      </c>
      <c r="B33" s="51"/>
      <c r="C33" s="92"/>
      <c r="D33" s="80"/>
      <c r="E33" s="81"/>
      <c r="F33" s="81"/>
      <c r="G33" s="81"/>
      <c r="H33" s="81"/>
      <c r="I33" s="81"/>
      <c r="J33" s="81"/>
      <c r="K33" s="81"/>
      <c r="L33" s="81"/>
      <c r="M33" s="82"/>
      <c r="N33" s="56"/>
      <c r="O33" s="56"/>
      <c r="P33" s="57"/>
      <c r="Q33" s="58"/>
      <c r="R33" s="90"/>
      <c r="S33" s="90"/>
      <c r="T33" s="90"/>
      <c r="U33" s="90"/>
      <c r="V33" s="90"/>
      <c r="W33" s="21">
        <f t="shared" si="0"/>
        <v>0</v>
      </c>
      <c r="X33" s="21"/>
      <c r="Y33" s="59"/>
      <c r="Z33" s="59"/>
      <c r="AA33" s="59"/>
      <c r="AB33" s="59"/>
      <c r="AC33" s="59"/>
      <c r="AD33" s="59"/>
      <c r="AE33" s="36"/>
      <c r="AF33" s="98"/>
      <c r="AG33" s="99"/>
      <c r="AH33" s="100"/>
    </row>
    <row r="34" spans="1:34">
      <c r="K34" s="84" t="s">
        <v>78</v>
      </c>
      <c r="L34" s="84" t="s">
        <v>79</v>
      </c>
      <c r="M34" s="85">
        <f>SUM(M3:M33)</f>
        <v>0</v>
      </c>
      <c r="N34" s="85">
        <f t="shared" ref="N34:Q34" si="2">SUM(N3:N33)</f>
        <v>94596</v>
      </c>
      <c r="O34" s="85">
        <f t="shared" si="2"/>
        <v>74774</v>
      </c>
      <c r="P34" s="85">
        <f t="shared" si="2"/>
        <v>108127</v>
      </c>
      <c r="Q34" s="85">
        <f t="shared" si="2"/>
        <v>57687</v>
      </c>
      <c r="R34" s="85"/>
      <c r="S34" s="86"/>
      <c r="T34" s="86"/>
      <c r="U34" s="86"/>
      <c r="V34" s="86"/>
      <c r="W34" s="86"/>
    </row>
    <row r="35" spans="1:34">
      <c r="K35" s="84" t="s">
        <v>80</v>
      </c>
      <c r="L35" s="84" t="s">
        <v>79</v>
      </c>
      <c r="M35" s="86"/>
      <c r="N35" s="86"/>
      <c r="O35" s="86"/>
      <c r="P35" s="86"/>
      <c r="Q35" s="86"/>
      <c r="R35" s="85">
        <f>SUM(R3:R33)</f>
        <v>0</v>
      </c>
      <c r="S35" s="85">
        <f t="shared" ref="S35:W35" si="3">SUM(S3:S33)</f>
        <v>24664</v>
      </c>
      <c r="T35" s="85">
        <f t="shared" si="3"/>
        <v>20093</v>
      </c>
      <c r="U35" s="85">
        <f t="shared" si="3"/>
        <v>32270</v>
      </c>
      <c r="V35" s="85">
        <f t="shared" si="3"/>
        <v>16513</v>
      </c>
      <c r="W35" s="85">
        <f t="shared" si="3"/>
        <v>93540</v>
      </c>
    </row>
  </sheetData>
  <mergeCells count="8">
    <mergeCell ref="AG13:AH13"/>
    <mergeCell ref="AG14:AH14"/>
    <mergeCell ref="AF16:AH33"/>
    <mergeCell ref="D1:L1"/>
    <mergeCell ref="AF2:AH2"/>
    <mergeCell ref="AF3:AH3"/>
    <mergeCell ref="AF11:AH11"/>
    <mergeCell ref="AG12:AH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4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E99E6936-EF7E-451B-BDFB-80F884242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2021-05-13T05:55:16Z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