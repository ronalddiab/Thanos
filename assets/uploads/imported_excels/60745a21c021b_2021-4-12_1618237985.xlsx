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0425" tabRatio="935" activeTab="1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definedNames>
    <definedName name="_xlnm.Print_Area" localSheetId="2">'Finance Only'!$A$1:$F$39</definedName>
    <definedName name="_xlnm.Print_Area" localSheetId="12">'Gas-2'!$A$1:$H$37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8" i="1"/>
  <c r="W18" i="19" l="1"/>
  <c r="G20" i="1" s="1"/>
  <c r="W19" i="19"/>
  <c r="G21" i="1" s="1"/>
  <c r="W20" i="19"/>
  <c r="G22" i="1" s="1"/>
  <c r="W21" i="19"/>
  <c r="G23" i="1" s="1"/>
  <c r="W22" i="19"/>
  <c r="G24" i="1" s="1"/>
  <c r="W23" i="19"/>
  <c r="G25" i="1" s="1"/>
  <c r="W24" i="19"/>
  <c r="G26" i="1" s="1"/>
  <c r="W25" i="19"/>
  <c r="G27" i="1" s="1"/>
  <c r="W26" i="19"/>
  <c r="G28" i="1" s="1"/>
  <c r="W27" i="19"/>
  <c r="G29" i="1" s="1"/>
  <c r="W28" i="19"/>
  <c r="G30" i="1" s="1"/>
  <c r="W29" i="19"/>
  <c r="G31" i="1" s="1"/>
  <c r="W30" i="19"/>
  <c r="G32" i="1" s="1"/>
  <c r="W31" i="19"/>
  <c r="G33" i="1" s="1"/>
  <c r="W32" i="19"/>
  <c r="G34" i="1" s="1"/>
  <c r="W33" i="19"/>
  <c r="G35" i="1" s="1"/>
  <c r="W34" i="19"/>
  <c r="G36" i="1" s="1"/>
  <c r="W35" i="19"/>
  <c r="G37" i="1" s="1"/>
  <c r="W36" i="19"/>
  <c r="G38" i="1" s="1"/>
  <c r="W7" i="19"/>
  <c r="G9" i="1" s="1"/>
  <c r="W8" i="19"/>
  <c r="G10" i="1" s="1"/>
  <c r="W9" i="19"/>
  <c r="G11" i="1" s="1"/>
  <c r="W10" i="19"/>
  <c r="G12" i="1" s="1"/>
  <c r="W11" i="19"/>
  <c r="G13" i="1" s="1"/>
  <c r="W12" i="19"/>
  <c r="G14" i="1" s="1"/>
  <c r="W13" i="19"/>
  <c r="G15" i="1" s="1"/>
  <c r="W14" i="19"/>
  <c r="G16" i="1" s="1"/>
  <c r="W15" i="19"/>
  <c r="G17" i="1" s="1"/>
  <c r="W16" i="19"/>
  <c r="G18" i="1" s="1"/>
  <c r="W17" i="19"/>
  <c r="G19" i="1" s="1"/>
  <c r="W6" i="19"/>
  <c r="G8" i="1" s="1"/>
  <c r="G39" i="1" l="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K30" i="17" l="1"/>
  <c r="L30" i="17"/>
  <c r="K31" i="17"/>
  <c r="L31" i="17"/>
  <c r="B41" i="7"/>
  <c r="B41" i="6"/>
  <c r="B41" i="5"/>
  <c r="B41" i="4"/>
  <c r="B41" i="3"/>
  <c r="E37" i="21"/>
  <c r="W37" i="19"/>
  <c r="W38" i="19" s="1"/>
  <c r="CN22" i="12"/>
  <c r="CP22" i="12" s="1"/>
  <c r="H6" i="2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C4" i="2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5" i="22"/>
  <c r="G34" i="22"/>
  <c r="G33" i="22"/>
  <c r="G32" i="22"/>
  <c r="G31" i="22"/>
  <c r="H32" i="22" s="1"/>
  <c r="I29" i="17" s="1"/>
  <c r="G30" i="22"/>
  <c r="G29" i="22"/>
  <c r="G28" i="22"/>
  <c r="F29" i="21"/>
  <c r="G29" i="21" s="1"/>
  <c r="G27" i="22"/>
  <c r="G26" i="22"/>
  <c r="G25" i="22"/>
  <c r="G24" i="22"/>
  <c r="H25" i="22" s="1"/>
  <c r="I22" i="17" s="1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E20" i="22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Q36" i="19"/>
  <c r="S36" i="19" s="1"/>
  <c r="L36" i="19"/>
  <c r="N36" i="19" s="1"/>
  <c r="G36" i="19"/>
  <c r="I36" i="19" s="1"/>
  <c r="B36" i="19"/>
  <c r="D36" i="19" s="1"/>
  <c r="Q35" i="19"/>
  <c r="S35" i="19" s="1"/>
  <c r="L35" i="19"/>
  <c r="N35" i="19" s="1"/>
  <c r="G35" i="19"/>
  <c r="I35" i="19" s="1"/>
  <c r="B35" i="19"/>
  <c r="D35" i="19" s="1"/>
  <c r="Z34" i="19"/>
  <c r="Z35" i="19" s="1"/>
  <c r="Q34" i="19"/>
  <c r="S34" i="19" s="1"/>
  <c r="L34" i="19"/>
  <c r="N34" i="19" s="1"/>
  <c r="G34" i="19"/>
  <c r="I34" i="19" s="1"/>
  <c r="B34" i="19"/>
  <c r="D34" i="19" s="1"/>
  <c r="Q33" i="19"/>
  <c r="S33" i="19" s="1"/>
  <c r="L33" i="19"/>
  <c r="N33" i="19" s="1"/>
  <c r="G33" i="19"/>
  <c r="I33" i="19" s="1"/>
  <c r="B33" i="19"/>
  <c r="D33" i="19" s="1"/>
  <c r="Q32" i="19"/>
  <c r="S32" i="19" s="1"/>
  <c r="L32" i="19"/>
  <c r="N32" i="19" s="1"/>
  <c r="G32" i="19"/>
  <c r="I32" i="19" s="1"/>
  <c r="B32" i="19"/>
  <c r="D32" i="19" s="1"/>
  <c r="Q31" i="19"/>
  <c r="S31" i="19" s="1"/>
  <c r="L31" i="19"/>
  <c r="N31" i="19" s="1"/>
  <c r="G31" i="19"/>
  <c r="I31" i="19" s="1"/>
  <c r="B31" i="19"/>
  <c r="D31" i="19"/>
  <c r="Q30" i="19"/>
  <c r="S30" i="19" s="1"/>
  <c r="L30" i="19"/>
  <c r="N30" i="19" s="1"/>
  <c r="G30" i="19"/>
  <c r="I30" i="19" s="1"/>
  <c r="B30" i="19"/>
  <c r="D30" i="19" s="1"/>
  <c r="Q29" i="19"/>
  <c r="S29" i="19" s="1"/>
  <c r="L29" i="19"/>
  <c r="N29" i="19" s="1"/>
  <c r="G29" i="19"/>
  <c r="I29" i="19" s="1"/>
  <c r="B29" i="19"/>
  <c r="D29" i="19" s="1"/>
  <c r="Q28" i="19"/>
  <c r="S28" i="19" s="1"/>
  <c r="L28" i="19"/>
  <c r="N28" i="19" s="1"/>
  <c r="G28" i="19"/>
  <c r="I28" i="19" s="1"/>
  <c r="B28" i="19"/>
  <c r="D28" i="19" s="1"/>
  <c r="Q27" i="19"/>
  <c r="S27" i="19" s="1"/>
  <c r="L27" i="19"/>
  <c r="N27" i="19" s="1"/>
  <c r="G27" i="19"/>
  <c r="I27" i="19" s="1"/>
  <c r="B27" i="19"/>
  <c r="D27" i="19" s="1"/>
  <c r="Q26" i="19"/>
  <c r="S26" i="19" s="1"/>
  <c r="L26" i="19"/>
  <c r="N26" i="19" s="1"/>
  <c r="G26" i="19"/>
  <c r="I26" i="19"/>
  <c r="B26" i="19"/>
  <c r="D26" i="19" s="1"/>
  <c r="Q25" i="19"/>
  <c r="S25" i="19" s="1"/>
  <c r="L25" i="19"/>
  <c r="N25" i="19" s="1"/>
  <c r="G25" i="19"/>
  <c r="I25" i="19" s="1"/>
  <c r="B25" i="19"/>
  <c r="D25" i="19" s="1"/>
  <c r="Q24" i="19"/>
  <c r="S24" i="19" s="1"/>
  <c r="L24" i="19"/>
  <c r="N24" i="19" s="1"/>
  <c r="G24" i="19"/>
  <c r="I24" i="19" s="1"/>
  <c r="B24" i="19"/>
  <c r="D24" i="19" s="1"/>
  <c r="Q23" i="19"/>
  <c r="S23" i="19" s="1"/>
  <c r="L23" i="19"/>
  <c r="N23" i="19"/>
  <c r="G23" i="19"/>
  <c r="I23" i="19" s="1"/>
  <c r="B23" i="19"/>
  <c r="D23" i="19" s="1"/>
  <c r="Q22" i="19"/>
  <c r="S22" i="19" s="1"/>
  <c r="L22" i="19"/>
  <c r="N22" i="19"/>
  <c r="G22" i="19"/>
  <c r="I22" i="19" s="1"/>
  <c r="B22" i="19"/>
  <c r="D22" i="19" s="1"/>
  <c r="Q21" i="19"/>
  <c r="S21" i="19" s="1"/>
  <c r="L21" i="19"/>
  <c r="N21" i="19" s="1"/>
  <c r="G21" i="19"/>
  <c r="I21" i="19" s="1"/>
  <c r="B21" i="19"/>
  <c r="D21" i="19"/>
  <c r="Q20" i="19"/>
  <c r="S20" i="19" s="1"/>
  <c r="L20" i="19"/>
  <c r="N20" i="19" s="1"/>
  <c r="G20" i="19"/>
  <c r="I20" i="19" s="1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L18" i="19"/>
  <c r="N18" i="19" s="1"/>
  <c r="G18" i="19"/>
  <c r="I18" i="19" s="1"/>
  <c r="B18" i="19"/>
  <c r="D18" i="19" s="1"/>
  <c r="Q17" i="19"/>
  <c r="S17" i="19" s="1"/>
  <c r="L17" i="19"/>
  <c r="N17" i="19" s="1"/>
  <c r="G17" i="19"/>
  <c r="I17" i="19" s="1"/>
  <c r="B17" i="19"/>
  <c r="D17" i="19" s="1"/>
  <c r="Q16" i="19"/>
  <c r="S16" i="19" s="1"/>
  <c r="L16" i="19"/>
  <c r="N16" i="19" s="1"/>
  <c r="G16" i="19"/>
  <c r="I16" i="19" s="1"/>
  <c r="B16" i="19"/>
  <c r="D16" i="19" s="1"/>
  <c r="Q15" i="19"/>
  <c r="S15" i="19" s="1"/>
  <c r="L15" i="19"/>
  <c r="N15" i="19" s="1"/>
  <c r="G15" i="19"/>
  <c r="I15" i="19" s="1"/>
  <c r="B15" i="19"/>
  <c r="D15" i="19" s="1"/>
  <c r="Q14" i="19"/>
  <c r="S14" i="19" s="1"/>
  <c r="L14" i="19"/>
  <c r="N14" i="19" s="1"/>
  <c r="G14" i="19"/>
  <c r="I14" i="19" s="1"/>
  <c r="B14" i="19"/>
  <c r="D14" i="19" s="1"/>
  <c r="Q13" i="19"/>
  <c r="S13" i="19" s="1"/>
  <c r="L13" i="19"/>
  <c r="N13" i="19" s="1"/>
  <c r="G13" i="19"/>
  <c r="I13" i="19" s="1"/>
  <c r="B13" i="19"/>
  <c r="D13" i="19" s="1"/>
  <c r="Q12" i="19"/>
  <c r="S12" i="19" s="1"/>
  <c r="L12" i="19"/>
  <c r="N12" i="19" s="1"/>
  <c r="G12" i="19"/>
  <c r="I12" i="19" s="1"/>
  <c r="B12" i="19"/>
  <c r="D12" i="19" s="1"/>
  <c r="Q11" i="19"/>
  <c r="S11" i="19" s="1"/>
  <c r="L11" i="19"/>
  <c r="N11" i="19" s="1"/>
  <c r="G11" i="19"/>
  <c r="I11" i="19" s="1"/>
  <c r="B11" i="19"/>
  <c r="D11" i="19"/>
  <c r="Q10" i="19"/>
  <c r="S10" i="19" s="1"/>
  <c r="L10" i="19"/>
  <c r="N10" i="19" s="1"/>
  <c r="G10" i="19"/>
  <c r="I10" i="19" s="1"/>
  <c r="B10" i="19"/>
  <c r="D10" i="19" s="1"/>
  <c r="Q9" i="19"/>
  <c r="S9" i="19" s="1"/>
  <c r="L9" i="19"/>
  <c r="N9" i="19" s="1"/>
  <c r="G9" i="19"/>
  <c r="I9" i="19" s="1"/>
  <c r="B9" i="19"/>
  <c r="D9" i="19" s="1"/>
  <c r="Q8" i="19"/>
  <c r="S8" i="19" s="1"/>
  <c r="L8" i="19"/>
  <c r="N8" i="19" s="1"/>
  <c r="G8" i="19"/>
  <c r="I8" i="19" s="1"/>
  <c r="B8" i="19"/>
  <c r="D8" i="19" s="1"/>
  <c r="Q7" i="19"/>
  <c r="S7" i="19" s="1"/>
  <c r="L7" i="19"/>
  <c r="N7" i="19" s="1"/>
  <c r="G7" i="19"/>
  <c r="I7" i="19" s="1"/>
  <c r="B7" i="19"/>
  <c r="D7" i="19" s="1"/>
  <c r="S6" i="19"/>
  <c r="N6" i="19"/>
  <c r="I6" i="19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CK23" i="12"/>
  <c r="CM23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N28" i="12"/>
  <c r="CP28" i="12" s="1"/>
  <c r="CN27" i="12"/>
  <c r="CP27" i="12" s="1"/>
  <c r="CN26" i="12"/>
  <c r="CP26" i="12" s="1"/>
  <c r="CN25" i="12"/>
  <c r="CP25" i="12" s="1"/>
  <c r="CN24" i="12"/>
  <c r="CP24" i="12" s="1"/>
  <c r="CN23" i="12"/>
  <c r="CP23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N9" i="12"/>
  <c r="CP9" i="12" s="1"/>
  <c r="CN8" i="12"/>
  <c r="CP8" i="12" s="1"/>
  <c r="CN7" i="12"/>
  <c r="CP7" i="12" s="1"/>
  <c r="CN6" i="12"/>
  <c r="CP6" i="12" s="1"/>
  <c r="CP5" i="12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K27" i="12"/>
  <c r="CM27" i="12" s="1"/>
  <c r="CK26" i="12"/>
  <c r="CM26" i="12" s="1"/>
  <c r="CK25" i="12"/>
  <c r="CM25" i="12" s="1"/>
  <c r="CK24" i="12"/>
  <c r="CM24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K9" i="12"/>
  <c r="CM9" i="12" s="1"/>
  <c r="CK8" i="12"/>
  <c r="CM8" i="12" s="1"/>
  <c r="CK7" i="12"/>
  <c r="CM7" i="12" s="1"/>
  <c r="CK6" i="12"/>
  <c r="CM6" i="12" s="1"/>
  <c r="CM5" i="12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H9" i="12"/>
  <c r="CJ9" i="12" s="1"/>
  <c r="CH8" i="12"/>
  <c r="CJ8" i="12" s="1"/>
  <c r="CH7" i="12"/>
  <c r="CJ7" i="12" s="1"/>
  <c r="CH6" i="12"/>
  <c r="CJ6" i="12" s="1"/>
  <c r="CJ5" i="12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E9" i="12"/>
  <c r="CG9" i="12" s="1"/>
  <c r="CE8" i="12"/>
  <c r="CG8" i="12" s="1"/>
  <c r="CE7" i="12"/>
  <c r="CG7" i="12" s="1"/>
  <c r="CE6" i="12"/>
  <c r="CG6" i="12" s="1"/>
  <c r="CG5" i="12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B9" i="12"/>
  <c r="CD9" i="12" s="1"/>
  <c r="CB8" i="12"/>
  <c r="CD8" i="12" s="1"/>
  <c r="CB7" i="12"/>
  <c r="CD7" i="12" s="1"/>
  <c r="CB6" i="12"/>
  <c r="CD6" i="12" s="1"/>
  <c r="CD5" i="12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BY9" i="12"/>
  <c r="CA9" i="12" s="1"/>
  <c r="BY8" i="12"/>
  <c r="CA8" i="12" s="1"/>
  <c r="BY7" i="12"/>
  <c r="CA7" i="12" s="1"/>
  <c r="BY6" i="12"/>
  <c r="CA6" i="12" s="1"/>
  <c r="CA5" i="12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V9" i="12"/>
  <c r="BX9" i="12" s="1"/>
  <c r="BV8" i="12"/>
  <c r="BX8" i="12" s="1"/>
  <c r="BV7" i="12"/>
  <c r="BX7" i="12" s="1"/>
  <c r="BV6" i="12"/>
  <c r="BX6" i="12" s="1"/>
  <c r="BX5" i="12"/>
  <c r="K35" i="12"/>
  <c r="M35" i="12" s="1"/>
  <c r="BS34" i="12"/>
  <c r="BU34" i="12" s="1"/>
  <c r="BS35" i="12"/>
  <c r="BU35" i="12" s="1"/>
  <c r="BP35" i="12"/>
  <c r="BR35" i="12" s="1"/>
  <c r="BM35" i="12"/>
  <c r="BO35" i="12" s="1"/>
  <c r="BJ34" i="12"/>
  <c r="BL34" i="12" s="1"/>
  <c r="BJ35" i="12"/>
  <c r="BL35" i="12" s="1"/>
  <c r="BG34" i="12"/>
  <c r="BI34" i="12" s="1"/>
  <c r="BG35" i="12"/>
  <c r="BI35" i="12" s="1"/>
  <c r="BD34" i="12"/>
  <c r="BF34" i="12" s="1"/>
  <c r="BD35" i="12"/>
  <c r="BF35" i="12" s="1"/>
  <c r="BA34" i="12"/>
  <c r="BC34" i="12" s="1"/>
  <c r="BA35" i="12"/>
  <c r="BC35" i="12" s="1"/>
  <c r="AX34" i="12"/>
  <c r="AZ34" i="12" s="1"/>
  <c r="AX35" i="12"/>
  <c r="AZ35" i="12" s="1"/>
  <c r="AU34" i="12"/>
  <c r="AW34" i="12" s="1"/>
  <c r="AU35" i="12"/>
  <c r="AW35" i="12" s="1"/>
  <c r="AR34" i="12"/>
  <c r="AT34" i="12" s="1"/>
  <c r="AR35" i="12"/>
  <c r="AT35" i="12" s="1"/>
  <c r="AO34" i="12"/>
  <c r="AQ34" i="12" s="1"/>
  <c r="AO35" i="12"/>
  <c r="AQ35" i="12" s="1"/>
  <c r="AL34" i="12"/>
  <c r="AN34" i="12" s="1"/>
  <c r="AL35" i="12"/>
  <c r="AN35" i="12" s="1"/>
  <c r="AI34" i="12"/>
  <c r="AK34" i="12" s="1"/>
  <c r="AI35" i="12"/>
  <c r="AK35" i="12" s="1"/>
  <c r="AF34" i="12"/>
  <c r="AH34" i="12" s="1"/>
  <c r="AF35" i="12"/>
  <c r="AH35" i="12" s="1"/>
  <c r="AC34" i="12"/>
  <c r="AE34" i="12" s="1"/>
  <c r="AC35" i="12"/>
  <c r="AE35" i="12" s="1"/>
  <c r="Z34" i="12"/>
  <c r="AB34" i="12" s="1"/>
  <c r="Z35" i="12"/>
  <c r="AB35" i="12" s="1"/>
  <c r="W34" i="12"/>
  <c r="Y34" i="12" s="1"/>
  <c r="W35" i="12"/>
  <c r="Y35" i="12" s="1"/>
  <c r="T34" i="12"/>
  <c r="V34" i="12" s="1"/>
  <c r="T35" i="12"/>
  <c r="V35" i="12" s="1"/>
  <c r="Q34" i="12"/>
  <c r="S34" i="12" s="1"/>
  <c r="Q35" i="12"/>
  <c r="S35" i="12" s="1"/>
  <c r="N34" i="12"/>
  <c r="P34" i="12" s="1"/>
  <c r="N35" i="12"/>
  <c r="P35" i="12" s="1"/>
  <c r="H35" i="12"/>
  <c r="J35" i="12" s="1"/>
  <c r="E35" i="12"/>
  <c r="G35" i="12" s="1"/>
  <c r="B35" i="12"/>
  <c r="D35" i="12" s="1"/>
  <c r="B39" i="11"/>
  <c r="D39" i="11" s="1"/>
  <c r="D38" i="1" s="1"/>
  <c r="B34" i="9"/>
  <c r="D34" i="9" s="1"/>
  <c r="C37" i="1" s="1"/>
  <c r="B35" i="9"/>
  <c r="D35" i="9" s="1"/>
  <c r="B40" i="7"/>
  <c r="D40" i="7" s="1"/>
  <c r="G35" i="15" s="1"/>
  <c r="B40" i="6"/>
  <c r="D40" i="6" s="1"/>
  <c r="F35" i="15" s="1"/>
  <c r="B40" i="5"/>
  <c r="B40" i="4"/>
  <c r="D40" i="4" s="1"/>
  <c r="D35" i="15" s="1"/>
  <c r="B40" i="3"/>
  <c r="D40" i="3" s="1"/>
  <c r="C35" i="15" s="1"/>
  <c r="B38" i="11"/>
  <c r="D38" i="11" s="1"/>
  <c r="AZ5" i="12"/>
  <c r="AB5" i="12"/>
  <c r="B39" i="4"/>
  <c r="D39" i="4" s="1"/>
  <c r="D34" i="15" s="1"/>
  <c r="B38" i="6"/>
  <c r="D38" i="6" s="1"/>
  <c r="F33" i="15" s="1"/>
  <c r="B39" i="6"/>
  <c r="D39" i="6" s="1"/>
  <c r="F34" i="15" s="1"/>
  <c r="D10" i="4"/>
  <c r="B11" i="4"/>
  <c r="D11" i="4" s="1"/>
  <c r="B12" i="4"/>
  <c r="D12" i="4" s="1"/>
  <c r="D7" i="15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B17" i="4"/>
  <c r="D17" i="4" s="1"/>
  <c r="D12" i="15" s="1"/>
  <c r="B18" i="4"/>
  <c r="D18" i="4" s="1"/>
  <c r="D13" i="15" s="1"/>
  <c r="B19" i="4"/>
  <c r="D19" i="4" s="1"/>
  <c r="D14" i="15" s="1"/>
  <c r="B20" i="4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B35" i="4"/>
  <c r="D35" i="4" s="1"/>
  <c r="D30" i="15" s="1"/>
  <c r="B36" i="4"/>
  <c r="D36" i="4"/>
  <c r="D31" i="15" s="1"/>
  <c r="B37" i="4"/>
  <c r="D37" i="4"/>
  <c r="D32" i="15" s="1"/>
  <c r="B38" i="4"/>
  <c r="D38" i="4" s="1"/>
  <c r="D33" i="15" s="1"/>
  <c r="B12" i="5"/>
  <c r="D12" i="5" s="1"/>
  <c r="E7" i="15" s="1"/>
  <c r="B13" i="5"/>
  <c r="D13" i="5" s="1"/>
  <c r="E8" i="15" s="1"/>
  <c r="B14" i="5"/>
  <c r="D14" i="5" s="1"/>
  <c r="E9" i="15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S33" i="12" s="1"/>
  <c r="Q6" i="12"/>
  <c r="S6" i="12" s="1"/>
  <c r="B10" i="11"/>
  <c r="D10" i="11" s="1"/>
  <c r="B11" i="11"/>
  <c r="D11" i="11" s="1"/>
  <c r="D11" i="2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D24" i="2" s="1"/>
  <c r="B25" i="11"/>
  <c r="D25" i="11" s="1"/>
  <c r="B26" i="11"/>
  <c r="D26" i="11" s="1"/>
  <c r="B27" i="11"/>
  <c r="D27" i="11" s="1"/>
  <c r="B28" i="11"/>
  <c r="D28" i="11" s="1"/>
  <c r="D27" i="1" s="1"/>
  <c r="B29" i="11"/>
  <c r="D29" i="11" s="1"/>
  <c r="D29" i="2" s="1"/>
  <c r="B30" i="11"/>
  <c r="D30" i="11" s="1"/>
  <c r="B31" i="11"/>
  <c r="D31" i="11" s="1"/>
  <c r="D31" i="2" s="1"/>
  <c r="B32" i="11"/>
  <c r="D32" i="11" s="1"/>
  <c r="B33" i="11"/>
  <c r="D33" i="11" s="1"/>
  <c r="D32" i="1" s="1"/>
  <c r="B34" i="11"/>
  <c r="D34" i="11" s="1"/>
  <c r="B35" i="11"/>
  <c r="D35" i="11" s="1"/>
  <c r="D34" i="1" s="1"/>
  <c r="B36" i="11"/>
  <c r="D36" i="11" s="1"/>
  <c r="D35" i="1" s="1"/>
  <c r="B37" i="11"/>
  <c r="D37" i="11" s="1"/>
  <c r="D37" i="2" s="1"/>
  <c r="D5" i="12"/>
  <c r="G5" i="12"/>
  <c r="J5" i="12"/>
  <c r="M5" i="12"/>
  <c r="P5" i="12"/>
  <c r="S5" i="12"/>
  <c r="V5" i="12"/>
  <c r="Y5" i="12"/>
  <c r="AE5" i="12"/>
  <c r="AH5" i="12"/>
  <c r="AK5" i="12"/>
  <c r="AN5" i="12"/>
  <c r="AQ5" i="12"/>
  <c r="AT5" i="12"/>
  <c r="AW5" i="12"/>
  <c r="BC5" i="12"/>
  <c r="BF5" i="12"/>
  <c r="BI5" i="12"/>
  <c r="BL5" i="12"/>
  <c r="BO5" i="12"/>
  <c r="BR5" i="12"/>
  <c r="BU5" i="12"/>
  <c r="B6" i="12"/>
  <c r="D6" i="12" s="1"/>
  <c r="E6" i="12"/>
  <c r="G6" i="12" s="1"/>
  <c r="H6" i="12"/>
  <c r="J6" i="12" s="1"/>
  <c r="K6" i="12"/>
  <c r="M6" i="12" s="1"/>
  <c r="N6" i="12"/>
  <c r="P6" i="12" s="1"/>
  <c r="T6" i="12"/>
  <c r="V6" i="12" s="1"/>
  <c r="W6" i="12"/>
  <c r="Y6" i="12" s="1"/>
  <c r="Z6" i="12"/>
  <c r="AB6" i="12" s="1"/>
  <c r="AC6" i="12"/>
  <c r="AE6" i="12" s="1"/>
  <c r="AF6" i="12"/>
  <c r="AH6" i="12" s="1"/>
  <c r="AI6" i="12"/>
  <c r="AK6" i="12" s="1"/>
  <c r="AL6" i="12"/>
  <c r="AN6" i="12" s="1"/>
  <c r="AO6" i="12"/>
  <c r="AQ6" i="12" s="1"/>
  <c r="AR6" i="12"/>
  <c r="AT6" i="12" s="1"/>
  <c r="AU6" i="12"/>
  <c r="AW6" i="12" s="1"/>
  <c r="AX6" i="12"/>
  <c r="AZ6" i="12" s="1"/>
  <c r="BA6" i="12"/>
  <c r="BC6" i="12" s="1"/>
  <c r="BD6" i="12"/>
  <c r="BF6" i="12" s="1"/>
  <c r="BG6" i="12"/>
  <c r="BI6" i="12" s="1"/>
  <c r="BJ6" i="12"/>
  <c r="BL6" i="12" s="1"/>
  <c r="BM6" i="12"/>
  <c r="BO6" i="12" s="1"/>
  <c r="BP6" i="12"/>
  <c r="BR6" i="12" s="1"/>
  <c r="BS6" i="12"/>
  <c r="BU6" i="12" s="1"/>
  <c r="B7" i="12"/>
  <c r="D7" i="12" s="1"/>
  <c r="E7" i="12"/>
  <c r="G7" i="12" s="1"/>
  <c r="H7" i="12"/>
  <c r="J7" i="12" s="1"/>
  <c r="K7" i="12"/>
  <c r="M7" i="12" s="1"/>
  <c r="N7" i="12"/>
  <c r="P7" i="12" s="1"/>
  <c r="T7" i="12"/>
  <c r="V7" i="12" s="1"/>
  <c r="W7" i="12"/>
  <c r="Y7" i="12" s="1"/>
  <c r="Z7" i="12"/>
  <c r="AB7" i="12" s="1"/>
  <c r="AC7" i="12"/>
  <c r="AE7" i="12" s="1"/>
  <c r="AF7" i="12"/>
  <c r="AH7" i="12" s="1"/>
  <c r="AI7" i="12"/>
  <c r="AK7" i="12" s="1"/>
  <c r="AL7" i="12"/>
  <c r="AN7" i="12" s="1"/>
  <c r="AO7" i="12"/>
  <c r="AQ7" i="12" s="1"/>
  <c r="AR7" i="12"/>
  <c r="AT7" i="12" s="1"/>
  <c r="AU7" i="12"/>
  <c r="AW7" i="12" s="1"/>
  <c r="AX7" i="12"/>
  <c r="AZ7" i="12" s="1"/>
  <c r="BA7" i="12"/>
  <c r="BC7" i="12" s="1"/>
  <c r="BD7" i="12"/>
  <c r="BF7" i="12" s="1"/>
  <c r="BG7" i="12"/>
  <c r="BI7" i="12" s="1"/>
  <c r="BJ7" i="12"/>
  <c r="BL7" i="12" s="1"/>
  <c r="BM7" i="12"/>
  <c r="BO7" i="12" s="1"/>
  <c r="BP7" i="12"/>
  <c r="BR7" i="12" s="1"/>
  <c r="BS7" i="12"/>
  <c r="BU7" i="12" s="1"/>
  <c r="B8" i="12"/>
  <c r="D8" i="12" s="1"/>
  <c r="E8" i="12"/>
  <c r="G8" i="12" s="1"/>
  <c r="H8" i="12"/>
  <c r="J8" i="12" s="1"/>
  <c r="K8" i="12"/>
  <c r="M8" i="12" s="1"/>
  <c r="N8" i="12"/>
  <c r="P8" i="12" s="1"/>
  <c r="T8" i="12"/>
  <c r="V8" i="12" s="1"/>
  <c r="W8" i="12"/>
  <c r="Y8" i="12" s="1"/>
  <c r="Z8" i="12"/>
  <c r="AB8" i="12" s="1"/>
  <c r="AC8" i="12"/>
  <c r="AE8" i="12" s="1"/>
  <c r="AF8" i="12"/>
  <c r="AH8" i="12" s="1"/>
  <c r="AI8" i="12"/>
  <c r="AK8" i="12" s="1"/>
  <c r="AL8" i="12"/>
  <c r="AN8" i="12" s="1"/>
  <c r="AO8" i="12"/>
  <c r="AQ8" i="12" s="1"/>
  <c r="AR8" i="12"/>
  <c r="AT8" i="12" s="1"/>
  <c r="AU8" i="12"/>
  <c r="AW8" i="12" s="1"/>
  <c r="AX8" i="12"/>
  <c r="AZ8" i="12" s="1"/>
  <c r="BA8" i="12"/>
  <c r="BC8" i="12"/>
  <c r="BD8" i="12"/>
  <c r="BF8" i="12" s="1"/>
  <c r="BG8" i="12"/>
  <c r="BI8" i="12" s="1"/>
  <c r="BJ8" i="12"/>
  <c r="BL8" i="12" s="1"/>
  <c r="BM8" i="12"/>
  <c r="BO8" i="12" s="1"/>
  <c r="BP8" i="12"/>
  <c r="BR8" i="12" s="1"/>
  <c r="BS8" i="12"/>
  <c r="BU8" i="12" s="1"/>
  <c r="B9" i="12"/>
  <c r="D9" i="12" s="1"/>
  <c r="E9" i="12"/>
  <c r="G9" i="12" s="1"/>
  <c r="H9" i="12"/>
  <c r="J9" i="12" s="1"/>
  <c r="K9" i="12"/>
  <c r="M9" i="12" s="1"/>
  <c r="N9" i="12"/>
  <c r="P9" i="12" s="1"/>
  <c r="T9" i="12"/>
  <c r="V9" i="12" s="1"/>
  <c r="W9" i="12"/>
  <c r="Y9" i="12" s="1"/>
  <c r="Z9" i="12"/>
  <c r="AB9" i="12" s="1"/>
  <c r="AC9" i="12"/>
  <c r="AE9" i="12" s="1"/>
  <c r="AF9" i="12"/>
  <c r="AH9" i="12" s="1"/>
  <c r="AI9" i="12"/>
  <c r="AK9" i="12" s="1"/>
  <c r="AL9" i="12"/>
  <c r="AN9" i="12" s="1"/>
  <c r="AO9" i="12"/>
  <c r="AQ9" i="12" s="1"/>
  <c r="AR9" i="12"/>
  <c r="AT9" i="12" s="1"/>
  <c r="AU9" i="12"/>
  <c r="AW9" i="12" s="1"/>
  <c r="AX9" i="12"/>
  <c r="AZ9" i="12" s="1"/>
  <c r="BA9" i="12"/>
  <c r="BC9" i="12" s="1"/>
  <c r="BD9" i="12"/>
  <c r="BF9" i="12" s="1"/>
  <c r="BG9" i="12"/>
  <c r="BI9" i="12" s="1"/>
  <c r="BJ9" i="12"/>
  <c r="BL9" i="12" s="1"/>
  <c r="BM9" i="12"/>
  <c r="BO9" i="12" s="1"/>
  <c r="BP9" i="12"/>
  <c r="BR9" i="12" s="1"/>
  <c r="BS9" i="12"/>
  <c r="BU9" i="12" s="1"/>
  <c r="B10" i="12"/>
  <c r="D10" i="12" s="1"/>
  <c r="E10" i="12"/>
  <c r="G10" i="12" s="1"/>
  <c r="H10" i="12"/>
  <c r="J10" i="12" s="1"/>
  <c r="K10" i="12"/>
  <c r="M10" i="12" s="1"/>
  <c r="N10" i="12"/>
  <c r="P10" i="12" s="1"/>
  <c r="T10" i="12"/>
  <c r="V10" i="12" s="1"/>
  <c r="W10" i="12"/>
  <c r="Y10" i="12" s="1"/>
  <c r="Z10" i="12"/>
  <c r="AB10" i="12" s="1"/>
  <c r="AC10" i="12"/>
  <c r="AE10" i="12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E11" i="12"/>
  <c r="G11" i="12" s="1"/>
  <c r="H11" i="12"/>
  <c r="J11" i="12" s="1"/>
  <c r="K11" i="12"/>
  <c r="M11" i="12" s="1"/>
  <c r="N11" i="12"/>
  <c r="P11" i="12" s="1"/>
  <c r="T11" i="12"/>
  <c r="V11" i="12" s="1"/>
  <c r="W11" i="12"/>
  <c r="Y11" i="12" s="1"/>
  <c r="Z11" i="12"/>
  <c r="AB11" i="12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E12" i="12"/>
  <c r="G12" i="12" s="1"/>
  <c r="H12" i="12"/>
  <c r="J12" i="12" s="1"/>
  <c r="K12" i="12"/>
  <c r="M12" i="12" s="1"/>
  <c r="N12" i="12"/>
  <c r="P12" i="12" s="1"/>
  <c r="T12" i="12"/>
  <c r="V12" i="12" s="1"/>
  <c r="W12" i="12"/>
  <c r="Y12" i="12" s="1"/>
  <c r="Z12" i="12"/>
  <c r="AB12" i="12" s="1"/>
  <c r="AC12" i="12"/>
  <c r="AE12" i="12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E13" i="12"/>
  <c r="G13" i="12" s="1"/>
  <c r="H13" i="12"/>
  <c r="J13" i="12" s="1"/>
  <c r="K13" i="12"/>
  <c r="M13" i="12" s="1"/>
  <c r="N13" i="12"/>
  <c r="P13" i="12" s="1"/>
  <c r="T13" i="12"/>
  <c r="V13" i="12" s="1"/>
  <c r="W13" i="12"/>
  <c r="Y13" i="12" s="1"/>
  <c r="Z13" i="12"/>
  <c r="AB13" i="12" s="1"/>
  <c r="AC13" i="12"/>
  <c r="AE13" i="12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E14" i="12"/>
  <c r="G14" i="12" s="1"/>
  <c r="H14" i="12"/>
  <c r="J14" i="12" s="1"/>
  <c r="K14" i="12"/>
  <c r="M14" i="12" s="1"/>
  <c r="N14" i="12"/>
  <c r="P14" i="12" s="1"/>
  <c r="T14" i="12"/>
  <c r="V14" i="12" s="1"/>
  <c r="W14" i="12"/>
  <c r="Y14" i="12" s="1"/>
  <c r="Z14" i="12"/>
  <c r="AB14" i="12" s="1"/>
  <c r="AC14" i="12"/>
  <c r="AE14" i="12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E15" i="12"/>
  <c r="G15" i="12" s="1"/>
  <c r="H15" i="12"/>
  <c r="J15" i="12" s="1"/>
  <c r="K15" i="12"/>
  <c r="M15" i="12" s="1"/>
  <c r="N15" i="12"/>
  <c r="P15" i="12" s="1"/>
  <c r="T15" i="12"/>
  <c r="V15" i="12" s="1"/>
  <c r="W15" i="12"/>
  <c r="Y15" i="12" s="1"/>
  <c r="Z15" i="12"/>
  <c r="AB15" i="12" s="1"/>
  <c r="AC15" i="12"/>
  <c r="AE15" i="12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E16" i="12"/>
  <c r="G16" i="12" s="1"/>
  <c r="H16" i="12"/>
  <c r="J16" i="12" s="1"/>
  <c r="K16" i="12"/>
  <c r="M16" i="12" s="1"/>
  <c r="N16" i="12"/>
  <c r="P16" i="12" s="1"/>
  <c r="T16" i="12"/>
  <c r="V16" i="12" s="1"/>
  <c r="W16" i="12"/>
  <c r="Y16" i="12" s="1"/>
  <c r="Z16" i="12"/>
  <c r="AB16" i="12" s="1"/>
  <c r="AC16" i="12"/>
  <c r="AE16" i="12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E17" i="12"/>
  <c r="G17" i="12" s="1"/>
  <c r="H17" i="12"/>
  <c r="J17" i="12" s="1"/>
  <c r="K17" i="12"/>
  <c r="M17" i="12" s="1"/>
  <c r="N17" i="12"/>
  <c r="P17" i="12" s="1"/>
  <c r="T17" i="12"/>
  <c r="V17" i="12" s="1"/>
  <c r="W17" i="12"/>
  <c r="Y17" i="12" s="1"/>
  <c r="Z17" i="12"/>
  <c r="AB17" i="12" s="1"/>
  <c r="AC17" i="12"/>
  <c r="AE17" i="12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E18" i="12"/>
  <c r="G18" i="12" s="1"/>
  <c r="H18" i="12"/>
  <c r="J18" i="12" s="1"/>
  <c r="K18" i="12"/>
  <c r="M18" i="12" s="1"/>
  <c r="N18" i="12"/>
  <c r="P18" i="12" s="1"/>
  <c r="T18" i="12"/>
  <c r="V18" i="12" s="1"/>
  <c r="W18" i="12"/>
  <c r="Y18" i="12" s="1"/>
  <c r="Z18" i="12"/>
  <c r="AB18" i="12" s="1"/>
  <c r="AC18" i="12"/>
  <c r="AE18" i="12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E19" i="12"/>
  <c r="G19" i="12" s="1"/>
  <c r="H19" i="12"/>
  <c r="J19" i="12" s="1"/>
  <c r="K19" i="12"/>
  <c r="M19" i="12" s="1"/>
  <c r="N19" i="12"/>
  <c r="P19" i="12" s="1"/>
  <c r="T19" i="12"/>
  <c r="V19" i="12" s="1"/>
  <c r="W19" i="12"/>
  <c r="Y19" i="12" s="1"/>
  <c r="Z19" i="12"/>
  <c r="AB19" i="12" s="1"/>
  <c r="AC19" i="12"/>
  <c r="AE19" i="12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E20" i="12"/>
  <c r="G20" i="12" s="1"/>
  <c r="H20" i="12"/>
  <c r="J20" i="12" s="1"/>
  <c r="K20" i="12"/>
  <c r="M20" i="12" s="1"/>
  <c r="N20" i="12"/>
  <c r="P20" i="12" s="1"/>
  <c r="T20" i="12"/>
  <c r="V20" i="12" s="1"/>
  <c r="W20" i="12"/>
  <c r="Y20" i="12" s="1"/>
  <c r="Z20" i="12"/>
  <c r="AB20" i="12" s="1"/>
  <c r="AC20" i="12"/>
  <c r="AE20" i="12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E21" i="12"/>
  <c r="G21" i="12" s="1"/>
  <c r="H21" i="12"/>
  <c r="J21" i="12" s="1"/>
  <c r="K21" i="12"/>
  <c r="M21" i="12" s="1"/>
  <c r="N21" i="12"/>
  <c r="P21" i="12" s="1"/>
  <c r="T21" i="12"/>
  <c r="V21" i="12" s="1"/>
  <c r="W21" i="12"/>
  <c r="Y21" i="12" s="1"/>
  <c r="Z21" i="12"/>
  <c r="AB21" i="12" s="1"/>
  <c r="AC21" i="12"/>
  <c r="AE21" i="12" s="1"/>
  <c r="AF21" i="12"/>
  <c r="AH21" i="12" s="1"/>
  <c r="AI21" i="12"/>
  <c r="AK21" i="12" s="1"/>
  <c r="AL21" i="12"/>
  <c r="AN21" i="12" s="1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E22" i="12"/>
  <c r="G22" i="12" s="1"/>
  <c r="H22" i="12"/>
  <c r="J22" i="12" s="1"/>
  <c r="K22" i="12"/>
  <c r="M22" i="12" s="1"/>
  <c r="N22" i="12"/>
  <c r="P22" i="12" s="1"/>
  <c r="T22" i="12"/>
  <c r="V22" i="12" s="1"/>
  <c r="W22" i="12"/>
  <c r="Y22" i="12" s="1"/>
  <c r="Z22" i="12"/>
  <c r="AB22" i="12" s="1"/>
  <c r="AC22" i="12"/>
  <c r="AE22" i="12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E23" i="12"/>
  <c r="G23" i="12" s="1"/>
  <c r="H23" i="12"/>
  <c r="J23" i="12" s="1"/>
  <c r="K23" i="12"/>
  <c r="M23" i="12" s="1"/>
  <c r="N23" i="12"/>
  <c r="P23" i="12" s="1"/>
  <c r="T23" i="12"/>
  <c r="V23" i="12" s="1"/>
  <c r="W23" i="12"/>
  <c r="Y23" i="12" s="1"/>
  <c r="Z23" i="12"/>
  <c r="AB23" i="12" s="1"/>
  <c r="AC23" i="12"/>
  <c r="AE23" i="12" s="1"/>
  <c r="AF23" i="12"/>
  <c r="AH23" i="12" s="1"/>
  <c r="AI23" i="12"/>
  <c r="AK23" i="12" s="1"/>
  <c r="AL23" i="12"/>
  <c r="AN23" i="12" s="1"/>
  <c r="AO23" i="12"/>
  <c r="AQ23" i="12" s="1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E24" i="12"/>
  <c r="G24" i="12" s="1"/>
  <c r="H24" i="12"/>
  <c r="J24" i="12" s="1"/>
  <c r="K24" i="12"/>
  <c r="M24" i="12" s="1"/>
  <c r="N24" i="12"/>
  <c r="P24" i="12" s="1"/>
  <c r="T24" i="12"/>
  <c r="V24" i="12" s="1"/>
  <c r="W24" i="12"/>
  <c r="Y24" i="12" s="1"/>
  <c r="Z24" i="12"/>
  <c r="AB24" i="12" s="1"/>
  <c r="AC24" i="12"/>
  <c r="AE24" i="12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E25" i="12"/>
  <c r="G25" i="12" s="1"/>
  <c r="H25" i="12"/>
  <c r="J25" i="12" s="1"/>
  <c r="K25" i="12"/>
  <c r="M25" i="12" s="1"/>
  <c r="N25" i="12"/>
  <c r="P25" i="12" s="1"/>
  <c r="T25" i="12"/>
  <c r="V25" i="12" s="1"/>
  <c r="W25" i="12"/>
  <c r="Y25" i="12" s="1"/>
  <c r="Z25" i="12"/>
  <c r="AB25" i="12" s="1"/>
  <c r="AC25" i="12"/>
  <c r="AE25" i="12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/>
  <c r="BS25" i="12"/>
  <c r="BU25" i="12" s="1"/>
  <c r="B26" i="12"/>
  <c r="D26" i="12" s="1"/>
  <c r="E26" i="12"/>
  <c r="G26" i="12" s="1"/>
  <c r="H26" i="12"/>
  <c r="J26" i="12" s="1"/>
  <c r="K26" i="12"/>
  <c r="M26" i="12" s="1"/>
  <c r="N26" i="12"/>
  <c r="P26" i="12" s="1"/>
  <c r="T26" i="12"/>
  <c r="V26" i="12" s="1"/>
  <c r="W26" i="12"/>
  <c r="Y26" i="12" s="1"/>
  <c r="Z26" i="12"/>
  <c r="AB26" i="12" s="1"/>
  <c r="AC26" i="12"/>
  <c r="AE26" i="12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E27" i="12"/>
  <c r="G27" i="12" s="1"/>
  <c r="H27" i="12"/>
  <c r="J27" i="12" s="1"/>
  <c r="K27" i="12"/>
  <c r="M27" i="12" s="1"/>
  <c r="N27" i="12"/>
  <c r="P27" i="12" s="1"/>
  <c r="T27" i="12"/>
  <c r="V27" i="12" s="1"/>
  <c r="W27" i="12"/>
  <c r="Y27" i="12" s="1"/>
  <c r="Z27" i="12"/>
  <c r="AB27" i="12" s="1"/>
  <c r="AC27" i="12"/>
  <c r="AE27" i="12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E28" i="12"/>
  <c r="G28" i="12" s="1"/>
  <c r="H28" i="12"/>
  <c r="J28" i="12" s="1"/>
  <c r="K28" i="12"/>
  <c r="M28" i="12" s="1"/>
  <c r="N28" i="12"/>
  <c r="P28" i="12" s="1"/>
  <c r="T28" i="12"/>
  <c r="V28" i="12" s="1"/>
  <c r="W28" i="12"/>
  <c r="Y28" i="12" s="1"/>
  <c r="Z28" i="12"/>
  <c r="AB28" i="12" s="1"/>
  <c r="AC28" i="12"/>
  <c r="AE28" i="12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E29" i="12"/>
  <c r="G29" i="12" s="1"/>
  <c r="H29" i="12"/>
  <c r="J29" i="12" s="1"/>
  <c r="K29" i="12"/>
  <c r="M29" i="12" s="1"/>
  <c r="N29" i="12"/>
  <c r="P29" i="12" s="1"/>
  <c r="T29" i="12"/>
  <c r="V29" i="12" s="1"/>
  <c r="W29" i="12"/>
  <c r="Y29" i="12" s="1"/>
  <c r="Z29" i="12"/>
  <c r="AB29" i="12" s="1"/>
  <c r="AC29" i="12"/>
  <c r="AE29" i="12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E30" i="12"/>
  <c r="G30" i="12" s="1"/>
  <c r="H30" i="12"/>
  <c r="J30" i="12" s="1"/>
  <c r="K30" i="12"/>
  <c r="M30" i="12" s="1"/>
  <c r="N30" i="12"/>
  <c r="P30" i="12" s="1"/>
  <c r="T30" i="12"/>
  <c r="V30" i="12" s="1"/>
  <c r="W30" i="12"/>
  <c r="Y30" i="12" s="1"/>
  <c r="Z30" i="12"/>
  <c r="AB30" i="12" s="1"/>
  <c r="AC30" i="12"/>
  <c r="AE30" i="12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 s="1"/>
  <c r="E31" i="12"/>
  <c r="G31" i="12" s="1"/>
  <c r="H31" i="12"/>
  <c r="J31" i="12" s="1"/>
  <c r="K31" i="12"/>
  <c r="M31" i="12" s="1"/>
  <c r="N31" i="12"/>
  <c r="P31" i="12" s="1"/>
  <c r="T31" i="12"/>
  <c r="V31" i="12" s="1"/>
  <c r="W31" i="12"/>
  <c r="Y31" i="12" s="1"/>
  <c r="Z31" i="12"/>
  <c r="AB31" i="12" s="1"/>
  <c r="AC31" i="12"/>
  <c r="AE31" i="12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E32" i="12"/>
  <c r="G32" i="12" s="1"/>
  <c r="H32" i="12"/>
  <c r="J32" i="12" s="1"/>
  <c r="K32" i="12"/>
  <c r="M32" i="12" s="1"/>
  <c r="N32" i="12"/>
  <c r="P32" i="12" s="1"/>
  <c r="T32" i="12"/>
  <c r="V32" i="12" s="1"/>
  <c r="W32" i="12"/>
  <c r="Y32" i="12" s="1"/>
  <c r="Z32" i="12"/>
  <c r="AB32" i="12" s="1"/>
  <c r="AC32" i="12"/>
  <c r="AE32" i="12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E33" i="12"/>
  <c r="G33" i="12" s="1"/>
  <c r="H33" i="12"/>
  <c r="J33" i="12" s="1"/>
  <c r="K33" i="12"/>
  <c r="M33" i="12" s="1"/>
  <c r="N33" i="12"/>
  <c r="T33" i="12"/>
  <c r="V33" i="12" s="1"/>
  <c r="W33" i="12"/>
  <c r="Y33" i="12" s="1"/>
  <c r="Z33" i="12"/>
  <c r="AB33" i="12" s="1"/>
  <c r="AC33" i="12"/>
  <c r="AE33" i="12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/>
  <c r="B34" i="12"/>
  <c r="D34" i="12" s="1"/>
  <c r="E34" i="12"/>
  <c r="G34" i="12" s="1"/>
  <c r="H34" i="12"/>
  <c r="J34" i="12" s="1"/>
  <c r="K34" i="12"/>
  <c r="M34" i="12" s="1"/>
  <c r="BM34" i="12"/>
  <c r="BO34" i="12" s="1"/>
  <c r="BP34" i="12"/>
  <c r="BR34" i="12" s="1"/>
  <c r="B38" i="3"/>
  <c r="D38" i="3" s="1"/>
  <c r="C33" i="15" s="1"/>
  <c r="B39" i="3"/>
  <c r="D39" i="3" s="1"/>
  <c r="B39" i="7"/>
  <c r="D39" i="7" s="1"/>
  <c r="G34" i="15" s="1"/>
  <c r="B38" i="7"/>
  <c r="D38" i="7" s="1"/>
  <c r="G33" i="15" s="1"/>
  <c r="B39" i="5"/>
  <c r="D39" i="5" s="1"/>
  <c r="E34" i="15" s="1"/>
  <c r="B38" i="5"/>
  <c r="B33" i="9"/>
  <c r="D33" i="9" s="1"/>
  <c r="K33" i="9" s="1"/>
  <c r="L33" i="9" s="1"/>
  <c r="B32" i="9"/>
  <c r="D32" i="9" s="1"/>
  <c r="K32" i="9" s="1"/>
  <c r="L32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K12" i="9" s="1"/>
  <c r="L12" i="9" s="1"/>
  <c r="B13" i="9"/>
  <c r="D13" i="9" s="1"/>
  <c r="B14" i="9"/>
  <c r="D14" i="9" s="1"/>
  <c r="B15" i="9"/>
  <c r="D15" i="9" s="1"/>
  <c r="C19" i="2" s="1"/>
  <c r="B16" i="9"/>
  <c r="D16" i="9" s="1"/>
  <c r="B17" i="9"/>
  <c r="D17" i="9" s="1"/>
  <c r="B18" i="9"/>
  <c r="D18" i="9" s="1"/>
  <c r="B19" i="9"/>
  <c r="D19" i="9" s="1"/>
  <c r="B20" i="9"/>
  <c r="D20" i="9" s="1"/>
  <c r="K20" i="9" s="1"/>
  <c r="L20" i="9" s="1"/>
  <c r="B21" i="9"/>
  <c r="D21" i="9" s="1"/>
  <c r="I21" i="9" s="1"/>
  <c r="B22" i="9"/>
  <c r="D22" i="9" s="1"/>
  <c r="B23" i="9"/>
  <c r="D23" i="9" s="1"/>
  <c r="B24" i="9"/>
  <c r="D24" i="9" s="1"/>
  <c r="B25" i="9"/>
  <c r="D25" i="9" s="1"/>
  <c r="K25" i="9" s="1"/>
  <c r="L25" i="9" s="1"/>
  <c r="B26" i="9"/>
  <c r="D26" i="9" s="1"/>
  <c r="K26" i="9" s="1"/>
  <c r="L26" i="9" s="1"/>
  <c r="B27" i="9"/>
  <c r="D27" i="9" s="1"/>
  <c r="B28" i="9"/>
  <c r="D28" i="9" s="1"/>
  <c r="B29" i="9"/>
  <c r="D29" i="9" s="1"/>
  <c r="K29" i="9" s="1"/>
  <c r="L29" i="9" s="1"/>
  <c r="B30" i="9"/>
  <c r="D30" i="9" s="1"/>
  <c r="C34" i="2" s="1"/>
  <c r="B31" i="9"/>
  <c r="D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E6" i="15" s="1"/>
  <c r="D5" i="9"/>
  <c r="K5" i="9" s="1"/>
  <c r="L5" i="9" s="1"/>
  <c r="D9" i="11"/>
  <c r="D9" i="2" s="1"/>
  <c r="B11" i="3"/>
  <c r="D11" i="3" s="1"/>
  <c r="C6" i="15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C11" i="15" s="1"/>
  <c r="B17" i="3"/>
  <c r="D17" i="3" s="1"/>
  <c r="C12" i="15" s="1"/>
  <c r="B18" i="3"/>
  <c r="D18" i="3" s="1"/>
  <c r="B19" i="3"/>
  <c r="D19" i="3" s="1"/>
  <c r="B20" i="3"/>
  <c r="D20" i="3" s="1"/>
  <c r="C15" i="15" s="1"/>
  <c r="B21" i="3"/>
  <c r="D21" i="3" s="1"/>
  <c r="C16" i="15" s="1"/>
  <c r="B22" i="3"/>
  <c r="D22" i="3" s="1"/>
  <c r="C17" i="15" s="1"/>
  <c r="B23" i="3"/>
  <c r="D23" i="3" s="1"/>
  <c r="C18" i="15" s="1"/>
  <c r="B24" i="3"/>
  <c r="B25" i="3"/>
  <c r="D25" i="3" s="1"/>
  <c r="C20" i="15" s="1"/>
  <c r="B26" i="3"/>
  <c r="B27" i="3"/>
  <c r="D27" i="3" s="1"/>
  <c r="B28" i="3"/>
  <c r="D28" i="3" s="1"/>
  <c r="C23" i="15" s="1"/>
  <c r="B29" i="3"/>
  <c r="D29" i="3" s="1"/>
  <c r="B30" i="3"/>
  <c r="D30" i="3" s="1"/>
  <c r="B31" i="3"/>
  <c r="D31" i="3" s="1"/>
  <c r="D10" i="3"/>
  <c r="C5" i="15" s="1"/>
  <c r="D10" i="5"/>
  <c r="E5" i="15" s="1"/>
  <c r="D10" i="6"/>
  <c r="F5" i="15" s="1"/>
  <c r="D10" i="7"/>
  <c r="G5" i="15" s="1"/>
  <c r="B37" i="3"/>
  <c r="D37" i="3" s="1"/>
  <c r="B36" i="3"/>
  <c r="B35" i="3"/>
  <c r="B34" i="3"/>
  <c r="D34" i="3" s="1"/>
  <c r="C29" i="15" s="1"/>
  <c r="B33" i="3"/>
  <c r="D33" i="3" s="1"/>
  <c r="C28" i="15" s="1"/>
  <c r="B32" i="3"/>
  <c r="D32" i="3" s="1"/>
  <c r="D35" i="7"/>
  <c r="G30" i="15" s="1"/>
  <c r="P33" i="12"/>
  <c r="D26" i="1"/>
  <c r="D27" i="2"/>
  <c r="D24" i="1"/>
  <c r="D25" i="2"/>
  <c r="I20" i="9"/>
  <c r="D23" i="1"/>
  <c r="D35" i="2"/>
  <c r="C28" i="1"/>
  <c r="C25" i="22" l="1"/>
  <c r="C29" i="1"/>
  <c r="C30" i="2"/>
  <c r="D39" i="2"/>
  <c r="C29" i="22"/>
  <c r="I27" i="9"/>
  <c r="C31" i="2"/>
  <c r="C32" i="15"/>
  <c r="B35" i="1"/>
  <c r="C33" i="22"/>
  <c r="I15" i="9"/>
  <c r="C33" i="1"/>
  <c r="H20" i="22"/>
  <c r="I17" i="17" s="1"/>
  <c r="C30" i="22"/>
  <c r="D30" i="22" s="1"/>
  <c r="E27" i="17" s="1"/>
  <c r="C35" i="1"/>
  <c r="D28" i="2"/>
  <c r="C36" i="2"/>
  <c r="C32" i="1"/>
  <c r="E36" i="2"/>
  <c r="I34" i="9"/>
  <c r="K34" i="9"/>
  <c r="L34" i="9" s="1"/>
  <c r="C38" i="2"/>
  <c r="H35" i="22"/>
  <c r="H34" i="22"/>
  <c r="I31" i="17" s="1"/>
  <c r="D36" i="2"/>
  <c r="H33" i="22"/>
  <c r="I30" i="17" s="1"/>
  <c r="I32" i="9"/>
  <c r="I30" i="9"/>
  <c r="H32" i="15"/>
  <c r="H31" i="22"/>
  <c r="I28" i="17" s="1"/>
  <c r="E29" i="22"/>
  <c r="E33" i="2"/>
  <c r="E32" i="1"/>
  <c r="E27" i="22"/>
  <c r="E31" i="2"/>
  <c r="D33" i="2"/>
  <c r="K30" i="9"/>
  <c r="L30" i="9" s="1"/>
  <c r="C33" i="2"/>
  <c r="I29" i="9"/>
  <c r="D35" i="3"/>
  <c r="C28" i="22"/>
  <c r="D29" i="22" s="1"/>
  <c r="E26" i="17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I26" i="9"/>
  <c r="I25" i="9"/>
  <c r="C26" i="15"/>
  <c r="B29" i="1"/>
  <c r="D28" i="1"/>
  <c r="H24" i="22"/>
  <c r="I21" i="17" s="1"/>
  <c r="H22" i="22"/>
  <c r="I19" i="17" s="1"/>
  <c r="H21" i="22"/>
  <c r="I18" i="17" s="1"/>
  <c r="C25" i="1"/>
  <c r="K22" i="9"/>
  <c r="L22" i="9" s="1"/>
  <c r="K21" i="9"/>
  <c r="L21" i="9" s="1"/>
  <c r="C25" i="2"/>
  <c r="C24" i="1"/>
  <c r="C18" i="22"/>
  <c r="B27" i="2"/>
  <c r="I27" i="2" s="1"/>
  <c r="E23" i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B38" i="2"/>
  <c r="B37" i="1"/>
  <c r="D20" i="1"/>
  <c r="D21" i="2"/>
  <c r="E19" i="22"/>
  <c r="E23" i="2"/>
  <c r="E22" i="1"/>
  <c r="E28" i="22"/>
  <c r="F29" i="22" s="1"/>
  <c r="G26" i="17" s="1"/>
  <c r="E31" i="1"/>
  <c r="E32" i="2"/>
  <c r="B34" i="2"/>
  <c r="H34" i="2" s="1"/>
  <c r="K28" i="9"/>
  <c r="L28" i="9" s="1"/>
  <c r="C31" i="1"/>
  <c r="I28" i="9"/>
  <c r="C32" i="2"/>
  <c r="K24" i="9"/>
  <c r="L24" i="9" s="1"/>
  <c r="I24" i="9"/>
  <c r="C28" i="2"/>
  <c r="C27" i="1"/>
  <c r="D25" i="1"/>
  <c r="D26" i="2"/>
  <c r="C39" i="2"/>
  <c r="C38" i="1"/>
  <c r="B30" i="1"/>
  <c r="C27" i="15"/>
  <c r="H27" i="15" s="1"/>
  <c r="B31" i="2"/>
  <c r="K31" i="9"/>
  <c r="L31" i="9" s="1"/>
  <c r="I31" i="9"/>
  <c r="C34" i="1"/>
  <c r="C35" i="2"/>
  <c r="D37" i="1"/>
  <c r="D38" i="2"/>
  <c r="E25" i="22"/>
  <c r="E29" i="2"/>
  <c r="E28" i="1"/>
  <c r="I22" i="9"/>
  <c r="C6" i="22"/>
  <c r="B30" i="2"/>
  <c r="D30" i="1"/>
  <c r="C30" i="15"/>
  <c r="H30" i="15" s="1"/>
  <c r="D34" i="4"/>
  <c r="E30" i="1"/>
  <c r="E18" i="22"/>
  <c r="H26" i="15"/>
  <c r="B33" i="1"/>
  <c r="K27" i="9"/>
  <c r="L27" i="9" s="1"/>
  <c r="K15" i="9"/>
  <c r="L15" i="9" s="1"/>
  <c r="C26" i="2"/>
  <c r="C22" i="22"/>
  <c r="D24" i="3"/>
  <c r="B22" i="1" s="1"/>
  <c r="D36" i="3"/>
  <c r="C31" i="22"/>
  <c r="D31" i="22" s="1"/>
  <c r="E28" i="17" s="1"/>
  <c r="H23" i="22"/>
  <c r="I20" i="17" s="1"/>
  <c r="C30" i="1"/>
  <c r="H23" i="15"/>
  <c r="F30" i="22"/>
  <c r="G27" i="17" s="1"/>
  <c r="E21" i="1"/>
  <c r="E32" i="22"/>
  <c r="D10" i="1"/>
  <c r="C24" i="22"/>
  <c r="D25" i="22" s="1"/>
  <c r="E22" i="17" s="1"/>
  <c r="C5" i="22"/>
  <c r="D5" i="22" s="1"/>
  <c r="E2" i="17" s="1"/>
  <c r="C20" i="22"/>
  <c r="H28" i="22"/>
  <c r="I25" i="17" s="1"/>
  <c r="C35" i="22"/>
  <c r="B36" i="2"/>
  <c r="D36" i="1"/>
  <c r="C26" i="22"/>
  <c r="D26" i="22" s="1"/>
  <c r="E23" i="17" s="1"/>
  <c r="C19" i="22"/>
  <c r="C18" i="1"/>
  <c r="H28" i="15"/>
  <c r="V22" i="19"/>
  <c r="F25" i="2" s="1"/>
  <c r="V23" i="19"/>
  <c r="F26" i="2" s="1"/>
  <c r="V24" i="19"/>
  <c r="F26" i="1" s="1"/>
  <c r="V25" i="19"/>
  <c r="F28" i="2" s="1"/>
  <c r="V26" i="19"/>
  <c r="F29" i="2" s="1"/>
  <c r="V27" i="19"/>
  <c r="F30" i="2" s="1"/>
  <c r="V28" i="19"/>
  <c r="F31" i="2" s="1"/>
  <c r="V29" i="19"/>
  <c r="F32" i="2" s="1"/>
  <c r="V30" i="19"/>
  <c r="F32" i="1" s="1"/>
  <c r="V31" i="19"/>
  <c r="F34" i="2" s="1"/>
  <c r="V32" i="19"/>
  <c r="F35" i="2" s="1"/>
  <c r="V33" i="19"/>
  <c r="V34" i="19"/>
  <c r="F37" i="2" s="1"/>
  <c r="V35" i="19"/>
  <c r="F38" i="2" s="1"/>
  <c r="V36" i="19"/>
  <c r="F20" i="22"/>
  <c r="G17" i="17" s="1"/>
  <c r="C8" i="1"/>
  <c r="I5" i="9"/>
  <c r="C9" i="2"/>
  <c r="D18" i="1"/>
  <c r="D19" i="2"/>
  <c r="H11" i="22"/>
  <c r="I8" i="17" s="1"/>
  <c r="H7" i="22"/>
  <c r="I4" i="17" s="1"/>
  <c r="H15" i="22"/>
  <c r="I12" i="17" s="1"/>
  <c r="I2" i="17"/>
  <c r="C26" i="1"/>
  <c r="I23" i="9"/>
  <c r="C27" i="2"/>
  <c r="K23" i="9"/>
  <c r="L23" i="9" s="1"/>
  <c r="D34" i="2"/>
  <c r="D33" i="1"/>
  <c r="F20" i="15"/>
  <c r="H20" i="15" s="1"/>
  <c r="B23" i="1"/>
  <c r="C24" i="15"/>
  <c r="H24" i="15" s="1"/>
  <c r="B27" i="1"/>
  <c r="B28" i="2"/>
  <c r="B26" i="2"/>
  <c r="I26" i="2" s="1"/>
  <c r="B25" i="1"/>
  <c r="C22" i="15"/>
  <c r="H22" i="15" s="1"/>
  <c r="D40" i="5"/>
  <c r="C34" i="22"/>
  <c r="B28" i="1"/>
  <c r="C29" i="2"/>
  <c r="C21" i="22"/>
  <c r="E28" i="2"/>
  <c r="E27" i="1"/>
  <c r="E24" i="22"/>
  <c r="E34" i="22"/>
  <c r="E37" i="1"/>
  <c r="D8" i="1"/>
  <c r="C17" i="22"/>
  <c r="B24" i="2"/>
  <c r="I24" i="2" s="1"/>
  <c r="D26" i="3"/>
  <c r="H18" i="15"/>
  <c r="E26" i="2"/>
  <c r="E22" i="22"/>
  <c r="F22" i="22" s="1"/>
  <c r="G19" i="17" s="1"/>
  <c r="E25" i="1"/>
  <c r="E35" i="22"/>
  <c r="E39" i="2"/>
  <c r="E38" i="1"/>
  <c r="E34" i="1"/>
  <c r="E31" i="22"/>
  <c r="F31" i="22" s="1"/>
  <c r="G28" i="17" s="1"/>
  <c r="B21" i="1"/>
  <c r="B26" i="1"/>
  <c r="C36" i="1"/>
  <c r="I33" i="9"/>
  <c r="H34" i="15"/>
  <c r="C23" i="22"/>
  <c r="D38" i="5"/>
  <c r="E33" i="15" s="1"/>
  <c r="H33" i="15" s="1"/>
  <c r="C32" i="22"/>
  <c r="E27" i="2"/>
  <c r="E26" i="1"/>
  <c r="E23" i="22"/>
  <c r="E37" i="2"/>
  <c r="E36" i="1"/>
  <c r="E33" i="22"/>
  <c r="E25" i="2"/>
  <c r="E24" i="1"/>
  <c r="B22" i="2"/>
  <c r="C10" i="22"/>
  <c r="B32" i="2"/>
  <c r="B31" i="1"/>
  <c r="C37" i="2"/>
  <c r="C27" i="22"/>
  <c r="C21" i="1"/>
  <c r="K18" i="9"/>
  <c r="L18" i="9" s="1"/>
  <c r="E34" i="2"/>
  <c r="E33" i="1"/>
  <c r="H12" i="22"/>
  <c r="I9" i="17" s="1"/>
  <c r="H37" i="21"/>
  <c r="V20" i="19"/>
  <c r="F23" i="2" s="1"/>
  <c r="V21" i="19"/>
  <c r="F23" i="1" s="1"/>
  <c r="H8" i="22"/>
  <c r="I5" i="17" s="1"/>
  <c r="H16" i="22"/>
  <c r="I13" i="17" s="1"/>
  <c r="C16" i="22"/>
  <c r="C11" i="22"/>
  <c r="V15" i="19"/>
  <c r="F18" i="2" s="1"/>
  <c r="H14" i="22"/>
  <c r="I11" i="17" s="1"/>
  <c r="H17" i="22"/>
  <c r="I14" i="17" s="1"/>
  <c r="V11" i="19"/>
  <c r="F13" i="1" s="1"/>
  <c r="S37" i="19"/>
  <c r="H9" i="22"/>
  <c r="I6" i="17" s="1"/>
  <c r="N37" i="19"/>
  <c r="V12" i="19"/>
  <c r="F15" i="2" s="1"/>
  <c r="V16" i="19"/>
  <c r="F19" i="2" s="1"/>
  <c r="V10" i="19"/>
  <c r="F13" i="2" s="1"/>
  <c r="V14" i="19"/>
  <c r="F16" i="1" s="1"/>
  <c r="V18" i="19"/>
  <c r="F20" i="1" s="1"/>
  <c r="V13" i="19"/>
  <c r="F16" i="2" s="1"/>
  <c r="V17" i="19"/>
  <c r="F20" i="2" s="1"/>
  <c r="V9" i="19"/>
  <c r="F11" i="1" s="1"/>
  <c r="H6" i="22"/>
  <c r="I3" i="17" s="1"/>
  <c r="V8" i="19"/>
  <c r="F11" i="2" s="1"/>
  <c r="V7" i="19"/>
  <c r="F9" i="1" s="1"/>
  <c r="I37" i="19"/>
  <c r="H13" i="22"/>
  <c r="I10" i="17" s="1"/>
  <c r="V19" i="19"/>
  <c r="F22" i="2" s="1"/>
  <c r="H10" i="22"/>
  <c r="I7" i="17" s="1"/>
  <c r="V6" i="19"/>
  <c r="D37" i="19"/>
  <c r="CP36" i="12"/>
  <c r="CM36" i="12"/>
  <c r="CJ36" i="12"/>
  <c r="CG36" i="12"/>
  <c r="CD36" i="12"/>
  <c r="CA36" i="12"/>
  <c r="BX36" i="12"/>
  <c r="BU36" i="12"/>
  <c r="BR36" i="12"/>
  <c r="BO36" i="12"/>
  <c r="BL36" i="12"/>
  <c r="BI36" i="12"/>
  <c r="BF36" i="12"/>
  <c r="BC36" i="12"/>
  <c r="AZ36" i="12"/>
  <c r="AW36" i="12"/>
  <c r="AT36" i="12"/>
  <c r="AQ36" i="12"/>
  <c r="AN36" i="12"/>
  <c r="AK36" i="12"/>
  <c r="AH36" i="12"/>
  <c r="AE36" i="12"/>
  <c r="AB36" i="12"/>
  <c r="Y36" i="12"/>
  <c r="V36" i="12"/>
  <c r="S36" i="12"/>
  <c r="P36" i="12"/>
  <c r="M36" i="12"/>
  <c r="J36" i="12"/>
  <c r="G36" i="12"/>
  <c r="D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F13" i="22" s="1"/>
  <c r="G10" i="17" s="1"/>
  <c r="E16" i="22"/>
  <c r="F16" i="22" s="1"/>
  <c r="G13" i="17" s="1"/>
  <c r="E14" i="22"/>
  <c r="E9" i="2"/>
  <c r="E8" i="1"/>
  <c r="G37" i="2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40" i="11"/>
  <c r="D10" i="2"/>
  <c r="D9" i="1"/>
  <c r="I14" i="9"/>
  <c r="C17" i="1"/>
  <c r="C18" i="2"/>
  <c r="K14" i="9"/>
  <c r="L14" i="9" s="1"/>
  <c r="C17" i="2"/>
  <c r="C16" i="1"/>
  <c r="K13" i="9"/>
  <c r="L13" i="9" s="1"/>
  <c r="I13" i="9"/>
  <c r="C16" i="2"/>
  <c r="K10" i="9"/>
  <c r="L10" i="9" s="1"/>
  <c r="C14" i="2"/>
  <c r="I10" i="9"/>
  <c r="C13" i="1"/>
  <c r="C12" i="1"/>
  <c r="I9" i="9"/>
  <c r="K9" i="9"/>
  <c r="L9" i="9" s="1"/>
  <c r="C13" i="2"/>
  <c r="C20" i="1"/>
  <c r="C21" i="2"/>
  <c r="I17" i="9"/>
  <c r="K17" i="9"/>
  <c r="L17" i="9" s="1"/>
  <c r="C12" i="2"/>
  <c r="I8" i="9"/>
  <c r="K8" i="9"/>
  <c r="L8" i="9" s="1"/>
  <c r="C11" i="1"/>
  <c r="C23" i="2"/>
  <c r="K19" i="9"/>
  <c r="L19" i="9" s="1"/>
  <c r="I19" i="9"/>
  <c r="C22" i="1"/>
  <c r="I16" i="9"/>
  <c r="C19" i="1"/>
  <c r="C20" i="2"/>
  <c r="K16" i="9"/>
  <c r="L16" i="9" s="1"/>
  <c r="I11" i="9"/>
  <c r="C14" i="1"/>
  <c r="C15" i="2"/>
  <c r="K11" i="9"/>
  <c r="L11" i="9" s="1"/>
  <c r="C15" i="1"/>
  <c r="C23" i="1"/>
  <c r="C24" i="2"/>
  <c r="I12" i="9"/>
  <c r="I18" i="9"/>
  <c r="C22" i="2"/>
  <c r="C10" i="1"/>
  <c r="C11" i="2"/>
  <c r="K7" i="9"/>
  <c r="L7" i="9" s="1"/>
  <c r="I7" i="9"/>
  <c r="D36" i="9"/>
  <c r="K36" i="9" s="1"/>
  <c r="L36" i="9" s="1"/>
  <c r="K6" i="9"/>
  <c r="L6" i="9" s="1"/>
  <c r="C9" i="1"/>
  <c r="I6" i="9"/>
  <c r="C10" i="2"/>
  <c r="C8" i="22"/>
  <c r="C15" i="22"/>
  <c r="D17" i="7"/>
  <c r="G12" i="15" s="1"/>
  <c r="G36" i="15" s="1"/>
  <c r="C7" i="22"/>
  <c r="B9" i="2"/>
  <c r="I9" i="2" s="1"/>
  <c r="C14" i="22"/>
  <c r="D41" i="6"/>
  <c r="B19" i="1"/>
  <c r="E16" i="15"/>
  <c r="H16" i="15" s="1"/>
  <c r="B20" i="2"/>
  <c r="C13" i="22"/>
  <c r="B11" i="1"/>
  <c r="B12" i="2"/>
  <c r="B15" i="2"/>
  <c r="D11" i="15"/>
  <c r="H11" i="15" s="1"/>
  <c r="B14" i="1"/>
  <c r="D20" i="4"/>
  <c r="H9" i="15"/>
  <c r="H17" i="15"/>
  <c r="B20" i="1"/>
  <c r="H8" i="15"/>
  <c r="B10" i="2"/>
  <c r="D6" i="15"/>
  <c r="H6" i="15" s="1"/>
  <c r="B9" i="1"/>
  <c r="D5" i="15"/>
  <c r="B8" i="1"/>
  <c r="B21" i="2"/>
  <c r="B17" i="1"/>
  <c r="B18" i="2"/>
  <c r="C14" i="15"/>
  <c r="H14" i="15" s="1"/>
  <c r="C13" i="15"/>
  <c r="H13" i="15" s="1"/>
  <c r="B17" i="2"/>
  <c r="B16" i="1"/>
  <c r="C12" i="22"/>
  <c r="B14" i="2"/>
  <c r="C10" i="15"/>
  <c r="H10" i="15" s="1"/>
  <c r="B13" i="1"/>
  <c r="C9" i="22"/>
  <c r="B13" i="2"/>
  <c r="B12" i="1"/>
  <c r="C7" i="15"/>
  <c r="H7" i="15" s="1"/>
  <c r="B10" i="1"/>
  <c r="B11" i="2"/>
  <c r="H31" i="2" l="1"/>
  <c r="D6" i="22"/>
  <c r="E3" i="17" s="1"/>
  <c r="D7" i="22"/>
  <c r="E4" i="17" s="1"/>
  <c r="D41" i="4"/>
  <c r="H27" i="2"/>
  <c r="I17" i="2"/>
  <c r="D8" i="22"/>
  <c r="E5" i="17" s="1"/>
  <c r="D28" i="22"/>
  <c r="E25" i="17" s="1"/>
  <c r="D11" i="22"/>
  <c r="E8" i="17" s="1"/>
  <c r="F27" i="22"/>
  <c r="G24" i="17" s="1"/>
  <c r="F25" i="1"/>
  <c r="D41" i="3"/>
  <c r="H38" i="2"/>
  <c r="F33" i="22"/>
  <c r="G30" i="17" s="1"/>
  <c r="I38" i="2"/>
  <c r="I36" i="2"/>
  <c r="D41" i="5"/>
  <c r="F37" i="1"/>
  <c r="H36" i="2"/>
  <c r="B34" i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8" i="1"/>
  <c r="F30" i="1"/>
  <c r="H30" i="2"/>
  <c r="I30" i="2"/>
  <c r="D41" i="7"/>
  <c r="F36" i="2"/>
  <c r="F35" i="1"/>
  <c r="B33" i="2"/>
  <c r="F19" i="22"/>
  <c r="G16" i="17" s="1"/>
  <c r="F26" i="22"/>
  <c r="G23" i="17" s="1"/>
  <c r="F31" i="1"/>
  <c r="F24" i="2"/>
  <c r="D27" i="22"/>
  <c r="E24" i="17" s="1"/>
  <c r="F35" i="22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D35" i="22"/>
  <c r="D34" i="22"/>
  <c r="E31" i="17" s="1"/>
  <c r="B36" i="1"/>
  <c r="D21" i="22"/>
  <c r="E18" i="17" s="1"/>
  <c r="D22" i="22"/>
  <c r="E19" i="17" s="1"/>
  <c r="D23" i="22"/>
  <c r="E20" i="17" s="1"/>
  <c r="D24" i="22"/>
  <c r="E21" i="17" s="1"/>
  <c r="H10" i="2"/>
  <c r="F12" i="22"/>
  <c r="G9" i="17" s="1"/>
  <c r="F12" i="2"/>
  <c r="F14" i="2"/>
  <c r="F23" i="22"/>
  <c r="G20" i="17" s="1"/>
  <c r="H32" i="2"/>
  <c r="B37" i="2"/>
  <c r="B24" i="1"/>
  <c r="B25" i="2"/>
  <c r="C21" i="15"/>
  <c r="H21" i="15" s="1"/>
  <c r="F34" i="22"/>
  <c r="G31" i="17" s="1"/>
  <c r="E35" i="15"/>
  <c r="H35" i="15" s="1"/>
  <c r="B39" i="2"/>
  <c r="B38" i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E39" i="1"/>
  <c r="E40" i="1" s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F6" i="22"/>
  <c r="G3" i="17" s="1"/>
  <c r="D39" i="1"/>
  <c r="D40" i="1" s="1"/>
  <c r="D40" i="2"/>
  <c r="C39" i="1"/>
  <c r="C40" i="1" s="1"/>
  <c r="I36" i="9"/>
  <c r="H15" i="2"/>
  <c r="C40" i="2"/>
  <c r="H12" i="15"/>
  <c r="D14" i="22"/>
  <c r="E11" i="17" s="1"/>
  <c r="B15" i="1"/>
  <c r="I15" i="2"/>
  <c r="I12" i="2"/>
  <c r="I10" i="2"/>
  <c r="I20" i="2"/>
  <c r="H20" i="2"/>
  <c r="D9" i="22"/>
  <c r="E6" i="17" s="1"/>
  <c r="D15" i="15"/>
  <c r="H15" i="15" s="1"/>
  <c r="B18" i="1"/>
  <c r="B19" i="2"/>
  <c r="H17" i="2"/>
  <c r="H5" i="15"/>
  <c r="I21" i="2"/>
  <c r="H21" i="2"/>
  <c r="H18" i="2"/>
  <c r="I18" i="2"/>
  <c r="D12" i="22"/>
  <c r="E9" i="17" s="1"/>
  <c r="D13" i="22"/>
  <c r="E10" i="17" s="1"/>
  <c r="I16" i="2"/>
  <c r="H14" i="2"/>
  <c r="I14" i="2"/>
  <c r="H13" i="2"/>
  <c r="I13" i="2"/>
  <c r="I11" i="2"/>
  <c r="H11" i="2"/>
  <c r="H23" i="2" l="1"/>
  <c r="C36" i="15"/>
  <c r="H35" i="2"/>
  <c r="I35" i="2"/>
  <c r="I33" i="2"/>
  <c r="H33" i="2"/>
  <c r="D36" i="15"/>
  <c r="E36" i="15"/>
  <c r="F40" i="2"/>
  <c r="B40" i="2"/>
  <c r="I40" i="2" s="1"/>
  <c r="I25" i="2"/>
  <c r="H25" i="2"/>
  <c r="H37" i="2"/>
  <c r="I37" i="2"/>
  <c r="F39" i="1"/>
  <c r="F40" i="1" s="1"/>
  <c r="B39" i="1"/>
  <c r="B40" i="1" s="1"/>
  <c r="H19" i="2"/>
  <c r="I19" i="2"/>
</calcChain>
</file>

<file path=xl/comments1.xml><?xml version="1.0" encoding="utf-8"?>
<comments xmlns="http://schemas.openxmlformats.org/spreadsheetml/2006/main">
  <authors>
    <author>Ahmed Risan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>
  <authors>
    <author>Faisal Ibrahim</author>
  </authors>
  <commentList>
    <comment ref="G39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>
  <authors>
    <author>Aboobakuru.Moosa</author>
  </authors>
  <commentList>
    <comment ref="B6" authorId="0">
      <text>
        <r>
          <rPr>
            <b/>
            <sz val="9"/>
            <color indexed="81"/>
            <rFont val="Tahoma"/>
            <family val="2"/>
          </rPr>
          <t>Aboobakuru.Moosa:</t>
        </r>
        <r>
          <rPr>
            <sz val="9"/>
            <color indexed="81"/>
            <rFont val="Tahoma"/>
            <family val="2"/>
          </rPr>
          <t xml:space="preserve">
1521.8 last month end
total 105m3 </t>
        </r>
      </text>
    </comment>
    <comment ref="C6" authorId="0">
      <text>
        <r>
          <rPr>
            <b/>
            <sz val="9"/>
            <color indexed="81"/>
            <rFont val="Tahoma"/>
            <family val="2"/>
          </rPr>
          <t>Aboobakuru.Moosa:</t>
        </r>
        <r>
          <rPr>
            <sz val="9"/>
            <color indexed="81"/>
            <rFont val="Tahoma"/>
            <family val="2"/>
          </rPr>
          <t xml:space="preserve">
New Meter reading 
</t>
        </r>
      </text>
    </comment>
  </commentList>
</comments>
</file>

<file path=xl/sharedStrings.xml><?xml version="1.0" encoding="utf-8"?>
<sst xmlns="http://schemas.openxmlformats.org/spreadsheetml/2006/main" count="335" uniqueCount="145">
  <si>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</si>
  <si>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</si>
  <si>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</si>
  <si>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</si>
  <si>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</si>
  <si>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</si>
  <si>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</si>
  <si>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</si>
  <si>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</si>
  <si>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</si>
  <si>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</si>
  <si>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</si>
  <si>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</si>
  <si>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</si>
  <si>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</si>
  <si>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</si>
  <si>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</si>
  <si>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</si>
  <si>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</si>
  <si>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</si>
  <si>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</si>
  <si>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</si>
  <si>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</si>
  <si>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</si>
  <si>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</si>
  <si>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</si>
  <si>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</si>
  <si>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</si>
  <si>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</si>
  <si>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</si>
  <si>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</si>
  <si>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</si>
  <si>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</si>
  <si>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</si>
  <si>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</si>
  <si>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</si>
  <si>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</si>
  <si>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</si>
  <si>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</si>
  <si>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</si>
  <si>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</si>
  <si>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</si>
  <si>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</si>
  <si>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</si>
  <si>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</si>
  <si>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</si>
  <si>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</si>
  <si>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</si>
  <si>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</si>
  <si>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</si>
  <si>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</si>
  <si>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</si>
  <si>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</si>
  <si>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Laundry-9</t>
  </si>
  <si>
    <t>Yesterday</t>
  </si>
  <si>
    <t>Today</t>
  </si>
  <si>
    <t xml:space="preserve">Consumption </t>
  </si>
  <si>
    <t xml:space="preserve">Total Kwh </t>
  </si>
  <si>
    <t>Month-Feb- 17</t>
  </si>
  <si>
    <t>Management block-5</t>
  </si>
  <si>
    <t>Boat Dock feeder - 22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</si>
  <si>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</si>
  <si>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</si>
  <si>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</si>
  <si>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</si>
  <si>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</si>
  <si>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</si>
  <si>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</si>
  <si>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</si>
  <si>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</si>
  <si>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</si>
  <si>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</si>
  <si>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</si>
  <si>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</si>
  <si>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</si>
  <si>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</si>
  <si>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</si>
  <si>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</si>
  <si>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</si>
  <si>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</si>
  <si>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</si>
  <si>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</si>
  <si>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</si>
  <si>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</si>
  <si>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</si>
  <si>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</si>
  <si>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</si>
  <si>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</si>
  <si>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</si>
  <si>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</si>
  <si>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</si>
  <si>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</si>
  <si>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</si>
  <si>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</si>
  <si>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</si>
  <si>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</si>
  <si>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</si>
  <si>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</si>
  <si>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</si>
  <si>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</si>
  <si>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</si>
  <si>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</si>
  <si>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</si>
  <si>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</si>
  <si>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</si>
  <si>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</si>
  <si>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</si>
  <si>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</si>
  <si>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</si>
  <si>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</si>
  <si>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</si>
  <si>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</si>
  <si>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</si>
  <si>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</si>
  <si>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</si>
  <si>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</si>
  <si>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</si>
  <si>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</si>
  <si>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</si>
  <si>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</si>
  <si>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</si>
  <si>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</si>
  <si>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</si>
  <si>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</si>
  <si>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</si>
  <si>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</si>
  <si>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</si>
  <si>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</si>
  <si>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</si>
  <si>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</si>
  <si>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</si>
  <si>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</si>
  <si>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</si>
  <si>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</si>
  <si>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</si>
  <si>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</si>
  <si>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</si>
  <si>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</si>
  <si>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</si>
  <si>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Diesel Consumption</t>
  </si>
  <si>
    <t>Weather Condition</t>
  </si>
  <si>
    <t>Weather</t>
  </si>
  <si>
    <t>April</t>
  </si>
  <si>
    <t>partly sunny</t>
  </si>
  <si>
    <t>very 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</si>
</sst>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26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3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22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4" fillId="10" borderId="2" xfId="0" applyFont="1" applyFill="1" applyBorder="1" applyAlignment="1">
      <alignment horizontal="center"/>
    </xf>
    <xf numFmtId="0" fontId="4" fillId="10" borderId="0" xfId="0" applyFont="1" applyFill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3" fillId="5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 wrapText="1"/>
    </xf>
    <xf numFmtId="0" fontId="13" fillId="11" borderId="18" xfId="0" applyFont="1" applyFill="1" applyBorder="1" applyAlignment="1">
      <alignment horizontal="center" vertical="center"/>
    </xf>
    <xf numFmtId="0" fontId="13" fillId="11" borderId="18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 wrapText="1"/>
    </xf>
    <xf numFmtId="0" fontId="10" fillId="0" borderId="0" xfId="0" applyFont="1"/>
    <xf numFmtId="0" fontId="13" fillId="0" borderId="14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0" fillId="0" borderId="10" xfId="0" applyFill="1" applyBorder="1"/>
    <xf numFmtId="0" fontId="16" fillId="13" borderId="18" xfId="0" applyFont="1" applyFill="1" applyBorder="1" applyAlignment="1">
      <alignment horizontal="center" vertical="center"/>
    </xf>
    <xf numFmtId="0" fontId="16" fillId="13" borderId="19" xfId="0" applyFont="1" applyFill="1" applyBorder="1" applyAlignment="1">
      <alignment horizontal="center" vertical="center" wrapText="1"/>
    </xf>
    <xf numFmtId="167" fontId="4" fillId="0" borderId="11" xfId="0" applyNumberFormat="1" applyFont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4" fillId="13" borderId="18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4" borderId="0" xfId="0" applyFill="1" applyAlignment="1">
      <alignment horizontal="center"/>
    </xf>
    <xf numFmtId="0" fontId="0" fillId="14" borderId="0" xfId="0" applyFill="1" applyAlignment="1">
      <alignment horizontal="center" vertical="center"/>
    </xf>
    <xf numFmtId="0" fontId="18" fillId="15" borderId="0" xfId="0" applyFont="1" applyFill="1" applyAlignment="1">
      <alignment horizontal="center"/>
    </xf>
    <xf numFmtId="0" fontId="19" fillId="15" borderId="0" xfId="0" applyFont="1" applyFill="1"/>
    <xf numFmtId="0" fontId="0" fillId="0" borderId="0" xfId="0" applyBorder="1"/>
    <xf numFmtId="0" fontId="19" fillId="15" borderId="25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21" fillId="11" borderId="2" xfId="0" applyFont="1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21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12" borderId="2" xfId="0" applyNumberFormat="1" applyFont="1" applyFill="1" applyBorder="1" applyAlignment="1">
      <alignment horizontal="center"/>
    </xf>
    <xf numFmtId="1" fontId="4" fillId="0" borderId="11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2" fontId="28" fillId="0" borderId="2" xfId="0" applyNumberFormat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2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17" fontId="30" fillId="24" borderId="0" xfId="9" applyNumberFormat="1" applyFont="1" applyFill="1" applyAlignment="1">
      <alignment vertical="center"/>
    </xf>
    <xf numFmtId="0" fontId="6" fillId="24" borderId="0" xfId="9" applyFont="1" applyFill="1" applyAlignment="1">
      <alignment horizontal="center" vertical="center"/>
    </xf>
    <xf numFmtId="0" fontId="6" fillId="24" borderId="0" xfId="9" applyFont="1" applyFill="1" applyAlignment="1">
      <alignment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2" borderId="2" xfId="9" applyFont="1" applyFill="1" applyBorder="1" applyAlignment="1">
      <alignment horizontal="center" vertical="center"/>
    </xf>
    <xf numFmtId="165" fontId="5" fillId="12" borderId="2" xfId="1" applyNumberFormat="1" applyFont="1" applyFill="1" applyBorder="1" applyAlignment="1">
      <alignment horizontal="center" vertical="center"/>
    </xf>
    <xf numFmtId="2" fontId="5" fillId="12" borderId="2" xfId="9" applyNumberFormat="1" applyFont="1" applyFill="1" applyBorder="1" applyAlignment="1">
      <alignment horizontal="center" vertical="center" wrapText="1"/>
    </xf>
    <xf numFmtId="0" fontId="4" fillId="5" borderId="35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4" borderId="4" xfId="9" applyFill="1" applyBorder="1"/>
    <xf numFmtId="0" fontId="12" fillId="5" borderId="35" xfId="9" applyFont="1" applyFill="1" applyBorder="1" applyAlignment="1">
      <alignment horizontal="center" vertical="center"/>
    </xf>
    <xf numFmtId="0" fontId="4" fillId="14" borderId="0" xfId="9" applyFill="1" applyBorder="1"/>
    <xf numFmtId="0" fontId="4" fillId="5" borderId="10" xfId="9" applyFill="1" applyBorder="1" applyAlignment="1">
      <alignment horizontal="center" vertical="center"/>
    </xf>
    <xf numFmtId="165" fontId="0" fillId="5" borderId="10" xfId="1" applyNumberFormat="1" applyFont="1" applyFill="1" applyBorder="1" applyAlignment="1">
      <alignment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20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20" xfId="9" applyFont="1" applyFill="1" applyBorder="1" applyAlignment="1">
      <alignment horizontal="center" vertical="center"/>
    </xf>
    <xf numFmtId="2" fontId="4" fillId="0" borderId="0" xfId="9" applyNumberFormat="1"/>
    <xf numFmtId="0" fontId="4" fillId="14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4" borderId="0" xfId="9" applyNumberFormat="1" applyFill="1" applyBorder="1" applyAlignment="1">
      <alignment horizontal="center" vertical="center"/>
    </xf>
    <xf numFmtId="0" fontId="4" fillId="0" borderId="0" xfId="9" applyAlignment="1">
      <alignment vertical="center"/>
    </xf>
    <xf numFmtId="0" fontId="4" fillId="0" borderId="0" xfId="9" applyFont="1"/>
    <xf numFmtId="0" fontId="4" fillId="14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5" borderId="0" xfId="9" applyFont="1" applyFill="1" applyAlignment="1">
      <alignment horizontal="center" vertical="center"/>
    </xf>
    <xf numFmtId="17" fontId="3" fillId="25" borderId="0" xfId="9" applyNumberFormat="1" applyFont="1" applyFill="1" applyAlignment="1">
      <alignment horizontal="center" vertical="center"/>
    </xf>
    <xf numFmtId="0" fontId="3" fillId="25" borderId="0" xfId="9" applyFont="1" applyFill="1" applyAlignment="1">
      <alignment vertical="center"/>
    </xf>
    <xf numFmtId="0" fontId="4" fillId="25" borderId="0" xfId="9" applyFill="1" applyAlignment="1">
      <alignment horizontal="center" vertical="center"/>
    </xf>
    <xf numFmtId="0" fontId="4" fillId="25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4" fillId="16" borderId="0" xfId="13" applyFont="1" applyFill="1" applyAlignment="1">
      <alignment horizontal="center"/>
    </xf>
    <xf numFmtId="1" fontId="25" fillId="16" borderId="0" xfId="13" applyNumberFormat="1" applyFont="1" applyFill="1" applyAlignment="1">
      <alignment horizontal="center"/>
    </xf>
    <xf numFmtId="0" fontId="1" fillId="0" borderId="0" xfId="13"/>
    <xf numFmtId="0" fontId="26" fillId="17" borderId="26" xfId="13" applyFont="1" applyFill="1" applyBorder="1" applyAlignment="1">
      <alignment horizontal="center" vertical="center" wrapText="1"/>
    </xf>
    <xf numFmtId="0" fontId="23" fillId="20" borderId="10" xfId="13" applyFont="1" applyFill="1" applyBorder="1" applyAlignment="1">
      <alignment horizontal="center" vertical="center"/>
    </xf>
    <xf numFmtId="0" fontId="23" fillId="21" borderId="32" xfId="13" applyFont="1" applyFill="1" applyBorder="1" applyAlignment="1">
      <alignment horizontal="center" vertical="center" wrapText="1"/>
    </xf>
    <xf numFmtId="1" fontId="23" fillId="21" borderId="10" xfId="13" applyNumberFormat="1" applyFont="1" applyFill="1" applyBorder="1" applyAlignment="1">
      <alignment horizontal="center" vertical="center" wrapText="1"/>
    </xf>
    <xf numFmtId="0" fontId="23" fillId="21" borderId="10" xfId="13" applyFont="1" applyFill="1" applyBorder="1" applyAlignment="1">
      <alignment horizontal="center" vertical="center" wrapText="1"/>
    </xf>
    <xf numFmtId="0" fontId="23" fillId="21" borderId="10" xfId="13" applyFont="1" applyFill="1" applyBorder="1" applyAlignment="1">
      <alignment horizontal="center" wrapText="1"/>
    </xf>
    <xf numFmtId="15" fontId="28" fillId="20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8" fillId="0" borderId="0" xfId="13" applyNumberFormat="1" applyFont="1" applyAlignment="1">
      <alignment horizontal="center"/>
    </xf>
    <xf numFmtId="0" fontId="22" fillId="0" borderId="2" xfId="13" applyFont="1" applyBorder="1" applyAlignment="1">
      <alignment horizontal="center"/>
    </xf>
    <xf numFmtId="0" fontId="22" fillId="0" borderId="0" xfId="13" applyFont="1" applyAlignment="1">
      <alignment horizontal="center"/>
    </xf>
    <xf numFmtId="0" fontId="22" fillId="0" borderId="0" xfId="13" applyFont="1"/>
    <xf numFmtId="1" fontId="22" fillId="0" borderId="2" xfId="13" applyNumberFormat="1" applyFont="1" applyBorder="1" applyAlignment="1">
      <alignment horizontal="center" vertical="center"/>
    </xf>
    <xf numFmtId="15" fontId="23" fillId="20" borderId="10" xfId="13" applyNumberFormat="1" applyFont="1" applyFill="1" applyBorder="1" applyAlignment="1">
      <alignment horizontal="center" vertical="center"/>
    </xf>
    <xf numFmtId="1" fontId="29" fillId="0" borderId="2" xfId="13" applyNumberFormat="1" applyFont="1" applyBorder="1" applyAlignment="1">
      <alignment horizontal="center" vertical="center"/>
    </xf>
    <xf numFmtId="0" fontId="32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3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3" fillId="22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4" borderId="13" xfId="9" applyFill="1" applyBorder="1"/>
    <xf numFmtId="2" fontId="4" fillId="0" borderId="0" xfId="9" applyNumberFormat="1" applyFont="1"/>
    <xf numFmtId="0" fontId="4" fillId="5" borderId="10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14" borderId="13" xfId="9" applyFont="1" applyFill="1" applyBorder="1"/>
    <xf numFmtId="0" fontId="4" fillId="14" borderId="0" xfId="9" applyFont="1" applyFill="1" applyBorder="1"/>
    <xf numFmtId="0" fontId="4" fillId="14" borderId="4" xfId="9" applyFont="1" applyFill="1" applyBorder="1"/>
    <xf numFmtId="165" fontId="4" fillId="5" borderId="2" xfId="1" applyNumberFormat="1" applyFont="1" applyFill="1" applyBorder="1" applyAlignment="1">
      <alignment vertical="center"/>
    </xf>
    <xf numFmtId="0" fontId="4" fillId="5" borderId="2" xfId="9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12" fillId="1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4" borderId="9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4" fillId="16" borderId="2" xfId="13" applyFont="1" applyFill="1" applyBorder="1" applyAlignment="1">
      <alignment horizontal="center"/>
    </xf>
    <xf numFmtId="0" fontId="25" fillId="16" borderId="10" xfId="13" applyFont="1" applyFill="1" applyBorder="1" applyAlignment="1">
      <alignment horizontal="center"/>
    </xf>
    <xf numFmtId="0" fontId="27" fillId="18" borderId="27" xfId="13" applyFont="1" applyFill="1" applyBorder="1" applyAlignment="1">
      <alignment horizontal="center" vertical="center"/>
    </xf>
    <xf numFmtId="0" fontId="27" fillId="18" borderId="28" xfId="13" applyFont="1" applyFill="1" applyBorder="1" applyAlignment="1">
      <alignment horizontal="center" vertical="center"/>
    </xf>
    <xf numFmtId="0" fontId="27" fillId="18" borderId="29" xfId="13" applyFont="1" applyFill="1" applyBorder="1" applyAlignment="1">
      <alignment horizontal="center" vertical="center"/>
    </xf>
    <xf numFmtId="0" fontId="23" fillId="19" borderId="30" xfId="13" applyFont="1" applyFill="1" applyBorder="1" applyAlignment="1">
      <alignment horizontal="center" vertical="center" wrapText="1"/>
    </xf>
    <xf numFmtId="0" fontId="23" fillId="19" borderId="31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4" borderId="36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3" fillId="10" borderId="15" xfId="0" applyFont="1" applyFill="1" applyBorder="1" applyAlignment="1">
      <alignment horizontal="center" vertical="center"/>
    </xf>
    <xf numFmtId="0" fontId="13" fillId="11" borderId="15" xfId="0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center" vertical="center"/>
    </xf>
    <xf numFmtId="0" fontId="13" fillId="12" borderId="16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6" fillId="13" borderId="15" xfId="0" applyFont="1" applyFill="1" applyBorder="1" applyAlignment="1">
      <alignment horizontal="center" vertical="center"/>
    </xf>
    <xf numFmtId="0" fontId="16" fillId="13" borderId="16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3" fillId="12" borderId="23" xfId="0" applyFont="1" applyFill="1" applyBorder="1" applyAlignment="1">
      <alignment horizontal="center" vertical="center"/>
    </xf>
    <xf numFmtId="0" fontId="13" fillId="12" borderId="24" xfId="0" applyFont="1" applyFill="1" applyBorder="1" applyAlignment="1">
      <alignment horizontal="center" vertical="center"/>
    </xf>
    <xf numFmtId="0" fontId="6" fillId="23" borderId="0" xfId="9" applyFont="1" applyFill="1" applyAlignment="1">
      <alignment horizontal="center" vertical="center"/>
    </xf>
    <xf numFmtId="0" fontId="30" fillId="24" borderId="1" xfId="9" applyFont="1" applyFill="1" applyBorder="1" applyAlignment="1">
      <alignment horizontal="center" vertical="center"/>
    </xf>
    <xf numFmtId="0" fontId="3" fillId="4" borderId="20" xfId="9" applyFont="1" applyFill="1" applyBorder="1" applyAlignment="1">
      <alignment horizontal="center" vertical="center"/>
    </xf>
    <xf numFmtId="0" fontId="3" fillId="4" borderId="33" xfId="9" applyFont="1" applyFill="1" applyBorder="1" applyAlignment="1">
      <alignment horizontal="center" vertical="center"/>
    </xf>
    <xf numFmtId="0" fontId="3" fillId="4" borderId="34" xfId="9" applyFont="1" applyFill="1" applyBorder="1" applyAlignment="1">
      <alignment horizontal="center" vertical="center"/>
    </xf>
    <xf numFmtId="0" fontId="3" fillId="12" borderId="20" xfId="9" applyFont="1" applyFill="1" applyBorder="1" applyAlignment="1">
      <alignment horizontal="center" vertical="center"/>
    </xf>
    <xf numFmtId="0" fontId="3" fillId="12" borderId="33" xfId="9" applyFont="1" applyFill="1" applyBorder="1" applyAlignment="1">
      <alignment horizontal="center" vertical="center"/>
    </xf>
    <xf numFmtId="0" fontId="3" fillId="12" borderId="34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31" fillId="25" borderId="0" xfId="9" applyFont="1" applyFill="1" applyBorder="1" applyAlignment="1">
      <alignment horizontal="left" vertical="center"/>
    </xf>
    <xf numFmtId="16" fontId="3" fillId="5" borderId="20" xfId="9" applyNumberFormat="1" applyFont="1" applyFill="1" applyBorder="1" applyAlignment="1">
      <alignment horizontal="right" vertical="center"/>
    </xf>
    <xf numFmtId="0" fontId="3" fillId="5" borderId="33" xfId="9" applyFont="1" applyFill="1" applyBorder="1" applyAlignment="1">
      <alignment horizontal="right" vertical="center"/>
    </xf>
    <xf numFmtId="0" fontId="3" fillId="5" borderId="34" xfId="9" applyFont="1" applyFill="1" applyBorder="1" applyAlignment="1">
      <alignment horizontal="right" vertical="center"/>
    </xf>
    <xf numFmtId="0" fontId="18" fillId="15" borderId="0" xfId="0" applyFont="1" applyFill="1" applyAlignment="1">
      <alignment horizontal="center"/>
    </xf>
    <xf numFmtId="168" fontId="20" fillId="15" borderId="0" xfId="0" applyNumberFormat="1" applyFont="1" applyFill="1" applyAlignment="1">
      <alignment horizontal="left"/>
    </xf>
    <xf numFmtId="0" fontId="20" fillId="15" borderId="0" xfId="0" applyFont="1" applyFill="1" applyAlignment="1">
      <alignment horizontal="center" vertic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Only'!$B$8:$B$38</c:f>
              <c:numCache>
                <c:formatCode>_(* #,##0_);_(* \(#,##0\);_(* "-"??_);_(@_)</c:formatCode>
                <c:ptCount val="31"/>
                <c:pt idx="0">
                  <c:v>32376</c:v>
                </c:pt>
                <c:pt idx="1">
                  <c:v>32947</c:v>
                </c:pt>
                <c:pt idx="2">
                  <c:v>32579</c:v>
                </c:pt>
                <c:pt idx="3">
                  <c:v>32791</c:v>
                </c:pt>
                <c:pt idx="4">
                  <c:v>33358</c:v>
                </c:pt>
                <c:pt idx="5">
                  <c:v>31978</c:v>
                </c:pt>
                <c:pt idx="6">
                  <c:v>32564</c:v>
                </c:pt>
                <c:pt idx="7">
                  <c:v>32369</c:v>
                </c:pt>
                <c:pt idx="8">
                  <c:v>31375</c:v>
                </c:pt>
                <c:pt idx="9">
                  <c:v>30622</c:v>
                </c:pt>
                <c:pt idx="10">
                  <c:v>31458</c:v>
                </c:pt>
                <c:pt idx="11">
                  <c:v>-71939818</c:v>
                </c:pt>
                <c:pt idx="12">
                  <c:v>-17082256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0.00</c:formatCode>
                <c:ptCount val="30"/>
                <c:pt idx="0">
                  <c:v>83</c:v>
                </c:pt>
                <c:pt idx="1">
                  <c:v>78</c:v>
                </c:pt>
                <c:pt idx="2">
                  <c:v>78</c:v>
                </c:pt>
                <c:pt idx="3">
                  <c:v>72</c:v>
                </c:pt>
                <c:pt idx="4">
                  <c:v>73</c:v>
                </c:pt>
                <c:pt idx="5">
                  <c:v>73</c:v>
                </c:pt>
                <c:pt idx="6">
                  <c:v>71</c:v>
                </c:pt>
                <c:pt idx="7">
                  <c:v>65</c:v>
                </c:pt>
                <c:pt idx="8">
                  <c:v>57</c:v>
                </c:pt>
                <c:pt idx="9">
                  <c:v>56</c:v>
                </c:pt>
                <c:pt idx="10">
                  <c:v>48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0.00</c:formatCode>
                <c:ptCount val="32"/>
                <c:pt idx="0">
                  <c:v>83</c:v>
                </c:pt>
                <c:pt idx="1">
                  <c:v>78</c:v>
                </c:pt>
                <c:pt idx="2">
                  <c:v>78</c:v>
                </c:pt>
                <c:pt idx="3">
                  <c:v>72</c:v>
                </c:pt>
                <c:pt idx="4">
                  <c:v>73</c:v>
                </c:pt>
                <c:pt idx="5">
                  <c:v>73</c:v>
                </c:pt>
                <c:pt idx="6">
                  <c:v>71</c:v>
                </c:pt>
                <c:pt idx="7">
                  <c:v>65</c:v>
                </c:pt>
                <c:pt idx="8">
                  <c:v>57</c:v>
                </c:pt>
                <c:pt idx="9">
                  <c:v>56</c:v>
                </c:pt>
                <c:pt idx="10">
                  <c:v>48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24.322580645161292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234112"/>
        <c:axId val="191128704"/>
      </c:lineChart>
      <c:catAx>
        <c:axId val="182234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8704"/>
        <c:crosses val="autoZero"/>
        <c:auto val="1"/>
        <c:lblAlgn val="ctr"/>
        <c:lblOffset val="100"/>
        <c:noMultiLvlLbl val="0"/>
      </c:catAx>
      <c:valAx>
        <c:axId val="19112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3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'!$D$5:$D$34</c:f>
              <c:numCache>
                <c:formatCode>General</c:formatCode>
                <c:ptCount val="30"/>
                <c:pt idx="0">
                  <c:v>4228</c:v>
                </c:pt>
                <c:pt idx="1">
                  <c:v>4123</c:v>
                </c:pt>
                <c:pt idx="2">
                  <c:v>4383</c:v>
                </c:pt>
                <c:pt idx="3">
                  <c:v>4468</c:v>
                </c:pt>
                <c:pt idx="4">
                  <c:v>4578</c:v>
                </c:pt>
                <c:pt idx="5">
                  <c:v>4270</c:v>
                </c:pt>
                <c:pt idx="6">
                  <c:v>4156</c:v>
                </c:pt>
                <c:pt idx="7">
                  <c:v>4129</c:v>
                </c:pt>
                <c:pt idx="8">
                  <c:v>3895</c:v>
                </c:pt>
                <c:pt idx="9">
                  <c:v>3816</c:v>
                </c:pt>
                <c:pt idx="10">
                  <c:v>3795</c:v>
                </c:pt>
                <c:pt idx="11">
                  <c:v>-25460879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'!$G$5:$G$34</c:f>
              <c:numCache>
                <c:formatCode>General</c:formatCode>
                <c:ptCount val="30"/>
                <c:pt idx="0">
                  <c:v>5498</c:v>
                </c:pt>
                <c:pt idx="1">
                  <c:v>5449</c:v>
                </c:pt>
                <c:pt idx="2">
                  <c:v>5461</c:v>
                </c:pt>
                <c:pt idx="3">
                  <c:v>5611</c:v>
                </c:pt>
                <c:pt idx="4">
                  <c:v>5805</c:v>
                </c:pt>
                <c:pt idx="5">
                  <c:v>5365</c:v>
                </c:pt>
                <c:pt idx="6">
                  <c:v>5701</c:v>
                </c:pt>
                <c:pt idx="7">
                  <c:v>6044</c:v>
                </c:pt>
                <c:pt idx="8">
                  <c:v>5534</c:v>
                </c:pt>
                <c:pt idx="9">
                  <c:v>5442</c:v>
                </c:pt>
                <c:pt idx="10">
                  <c:v>5733</c:v>
                </c:pt>
                <c:pt idx="11">
                  <c:v>-22477367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638336"/>
        <c:axId val="234795776"/>
      </c:lineChart>
      <c:catAx>
        <c:axId val="234638336"/>
        <c:scaling>
          <c:orientation val="minMax"/>
        </c:scaling>
        <c:delete val="0"/>
        <c:axPos val="b"/>
        <c:majorTickMark val="out"/>
        <c:minorTickMark val="none"/>
        <c:tickLblPos val="nextTo"/>
        <c:crossAx val="234795776"/>
        <c:crosses val="autoZero"/>
        <c:auto val="1"/>
        <c:lblAlgn val="ctr"/>
        <c:lblOffset val="100"/>
        <c:noMultiLvlLbl val="0"/>
      </c:catAx>
      <c:valAx>
        <c:axId val="234795776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4638336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15172</c:v>
                </c:pt>
                <c:pt idx="1">
                  <c:v>15599</c:v>
                </c:pt>
                <c:pt idx="2">
                  <c:v>15327</c:v>
                </c:pt>
                <c:pt idx="3">
                  <c:v>15779</c:v>
                </c:pt>
                <c:pt idx="4">
                  <c:v>16024</c:v>
                </c:pt>
                <c:pt idx="5">
                  <c:v>15333</c:v>
                </c:pt>
                <c:pt idx="6">
                  <c:v>15930</c:v>
                </c:pt>
                <c:pt idx="7">
                  <c:v>15466</c:v>
                </c:pt>
                <c:pt idx="8">
                  <c:v>15372</c:v>
                </c:pt>
                <c:pt idx="9">
                  <c:v>14577</c:v>
                </c:pt>
                <c:pt idx="10">
                  <c:v>14988</c:v>
                </c:pt>
                <c:pt idx="11">
                  <c:v>-85142907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1819776"/>
        <c:axId val="301821312"/>
      </c:lineChart>
      <c:catAx>
        <c:axId val="301819776"/>
        <c:scaling>
          <c:orientation val="minMax"/>
        </c:scaling>
        <c:delete val="0"/>
        <c:axPos val="b"/>
        <c:majorTickMark val="out"/>
        <c:minorTickMark val="none"/>
        <c:tickLblPos val="nextTo"/>
        <c:crossAx val="301821312"/>
        <c:crosses val="autoZero"/>
        <c:auto val="1"/>
        <c:lblAlgn val="ctr"/>
        <c:lblOffset val="100"/>
        <c:noMultiLvlLbl val="0"/>
      </c:catAx>
      <c:valAx>
        <c:axId val="301821312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819776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'!$M$5:$M$34</c:f>
              <c:numCache>
                <c:formatCode>General</c:formatCode>
                <c:ptCount val="30"/>
                <c:pt idx="0">
                  <c:v>2100</c:v>
                </c:pt>
                <c:pt idx="1">
                  <c:v>2300</c:v>
                </c:pt>
                <c:pt idx="2">
                  <c:v>2100</c:v>
                </c:pt>
                <c:pt idx="3">
                  <c:v>2200</c:v>
                </c:pt>
                <c:pt idx="4">
                  <c:v>2100</c:v>
                </c:pt>
                <c:pt idx="5">
                  <c:v>2200</c:v>
                </c:pt>
                <c:pt idx="6">
                  <c:v>2000</c:v>
                </c:pt>
                <c:pt idx="7">
                  <c:v>2100</c:v>
                </c:pt>
                <c:pt idx="8">
                  <c:v>2000</c:v>
                </c:pt>
                <c:pt idx="9">
                  <c:v>1800</c:v>
                </c:pt>
                <c:pt idx="10">
                  <c:v>2000</c:v>
                </c:pt>
                <c:pt idx="11">
                  <c:v>-1927200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'!$P$5:$P$34</c:f>
              <c:numCache>
                <c:formatCode>General</c:formatCode>
                <c:ptCount val="30"/>
                <c:pt idx="0">
                  <c:v>2896</c:v>
                </c:pt>
                <c:pt idx="1">
                  <c:v>2855</c:v>
                </c:pt>
                <c:pt idx="2">
                  <c:v>2702</c:v>
                </c:pt>
                <c:pt idx="3">
                  <c:v>2915</c:v>
                </c:pt>
                <c:pt idx="4">
                  <c:v>2906</c:v>
                </c:pt>
                <c:pt idx="5">
                  <c:v>2854</c:v>
                </c:pt>
                <c:pt idx="6">
                  <c:v>2897</c:v>
                </c:pt>
                <c:pt idx="7">
                  <c:v>2864</c:v>
                </c:pt>
                <c:pt idx="8">
                  <c:v>2826</c:v>
                </c:pt>
                <c:pt idx="9">
                  <c:v>2945</c:v>
                </c:pt>
                <c:pt idx="10">
                  <c:v>3273</c:v>
                </c:pt>
                <c:pt idx="11">
                  <c:v>-2607739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6900</c:v>
                </c:pt>
                <c:pt idx="1">
                  <c:v>6600</c:v>
                </c:pt>
                <c:pt idx="2">
                  <c:v>6600</c:v>
                </c:pt>
                <c:pt idx="3">
                  <c:v>6800</c:v>
                </c:pt>
                <c:pt idx="4">
                  <c:v>7000</c:v>
                </c:pt>
                <c:pt idx="5">
                  <c:v>7000</c:v>
                </c:pt>
                <c:pt idx="6">
                  <c:v>7200</c:v>
                </c:pt>
                <c:pt idx="7">
                  <c:v>6900</c:v>
                </c:pt>
                <c:pt idx="8">
                  <c:v>6700</c:v>
                </c:pt>
                <c:pt idx="9">
                  <c:v>6200</c:v>
                </c:pt>
                <c:pt idx="10">
                  <c:v>7200</c:v>
                </c:pt>
                <c:pt idx="11">
                  <c:v>-7471900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'!$AB$5:$AB$34</c:f>
              <c:numCache>
                <c:formatCode>General</c:formatCode>
                <c:ptCount val="30"/>
                <c:pt idx="0">
                  <c:v>2500</c:v>
                </c:pt>
                <c:pt idx="1">
                  <c:v>2800</c:v>
                </c:pt>
                <c:pt idx="2">
                  <c:v>2700</c:v>
                </c:pt>
                <c:pt idx="3">
                  <c:v>2400</c:v>
                </c:pt>
                <c:pt idx="4">
                  <c:v>2600</c:v>
                </c:pt>
                <c:pt idx="5">
                  <c:v>2300</c:v>
                </c:pt>
                <c:pt idx="6">
                  <c:v>2200</c:v>
                </c:pt>
                <c:pt idx="7">
                  <c:v>2100</c:v>
                </c:pt>
                <c:pt idx="8">
                  <c:v>1900</c:v>
                </c:pt>
                <c:pt idx="9">
                  <c:v>2200</c:v>
                </c:pt>
                <c:pt idx="10">
                  <c:v>2100</c:v>
                </c:pt>
                <c:pt idx="11">
                  <c:v>-1705700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407680"/>
        <c:axId val="31246566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695510</c:v>
                </c:pt>
                <c:pt idx="1">
                  <c:v>696520</c:v>
                </c:pt>
                <c:pt idx="2">
                  <c:v>697570</c:v>
                </c:pt>
                <c:pt idx="3">
                  <c:v>698530</c:v>
                </c:pt>
                <c:pt idx="4">
                  <c:v>699510</c:v>
                </c:pt>
                <c:pt idx="5">
                  <c:v>700580</c:v>
                </c:pt>
                <c:pt idx="6">
                  <c:v>701590</c:v>
                </c:pt>
                <c:pt idx="7">
                  <c:v>702660</c:v>
                </c:pt>
                <c:pt idx="8">
                  <c:v>703670</c:v>
                </c:pt>
                <c:pt idx="9">
                  <c:v>704760</c:v>
                </c:pt>
                <c:pt idx="10">
                  <c:v>705730</c:v>
                </c:pt>
                <c:pt idx="11">
                  <c:v>706730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804096"/>
        <c:axId val="314802560"/>
      </c:lineChart>
      <c:catAx>
        <c:axId val="306407680"/>
        <c:scaling>
          <c:orientation val="minMax"/>
        </c:scaling>
        <c:delete val="0"/>
        <c:axPos val="b"/>
        <c:majorTickMark val="out"/>
        <c:minorTickMark val="none"/>
        <c:tickLblPos val="nextTo"/>
        <c:crossAx val="312465664"/>
        <c:crosses val="autoZero"/>
        <c:auto val="1"/>
        <c:lblAlgn val="ctr"/>
        <c:lblOffset val="100"/>
        <c:noMultiLvlLbl val="0"/>
      </c:catAx>
      <c:valAx>
        <c:axId val="31246566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6407680"/>
        <c:crosses val="autoZero"/>
        <c:crossBetween val="between"/>
        <c:minorUnit val="100"/>
      </c:valAx>
      <c:valAx>
        <c:axId val="3148025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14804096"/>
        <c:crosses val="max"/>
        <c:crossBetween val="between"/>
      </c:valAx>
      <c:catAx>
        <c:axId val="314804096"/>
        <c:scaling>
          <c:orientation val="minMax"/>
        </c:scaling>
        <c:delete val="1"/>
        <c:axPos val="b"/>
        <c:majorTickMark val="out"/>
        <c:minorTickMark val="none"/>
        <c:tickLblPos val="nextTo"/>
        <c:crossAx val="31480256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32376</c:v>
                </c:pt>
                <c:pt idx="1">
                  <c:v>32947</c:v>
                </c:pt>
                <c:pt idx="2">
                  <c:v>32579</c:v>
                </c:pt>
                <c:pt idx="3">
                  <c:v>32791</c:v>
                </c:pt>
                <c:pt idx="4">
                  <c:v>33358</c:v>
                </c:pt>
                <c:pt idx="5">
                  <c:v>31978</c:v>
                </c:pt>
                <c:pt idx="6">
                  <c:v>32564</c:v>
                </c:pt>
                <c:pt idx="7">
                  <c:v>32369</c:v>
                </c:pt>
                <c:pt idx="8">
                  <c:v>31375</c:v>
                </c:pt>
                <c:pt idx="9">
                  <c:v>30622</c:v>
                </c:pt>
                <c:pt idx="10">
                  <c:v>31458</c:v>
                </c:pt>
                <c:pt idx="11">
                  <c:v>-71939818</c:v>
                </c:pt>
                <c:pt idx="12">
                  <c:v>-17082256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9868928"/>
        <c:axId val="460641408"/>
      </c:barChart>
      <c:catAx>
        <c:axId val="389868928"/>
        <c:scaling>
          <c:orientation val="minMax"/>
        </c:scaling>
        <c:delete val="0"/>
        <c:axPos val="b"/>
        <c:majorTickMark val="out"/>
        <c:minorTickMark val="none"/>
        <c:tickLblPos val="nextTo"/>
        <c:crossAx val="460641408"/>
        <c:crosses val="autoZero"/>
        <c:auto val="1"/>
        <c:lblAlgn val="ctr"/>
        <c:lblOffset val="100"/>
        <c:noMultiLvlLbl val="0"/>
      </c:catAx>
      <c:valAx>
        <c:axId val="460641408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389868928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3076096"/>
        <c:axId val="473079168"/>
      </c:barChart>
      <c:catAx>
        <c:axId val="473076096"/>
        <c:scaling>
          <c:orientation val="minMax"/>
        </c:scaling>
        <c:delete val="0"/>
        <c:axPos val="b"/>
        <c:majorTickMark val="out"/>
        <c:minorTickMark val="none"/>
        <c:tickLblPos val="nextTo"/>
        <c:crossAx val="473079168"/>
        <c:crosses val="autoZero"/>
        <c:auto val="1"/>
        <c:lblAlgn val="ctr"/>
        <c:lblOffset val="100"/>
        <c:noMultiLvlLbl val="0"/>
      </c:catAx>
      <c:valAx>
        <c:axId val="473079168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3076096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755008"/>
        <c:axId val="211756544"/>
      </c:barChart>
      <c:catAx>
        <c:axId val="211755008"/>
        <c:scaling>
          <c:orientation val="minMax"/>
        </c:scaling>
        <c:delete val="0"/>
        <c:axPos val="b"/>
        <c:majorTickMark val="out"/>
        <c:minorTickMark val="none"/>
        <c:tickLblPos val="nextTo"/>
        <c:crossAx val="211756544"/>
        <c:crosses val="autoZero"/>
        <c:auto val="1"/>
        <c:lblAlgn val="ctr"/>
        <c:lblOffset val="100"/>
        <c:noMultiLvlLbl val="0"/>
      </c:catAx>
      <c:valAx>
        <c:axId val="211756544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755008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53974</xdr:colOff>
      <xdr:row>41</xdr:row>
      <xdr:rowOff>107950</xdr:rowOff>
    </xdr:from>
    <xdr:to>
      <xdr:col>8</xdr:col>
      <xdr:colOff>38100</xdr:colOff>
      <xdr:row>58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4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41</xdr:row>
      <xdr:rowOff>11206</xdr:rowOff>
    </xdr:from>
    <xdr:to>
      <xdr:col>10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42</xdr:row>
      <xdr:rowOff>136071</xdr:rowOff>
    </xdr:from>
    <xdr:to>
      <xdr:col>24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1"/>
  <sheetViews>
    <sheetView workbookViewId="0">
      <selection activeCell="M12" sqref="M1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70" t="s">
        <v>115</v>
      </c>
      <c r="B1" s="170" t="s">
        <v>42</v>
      </c>
      <c r="C1" s="171" t="s">
        <v>3</v>
      </c>
      <c r="D1" s="170" t="s">
        <v>4</v>
      </c>
      <c r="E1" s="172" t="s">
        <v>116</v>
      </c>
      <c r="F1" s="173" t="s">
        <v>117</v>
      </c>
      <c r="G1" s="172" t="s">
        <v>118</v>
      </c>
      <c r="H1" s="173" t="s">
        <v>119</v>
      </c>
      <c r="I1" s="172" t="s">
        <v>120</v>
      </c>
      <c r="J1" s="174" t="s">
        <v>121</v>
      </c>
      <c r="K1" s="172" t="s">
        <v>122</v>
      </c>
      <c r="L1" s="172" t="s">
        <v>123</v>
      </c>
    </row>
    <row r="2" spans="1:12" ht="15" x14ac:dyDescent="0.25">
      <c r="A2" s="175" t="s">
        <v>124</v>
      </c>
      <c r="B2" s="175">
        <v>1</v>
      </c>
      <c r="C2" s="176">
        <v>4</v>
      </c>
      <c r="D2" s="175">
        <v>2021</v>
      </c>
      <c r="E2" s="177">
        <f>'Maldives at LG Daily'!D5</f>
        <v>32376</v>
      </c>
      <c r="F2" s="178">
        <v>0.93</v>
      </c>
      <c r="G2" s="177">
        <f>'Maldives at LG Daily'!F5</f>
        <v>315</v>
      </c>
      <c r="H2" s="178">
        <v>1.24</v>
      </c>
      <c r="I2" s="177">
        <f>'Maldives at LG Daily'!H5</f>
        <v>418</v>
      </c>
      <c r="J2" s="178">
        <v>1.72</v>
      </c>
      <c r="K2" s="177">
        <f>'Maldives at LG Daily'!I5</f>
        <v>83</v>
      </c>
      <c r="L2" s="177">
        <f>'Maldives at LG Daily'!J5</f>
        <v>730</v>
      </c>
    </row>
    <row r="3" spans="1:12" ht="15" x14ac:dyDescent="0.25">
      <c r="A3" s="175" t="s">
        <v>124</v>
      </c>
      <c r="B3" s="175">
        <f>B2+1</f>
        <v>2</v>
      </c>
      <c r="C3" s="176">
        <v>4</v>
      </c>
      <c r="D3" s="175">
        <v>2021</v>
      </c>
      <c r="E3" s="177">
        <f>'Maldives at LG Daily'!D6</f>
        <v>32947</v>
      </c>
      <c r="F3" s="178">
        <v>0.93</v>
      </c>
      <c r="G3" s="177">
        <f>'Maldives at LG Daily'!F6</f>
        <v>0</v>
      </c>
      <c r="H3" s="178">
        <v>1.24</v>
      </c>
      <c r="I3" s="177">
        <f>'Maldives at LG Daily'!H6</f>
        <v>473</v>
      </c>
      <c r="J3" s="178">
        <v>1.72</v>
      </c>
      <c r="K3" s="177">
        <f>'Maldives at LG Daily'!I6</f>
        <v>78</v>
      </c>
      <c r="L3" s="177">
        <f>'Maldives at LG Daily'!J6</f>
        <v>666</v>
      </c>
    </row>
    <row r="4" spans="1:12" ht="15" x14ac:dyDescent="0.25">
      <c r="A4" s="175" t="s">
        <v>124</v>
      </c>
      <c r="B4" s="175">
        <f t="shared" ref="B4:B31" si="0">B3+1</f>
        <v>3</v>
      </c>
      <c r="C4" s="176">
        <v>4</v>
      </c>
      <c r="D4" s="175">
        <v>2021</v>
      </c>
      <c r="E4" s="177">
        <f>'Maldives at LG Daily'!D7</f>
        <v>32579</v>
      </c>
      <c r="F4" s="178">
        <v>0.93</v>
      </c>
      <c r="G4" s="177" t="str">
        <f>'Maldives at LG Daily'!F7</f>
        <v>0</v>
      </c>
      <c r="H4" s="178">
        <v>1.24</v>
      </c>
      <c r="I4" s="177">
        <f>'Maldives at LG Daily'!H7</f>
        <v>445</v>
      </c>
      <c r="J4" s="178">
        <v>1.72</v>
      </c>
      <c r="K4" s="177">
        <f>'Maldives at LG Daily'!I7</f>
        <v>78</v>
      </c>
      <c r="L4" s="177">
        <f>'Maldives at LG Daily'!J7</f>
        <v>702</v>
      </c>
    </row>
    <row r="5" spans="1:12" ht="15" x14ac:dyDescent="0.25">
      <c r="A5" s="175" t="s">
        <v>124</v>
      </c>
      <c r="B5" s="175">
        <f t="shared" si="0"/>
        <v>4</v>
      </c>
      <c r="C5" s="176">
        <v>4</v>
      </c>
      <c r="D5" s="175">
        <v>2021</v>
      </c>
      <c r="E5" s="177">
        <f>'Maldives at LG Daily'!D8</f>
        <v>32791</v>
      </c>
      <c r="F5" s="178">
        <v>0.93</v>
      </c>
      <c r="G5" s="177">
        <f>'Maldives at LG Daily'!F8</f>
        <v>90</v>
      </c>
      <c r="H5" s="178">
        <v>1.24</v>
      </c>
      <c r="I5" s="177">
        <f>'Maldives at LG Daily'!H8</f>
        <v>488</v>
      </c>
      <c r="J5" s="178">
        <v>1.72</v>
      </c>
      <c r="K5" s="177">
        <f>'Maldives at LG Daily'!I8</f>
        <v>72</v>
      </c>
      <c r="L5" s="177">
        <f>'Maldives at LG Daily'!J8</f>
        <v>666</v>
      </c>
    </row>
    <row r="6" spans="1:12" ht="15" x14ac:dyDescent="0.25">
      <c r="A6" s="175" t="s">
        <v>124</v>
      </c>
      <c r="B6" s="175">
        <f t="shared" si="0"/>
        <v>5</v>
      </c>
      <c r="C6" s="176">
        <v>4</v>
      </c>
      <c r="D6" s="175">
        <v>2021</v>
      </c>
      <c r="E6" s="177">
        <f>'Maldives at LG Daily'!D9</f>
        <v>33358</v>
      </c>
      <c r="F6" s="178">
        <v>0.93</v>
      </c>
      <c r="G6" s="177" t="str">
        <f>'Maldives at LG Daily'!F9</f>
        <v>0</v>
      </c>
      <c r="H6" s="178">
        <v>1.24</v>
      </c>
      <c r="I6" s="177">
        <f>'Maldives at LG Daily'!H9</f>
        <v>428</v>
      </c>
      <c r="J6" s="178">
        <v>1.72</v>
      </c>
      <c r="K6" s="177">
        <f>'Maldives at LG Daily'!I9</f>
        <v>73</v>
      </c>
      <c r="L6" s="177">
        <f>'Maldives at LG Daily'!J9</f>
        <v>684</v>
      </c>
    </row>
    <row r="7" spans="1:12" ht="15" x14ac:dyDescent="0.25">
      <c r="A7" s="175" t="s">
        <v>124</v>
      </c>
      <c r="B7" s="175">
        <f t="shared" si="0"/>
        <v>6</v>
      </c>
      <c r="C7" s="176">
        <v>4</v>
      </c>
      <c r="D7" s="175">
        <v>2021</v>
      </c>
      <c r="E7" s="177">
        <f>'Maldives at LG Daily'!D10</f>
        <v>31978</v>
      </c>
      <c r="F7" s="178">
        <v>0.93</v>
      </c>
      <c r="G7" s="177">
        <f>'Maldives at LG Daily'!F10</f>
        <v>0</v>
      </c>
      <c r="H7" s="178">
        <v>1.24</v>
      </c>
      <c r="I7" s="177">
        <f>'Maldives at LG Daily'!H10</f>
        <v>432</v>
      </c>
      <c r="J7" s="178">
        <v>1.72</v>
      </c>
      <c r="K7" s="177">
        <f>'Maldives at LG Daily'!I10</f>
        <v>73</v>
      </c>
      <c r="L7" s="177">
        <f>'Maldives at LG Daily'!J10</f>
        <v>671</v>
      </c>
    </row>
    <row r="8" spans="1:12" ht="15" x14ac:dyDescent="0.25">
      <c r="A8" s="175" t="s">
        <v>124</v>
      </c>
      <c r="B8" s="175">
        <f t="shared" si="0"/>
        <v>7</v>
      </c>
      <c r="C8" s="176">
        <v>4</v>
      </c>
      <c r="D8" s="175">
        <v>2021</v>
      </c>
      <c r="E8" s="177">
        <f>'Maldives at LG Daily'!D11</f>
        <v>32564</v>
      </c>
      <c r="F8" s="178">
        <v>0.93</v>
      </c>
      <c r="G8" s="177">
        <f>'Maldives at LG Daily'!F11</f>
        <v>45</v>
      </c>
      <c r="H8" s="178">
        <v>1.24</v>
      </c>
      <c r="I8" s="177">
        <f>'Maldives at LG Daily'!H11</f>
        <v>491</v>
      </c>
      <c r="J8" s="178">
        <v>1.72</v>
      </c>
      <c r="K8" s="177">
        <f>'Maldives at LG Daily'!I11</f>
        <v>71</v>
      </c>
      <c r="L8" s="177">
        <f>'Maldives at LG Daily'!J11</f>
        <v>651</v>
      </c>
    </row>
    <row r="9" spans="1:12" ht="15" x14ac:dyDescent="0.25">
      <c r="A9" s="175" t="s">
        <v>124</v>
      </c>
      <c r="B9" s="175">
        <f t="shared" si="0"/>
        <v>8</v>
      </c>
      <c r="C9" s="176">
        <v>4</v>
      </c>
      <c r="D9" s="175">
        <v>2021</v>
      </c>
      <c r="E9" s="177">
        <f>'Maldives at LG Daily'!D12</f>
        <v>32369</v>
      </c>
      <c r="F9" s="178">
        <v>0.93</v>
      </c>
      <c r="G9" s="177">
        <f>'Maldives at LG Daily'!F12</f>
        <v>45</v>
      </c>
      <c r="H9" s="178">
        <v>1.24</v>
      </c>
      <c r="I9" s="177">
        <f>'Maldives at LG Daily'!H12</f>
        <v>424</v>
      </c>
      <c r="J9" s="178">
        <v>1.72</v>
      </c>
      <c r="K9" s="177">
        <f>'Maldives at LG Daily'!I12</f>
        <v>65</v>
      </c>
      <c r="L9" s="177">
        <f>'Maldives at LG Daily'!J12</f>
        <v>637</v>
      </c>
    </row>
    <row r="10" spans="1:12" ht="15" x14ac:dyDescent="0.25">
      <c r="A10" s="175" t="s">
        <v>124</v>
      </c>
      <c r="B10" s="175">
        <f t="shared" si="0"/>
        <v>9</v>
      </c>
      <c r="C10" s="176">
        <v>4</v>
      </c>
      <c r="D10" s="175">
        <v>2021</v>
      </c>
      <c r="E10" s="177">
        <f>'Maldives at LG Daily'!D13</f>
        <v>31375</v>
      </c>
      <c r="F10" s="178">
        <v>0.93</v>
      </c>
      <c r="G10" s="177" t="str">
        <f>'Maldives at LG Daily'!F13</f>
        <v>0</v>
      </c>
      <c r="H10" s="178">
        <v>1.24</v>
      </c>
      <c r="I10" s="177">
        <f>'Maldives at LG Daily'!H13</f>
        <v>432</v>
      </c>
      <c r="J10" s="178">
        <v>1.72</v>
      </c>
      <c r="K10" s="177">
        <f>'Maldives at LG Daily'!I13</f>
        <v>57</v>
      </c>
      <c r="L10" s="177">
        <f>'Maldives at LG Daily'!J13</f>
        <v>530</v>
      </c>
    </row>
    <row r="11" spans="1:12" ht="15" x14ac:dyDescent="0.25">
      <c r="A11" s="175" t="s">
        <v>124</v>
      </c>
      <c r="B11" s="175">
        <f t="shared" si="0"/>
        <v>10</v>
      </c>
      <c r="C11" s="176">
        <v>4</v>
      </c>
      <c r="D11" s="175">
        <v>2021</v>
      </c>
      <c r="E11" s="177">
        <f>'Maldives at LG Daily'!D14</f>
        <v>30622</v>
      </c>
      <c r="F11" s="178">
        <v>0.93</v>
      </c>
      <c r="G11" s="177" t="str">
        <f>'Maldives at LG Daily'!F14</f>
        <v>0</v>
      </c>
      <c r="H11" s="178">
        <v>1.24</v>
      </c>
      <c r="I11" s="177">
        <f>'Maldives at LG Daily'!H14</f>
        <v>403</v>
      </c>
      <c r="J11" s="178">
        <v>1.72</v>
      </c>
      <c r="K11" s="177">
        <f>'Maldives at LG Daily'!I14</f>
        <v>56</v>
      </c>
      <c r="L11" s="177">
        <f>'Maldives at LG Daily'!J14</f>
        <v>484</v>
      </c>
    </row>
    <row r="12" spans="1:12" ht="15" x14ac:dyDescent="0.25">
      <c r="A12" s="175" t="s">
        <v>124</v>
      </c>
      <c r="B12" s="175">
        <f t="shared" si="0"/>
        <v>11</v>
      </c>
      <c r="C12" s="176">
        <v>4</v>
      </c>
      <c r="D12" s="175">
        <v>2021</v>
      </c>
      <c r="E12" s="177">
        <f>'Maldives at LG Daily'!D15</f>
        <v>31458</v>
      </c>
      <c r="F12" s="178">
        <v>0.93</v>
      </c>
      <c r="G12" s="177">
        <f>'Maldives at LG Daily'!F15</f>
        <v>90</v>
      </c>
      <c r="H12" s="178">
        <v>1.24</v>
      </c>
      <c r="I12" s="177">
        <f>'Maldives at LG Daily'!H15</f>
        <v>425</v>
      </c>
      <c r="J12" s="178">
        <v>1.72</v>
      </c>
      <c r="K12" s="177">
        <f>'Maldives at LG Daily'!I15</f>
        <v>48</v>
      </c>
      <c r="L12" s="177">
        <f>'Maldives at LG Daily'!J15</f>
        <v>437</v>
      </c>
    </row>
    <row r="13" spans="1:12" ht="15" x14ac:dyDescent="0.25">
      <c r="A13" s="175" t="s">
        <v>124</v>
      </c>
      <c r="B13" s="175">
        <f t="shared" si="0"/>
        <v>12</v>
      </c>
      <c r="C13" s="176">
        <v>4</v>
      </c>
      <c r="D13" s="175">
        <v>2021</v>
      </c>
      <c r="E13" s="177" t="str">
        <f>'Maldives at LG Daily'!D16</f>
        <v>0</v>
      </c>
      <c r="F13" s="178">
        <v>0.93</v>
      </c>
      <c r="G13" s="177" t="str">
        <f>'Maldives at LG Daily'!F16</f>
        <v>0</v>
      </c>
      <c r="H13" s="178">
        <v>1.24</v>
      </c>
      <c r="I13" s="177">
        <f>'Maldives at LG Daily'!H16</f>
        <v>341</v>
      </c>
      <c r="J13" s="178">
        <v>1.72</v>
      </c>
      <c r="K13" s="177">
        <f>'Maldives at LG Daily'!I16</f>
        <v>0</v>
      </c>
      <c r="L13" s="177">
        <f>'Maldives at LG Daily'!J16</f>
        <v>0</v>
      </c>
    </row>
    <row r="14" spans="1:12" ht="15" x14ac:dyDescent="0.25">
      <c r="A14" s="175" t="s">
        <v>124</v>
      </c>
      <c r="B14" s="175">
        <f t="shared" si="0"/>
        <v>13</v>
      </c>
      <c r="C14" s="176">
        <v>4</v>
      </c>
      <c r="D14" s="175">
        <v>2021</v>
      </c>
      <c r="E14" s="177" t="str">
        <f>'Maldives at LG Daily'!D17</f>
        <v>0</v>
      </c>
      <c r="F14" s="178">
        <v>0.93</v>
      </c>
      <c r="G14" s="177">
        <f>'Maldives at LG Daily'!F17</f>
        <v>0</v>
      </c>
      <c r="H14" s="178">
        <v>1.24</v>
      </c>
      <c r="I14" s="177" t="str">
        <f>'Maldives at LG Daily'!H17</f>
        <v>0</v>
      </c>
      <c r="J14" s="178">
        <v>1.72</v>
      </c>
      <c r="K14" s="177">
        <f>'Maldives at LG Daily'!I17</f>
        <v>0</v>
      </c>
      <c r="L14" s="177">
        <f>'Maldives at LG Daily'!J17</f>
        <v>0</v>
      </c>
    </row>
    <row r="15" spans="1:12" ht="15" x14ac:dyDescent="0.25">
      <c r="A15" s="175" t="s">
        <v>124</v>
      </c>
      <c r="B15" s="175">
        <f t="shared" si="0"/>
        <v>14</v>
      </c>
      <c r="C15" s="176">
        <v>4</v>
      </c>
      <c r="D15" s="175">
        <v>2021</v>
      </c>
      <c r="E15" s="177">
        <f>'Maldives at LG Daily'!D18</f>
        <v>0</v>
      </c>
      <c r="F15" s="178">
        <v>0.93</v>
      </c>
      <c r="G15" s="177">
        <f>'Maldives at LG Daily'!F18</f>
        <v>0</v>
      </c>
      <c r="H15" s="178">
        <v>1.24</v>
      </c>
      <c r="I15" s="177">
        <f>'Maldives at LG Daily'!H18</f>
        <v>0</v>
      </c>
      <c r="J15" s="178">
        <v>1.72</v>
      </c>
      <c r="K15" s="177">
        <f>'Maldives at LG Daily'!I18</f>
        <v>0</v>
      </c>
      <c r="L15" s="177">
        <f>'Maldives at LG Daily'!J18</f>
        <v>0</v>
      </c>
    </row>
    <row r="16" spans="1:12" ht="15" x14ac:dyDescent="0.25">
      <c r="A16" s="175" t="s">
        <v>124</v>
      </c>
      <c r="B16" s="175">
        <f t="shared" si="0"/>
        <v>15</v>
      </c>
      <c r="C16" s="176">
        <v>4</v>
      </c>
      <c r="D16" s="175">
        <v>2021</v>
      </c>
      <c r="E16" s="177">
        <f>'Maldives at LG Daily'!D19</f>
        <v>0</v>
      </c>
      <c r="F16" s="178">
        <v>0.93</v>
      </c>
      <c r="G16" s="177">
        <f>'Maldives at LG Daily'!F19</f>
        <v>0</v>
      </c>
      <c r="H16" s="178">
        <v>1.24</v>
      </c>
      <c r="I16" s="177">
        <f>'Maldives at LG Daily'!H19</f>
        <v>0</v>
      </c>
      <c r="J16" s="178">
        <v>1.72</v>
      </c>
      <c r="K16" s="177">
        <f>'Maldives at LG Daily'!I19</f>
        <v>0</v>
      </c>
      <c r="L16" s="177">
        <f>'Maldives at LG Daily'!J19</f>
        <v>0</v>
      </c>
    </row>
    <row r="17" spans="1:12" ht="15" x14ac:dyDescent="0.25">
      <c r="A17" s="175" t="s">
        <v>124</v>
      </c>
      <c r="B17" s="175">
        <f t="shared" si="0"/>
        <v>16</v>
      </c>
      <c r="C17" s="176">
        <v>4</v>
      </c>
      <c r="D17" s="175">
        <v>2021</v>
      </c>
      <c r="E17" s="177">
        <f>'Maldives at LG Daily'!D20</f>
        <v>0</v>
      </c>
      <c r="F17" s="178">
        <v>0.93</v>
      </c>
      <c r="G17" s="177">
        <f>'Maldives at LG Daily'!F20</f>
        <v>0</v>
      </c>
      <c r="H17" s="178">
        <v>1.24</v>
      </c>
      <c r="I17" s="177">
        <f>'Maldives at LG Daily'!H20</f>
        <v>0</v>
      </c>
      <c r="J17" s="178">
        <v>1.72</v>
      </c>
      <c r="K17" s="177">
        <f>'Maldives at LG Daily'!I20</f>
        <v>0</v>
      </c>
      <c r="L17" s="177">
        <f>'Maldives at LG Daily'!J20</f>
        <v>0</v>
      </c>
    </row>
    <row r="18" spans="1:12" ht="15" x14ac:dyDescent="0.25">
      <c r="A18" s="175" t="s">
        <v>124</v>
      </c>
      <c r="B18" s="175">
        <f t="shared" si="0"/>
        <v>17</v>
      </c>
      <c r="C18" s="176">
        <v>4</v>
      </c>
      <c r="D18" s="175">
        <v>2021</v>
      </c>
      <c r="E18" s="177">
        <f>'Maldives at LG Daily'!D21</f>
        <v>0</v>
      </c>
      <c r="F18" s="178">
        <v>0.93</v>
      </c>
      <c r="G18" s="177">
        <f>'Maldives at LG Daily'!F21</f>
        <v>0</v>
      </c>
      <c r="H18" s="178">
        <v>1.24</v>
      </c>
      <c r="I18" s="177">
        <f>'Maldives at LG Daily'!H21</f>
        <v>0</v>
      </c>
      <c r="J18" s="178">
        <v>1.72</v>
      </c>
      <c r="K18" s="177">
        <f>'Maldives at LG Daily'!I21</f>
        <v>0</v>
      </c>
      <c r="L18" s="177">
        <f>'Maldives at LG Daily'!J21</f>
        <v>0</v>
      </c>
    </row>
    <row r="19" spans="1:12" ht="15" x14ac:dyDescent="0.25">
      <c r="A19" s="175" t="s">
        <v>124</v>
      </c>
      <c r="B19" s="175">
        <f t="shared" si="0"/>
        <v>18</v>
      </c>
      <c r="C19" s="176">
        <v>4</v>
      </c>
      <c r="D19" s="175">
        <v>2021</v>
      </c>
      <c r="E19" s="177">
        <f>'Maldives at LG Daily'!D22</f>
        <v>0</v>
      </c>
      <c r="F19" s="178">
        <v>0.93</v>
      </c>
      <c r="G19" s="177">
        <f>'Maldives at LG Daily'!F22</f>
        <v>0</v>
      </c>
      <c r="H19" s="178">
        <v>1.24</v>
      </c>
      <c r="I19" s="177">
        <f>'Maldives at LG Daily'!H22</f>
        <v>0</v>
      </c>
      <c r="J19" s="178">
        <v>1.72</v>
      </c>
      <c r="K19" s="177">
        <f>'Maldives at LG Daily'!I22</f>
        <v>0</v>
      </c>
      <c r="L19" s="177">
        <f>'Maldives at LG Daily'!J22</f>
        <v>0</v>
      </c>
    </row>
    <row r="20" spans="1:12" ht="15" x14ac:dyDescent="0.25">
      <c r="A20" s="175" t="s">
        <v>124</v>
      </c>
      <c r="B20" s="175">
        <f t="shared" si="0"/>
        <v>19</v>
      </c>
      <c r="C20" s="176">
        <v>4</v>
      </c>
      <c r="D20" s="175">
        <v>2021</v>
      </c>
      <c r="E20" s="177">
        <f>'Maldives at LG Daily'!D23</f>
        <v>0</v>
      </c>
      <c r="F20" s="178">
        <v>0.93</v>
      </c>
      <c r="G20" s="177">
        <f>'Maldives at LG Daily'!F23</f>
        <v>0</v>
      </c>
      <c r="H20" s="178">
        <v>1.24</v>
      </c>
      <c r="I20" s="177">
        <f>'Maldives at LG Daily'!H23</f>
        <v>0</v>
      </c>
      <c r="J20" s="178">
        <v>1.72</v>
      </c>
      <c r="K20" s="177">
        <f>'Maldives at LG Daily'!I23</f>
        <v>0</v>
      </c>
      <c r="L20" s="177">
        <f>'Maldives at LG Daily'!J23</f>
        <v>0</v>
      </c>
    </row>
    <row r="21" spans="1:12" ht="15" x14ac:dyDescent="0.25">
      <c r="A21" s="175" t="s">
        <v>124</v>
      </c>
      <c r="B21" s="175">
        <f t="shared" si="0"/>
        <v>20</v>
      </c>
      <c r="C21" s="176">
        <v>4</v>
      </c>
      <c r="D21" s="175">
        <v>2021</v>
      </c>
      <c r="E21" s="177">
        <f>'Maldives at LG Daily'!D24</f>
        <v>0</v>
      </c>
      <c r="F21" s="178">
        <v>0.93</v>
      </c>
      <c r="G21" s="177">
        <f>'Maldives at LG Daily'!F24</f>
        <v>0</v>
      </c>
      <c r="H21" s="178">
        <v>1.24</v>
      </c>
      <c r="I21" s="177">
        <f>'Maldives at LG Daily'!H24</f>
        <v>0</v>
      </c>
      <c r="J21" s="178">
        <v>1.72</v>
      </c>
      <c r="K21" s="177">
        <f>'Maldives at LG Daily'!I24</f>
        <v>0</v>
      </c>
      <c r="L21" s="177">
        <f>'Maldives at LG Daily'!J24</f>
        <v>0</v>
      </c>
    </row>
    <row r="22" spans="1:12" ht="15" x14ac:dyDescent="0.25">
      <c r="A22" s="175" t="s">
        <v>124</v>
      </c>
      <c r="B22" s="175">
        <f t="shared" si="0"/>
        <v>21</v>
      </c>
      <c r="C22" s="176">
        <v>4</v>
      </c>
      <c r="D22" s="175">
        <v>2021</v>
      </c>
      <c r="E22" s="177">
        <f>'Maldives at LG Daily'!D25</f>
        <v>0</v>
      </c>
      <c r="F22" s="178">
        <v>0.93</v>
      </c>
      <c r="G22" s="177">
        <f>'Maldives at LG Daily'!F25</f>
        <v>0</v>
      </c>
      <c r="H22" s="178">
        <v>1.24</v>
      </c>
      <c r="I22" s="177">
        <f>'Maldives at LG Daily'!H25</f>
        <v>0</v>
      </c>
      <c r="J22" s="178">
        <v>1.72</v>
      </c>
      <c r="K22" s="177">
        <f>'Maldives at LG Daily'!I25</f>
        <v>0</v>
      </c>
      <c r="L22" s="177">
        <f>'Maldives at LG Daily'!J25</f>
        <v>0</v>
      </c>
    </row>
    <row r="23" spans="1:12" ht="15" x14ac:dyDescent="0.25">
      <c r="A23" s="175" t="s">
        <v>124</v>
      </c>
      <c r="B23" s="175">
        <f t="shared" si="0"/>
        <v>22</v>
      </c>
      <c r="C23" s="176">
        <v>4</v>
      </c>
      <c r="D23" s="175">
        <v>2021</v>
      </c>
      <c r="E23" s="177">
        <f>'Maldives at LG Daily'!D26</f>
        <v>0</v>
      </c>
      <c r="F23" s="178">
        <v>0.93</v>
      </c>
      <c r="G23" s="177">
        <f>'Maldives at LG Daily'!F26</f>
        <v>0</v>
      </c>
      <c r="H23" s="178">
        <v>1.24</v>
      </c>
      <c r="I23" s="177">
        <f>'Maldives at LG Daily'!H26</f>
        <v>0</v>
      </c>
      <c r="J23" s="178">
        <v>1.72</v>
      </c>
      <c r="K23" s="177">
        <f>'Maldives at LG Daily'!I26</f>
        <v>0</v>
      </c>
      <c r="L23" s="177">
        <f>'Maldives at LG Daily'!J26</f>
        <v>0</v>
      </c>
    </row>
    <row r="24" spans="1:12" ht="15" x14ac:dyDescent="0.25">
      <c r="A24" s="175" t="s">
        <v>124</v>
      </c>
      <c r="B24" s="175">
        <f t="shared" si="0"/>
        <v>23</v>
      </c>
      <c r="C24" s="176">
        <v>4</v>
      </c>
      <c r="D24" s="175">
        <v>2021</v>
      </c>
      <c r="E24" s="177">
        <f>'Maldives at LG Daily'!D27</f>
        <v>0</v>
      </c>
      <c r="F24" s="178">
        <v>0.93</v>
      </c>
      <c r="G24" s="177">
        <f>'Maldives at LG Daily'!F27</f>
        <v>0</v>
      </c>
      <c r="H24" s="178">
        <v>1.24</v>
      </c>
      <c r="I24" s="177">
        <f>'Maldives at LG Daily'!H27</f>
        <v>0</v>
      </c>
      <c r="J24" s="178">
        <v>1.72</v>
      </c>
      <c r="K24" s="177">
        <f>'Maldives at LG Daily'!I27</f>
        <v>0</v>
      </c>
      <c r="L24" s="177">
        <f>'Maldives at LG Daily'!J27</f>
        <v>0</v>
      </c>
    </row>
    <row r="25" spans="1:12" ht="15" x14ac:dyDescent="0.25">
      <c r="A25" s="175" t="s">
        <v>124</v>
      </c>
      <c r="B25" s="175">
        <f t="shared" si="0"/>
        <v>24</v>
      </c>
      <c r="C25" s="176">
        <v>4</v>
      </c>
      <c r="D25" s="175">
        <v>2021</v>
      </c>
      <c r="E25" s="177">
        <f>'Maldives at LG Daily'!D28</f>
        <v>0</v>
      </c>
      <c r="F25" s="178">
        <v>0.93</v>
      </c>
      <c r="G25" s="177">
        <f>'Maldives at LG Daily'!F28</f>
        <v>0</v>
      </c>
      <c r="H25" s="178">
        <v>1.24</v>
      </c>
      <c r="I25" s="177">
        <f>'Maldives at LG Daily'!H28</f>
        <v>0</v>
      </c>
      <c r="J25" s="178">
        <v>1.72</v>
      </c>
      <c r="K25" s="177">
        <f>'Maldives at LG Daily'!I28</f>
        <v>0</v>
      </c>
      <c r="L25" s="177">
        <f>'Maldives at LG Daily'!J28</f>
        <v>0</v>
      </c>
    </row>
    <row r="26" spans="1:12" ht="15" x14ac:dyDescent="0.25">
      <c r="A26" s="175" t="s">
        <v>124</v>
      </c>
      <c r="B26" s="175">
        <f>B25+1</f>
        <v>25</v>
      </c>
      <c r="C26" s="176">
        <v>4</v>
      </c>
      <c r="D26" s="175">
        <v>2021</v>
      </c>
      <c r="E26" s="177">
        <f>'Maldives at LG Daily'!D29</f>
        <v>0</v>
      </c>
      <c r="F26" s="178">
        <v>0.93</v>
      </c>
      <c r="G26" s="177">
        <f>'Maldives at LG Daily'!F29</f>
        <v>0</v>
      </c>
      <c r="H26" s="178">
        <v>1.24</v>
      </c>
      <c r="I26" s="177">
        <f>'Maldives at LG Daily'!H29</f>
        <v>0</v>
      </c>
      <c r="J26" s="178">
        <v>1.72</v>
      </c>
      <c r="K26" s="177">
        <f>'Maldives at LG Daily'!I29</f>
        <v>0</v>
      </c>
      <c r="L26" s="177">
        <f>'Maldives at LG Daily'!J29</f>
        <v>0</v>
      </c>
    </row>
    <row r="27" spans="1:12" ht="15" x14ac:dyDescent="0.25">
      <c r="A27" s="175" t="s">
        <v>124</v>
      </c>
      <c r="B27" s="175">
        <f t="shared" si="0"/>
        <v>26</v>
      </c>
      <c r="C27" s="176">
        <v>4</v>
      </c>
      <c r="D27" s="175">
        <v>2021</v>
      </c>
      <c r="E27" s="177">
        <f>'Maldives at LG Daily'!D30</f>
        <v>0</v>
      </c>
      <c r="F27" s="178">
        <v>0.93</v>
      </c>
      <c r="G27" s="177">
        <f>'Maldives at LG Daily'!F30</f>
        <v>0</v>
      </c>
      <c r="H27" s="178">
        <v>1.24</v>
      </c>
      <c r="I27" s="177">
        <f>'Maldives at LG Daily'!H30</f>
        <v>0</v>
      </c>
      <c r="J27" s="178">
        <v>1.72</v>
      </c>
      <c r="K27" s="177">
        <f>'Maldives at LG Daily'!I30</f>
        <v>0</v>
      </c>
      <c r="L27" s="177">
        <f>'Maldives at LG Daily'!J30</f>
        <v>0</v>
      </c>
    </row>
    <row r="28" spans="1:12" ht="15" x14ac:dyDescent="0.25">
      <c r="A28" s="175" t="s">
        <v>124</v>
      </c>
      <c r="B28" s="175">
        <f t="shared" si="0"/>
        <v>27</v>
      </c>
      <c r="C28" s="176">
        <v>4</v>
      </c>
      <c r="D28" s="175">
        <v>2021</v>
      </c>
      <c r="E28" s="177">
        <f>'Maldives at LG Daily'!D31</f>
        <v>0</v>
      </c>
      <c r="F28" s="178">
        <v>0.93</v>
      </c>
      <c r="G28" s="177">
        <f>'Maldives at LG Daily'!F31</f>
        <v>0</v>
      </c>
      <c r="H28" s="178">
        <v>1.24</v>
      </c>
      <c r="I28" s="177">
        <f>'Maldives at LG Daily'!H31</f>
        <v>0</v>
      </c>
      <c r="J28" s="178">
        <v>1.72</v>
      </c>
      <c r="K28" s="177">
        <f>'Maldives at LG Daily'!I31</f>
        <v>0</v>
      </c>
      <c r="L28" s="177">
        <f>'Maldives at LG Daily'!J31</f>
        <v>0</v>
      </c>
    </row>
    <row r="29" spans="1:12" ht="15" x14ac:dyDescent="0.25">
      <c r="A29" s="175" t="s">
        <v>124</v>
      </c>
      <c r="B29" s="175">
        <f t="shared" si="0"/>
        <v>28</v>
      </c>
      <c r="C29" s="176">
        <v>4</v>
      </c>
      <c r="D29" s="175">
        <v>2021</v>
      </c>
      <c r="E29" s="177">
        <f>'Maldives at LG Daily'!D32</f>
        <v>0</v>
      </c>
      <c r="F29" s="178">
        <v>0.93</v>
      </c>
      <c r="G29" s="177">
        <f>'Maldives at LG Daily'!F32</f>
        <v>0</v>
      </c>
      <c r="H29" s="178">
        <v>1.24</v>
      </c>
      <c r="I29" s="177">
        <f>'Maldives at LG Daily'!H32</f>
        <v>0</v>
      </c>
      <c r="J29" s="178">
        <v>1.72</v>
      </c>
      <c r="K29" s="177">
        <f>'Maldives at LG Daily'!I32</f>
        <v>0</v>
      </c>
      <c r="L29" s="177">
        <f>'Maldives at LG Daily'!J32</f>
        <v>0</v>
      </c>
    </row>
    <row r="30" spans="1:12" ht="15" x14ac:dyDescent="0.25">
      <c r="A30" s="175" t="s">
        <v>124</v>
      </c>
      <c r="B30" s="175">
        <f t="shared" si="0"/>
        <v>29</v>
      </c>
      <c r="C30" s="176">
        <v>4</v>
      </c>
      <c r="D30" s="175">
        <v>2021</v>
      </c>
      <c r="E30" s="177">
        <f>'Maldives at LG Daily'!D33</f>
        <v>0</v>
      </c>
      <c r="F30" s="178">
        <v>0.93</v>
      </c>
      <c r="G30" s="177">
        <f>'Maldives at LG Daily'!F33</f>
        <v>0</v>
      </c>
      <c r="H30" s="178">
        <v>2.2400000000000002</v>
      </c>
      <c r="I30" s="177">
        <f>'Maldives at LG Daily'!H33</f>
        <v>0</v>
      </c>
      <c r="J30" s="178">
        <v>2.72</v>
      </c>
      <c r="K30" s="177">
        <f>'Maldives at LG Daily'!I33</f>
        <v>0</v>
      </c>
      <c r="L30" s="177">
        <f>'Maldives at LG Daily'!J33</f>
        <v>0</v>
      </c>
    </row>
    <row r="31" spans="1:12" ht="15" x14ac:dyDescent="0.25">
      <c r="A31" s="175" t="s">
        <v>124</v>
      </c>
      <c r="B31" s="175">
        <f t="shared" si="0"/>
        <v>30</v>
      </c>
      <c r="C31" s="176">
        <v>4</v>
      </c>
      <c r="D31" s="175">
        <v>2021</v>
      </c>
      <c r="E31" s="177">
        <f>'Maldives at LG Daily'!D34</f>
        <v>0</v>
      </c>
      <c r="F31" s="178">
        <v>0.93</v>
      </c>
      <c r="G31" s="177">
        <f>'Maldives at LG Daily'!F34</f>
        <v>0</v>
      </c>
      <c r="H31" s="178">
        <v>3.24</v>
      </c>
      <c r="I31" s="177">
        <f>'Maldives at LG Daily'!H34</f>
        <v>0</v>
      </c>
      <c r="J31" s="178">
        <v>3.72</v>
      </c>
      <c r="K31" s="177">
        <f>'Maldives at LG Daily'!I34</f>
        <v>0</v>
      </c>
      <c r="L31" s="177">
        <f>'Maldives at LG Daily'!J34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abSelected="1" topLeftCell="A11" zoomScale="85" zoomScaleNormal="85" workbookViewId="0">
      <pane xSplit="1" topLeftCell="B1" activePane="topRight" state="frozen"/>
      <selection pane="topRight" activeCell="J16" sqref="J16"/>
    </sheetView>
  </sheetViews>
  <sheetFormatPr defaultRowHeight="15" x14ac:dyDescent="0.25"/>
  <cols>
    <col min="1" max="1" width="14" style="237" customWidth="1"/>
    <col min="2" max="2" width="2" style="237" customWidth="1"/>
    <col min="3" max="3" width="11.85546875" style="255" customWidth="1"/>
    <col min="4" max="4" width="13.5703125" style="256" customWidth="1"/>
    <col min="5" max="5" width="14.85546875" style="237" customWidth="1"/>
    <col min="6" max="6" width="14.85546875" style="255" customWidth="1"/>
    <col min="7" max="7" width="8.85546875" style="237" customWidth="1"/>
    <col min="8" max="8" width="12.5703125" style="237" customWidth="1"/>
    <col min="9" max="10" width="13" style="259" customWidth="1"/>
    <col min="11" max="254" width="9.140625" style="237"/>
    <col min="255" max="255" width="14" style="237" customWidth="1"/>
    <col min="256" max="256" width="2" style="237" customWidth="1"/>
    <col min="257" max="257" width="11.85546875" style="237" customWidth="1"/>
    <col min="258" max="258" width="13.5703125" style="237" customWidth="1"/>
    <col min="259" max="260" width="13.85546875" style="237" customWidth="1"/>
    <col min="261" max="262" width="14.85546875" style="237" customWidth="1"/>
    <col min="263" max="263" width="8.85546875" style="237" customWidth="1"/>
    <col min="264" max="264" width="12.5703125" style="237" customWidth="1"/>
    <col min="265" max="266" width="13" style="237" customWidth="1"/>
    <col min="267" max="510" width="9.140625" style="237"/>
    <col min="511" max="511" width="14" style="237" customWidth="1"/>
    <col min="512" max="512" width="2" style="237" customWidth="1"/>
    <col min="513" max="513" width="11.85546875" style="237" customWidth="1"/>
    <col min="514" max="514" width="13.5703125" style="237" customWidth="1"/>
    <col min="515" max="516" width="13.85546875" style="237" customWidth="1"/>
    <col min="517" max="518" width="14.85546875" style="237" customWidth="1"/>
    <col min="519" max="519" width="8.85546875" style="237" customWidth="1"/>
    <col min="520" max="520" width="12.5703125" style="237" customWidth="1"/>
    <col min="521" max="522" width="13" style="237" customWidth="1"/>
    <col min="523" max="766" width="9.140625" style="237"/>
    <col min="767" max="767" width="14" style="237" customWidth="1"/>
    <col min="768" max="768" width="2" style="237" customWidth="1"/>
    <col min="769" max="769" width="11.85546875" style="237" customWidth="1"/>
    <col min="770" max="770" width="13.5703125" style="237" customWidth="1"/>
    <col min="771" max="772" width="13.85546875" style="237" customWidth="1"/>
    <col min="773" max="774" width="14.85546875" style="237" customWidth="1"/>
    <col min="775" max="775" width="8.85546875" style="237" customWidth="1"/>
    <col min="776" max="776" width="12.5703125" style="237" customWidth="1"/>
    <col min="777" max="778" width="13" style="237" customWidth="1"/>
    <col min="779" max="1022" width="9.140625" style="237"/>
    <col min="1023" max="1023" width="14" style="237" customWidth="1"/>
    <col min="1024" max="1024" width="2" style="237" customWidth="1"/>
    <col min="1025" max="1025" width="11.85546875" style="237" customWidth="1"/>
    <col min="1026" max="1026" width="13.5703125" style="237" customWidth="1"/>
    <col min="1027" max="1028" width="13.85546875" style="237" customWidth="1"/>
    <col min="1029" max="1030" width="14.85546875" style="237" customWidth="1"/>
    <col min="1031" max="1031" width="8.85546875" style="237" customWidth="1"/>
    <col min="1032" max="1032" width="12.5703125" style="237" customWidth="1"/>
    <col min="1033" max="1034" width="13" style="237" customWidth="1"/>
    <col min="1035" max="1278" width="9.140625" style="237"/>
    <col min="1279" max="1279" width="14" style="237" customWidth="1"/>
    <col min="1280" max="1280" width="2" style="237" customWidth="1"/>
    <col min="1281" max="1281" width="11.85546875" style="237" customWidth="1"/>
    <col min="1282" max="1282" width="13.5703125" style="237" customWidth="1"/>
    <col min="1283" max="1284" width="13.85546875" style="237" customWidth="1"/>
    <col min="1285" max="1286" width="14.85546875" style="237" customWidth="1"/>
    <col min="1287" max="1287" width="8.85546875" style="237" customWidth="1"/>
    <col min="1288" max="1288" width="12.5703125" style="237" customWidth="1"/>
    <col min="1289" max="1290" width="13" style="237" customWidth="1"/>
    <col min="1291" max="1534" width="9.140625" style="237"/>
    <col min="1535" max="1535" width="14" style="237" customWidth="1"/>
    <col min="1536" max="1536" width="2" style="237" customWidth="1"/>
    <col min="1537" max="1537" width="11.85546875" style="237" customWidth="1"/>
    <col min="1538" max="1538" width="13.5703125" style="237" customWidth="1"/>
    <col min="1539" max="1540" width="13.85546875" style="237" customWidth="1"/>
    <col min="1541" max="1542" width="14.85546875" style="237" customWidth="1"/>
    <col min="1543" max="1543" width="8.85546875" style="237" customWidth="1"/>
    <col min="1544" max="1544" width="12.5703125" style="237" customWidth="1"/>
    <col min="1545" max="1546" width="13" style="237" customWidth="1"/>
    <col min="1547" max="1790" width="9.140625" style="237"/>
    <col min="1791" max="1791" width="14" style="237" customWidth="1"/>
    <col min="1792" max="1792" width="2" style="237" customWidth="1"/>
    <col min="1793" max="1793" width="11.85546875" style="237" customWidth="1"/>
    <col min="1794" max="1794" width="13.5703125" style="237" customWidth="1"/>
    <col min="1795" max="1796" width="13.85546875" style="237" customWidth="1"/>
    <col min="1797" max="1798" width="14.85546875" style="237" customWidth="1"/>
    <col min="1799" max="1799" width="8.85546875" style="237" customWidth="1"/>
    <col min="1800" max="1800" width="12.5703125" style="237" customWidth="1"/>
    <col min="1801" max="1802" width="13" style="237" customWidth="1"/>
    <col min="1803" max="2046" width="9.140625" style="237"/>
    <col min="2047" max="2047" width="14" style="237" customWidth="1"/>
    <col min="2048" max="2048" width="2" style="237" customWidth="1"/>
    <col min="2049" max="2049" width="11.85546875" style="237" customWidth="1"/>
    <col min="2050" max="2050" width="13.5703125" style="237" customWidth="1"/>
    <col min="2051" max="2052" width="13.85546875" style="237" customWidth="1"/>
    <col min="2053" max="2054" width="14.85546875" style="237" customWidth="1"/>
    <col min="2055" max="2055" width="8.85546875" style="237" customWidth="1"/>
    <col min="2056" max="2056" width="12.5703125" style="237" customWidth="1"/>
    <col min="2057" max="2058" width="13" style="237" customWidth="1"/>
    <col min="2059" max="2302" width="9.140625" style="237"/>
    <col min="2303" max="2303" width="14" style="237" customWidth="1"/>
    <col min="2304" max="2304" width="2" style="237" customWidth="1"/>
    <col min="2305" max="2305" width="11.85546875" style="237" customWidth="1"/>
    <col min="2306" max="2306" width="13.5703125" style="237" customWidth="1"/>
    <col min="2307" max="2308" width="13.85546875" style="237" customWidth="1"/>
    <col min="2309" max="2310" width="14.85546875" style="237" customWidth="1"/>
    <col min="2311" max="2311" width="8.85546875" style="237" customWidth="1"/>
    <col min="2312" max="2312" width="12.5703125" style="237" customWidth="1"/>
    <col min="2313" max="2314" width="13" style="237" customWidth="1"/>
    <col min="2315" max="2558" width="9.140625" style="237"/>
    <col min="2559" max="2559" width="14" style="237" customWidth="1"/>
    <col min="2560" max="2560" width="2" style="237" customWidth="1"/>
    <col min="2561" max="2561" width="11.85546875" style="237" customWidth="1"/>
    <col min="2562" max="2562" width="13.5703125" style="237" customWidth="1"/>
    <col min="2563" max="2564" width="13.85546875" style="237" customWidth="1"/>
    <col min="2565" max="2566" width="14.85546875" style="237" customWidth="1"/>
    <col min="2567" max="2567" width="8.85546875" style="237" customWidth="1"/>
    <col min="2568" max="2568" width="12.5703125" style="237" customWidth="1"/>
    <col min="2569" max="2570" width="13" style="237" customWidth="1"/>
    <col min="2571" max="2814" width="9.140625" style="237"/>
    <col min="2815" max="2815" width="14" style="237" customWidth="1"/>
    <col min="2816" max="2816" width="2" style="237" customWidth="1"/>
    <col min="2817" max="2817" width="11.85546875" style="237" customWidth="1"/>
    <col min="2818" max="2818" width="13.5703125" style="237" customWidth="1"/>
    <col min="2819" max="2820" width="13.85546875" style="237" customWidth="1"/>
    <col min="2821" max="2822" width="14.85546875" style="237" customWidth="1"/>
    <col min="2823" max="2823" width="8.85546875" style="237" customWidth="1"/>
    <col min="2824" max="2824" width="12.5703125" style="237" customWidth="1"/>
    <col min="2825" max="2826" width="13" style="237" customWidth="1"/>
    <col min="2827" max="3070" width="9.140625" style="237"/>
    <col min="3071" max="3071" width="14" style="237" customWidth="1"/>
    <col min="3072" max="3072" width="2" style="237" customWidth="1"/>
    <col min="3073" max="3073" width="11.85546875" style="237" customWidth="1"/>
    <col min="3074" max="3074" width="13.5703125" style="237" customWidth="1"/>
    <col min="3075" max="3076" width="13.85546875" style="237" customWidth="1"/>
    <col min="3077" max="3078" width="14.85546875" style="237" customWidth="1"/>
    <col min="3079" max="3079" width="8.85546875" style="237" customWidth="1"/>
    <col min="3080" max="3080" width="12.5703125" style="237" customWidth="1"/>
    <col min="3081" max="3082" width="13" style="237" customWidth="1"/>
    <col min="3083" max="3326" width="9.140625" style="237"/>
    <col min="3327" max="3327" width="14" style="237" customWidth="1"/>
    <col min="3328" max="3328" width="2" style="237" customWidth="1"/>
    <col min="3329" max="3329" width="11.85546875" style="237" customWidth="1"/>
    <col min="3330" max="3330" width="13.5703125" style="237" customWidth="1"/>
    <col min="3331" max="3332" width="13.85546875" style="237" customWidth="1"/>
    <col min="3333" max="3334" width="14.85546875" style="237" customWidth="1"/>
    <col min="3335" max="3335" width="8.85546875" style="237" customWidth="1"/>
    <col min="3336" max="3336" width="12.5703125" style="237" customWidth="1"/>
    <col min="3337" max="3338" width="13" style="237" customWidth="1"/>
    <col min="3339" max="3582" width="9.140625" style="237"/>
    <col min="3583" max="3583" width="14" style="237" customWidth="1"/>
    <col min="3584" max="3584" width="2" style="237" customWidth="1"/>
    <col min="3585" max="3585" width="11.85546875" style="237" customWidth="1"/>
    <col min="3586" max="3586" width="13.5703125" style="237" customWidth="1"/>
    <col min="3587" max="3588" width="13.85546875" style="237" customWidth="1"/>
    <col min="3589" max="3590" width="14.85546875" style="237" customWidth="1"/>
    <col min="3591" max="3591" width="8.85546875" style="237" customWidth="1"/>
    <col min="3592" max="3592" width="12.5703125" style="237" customWidth="1"/>
    <col min="3593" max="3594" width="13" style="237" customWidth="1"/>
    <col min="3595" max="3838" width="9.140625" style="237"/>
    <col min="3839" max="3839" width="14" style="237" customWidth="1"/>
    <col min="3840" max="3840" width="2" style="237" customWidth="1"/>
    <col min="3841" max="3841" width="11.85546875" style="237" customWidth="1"/>
    <col min="3842" max="3842" width="13.5703125" style="237" customWidth="1"/>
    <col min="3843" max="3844" width="13.85546875" style="237" customWidth="1"/>
    <col min="3845" max="3846" width="14.85546875" style="237" customWidth="1"/>
    <col min="3847" max="3847" width="8.85546875" style="237" customWidth="1"/>
    <col min="3848" max="3848" width="12.5703125" style="237" customWidth="1"/>
    <col min="3849" max="3850" width="13" style="237" customWidth="1"/>
    <col min="3851" max="4094" width="9.140625" style="237"/>
    <col min="4095" max="4095" width="14" style="237" customWidth="1"/>
    <col min="4096" max="4096" width="2" style="237" customWidth="1"/>
    <col min="4097" max="4097" width="11.85546875" style="237" customWidth="1"/>
    <col min="4098" max="4098" width="13.5703125" style="237" customWidth="1"/>
    <col min="4099" max="4100" width="13.85546875" style="237" customWidth="1"/>
    <col min="4101" max="4102" width="14.85546875" style="237" customWidth="1"/>
    <col min="4103" max="4103" width="8.85546875" style="237" customWidth="1"/>
    <col min="4104" max="4104" width="12.5703125" style="237" customWidth="1"/>
    <col min="4105" max="4106" width="13" style="237" customWidth="1"/>
    <col min="4107" max="4350" width="9.140625" style="237"/>
    <col min="4351" max="4351" width="14" style="237" customWidth="1"/>
    <col min="4352" max="4352" width="2" style="237" customWidth="1"/>
    <col min="4353" max="4353" width="11.85546875" style="237" customWidth="1"/>
    <col min="4354" max="4354" width="13.5703125" style="237" customWidth="1"/>
    <col min="4355" max="4356" width="13.85546875" style="237" customWidth="1"/>
    <col min="4357" max="4358" width="14.85546875" style="237" customWidth="1"/>
    <col min="4359" max="4359" width="8.85546875" style="237" customWidth="1"/>
    <col min="4360" max="4360" width="12.5703125" style="237" customWidth="1"/>
    <col min="4361" max="4362" width="13" style="237" customWidth="1"/>
    <col min="4363" max="4606" width="9.140625" style="237"/>
    <col min="4607" max="4607" width="14" style="237" customWidth="1"/>
    <col min="4608" max="4608" width="2" style="237" customWidth="1"/>
    <col min="4609" max="4609" width="11.85546875" style="237" customWidth="1"/>
    <col min="4610" max="4610" width="13.5703125" style="237" customWidth="1"/>
    <col min="4611" max="4612" width="13.85546875" style="237" customWidth="1"/>
    <col min="4613" max="4614" width="14.85546875" style="237" customWidth="1"/>
    <col min="4615" max="4615" width="8.85546875" style="237" customWidth="1"/>
    <col min="4616" max="4616" width="12.5703125" style="237" customWidth="1"/>
    <col min="4617" max="4618" width="13" style="237" customWidth="1"/>
    <col min="4619" max="4862" width="9.140625" style="237"/>
    <col min="4863" max="4863" width="14" style="237" customWidth="1"/>
    <col min="4864" max="4864" width="2" style="237" customWidth="1"/>
    <col min="4865" max="4865" width="11.85546875" style="237" customWidth="1"/>
    <col min="4866" max="4866" width="13.5703125" style="237" customWidth="1"/>
    <col min="4867" max="4868" width="13.85546875" style="237" customWidth="1"/>
    <col min="4869" max="4870" width="14.85546875" style="237" customWidth="1"/>
    <col min="4871" max="4871" width="8.85546875" style="237" customWidth="1"/>
    <col min="4872" max="4872" width="12.5703125" style="237" customWidth="1"/>
    <col min="4873" max="4874" width="13" style="237" customWidth="1"/>
    <col min="4875" max="5118" width="9.140625" style="237"/>
    <col min="5119" max="5119" width="14" style="237" customWidth="1"/>
    <col min="5120" max="5120" width="2" style="237" customWidth="1"/>
    <col min="5121" max="5121" width="11.85546875" style="237" customWidth="1"/>
    <col min="5122" max="5122" width="13.5703125" style="237" customWidth="1"/>
    <col min="5123" max="5124" width="13.85546875" style="237" customWidth="1"/>
    <col min="5125" max="5126" width="14.85546875" style="237" customWidth="1"/>
    <col min="5127" max="5127" width="8.85546875" style="237" customWidth="1"/>
    <col min="5128" max="5128" width="12.5703125" style="237" customWidth="1"/>
    <col min="5129" max="5130" width="13" style="237" customWidth="1"/>
    <col min="5131" max="5374" width="9.140625" style="237"/>
    <col min="5375" max="5375" width="14" style="237" customWidth="1"/>
    <col min="5376" max="5376" width="2" style="237" customWidth="1"/>
    <col min="5377" max="5377" width="11.85546875" style="237" customWidth="1"/>
    <col min="5378" max="5378" width="13.5703125" style="237" customWidth="1"/>
    <col min="5379" max="5380" width="13.85546875" style="237" customWidth="1"/>
    <col min="5381" max="5382" width="14.85546875" style="237" customWidth="1"/>
    <col min="5383" max="5383" width="8.85546875" style="237" customWidth="1"/>
    <col min="5384" max="5384" width="12.5703125" style="237" customWidth="1"/>
    <col min="5385" max="5386" width="13" style="237" customWidth="1"/>
    <col min="5387" max="5630" width="9.140625" style="237"/>
    <col min="5631" max="5631" width="14" style="237" customWidth="1"/>
    <col min="5632" max="5632" width="2" style="237" customWidth="1"/>
    <col min="5633" max="5633" width="11.85546875" style="237" customWidth="1"/>
    <col min="5634" max="5634" width="13.5703125" style="237" customWidth="1"/>
    <col min="5635" max="5636" width="13.85546875" style="237" customWidth="1"/>
    <col min="5637" max="5638" width="14.85546875" style="237" customWidth="1"/>
    <col min="5639" max="5639" width="8.85546875" style="237" customWidth="1"/>
    <col min="5640" max="5640" width="12.5703125" style="237" customWidth="1"/>
    <col min="5641" max="5642" width="13" style="237" customWidth="1"/>
    <col min="5643" max="5886" width="9.140625" style="237"/>
    <col min="5887" max="5887" width="14" style="237" customWidth="1"/>
    <col min="5888" max="5888" width="2" style="237" customWidth="1"/>
    <col min="5889" max="5889" width="11.85546875" style="237" customWidth="1"/>
    <col min="5890" max="5890" width="13.5703125" style="237" customWidth="1"/>
    <col min="5891" max="5892" width="13.85546875" style="237" customWidth="1"/>
    <col min="5893" max="5894" width="14.85546875" style="237" customWidth="1"/>
    <col min="5895" max="5895" width="8.85546875" style="237" customWidth="1"/>
    <col min="5896" max="5896" width="12.5703125" style="237" customWidth="1"/>
    <col min="5897" max="5898" width="13" style="237" customWidth="1"/>
    <col min="5899" max="6142" width="9.140625" style="237"/>
    <col min="6143" max="6143" width="14" style="237" customWidth="1"/>
    <col min="6144" max="6144" width="2" style="237" customWidth="1"/>
    <col min="6145" max="6145" width="11.85546875" style="237" customWidth="1"/>
    <col min="6146" max="6146" width="13.5703125" style="237" customWidth="1"/>
    <col min="6147" max="6148" width="13.85546875" style="237" customWidth="1"/>
    <col min="6149" max="6150" width="14.85546875" style="237" customWidth="1"/>
    <col min="6151" max="6151" width="8.85546875" style="237" customWidth="1"/>
    <col min="6152" max="6152" width="12.5703125" style="237" customWidth="1"/>
    <col min="6153" max="6154" width="13" style="237" customWidth="1"/>
    <col min="6155" max="6398" width="9.140625" style="237"/>
    <col min="6399" max="6399" width="14" style="237" customWidth="1"/>
    <col min="6400" max="6400" width="2" style="237" customWidth="1"/>
    <col min="6401" max="6401" width="11.85546875" style="237" customWidth="1"/>
    <col min="6402" max="6402" width="13.5703125" style="237" customWidth="1"/>
    <col min="6403" max="6404" width="13.85546875" style="237" customWidth="1"/>
    <col min="6405" max="6406" width="14.85546875" style="237" customWidth="1"/>
    <col min="6407" max="6407" width="8.85546875" style="237" customWidth="1"/>
    <col min="6408" max="6408" width="12.5703125" style="237" customWidth="1"/>
    <col min="6409" max="6410" width="13" style="237" customWidth="1"/>
    <col min="6411" max="6654" width="9.140625" style="237"/>
    <col min="6655" max="6655" width="14" style="237" customWidth="1"/>
    <col min="6656" max="6656" width="2" style="237" customWidth="1"/>
    <col min="6657" max="6657" width="11.85546875" style="237" customWidth="1"/>
    <col min="6658" max="6658" width="13.5703125" style="237" customWidth="1"/>
    <col min="6659" max="6660" width="13.85546875" style="237" customWidth="1"/>
    <col min="6661" max="6662" width="14.85546875" style="237" customWidth="1"/>
    <col min="6663" max="6663" width="8.85546875" style="237" customWidth="1"/>
    <col min="6664" max="6664" width="12.5703125" style="237" customWidth="1"/>
    <col min="6665" max="6666" width="13" style="237" customWidth="1"/>
    <col min="6667" max="6910" width="9.140625" style="237"/>
    <col min="6911" max="6911" width="14" style="237" customWidth="1"/>
    <col min="6912" max="6912" width="2" style="237" customWidth="1"/>
    <col min="6913" max="6913" width="11.85546875" style="237" customWidth="1"/>
    <col min="6914" max="6914" width="13.5703125" style="237" customWidth="1"/>
    <col min="6915" max="6916" width="13.85546875" style="237" customWidth="1"/>
    <col min="6917" max="6918" width="14.85546875" style="237" customWidth="1"/>
    <col min="6919" max="6919" width="8.85546875" style="237" customWidth="1"/>
    <col min="6920" max="6920" width="12.5703125" style="237" customWidth="1"/>
    <col min="6921" max="6922" width="13" style="237" customWidth="1"/>
    <col min="6923" max="7166" width="9.140625" style="237"/>
    <col min="7167" max="7167" width="14" style="237" customWidth="1"/>
    <col min="7168" max="7168" width="2" style="237" customWidth="1"/>
    <col min="7169" max="7169" width="11.85546875" style="237" customWidth="1"/>
    <col min="7170" max="7170" width="13.5703125" style="237" customWidth="1"/>
    <col min="7171" max="7172" width="13.85546875" style="237" customWidth="1"/>
    <col min="7173" max="7174" width="14.85546875" style="237" customWidth="1"/>
    <col min="7175" max="7175" width="8.85546875" style="237" customWidth="1"/>
    <col min="7176" max="7176" width="12.5703125" style="237" customWidth="1"/>
    <col min="7177" max="7178" width="13" style="237" customWidth="1"/>
    <col min="7179" max="7422" width="9.140625" style="237"/>
    <col min="7423" max="7423" width="14" style="237" customWidth="1"/>
    <col min="7424" max="7424" width="2" style="237" customWidth="1"/>
    <col min="7425" max="7425" width="11.85546875" style="237" customWidth="1"/>
    <col min="7426" max="7426" width="13.5703125" style="237" customWidth="1"/>
    <col min="7427" max="7428" width="13.85546875" style="237" customWidth="1"/>
    <col min="7429" max="7430" width="14.85546875" style="237" customWidth="1"/>
    <col min="7431" max="7431" width="8.85546875" style="237" customWidth="1"/>
    <col min="7432" max="7432" width="12.5703125" style="237" customWidth="1"/>
    <col min="7433" max="7434" width="13" style="237" customWidth="1"/>
    <col min="7435" max="7678" width="9.140625" style="237"/>
    <col min="7679" max="7679" width="14" style="237" customWidth="1"/>
    <col min="7680" max="7680" width="2" style="237" customWidth="1"/>
    <col min="7681" max="7681" width="11.85546875" style="237" customWidth="1"/>
    <col min="7682" max="7682" width="13.5703125" style="237" customWidth="1"/>
    <col min="7683" max="7684" width="13.85546875" style="237" customWidth="1"/>
    <col min="7685" max="7686" width="14.85546875" style="237" customWidth="1"/>
    <col min="7687" max="7687" width="8.85546875" style="237" customWidth="1"/>
    <col min="7688" max="7688" width="12.5703125" style="237" customWidth="1"/>
    <col min="7689" max="7690" width="13" style="237" customWidth="1"/>
    <col min="7691" max="7934" width="9.140625" style="237"/>
    <col min="7935" max="7935" width="14" style="237" customWidth="1"/>
    <col min="7936" max="7936" width="2" style="237" customWidth="1"/>
    <col min="7937" max="7937" width="11.85546875" style="237" customWidth="1"/>
    <col min="7938" max="7938" width="13.5703125" style="237" customWidth="1"/>
    <col min="7939" max="7940" width="13.85546875" style="237" customWidth="1"/>
    <col min="7941" max="7942" width="14.85546875" style="237" customWidth="1"/>
    <col min="7943" max="7943" width="8.85546875" style="237" customWidth="1"/>
    <col min="7944" max="7944" width="12.5703125" style="237" customWidth="1"/>
    <col min="7945" max="7946" width="13" style="237" customWidth="1"/>
    <col min="7947" max="8190" width="9.140625" style="237"/>
    <col min="8191" max="8191" width="14" style="237" customWidth="1"/>
    <col min="8192" max="8192" width="2" style="237" customWidth="1"/>
    <col min="8193" max="8193" width="11.85546875" style="237" customWidth="1"/>
    <col min="8194" max="8194" width="13.5703125" style="237" customWidth="1"/>
    <col min="8195" max="8196" width="13.85546875" style="237" customWidth="1"/>
    <col min="8197" max="8198" width="14.85546875" style="237" customWidth="1"/>
    <col min="8199" max="8199" width="8.85546875" style="237" customWidth="1"/>
    <col min="8200" max="8200" width="12.5703125" style="237" customWidth="1"/>
    <col min="8201" max="8202" width="13" style="237" customWidth="1"/>
    <col min="8203" max="8446" width="9.140625" style="237"/>
    <col min="8447" max="8447" width="14" style="237" customWidth="1"/>
    <col min="8448" max="8448" width="2" style="237" customWidth="1"/>
    <col min="8449" max="8449" width="11.85546875" style="237" customWidth="1"/>
    <col min="8450" max="8450" width="13.5703125" style="237" customWidth="1"/>
    <col min="8451" max="8452" width="13.85546875" style="237" customWidth="1"/>
    <col min="8453" max="8454" width="14.85546875" style="237" customWidth="1"/>
    <col min="8455" max="8455" width="8.85546875" style="237" customWidth="1"/>
    <col min="8456" max="8456" width="12.5703125" style="237" customWidth="1"/>
    <col min="8457" max="8458" width="13" style="237" customWidth="1"/>
    <col min="8459" max="8702" width="9.140625" style="237"/>
    <col min="8703" max="8703" width="14" style="237" customWidth="1"/>
    <col min="8704" max="8704" width="2" style="237" customWidth="1"/>
    <col min="8705" max="8705" width="11.85546875" style="237" customWidth="1"/>
    <col min="8706" max="8706" width="13.5703125" style="237" customWidth="1"/>
    <col min="8707" max="8708" width="13.85546875" style="237" customWidth="1"/>
    <col min="8709" max="8710" width="14.85546875" style="237" customWidth="1"/>
    <col min="8711" max="8711" width="8.85546875" style="237" customWidth="1"/>
    <col min="8712" max="8712" width="12.5703125" style="237" customWidth="1"/>
    <col min="8713" max="8714" width="13" style="237" customWidth="1"/>
    <col min="8715" max="8958" width="9.140625" style="237"/>
    <col min="8959" max="8959" width="14" style="237" customWidth="1"/>
    <col min="8960" max="8960" width="2" style="237" customWidth="1"/>
    <col min="8961" max="8961" width="11.85546875" style="237" customWidth="1"/>
    <col min="8962" max="8962" width="13.5703125" style="237" customWidth="1"/>
    <col min="8963" max="8964" width="13.85546875" style="237" customWidth="1"/>
    <col min="8965" max="8966" width="14.85546875" style="237" customWidth="1"/>
    <col min="8967" max="8967" width="8.85546875" style="237" customWidth="1"/>
    <col min="8968" max="8968" width="12.5703125" style="237" customWidth="1"/>
    <col min="8969" max="8970" width="13" style="237" customWidth="1"/>
    <col min="8971" max="9214" width="9.140625" style="237"/>
    <col min="9215" max="9215" width="14" style="237" customWidth="1"/>
    <col min="9216" max="9216" width="2" style="237" customWidth="1"/>
    <col min="9217" max="9217" width="11.85546875" style="237" customWidth="1"/>
    <col min="9218" max="9218" width="13.5703125" style="237" customWidth="1"/>
    <col min="9219" max="9220" width="13.85546875" style="237" customWidth="1"/>
    <col min="9221" max="9222" width="14.85546875" style="237" customWidth="1"/>
    <col min="9223" max="9223" width="8.85546875" style="237" customWidth="1"/>
    <col min="9224" max="9224" width="12.5703125" style="237" customWidth="1"/>
    <col min="9225" max="9226" width="13" style="237" customWidth="1"/>
    <col min="9227" max="9470" width="9.140625" style="237"/>
    <col min="9471" max="9471" width="14" style="237" customWidth="1"/>
    <col min="9472" max="9472" width="2" style="237" customWidth="1"/>
    <col min="9473" max="9473" width="11.85546875" style="237" customWidth="1"/>
    <col min="9474" max="9474" width="13.5703125" style="237" customWidth="1"/>
    <col min="9475" max="9476" width="13.85546875" style="237" customWidth="1"/>
    <col min="9477" max="9478" width="14.85546875" style="237" customWidth="1"/>
    <col min="9479" max="9479" width="8.85546875" style="237" customWidth="1"/>
    <col min="9480" max="9480" width="12.5703125" style="237" customWidth="1"/>
    <col min="9481" max="9482" width="13" style="237" customWidth="1"/>
    <col min="9483" max="9726" width="9.140625" style="237"/>
    <col min="9727" max="9727" width="14" style="237" customWidth="1"/>
    <col min="9728" max="9728" width="2" style="237" customWidth="1"/>
    <col min="9729" max="9729" width="11.85546875" style="237" customWidth="1"/>
    <col min="9730" max="9730" width="13.5703125" style="237" customWidth="1"/>
    <col min="9731" max="9732" width="13.85546875" style="237" customWidth="1"/>
    <col min="9733" max="9734" width="14.85546875" style="237" customWidth="1"/>
    <col min="9735" max="9735" width="8.85546875" style="237" customWidth="1"/>
    <col min="9736" max="9736" width="12.5703125" style="237" customWidth="1"/>
    <col min="9737" max="9738" width="13" style="237" customWidth="1"/>
    <col min="9739" max="9982" width="9.140625" style="237"/>
    <col min="9983" max="9983" width="14" style="237" customWidth="1"/>
    <col min="9984" max="9984" width="2" style="237" customWidth="1"/>
    <col min="9985" max="9985" width="11.85546875" style="237" customWidth="1"/>
    <col min="9986" max="9986" width="13.5703125" style="237" customWidth="1"/>
    <col min="9987" max="9988" width="13.85546875" style="237" customWidth="1"/>
    <col min="9989" max="9990" width="14.85546875" style="237" customWidth="1"/>
    <col min="9991" max="9991" width="8.85546875" style="237" customWidth="1"/>
    <col min="9992" max="9992" width="12.5703125" style="237" customWidth="1"/>
    <col min="9993" max="9994" width="13" style="237" customWidth="1"/>
    <col min="9995" max="10238" width="9.140625" style="237"/>
    <col min="10239" max="10239" width="14" style="237" customWidth="1"/>
    <col min="10240" max="10240" width="2" style="237" customWidth="1"/>
    <col min="10241" max="10241" width="11.85546875" style="237" customWidth="1"/>
    <col min="10242" max="10242" width="13.5703125" style="237" customWidth="1"/>
    <col min="10243" max="10244" width="13.85546875" style="237" customWidth="1"/>
    <col min="10245" max="10246" width="14.85546875" style="237" customWidth="1"/>
    <col min="10247" max="10247" width="8.85546875" style="237" customWidth="1"/>
    <col min="10248" max="10248" width="12.5703125" style="237" customWidth="1"/>
    <col min="10249" max="10250" width="13" style="237" customWidth="1"/>
    <col min="10251" max="10494" width="9.140625" style="237"/>
    <col min="10495" max="10495" width="14" style="237" customWidth="1"/>
    <col min="10496" max="10496" width="2" style="237" customWidth="1"/>
    <col min="10497" max="10497" width="11.85546875" style="237" customWidth="1"/>
    <col min="10498" max="10498" width="13.5703125" style="237" customWidth="1"/>
    <col min="10499" max="10500" width="13.85546875" style="237" customWidth="1"/>
    <col min="10501" max="10502" width="14.85546875" style="237" customWidth="1"/>
    <col min="10503" max="10503" width="8.85546875" style="237" customWidth="1"/>
    <col min="10504" max="10504" width="12.5703125" style="237" customWidth="1"/>
    <col min="10505" max="10506" width="13" style="237" customWidth="1"/>
    <col min="10507" max="10750" width="9.140625" style="237"/>
    <col min="10751" max="10751" width="14" style="237" customWidth="1"/>
    <col min="10752" max="10752" width="2" style="237" customWidth="1"/>
    <col min="10753" max="10753" width="11.85546875" style="237" customWidth="1"/>
    <col min="10754" max="10754" width="13.5703125" style="237" customWidth="1"/>
    <col min="10755" max="10756" width="13.85546875" style="237" customWidth="1"/>
    <col min="10757" max="10758" width="14.85546875" style="237" customWidth="1"/>
    <col min="10759" max="10759" width="8.85546875" style="237" customWidth="1"/>
    <col min="10760" max="10760" width="12.5703125" style="237" customWidth="1"/>
    <col min="10761" max="10762" width="13" style="237" customWidth="1"/>
    <col min="10763" max="11006" width="9.140625" style="237"/>
    <col min="11007" max="11007" width="14" style="237" customWidth="1"/>
    <col min="11008" max="11008" width="2" style="237" customWidth="1"/>
    <col min="11009" max="11009" width="11.85546875" style="237" customWidth="1"/>
    <col min="11010" max="11010" width="13.5703125" style="237" customWidth="1"/>
    <col min="11011" max="11012" width="13.85546875" style="237" customWidth="1"/>
    <col min="11013" max="11014" width="14.85546875" style="237" customWidth="1"/>
    <col min="11015" max="11015" width="8.85546875" style="237" customWidth="1"/>
    <col min="11016" max="11016" width="12.5703125" style="237" customWidth="1"/>
    <col min="11017" max="11018" width="13" style="237" customWidth="1"/>
    <col min="11019" max="11262" width="9.140625" style="237"/>
    <col min="11263" max="11263" width="14" style="237" customWidth="1"/>
    <col min="11264" max="11264" width="2" style="237" customWidth="1"/>
    <col min="11265" max="11265" width="11.85546875" style="237" customWidth="1"/>
    <col min="11266" max="11266" width="13.5703125" style="237" customWidth="1"/>
    <col min="11267" max="11268" width="13.85546875" style="237" customWidth="1"/>
    <col min="11269" max="11270" width="14.85546875" style="237" customWidth="1"/>
    <col min="11271" max="11271" width="8.85546875" style="237" customWidth="1"/>
    <col min="11272" max="11272" width="12.5703125" style="237" customWidth="1"/>
    <col min="11273" max="11274" width="13" style="237" customWidth="1"/>
    <col min="11275" max="11518" width="9.140625" style="237"/>
    <col min="11519" max="11519" width="14" style="237" customWidth="1"/>
    <col min="11520" max="11520" width="2" style="237" customWidth="1"/>
    <col min="11521" max="11521" width="11.85546875" style="237" customWidth="1"/>
    <col min="11522" max="11522" width="13.5703125" style="237" customWidth="1"/>
    <col min="11523" max="11524" width="13.85546875" style="237" customWidth="1"/>
    <col min="11525" max="11526" width="14.85546875" style="237" customWidth="1"/>
    <col min="11527" max="11527" width="8.85546875" style="237" customWidth="1"/>
    <col min="11528" max="11528" width="12.5703125" style="237" customWidth="1"/>
    <col min="11529" max="11530" width="13" style="237" customWidth="1"/>
    <col min="11531" max="11774" width="9.140625" style="237"/>
    <col min="11775" max="11775" width="14" style="237" customWidth="1"/>
    <col min="11776" max="11776" width="2" style="237" customWidth="1"/>
    <col min="11777" max="11777" width="11.85546875" style="237" customWidth="1"/>
    <col min="11778" max="11778" width="13.5703125" style="237" customWidth="1"/>
    <col min="11779" max="11780" width="13.85546875" style="237" customWidth="1"/>
    <col min="11781" max="11782" width="14.85546875" style="237" customWidth="1"/>
    <col min="11783" max="11783" width="8.85546875" style="237" customWidth="1"/>
    <col min="11784" max="11784" width="12.5703125" style="237" customWidth="1"/>
    <col min="11785" max="11786" width="13" style="237" customWidth="1"/>
    <col min="11787" max="12030" width="9.140625" style="237"/>
    <col min="12031" max="12031" width="14" style="237" customWidth="1"/>
    <col min="12032" max="12032" width="2" style="237" customWidth="1"/>
    <col min="12033" max="12033" width="11.85546875" style="237" customWidth="1"/>
    <col min="12034" max="12034" width="13.5703125" style="237" customWidth="1"/>
    <col min="12035" max="12036" width="13.85546875" style="237" customWidth="1"/>
    <col min="12037" max="12038" width="14.85546875" style="237" customWidth="1"/>
    <col min="12039" max="12039" width="8.85546875" style="237" customWidth="1"/>
    <col min="12040" max="12040" width="12.5703125" style="237" customWidth="1"/>
    <col min="12041" max="12042" width="13" style="237" customWidth="1"/>
    <col min="12043" max="12286" width="9.140625" style="237"/>
    <col min="12287" max="12287" width="14" style="237" customWidth="1"/>
    <col min="12288" max="12288" width="2" style="237" customWidth="1"/>
    <col min="12289" max="12289" width="11.85546875" style="237" customWidth="1"/>
    <col min="12290" max="12290" width="13.5703125" style="237" customWidth="1"/>
    <col min="12291" max="12292" width="13.85546875" style="237" customWidth="1"/>
    <col min="12293" max="12294" width="14.85546875" style="237" customWidth="1"/>
    <col min="12295" max="12295" width="8.85546875" style="237" customWidth="1"/>
    <col min="12296" max="12296" width="12.5703125" style="237" customWidth="1"/>
    <col min="12297" max="12298" width="13" style="237" customWidth="1"/>
    <col min="12299" max="12542" width="9.140625" style="237"/>
    <col min="12543" max="12543" width="14" style="237" customWidth="1"/>
    <col min="12544" max="12544" width="2" style="237" customWidth="1"/>
    <col min="12545" max="12545" width="11.85546875" style="237" customWidth="1"/>
    <col min="12546" max="12546" width="13.5703125" style="237" customWidth="1"/>
    <col min="12547" max="12548" width="13.85546875" style="237" customWidth="1"/>
    <col min="12549" max="12550" width="14.85546875" style="237" customWidth="1"/>
    <col min="12551" max="12551" width="8.85546875" style="237" customWidth="1"/>
    <col min="12552" max="12552" width="12.5703125" style="237" customWidth="1"/>
    <col min="12553" max="12554" width="13" style="237" customWidth="1"/>
    <col min="12555" max="12798" width="9.140625" style="237"/>
    <col min="12799" max="12799" width="14" style="237" customWidth="1"/>
    <col min="12800" max="12800" width="2" style="237" customWidth="1"/>
    <col min="12801" max="12801" width="11.85546875" style="237" customWidth="1"/>
    <col min="12802" max="12802" width="13.5703125" style="237" customWidth="1"/>
    <col min="12803" max="12804" width="13.85546875" style="237" customWidth="1"/>
    <col min="12805" max="12806" width="14.85546875" style="237" customWidth="1"/>
    <col min="12807" max="12807" width="8.85546875" style="237" customWidth="1"/>
    <col min="12808" max="12808" width="12.5703125" style="237" customWidth="1"/>
    <col min="12809" max="12810" width="13" style="237" customWidth="1"/>
    <col min="12811" max="13054" width="9.140625" style="237"/>
    <col min="13055" max="13055" width="14" style="237" customWidth="1"/>
    <col min="13056" max="13056" width="2" style="237" customWidth="1"/>
    <col min="13057" max="13057" width="11.85546875" style="237" customWidth="1"/>
    <col min="13058" max="13058" width="13.5703125" style="237" customWidth="1"/>
    <col min="13059" max="13060" width="13.85546875" style="237" customWidth="1"/>
    <col min="13061" max="13062" width="14.85546875" style="237" customWidth="1"/>
    <col min="13063" max="13063" width="8.85546875" style="237" customWidth="1"/>
    <col min="13064" max="13064" width="12.5703125" style="237" customWidth="1"/>
    <col min="13065" max="13066" width="13" style="237" customWidth="1"/>
    <col min="13067" max="13310" width="9.140625" style="237"/>
    <col min="13311" max="13311" width="14" style="237" customWidth="1"/>
    <col min="13312" max="13312" width="2" style="237" customWidth="1"/>
    <col min="13313" max="13313" width="11.85546875" style="237" customWidth="1"/>
    <col min="13314" max="13314" width="13.5703125" style="237" customWidth="1"/>
    <col min="13315" max="13316" width="13.85546875" style="237" customWidth="1"/>
    <col min="13317" max="13318" width="14.85546875" style="237" customWidth="1"/>
    <col min="13319" max="13319" width="8.85546875" style="237" customWidth="1"/>
    <col min="13320" max="13320" width="12.5703125" style="237" customWidth="1"/>
    <col min="13321" max="13322" width="13" style="237" customWidth="1"/>
    <col min="13323" max="13566" width="9.140625" style="237"/>
    <col min="13567" max="13567" width="14" style="237" customWidth="1"/>
    <col min="13568" max="13568" width="2" style="237" customWidth="1"/>
    <col min="13569" max="13569" width="11.85546875" style="237" customWidth="1"/>
    <col min="13570" max="13570" width="13.5703125" style="237" customWidth="1"/>
    <col min="13571" max="13572" width="13.85546875" style="237" customWidth="1"/>
    <col min="13573" max="13574" width="14.85546875" style="237" customWidth="1"/>
    <col min="13575" max="13575" width="8.85546875" style="237" customWidth="1"/>
    <col min="13576" max="13576" width="12.5703125" style="237" customWidth="1"/>
    <col min="13577" max="13578" width="13" style="237" customWidth="1"/>
    <col min="13579" max="13822" width="9.140625" style="237"/>
    <col min="13823" max="13823" width="14" style="237" customWidth="1"/>
    <col min="13824" max="13824" width="2" style="237" customWidth="1"/>
    <col min="13825" max="13825" width="11.85546875" style="237" customWidth="1"/>
    <col min="13826" max="13826" width="13.5703125" style="237" customWidth="1"/>
    <col min="13827" max="13828" width="13.85546875" style="237" customWidth="1"/>
    <col min="13829" max="13830" width="14.85546875" style="237" customWidth="1"/>
    <col min="13831" max="13831" width="8.85546875" style="237" customWidth="1"/>
    <col min="13832" max="13832" width="12.5703125" style="237" customWidth="1"/>
    <col min="13833" max="13834" width="13" style="237" customWidth="1"/>
    <col min="13835" max="14078" width="9.140625" style="237"/>
    <col min="14079" max="14079" width="14" style="237" customWidth="1"/>
    <col min="14080" max="14080" width="2" style="237" customWidth="1"/>
    <col min="14081" max="14081" width="11.85546875" style="237" customWidth="1"/>
    <col min="14082" max="14082" width="13.5703125" style="237" customWidth="1"/>
    <col min="14083" max="14084" width="13.85546875" style="237" customWidth="1"/>
    <col min="14085" max="14086" width="14.85546875" style="237" customWidth="1"/>
    <col min="14087" max="14087" width="8.85546875" style="237" customWidth="1"/>
    <col min="14088" max="14088" width="12.5703125" style="237" customWidth="1"/>
    <col min="14089" max="14090" width="13" style="237" customWidth="1"/>
    <col min="14091" max="14334" width="9.140625" style="237"/>
    <col min="14335" max="14335" width="14" style="237" customWidth="1"/>
    <col min="14336" max="14336" width="2" style="237" customWidth="1"/>
    <col min="14337" max="14337" width="11.85546875" style="237" customWidth="1"/>
    <col min="14338" max="14338" width="13.5703125" style="237" customWidth="1"/>
    <col min="14339" max="14340" width="13.85546875" style="237" customWidth="1"/>
    <col min="14341" max="14342" width="14.85546875" style="237" customWidth="1"/>
    <col min="14343" max="14343" width="8.85546875" style="237" customWidth="1"/>
    <col min="14344" max="14344" width="12.5703125" style="237" customWidth="1"/>
    <col min="14345" max="14346" width="13" style="237" customWidth="1"/>
    <col min="14347" max="14590" width="9.140625" style="237"/>
    <col min="14591" max="14591" width="14" style="237" customWidth="1"/>
    <col min="14592" max="14592" width="2" style="237" customWidth="1"/>
    <col min="14593" max="14593" width="11.85546875" style="237" customWidth="1"/>
    <col min="14594" max="14594" width="13.5703125" style="237" customWidth="1"/>
    <col min="14595" max="14596" width="13.85546875" style="237" customWidth="1"/>
    <col min="14597" max="14598" width="14.85546875" style="237" customWidth="1"/>
    <col min="14599" max="14599" width="8.85546875" style="237" customWidth="1"/>
    <col min="14600" max="14600" width="12.5703125" style="237" customWidth="1"/>
    <col min="14601" max="14602" width="13" style="237" customWidth="1"/>
    <col min="14603" max="14846" width="9.140625" style="237"/>
    <col min="14847" max="14847" width="14" style="237" customWidth="1"/>
    <col min="14848" max="14848" width="2" style="237" customWidth="1"/>
    <col min="14849" max="14849" width="11.85546875" style="237" customWidth="1"/>
    <col min="14850" max="14850" width="13.5703125" style="237" customWidth="1"/>
    <col min="14851" max="14852" width="13.85546875" style="237" customWidth="1"/>
    <col min="14853" max="14854" width="14.85546875" style="237" customWidth="1"/>
    <col min="14855" max="14855" width="8.85546875" style="237" customWidth="1"/>
    <col min="14856" max="14856" width="12.5703125" style="237" customWidth="1"/>
    <col min="14857" max="14858" width="13" style="237" customWidth="1"/>
    <col min="14859" max="15102" width="9.140625" style="237"/>
    <col min="15103" max="15103" width="14" style="237" customWidth="1"/>
    <col min="15104" max="15104" width="2" style="237" customWidth="1"/>
    <col min="15105" max="15105" width="11.85546875" style="237" customWidth="1"/>
    <col min="15106" max="15106" width="13.5703125" style="237" customWidth="1"/>
    <col min="15107" max="15108" width="13.85546875" style="237" customWidth="1"/>
    <col min="15109" max="15110" width="14.85546875" style="237" customWidth="1"/>
    <col min="15111" max="15111" width="8.85546875" style="237" customWidth="1"/>
    <col min="15112" max="15112" width="12.5703125" style="237" customWidth="1"/>
    <col min="15113" max="15114" width="13" style="237" customWidth="1"/>
    <col min="15115" max="15358" width="9.140625" style="237"/>
    <col min="15359" max="15359" width="14" style="237" customWidth="1"/>
    <col min="15360" max="15360" width="2" style="237" customWidth="1"/>
    <col min="15361" max="15361" width="11.85546875" style="237" customWidth="1"/>
    <col min="15362" max="15362" width="13.5703125" style="237" customWidth="1"/>
    <col min="15363" max="15364" width="13.85546875" style="237" customWidth="1"/>
    <col min="15365" max="15366" width="14.85546875" style="237" customWidth="1"/>
    <col min="15367" max="15367" width="8.85546875" style="237" customWidth="1"/>
    <col min="15368" max="15368" width="12.5703125" style="237" customWidth="1"/>
    <col min="15369" max="15370" width="13" style="237" customWidth="1"/>
    <col min="15371" max="15614" width="9.140625" style="237"/>
    <col min="15615" max="15615" width="14" style="237" customWidth="1"/>
    <col min="15616" max="15616" width="2" style="237" customWidth="1"/>
    <col min="15617" max="15617" width="11.85546875" style="237" customWidth="1"/>
    <col min="15618" max="15618" width="13.5703125" style="237" customWidth="1"/>
    <col min="15619" max="15620" width="13.85546875" style="237" customWidth="1"/>
    <col min="15621" max="15622" width="14.85546875" style="237" customWidth="1"/>
    <col min="15623" max="15623" width="8.85546875" style="237" customWidth="1"/>
    <col min="15624" max="15624" width="12.5703125" style="237" customWidth="1"/>
    <col min="15625" max="15626" width="13" style="237" customWidth="1"/>
    <col min="15627" max="15870" width="9.140625" style="237"/>
    <col min="15871" max="15871" width="14" style="237" customWidth="1"/>
    <col min="15872" max="15872" width="2" style="237" customWidth="1"/>
    <col min="15873" max="15873" width="11.85546875" style="237" customWidth="1"/>
    <col min="15874" max="15874" width="13.5703125" style="237" customWidth="1"/>
    <col min="15875" max="15876" width="13.85546875" style="237" customWidth="1"/>
    <col min="15877" max="15878" width="14.85546875" style="237" customWidth="1"/>
    <col min="15879" max="15879" width="8.85546875" style="237" customWidth="1"/>
    <col min="15880" max="15880" width="12.5703125" style="237" customWidth="1"/>
    <col min="15881" max="15882" width="13" style="237" customWidth="1"/>
    <col min="15883" max="16126" width="9.140625" style="237"/>
    <col min="16127" max="16127" width="14" style="237" customWidth="1"/>
    <col min="16128" max="16128" width="2" style="237" customWidth="1"/>
    <col min="16129" max="16129" width="11.85546875" style="237" customWidth="1"/>
    <col min="16130" max="16130" width="13.5703125" style="237" customWidth="1"/>
    <col min="16131" max="16132" width="13.85546875" style="237" customWidth="1"/>
    <col min="16133" max="16134" width="14.85546875" style="237" customWidth="1"/>
    <col min="16135" max="16135" width="8.85546875" style="237" customWidth="1"/>
    <col min="16136" max="16136" width="12.5703125" style="237" customWidth="1"/>
    <col min="16137" max="16138" width="13" style="237" customWidth="1"/>
    <col min="16139" max="16384" width="9.140625" style="237"/>
  </cols>
  <sheetData>
    <row r="1" spans="1:10" ht="10.5" customHeight="1" thickBot="1" x14ac:dyDescent="0.45">
      <c r="A1" s="235"/>
      <c r="B1" s="278"/>
      <c r="C1" s="235"/>
      <c r="D1" s="236"/>
      <c r="E1" s="235"/>
      <c r="F1" s="235"/>
      <c r="G1" s="279"/>
      <c r="H1" s="279"/>
      <c r="I1" s="254"/>
      <c r="J1" s="254"/>
    </row>
    <row r="2" spans="1:10" ht="35.25" customHeight="1" thickBot="1" x14ac:dyDescent="0.3">
      <c r="A2" s="238" t="s">
        <v>103</v>
      </c>
      <c r="B2" s="278"/>
      <c r="C2" s="280" t="s">
        <v>104</v>
      </c>
      <c r="D2" s="281"/>
      <c r="E2" s="282" t="s">
        <v>105</v>
      </c>
      <c r="F2" s="282"/>
      <c r="G2" s="283" t="s">
        <v>106</v>
      </c>
      <c r="H2" s="284"/>
      <c r="I2" s="257"/>
      <c r="J2" s="257"/>
    </row>
    <row r="3" spans="1:10" ht="44.25" customHeight="1" x14ac:dyDescent="0.25">
      <c r="A3" s="239" t="s">
        <v>39</v>
      </c>
      <c r="B3" s="278"/>
      <c r="C3" s="240" t="s">
        <v>107</v>
      </c>
      <c r="D3" s="241" t="s">
        <v>108</v>
      </c>
      <c r="E3" s="242" t="s">
        <v>109</v>
      </c>
      <c r="F3" s="242" t="s">
        <v>110</v>
      </c>
      <c r="G3" s="242" t="s">
        <v>111</v>
      </c>
      <c r="H3" s="243" t="s">
        <v>112</v>
      </c>
      <c r="I3" s="258" t="s">
        <v>113</v>
      </c>
      <c r="J3" s="258" t="s">
        <v>114</v>
      </c>
    </row>
    <row r="4" spans="1:10" s="249" customFormat="1" ht="35.25" customHeight="1" x14ac:dyDescent="0.25">
      <c r="A4" s="244">
        <v>44286</v>
      </c>
      <c r="B4" s="278"/>
      <c r="C4" s="245">
        <f>SUM('GENSET #1'!B10+'GENSET #2'!B10+'GENSET #3'!B10+'GENSET #4'!B10+'GENSET #5'!B10)</f>
        <v>88667657</v>
      </c>
      <c r="D4" s="246">
        <v>30577</v>
      </c>
      <c r="E4" s="247">
        <f>'Gas-2'!G5</f>
        <v>0</v>
      </c>
      <c r="F4" s="248">
        <v>90</v>
      </c>
      <c r="G4" s="247">
        <f>SUM(WATER!G6,WATER!L6,WATER!Q6,WATER!B6)</f>
        <v>934830</v>
      </c>
      <c r="H4" s="249">
        <v>423</v>
      </c>
      <c r="I4" s="250">
        <v>81</v>
      </c>
      <c r="J4" s="250">
        <v>598</v>
      </c>
    </row>
    <row r="5" spans="1:10" ht="33" customHeight="1" x14ac:dyDescent="0.25">
      <c r="A5" s="251">
        <f>A4+1</f>
        <v>44287</v>
      </c>
      <c r="B5" s="278"/>
      <c r="C5" s="245">
        <f>SUM('GENSET #1'!B11+'GENSET #2'!B11+'GENSET #3'!B11+'GENSET #4'!B11+'GENSET #5'!B11)</f>
        <v>88700033</v>
      </c>
      <c r="D5" s="252">
        <f>IF((C5-C4&lt;0), "0",C5-C4)</f>
        <v>32376</v>
      </c>
      <c r="E5" s="245">
        <f>'Gas-2'!G6</f>
        <v>315</v>
      </c>
      <c r="F5" s="252">
        <f>IF((E5-E4&lt;0), "0",E5-E4)</f>
        <v>315</v>
      </c>
      <c r="G5" s="253">
        <f>SUM(WATER!C6,WATER!H6,WATER!M6,WATER!R6)</f>
        <v>935255</v>
      </c>
      <c r="H5" s="252">
        <v>418</v>
      </c>
      <c r="I5" s="254">
        <v>83</v>
      </c>
      <c r="J5" s="254">
        <v>730</v>
      </c>
    </row>
    <row r="6" spans="1:10" ht="45" customHeight="1" x14ac:dyDescent="0.25">
      <c r="A6" s="251">
        <f t="shared" ref="A6:A34" si="0">A5+1</f>
        <v>44288</v>
      </c>
      <c r="B6" s="278"/>
      <c r="C6" s="245">
        <f>SUM('GENSET #1'!B12+'GENSET #2'!B12+'GENSET #3'!B12+'GENSET #4'!B12+'GENSET #5'!B12)</f>
        <v>88732980</v>
      </c>
      <c r="D6" s="252">
        <f>IF((C6-C5&lt;0), "0",C6-C5)</f>
        <v>32947</v>
      </c>
      <c r="E6" s="245">
        <f>'Gas-2'!G7</f>
        <v>315</v>
      </c>
      <c r="F6" s="252">
        <f t="shared" ref="F6:F35" si="1">IF((E6-E5&lt;0), "0",E6-E5)</f>
        <v>0</v>
      </c>
      <c r="G6" s="253">
        <f>SUM(WATER!C7,WATER!H7,WATER!M7,WATER!R7)</f>
        <v>935728</v>
      </c>
      <c r="H6" s="252">
        <f t="shared" ref="H6:H35" si="2">IF((G6-G5&lt;0), "0",G6-G5)</f>
        <v>473</v>
      </c>
      <c r="I6" s="254">
        <v>78</v>
      </c>
      <c r="J6" s="254">
        <v>666</v>
      </c>
    </row>
    <row r="7" spans="1:10" ht="45" customHeight="1" x14ac:dyDescent="0.25">
      <c r="A7" s="251">
        <f t="shared" si="0"/>
        <v>44289</v>
      </c>
      <c r="B7" s="278"/>
      <c r="C7" s="245">
        <f>SUM('GENSET #1'!B13+'GENSET #2'!B13+'GENSET #3'!B13+'GENSET #4'!B13+'GENSET #5'!B13)</f>
        <v>88765559</v>
      </c>
      <c r="D7" s="252">
        <f t="shared" ref="D7:D22" si="3">IF((C7-C6&lt;0), "0",C7-C6)</f>
        <v>32579</v>
      </c>
      <c r="E7" s="245">
        <f>'Gas-2'!G8</f>
        <v>225</v>
      </c>
      <c r="F7" s="252" t="str">
        <f t="shared" si="1"/>
        <v>0</v>
      </c>
      <c r="G7" s="253">
        <f>SUM(WATER!C8,WATER!H8,WATER!M8,WATER!R8)</f>
        <v>936173</v>
      </c>
      <c r="H7" s="252">
        <f t="shared" si="2"/>
        <v>445</v>
      </c>
      <c r="I7" s="254">
        <v>78</v>
      </c>
      <c r="J7" s="254">
        <v>702</v>
      </c>
    </row>
    <row r="8" spans="1:10" ht="45" customHeight="1" x14ac:dyDescent="0.25">
      <c r="A8" s="251">
        <f t="shared" si="0"/>
        <v>44290</v>
      </c>
      <c r="B8" s="278"/>
      <c r="C8" s="245">
        <f>SUM('GENSET #1'!B14+'GENSET #2'!B14+'GENSET #3'!B14+'GENSET #4'!B14+'GENSET #5'!B14)</f>
        <v>88798350</v>
      </c>
      <c r="D8" s="252">
        <f t="shared" si="3"/>
        <v>32791</v>
      </c>
      <c r="E8" s="245">
        <f>'Gas-2'!G9</f>
        <v>315</v>
      </c>
      <c r="F8" s="252">
        <f t="shared" si="1"/>
        <v>90</v>
      </c>
      <c r="G8" s="253">
        <f>SUM(WATER!C9,WATER!H9,WATER!M9,WATER!R9)</f>
        <v>936661</v>
      </c>
      <c r="H8" s="252">
        <f t="shared" si="2"/>
        <v>488</v>
      </c>
      <c r="I8" s="254">
        <v>72</v>
      </c>
      <c r="J8" s="254">
        <v>666</v>
      </c>
    </row>
    <row r="9" spans="1:10" ht="45" customHeight="1" x14ac:dyDescent="0.25">
      <c r="A9" s="251">
        <f t="shared" si="0"/>
        <v>44291</v>
      </c>
      <c r="B9" s="278"/>
      <c r="C9" s="245">
        <f>SUM('GENSET #1'!B15+'GENSET #2'!B15+'GENSET #3'!B15+'GENSET #4'!B15+'GENSET #5'!B15)</f>
        <v>88831708</v>
      </c>
      <c r="D9" s="252">
        <f t="shared" si="3"/>
        <v>33358</v>
      </c>
      <c r="E9" s="245">
        <f>'Gas-2'!G10</f>
        <v>270</v>
      </c>
      <c r="F9" s="252" t="str">
        <f t="shared" si="1"/>
        <v>0</v>
      </c>
      <c r="G9" s="253">
        <f>SUM(WATER!C10,WATER!H10,WATER!M10,WATER!R10)</f>
        <v>937089</v>
      </c>
      <c r="H9" s="252">
        <f t="shared" si="2"/>
        <v>428</v>
      </c>
      <c r="I9" s="254">
        <v>73</v>
      </c>
      <c r="J9" s="254">
        <v>684</v>
      </c>
    </row>
    <row r="10" spans="1:10" ht="45" customHeight="1" x14ac:dyDescent="0.25">
      <c r="A10" s="251">
        <f t="shared" si="0"/>
        <v>44292</v>
      </c>
      <c r="B10" s="278"/>
      <c r="C10" s="245">
        <f>SUM('GENSET #1'!B16+'GENSET #2'!B16+'GENSET #3'!B16+'GENSET #4'!B16+'GENSET #5'!B16)</f>
        <v>88863686</v>
      </c>
      <c r="D10" s="252">
        <f t="shared" si="3"/>
        <v>31978</v>
      </c>
      <c r="E10" s="245">
        <f>'Gas-2'!G11</f>
        <v>270</v>
      </c>
      <c r="F10" s="252">
        <f t="shared" si="1"/>
        <v>0</v>
      </c>
      <c r="G10" s="253">
        <f>SUM(WATER!C11,WATER!H11,WATER!M11,WATER!R11)</f>
        <v>937521</v>
      </c>
      <c r="H10" s="252">
        <f t="shared" si="2"/>
        <v>432</v>
      </c>
      <c r="I10" s="254">
        <v>73</v>
      </c>
      <c r="J10" s="254">
        <v>671</v>
      </c>
    </row>
    <row r="11" spans="1:10" ht="45" customHeight="1" x14ac:dyDescent="0.25">
      <c r="A11" s="251">
        <f t="shared" si="0"/>
        <v>44293</v>
      </c>
      <c r="B11" s="278"/>
      <c r="C11" s="245">
        <f>SUM('GENSET #1'!B17+'GENSET #2'!B17+'GENSET #3'!B17+'GENSET #4'!B17+'GENSET #5'!B17)</f>
        <v>88896250</v>
      </c>
      <c r="D11" s="252">
        <f t="shared" si="3"/>
        <v>32564</v>
      </c>
      <c r="E11" s="245">
        <f>'Gas-2'!G12</f>
        <v>315</v>
      </c>
      <c r="F11" s="252">
        <f t="shared" si="1"/>
        <v>45</v>
      </c>
      <c r="G11" s="253">
        <f>SUM(WATER!C12,WATER!H12,WATER!M12,WATER!R12)</f>
        <v>938012</v>
      </c>
      <c r="H11" s="252">
        <f t="shared" si="2"/>
        <v>491</v>
      </c>
      <c r="I11" s="254">
        <v>71</v>
      </c>
      <c r="J11" s="254">
        <v>651</v>
      </c>
    </row>
    <row r="12" spans="1:10" ht="45" customHeight="1" x14ac:dyDescent="0.25">
      <c r="A12" s="251">
        <f t="shared" si="0"/>
        <v>44294</v>
      </c>
      <c r="B12" s="278"/>
      <c r="C12" s="245">
        <f>SUM('GENSET #1'!B18+'GENSET #2'!B18+'GENSET #3'!B18+'GENSET #4'!B18+'GENSET #5'!B18)</f>
        <v>88928619</v>
      </c>
      <c r="D12" s="252">
        <f t="shared" si="3"/>
        <v>32369</v>
      </c>
      <c r="E12" s="245">
        <f>'Gas-2'!G13</f>
        <v>360</v>
      </c>
      <c r="F12" s="252">
        <f t="shared" si="1"/>
        <v>45</v>
      </c>
      <c r="G12" s="253">
        <f>SUM(WATER!C13,WATER!H13,WATER!M13,WATER!R13)</f>
        <v>938436</v>
      </c>
      <c r="H12" s="252">
        <f t="shared" si="2"/>
        <v>424</v>
      </c>
      <c r="I12" s="254">
        <v>65</v>
      </c>
      <c r="J12" s="254">
        <v>637</v>
      </c>
    </row>
    <row r="13" spans="1:10" ht="45" customHeight="1" x14ac:dyDescent="0.25">
      <c r="A13" s="251">
        <f t="shared" si="0"/>
        <v>44295</v>
      </c>
      <c r="B13" s="278"/>
      <c r="C13" s="245">
        <f>SUM('GENSET #1'!B19+'GENSET #2'!B19+'GENSET #3'!B19+'GENSET #4'!B19+'GENSET #5'!B19)</f>
        <v>88959994</v>
      </c>
      <c r="D13" s="252">
        <f t="shared" si="3"/>
        <v>31375</v>
      </c>
      <c r="E13" s="245">
        <f>'Gas-2'!G14</f>
        <v>270</v>
      </c>
      <c r="F13" s="252" t="str">
        <f t="shared" si="1"/>
        <v>0</v>
      </c>
      <c r="G13" s="253">
        <f>SUM(WATER!C14,WATER!H14,WATER!M14,WATER!R14)</f>
        <v>938868</v>
      </c>
      <c r="H13" s="252">
        <f t="shared" si="2"/>
        <v>432</v>
      </c>
      <c r="I13" s="254">
        <v>57</v>
      </c>
      <c r="J13" s="254">
        <v>530</v>
      </c>
    </row>
    <row r="14" spans="1:10" ht="45" customHeight="1" x14ac:dyDescent="0.25">
      <c r="A14" s="251">
        <f t="shared" si="0"/>
        <v>44296</v>
      </c>
      <c r="B14" s="278"/>
      <c r="C14" s="245">
        <f>SUM('GENSET #1'!B20+'GENSET #2'!B20+'GENSET #3'!B20+'GENSET #4'!B20+'GENSET #5'!B20)</f>
        <v>88990616</v>
      </c>
      <c r="D14" s="252">
        <f t="shared" si="3"/>
        <v>30622</v>
      </c>
      <c r="E14" s="245">
        <f>'Gas-2'!G15</f>
        <v>135</v>
      </c>
      <c r="F14" s="252" t="str">
        <f t="shared" si="1"/>
        <v>0</v>
      </c>
      <c r="G14" s="253">
        <f>SUM(WATER!C15,WATER!H15,WATER!M15,WATER!R15)</f>
        <v>939271</v>
      </c>
      <c r="H14" s="252">
        <f t="shared" si="2"/>
        <v>403</v>
      </c>
      <c r="I14" s="254">
        <v>56</v>
      </c>
      <c r="J14" s="254">
        <v>484</v>
      </c>
    </row>
    <row r="15" spans="1:10" ht="45" customHeight="1" x14ac:dyDescent="0.25">
      <c r="A15" s="251">
        <f t="shared" si="0"/>
        <v>44297</v>
      </c>
      <c r="B15" s="278"/>
      <c r="C15" s="245">
        <f>SUM('GENSET #1'!B21+'GENSET #2'!B21+'GENSET #3'!B21+'GENSET #4'!B21+'GENSET #5'!B21)</f>
        <v>89022074</v>
      </c>
      <c r="D15" s="252">
        <f t="shared" si="3"/>
        <v>31458</v>
      </c>
      <c r="E15" s="245">
        <f>'Gas-2'!G16</f>
        <v>225</v>
      </c>
      <c r="F15" s="252">
        <f t="shared" si="1"/>
        <v>90</v>
      </c>
      <c r="G15" s="253">
        <f>SUM(WATER!C16,WATER!H16,WATER!M16,WATER!R16)</f>
        <v>939696</v>
      </c>
      <c r="H15" s="252">
        <f t="shared" si="2"/>
        <v>425</v>
      </c>
      <c r="I15" s="254">
        <v>48</v>
      </c>
      <c r="J15" s="254">
        <v>437</v>
      </c>
    </row>
    <row r="16" spans="1:10" ht="45" customHeight="1" x14ac:dyDescent="0.25">
      <c r="A16" s="251">
        <f t="shared" si="0"/>
        <v>44298</v>
      </c>
      <c r="B16" s="278"/>
      <c r="C16" s="245">
        <f>SUM('GENSET #1'!B22+'GENSET #2'!B22+'GENSET #3'!B22+'GENSET #4'!B22+'GENSET #5'!B22)</f>
        <v>17082256</v>
      </c>
      <c r="D16" s="252" t="str">
        <f t="shared" si="3"/>
        <v>0</v>
      </c>
      <c r="E16" s="245">
        <f>'Gas-2'!G17</f>
        <v>0</v>
      </c>
      <c r="F16" s="252" t="str">
        <f t="shared" si="1"/>
        <v>0</v>
      </c>
      <c r="G16" s="253">
        <f>SUM(WATER!C17,WATER!H17,WATER!M17,WATER!R17)</f>
        <v>940037</v>
      </c>
      <c r="H16" s="252">
        <f t="shared" si="2"/>
        <v>341</v>
      </c>
      <c r="I16" s="254"/>
      <c r="J16" s="254"/>
    </row>
    <row r="17" spans="1:10" ht="45" customHeight="1" x14ac:dyDescent="0.25">
      <c r="A17" s="251">
        <f t="shared" si="0"/>
        <v>44299</v>
      </c>
      <c r="B17" s="278"/>
      <c r="C17" s="245">
        <f>SUM('GENSET #1'!B23+'GENSET #2'!B23+'GENSET #3'!B23+'GENSET #4'!B23+'GENSET #5'!B23)</f>
        <v>0</v>
      </c>
      <c r="D17" s="252" t="str">
        <f t="shared" si="3"/>
        <v>0</v>
      </c>
      <c r="E17" s="245">
        <f>'Gas-2'!G18</f>
        <v>0</v>
      </c>
      <c r="F17" s="252">
        <f t="shared" si="1"/>
        <v>0</v>
      </c>
      <c r="G17" s="253">
        <f>SUM(WATER!C18,WATER!H18,WATER!M18,WATER!R18)</f>
        <v>0</v>
      </c>
      <c r="H17" s="252" t="str">
        <f t="shared" si="2"/>
        <v>0</v>
      </c>
      <c r="I17" s="254"/>
      <c r="J17" s="254"/>
    </row>
    <row r="18" spans="1:10" ht="45" customHeight="1" x14ac:dyDescent="0.25">
      <c r="A18" s="251">
        <f t="shared" si="0"/>
        <v>44300</v>
      </c>
      <c r="B18" s="278"/>
      <c r="C18" s="245">
        <f>SUM('GENSET #1'!B24+'GENSET #2'!B24+'GENSET #3'!B24+'GENSET #4'!B24+'GENSET #5'!B24)</f>
        <v>0</v>
      </c>
      <c r="D18" s="252">
        <f t="shared" si="3"/>
        <v>0</v>
      </c>
      <c r="E18" s="245">
        <f>'Gas-2'!G19</f>
        <v>0</v>
      </c>
      <c r="F18" s="252">
        <f t="shared" si="1"/>
        <v>0</v>
      </c>
      <c r="G18" s="253">
        <f>SUM(WATER!C19,WATER!H19,WATER!M19,WATER!R19)</f>
        <v>0</v>
      </c>
      <c r="H18" s="252">
        <f t="shared" si="2"/>
        <v>0</v>
      </c>
      <c r="I18" s="254"/>
      <c r="J18" s="254"/>
    </row>
    <row r="19" spans="1:10" ht="45" customHeight="1" x14ac:dyDescent="0.25">
      <c r="A19" s="251">
        <f t="shared" si="0"/>
        <v>44301</v>
      </c>
      <c r="B19" s="278"/>
      <c r="C19" s="245">
        <f>SUM('GENSET #1'!B25+'GENSET #2'!B25+'GENSET #3'!B25+'GENSET #4'!B25+'GENSET #5'!B25)</f>
        <v>0</v>
      </c>
      <c r="D19" s="252">
        <f t="shared" si="3"/>
        <v>0</v>
      </c>
      <c r="E19" s="245">
        <f>'Gas-2'!G20</f>
        <v>0</v>
      </c>
      <c r="F19" s="252">
        <f t="shared" si="1"/>
        <v>0</v>
      </c>
      <c r="G19" s="253">
        <f>SUM(WATER!C20,WATER!H20,WATER!M20,WATER!R20)</f>
        <v>0</v>
      </c>
      <c r="H19" s="252">
        <f t="shared" si="2"/>
        <v>0</v>
      </c>
      <c r="I19" s="254"/>
      <c r="J19" s="254"/>
    </row>
    <row r="20" spans="1:10" ht="45" customHeight="1" x14ac:dyDescent="0.25">
      <c r="A20" s="251">
        <f t="shared" si="0"/>
        <v>44302</v>
      </c>
      <c r="B20" s="278"/>
      <c r="C20" s="245">
        <f>SUM('GENSET #1'!B26+'GENSET #2'!B26+'GENSET #3'!B26+'GENSET #4'!B26+'GENSET #5'!B26)</f>
        <v>0</v>
      </c>
      <c r="D20" s="252">
        <f t="shared" si="3"/>
        <v>0</v>
      </c>
      <c r="E20" s="245">
        <f>'Gas-2'!G21</f>
        <v>0</v>
      </c>
      <c r="F20" s="252">
        <f t="shared" si="1"/>
        <v>0</v>
      </c>
      <c r="G20" s="253">
        <f>SUM(WATER!C21,WATER!H21,WATER!M21,WATER!R21)</f>
        <v>0</v>
      </c>
      <c r="H20" s="252">
        <f t="shared" si="2"/>
        <v>0</v>
      </c>
      <c r="I20" s="254"/>
      <c r="J20" s="254"/>
    </row>
    <row r="21" spans="1:10" ht="45" customHeight="1" x14ac:dyDescent="0.25">
      <c r="A21" s="251">
        <f t="shared" si="0"/>
        <v>44303</v>
      </c>
      <c r="B21" s="278"/>
      <c r="C21" s="245">
        <f>SUM('GENSET #1'!B27+'GENSET #2'!B27+'GENSET #3'!B27+'GENSET #4'!B27+'GENSET #5'!B27)</f>
        <v>0</v>
      </c>
      <c r="D21" s="252">
        <f t="shared" si="3"/>
        <v>0</v>
      </c>
      <c r="E21" s="245">
        <f>'Gas-2'!G22</f>
        <v>0</v>
      </c>
      <c r="F21" s="252">
        <f t="shared" si="1"/>
        <v>0</v>
      </c>
      <c r="G21" s="253">
        <f>SUM(WATER!C22,WATER!H22,WATER!M22,WATER!R22)</f>
        <v>0</v>
      </c>
      <c r="H21" s="252">
        <f t="shared" si="2"/>
        <v>0</v>
      </c>
      <c r="I21" s="254"/>
      <c r="J21" s="254"/>
    </row>
    <row r="22" spans="1:10" ht="45" customHeight="1" x14ac:dyDescent="0.25">
      <c r="A22" s="251">
        <f t="shared" si="0"/>
        <v>44304</v>
      </c>
      <c r="B22" s="278"/>
      <c r="C22" s="245">
        <f>SUM('GENSET #1'!B28+'GENSET #2'!B28+'GENSET #3'!B28+'GENSET #4'!B28+'GENSET #5'!B28)</f>
        <v>0</v>
      </c>
      <c r="D22" s="252">
        <f t="shared" si="3"/>
        <v>0</v>
      </c>
      <c r="E22" s="245">
        <f>'Gas-2'!G23</f>
        <v>0</v>
      </c>
      <c r="F22" s="252">
        <f t="shared" si="1"/>
        <v>0</v>
      </c>
      <c r="G22" s="253">
        <f>SUM(WATER!C23,WATER!H23,WATER!M23,WATER!R23)</f>
        <v>0</v>
      </c>
      <c r="H22" s="252">
        <f t="shared" si="2"/>
        <v>0</v>
      </c>
      <c r="I22" s="254"/>
      <c r="J22" s="254"/>
    </row>
    <row r="23" spans="1:10" ht="45" customHeight="1" x14ac:dyDescent="0.25">
      <c r="A23" s="251">
        <f t="shared" si="0"/>
        <v>44305</v>
      </c>
      <c r="B23" s="278"/>
      <c r="C23" s="245">
        <f>SUM('GENSET #1'!B29+'GENSET #2'!B29+'GENSET #3'!B29+'GENSET #4'!B29+'GENSET #5'!B29)</f>
        <v>0</v>
      </c>
      <c r="D23" s="252">
        <f>IF((C23-C22&lt;0), "0",C23-C22)</f>
        <v>0</v>
      </c>
      <c r="E23" s="245">
        <f>'Gas-2'!G24</f>
        <v>0</v>
      </c>
      <c r="F23" s="252">
        <f t="shared" si="1"/>
        <v>0</v>
      </c>
      <c r="G23" s="253">
        <f>SUM(WATER!C24,WATER!H24,WATER!M24,WATER!R24)</f>
        <v>0</v>
      </c>
      <c r="H23" s="252">
        <f t="shared" si="2"/>
        <v>0</v>
      </c>
      <c r="I23" s="254"/>
      <c r="J23" s="254"/>
    </row>
    <row r="24" spans="1:10" ht="45" customHeight="1" x14ac:dyDescent="0.25">
      <c r="A24" s="251">
        <f t="shared" si="0"/>
        <v>44306</v>
      </c>
      <c r="B24" s="278"/>
      <c r="C24" s="245">
        <f>SUM('GENSET #1'!B30+'GENSET #2'!B30+'GENSET #3'!B30+'GENSET #4'!B30+'GENSET #5'!B30)</f>
        <v>0</v>
      </c>
      <c r="D24" s="252">
        <f t="shared" ref="D24:D35" si="4">IF((C24-C23&lt;0), "0",C24-C23)</f>
        <v>0</v>
      </c>
      <c r="E24" s="245">
        <f>'Gas-2'!G25</f>
        <v>0</v>
      </c>
      <c r="F24" s="252">
        <f t="shared" si="1"/>
        <v>0</v>
      </c>
      <c r="G24" s="253">
        <f>SUM(WATER!C25,WATER!H25,WATER!M25,WATER!R25)</f>
        <v>0</v>
      </c>
      <c r="H24" s="252">
        <f t="shared" si="2"/>
        <v>0</v>
      </c>
      <c r="I24" s="254"/>
      <c r="J24" s="254"/>
    </row>
    <row r="25" spans="1:10" ht="45" customHeight="1" x14ac:dyDescent="0.25">
      <c r="A25" s="251">
        <f t="shared" si="0"/>
        <v>44307</v>
      </c>
      <c r="B25" s="278"/>
      <c r="C25" s="245">
        <f>SUM('GENSET #1'!B31+'GENSET #2'!B31+'GENSET #3'!B31+'GENSET #4'!B31+'GENSET #5'!B31)</f>
        <v>0</v>
      </c>
      <c r="D25" s="252">
        <f t="shared" si="4"/>
        <v>0</v>
      </c>
      <c r="E25" s="245">
        <f>'Gas-2'!G26</f>
        <v>0</v>
      </c>
      <c r="F25" s="252">
        <f t="shared" si="1"/>
        <v>0</v>
      </c>
      <c r="G25" s="253">
        <f>SUM(WATER!C26,WATER!H26,WATER!M26,WATER!R26)</f>
        <v>0</v>
      </c>
      <c r="H25" s="252">
        <f t="shared" si="2"/>
        <v>0</v>
      </c>
      <c r="I25" s="254"/>
      <c r="J25" s="254"/>
    </row>
    <row r="26" spans="1:10" ht="45" customHeight="1" x14ac:dyDescent="0.25">
      <c r="A26" s="251">
        <f t="shared" si="0"/>
        <v>44308</v>
      </c>
      <c r="B26" s="278"/>
      <c r="C26" s="245">
        <f>SUM('GENSET #1'!B32+'GENSET #2'!B32+'GENSET #3'!B32+'GENSET #4'!B32+'GENSET #5'!B32)</f>
        <v>0</v>
      </c>
      <c r="D26" s="252">
        <f t="shared" si="4"/>
        <v>0</v>
      </c>
      <c r="E26" s="245">
        <f>'Gas-2'!G27</f>
        <v>0</v>
      </c>
      <c r="F26" s="252">
        <f t="shared" si="1"/>
        <v>0</v>
      </c>
      <c r="G26" s="253">
        <f>SUM(WATER!C27,WATER!H27,WATER!M27,WATER!R27)</f>
        <v>0</v>
      </c>
      <c r="H26" s="252">
        <f t="shared" si="2"/>
        <v>0</v>
      </c>
      <c r="I26" s="254"/>
      <c r="J26" s="254"/>
    </row>
    <row r="27" spans="1:10" ht="45" customHeight="1" x14ac:dyDescent="0.25">
      <c r="A27" s="251">
        <f t="shared" si="0"/>
        <v>44309</v>
      </c>
      <c r="B27" s="278"/>
      <c r="C27" s="245">
        <f>SUM('GENSET #1'!B33+'GENSET #2'!B33+'GENSET #3'!B33+'GENSET #4'!B33+'GENSET #5'!B33)</f>
        <v>0</v>
      </c>
      <c r="D27" s="252">
        <f t="shared" si="4"/>
        <v>0</v>
      </c>
      <c r="E27" s="245">
        <f>'Gas-2'!G28</f>
        <v>0</v>
      </c>
      <c r="F27" s="252">
        <f t="shared" si="1"/>
        <v>0</v>
      </c>
      <c r="G27" s="253">
        <f>SUM(WATER!C28,WATER!H28,WATER!M28,WATER!R28)</f>
        <v>0</v>
      </c>
      <c r="H27" s="252">
        <f t="shared" si="2"/>
        <v>0</v>
      </c>
      <c r="I27" s="254"/>
      <c r="J27" s="254"/>
    </row>
    <row r="28" spans="1:10" ht="45" customHeight="1" x14ac:dyDescent="0.25">
      <c r="A28" s="251">
        <f t="shared" si="0"/>
        <v>44310</v>
      </c>
      <c r="B28" s="278"/>
      <c r="C28" s="245">
        <f>SUM('GENSET #1'!B34+'GENSET #2'!B34+'GENSET #3'!B34+'GENSET #4'!B34+'GENSET #5'!B34)</f>
        <v>0</v>
      </c>
      <c r="D28" s="252">
        <f t="shared" si="4"/>
        <v>0</v>
      </c>
      <c r="E28" s="245">
        <f>'Gas-2'!G29</f>
        <v>0</v>
      </c>
      <c r="F28" s="252">
        <f t="shared" si="1"/>
        <v>0</v>
      </c>
      <c r="G28" s="253">
        <f>SUM(WATER!C29,WATER!H29,WATER!M29,WATER!R29)</f>
        <v>0</v>
      </c>
      <c r="H28" s="252">
        <f t="shared" si="2"/>
        <v>0</v>
      </c>
      <c r="I28" s="254"/>
      <c r="J28" s="254"/>
    </row>
    <row r="29" spans="1:10" ht="45" customHeight="1" x14ac:dyDescent="0.25">
      <c r="A29" s="251">
        <f t="shared" si="0"/>
        <v>44311</v>
      </c>
      <c r="B29" s="278"/>
      <c r="C29" s="245">
        <f>SUM('GENSET #1'!B35+'GENSET #2'!B35+'GENSET #3'!B35+'GENSET #4'!B35+'GENSET #5'!B35)</f>
        <v>0</v>
      </c>
      <c r="D29" s="252">
        <f t="shared" si="4"/>
        <v>0</v>
      </c>
      <c r="E29" s="245">
        <f>'Gas-2'!G30</f>
        <v>0</v>
      </c>
      <c r="F29" s="252">
        <f t="shared" si="1"/>
        <v>0</v>
      </c>
      <c r="G29" s="253">
        <f>SUM(WATER!C30,WATER!H30,WATER!M30,WATER!R30)</f>
        <v>0</v>
      </c>
      <c r="H29" s="252">
        <f t="shared" si="2"/>
        <v>0</v>
      </c>
      <c r="I29" s="254"/>
      <c r="J29" s="254"/>
    </row>
    <row r="30" spans="1:10" ht="45" customHeight="1" x14ac:dyDescent="0.25">
      <c r="A30" s="251">
        <f t="shared" si="0"/>
        <v>44312</v>
      </c>
      <c r="B30" s="278"/>
      <c r="C30" s="245">
        <f>SUM('GENSET #1'!B36+'GENSET #2'!B36+'GENSET #3'!B36+'GENSET #4'!B36+'GENSET #5'!B36)</f>
        <v>0</v>
      </c>
      <c r="D30" s="252">
        <f t="shared" si="4"/>
        <v>0</v>
      </c>
      <c r="E30" s="245">
        <f>'Gas-2'!G31</f>
        <v>0</v>
      </c>
      <c r="F30" s="252">
        <f t="shared" si="1"/>
        <v>0</v>
      </c>
      <c r="G30" s="253">
        <f>SUM(WATER!C31,WATER!H31,WATER!M31,WATER!R31)</f>
        <v>0</v>
      </c>
      <c r="H30" s="252">
        <f t="shared" si="2"/>
        <v>0</v>
      </c>
      <c r="I30" s="254"/>
      <c r="J30" s="254"/>
    </row>
    <row r="31" spans="1:10" ht="45" customHeight="1" x14ac:dyDescent="0.25">
      <c r="A31" s="251">
        <f t="shared" si="0"/>
        <v>44313</v>
      </c>
      <c r="B31" s="278"/>
      <c r="C31" s="245">
        <f>SUM('GENSET #1'!B37+'GENSET #2'!B37+'GENSET #3'!B37+'GENSET #4'!B37+'GENSET #5'!B37)</f>
        <v>0</v>
      </c>
      <c r="D31" s="252">
        <f t="shared" si="4"/>
        <v>0</v>
      </c>
      <c r="E31" s="245">
        <f>'Gas-2'!G32</f>
        <v>0</v>
      </c>
      <c r="F31" s="252">
        <f t="shared" si="1"/>
        <v>0</v>
      </c>
      <c r="G31" s="253">
        <f>SUM(WATER!C32,WATER!H32,WATER!M32,WATER!R32)</f>
        <v>0</v>
      </c>
      <c r="H31" s="252">
        <f t="shared" si="2"/>
        <v>0</v>
      </c>
      <c r="I31" s="254"/>
      <c r="J31" s="254"/>
    </row>
    <row r="32" spans="1:10" ht="45" customHeight="1" x14ac:dyDescent="0.25">
      <c r="A32" s="251">
        <f t="shared" si="0"/>
        <v>44314</v>
      </c>
      <c r="B32" s="278"/>
      <c r="C32" s="245">
        <f>SUM('GENSET #1'!B38+'GENSET #2'!B38+'GENSET #3'!B38+'GENSET #4'!B38+'GENSET #5'!B38)</f>
        <v>0</v>
      </c>
      <c r="D32" s="252">
        <f t="shared" si="4"/>
        <v>0</v>
      </c>
      <c r="E32" s="245">
        <f>'Gas-2'!G33</f>
        <v>0</v>
      </c>
      <c r="F32" s="252">
        <f t="shared" si="1"/>
        <v>0</v>
      </c>
      <c r="G32" s="253">
        <f>SUM(WATER!C33,WATER!H33,WATER!M33,WATER!R33)</f>
        <v>0</v>
      </c>
      <c r="H32" s="252">
        <f t="shared" si="2"/>
        <v>0</v>
      </c>
      <c r="I32" s="254"/>
      <c r="J32" s="254"/>
    </row>
    <row r="33" spans="1:10" ht="36" customHeight="1" x14ac:dyDescent="0.25">
      <c r="A33" s="251">
        <f t="shared" si="0"/>
        <v>44315</v>
      </c>
      <c r="C33" s="245">
        <f>SUM('GENSET #1'!B39+'GENSET #2'!B39+'GENSET #3'!B39+'GENSET #4'!B39+'GENSET #5'!B39)</f>
        <v>0</v>
      </c>
      <c r="D33" s="252">
        <f t="shared" si="4"/>
        <v>0</v>
      </c>
      <c r="E33" s="245">
        <f>'Gas-2'!G34</f>
        <v>0</v>
      </c>
      <c r="F33" s="252">
        <f t="shared" si="1"/>
        <v>0</v>
      </c>
      <c r="G33" s="253">
        <f>SUM(WATER!C34,WATER!H34,WATER!M34,WATER!R34)</f>
        <v>0</v>
      </c>
      <c r="H33" s="252">
        <f t="shared" si="2"/>
        <v>0</v>
      </c>
      <c r="I33" s="254"/>
      <c r="J33" s="254"/>
    </row>
    <row r="34" spans="1:10" ht="45.6" customHeight="1" x14ac:dyDescent="0.25">
      <c r="A34" s="251">
        <f t="shared" si="0"/>
        <v>44316</v>
      </c>
      <c r="C34" s="245">
        <f>SUM('GENSET #1'!B40+'GENSET #2'!B40+'GENSET #3'!B40+'GENSET #4'!B40+'GENSET #5'!B40)</f>
        <v>0</v>
      </c>
      <c r="D34" s="252">
        <f t="shared" si="4"/>
        <v>0</v>
      </c>
      <c r="E34" s="245">
        <f>'Gas-2'!G35</f>
        <v>0</v>
      </c>
      <c r="F34" s="252">
        <f t="shared" si="1"/>
        <v>0</v>
      </c>
      <c r="G34" s="253">
        <f>SUM(WATER!C35,WATER!H35,WATER!M35,WATER!R35)</f>
        <v>0</v>
      </c>
      <c r="H34" s="252">
        <f t="shared" si="2"/>
        <v>0</v>
      </c>
      <c r="I34" s="254"/>
      <c r="J34" s="254"/>
    </row>
    <row r="35" spans="1:10" ht="47.45" customHeight="1" x14ac:dyDescent="0.25">
      <c r="A35" s="251">
        <f>A34+1</f>
        <v>44317</v>
      </c>
      <c r="C35" s="245">
        <f>SUM('GENSET #1'!B41+'GENSET #2'!B41+'GENSET #3'!B41+'GENSET #4'!B41+'GENSET #5'!B41)</f>
        <v>0</v>
      </c>
      <c r="D35" s="252">
        <f t="shared" si="4"/>
        <v>0</v>
      </c>
      <c r="E35" s="245">
        <f>'Gas-2'!G36</f>
        <v>0</v>
      </c>
      <c r="F35" s="252">
        <f t="shared" si="1"/>
        <v>0</v>
      </c>
      <c r="G35" s="253">
        <f>SUM(WATER!C36,WATER!H36,WATER!M36,WATER!R36)</f>
        <v>0</v>
      </c>
      <c r="H35" s="252">
        <f t="shared" si="2"/>
        <v>0</v>
      </c>
      <c r="I35" s="254"/>
      <c r="J35" s="254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zoomScaleNormal="100" workbookViewId="0">
      <selection activeCell="G16" sqref="G16"/>
    </sheetView>
  </sheetViews>
  <sheetFormatPr defaultRowHeight="12.75" x14ac:dyDescent="0.2"/>
  <cols>
    <col min="1" max="1" width="9.5703125" style="146" customWidth="1"/>
    <col min="2" max="2" width="15.5703125" style="18" customWidth="1"/>
    <col min="3" max="3" width="13" style="18" customWidth="1"/>
    <col min="4" max="4" width="18.5703125" style="155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</cols>
  <sheetData>
    <row r="1" spans="1:8" x14ac:dyDescent="0.2">
      <c r="A1" s="286" t="s">
        <v>0</v>
      </c>
      <c r="B1" s="286"/>
      <c r="C1" s="286"/>
      <c r="D1" s="286"/>
      <c r="E1" s="286"/>
      <c r="F1" s="286"/>
    </row>
    <row r="2" spans="1:8" x14ac:dyDescent="0.2">
      <c r="A2" s="5"/>
      <c r="E2" s="158"/>
    </row>
    <row r="3" spans="1:8" x14ac:dyDescent="0.2">
      <c r="A3" s="5" t="s">
        <v>1</v>
      </c>
      <c r="B3" s="88" t="s">
        <v>2</v>
      </c>
      <c r="C3" s="88"/>
      <c r="D3" s="156"/>
      <c r="E3" s="158"/>
    </row>
    <row r="4" spans="1:8" x14ac:dyDescent="0.2">
      <c r="A4" s="5" t="s">
        <v>3</v>
      </c>
      <c r="B4" s="92" t="s">
        <v>142</v>
      </c>
      <c r="C4" s="92"/>
      <c r="D4" s="153"/>
      <c r="E4" s="158"/>
    </row>
    <row r="5" spans="1:8" x14ac:dyDescent="0.2">
      <c r="A5" s="5" t="s">
        <v>4</v>
      </c>
      <c r="B5" s="147">
        <v>2021</v>
      </c>
      <c r="C5" s="147"/>
      <c r="D5" s="153"/>
      <c r="E5" s="158"/>
    </row>
    <row r="6" spans="1:8" x14ac:dyDescent="0.2">
      <c r="E6" s="285"/>
      <c r="F6" s="285"/>
    </row>
    <row r="7" spans="1:8" ht="38.25" x14ac:dyDescent="0.2">
      <c r="A7" s="148" t="s">
        <v>5</v>
      </c>
      <c r="B7" s="149" t="s">
        <v>100</v>
      </c>
      <c r="C7" s="149" t="s">
        <v>101</v>
      </c>
      <c r="D7" s="150" t="s">
        <v>102</v>
      </c>
      <c r="E7" s="151" t="s">
        <v>99</v>
      </c>
      <c r="F7" s="149" t="s">
        <v>6</v>
      </c>
      <c r="G7" s="149" t="s">
        <v>138</v>
      </c>
      <c r="H7" s="149" t="s">
        <v>141</v>
      </c>
    </row>
    <row r="8" spans="1:8" ht="15.75" customHeight="1" x14ac:dyDescent="0.2">
      <c r="A8" s="62">
        <v>1</v>
      </c>
      <c r="B8" s="133">
        <f>SUM('GENSET #1:GENSET #5'!D10)</f>
        <v>32376</v>
      </c>
      <c r="C8" s="133">
        <f>'Diesel consumption'!D5</f>
        <v>8870</v>
      </c>
      <c r="D8" s="157">
        <f>'SOLAR METER READING'!D9</f>
        <v>2792</v>
      </c>
      <c r="E8" s="154">
        <f>'Gas-2'!G6</f>
        <v>315</v>
      </c>
      <c r="F8" s="133">
        <f>WATER!V6</f>
        <v>351</v>
      </c>
      <c r="G8" s="277">
        <f>WATER!W6</f>
        <v>83</v>
      </c>
      <c r="H8" s="18" t="str">
        <f>'SOLAR METER READING'!E9</f>
        <v>partly sunny</v>
      </c>
    </row>
    <row r="9" spans="1:8" ht="15.75" customHeight="1" x14ac:dyDescent="0.2">
      <c r="A9" s="62">
        <v>2</v>
      </c>
      <c r="B9" s="133">
        <f>SUM('GENSET #1:GENSET #5'!D11)</f>
        <v>32947</v>
      </c>
      <c r="C9" s="133">
        <f>'Diesel consumption'!D6</f>
        <v>9130</v>
      </c>
      <c r="D9" s="157">
        <f>'SOLAR METER READING'!D10</f>
        <v>2408</v>
      </c>
      <c r="E9" s="154">
        <f>'Gas-2'!G7</f>
        <v>315</v>
      </c>
      <c r="F9" s="133">
        <f>WATER!V7</f>
        <v>473</v>
      </c>
      <c r="G9" s="277">
        <f>WATER!W7</f>
        <v>78</v>
      </c>
      <c r="H9" s="18" t="str">
        <f>'SOLAR METER READING'!E10</f>
        <v>partly sunny</v>
      </c>
    </row>
    <row r="10" spans="1:8" ht="15.75" customHeight="1" x14ac:dyDescent="0.2">
      <c r="A10" s="62">
        <v>3</v>
      </c>
      <c r="B10" s="133">
        <f>SUM('GENSET #1:GENSET #5'!D12)</f>
        <v>32579</v>
      </c>
      <c r="C10" s="133">
        <f>'Diesel consumption'!D7</f>
        <v>9000</v>
      </c>
      <c r="D10" s="157">
        <f>'SOLAR METER READING'!D11</f>
        <v>3130</v>
      </c>
      <c r="E10" s="154">
        <f>'Gas-2'!G8</f>
        <v>225</v>
      </c>
      <c r="F10" s="133">
        <f>WATER!V8</f>
        <v>445</v>
      </c>
      <c r="G10" s="277">
        <f>WATER!W8</f>
        <v>78</v>
      </c>
      <c r="H10" s="18" t="str">
        <f>'SOLAR METER READING'!E11</f>
        <v>very sunny</v>
      </c>
    </row>
    <row r="11" spans="1:8" ht="15.75" customHeight="1" x14ac:dyDescent="0.2">
      <c r="A11" s="62">
        <v>4</v>
      </c>
      <c r="B11" s="133">
        <f>SUM('GENSET #1:GENSET #5'!D13)</f>
        <v>32791</v>
      </c>
      <c r="C11" s="133">
        <f>'Diesel consumption'!D8</f>
        <v>9050</v>
      </c>
      <c r="D11" s="157">
        <f>'SOLAR METER READING'!D12</f>
        <v>3122</v>
      </c>
      <c r="E11" s="154">
        <f>'Gas-2'!G9</f>
        <v>315</v>
      </c>
      <c r="F11" s="133">
        <f>WATER!V9</f>
        <v>488</v>
      </c>
      <c r="G11" s="277">
        <f>WATER!W9</f>
        <v>72</v>
      </c>
      <c r="H11" s="18" t="str">
        <f>'SOLAR METER READING'!E12</f>
        <v>very sunny</v>
      </c>
    </row>
    <row r="12" spans="1:8" ht="15.75" customHeight="1" x14ac:dyDescent="0.2">
      <c r="A12" s="62">
        <v>5</v>
      </c>
      <c r="B12" s="133">
        <f>SUM('GENSET #1:GENSET #5'!D14)</f>
        <v>33358</v>
      </c>
      <c r="C12" s="133">
        <f>'Diesel consumption'!D9</f>
        <v>9000</v>
      </c>
      <c r="D12" s="157">
        <f>'SOLAR METER READING'!D13</f>
        <v>3091</v>
      </c>
      <c r="E12" s="154">
        <f>'Gas-2'!G10</f>
        <v>270</v>
      </c>
      <c r="F12" s="133">
        <f>WATER!V10</f>
        <v>428</v>
      </c>
      <c r="G12" s="277">
        <f>WATER!W10</f>
        <v>73</v>
      </c>
      <c r="H12" s="18" t="str">
        <f>'SOLAR METER READING'!E13</f>
        <v>very sunny</v>
      </c>
    </row>
    <row r="13" spans="1:8" ht="15.75" customHeight="1" x14ac:dyDescent="0.2">
      <c r="A13" s="62">
        <v>6</v>
      </c>
      <c r="B13" s="133">
        <f>SUM('GENSET #1:GENSET #5'!D15)</f>
        <v>31978</v>
      </c>
      <c r="C13" s="133">
        <f>'Diesel consumption'!D10</f>
        <v>8860</v>
      </c>
      <c r="D13" s="157">
        <f>'SOLAR METER READING'!D14</f>
        <v>3161</v>
      </c>
      <c r="E13" s="154">
        <f>'Gas-2'!G11</f>
        <v>270</v>
      </c>
      <c r="F13" s="133">
        <f>WATER!V11</f>
        <v>432</v>
      </c>
      <c r="G13" s="277">
        <f>WATER!W11</f>
        <v>73</v>
      </c>
      <c r="H13" s="18" t="str">
        <f>'SOLAR METER READING'!E14</f>
        <v>very sunny</v>
      </c>
    </row>
    <row r="14" spans="1:8" ht="15.75" customHeight="1" x14ac:dyDescent="0.2">
      <c r="A14" s="62">
        <v>7</v>
      </c>
      <c r="B14" s="133">
        <f>SUM('GENSET #1:GENSET #5'!D16)</f>
        <v>32564</v>
      </c>
      <c r="C14" s="133">
        <f>'Diesel consumption'!D11</f>
        <v>8940</v>
      </c>
      <c r="D14" s="157">
        <f>'SOLAR METER READING'!D15</f>
        <v>3104</v>
      </c>
      <c r="E14" s="154">
        <f>'Gas-2'!G12</f>
        <v>315</v>
      </c>
      <c r="F14" s="133">
        <f>WATER!V12</f>
        <v>491</v>
      </c>
      <c r="G14" s="277">
        <f>WATER!W12</f>
        <v>71</v>
      </c>
      <c r="H14" s="18" t="str">
        <f>'SOLAR METER READING'!E15</f>
        <v>very sunny</v>
      </c>
    </row>
    <row r="15" spans="1:8" ht="15.75" customHeight="1" x14ac:dyDescent="0.2">
      <c r="A15" s="62">
        <v>8</v>
      </c>
      <c r="B15" s="133">
        <f>SUM('GENSET #1:GENSET #5'!D17)</f>
        <v>32369</v>
      </c>
      <c r="C15" s="133">
        <f>'Diesel consumption'!D12</f>
        <v>8950</v>
      </c>
      <c r="D15" s="157">
        <f>'SOLAR METER READING'!D16</f>
        <v>3188</v>
      </c>
      <c r="E15" s="154">
        <f>'Gas-2'!G13</f>
        <v>360</v>
      </c>
      <c r="F15" s="133">
        <f>WATER!V13</f>
        <v>424</v>
      </c>
      <c r="G15" s="277">
        <f>WATER!W13</f>
        <v>65</v>
      </c>
      <c r="H15" s="18" t="str">
        <f>'SOLAR METER READING'!E16</f>
        <v>very sunny</v>
      </c>
    </row>
    <row r="16" spans="1:8" ht="15.75" customHeight="1" x14ac:dyDescent="0.2">
      <c r="A16" s="62">
        <v>9</v>
      </c>
      <c r="B16" s="133">
        <f>SUM('GENSET #1:GENSET #5'!D18)</f>
        <v>31375</v>
      </c>
      <c r="C16" s="133">
        <f>'Diesel consumption'!D13</f>
        <v>8700</v>
      </c>
      <c r="D16" s="157">
        <f>'SOLAR METER READING'!D17</f>
        <v>2863</v>
      </c>
      <c r="E16" s="154">
        <f>'Gas-2'!G14</f>
        <v>270</v>
      </c>
      <c r="F16" s="133">
        <f>WATER!V14</f>
        <v>432</v>
      </c>
      <c r="G16" s="277">
        <f>WATER!W14</f>
        <v>57</v>
      </c>
      <c r="H16" s="18" t="str">
        <f>'SOLAR METER READING'!E17</f>
        <v>very sunny</v>
      </c>
    </row>
    <row r="17" spans="1:8" ht="15.75" customHeight="1" x14ac:dyDescent="0.2">
      <c r="A17" s="62">
        <v>10</v>
      </c>
      <c r="B17" s="133">
        <f>SUM('GENSET #1:GENSET #5'!D19)</f>
        <v>30622</v>
      </c>
      <c r="C17" s="133">
        <f>'Diesel consumption'!D14</f>
        <v>8350</v>
      </c>
      <c r="D17" s="157">
        <f>'SOLAR METER READING'!D18</f>
        <v>3286</v>
      </c>
      <c r="E17" s="154">
        <f>'Gas-2'!G15</f>
        <v>135</v>
      </c>
      <c r="F17" s="133">
        <f>WATER!V15</f>
        <v>403</v>
      </c>
      <c r="G17" s="277">
        <f>WATER!W15</f>
        <v>56</v>
      </c>
      <c r="H17" s="18" t="str">
        <f>'SOLAR METER READING'!E18</f>
        <v>very sunny</v>
      </c>
    </row>
    <row r="18" spans="1:8" ht="15.75" customHeight="1" x14ac:dyDescent="0.2">
      <c r="A18" s="62">
        <v>11</v>
      </c>
      <c r="B18" s="133">
        <f>SUM('GENSET #1:GENSET #5'!D20)</f>
        <v>31458</v>
      </c>
      <c r="C18" s="133">
        <f>'Diesel consumption'!D15</f>
        <v>8630</v>
      </c>
      <c r="D18" s="157">
        <f>'SOLAR METER READING'!D19</f>
        <v>3341</v>
      </c>
      <c r="E18" s="154">
        <f>'Gas-2'!G16</f>
        <v>225</v>
      </c>
      <c r="F18" s="133">
        <f>WATER!V16</f>
        <v>425</v>
      </c>
      <c r="G18" s="277">
        <f>WATER!W16</f>
        <v>48</v>
      </c>
      <c r="H18" s="18" t="str">
        <f>'SOLAR METER READING'!E19</f>
        <v>very sunny</v>
      </c>
    </row>
    <row r="19" spans="1:8" ht="15.75" customHeight="1" x14ac:dyDescent="0.2">
      <c r="A19" s="62">
        <v>12</v>
      </c>
      <c r="B19" s="133">
        <f>SUM('GENSET #1:GENSET #5'!D21)</f>
        <v>-71939818</v>
      </c>
      <c r="C19" s="133">
        <f>'Diesel consumption'!D16</f>
        <v>-43695650</v>
      </c>
      <c r="D19" s="157">
        <f>'SOLAR METER READING'!D20</f>
        <v>-2536509</v>
      </c>
      <c r="E19" s="154">
        <f>'Gas-2'!G17</f>
        <v>0</v>
      </c>
      <c r="F19" s="133">
        <f>WATER!V17</f>
        <v>341</v>
      </c>
      <c r="G19" s="277">
        <f>WATER!W17</f>
        <v>0</v>
      </c>
      <c r="H19" s="18">
        <f>'SOLAR METER READING'!E20</f>
        <v>0</v>
      </c>
    </row>
    <row r="20" spans="1:8" ht="15.75" customHeight="1" x14ac:dyDescent="0.2">
      <c r="A20" s="62">
        <v>13</v>
      </c>
      <c r="B20" s="133">
        <f>SUM('GENSET #1:GENSET #5'!D22)</f>
        <v>-17082256</v>
      </c>
      <c r="C20" s="133">
        <f>'Diesel consumption'!D17</f>
        <v>0</v>
      </c>
      <c r="D20" s="157">
        <f>'SOLAR METER READING'!D21</f>
        <v>0</v>
      </c>
      <c r="E20" s="154">
        <f>'Gas-2'!G18</f>
        <v>0</v>
      </c>
      <c r="F20" s="133">
        <f>WATER!V18</f>
        <v>-940037</v>
      </c>
      <c r="G20" s="277">
        <f>WATER!W18</f>
        <v>0</v>
      </c>
      <c r="H20" s="18">
        <f>'SOLAR METER READING'!E21</f>
        <v>0</v>
      </c>
    </row>
    <row r="21" spans="1:8" ht="15.75" customHeight="1" x14ac:dyDescent="0.2">
      <c r="A21" s="62">
        <v>14</v>
      </c>
      <c r="B21" s="133">
        <f>SUM('GENSET #1:GENSET #5'!D23)</f>
        <v>0</v>
      </c>
      <c r="C21" s="133">
        <f>'Diesel consumption'!D18</f>
        <v>0</v>
      </c>
      <c r="D21" s="157">
        <f>'SOLAR METER READING'!D22</f>
        <v>0</v>
      </c>
      <c r="E21" s="154">
        <f>'Gas-2'!G19</f>
        <v>0</v>
      </c>
      <c r="F21" s="133">
        <f>WATER!V19</f>
        <v>0</v>
      </c>
      <c r="G21" s="277">
        <f>WATER!W19</f>
        <v>0</v>
      </c>
      <c r="H21" s="18">
        <f>'SOLAR METER READING'!E22</f>
        <v>0</v>
      </c>
    </row>
    <row r="22" spans="1:8" ht="15.75" customHeight="1" x14ac:dyDescent="0.2">
      <c r="A22" s="62">
        <v>15</v>
      </c>
      <c r="B22" s="133">
        <f>SUM('GENSET #1:GENSET #5'!D24)</f>
        <v>0</v>
      </c>
      <c r="C22" s="133">
        <f>'Diesel consumption'!D19</f>
        <v>0</v>
      </c>
      <c r="D22" s="157">
        <f>'SOLAR METER READING'!D23</f>
        <v>0</v>
      </c>
      <c r="E22" s="154">
        <f>'Gas-2'!G20</f>
        <v>0</v>
      </c>
      <c r="F22" s="133">
        <f>WATER!V20</f>
        <v>0</v>
      </c>
      <c r="G22" s="277">
        <f>WATER!W20</f>
        <v>0</v>
      </c>
      <c r="H22" s="18">
        <f>'SOLAR METER READING'!E23</f>
        <v>0</v>
      </c>
    </row>
    <row r="23" spans="1:8" ht="15.75" customHeight="1" x14ac:dyDescent="0.2">
      <c r="A23" s="62">
        <v>16</v>
      </c>
      <c r="B23" s="133">
        <f>SUM('GENSET #1:GENSET #5'!D25)</f>
        <v>0</v>
      </c>
      <c r="C23" s="133">
        <f>'Diesel consumption'!D20</f>
        <v>0</v>
      </c>
      <c r="D23" s="157">
        <f>'SOLAR METER READING'!D24</f>
        <v>0</v>
      </c>
      <c r="E23" s="154">
        <f>'Gas-2'!G21</f>
        <v>0</v>
      </c>
      <c r="F23" s="133">
        <f>WATER!V21</f>
        <v>0</v>
      </c>
      <c r="G23" s="277">
        <f>WATER!W21</f>
        <v>0</v>
      </c>
      <c r="H23" s="18">
        <f>'SOLAR METER READING'!E24</f>
        <v>0</v>
      </c>
    </row>
    <row r="24" spans="1:8" ht="15.75" customHeight="1" x14ac:dyDescent="0.2">
      <c r="A24" s="62">
        <v>17</v>
      </c>
      <c r="B24" s="133">
        <f>SUM('GENSET #1:GENSET #5'!D26)</f>
        <v>0</v>
      </c>
      <c r="C24" s="133">
        <f>'Diesel consumption'!D21</f>
        <v>0</v>
      </c>
      <c r="D24" s="157">
        <f>'SOLAR METER READING'!D25</f>
        <v>0</v>
      </c>
      <c r="E24" s="154">
        <f>'Gas-2'!G22</f>
        <v>0</v>
      </c>
      <c r="F24" s="133">
        <f>WATER!V22</f>
        <v>0</v>
      </c>
      <c r="G24" s="277">
        <f>WATER!W22</f>
        <v>0</v>
      </c>
      <c r="H24" s="18">
        <f>'SOLAR METER READING'!E25</f>
        <v>0</v>
      </c>
    </row>
    <row r="25" spans="1:8" ht="15.75" customHeight="1" x14ac:dyDescent="0.2">
      <c r="A25" s="62">
        <v>18</v>
      </c>
      <c r="B25" s="133">
        <f>SUM('GENSET #1:GENSET #5'!D27)</f>
        <v>0</v>
      </c>
      <c r="C25" s="133">
        <f>'Diesel consumption'!D22</f>
        <v>0</v>
      </c>
      <c r="D25" s="157">
        <f>'SOLAR METER READING'!D26</f>
        <v>0</v>
      </c>
      <c r="E25" s="154">
        <f>'Gas-2'!G23</f>
        <v>0</v>
      </c>
      <c r="F25" s="133">
        <f>WATER!V23</f>
        <v>0</v>
      </c>
      <c r="G25" s="277">
        <f>WATER!W23</f>
        <v>0</v>
      </c>
      <c r="H25" s="18">
        <f>'SOLAR METER READING'!E26</f>
        <v>0</v>
      </c>
    </row>
    <row r="26" spans="1:8" ht="15.75" customHeight="1" x14ac:dyDescent="0.2">
      <c r="A26" s="62">
        <v>19</v>
      </c>
      <c r="B26" s="133">
        <f>SUM('GENSET #1:GENSET #5'!D28)</f>
        <v>0</v>
      </c>
      <c r="C26" s="133">
        <f>'Diesel consumption'!D23</f>
        <v>0</v>
      </c>
      <c r="D26" s="157">
        <f>'SOLAR METER READING'!D27</f>
        <v>0</v>
      </c>
      <c r="E26" s="154">
        <f>'Gas-2'!G24</f>
        <v>0</v>
      </c>
      <c r="F26" s="133">
        <f>WATER!V24</f>
        <v>0</v>
      </c>
      <c r="G26" s="277">
        <f>WATER!W24</f>
        <v>0</v>
      </c>
      <c r="H26" s="18">
        <f>'SOLAR METER READING'!E27</f>
        <v>0</v>
      </c>
    </row>
    <row r="27" spans="1:8" ht="15.75" customHeight="1" x14ac:dyDescent="0.2">
      <c r="A27" s="62">
        <v>20</v>
      </c>
      <c r="B27" s="133">
        <f>SUM('GENSET #1:GENSET #5'!D29)</f>
        <v>0</v>
      </c>
      <c r="C27" s="133">
        <f>'Diesel consumption'!D24</f>
        <v>0</v>
      </c>
      <c r="D27" s="157">
        <f>'SOLAR METER READING'!D28</f>
        <v>0</v>
      </c>
      <c r="E27" s="154">
        <f>'Gas-2'!G25</f>
        <v>0</v>
      </c>
      <c r="F27" s="133">
        <f>WATER!V25</f>
        <v>0</v>
      </c>
      <c r="G27" s="277">
        <f>WATER!W25</f>
        <v>0</v>
      </c>
      <c r="H27" s="18">
        <f>'SOLAR METER READING'!E28</f>
        <v>0</v>
      </c>
    </row>
    <row r="28" spans="1:8" ht="15.75" customHeight="1" x14ac:dyDescent="0.2">
      <c r="A28" s="62">
        <v>21</v>
      </c>
      <c r="B28" s="133">
        <f>SUM('GENSET #1:GENSET #5'!D30)</f>
        <v>0</v>
      </c>
      <c r="C28" s="133">
        <f>'Diesel consumption'!D25</f>
        <v>0</v>
      </c>
      <c r="D28" s="157">
        <f>'SOLAR METER READING'!D29</f>
        <v>0</v>
      </c>
      <c r="E28" s="154">
        <f>'Gas-2'!G26</f>
        <v>0</v>
      </c>
      <c r="F28" s="133">
        <f>WATER!V26</f>
        <v>0</v>
      </c>
      <c r="G28" s="277">
        <f>WATER!W26</f>
        <v>0</v>
      </c>
      <c r="H28" s="18">
        <f>'SOLAR METER READING'!E29</f>
        <v>0</v>
      </c>
    </row>
    <row r="29" spans="1:8" ht="15.75" customHeight="1" x14ac:dyDescent="0.2">
      <c r="A29" s="62">
        <v>22</v>
      </c>
      <c r="B29" s="133">
        <f>SUM('GENSET #1:GENSET #5'!D31)</f>
        <v>0</v>
      </c>
      <c r="C29" s="133">
        <f>'Diesel consumption'!D26</f>
        <v>0</v>
      </c>
      <c r="D29" s="157">
        <f>'SOLAR METER READING'!D30</f>
        <v>0</v>
      </c>
      <c r="E29" s="154">
        <f>'Gas-2'!G27</f>
        <v>0</v>
      </c>
      <c r="F29" s="133">
        <f>WATER!V27</f>
        <v>0</v>
      </c>
      <c r="G29" s="277">
        <f>WATER!W27</f>
        <v>0</v>
      </c>
      <c r="H29" s="18">
        <f>'SOLAR METER READING'!E30</f>
        <v>0</v>
      </c>
    </row>
    <row r="30" spans="1:8" ht="15.75" customHeight="1" x14ac:dyDescent="0.2">
      <c r="A30" s="62">
        <v>23</v>
      </c>
      <c r="B30" s="133">
        <f>SUM('GENSET #1:GENSET #5'!D32)</f>
        <v>0</v>
      </c>
      <c r="C30" s="133">
        <f>'Diesel consumption'!D27</f>
        <v>0</v>
      </c>
      <c r="D30" s="157">
        <f>'SOLAR METER READING'!D31</f>
        <v>0</v>
      </c>
      <c r="E30" s="154">
        <f>'Gas-2'!G28</f>
        <v>0</v>
      </c>
      <c r="F30" s="133">
        <f>WATER!V28</f>
        <v>0</v>
      </c>
      <c r="G30" s="277">
        <f>WATER!W28</f>
        <v>0</v>
      </c>
      <c r="H30" s="18">
        <f>'SOLAR METER READING'!E31</f>
        <v>0</v>
      </c>
    </row>
    <row r="31" spans="1:8" ht="15.75" customHeight="1" x14ac:dyDescent="0.2">
      <c r="A31" s="62">
        <v>24</v>
      </c>
      <c r="B31" s="133">
        <f>SUM('GENSET #1:GENSET #5'!D33)</f>
        <v>0</v>
      </c>
      <c r="C31" s="133">
        <f>'Diesel consumption'!D28</f>
        <v>0</v>
      </c>
      <c r="D31" s="157">
        <f>'SOLAR METER READING'!D32</f>
        <v>0</v>
      </c>
      <c r="E31" s="154">
        <f>'Gas-2'!G29</f>
        <v>0</v>
      </c>
      <c r="F31" s="133">
        <f>WATER!V29</f>
        <v>0</v>
      </c>
      <c r="G31" s="277">
        <f>WATER!W29</f>
        <v>0</v>
      </c>
      <c r="H31" s="18">
        <f>'SOLAR METER READING'!E32</f>
        <v>0</v>
      </c>
    </row>
    <row r="32" spans="1:8" ht="15.75" customHeight="1" x14ac:dyDescent="0.2">
      <c r="A32" s="62">
        <v>25</v>
      </c>
      <c r="B32" s="133">
        <f>SUM('GENSET #1:GENSET #5'!D34)</f>
        <v>0</v>
      </c>
      <c r="C32" s="133">
        <f>'Diesel consumption'!D29</f>
        <v>0</v>
      </c>
      <c r="D32" s="157">
        <f>'SOLAR METER READING'!D33</f>
        <v>0</v>
      </c>
      <c r="E32" s="154">
        <f>'Gas-2'!G30</f>
        <v>0</v>
      </c>
      <c r="F32" s="133">
        <f>WATER!V30</f>
        <v>0</v>
      </c>
      <c r="G32" s="277">
        <f>WATER!W30</f>
        <v>0</v>
      </c>
      <c r="H32" s="18">
        <f>'SOLAR METER READING'!E33</f>
        <v>0</v>
      </c>
    </row>
    <row r="33" spans="1:11" ht="15.75" customHeight="1" x14ac:dyDescent="0.2">
      <c r="A33" s="62">
        <v>26</v>
      </c>
      <c r="B33" s="160">
        <f>SUM('GENSET #1:GENSET #5'!D35)</f>
        <v>0</v>
      </c>
      <c r="C33" s="133">
        <f>'Diesel consumption'!D30</f>
        <v>0</v>
      </c>
      <c r="D33" s="157">
        <f>'SOLAR METER READING'!D34</f>
        <v>0</v>
      </c>
      <c r="E33" s="154">
        <f>'Gas-2'!G31</f>
        <v>0</v>
      </c>
      <c r="F33" s="133">
        <f>WATER!V31</f>
        <v>0</v>
      </c>
      <c r="G33" s="277">
        <f>WATER!W31</f>
        <v>0</v>
      </c>
      <c r="H33" s="18">
        <f>'SOLAR METER READING'!E34</f>
        <v>0</v>
      </c>
    </row>
    <row r="34" spans="1:11" ht="15.75" customHeight="1" x14ac:dyDescent="0.2">
      <c r="A34" s="62">
        <v>27</v>
      </c>
      <c r="B34" s="133">
        <f>SUM('GENSET #1:GENSET #5'!D36)</f>
        <v>0</v>
      </c>
      <c r="C34" s="133">
        <f>'Diesel consumption'!D31</f>
        <v>0</v>
      </c>
      <c r="D34" s="157">
        <f>'SOLAR METER READING'!D35</f>
        <v>0</v>
      </c>
      <c r="E34" s="154">
        <f>'Gas-2'!G32</f>
        <v>0</v>
      </c>
      <c r="F34" s="133">
        <f>WATER!V32</f>
        <v>0</v>
      </c>
      <c r="G34" s="277">
        <f>WATER!W32</f>
        <v>0</v>
      </c>
      <c r="H34" s="18">
        <f>'SOLAR METER READING'!E35</f>
        <v>0</v>
      </c>
    </row>
    <row r="35" spans="1:11" ht="15.75" customHeight="1" x14ac:dyDescent="0.2">
      <c r="A35" s="62">
        <v>28</v>
      </c>
      <c r="B35" s="133">
        <f>SUM('GENSET #1:GENSET #5'!D37)</f>
        <v>0</v>
      </c>
      <c r="C35" s="133">
        <f>'Diesel consumption'!D32</f>
        <v>0</v>
      </c>
      <c r="D35" s="157">
        <f>'SOLAR METER READING'!D36</f>
        <v>0</v>
      </c>
      <c r="E35" s="154">
        <f>'Gas-2'!G33</f>
        <v>0</v>
      </c>
      <c r="F35" s="133">
        <f>WATER!V33</f>
        <v>0</v>
      </c>
      <c r="G35" s="277">
        <f>WATER!W33</f>
        <v>0</v>
      </c>
      <c r="H35" s="18">
        <f>'SOLAR METER READING'!E36</f>
        <v>0</v>
      </c>
    </row>
    <row r="36" spans="1:11" ht="15.75" customHeight="1" x14ac:dyDescent="0.2">
      <c r="A36" s="62">
        <v>29</v>
      </c>
      <c r="B36" s="133">
        <f>SUM('GENSET #1:GENSET #5'!D38)</f>
        <v>0</v>
      </c>
      <c r="C36" s="133">
        <f>'Diesel consumption'!D33</f>
        <v>0</v>
      </c>
      <c r="D36" s="157">
        <f>'SOLAR METER READING'!D37</f>
        <v>0</v>
      </c>
      <c r="E36" s="154">
        <f>'Gas-2'!G34</f>
        <v>0</v>
      </c>
      <c r="F36" s="133">
        <f>WATER!V34</f>
        <v>0</v>
      </c>
      <c r="G36" s="277">
        <f>WATER!W34</f>
        <v>0</v>
      </c>
      <c r="H36" s="18">
        <f>'SOLAR METER READING'!E37</f>
        <v>0</v>
      </c>
    </row>
    <row r="37" spans="1:11" ht="15.75" customHeight="1" x14ac:dyDescent="0.2">
      <c r="A37" s="62">
        <v>30</v>
      </c>
      <c r="B37" s="133">
        <f>SUM('GENSET #1:GENSET #5'!D39)</f>
        <v>0</v>
      </c>
      <c r="C37" s="133">
        <f>'Diesel consumption'!D34</f>
        <v>0</v>
      </c>
      <c r="D37" s="157">
        <f>'SOLAR METER READING'!D38</f>
        <v>0</v>
      </c>
      <c r="E37" s="154">
        <f>'Gas-2'!G35</f>
        <v>0</v>
      </c>
      <c r="F37" s="133">
        <f>WATER!V35</f>
        <v>0</v>
      </c>
      <c r="G37" s="277">
        <f>WATER!W35</f>
        <v>0</v>
      </c>
      <c r="H37" s="18">
        <f>'SOLAR METER READING'!E38</f>
        <v>0</v>
      </c>
    </row>
    <row r="38" spans="1:11" ht="15.75" customHeight="1" x14ac:dyDescent="0.2">
      <c r="A38" s="62">
        <v>31</v>
      </c>
      <c r="B38" s="133">
        <f>SUM('GENSET #1:GENSET #5'!D40)</f>
        <v>0</v>
      </c>
      <c r="C38" s="133">
        <f>'Diesel consumption'!D35</f>
        <v>0</v>
      </c>
      <c r="D38" s="157">
        <f>'SOLAR METER READING'!D39</f>
        <v>0</v>
      </c>
      <c r="E38" s="154">
        <f>'Gas-2'!G36</f>
        <v>0</v>
      </c>
      <c r="F38" s="133">
        <f>WATER!V36</f>
        <v>0</v>
      </c>
      <c r="G38" s="277">
        <f>WATER!W36</f>
        <v>0</v>
      </c>
      <c r="H38" s="18">
        <f>'SOLAR METER READING'!E39</f>
        <v>0</v>
      </c>
    </row>
    <row r="39" spans="1:11" ht="18.75" customHeight="1" thickBot="1" x14ac:dyDescent="0.25">
      <c r="A39" s="146" t="s">
        <v>7</v>
      </c>
      <c r="B39" s="152">
        <f>SUM(B8:B38)</f>
        <v>-88667657</v>
      </c>
      <c r="C39" s="152">
        <f>SUM(C8:C38)</f>
        <v>-43598170</v>
      </c>
      <c r="D39" s="152">
        <f>SUM(D8:D38)</f>
        <v>-2503023</v>
      </c>
      <c r="E39" s="159">
        <f>SUM(E8:E38)</f>
        <v>3015</v>
      </c>
      <c r="F39" s="9">
        <f>SUM(F8:F38)</f>
        <v>-934904</v>
      </c>
      <c r="G39" s="277">
        <f>SUM(G8:G38)/31</f>
        <v>24.322580645161292</v>
      </c>
      <c r="H39" s="18"/>
      <c r="K39" s="129"/>
    </row>
    <row r="40" spans="1:11" ht="13.5" thickTop="1" x14ac:dyDescent="0.2">
      <c r="B40" s="155">
        <f>B39/31</f>
        <v>-2860247</v>
      </c>
      <c r="C40" s="155">
        <f>C39/31</f>
        <v>-1406392.5806451612</v>
      </c>
      <c r="D40" s="155">
        <f>D39/31</f>
        <v>-80742.677419354834</v>
      </c>
      <c r="E40" s="69">
        <f>E39/31</f>
        <v>97.258064516129039</v>
      </c>
      <c r="F40" s="2">
        <f>F39/31</f>
        <v>-30158.193548387098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2" zoomScaleNormal="100" workbookViewId="0">
      <selection activeCell="C22" sqref="C22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287" t="s">
        <v>16</v>
      </c>
      <c r="D1" s="287"/>
    </row>
    <row r="2" spans="1:6" x14ac:dyDescent="0.2">
      <c r="C2" s="287"/>
      <c r="D2" s="287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85">
        <v>44287</v>
      </c>
      <c r="B6" s="85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288" t="s">
        <v>18</v>
      </c>
      <c r="C8" s="289"/>
      <c r="D8" s="65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83">
        <v>17082256</v>
      </c>
      <c r="C10" s="83">
        <v>17082256</v>
      </c>
      <c r="D10" s="6">
        <f>C10-B10</f>
        <v>0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17082256</v>
      </c>
      <c r="C11" s="83">
        <v>17082256</v>
      </c>
      <c r="D11" s="6">
        <f t="shared" ref="D11:D37" si="1">C11-B11</f>
        <v>0</v>
      </c>
      <c r="E11" s="34"/>
      <c r="F11" s="34"/>
    </row>
    <row r="12" spans="1:6" ht="13.5" customHeight="1" x14ac:dyDescent="0.2">
      <c r="A12" s="30">
        <v>3</v>
      </c>
      <c r="B12" s="33">
        <f t="shared" si="0"/>
        <v>17082256</v>
      </c>
      <c r="C12" s="83">
        <v>17082256</v>
      </c>
      <c r="D12" s="6">
        <f t="shared" si="1"/>
        <v>0</v>
      </c>
      <c r="E12" s="34"/>
      <c r="F12" s="34"/>
    </row>
    <row r="13" spans="1:6" ht="13.5" customHeight="1" x14ac:dyDescent="0.2">
      <c r="A13" s="30">
        <v>4</v>
      </c>
      <c r="B13" s="33">
        <f t="shared" si="0"/>
        <v>17082256</v>
      </c>
      <c r="C13" s="83">
        <v>17082256</v>
      </c>
      <c r="D13" s="6">
        <f t="shared" si="1"/>
        <v>0</v>
      </c>
      <c r="E13" s="34"/>
      <c r="F13" s="34"/>
    </row>
    <row r="14" spans="1:6" ht="13.5" customHeight="1" x14ac:dyDescent="0.2">
      <c r="A14" s="30">
        <v>5</v>
      </c>
      <c r="B14" s="33">
        <f t="shared" si="0"/>
        <v>17082256</v>
      </c>
      <c r="C14" s="83">
        <v>17082256</v>
      </c>
      <c r="D14" s="6">
        <f t="shared" si="1"/>
        <v>0</v>
      </c>
      <c r="E14" s="34"/>
      <c r="F14" s="34"/>
    </row>
    <row r="15" spans="1:6" ht="13.5" customHeight="1" x14ac:dyDescent="0.2">
      <c r="A15" s="30">
        <v>6</v>
      </c>
      <c r="B15" s="33">
        <f t="shared" si="0"/>
        <v>17082256</v>
      </c>
      <c r="C15" s="83">
        <v>17082256</v>
      </c>
      <c r="D15" s="6">
        <f>C15-B15</f>
        <v>0</v>
      </c>
      <c r="E15" s="34"/>
      <c r="F15" s="34"/>
    </row>
    <row r="16" spans="1:6" ht="13.5" customHeight="1" x14ac:dyDescent="0.2">
      <c r="A16" s="30">
        <v>7</v>
      </c>
      <c r="B16" s="33">
        <f t="shared" si="0"/>
        <v>17082256</v>
      </c>
      <c r="C16" s="83">
        <v>17082256</v>
      </c>
      <c r="D16" s="6">
        <f t="shared" si="1"/>
        <v>0</v>
      </c>
      <c r="E16" s="34"/>
      <c r="F16" s="34"/>
    </row>
    <row r="17" spans="1:6" ht="13.5" customHeight="1" x14ac:dyDescent="0.2">
      <c r="A17" s="30">
        <v>8</v>
      </c>
      <c r="B17" s="33">
        <f t="shared" si="0"/>
        <v>17082256</v>
      </c>
      <c r="C17" s="83">
        <v>17082256</v>
      </c>
      <c r="D17" s="6">
        <f t="shared" si="1"/>
        <v>0</v>
      </c>
      <c r="E17" s="34"/>
      <c r="F17" s="34"/>
    </row>
    <row r="18" spans="1:6" ht="13.5" customHeight="1" x14ac:dyDescent="0.2">
      <c r="A18" s="30">
        <v>9</v>
      </c>
      <c r="B18" s="33">
        <f t="shared" si="0"/>
        <v>17082256</v>
      </c>
      <c r="C18" s="83">
        <v>17082256</v>
      </c>
      <c r="D18" s="6">
        <f t="shared" si="1"/>
        <v>0</v>
      </c>
      <c r="E18" s="34"/>
      <c r="F18" s="34"/>
    </row>
    <row r="19" spans="1:6" ht="13.5" customHeight="1" x14ac:dyDescent="0.2">
      <c r="A19" s="30">
        <v>10</v>
      </c>
      <c r="B19" s="33">
        <f t="shared" si="0"/>
        <v>17082256</v>
      </c>
      <c r="C19" s="83">
        <v>17082256</v>
      </c>
      <c r="D19" s="6">
        <f t="shared" si="1"/>
        <v>0</v>
      </c>
      <c r="E19" s="34"/>
      <c r="F19" s="34"/>
    </row>
    <row r="20" spans="1:6" ht="13.5" customHeight="1" x14ac:dyDescent="0.2">
      <c r="A20" s="30">
        <v>11</v>
      </c>
      <c r="B20" s="33">
        <f t="shared" si="0"/>
        <v>17082256</v>
      </c>
      <c r="C20" s="83">
        <v>17082256</v>
      </c>
      <c r="D20" s="6">
        <f t="shared" si="1"/>
        <v>0</v>
      </c>
      <c r="E20" s="34"/>
      <c r="F20" s="34"/>
    </row>
    <row r="21" spans="1:6" ht="13.5" customHeight="1" x14ac:dyDescent="0.2">
      <c r="A21" s="30">
        <v>12</v>
      </c>
      <c r="B21" s="33">
        <f t="shared" si="0"/>
        <v>17082256</v>
      </c>
      <c r="C21" s="83">
        <v>17082256</v>
      </c>
      <c r="D21" s="6">
        <f t="shared" si="1"/>
        <v>0</v>
      </c>
      <c r="E21" s="34"/>
      <c r="F21" s="34"/>
    </row>
    <row r="22" spans="1:6" ht="13.5" customHeight="1" x14ac:dyDescent="0.2">
      <c r="A22" s="30">
        <v>13</v>
      </c>
      <c r="B22" s="33">
        <f t="shared" si="0"/>
        <v>17082256</v>
      </c>
      <c r="C22" s="83"/>
      <c r="D22" s="6">
        <f t="shared" si="1"/>
        <v>-17082256</v>
      </c>
      <c r="E22" s="34"/>
      <c r="F22" s="34"/>
    </row>
    <row r="23" spans="1:6" ht="13.5" customHeight="1" x14ac:dyDescent="0.2">
      <c r="A23" s="30">
        <v>14</v>
      </c>
      <c r="B23" s="33">
        <f t="shared" si="0"/>
        <v>0</v>
      </c>
      <c r="C23" s="83"/>
      <c r="D23" s="6">
        <f t="shared" si="1"/>
        <v>0</v>
      </c>
      <c r="E23" s="34"/>
      <c r="F23" s="34"/>
    </row>
    <row r="24" spans="1:6" ht="13.5" customHeight="1" x14ac:dyDescent="0.2">
      <c r="A24" s="30">
        <v>15</v>
      </c>
      <c r="B24" s="33">
        <f t="shared" si="0"/>
        <v>0</v>
      </c>
      <c r="C24" s="83"/>
      <c r="D24" s="6">
        <f t="shared" si="1"/>
        <v>0</v>
      </c>
      <c r="E24" s="34"/>
      <c r="F24" s="34"/>
    </row>
    <row r="25" spans="1:6" ht="13.5" customHeight="1" x14ac:dyDescent="0.2">
      <c r="A25" s="30">
        <v>16</v>
      </c>
      <c r="B25" s="33">
        <f t="shared" si="0"/>
        <v>0</v>
      </c>
      <c r="C25" s="83"/>
      <c r="D25" s="6">
        <f t="shared" si="1"/>
        <v>0</v>
      </c>
      <c r="E25" s="34"/>
      <c r="F25" s="34"/>
    </row>
    <row r="26" spans="1:6" ht="13.5" customHeight="1" x14ac:dyDescent="0.2">
      <c r="A26" s="30">
        <v>17</v>
      </c>
      <c r="B26" s="33">
        <f t="shared" si="0"/>
        <v>0</v>
      </c>
      <c r="C26" s="83"/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3">
        <f t="shared" si="0"/>
        <v>0</v>
      </c>
      <c r="C27" s="83"/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3">
        <f t="shared" si="0"/>
        <v>0</v>
      </c>
      <c r="C28" s="83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3">
        <f t="shared" si="0"/>
        <v>0</v>
      </c>
      <c r="C29" s="83"/>
      <c r="D29" s="6">
        <f>C29-B29</f>
        <v>0</v>
      </c>
      <c r="E29" s="34"/>
      <c r="F29" s="34"/>
    </row>
    <row r="30" spans="1:6" ht="13.5" customHeight="1" x14ac:dyDescent="0.2">
      <c r="A30" s="30">
        <v>21</v>
      </c>
      <c r="B30" s="33">
        <f t="shared" si="0"/>
        <v>0</v>
      </c>
      <c r="C30" s="83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3">
        <f t="shared" si="0"/>
        <v>0</v>
      </c>
      <c r="C31" s="83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3">
        <f t="shared" si="0"/>
        <v>0</v>
      </c>
      <c r="C32" s="83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3">
        <f t="shared" si="0"/>
        <v>0</v>
      </c>
      <c r="C33" s="83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3">
        <f t="shared" si="0"/>
        <v>0</v>
      </c>
      <c r="C34" s="118"/>
      <c r="D34" s="6">
        <f>C34-B34</f>
        <v>0</v>
      </c>
      <c r="E34" s="35"/>
      <c r="F34" s="34"/>
    </row>
    <row r="35" spans="1:10" s="3" customFormat="1" ht="13.5" customHeight="1" x14ac:dyDescent="0.2">
      <c r="A35" s="30">
        <v>26</v>
      </c>
      <c r="B35" s="269">
        <f t="shared" si="0"/>
        <v>0</v>
      </c>
      <c r="C35" s="83"/>
      <c r="D35" s="270">
        <f t="shared" si="1"/>
        <v>0</v>
      </c>
      <c r="E35" s="35"/>
      <c r="F35" s="34"/>
    </row>
    <row r="36" spans="1:10" ht="13.5" customHeight="1" x14ac:dyDescent="0.2">
      <c r="A36" s="30">
        <v>27</v>
      </c>
      <c r="B36" s="33">
        <f t="shared" si="0"/>
        <v>0</v>
      </c>
      <c r="C36" s="83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83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83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83"/>
      <c r="D39" s="6">
        <f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83"/>
      <c r="D40" s="6">
        <f>C40-B40</f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B41" s="18">
        <f>C40</f>
        <v>0</v>
      </c>
      <c r="D41" s="39">
        <f>SUM(D10:D40)</f>
        <v>-17082256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3" workbookViewId="0">
      <selection activeCell="C21" sqref="C21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287" t="s">
        <v>23</v>
      </c>
      <c r="D1" s="287"/>
    </row>
    <row r="2" spans="1:7" x14ac:dyDescent="0.2">
      <c r="C2" s="287"/>
      <c r="D2" s="287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85">
        <v>44287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288" t="s">
        <v>25</v>
      </c>
      <c r="C8" s="290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83">
        <v>29276496</v>
      </c>
      <c r="C10" s="83">
        <v>29291540</v>
      </c>
      <c r="D10" s="6">
        <f>C10-B10</f>
        <v>15044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29291540</v>
      </c>
      <c r="C11" s="83">
        <v>29307246</v>
      </c>
      <c r="D11" s="6">
        <f t="shared" ref="D11:D40" si="0">C11-B11</f>
        <v>15706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29307246</v>
      </c>
      <c r="C12" s="83">
        <v>29320763</v>
      </c>
      <c r="D12" s="6">
        <f t="shared" si="0"/>
        <v>13517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29320763</v>
      </c>
      <c r="C13" s="83">
        <v>29334489</v>
      </c>
      <c r="D13" s="6">
        <f t="shared" si="0"/>
        <v>13726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29334489</v>
      </c>
      <c r="C14" s="83">
        <v>29348389</v>
      </c>
      <c r="D14" s="6">
        <f t="shared" si="0"/>
        <v>13900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29348389</v>
      </c>
      <c r="C15" s="83">
        <v>29364112</v>
      </c>
      <c r="D15" s="6">
        <f t="shared" si="0"/>
        <v>15723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29364112</v>
      </c>
      <c r="C16" s="83">
        <v>29379742</v>
      </c>
      <c r="D16" s="6">
        <f t="shared" si="0"/>
        <v>15630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29379742</v>
      </c>
      <c r="C17" s="83">
        <v>29394695</v>
      </c>
      <c r="D17" s="6">
        <f t="shared" si="0"/>
        <v>14953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29394695</v>
      </c>
      <c r="C18" s="83">
        <v>29410588</v>
      </c>
      <c r="D18" s="6">
        <f t="shared" si="0"/>
        <v>15893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29410588</v>
      </c>
      <c r="C19" s="83">
        <v>29425372</v>
      </c>
      <c r="D19" s="6">
        <f t="shared" si="0"/>
        <v>14784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29425372</v>
      </c>
      <c r="C20" s="83">
        <v>29439352</v>
      </c>
      <c r="D20" s="6">
        <f t="shared" si="0"/>
        <v>13980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29439352</v>
      </c>
      <c r="C21" s="83"/>
      <c r="D21" s="6">
        <f t="shared" si="0"/>
        <v>-29439352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0</v>
      </c>
      <c r="C22" s="83"/>
      <c r="D22" s="6">
        <f t="shared" si="0"/>
        <v>0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0</v>
      </c>
      <c r="C23" s="83"/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0</v>
      </c>
      <c r="C24" s="83"/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0</v>
      </c>
      <c r="C25" s="83"/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83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83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83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83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83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83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83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83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83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269">
        <f t="shared" si="1"/>
        <v>0</v>
      </c>
      <c r="C35" s="83"/>
      <c r="D35" s="270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83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83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83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83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83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B41" s="18">
        <f>C40</f>
        <v>0</v>
      </c>
      <c r="D41" s="49">
        <f>SUM(D10:D40)</f>
        <v>-29276496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workbookViewId="0">
      <selection activeCell="C21" sqref="C21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85">
        <v>44287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12820864</v>
      </c>
      <c r="C10" s="32">
        <v>12829716</v>
      </c>
      <c r="D10" s="38">
        <f>C10-B10</f>
        <v>8852</v>
      </c>
    </row>
    <row r="11" spans="1:5" ht="15.75" customHeight="1" x14ac:dyDescent="0.2">
      <c r="A11" s="45">
        <v>2</v>
      </c>
      <c r="B11" s="33">
        <f>C10</f>
        <v>12829716</v>
      </c>
      <c r="C11" s="32">
        <v>12832463</v>
      </c>
      <c r="D11" s="38">
        <f t="shared" ref="D11:D36" si="0">C11-B11</f>
        <v>2747</v>
      </c>
    </row>
    <row r="12" spans="1:5" x14ac:dyDescent="0.2">
      <c r="A12" s="45">
        <v>3</v>
      </c>
      <c r="B12" s="33">
        <f t="shared" ref="B12:B14" si="1">C11</f>
        <v>12832463</v>
      </c>
      <c r="C12" s="32">
        <v>12841046</v>
      </c>
      <c r="D12" s="38">
        <f t="shared" si="0"/>
        <v>8583</v>
      </c>
      <c r="E12" s="55"/>
    </row>
    <row r="13" spans="1:5" x14ac:dyDescent="0.2">
      <c r="A13" s="45">
        <v>4</v>
      </c>
      <c r="B13" s="33">
        <f t="shared" si="1"/>
        <v>12841046</v>
      </c>
      <c r="C13" s="32">
        <v>12847876</v>
      </c>
      <c r="D13" s="38">
        <f t="shared" si="0"/>
        <v>6830</v>
      </c>
      <c r="E13" s="55"/>
    </row>
    <row r="14" spans="1:5" ht="13.5" customHeight="1" x14ac:dyDescent="0.2">
      <c r="A14" s="45">
        <v>5</v>
      </c>
      <c r="B14" s="33">
        <f t="shared" si="1"/>
        <v>12847876</v>
      </c>
      <c r="C14" s="32">
        <v>12855745</v>
      </c>
      <c r="D14" s="38">
        <f t="shared" si="0"/>
        <v>7869</v>
      </c>
      <c r="E14" s="55"/>
    </row>
    <row r="15" spans="1:5" ht="13.5" customHeight="1" x14ac:dyDescent="0.2">
      <c r="A15" s="45">
        <v>6</v>
      </c>
      <c r="B15" s="33">
        <f t="shared" ref="B15:B38" si="2">C14</f>
        <v>12855745</v>
      </c>
      <c r="C15" s="32">
        <v>12863564</v>
      </c>
      <c r="D15" s="38">
        <f t="shared" si="0"/>
        <v>7819</v>
      </c>
      <c r="E15" s="55"/>
    </row>
    <row r="16" spans="1:5" ht="13.5" customHeight="1" x14ac:dyDescent="0.2">
      <c r="A16" s="45">
        <v>7</v>
      </c>
      <c r="B16" s="33">
        <f t="shared" si="2"/>
        <v>12863564</v>
      </c>
      <c r="C16" s="32">
        <v>12870010</v>
      </c>
      <c r="D16" s="38">
        <f t="shared" si="0"/>
        <v>6446</v>
      </c>
      <c r="E16" s="55"/>
    </row>
    <row r="17" spans="1:5" ht="13.5" customHeight="1" x14ac:dyDescent="0.2">
      <c r="A17" s="45">
        <v>8</v>
      </c>
      <c r="B17" s="33">
        <f t="shared" si="2"/>
        <v>12870010</v>
      </c>
      <c r="C17" s="32">
        <v>12877533</v>
      </c>
      <c r="D17" s="38">
        <f t="shared" si="0"/>
        <v>7523</v>
      </c>
      <c r="E17" s="55"/>
    </row>
    <row r="18" spans="1:5" ht="13.5" customHeight="1" x14ac:dyDescent="0.2">
      <c r="A18" s="45">
        <v>9</v>
      </c>
      <c r="B18" s="33">
        <f t="shared" si="2"/>
        <v>12877533</v>
      </c>
      <c r="C18" s="32">
        <v>12886791</v>
      </c>
      <c r="D18" s="38">
        <f t="shared" si="0"/>
        <v>9258</v>
      </c>
      <c r="E18" s="55"/>
    </row>
    <row r="19" spans="1:5" ht="13.5" customHeight="1" x14ac:dyDescent="0.2">
      <c r="A19" s="45">
        <v>10</v>
      </c>
      <c r="B19" s="33">
        <f t="shared" si="2"/>
        <v>12886791</v>
      </c>
      <c r="C19" s="32">
        <v>12890054</v>
      </c>
      <c r="D19" s="38">
        <f t="shared" si="0"/>
        <v>3263</v>
      </c>
      <c r="E19" s="55"/>
    </row>
    <row r="20" spans="1:5" ht="13.5" customHeight="1" x14ac:dyDescent="0.2">
      <c r="A20" s="45">
        <v>11</v>
      </c>
      <c r="B20" s="33">
        <f t="shared" si="2"/>
        <v>12890054</v>
      </c>
      <c r="C20" s="32">
        <v>12900099</v>
      </c>
      <c r="D20" s="38">
        <f t="shared" si="0"/>
        <v>10045</v>
      </c>
      <c r="E20" s="55"/>
    </row>
    <row r="21" spans="1:5" ht="13.5" customHeight="1" x14ac:dyDescent="0.2">
      <c r="A21" s="45">
        <v>12</v>
      </c>
      <c r="B21" s="33">
        <f t="shared" si="2"/>
        <v>12900099</v>
      </c>
      <c r="C21" s="32"/>
      <c r="D21" s="38">
        <f t="shared" si="0"/>
        <v>-12900099</v>
      </c>
      <c r="E21" s="55"/>
    </row>
    <row r="22" spans="1:5" ht="13.5" customHeight="1" x14ac:dyDescent="0.2">
      <c r="A22" s="45">
        <v>13</v>
      </c>
      <c r="B22" s="33">
        <f t="shared" si="2"/>
        <v>0</v>
      </c>
      <c r="C22" s="32"/>
      <c r="D22" s="38">
        <f t="shared" si="0"/>
        <v>0</v>
      </c>
      <c r="E22" s="55"/>
    </row>
    <row r="23" spans="1:5" ht="13.5" customHeight="1" x14ac:dyDescent="0.2">
      <c r="A23" s="45">
        <v>14</v>
      </c>
      <c r="B23" s="33">
        <f t="shared" si="2"/>
        <v>0</v>
      </c>
      <c r="C23" s="32"/>
      <c r="D23" s="38">
        <f t="shared" si="0"/>
        <v>0</v>
      </c>
      <c r="E23" s="55"/>
    </row>
    <row r="24" spans="1:5" ht="13.5" customHeight="1" x14ac:dyDescent="0.2">
      <c r="A24" s="45">
        <v>15</v>
      </c>
      <c r="B24" s="33">
        <f t="shared" si="2"/>
        <v>0</v>
      </c>
      <c r="C24" s="32"/>
      <c r="D24" s="38">
        <f t="shared" si="0"/>
        <v>0</v>
      </c>
      <c r="E24" s="55"/>
    </row>
    <row r="25" spans="1:5" ht="13.5" customHeight="1" x14ac:dyDescent="0.2">
      <c r="A25" s="45">
        <v>16</v>
      </c>
      <c r="B25" s="33">
        <f t="shared" si="2"/>
        <v>0</v>
      </c>
      <c r="C25" s="32"/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2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2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2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2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2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2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2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2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2"/>
        <v>0</v>
      </c>
      <c r="C34" s="32"/>
      <c r="D34" s="38">
        <f t="shared" si="0"/>
        <v>0</v>
      </c>
      <c r="E34" s="108"/>
      <c r="F34" s="109"/>
      <c r="G34" s="112"/>
      <c r="H34" s="113"/>
      <c r="I34" s="112"/>
      <c r="J34" s="112"/>
    </row>
    <row r="35" spans="1:10" s="3" customFormat="1" ht="13.5" customHeight="1" x14ac:dyDescent="0.2">
      <c r="A35" s="45">
        <v>26</v>
      </c>
      <c r="B35" s="269">
        <f t="shared" si="2"/>
        <v>0</v>
      </c>
      <c r="C35" s="32"/>
      <c r="D35" s="38">
        <f t="shared" si="0"/>
        <v>0</v>
      </c>
      <c r="E35" s="108"/>
      <c r="F35" s="110"/>
      <c r="G35" s="113"/>
      <c r="H35" s="113"/>
      <c r="I35" s="113"/>
      <c r="J35" s="113"/>
    </row>
    <row r="36" spans="1:10" ht="13.5" customHeight="1" x14ac:dyDescent="0.2">
      <c r="A36" s="45">
        <v>27</v>
      </c>
      <c r="B36" s="33">
        <f t="shared" si="2"/>
        <v>0</v>
      </c>
      <c r="C36" s="32"/>
      <c r="D36" s="38">
        <f t="shared" si="0"/>
        <v>0</v>
      </c>
      <c r="E36" s="108"/>
      <c r="F36" s="109"/>
      <c r="G36" s="112"/>
      <c r="H36" s="112"/>
      <c r="I36" s="112"/>
      <c r="J36" s="112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108"/>
      <c r="F37" s="109"/>
      <c r="G37" s="112"/>
      <c r="H37" s="112"/>
      <c r="I37" s="112"/>
      <c r="J37" s="112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291"/>
      <c r="F38" s="292"/>
      <c r="G38" s="112"/>
      <c r="H38" s="112"/>
      <c r="I38" s="112"/>
      <c r="J38" s="112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108"/>
      <c r="F39" s="109"/>
      <c r="G39" s="112"/>
      <c r="H39" s="112"/>
      <c r="I39" s="112"/>
      <c r="J39" s="112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108"/>
      <c r="F40" s="109"/>
      <c r="G40" s="112"/>
      <c r="H40" s="112"/>
      <c r="I40" s="112"/>
      <c r="J40" s="112"/>
    </row>
    <row r="41" spans="1:10" ht="13.5" customHeight="1" thickBot="1" x14ac:dyDescent="0.25">
      <c r="A41" t="s">
        <v>7</v>
      </c>
      <c r="B41" s="18">
        <f>C40</f>
        <v>0</v>
      </c>
      <c r="D41" s="49">
        <f>SUM(D10:D40)</f>
        <v>-12820864</v>
      </c>
      <c r="E41" s="108"/>
      <c r="F41" s="109"/>
      <c r="G41" s="112"/>
      <c r="H41" s="112"/>
      <c r="I41" s="112"/>
      <c r="J41" s="112"/>
    </row>
    <row r="42" spans="1:10" ht="12" customHeight="1" thickTop="1" x14ac:dyDescent="0.2">
      <c r="E42" s="108"/>
      <c r="F42" s="109"/>
      <c r="G42" s="112"/>
      <c r="H42" s="112"/>
      <c r="I42" s="112"/>
      <c r="J42" s="112"/>
    </row>
    <row r="43" spans="1:10" ht="14.25" customHeight="1" x14ac:dyDescent="0.2">
      <c r="E43" s="111"/>
      <c r="F43" s="109"/>
      <c r="G43" s="112"/>
      <c r="H43" s="112"/>
      <c r="I43" s="112"/>
      <c r="J43" s="112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workbookViewId="0">
      <selection activeCell="C21" sqref="C21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287" t="s">
        <v>30</v>
      </c>
      <c r="D1" s="287"/>
    </row>
    <row r="2" spans="1:5" x14ac:dyDescent="0.2">
      <c r="C2" s="287"/>
      <c r="D2" s="287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85">
        <v>44287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288" t="s">
        <v>32</v>
      </c>
      <c r="C8" s="290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11557744</v>
      </c>
      <c r="C10" s="32">
        <v>11561760</v>
      </c>
      <c r="D10" s="38">
        <f>C10-B10</f>
        <v>4016</v>
      </c>
      <c r="E10" s="29"/>
    </row>
    <row r="11" spans="1:5" ht="13.5" customHeight="1" x14ac:dyDescent="0.2">
      <c r="A11" s="45">
        <v>2</v>
      </c>
      <c r="B11" s="33">
        <f>C10</f>
        <v>11561760</v>
      </c>
      <c r="C11" s="32">
        <v>11566660</v>
      </c>
      <c r="D11" s="38">
        <f t="shared" ref="D11:D36" si="0">C11-B11</f>
        <v>4900</v>
      </c>
      <c r="E11" s="34"/>
    </row>
    <row r="12" spans="1:5" ht="13.5" customHeight="1" x14ac:dyDescent="0.2">
      <c r="A12" s="45">
        <v>3</v>
      </c>
      <c r="B12" s="33">
        <f t="shared" ref="B12:B40" si="1">C11</f>
        <v>11566660</v>
      </c>
      <c r="C12" s="32">
        <v>11569734</v>
      </c>
      <c r="D12" s="38">
        <f t="shared" si="0"/>
        <v>3074</v>
      </c>
      <c r="E12" s="34"/>
    </row>
    <row r="13" spans="1:5" ht="13.5" customHeight="1" x14ac:dyDescent="0.2">
      <c r="A13" s="45">
        <v>4</v>
      </c>
      <c r="B13" s="33">
        <f t="shared" si="1"/>
        <v>11569734</v>
      </c>
      <c r="C13" s="32">
        <v>11572268</v>
      </c>
      <c r="D13" s="38">
        <f t="shared" si="0"/>
        <v>2534</v>
      </c>
      <c r="E13" s="34"/>
    </row>
    <row r="14" spans="1:5" ht="13.5" customHeight="1" x14ac:dyDescent="0.2">
      <c r="A14" s="45">
        <v>5</v>
      </c>
      <c r="B14" s="33">
        <f t="shared" si="1"/>
        <v>11572268</v>
      </c>
      <c r="C14" s="32">
        <v>11576590</v>
      </c>
      <c r="D14" s="38">
        <f t="shared" si="0"/>
        <v>4322</v>
      </c>
      <c r="E14" s="34"/>
    </row>
    <row r="15" spans="1:5" ht="13.5" customHeight="1" x14ac:dyDescent="0.2">
      <c r="A15" s="45">
        <v>6</v>
      </c>
      <c r="B15" s="33">
        <f t="shared" si="1"/>
        <v>11576590</v>
      </c>
      <c r="C15" s="32">
        <v>11579383</v>
      </c>
      <c r="D15" s="38">
        <f t="shared" si="0"/>
        <v>2793</v>
      </c>
      <c r="E15" s="34"/>
    </row>
    <row r="16" spans="1:5" ht="13.5" customHeight="1" x14ac:dyDescent="0.2">
      <c r="A16" s="45">
        <v>7</v>
      </c>
      <c r="B16" s="33">
        <f t="shared" si="1"/>
        <v>11579383</v>
      </c>
      <c r="C16" s="32">
        <v>11582022</v>
      </c>
      <c r="D16" s="38">
        <f t="shared" si="0"/>
        <v>2639</v>
      </c>
      <c r="E16" s="34"/>
    </row>
    <row r="17" spans="1:5" ht="13.5" customHeight="1" x14ac:dyDescent="0.2">
      <c r="A17" s="45">
        <v>8</v>
      </c>
      <c r="B17" s="33">
        <f t="shared" si="1"/>
        <v>11582022</v>
      </c>
      <c r="C17" s="32">
        <v>11585278</v>
      </c>
      <c r="D17" s="38">
        <f t="shared" si="0"/>
        <v>3256</v>
      </c>
      <c r="E17" s="34"/>
    </row>
    <row r="18" spans="1:5" ht="13.5" customHeight="1" x14ac:dyDescent="0.2">
      <c r="A18" s="45">
        <v>9</v>
      </c>
      <c r="B18" s="33">
        <f t="shared" si="1"/>
        <v>11585278</v>
      </c>
      <c r="C18" s="32">
        <v>11589540</v>
      </c>
      <c r="D18" s="38">
        <f t="shared" si="0"/>
        <v>4262</v>
      </c>
      <c r="E18" s="34"/>
    </row>
    <row r="19" spans="1:5" ht="13.5" customHeight="1" x14ac:dyDescent="0.2">
      <c r="A19" s="45">
        <v>10</v>
      </c>
      <c r="B19" s="33">
        <f t="shared" si="1"/>
        <v>11589540</v>
      </c>
      <c r="C19" s="32">
        <v>11590071</v>
      </c>
      <c r="D19" s="38">
        <f t="shared" si="0"/>
        <v>531</v>
      </c>
      <c r="E19" s="34"/>
    </row>
    <row r="20" spans="1:5" ht="13.5" customHeight="1" x14ac:dyDescent="0.2">
      <c r="A20" s="45">
        <v>11</v>
      </c>
      <c r="B20" s="33">
        <f t="shared" si="1"/>
        <v>11590071</v>
      </c>
      <c r="C20" s="32">
        <v>11594028</v>
      </c>
      <c r="D20" s="38">
        <f t="shared" si="0"/>
        <v>3957</v>
      </c>
      <c r="E20" s="34"/>
    </row>
    <row r="21" spans="1:5" ht="13.5" customHeight="1" x14ac:dyDescent="0.2">
      <c r="A21" s="45">
        <v>12</v>
      </c>
      <c r="B21" s="33">
        <f t="shared" si="1"/>
        <v>11594028</v>
      </c>
      <c r="C21" s="32"/>
      <c r="D21" s="38">
        <f t="shared" si="0"/>
        <v>-11594028</v>
      </c>
      <c r="E21" s="34"/>
    </row>
    <row r="22" spans="1:5" ht="13.5" customHeight="1" x14ac:dyDescent="0.2">
      <c r="A22" s="45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105"/>
      <c r="D27" s="106">
        <f t="shared" si="0"/>
        <v>0</v>
      </c>
      <c r="E27" s="107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>C28-B28</f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269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B41" s="18">
        <f>C40</f>
        <v>0</v>
      </c>
      <c r="D41" s="49">
        <f>SUM(D10:D40)</f>
        <v>-11557744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workbookViewId="0">
      <selection activeCell="C21" sqref="C21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287" t="s">
        <v>16</v>
      </c>
      <c r="D1" s="287"/>
    </row>
    <row r="2" spans="1:5" x14ac:dyDescent="0.2">
      <c r="C2" s="287"/>
      <c r="D2" s="287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85"/>
      <c r="B4" s="4"/>
      <c r="C4" s="24"/>
      <c r="D4" s="24"/>
      <c r="E4" s="24"/>
    </row>
    <row r="5" spans="1:5" s="1" customFormat="1" x14ac:dyDescent="0.2">
      <c r="A5" s="167"/>
      <c r="B5" s="165"/>
      <c r="C5" s="166"/>
      <c r="D5" s="166"/>
      <c r="E5" s="166"/>
    </row>
    <row r="6" spans="1:5" x14ac:dyDescent="0.2">
      <c r="A6" s="85">
        <v>44287</v>
      </c>
    </row>
    <row r="7" spans="1:5" ht="13.5" thickBot="1" x14ac:dyDescent="0.25">
      <c r="A7" s="167"/>
    </row>
    <row r="8" spans="1:5" ht="15.75" customHeight="1" thickBot="1" x14ac:dyDescent="0.25">
      <c r="A8" s="58"/>
      <c r="B8" s="288" t="s">
        <v>34</v>
      </c>
      <c r="C8" s="290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17930297</v>
      </c>
      <c r="C10" s="32">
        <v>17934761</v>
      </c>
      <c r="D10" s="38">
        <f>C10-B10</f>
        <v>4464</v>
      </c>
      <c r="E10" s="29"/>
    </row>
    <row r="11" spans="1:5" ht="13.5" customHeight="1" x14ac:dyDescent="0.2">
      <c r="A11" s="61">
        <v>2</v>
      </c>
      <c r="B11" s="33">
        <f>C10</f>
        <v>17934761</v>
      </c>
      <c r="C11" s="32">
        <v>17944355</v>
      </c>
      <c r="D11" s="38">
        <f t="shared" ref="D11:D37" si="0">C11-B11</f>
        <v>9594</v>
      </c>
      <c r="E11" s="34"/>
    </row>
    <row r="12" spans="1:5" ht="13.5" customHeight="1" x14ac:dyDescent="0.2">
      <c r="A12" s="60">
        <v>3</v>
      </c>
      <c r="B12" s="33">
        <f t="shared" ref="B12:B38" si="1">C11</f>
        <v>17944355</v>
      </c>
      <c r="C12" s="32">
        <v>17951760</v>
      </c>
      <c r="D12" s="38">
        <f t="shared" si="0"/>
        <v>7405</v>
      </c>
      <c r="E12" s="34"/>
    </row>
    <row r="13" spans="1:5" ht="13.5" customHeight="1" x14ac:dyDescent="0.2">
      <c r="A13" s="61">
        <v>4</v>
      </c>
      <c r="B13" s="33">
        <f t="shared" si="1"/>
        <v>17951760</v>
      </c>
      <c r="C13" s="32">
        <v>17961461</v>
      </c>
      <c r="D13" s="38">
        <f t="shared" si="0"/>
        <v>9701</v>
      </c>
      <c r="E13" s="34"/>
    </row>
    <row r="14" spans="1:5" ht="13.5" customHeight="1" x14ac:dyDescent="0.2">
      <c r="A14" s="60">
        <v>5</v>
      </c>
      <c r="B14" s="33">
        <f t="shared" si="1"/>
        <v>17961461</v>
      </c>
      <c r="C14" s="32">
        <v>17968728</v>
      </c>
      <c r="D14" s="38">
        <f t="shared" si="0"/>
        <v>7267</v>
      </c>
      <c r="E14" s="34"/>
    </row>
    <row r="15" spans="1:5" ht="13.5" customHeight="1" x14ac:dyDescent="0.2">
      <c r="A15" s="61">
        <v>6</v>
      </c>
      <c r="B15" s="33">
        <f t="shared" si="1"/>
        <v>17968728</v>
      </c>
      <c r="C15" s="32">
        <v>17974371</v>
      </c>
      <c r="D15" s="38">
        <f t="shared" si="0"/>
        <v>5643</v>
      </c>
      <c r="E15" s="34"/>
    </row>
    <row r="16" spans="1:5" ht="13.5" customHeight="1" x14ac:dyDescent="0.2">
      <c r="A16" s="60">
        <v>7</v>
      </c>
      <c r="B16" s="33">
        <f t="shared" si="1"/>
        <v>17974371</v>
      </c>
      <c r="C16" s="32">
        <v>17982220</v>
      </c>
      <c r="D16" s="38">
        <f t="shared" si="0"/>
        <v>7849</v>
      </c>
      <c r="E16" s="34"/>
    </row>
    <row r="17" spans="1:5" ht="13.5" customHeight="1" x14ac:dyDescent="0.2">
      <c r="A17" s="61">
        <v>8</v>
      </c>
      <c r="B17" s="33">
        <f t="shared" si="1"/>
        <v>17982220</v>
      </c>
      <c r="C17" s="32">
        <v>17988857</v>
      </c>
      <c r="D17" s="38">
        <f t="shared" si="0"/>
        <v>6637</v>
      </c>
      <c r="E17" s="34"/>
    </row>
    <row r="18" spans="1:5" ht="13.5" customHeight="1" x14ac:dyDescent="0.2">
      <c r="A18" s="60">
        <v>9</v>
      </c>
      <c r="B18" s="33">
        <f t="shared" si="1"/>
        <v>17988857</v>
      </c>
      <c r="C18" s="32">
        <v>17990819</v>
      </c>
      <c r="D18" s="38">
        <f t="shared" si="0"/>
        <v>1962</v>
      </c>
      <c r="E18" s="34"/>
    </row>
    <row r="19" spans="1:5" ht="13.5" customHeight="1" x14ac:dyDescent="0.2">
      <c r="A19" s="61">
        <v>10</v>
      </c>
      <c r="B19" s="33">
        <f t="shared" si="1"/>
        <v>17990819</v>
      </c>
      <c r="C19" s="32">
        <v>18002863</v>
      </c>
      <c r="D19" s="38">
        <f t="shared" si="0"/>
        <v>12044</v>
      </c>
      <c r="E19" s="34"/>
    </row>
    <row r="20" spans="1:5" ht="13.5" customHeight="1" x14ac:dyDescent="0.2">
      <c r="A20" s="60">
        <v>11</v>
      </c>
      <c r="B20" s="33">
        <f t="shared" si="1"/>
        <v>18002863</v>
      </c>
      <c r="C20" s="32">
        <v>18006339</v>
      </c>
      <c r="D20" s="38">
        <f t="shared" si="0"/>
        <v>3476</v>
      </c>
      <c r="E20" s="34"/>
    </row>
    <row r="21" spans="1:5" ht="13.5" customHeight="1" x14ac:dyDescent="0.2">
      <c r="A21" s="61">
        <v>12</v>
      </c>
      <c r="B21" s="33">
        <f t="shared" si="1"/>
        <v>18006339</v>
      </c>
      <c r="C21" s="32"/>
      <c r="D21" s="38">
        <f t="shared" si="0"/>
        <v>-18006339</v>
      </c>
      <c r="E21" s="34"/>
    </row>
    <row r="22" spans="1:5" ht="13.5" customHeight="1" x14ac:dyDescent="0.2">
      <c r="A22" s="60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61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60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61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71">
        <v>26</v>
      </c>
      <c r="B35" s="269">
        <f t="shared" si="1"/>
        <v>0</v>
      </c>
      <c r="C35" s="32"/>
      <c r="D35" s="38">
        <f>C35-B35</f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B41" s="18">
        <f>C40</f>
        <v>0</v>
      </c>
      <c r="D41" s="49">
        <f>SUM(D10:D40)</f>
        <v>-17930297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C16" sqref="C16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1" spans="1:12" x14ac:dyDescent="0.2">
      <c r="A1" s="286" t="s">
        <v>139</v>
      </c>
      <c r="B1" s="286"/>
      <c r="C1" s="286"/>
      <c r="D1" s="286"/>
    </row>
    <row r="2" spans="1:12" x14ac:dyDescent="0.2">
      <c r="A2" s="85">
        <v>44287</v>
      </c>
    </row>
    <row r="3" spans="1:12" x14ac:dyDescent="0.2">
      <c r="A3" s="6"/>
      <c r="B3" s="6" t="s">
        <v>38</v>
      </c>
      <c r="C3" s="6"/>
      <c r="D3" s="62"/>
      <c r="F3" s="293" t="s">
        <v>65</v>
      </c>
      <c r="G3" s="293"/>
    </row>
    <row r="4" spans="1:12" x14ac:dyDescent="0.2">
      <c r="A4" s="6" t="s">
        <v>39</v>
      </c>
      <c r="B4" s="6" t="s">
        <v>40</v>
      </c>
      <c r="C4" s="6" t="s">
        <v>41</v>
      </c>
      <c r="D4" s="86" t="s">
        <v>71</v>
      </c>
      <c r="F4" s="121" t="s">
        <v>54</v>
      </c>
      <c r="G4" s="121" t="s">
        <v>55</v>
      </c>
      <c r="I4" s="124" t="s">
        <v>70</v>
      </c>
      <c r="K4" s="294" t="s">
        <v>72</v>
      </c>
      <c r="L4" s="295"/>
    </row>
    <row r="5" spans="1:12" x14ac:dyDescent="0.2">
      <c r="A5" s="127">
        <v>1</v>
      </c>
      <c r="B5" s="6">
        <v>43598170</v>
      </c>
      <c r="C5" s="63">
        <v>43607040</v>
      </c>
      <c r="D5" s="63">
        <f>C5-B5</f>
        <v>8870</v>
      </c>
      <c r="F5" s="121"/>
      <c r="G5" s="121"/>
      <c r="I5" s="125">
        <f t="shared" ref="I5:I34" si="0">D5/200</f>
        <v>44.35</v>
      </c>
      <c r="K5" s="8">
        <f>2.68*D5</f>
        <v>23771.600000000002</v>
      </c>
      <c r="L5" s="8">
        <f>K5/1000</f>
        <v>23.771600000000003</v>
      </c>
    </row>
    <row r="6" spans="1:12" x14ac:dyDescent="0.2">
      <c r="A6" s="127">
        <v>2</v>
      </c>
      <c r="B6" s="6">
        <f>C5</f>
        <v>43607040</v>
      </c>
      <c r="C6" s="6">
        <v>43616170</v>
      </c>
      <c r="D6" s="63">
        <f>C6-B6</f>
        <v>9130</v>
      </c>
      <c r="F6" s="121"/>
      <c r="G6" s="121"/>
      <c r="I6" s="125">
        <f t="shared" si="0"/>
        <v>45.65</v>
      </c>
      <c r="K6" s="8">
        <f t="shared" ref="K6:K36" si="1">2.68*D6</f>
        <v>24468.400000000001</v>
      </c>
      <c r="L6" s="8">
        <f t="shared" ref="L6:L36" si="2">K6/1000</f>
        <v>24.468400000000003</v>
      </c>
    </row>
    <row r="7" spans="1:12" x14ac:dyDescent="0.2">
      <c r="A7" s="127">
        <v>3</v>
      </c>
      <c r="B7" s="6">
        <f t="shared" ref="B7:B35" si="3">C6</f>
        <v>43616170</v>
      </c>
      <c r="C7" s="6">
        <v>43625170</v>
      </c>
      <c r="D7" s="63">
        <f t="shared" ref="D7:D31" si="4">C7-B7</f>
        <v>9000</v>
      </c>
      <c r="F7" s="121"/>
      <c r="G7" s="121"/>
      <c r="I7" s="125">
        <f t="shared" si="0"/>
        <v>45</v>
      </c>
      <c r="K7" s="8">
        <f t="shared" si="1"/>
        <v>24120</v>
      </c>
      <c r="L7" s="8">
        <f t="shared" si="2"/>
        <v>24.12</v>
      </c>
    </row>
    <row r="8" spans="1:12" x14ac:dyDescent="0.2">
      <c r="A8" s="127">
        <v>4</v>
      </c>
      <c r="B8" s="6">
        <f t="shared" si="3"/>
        <v>43625170</v>
      </c>
      <c r="C8" s="6">
        <v>43634220</v>
      </c>
      <c r="D8" s="63">
        <f t="shared" si="4"/>
        <v>9050</v>
      </c>
      <c r="F8" s="121"/>
      <c r="G8" s="121"/>
      <c r="I8" s="125">
        <f t="shared" si="0"/>
        <v>45.25</v>
      </c>
      <c r="K8" s="8">
        <f t="shared" si="1"/>
        <v>24254</v>
      </c>
      <c r="L8" s="8">
        <f t="shared" si="2"/>
        <v>24.254000000000001</v>
      </c>
    </row>
    <row r="9" spans="1:12" x14ac:dyDescent="0.2">
      <c r="A9" s="127">
        <v>5</v>
      </c>
      <c r="B9" s="6">
        <f t="shared" si="3"/>
        <v>43634220</v>
      </c>
      <c r="C9" s="6">
        <v>43643220</v>
      </c>
      <c r="D9" s="63">
        <f t="shared" si="4"/>
        <v>9000</v>
      </c>
      <c r="F9" s="121"/>
      <c r="G9" s="121"/>
      <c r="I9" s="125">
        <f t="shared" si="0"/>
        <v>45</v>
      </c>
      <c r="K9" s="8">
        <f t="shared" si="1"/>
        <v>24120</v>
      </c>
      <c r="L9" s="8">
        <f t="shared" si="2"/>
        <v>24.12</v>
      </c>
    </row>
    <row r="10" spans="1:12" x14ac:dyDescent="0.2">
      <c r="A10" s="127">
        <v>6</v>
      </c>
      <c r="B10" s="6">
        <f t="shared" si="3"/>
        <v>43643220</v>
      </c>
      <c r="C10" s="6">
        <v>43652080</v>
      </c>
      <c r="D10" s="63">
        <f t="shared" si="4"/>
        <v>8860</v>
      </c>
      <c r="F10" s="121"/>
      <c r="G10" s="121"/>
      <c r="I10" s="125">
        <f t="shared" si="0"/>
        <v>44.3</v>
      </c>
      <c r="K10" s="8">
        <f t="shared" si="1"/>
        <v>23744.800000000003</v>
      </c>
      <c r="L10" s="8">
        <f t="shared" si="2"/>
        <v>23.744800000000001</v>
      </c>
    </row>
    <row r="11" spans="1:12" x14ac:dyDescent="0.2">
      <c r="A11" s="127">
        <v>7</v>
      </c>
      <c r="B11" s="6">
        <f t="shared" si="3"/>
        <v>43652080</v>
      </c>
      <c r="C11" s="6">
        <v>43661020</v>
      </c>
      <c r="D11" s="63">
        <f t="shared" si="4"/>
        <v>8940</v>
      </c>
      <c r="F11" s="121"/>
      <c r="G11" s="121"/>
      <c r="I11" s="125">
        <f t="shared" si="0"/>
        <v>44.7</v>
      </c>
      <c r="K11" s="8">
        <f t="shared" si="1"/>
        <v>23959.200000000001</v>
      </c>
      <c r="L11" s="8">
        <f t="shared" si="2"/>
        <v>23.959199999999999</v>
      </c>
    </row>
    <row r="12" spans="1:12" x14ac:dyDescent="0.2">
      <c r="A12" s="127">
        <v>8</v>
      </c>
      <c r="B12" s="6">
        <f t="shared" si="3"/>
        <v>43661020</v>
      </c>
      <c r="C12" s="6">
        <v>43669970</v>
      </c>
      <c r="D12" s="63">
        <f t="shared" si="4"/>
        <v>8950</v>
      </c>
      <c r="F12" s="121"/>
      <c r="G12" s="121"/>
      <c r="I12" s="125">
        <f t="shared" si="0"/>
        <v>44.75</v>
      </c>
      <c r="K12" s="8">
        <f t="shared" si="1"/>
        <v>23986</v>
      </c>
      <c r="L12" s="8">
        <f t="shared" si="2"/>
        <v>23.986000000000001</v>
      </c>
    </row>
    <row r="13" spans="1:12" x14ac:dyDescent="0.2">
      <c r="A13" s="127">
        <v>9</v>
      </c>
      <c r="B13" s="6">
        <f t="shared" si="3"/>
        <v>43669970</v>
      </c>
      <c r="C13" s="6">
        <v>43678670</v>
      </c>
      <c r="D13" s="63">
        <f t="shared" si="4"/>
        <v>8700</v>
      </c>
      <c r="F13" s="121"/>
      <c r="G13" s="121"/>
      <c r="I13" s="125">
        <f t="shared" si="0"/>
        <v>43.5</v>
      </c>
      <c r="K13" s="8">
        <f t="shared" si="1"/>
        <v>23316</v>
      </c>
      <c r="L13" s="8">
        <f t="shared" si="2"/>
        <v>23.315999999999999</v>
      </c>
    </row>
    <row r="14" spans="1:12" x14ac:dyDescent="0.2">
      <c r="A14" s="127">
        <v>10</v>
      </c>
      <c r="B14" s="6">
        <f t="shared" si="3"/>
        <v>43678670</v>
      </c>
      <c r="C14" s="6">
        <v>43687020</v>
      </c>
      <c r="D14" s="63">
        <f t="shared" si="4"/>
        <v>8350</v>
      </c>
      <c r="F14" s="121"/>
      <c r="G14" s="121"/>
      <c r="I14" s="125">
        <f t="shared" si="0"/>
        <v>41.75</v>
      </c>
      <c r="K14" s="8">
        <f t="shared" si="1"/>
        <v>22378</v>
      </c>
      <c r="L14" s="8">
        <f t="shared" si="2"/>
        <v>22.378</v>
      </c>
    </row>
    <row r="15" spans="1:12" x14ac:dyDescent="0.2">
      <c r="A15" s="127">
        <v>11</v>
      </c>
      <c r="B15" s="6">
        <f t="shared" si="3"/>
        <v>43687020</v>
      </c>
      <c r="C15" s="6">
        <v>43695650</v>
      </c>
      <c r="D15" s="63">
        <f t="shared" si="4"/>
        <v>8630</v>
      </c>
      <c r="F15" s="121"/>
      <c r="G15" s="121"/>
      <c r="I15" s="125">
        <f t="shared" si="0"/>
        <v>43.15</v>
      </c>
      <c r="K15" s="8">
        <f t="shared" si="1"/>
        <v>23128.400000000001</v>
      </c>
      <c r="L15" s="8">
        <f t="shared" si="2"/>
        <v>23.128400000000003</v>
      </c>
    </row>
    <row r="16" spans="1:12" x14ac:dyDescent="0.2">
      <c r="A16" s="127">
        <v>12</v>
      </c>
      <c r="B16" s="6">
        <f t="shared" si="3"/>
        <v>43695650</v>
      </c>
      <c r="C16" s="6"/>
      <c r="D16" s="63">
        <f t="shared" si="4"/>
        <v>-43695650</v>
      </c>
      <c r="F16" s="121"/>
      <c r="G16" s="121"/>
      <c r="I16" s="125">
        <f t="shared" si="0"/>
        <v>-218478.25</v>
      </c>
      <c r="K16" s="8">
        <f t="shared" si="1"/>
        <v>-117104342</v>
      </c>
      <c r="L16" s="8">
        <f t="shared" si="2"/>
        <v>-117104.342</v>
      </c>
    </row>
    <row r="17" spans="1:12" x14ac:dyDescent="0.2">
      <c r="A17" s="127">
        <v>13</v>
      </c>
      <c r="B17" s="6">
        <f t="shared" si="3"/>
        <v>0</v>
      </c>
      <c r="C17" s="6"/>
      <c r="D17" s="63">
        <f t="shared" si="4"/>
        <v>0</v>
      </c>
      <c r="F17" s="121"/>
      <c r="G17" s="121"/>
      <c r="I17" s="125">
        <f t="shared" si="0"/>
        <v>0</v>
      </c>
      <c r="K17" s="8">
        <f t="shared" si="1"/>
        <v>0</v>
      </c>
      <c r="L17" s="8">
        <f t="shared" si="2"/>
        <v>0</v>
      </c>
    </row>
    <row r="18" spans="1:12" x14ac:dyDescent="0.2">
      <c r="A18" s="127">
        <v>14</v>
      </c>
      <c r="B18" s="6">
        <f t="shared" si="3"/>
        <v>0</v>
      </c>
      <c r="C18" s="6"/>
      <c r="D18" s="63">
        <f t="shared" si="4"/>
        <v>0</v>
      </c>
      <c r="F18" s="121"/>
      <c r="G18" s="121"/>
      <c r="I18" s="125">
        <f t="shared" si="0"/>
        <v>0</v>
      </c>
      <c r="K18" s="8">
        <f t="shared" si="1"/>
        <v>0</v>
      </c>
      <c r="L18" s="8">
        <f t="shared" si="2"/>
        <v>0</v>
      </c>
    </row>
    <row r="19" spans="1:12" x14ac:dyDescent="0.2">
      <c r="A19" s="127">
        <v>15</v>
      </c>
      <c r="B19" s="6">
        <f t="shared" si="3"/>
        <v>0</v>
      </c>
      <c r="C19" s="6"/>
      <c r="D19" s="63">
        <f t="shared" si="4"/>
        <v>0</v>
      </c>
      <c r="F19" s="121"/>
      <c r="G19" s="121"/>
      <c r="I19" s="125">
        <f t="shared" si="0"/>
        <v>0</v>
      </c>
      <c r="K19" s="8">
        <f t="shared" si="1"/>
        <v>0</v>
      </c>
      <c r="L19" s="8">
        <f t="shared" si="2"/>
        <v>0</v>
      </c>
    </row>
    <row r="20" spans="1:12" x14ac:dyDescent="0.2">
      <c r="A20" s="127">
        <v>16</v>
      </c>
      <c r="B20" s="6">
        <f t="shared" si="3"/>
        <v>0</v>
      </c>
      <c r="C20" s="6"/>
      <c r="D20" s="63">
        <f t="shared" si="4"/>
        <v>0</v>
      </c>
      <c r="F20" s="121"/>
      <c r="G20" s="121"/>
      <c r="I20" s="125">
        <f t="shared" si="0"/>
        <v>0</v>
      </c>
      <c r="K20" s="8">
        <f t="shared" si="1"/>
        <v>0</v>
      </c>
      <c r="L20" s="8">
        <f t="shared" si="2"/>
        <v>0</v>
      </c>
    </row>
    <row r="21" spans="1:12" x14ac:dyDescent="0.2">
      <c r="A21" s="127">
        <v>17</v>
      </c>
      <c r="B21" s="6">
        <f t="shared" si="3"/>
        <v>0</v>
      </c>
      <c r="C21" s="6"/>
      <c r="D21" s="63">
        <f t="shared" si="4"/>
        <v>0</v>
      </c>
      <c r="F21" s="121"/>
      <c r="G21" s="121"/>
      <c r="I21" s="125">
        <f t="shared" si="0"/>
        <v>0</v>
      </c>
      <c r="K21" s="8">
        <f t="shared" si="1"/>
        <v>0</v>
      </c>
      <c r="L21" s="8">
        <f t="shared" si="2"/>
        <v>0</v>
      </c>
    </row>
    <row r="22" spans="1:12" x14ac:dyDescent="0.2">
      <c r="A22" s="127">
        <v>18</v>
      </c>
      <c r="B22" s="6">
        <f t="shared" si="3"/>
        <v>0</v>
      </c>
      <c r="C22" s="6"/>
      <c r="D22" s="63">
        <f t="shared" si="4"/>
        <v>0</v>
      </c>
      <c r="F22" s="121"/>
      <c r="G22" s="121"/>
      <c r="I22" s="125">
        <f t="shared" si="0"/>
        <v>0</v>
      </c>
      <c r="K22" s="8">
        <f t="shared" si="1"/>
        <v>0</v>
      </c>
      <c r="L22" s="8">
        <f t="shared" si="2"/>
        <v>0</v>
      </c>
    </row>
    <row r="23" spans="1:12" x14ac:dyDescent="0.2">
      <c r="A23" s="127">
        <v>19</v>
      </c>
      <c r="B23" s="6">
        <f t="shared" si="3"/>
        <v>0</v>
      </c>
      <c r="C23" s="6"/>
      <c r="D23" s="63">
        <f t="shared" si="4"/>
        <v>0</v>
      </c>
      <c r="F23" s="121"/>
      <c r="G23" s="121"/>
      <c r="I23" s="125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27">
        <v>20</v>
      </c>
      <c r="B24" s="6">
        <f t="shared" si="3"/>
        <v>0</v>
      </c>
      <c r="C24" s="6"/>
      <c r="D24" s="63">
        <f t="shared" si="4"/>
        <v>0</v>
      </c>
      <c r="F24" s="121"/>
      <c r="G24" s="121"/>
      <c r="I24" s="125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27">
        <v>21</v>
      </c>
      <c r="B25" s="6">
        <f t="shared" si="3"/>
        <v>0</v>
      </c>
      <c r="C25" s="6"/>
      <c r="D25" s="63">
        <f t="shared" si="4"/>
        <v>0</v>
      </c>
      <c r="F25" s="121"/>
      <c r="G25" s="121"/>
      <c r="I25" s="125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27">
        <v>22</v>
      </c>
      <c r="B26" s="6">
        <f t="shared" si="3"/>
        <v>0</v>
      </c>
      <c r="C26" s="6"/>
      <c r="D26" s="63">
        <f t="shared" si="4"/>
        <v>0</v>
      </c>
      <c r="F26" s="121"/>
      <c r="G26" s="121"/>
      <c r="I26" s="125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27">
        <v>23</v>
      </c>
      <c r="B27" s="6">
        <f t="shared" si="3"/>
        <v>0</v>
      </c>
      <c r="C27" s="6"/>
      <c r="D27" s="63">
        <f t="shared" si="4"/>
        <v>0</v>
      </c>
      <c r="F27" s="121"/>
      <c r="G27" s="121"/>
      <c r="I27" s="125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27">
        <v>24</v>
      </c>
      <c r="B28" s="6">
        <f t="shared" si="3"/>
        <v>0</v>
      </c>
      <c r="C28" s="6"/>
      <c r="D28" s="63">
        <f t="shared" si="4"/>
        <v>0</v>
      </c>
      <c r="F28" s="121"/>
      <c r="G28" s="121"/>
      <c r="I28" s="125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27">
        <v>25</v>
      </c>
      <c r="B29" s="6">
        <f t="shared" si="3"/>
        <v>0</v>
      </c>
      <c r="C29" s="6"/>
      <c r="D29" s="114">
        <f t="shared" si="4"/>
        <v>0</v>
      </c>
      <c r="E29" s="110"/>
      <c r="F29" s="122"/>
      <c r="G29" s="121"/>
      <c r="I29" s="125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27">
        <v>26</v>
      </c>
      <c r="B30" s="6">
        <f t="shared" si="3"/>
        <v>0</v>
      </c>
      <c r="C30" s="6"/>
      <c r="D30" s="63">
        <f t="shared" si="4"/>
        <v>0</v>
      </c>
      <c r="F30" s="121"/>
      <c r="G30" s="121"/>
      <c r="I30" s="125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27">
        <v>27</v>
      </c>
      <c r="B31" s="6">
        <f t="shared" si="3"/>
        <v>0</v>
      </c>
      <c r="C31" s="6"/>
      <c r="D31" s="63">
        <f t="shared" si="4"/>
        <v>0</v>
      </c>
      <c r="F31" s="121"/>
      <c r="G31" s="121"/>
      <c r="I31" s="125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27">
        <v>28</v>
      </c>
      <c r="B32" s="6">
        <f t="shared" si="3"/>
        <v>0</v>
      </c>
      <c r="C32" s="6"/>
      <c r="D32" s="63">
        <f>C32-B32</f>
        <v>0</v>
      </c>
      <c r="F32" s="121"/>
      <c r="G32" s="121"/>
      <c r="I32" s="125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27">
        <v>29</v>
      </c>
      <c r="B33" s="6">
        <f t="shared" si="3"/>
        <v>0</v>
      </c>
      <c r="C33" s="6"/>
      <c r="D33" s="63">
        <f t="shared" ref="D33:D35" si="5">C33-B33</f>
        <v>0</v>
      </c>
      <c r="F33" s="121"/>
      <c r="G33" s="121"/>
      <c r="I33" s="125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27">
        <v>30</v>
      </c>
      <c r="B34" s="6">
        <f t="shared" si="3"/>
        <v>0</v>
      </c>
      <c r="C34" s="6"/>
      <c r="D34" s="63">
        <f t="shared" si="5"/>
        <v>0</v>
      </c>
      <c r="F34" s="121">
        <v>0</v>
      </c>
      <c r="G34" s="121"/>
      <c r="I34" s="125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27">
        <v>31</v>
      </c>
      <c r="B35" s="6">
        <f t="shared" si="3"/>
        <v>0</v>
      </c>
      <c r="C35" s="6"/>
      <c r="D35" s="63">
        <f t="shared" si="5"/>
        <v>0</v>
      </c>
      <c r="F35" s="145"/>
      <c r="G35" s="145"/>
      <c r="I35" s="125"/>
      <c r="K35" s="8"/>
      <c r="L35" s="8"/>
    </row>
    <row r="36" spans="1:12" ht="13.5" thickBot="1" x14ac:dyDescent="0.25">
      <c r="D36" s="64">
        <f>SUM(D5:D34)</f>
        <v>-43598170</v>
      </c>
      <c r="F36" s="123"/>
      <c r="G36" s="123"/>
      <c r="I36" s="125">
        <f>SUM(I5:I34)</f>
        <v>-217990.85</v>
      </c>
      <c r="K36" s="8">
        <f t="shared" si="1"/>
        <v>-116843095.60000001</v>
      </c>
      <c r="L36" s="8">
        <f t="shared" si="2"/>
        <v>-116843.09560000002</v>
      </c>
    </row>
    <row r="37" spans="1:12" ht="13.5" thickTop="1" x14ac:dyDescent="0.2"/>
  </sheetData>
  <mergeCells count="3">
    <mergeCell ref="F3:G3"/>
    <mergeCell ref="K4:L4"/>
    <mergeCell ref="A1:D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G18" sqref="G18"/>
    </sheetView>
  </sheetViews>
  <sheetFormatPr defaultRowHeight="12.75" x14ac:dyDescent="0.2"/>
  <cols>
    <col min="1" max="1" width="5.28515625" style="162" customWidth="1"/>
    <col min="2" max="2" width="12.7109375" customWidth="1"/>
    <col min="3" max="3" width="9.85546875" customWidth="1"/>
    <col min="4" max="4" width="16.140625" style="2" customWidth="1"/>
    <col min="5" max="5" width="16.28515625" style="273" customWidth="1"/>
    <col min="10" max="10" width="12" bestFit="1" customWidth="1"/>
  </cols>
  <sheetData>
    <row r="1" spans="1:11" x14ac:dyDescent="0.2">
      <c r="B1" s="18"/>
      <c r="C1" s="287"/>
      <c r="D1" s="287"/>
    </row>
    <row r="2" spans="1:11" x14ac:dyDescent="0.2">
      <c r="B2" s="18"/>
      <c r="C2" s="287"/>
      <c r="D2" s="287"/>
    </row>
    <row r="3" spans="1:11" ht="20.25" x14ac:dyDescent="0.2">
      <c r="B3" s="19"/>
      <c r="C3" s="66" t="s">
        <v>43</v>
      </c>
      <c r="D3" s="67"/>
    </row>
    <row r="4" spans="1:11" ht="20.25" x14ac:dyDescent="0.2">
      <c r="B4" s="18"/>
      <c r="C4" s="68"/>
      <c r="D4" s="67"/>
    </row>
    <row r="5" spans="1:11" ht="20.25" x14ac:dyDescent="0.2">
      <c r="A5" s="161"/>
      <c r="B5" s="85">
        <v>44256</v>
      </c>
      <c r="C5" s="68"/>
      <c r="D5" s="67"/>
    </row>
    <row r="6" spans="1:11" x14ac:dyDescent="0.2">
      <c r="B6" s="18"/>
      <c r="C6" s="18"/>
      <c r="D6" s="69"/>
    </row>
    <row r="7" spans="1:11" ht="13.5" thickBot="1" x14ac:dyDescent="0.25">
      <c r="B7" s="296" t="s">
        <v>44</v>
      </c>
      <c r="C7" s="297"/>
      <c r="D7" s="297"/>
      <c r="E7" s="297"/>
    </row>
    <row r="8" spans="1:11" ht="38.25" x14ac:dyDescent="0.2">
      <c r="A8" s="163" t="s">
        <v>5</v>
      </c>
      <c r="B8" s="128" t="s">
        <v>19</v>
      </c>
      <c r="C8" s="43" t="s">
        <v>20</v>
      </c>
      <c r="D8" s="70" t="s">
        <v>29</v>
      </c>
      <c r="E8" s="274" t="s">
        <v>140</v>
      </c>
    </row>
    <row r="9" spans="1:11" x14ac:dyDescent="0.2">
      <c r="A9" s="164">
        <v>1</v>
      </c>
      <c r="B9" s="33">
        <v>2503023</v>
      </c>
      <c r="C9" s="33">
        <v>2505815</v>
      </c>
      <c r="D9" s="71">
        <f t="shared" ref="D9:D39" si="0">C9-B9</f>
        <v>2792</v>
      </c>
      <c r="E9" s="62" t="s">
        <v>143</v>
      </c>
    </row>
    <row r="10" spans="1:11" x14ac:dyDescent="0.2">
      <c r="A10" s="73">
        <v>2</v>
      </c>
      <c r="B10" s="33">
        <f>C9</f>
        <v>2505815</v>
      </c>
      <c r="C10" s="33">
        <v>2508223</v>
      </c>
      <c r="D10" s="71">
        <f t="shared" si="0"/>
        <v>2408</v>
      </c>
      <c r="E10" s="62" t="s">
        <v>143</v>
      </c>
    </row>
    <row r="11" spans="1:11" x14ac:dyDescent="0.2">
      <c r="A11" s="162">
        <v>3</v>
      </c>
      <c r="B11" s="33">
        <f t="shared" ref="B11:B39" si="1">C10</f>
        <v>2508223</v>
      </c>
      <c r="C11" s="33">
        <v>2511353</v>
      </c>
      <c r="D11" s="71">
        <f t="shared" si="0"/>
        <v>3130</v>
      </c>
      <c r="E11" s="62" t="s">
        <v>144</v>
      </c>
    </row>
    <row r="12" spans="1:11" x14ac:dyDescent="0.2">
      <c r="A12" s="73">
        <v>4</v>
      </c>
      <c r="B12" s="33">
        <f t="shared" si="1"/>
        <v>2511353</v>
      </c>
      <c r="C12" s="33">
        <v>2514475</v>
      </c>
      <c r="D12" s="71">
        <f t="shared" si="0"/>
        <v>3122</v>
      </c>
      <c r="E12" s="62" t="s">
        <v>144</v>
      </c>
    </row>
    <row r="13" spans="1:11" x14ac:dyDescent="0.2">
      <c r="A13" s="162">
        <v>5</v>
      </c>
      <c r="B13" s="33">
        <f t="shared" si="1"/>
        <v>2514475</v>
      </c>
      <c r="C13" s="33">
        <v>2517566</v>
      </c>
      <c r="D13" s="71">
        <f t="shared" si="0"/>
        <v>3091</v>
      </c>
      <c r="E13" s="62" t="s">
        <v>144</v>
      </c>
      <c r="J13" t="s">
        <v>67</v>
      </c>
      <c r="K13" t="s">
        <v>66</v>
      </c>
    </row>
    <row r="14" spans="1:11" x14ac:dyDescent="0.2">
      <c r="A14" s="73">
        <v>6</v>
      </c>
      <c r="B14" s="33">
        <f t="shared" si="1"/>
        <v>2517566</v>
      </c>
      <c r="C14" s="33">
        <v>2520727</v>
      </c>
      <c r="D14" s="71">
        <f t="shared" si="0"/>
        <v>3161</v>
      </c>
      <c r="E14" s="62" t="s">
        <v>144</v>
      </c>
      <c r="J14" s="124" t="s">
        <v>68</v>
      </c>
      <c r="K14" t="s">
        <v>69</v>
      </c>
    </row>
    <row r="15" spans="1:11" x14ac:dyDescent="0.2">
      <c r="A15" s="162">
        <v>7</v>
      </c>
      <c r="B15" s="33">
        <f t="shared" si="1"/>
        <v>2520727</v>
      </c>
      <c r="C15" s="33">
        <v>2523831</v>
      </c>
      <c r="D15" s="71">
        <f t="shared" si="0"/>
        <v>3104</v>
      </c>
      <c r="E15" s="275" t="s">
        <v>144</v>
      </c>
    </row>
    <row r="16" spans="1:11" x14ac:dyDescent="0.2">
      <c r="A16" s="73">
        <v>8</v>
      </c>
      <c r="B16" s="33">
        <f t="shared" si="1"/>
        <v>2523831</v>
      </c>
      <c r="C16" s="33">
        <v>2527019</v>
      </c>
      <c r="D16" s="71">
        <f t="shared" si="0"/>
        <v>3188</v>
      </c>
      <c r="E16" s="275" t="s">
        <v>144</v>
      </c>
    </row>
    <row r="17" spans="1:5" x14ac:dyDescent="0.2">
      <c r="A17" s="162">
        <v>9</v>
      </c>
      <c r="B17" s="33">
        <f t="shared" si="1"/>
        <v>2527019</v>
      </c>
      <c r="C17" s="33">
        <v>2529882</v>
      </c>
      <c r="D17" s="71">
        <f t="shared" si="0"/>
        <v>2863</v>
      </c>
      <c r="E17" s="275" t="s">
        <v>144</v>
      </c>
    </row>
    <row r="18" spans="1:5" x14ac:dyDescent="0.2">
      <c r="A18" s="73">
        <v>10</v>
      </c>
      <c r="B18" s="33">
        <f t="shared" si="1"/>
        <v>2529882</v>
      </c>
      <c r="C18" s="33">
        <v>2533168</v>
      </c>
      <c r="D18" s="71">
        <f t="shared" si="0"/>
        <v>3286</v>
      </c>
      <c r="E18" s="275" t="s">
        <v>144</v>
      </c>
    </row>
    <row r="19" spans="1:5" x14ac:dyDescent="0.2">
      <c r="A19" s="162">
        <v>11</v>
      </c>
      <c r="B19" s="33">
        <f t="shared" si="1"/>
        <v>2533168</v>
      </c>
      <c r="C19" s="33">
        <v>2536509</v>
      </c>
      <c r="D19" s="71">
        <f t="shared" si="0"/>
        <v>3341</v>
      </c>
      <c r="E19" s="275" t="s">
        <v>144</v>
      </c>
    </row>
    <row r="20" spans="1:5" x14ac:dyDescent="0.2">
      <c r="A20" s="73">
        <v>12</v>
      </c>
      <c r="B20" s="33">
        <f t="shared" si="1"/>
        <v>2536509</v>
      </c>
      <c r="C20" s="33"/>
      <c r="D20" s="71">
        <f t="shared" si="0"/>
        <v>-2536509</v>
      </c>
      <c r="E20" s="275"/>
    </row>
    <row r="21" spans="1:5" x14ac:dyDescent="0.2">
      <c r="A21" s="162">
        <v>13</v>
      </c>
      <c r="B21" s="33">
        <f t="shared" si="1"/>
        <v>0</v>
      </c>
      <c r="C21" s="33"/>
      <c r="D21" s="71">
        <f t="shared" si="0"/>
        <v>0</v>
      </c>
      <c r="E21" s="275"/>
    </row>
    <row r="22" spans="1:5" x14ac:dyDescent="0.2">
      <c r="A22" s="73">
        <v>14</v>
      </c>
      <c r="B22" s="33">
        <f t="shared" si="1"/>
        <v>0</v>
      </c>
      <c r="C22" s="33"/>
      <c r="D22" s="71">
        <f t="shared" si="0"/>
        <v>0</v>
      </c>
      <c r="E22" s="275"/>
    </row>
    <row r="23" spans="1:5" x14ac:dyDescent="0.2">
      <c r="A23" s="162">
        <v>15</v>
      </c>
      <c r="B23" s="33">
        <f t="shared" si="1"/>
        <v>0</v>
      </c>
      <c r="C23" s="33"/>
      <c r="D23" s="71">
        <f t="shared" si="0"/>
        <v>0</v>
      </c>
      <c r="E23" s="275"/>
    </row>
    <row r="24" spans="1:5" x14ac:dyDescent="0.2">
      <c r="A24" s="73">
        <v>16</v>
      </c>
      <c r="B24" s="33">
        <f t="shared" si="1"/>
        <v>0</v>
      </c>
      <c r="C24" s="33"/>
      <c r="D24" s="71">
        <f t="shared" si="0"/>
        <v>0</v>
      </c>
      <c r="E24" s="62"/>
    </row>
    <row r="25" spans="1:5" x14ac:dyDescent="0.2">
      <c r="A25" s="162">
        <v>17</v>
      </c>
      <c r="B25" s="33">
        <f t="shared" si="1"/>
        <v>0</v>
      </c>
      <c r="C25" s="33"/>
      <c r="D25" s="71">
        <f t="shared" si="0"/>
        <v>0</v>
      </c>
      <c r="E25" s="62"/>
    </row>
    <row r="26" spans="1:5" x14ac:dyDescent="0.2">
      <c r="A26" s="73">
        <v>18</v>
      </c>
      <c r="B26" s="33">
        <f t="shared" si="1"/>
        <v>0</v>
      </c>
      <c r="C26" s="33"/>
      <c r="D26" s="71">
        <f t="shared" si="0"/>
        <v>0</v>
      </c>
      <c r="E26" s="62"/>
    </row>
    <row r="27" spans="1:5" x14ac:dyDescent="0.2">
      <c r="A27" s="162">
        <v>19</v>
      </c>
      <c r="B27" s="33">
        <f t="shared" si="1"/>
        <v>0</v>
      </c>
      <c r="C27" s="33"/>
      <c r="D27" s="71">
        <f t="shared" si="0"/>
        <v>0</v>
      </c>
      <c r="E27" s="62"/>
    </row>
    <row r="28" spans="1:5" x14ac:dyDescent="0.2">
      <c r="A28" s="73">
        <v>20</v>
      </c>
      <c r="B28" s="33">
        <f t="shared" si="1"/>
        <v>0</v>
      </c>
      <c r="C28" s="33"/>
      <c r="D28" s="71">
        <f t="shared" si="0"/>
        <v>0</v>
      </c>
      <c r="E28" s="275"/>
    </row>
    <row r="29" spans="1:5" x14ac:dyDescent="0.2">
      <c r="A29" s="162">
        <v>21</v>
      </c>
      <c r="B29" s="33">
        <f t="shared" si="1"/>
        <v>0</v>
      </c>
      <c r="C29" s="33"/>
      <c r="D29" s="71">
        <f t="shared" si="0"/>
        <v>0</v>
      </c>
      <c r="E29" s="62"/>
    </row>
    <row r="30" spans="1:5" x14ac:dyDescent="0.2">
      <c r="A30" s="73">
        <v>22</v>
      </c>
      <c r="B30" s="33">
        <f t="shared" si="1"/>
        <v>0</v>
      </c>
      <c r="C30" s="33"/>
      <c r="D30" s="71">
        <f t="shared" si="0"/>
        <v>0</v>
      </c>
      <c r="E30" s="62"/>
    </row>
    <row r="31" spans="1:5" x14ac:dyDescent="0.2">
      <c r="A31" s="162">
        <v>23</v>
      </c>
      <c r="B31" s="33">
        <f t="shared" si="1"/>
        <v>0</v>
      </c>
      <c r="C31" s="33"/>
      <c r="D31" s="71">
        <f t="shared" si="0"/>
        <v>0</v>
      </c>
      <c r="E31" s="62"/>
    </row>
    <row r="32" spans="1:5" x14ac:dyDescent="0.2">
      <c r="A32" s="73">
        <v>24</v>
      </c>
      <c r="B32" s="33">
        <f t="shared" si="1"/>
        <v>0</v>
      </c>
      <c r="C32" s="119"/>
      <c r="D32" s="71">
        <f t="shared" si="0"/>
        <v>0</v>
      </c>
      <c r="E32" s="81"/>
    </row>
    <row r="33" spans="1:5" x14ac:dyDescent="0.2">
      <c r="A33" s="162">
        <v>25</v>
      </c>
      <c r="B33" s="33">
        <f t="shared" si="1"/>
        <v>0</v>
      </c>
      <c r="C33" s="33"/>
      <c r="D33" s="71">
        <f t="shared" si="0"/>
        <v>0</v>
      </c>
      <c r="E33" s="86"/>
    </row>
    <row r="34" spans="1:5" x14ac:dyDescent="0.2">
      <c r="A34" s="73">
        <v>26</v>
      </c>
      <c r="B34" s="33">
        <f t="shared" si="1"/>
        <v>0</v>
      </c>
      <c r="C34" s="33"/>
      <c r="D34" s="71">
        <f t="shared" si="0"/>
        <v>0</v>
      </c>
      <c r="E34" s="81"/>
    </row>
    <row r="35" spans="1:5" x14ac:dyDescent="0.2">
      <c r="A35" s="162">
        <v>27</v>
      </c>
      <c r="B35" s="33">
        <f t="shared" si="1"/>
        <v>0</v>
      </c>
      <c r="C35" s="33"/>
      <c r="D35" s="71">
        <f t="shared" si="0"/>
        <v>0</v>
      </c>
      <c r="E35" s="275"/>
    </row>
    <row r="36" spans="1:5" x14ac:dyDescent="0.2">
      <c r="A36" s="73">
        <v>28</v>
      </c>
      <c r="B36" s="33">
        <f t="shared" si="1"/>
        <v>0</v>
      </c>
      <c r="C36" s="276"/>
      <c r="D36" s="71">
        <f t="shared" si="0"/>
        <v>0</v>
      </c>
      <c r="E36" s="275"/>
    </row>
    <row r="37" spans="1:5" x14ac:dyDescent="0.2">
      <c r="A37" s="73">
        <v>29</v>
      </c>
      <c r="B37" s="33">
        <f t="shared" si="1"/>
        <v>0</v>
      </c>
      <c r="C37" s="33"/>
      <c r="D37" s="71">
        <f t="shared" si="0"/>
        <v>0</v>
      </c>
      <c r="E37" s="275"/>
    </row>
    <row r="38" spans="1:5" x14ac:dyDescent="0.2">
      <c r="A38" s="73">
        <v>30</v>
      </c>
      <c r="B38" s="33">
        <f t="shared" si="1"/>
        <v>0</v>
      </c>
      <c r="C38" s="33"/>
      <c r="D38" s="71">
        <f t="shared" si="0"/>
        <v>0</v>
      </c>
      <c r="E38" s="275"/>
    </row>
    <row r="39" spans="1:5" x14ac:dyDescent="0.2">
      <c r="A39" s="73">
        <v>31</v>
      </c>
      <c r="B39" s="33">
        <f t="shared" si="1"/>
        <v>0</v>
      </c>
      <c r="C39" s="33"/>
      <c r="D39" s="71">
        <f t="shared" si="0"/>
        <v>0</v>
      </c>
      <c r="E39" s="275"/>
    </row>
    <row r="40" spans="1:5" ht="13.5" thickBot="1" x14ac:dyDescent="0.25">
      <c r="A40" s="162" t="s">
        <v>7</v>
      </c>
      <c r="B40" s="18"/>
      <c r="C40" s="18"/>
      <c r="D40" s="72">
        <f>SUM(D9:D39)</f>
        <v>-2503023</v>
      </c>
    </row>
    <row r="41" spans="1:5" ht="13.5" thickTop="1" x14ac:dyDescent="0.2"/>
  </sheetData>
  <mergeCells count="2">
    <mergeCell ref="C1:D2"/>
    <mergeCell ref="B7:E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37"/>
  <sheetViews>
    <sheetView zoomScale="85" zoomScaleNormal="85" workbookViewId="0">
      <pane xSplit="3" ySplit="4" topLeftCell="AO5" activePane="bottomRight" state="frozen"/>
      <selection pane="topRight" activeCell="D1" sqref="D1"/>
      <selection pane="bottomLeft" activeCell="A9" sqref="A9"/>
      <selection pane="bottomRight" activeCell="BF15" sqref="BF15"/>
    </sheetView>
  </sheetViews>
  <sheetFormatPr defaultRowHeight="12.75" x14ac:dyDescent="0.2"/>
  <cols>
    <col min="1" max="1" width="5" customWidth="1"/>
    <col min="2" max="3" width="11.7109375" style="18" customWidth="1"/>
    <col min="4" max="4" width="14.28515625" style="18" customWidth="1"/>
    <col min="5" max="6" width="11.7109375" style="18" customWidth="1"/>
    <col min="7" max="7" width="12.28515625" style="18" bestFit="1" customWidth="1"/>
    <col min="8" max="8" width="11.7109375" style="18" customWidth="1"/>
    <col min="9" max="9" width="11.7109375" customWidth="1"/>
    <col min="10" max="10" width="12.28515625" bestFit="1" customWidth="1"/>
    <col min="11" max="11" width="10.28515625" style="18" bestFit="1" customWidth="1"/>
    <col min="12" max="12" width="11.28515625" customWidth="1"/>
    <col min="13" max="13" width="11.28515625" bestFit="1" customWidth="1"/>
    <col min="14" max="14" width="10.28515625" style="18" customWidth="1"/>
    <col min="15" max="15" width="11.42578125" customWidth="1"/>
    <col min="16" max="16" width="11.28515625" bestFit="1" customWidth="1"/>
    <col min="17" max="17" width="10.28515625" style="18" bestFit="1" customWidth="1"/>
    <col min="18" max="18" width="11.140625" bestFit="1" customWidth="1"/>
    <col min="19" max="19" width="11.7109375" bestFit="1" customWidth="1"/>
    <col min="20" max="20" width="9" style="18" customWidth="1"/>
    <col min="21" max="21" width="9" customWidth="1"/>
    <col min="22" max="22" width="10.7109375" bestFit="1" customWidth="1"/>
    <col min="23" max="23" width="9" style="18" customWidth="1"/>
    <col min="24" max="24" width="9" customWidth="1"/>
    <col min="25" max="25" width="11.85546875" bestFit="1" customWidth="1"/>
    <col min="26" max="26" width="10.28515625" style="18" customWidth="1"/>
    <col min="27" max="27" width="9" customWidth="1"/>
    <col min="28" max="28" width="11.28515625" bestFit="1" customWidth="1"/>
    <col min="29" max="29" width="9" style="18" customWidth="1"/>
    <col min="30" max="30" width="9" customWidth="1"/>
    <col min="31" max="31" width="10.28515625" customWidth="1"/>
    <col min="32" max="32" width="9" style="18" customWidth="1"/>
    <col min="33" max="33" width="9" customWidth="1"/>
    <col min="34" max="34" width="10.140625" customWidth="1"/>
    <col min="35" max="35" width="9" style="18" customWidth="1"/>
    <col min="36" max="36" width="9" customWidth="1"/>
    <col min="37" max="37" width="10.7109375" bestFit="1" customWidth="1"/>
    <col min="38" max="38" width="9" style="18" customWidth="1"/>
    <col min="39" max="39" width="9" customWidth="1"/>
    <col min="40" max="40" width="10.7109375" bestFit="1" customWidth="1"/>
    <col min="41" max="41" width="9.85546875" style="18" bestFit="1" customWidth="1"/>
    <col min="42" max="42" width="9" customWidth="1"/>
    <col min="43" max="43" width="10.7109375" bestFit="1" customWidth="1"/>
    <col min="44" max="44" width="9.85546875" style="18" bestFit="1" customWidth="1"/>
    <col min="45" max="45" width="9" customWidth="1"/>
    <col min="46" max="46" width="11.85546875" bestFit="1" customWidth="1"/>
    <col min="47" max="47" width="9.85546875" style="18" bestFit="1" customWidth="1"/>
    <col min="48" max="48" width="9" customWidth="1"/>
    <col min="49" max="49" width="11.85546875" bestFit="1" customWidth="1"/>
    <col min="50" max="50" width="9.85546875" style="18" bestFit="1" customWidth="1"/>
    <col min="51" max="51" width="9" customWidth="1"/>
    <col min="52" max="52" width="11.85546875" bestFit="1" customWidth="1"/>
    <col min="53" max="53" width="9.85546875" style="18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s="1" customFormat="1" x14ac:dyDescent="0.2">
      <c r="A1" s="299">
        <v>44256</v>
      </c>
      <c r="B1" s="299"/>
      <c r="C1" s="298"/>
      <c r="D1" s="298"/>
      <c r="E1" s="298"/>
      <c r="F1" s="298"/>
      <c r="G1" s="24"/>
      <c r="H1" s="24"/>
      <c r="K1" s="24"/>
      <c r="N1" s="24"/>
      <c r="Q1" s="24"/>
      <c r="T1" s="24"/>
      <c r="W1" s="24"/>
      <c r="Z1" s="24"/>
      <c r="AC1" s="24"/>
      <c r="AF1" s="24"/>
      <c r="AI1" s="24"/>
      <c r="AL1" s="24"/>
      <c r="AO1" s="24"/>
      <c r="AR1" s="126"/>
      <c r="AU1" s="130"/>
      <c r="AX1" s="130"/>
      <c r="BA1" s="130"/>
    </row>
    <row r="2" spans="1:94" ht="13.5" thickBot="1" x14ac:dyDescent="0.25">
      <c r="A2" s="1" t="s">
        <v>45</v>
      </c>
    </row>
    <row r="3" spans="1:94" s="103" customFormat="1" ht="15.75" customHeight="1" x14ac:dyDescent="0.2">
      <c r="A3" s="104"/>
      <c r="B3" s="300" t="s">
        <v>46</v>
      </c>
      <c r="C3" s="300"/>
      <c r="D3" s="300"/>
      <c r="E3" s="301" t="s">
        <v>47</v>
      </c>
      <c r="F3" s="301"/>
      <c r="G3" s="301"/>
      <c r="H3" s="304" t="s">
        <v>48</v>
      </c>
      <c r="I3" s="304"/>
      <c r="J3" s="304"/>
      <c r="K3" s="302" t="s">
        <v>49</v>
      </c>
      <c r="L3" s="302"/>
      <c r="M3" s="303"/>
      <c r="N3" s="302" t="s">
        <v>50</v>
      </c>
      <c r="O3" s="302"/>
      <c r="P3" s="303"/>
      <c r="Q3" s="302" t="s">
        <v>51</v>
      </c>
      <c r="R3" s="302"/>
      <c r="S3" s="303"/>
      <c r="T3" s="302" t="s">
        <v>52</v>
      </c>
      <c r="U3" s="302"/>
      <c r="V3" s="303"/>
      <c r="W3" s="302" t="s">
        <v>91</v>
      </c>
      <c r="X3" s="302"/>
      <c r="Y3" s="303"/>
      <c r="Z3" s="302" t="s">
        <v>53</v>
      </c>
      <c r="AA3" s="302"/>
      <c r="AB3" s="303"/>
      <c r="AC3" s="302" t="s">
        <v>80</v>
      </c>
      <c r="AD3" s="302"/>
      <c r="AE3" s="303"/>
      <c r="AF3" s="302" t="s">
        <v>60</v>
      </c>
      <c r="AG3" s="302"/>
      <c r="AH3" s="303"/>
      <c r="AI3" s="302" t="s">
        <v>78</v>
      </c>
      <c r="AJ3" s="302"/>
      <c r="AK3" s="303"/>
      <c r="AL3" s="302" t="s">
        <v>59</v>
      </c>
      <c r="AM3" s="302"/>
      <c r="AN3" s="303"/>
      <c r="AO3" s="302" t="s">
        <v>79</v>
      </c>
      <c r="AP3" s="302"/>
      <c r="AQ3" s="303"/>
      <c r="AR3" s="307" t="s">
        <v>73</v>
      </c>
      <c r="AS3" s="308"/>
      <c r="AT3" s="309"/>
      <c r="AU3" s="307" t="s">
        <v>81</v>
      </c>
      <c r="AV3" s="308"/>
      <c r="AW3" s="309"/>
      <c r="AX3" s="307" t="s">
        <v>82</v>
      </c>
      <c r="AY3" s="308"/>
      <c r="AZ3" s="309"/>
      <c r="BA3" s="307" t="s">
        <v>83</v>
      </c>
      <c r="BB3" s="308"/>
      <c r="BC3" s="309"/>
      <c r="BD3" s="305" t="s">
        <v>74</v>
      </c>
      <c r="BE3" s="305"/>
      <c r="BF3" s="306"/>
      <c r="BG3" s="305" t="s">
        <v>61</v>
      </c>
      <c r="BH3" s="305"/>
      <c r="BI3" s="306"/>
      <c r="BJ3" s="305" t="s">
        <v>62</v>
      </c>
      <c r="BK3" s="305"/>
      <c r="BL3" s="306"/>
      <c r="BM3" s="305" t="s">
        <v>63</v>
      </c>
      <c r="BN3" s="305"/>
      <c r="BO3" s="306"/>
      <c r="BP3" s="305" t="s">
        <v>64</v>
      </c>
      <c r="BQ3" s="305"/>
      <c r="BR3" s="306"/>
      <c r="BS3" s="305" t="s">
        <v>76</v>
      </c>
      <c r="BT3" s="305"/>
      <c r="BU3" s="306"/>
      <c r="BV3" s="305" t="s">
        <v>92</v>
      </c>
      <c r="BW3" s="305"/>
      <c r="BX3" s="306"/>
      <c r="BY3" s="305" t="s">
        <v>93</v>
      </c>
      <c r="BZ3" s="305"/>
      <c r="CA3" s="306"/>
      <c r="CB3" s="305" t="s">
        <v>94</v>
      </c>
      <c r="CC3" s="305"/>
      <c r="CD3" s="306"/>
      <c r="CE3" s="305" t="s">
        <v>95</v>
      </c>
      <c r="CF3" s="305"/>
      <c r="CG3" s="306"/>
      <c r="CH3" s="305" t="s">
        <v>96</v>
      </c>
      <c r="CI3" s="305"/>
      <c r="CJ3" s="306"/>
      <c r="CK3" s="305" t="s">
        <v>97</v>
      </c>
      <c r="CL3" s="305"/>
      <c r="CM3" s="306"/>
      <c r="CN3" s="305" t="s">
        <v>98</v>
      </c>
      <c r="CO3" s="305"/>
      <c r="CP3" s="306"/>
    </row>
    <row r="4" spans="1:94" s="103" customFormat="1" ht="26.25" customHeight="1" thickBot="1" x14ac:dyDescent="0.25">
      <c r="A4" s="94" t="s">
        <v>5</v>
      </c>
      <c r="B4" s="95" t="s">
        <v>54</v>
      </c>
      <c r="C4" s="95" t="s">
        <v>55</v>
      </c>
      <c r="D4" s="96" t="s">
        <v>56</v>
      </c>
      <c r="E4" s="97" t="s">
        <v>54</v>
      </c>
      <c r="F4" s="97" t="s">
        <v>55</v>
      </c>
      <c r="G4" s="98" t="s">
        <v>56</v>
      </c>
      <c r="H4" s="99" t="s">
        <v>54</v>
      </c>
      <c r="I4" s="99" t="s">
        <v>55</v>
      </c>
      <c r="J4" s="100" t="s">
        <v>56</v>
      </c>
      <c r="K4" s="101" t="s">
        <v>54</v>
      </c>
      <c r="L4" s="101" t="s">
        <v>55</v>
      </c>
      <c r="M4" s="102" t="s">
        <v>56</v>
      </c>
      <c r="N4" s="101" t="s">
        <v>54</v>
      </c>
      <c r="O4" s="101" t="s">
        <v>55</v>
      </c>
      <c r="P4" s="102" t="s">
        <v>56</v>
      </c>
      <c r="Q4" s="101" t="s">
        <v>54</v>
      </c>
      <c r="R4" s="101" t="s">
        <v>55</v>
      </c>
      <c r="S4" s="102" t="s">
        <v>56</v>
      </c>
      <c r="T4" s="101" t="s">
        <v>54</v>
      </c>
      <c r="U4" s="101" t="s">
        <v>55</v>
      </c>
      <c r="V4" s="102" t="s">
        <v>56</v>
      </c>
      <c r="W4" s="101" t="s">
        <v>54</v>
      </c>
      <c r="X4" s="101" t="s">
        <v>55</v>
      </c>
      <c r="Y4" s="102" t="s">
        <v>56</v>
      </c>
      <c r="Z4" s="101" t="s">
        <v>54</v>
      </c>
      <c r="AA4" s="101" t="s">
        <v>55</v>
      </c>
      <c r="AB4" s="102" t="s">
        <v>56</v>
      </c>
      <c r="AC4" s="101" t="s">
        <v>54</v>
      </c>
      <c r="AD4" s="101" t="s">
        <v>55</v>
      </c>
      <c r="AE4" s="102" t="s">
        <v>56</v>
      </c>
      <c r="AF4" s="101" t="s">
        <v>54</v>
      </c>
      <c r="AG4" s="101" t="s">
        <v>55</v>
      </c>
      <c r="AH4" s="102" t="s">
        <v>56</v>
      </c>
      <c r="AI4" s="101" t="s">
        <v>54</v>
      </c>
      <c r="AJ4" s="101" t="s">
        <v>55</v>
      </c>
      <c r="AK4" s="102" t="s">
        <v>56</v>
      </c>
      <c r="AL4" s="101" t="s">
        <v>54</v>
      </c>
      <c r="AM4" s="101" t="s">
        <v>55</v>
      </c>
      <c r="AN4" s="102" t="s">
        <v>56</v>
      </c>
      <c r="AO4" s="101" t="s">
        <v>54</v>
      </c>
      <c r="AP4" s="101" t="s">
        <v>55</v>
      </c>
      <c r="AQ4" s="102" t="s">
        <v>56</v>
      </c>
      <c r="AR4" s="101" t="s">
        <v>54</v>
      </c>
      <c r="AS4" s="101" t="s">
        <v>55</v>
      </c>
      <c r="AT4" s="102" t="s">
        <v>56</v>
      </c>
      <c r="AU4" s="101" t="s">
        <v>54</v>
      </c>
      <c r="AV4" s="101" t="s">
        <v>55</v>
      </c>
      <c r="AW4" s="102" t="s">
        <v>56</v>
      </c>
      <c r="AX4" s="101" t="s">
        <v>54</v>
      </c>
      <c r="AY4" s="101" t="s">
        <v>55</v>
      </c>
      <c r="AZ4" s="102" t="s">
        <v>56</v>
      </c>
      <c r="BA4" s="101" t="s">
        <v>54</v>
      </c>
      <c r="BB4" s="101" t="s">
        <v>55</v>
      </c>
      <c r="BC4" s="102" t="s">
        <v>56</v>
      </c>
      <c r="BD4" s="115" t="s">
        <v>54</v>
      </c>
      <c r="BE4" s="115" t="s">
        <v>55</v>
      </c>
      <c r="BF4" s="115" t="s">
        <v>75</v>
      </c>
      <c r="BG4" s="115" t="s">
        <v>54</v>
      </c>
      <c r="BH4" s="115" t="s">
        <v>55</v>
      </c>
      <c r="BI4" s="116" t="s">
        <v>56</v>
      </c>
      <c r="BJ4" s="115" t="s">
        <v>54</v>
      </c>
      <c r="BK4" s="115" t="s">
        <v>55</v>
      </c>
      <c r="BL4" s="116" t="s">
        <v>56</v>
      </c>
      <c r="BM4" s="115" t="s">
        <v>54</v>
      </c>
      <c r="BN4" s="115" t="s">
        <v>55</v>
      </c>
      <c r="BO4" s="116" t="s">
        <v>56</v>
      </c>
      <c r="BP4" s="115" t="s">
        <v>54</v>
      </c>
      <c r="BQ4" s="115" t="s">
        <v>55</v>
      </c>
      <c r="BR4" s="116" t="s">
        <v>56</v>
      </c>
      <c r="BS4" s="120" t="s">
        <v>54</v>
      </c>
      <c r="BT4" s="115" t="s">
        <v>55</v>
      </c>
      <c r="BU4" s="116" t="s">
        <v>56</v>
      </c>
      <c r="BV4" s="120" t="s">
        <v>54</v>
      </c>
      <c r="BW4" s="115" t="s">
        <v>55</v>
      </c>
      <c r="BX4" s="116" t="s">
        <v>56</v>
      </c>
      <c r="BY4" s="120" t="s">
        <v>54</v>
      </c>
      <c r="BZ4" s="115" t="s">
        <v>55</v>
      </c>
      <c r="CA4" s="116" t="s">
        <v>56</v>
      </c>
      <c r="CB4" s="120" t="s">
        <v>54</v>
      </c>
      <c r="CC4" s="115" t="s">
        <v>55</v>
      </c>
      <c r="CD4" s="116" t="s">
        <v>56</v>
      </c>
      <c r="CE4" s="120" t="s">
        <v>54</v>
      </c>
      <c r="CF4" s="115" t="s">
        <v>55</v>
      </c>
      <c r="CG4" s="116" t="s">
        <v>56</v>
      </c>
      <c r="CH4" s="120" t="s">
        <v>54</v>
      </c>
      <c r="CI4" s="115" t="s">
        <v>55</v>
      </c>
      <c r="CJ4" s="116" t="s">
        <v>56</v>
      </c>
      <c r="CK4" s="120" t="s">
        <v>54</v>
      </c>
      <c r="CL4" s="115" t="s">
        <v>55</v>
      </c>
      <c r="CM4" s="116" t="s">
        <v>56</v>
      </c>
      <c r="CN4" s="120" t="s">
        <v>54</v>
      </c>
      <c r="CO4" s="115" t="s">
        <v>55</v>
      </c>
      <c r="CP4" s="116" t="s">
        <v>56</v>
      </c>
    </row>
    <row r="5" spans="1:94" s="3" customFormat="1" x14ac:dyDescent="0.2">
      <c r="A5" s="73">
        <v>1</v>
      </c>
      <c r="B5" s="74">
        <v>25415038</v>
      </c>
      <c r="C5" s="74">
        <v>25419266</v>
      </c>
      <c r="D5" s="75">
        <f t="shared" ref="D5:D35" si="0">C5-B5</f>
        <v>4228</v>
      </c>
      <c r="E5" s="144">
        <v>22415724</v>
      </c>
      <c r="F5" s="77">
        <v>22421222</v>
      </c>
      <c r="G5" s="76">
        <f>F5-E5</f>
        <v>5498</v>
      </c>
      <c r="H5" s="78">
        <v>84973340</v>
      </c>
      <c r="I5" s="78">
        <v>84988512</v>
      </c>
      <c r="J5" s="82">
        <f t="shared" ref="J5:J35" si="1">I5-H5</f>
        <v>15172</v>
      </c>
      <c r="K5" s="78">
        <v>1904300</v>
      </c>
      <c r="L5" s="79">
        <v>1906400</v>
      </c>
      <c r="M5" s="82">
        <f t="shared" ref="M5:M31" si="2">L5-K5</f>
        <v>2100</v>
      </c>
      <c r="N5" s="78">
        <v>2575806</v>
      </c>
      <c r="O5" s="78">
        <v>2578702</v>
      </c>
      <c r="P5" s="82">
        <f t="shared" ref="P5:P31" si="3">O5-N5</f>
        <v>2896</v>
      </c>
      <c r="Q5" s="82">
        <v>1564500</v>
      </c>
      <c r="R5" s="79">
        <v>1566300</v>
      </c>
      <c r="S5" s="82">
        <f t="shared" ref="S5:S31" si="4">R5-Q5</f>
        <v>1800</v>
      </c>
      <c r="T5" s="78">
        <v>714530</v>
      </c>
      <c r="U5" s="79">
        <v>715185</v>
      </c>
      <c r="V5" s="82">
        <f t="shared" ref="V5:V31" si="5">U5-T5</f>
        <v>655</v>
      </c>
      <c r="W5" s="78">
        <v>7396800</v>
      </c>
      <c r="X5" s="79">
        <v>7403700</v>
      </c>
      <c r="Y5" s="82">
        <f t="shared" ref="Y5:Y31" si="6">X5-W5</f>
        <v>6900</v>
      </c>
      <c r="Z5" s="78">
        <v>1679900</v>
      </c>
      <c r="AA5" s="79">
        <v>1682400</v>
      </c>
      <c r="AB5" s="82">
        <f>AA5-Z5</f>
        <v>2500</v>
      </c>
      <c r="AC5" s="78">
        <v>481218</v>
      </c>
      <c r="AD5" s="80">
        <v>481668</v>
      </c>
      <c r="AE5" s="82">
        <f>AD5-AC5</f>
        <v>450</v>
      </c>
      <c r="AF5" s="78">
        <v>347510</v>
      </c>
      <c r="AG5" s="80">
        <v>347930</v>
      </c>
      <c r="AH5" s="82">
        <f>AG5-AF5</f>
        <v>420</v>
      </c>
      <c r="AI5" s="78">
        <v>599710</v>
      </c>
      <c r="AJ5" s="80">
        <v>600660</v>
      </c>
      <c r="AK5" s="82">
        <f>AJ5-AI5</f>
        <v>950</v>
      </c>
      <c r="AL5" s="78">
        <v>1091800</v>
      </c>
      <c r="AM5" s="80">
        <v>1093300</v>
      </c>
      <c r="AN5" s="82">
        <f>AM5-AL5</f>
        <v>1500</v>
      </c>
      <c r="AO5" s="78">
        <v>695510</v>
      </c>
      <c r="AP5" s="80">
        <v>696520</v>
      </c>
      <c r="AQ5" s="82">
        <f>AP5-AO5</f>
        <v>1010</v>
      </c>
      <c r="AR5" s="78">
        <v>585480</v>
      </c>
      <c r="AS5" s="80">
        <v>586480</v>
      </c>
      <c r="AT5" s="82">
        <f>AS5-AR5</f>
        <v>1000</v>
      </c>
      <c r="AU5" s="78">
        <v>544830</v>
      </c>
      <c r="AV5" s="80">
        <v>546540</v>
      </c>
      <c r="AW5" s="82">
        <f>AV5-AU5</f>
        <v>1710</v>
      </c>
      <c r="AX5" s="80">
        <v>419210</v>
      </c>
      <c r="AY5" s="80">
        <v>420250</v>
      </c>
      <c r="AZ5" s="82">
        <f>AY5-AX5</f>
        <v>1040</v>
      </c>
      <c r="BA5" s="78">
        <v>1182300</v>
      </c>
      <c r="BB5" s="80">
        <v>1187400</v>
      </c>
      <c r="BC5" s="82">
        <f>BB5-BA5</f>
        <v>5100</v>
      </c>
      <c r="BD5" s="82">
        <v>26360</v>
      </c>
      <c r="BE5" s="82">
        <v>26484</v>
      </c>
      <c r="BF5" s="82">
        <f>BE5-BD5</f>
        <v>124</v>
      </c>
      <c r="BG5" s="78">
        <v>21277</v>
      </c>
      <c r="BH5" s="80">
        <v>21368</v>
      </c>
      <c r="BI5" s="168">
        <f>BH5-BG5</f>
        <v>91</v>
      </c>
      <c r="BJ5" s="80">
        <v>19194</v>
      </c>
      <c r="BK5" s="80">
        <v>19280</v>
      </c>
      <c r="BL5" s="82">
        <f>BK5-BJ5</f>
        <v>86</v>
      </c>
      <c r="BM5" s="78">
        <v>30186</v>
      </c>
      <c r="BN5" s="80">
        <v>30312</v>
      </c>
      <c r="BO5" s="82">
        <f>BN5-BM5</f>
        <v>126</v>
      </c>
      <c r="BP5" s="78">
        <v>22000</v>
      </c>
      <c r="BQ5" s="80">
        <v>22122</v>
      </c>
      <c r="BR5" s="82">
        <f>BQ5-BP5</f>
        <v>122</v>
      </c>
      <c r="BS5" s="78">
        <v>21845</v>
      </c>
      <c r="BT5" s="80">
        <v>21928</v>
      </c>
      <c r="BU5" s="82">
        <f>BT5-BS5</f>
        <v>83</v>
      </c>
      <c r="BV5" s="78">
        <v>15122</v>
      </c>
      <c r="BW5" s="80">
        <v>15176</v>
      </c>
      <c r="BX5" s="82">
        <f>BW5-BV5</f>
        <v>54</v>
      </c>
      <c r="BY5" s="78">
        <v>40090</v>
      </c>
      <c r="BZ5" s="80">
        <v>40254</v>
      </c>
      <c r="CA5" s="82">
        <f>BZ5-BY5</f>
        <v>164</v>
      </c>
      <c r="CB5" s="78">
        <v>30100</v>
      </c>
      <c r="CC5" s="80">
        <v>30183</v>
      </c>
      <c r="CD5" s="82">
        <f>CC5-CB5</f>
        <v>83</v>
      </c>
      <c r="CE5" s="78">
        <v>89918</v>
      </c>
      <c r="CF5" s="80">
        <v>90212</v>
      </c>
      <c r="CG5" s="82">
        <f>CF5-CE5</f>
        <v>294</v>
      </c>
      <c r="CH5" s="78">
        <v>66101</v>
      </c>
      <c r="CI5" s="80">
        <v>66575</v>
      </c>
      <c r="CJ5" s="82">
        <f>CI5-CH5</f>
        <v>474</v>
      </c>
      <c r="CK5" s="78">
        <v>15176</v>
      </c>
      <c r="CL5" s="80">
        <v>15229</v>
      </c>
      <c r="CM5" s="82">
        <f>CL5-CK5</f>
        <v>53</v>
      </c>
      <c r="CN5" s="78">
        <v>96664</v>
      </c>
      <c r="CO5" s="80">
        <v>100630</v>
      </c>
      <c r="CP5" s="82">
        <f>CO5-CN5</f>
        <v>3966</v>
      </c>
    </row>
    <row r="6" spans="1:94" s="3" customFormat="1" ht="13.5" customHeight="1" x14ac:dyDescent="0.2">
      <c r="A6" s="81">
        <v>2</v>
      </c>
      <c r="B6" s="74">
        <f>C5</f>
        <v>25419266</v>
      </c>
      <c r="C6" s="74">
        <v>25423389</v>
      </c>
      <c r="D6" s="75">
        <f t="shared" si="0"/>
        <v>4123</v>
      </c>
      <c r="E6" s="76">
        <f>F5</f>
        <v>22421222</v>
      </c>
      <c r="F6" s="77">
        <v>22426671</v>
      </c>
      <c r="G6" s="76">
        <f>F6-E6</f>
        <v>5449</v>
      </c>
      <c r="H6" s="78">
        <f>I5</f>
        <v>84988512</v>
      </c>
      <c r="I6" s="78">
        <v>85004111</v>
      </c>
      <c r="J6" s="82">
        <f t="shared" si="1"/>
        <v>15599</v>
      </c>
      <c r="K6" s="78">
        <f>L5</f>
        <v>1906400</v>
      </c>
      <c r="L6" s="79">
        <v>1908700</v>
      </c>
      <c r="M6" s="82">
        <f t="shared" si="2"/>
        <v>2300</v>
      </c>
      <c r="N6" s="78">
        <f>O5</f>
        <v>2578702</v>
      </c>
      <c r="O6" s="78">
        <v>2581557</v>
      </c>
      <c r="P6" s="82">
        <f t="shared" si="3"/>
        <v>2855</v>
      </c>
      <c r="Q6" s="78">
        <f>R5</f>
        <v>1566300</v>
      </c>
      <c r="R6" s="79">
        <v>1568500</v>
      </c>
      <c r="S6" s="82">
        <f t="shared" si="4"/>
        <v>2200</v>
      </c>
      <c r="T6" s="78">
        <f>U5</f>
        <v>715185</v>
      </c>
      <c r="U6" s="79">
        <v>715776</v>
      </c>
      <c r="V6" s="82">
        <f t="shared" si="5"/>
        <v>591</v>
      </c>
      <c r="W6" s="78">
        <f>X5</f>
        <v>7403700</v>
      </c>
      <c r="X6" s="79">
        <v>7410300</v>
      </c>
      <c r="Y6" s="82">
        <f t="shared" si="6"/>
        <v>6600</v>
      </c>
      <c r="Z6" s="78">
        <f>AA5</f>
        <v>1682400</v>
      </c>
      <c r="AA6" s="79">
        <v>1685200</v>
      </c>
      <c r="AB6" s="82">
        <f t="shared" ref="AB6:AB31" si="7">AA6-Z6</f>
        <v>2800</v>
      </c>
      <c r="AC6" s="78">
        <f t="shared" ref="AC6:AC35" si="8">AD5</f>
        <v>481668</v>
      </c>
      <c r="AD6" s="78">
        <v>482125</v>
      </c>
      <c r="AE6" s="82">
        <f t="shared" ref="AE6:AE35" si="9">AD6-AC6</f>
        <v>457</v>
      </c>
      <c r="AF6" s="78">
        <f t="shared" ref="AF6:AF35" si="10">AG5</f>
        <v>347930</v>
      </c>
      <c r="AG6" s="78">
        <v>348360</v>
      </c>
      <c r="AH6" s="82">
        <f t="shared" ref="AH6:AH35" si="11">AG6-AF6</f>
        <v>430</v>
      </c>
      <c r="AI6" s="78">
        <f t="shared" ref="AI6:AI35" si="12">AJ5</f>
        <v>600660</v>
      </c>
      <c r="AJ6" s="78">
        <v>601610</v>
      </c>
      <c r="AK6" s="82">
        <f t="shared" ref="AK6:AK35" si="13">AJ6-AI6</f>
        <v>950</v>
      </c>
      <c r="AL6" s="78">
        <f>AM5</f>
        <v>1093300</v>
      </c>
      <c r="AM6" s="78">
        <v>1094900</v>
      </c>
      <c r="AN6" s="82">
        <f t="shared" ref="AN6:AN35" si="14">AM6-AL6</f>
        <v>1600</v>
      </c>
      <c r="AO6" s="78">
        <f>AP5</f>
        <v>696520</v>
      </c>
      <c r="AP6" s="78">
        <v>697570</v>
      </c>
      <c r="AQ6" s="82">
        <f t="shared" ref="AQ6:AQ35" si="15">AP6-AO6</f>
        <v>1050</v>
      </c>
      <c r="AR6" s="78">
        <f>AS5</f>
        <v>586480</v>
      </c>
      <c r="AS6" s="78">
        <v>587510</v>
      </c>
      <c r="AT6" s="82">
        <f t="shared" ref="AT6:AT35" si="16">AS6-AR6</f>
        <v>1030</v>
      </c>
      <c r="AU6" s="78">
        <f>AV5</f>
        <v>546540</v>
      </c>
      <c r="AV6" s="78">
        <v>548490</v>
      </c>
      <c r="AW6" s="82">
        <f t="shared" ref="AW6:AW35" si="17">AV6-AU6</f>
        <v>1950</v>
      </c>
      <c r="AX6" s="78">
        <f>AY5</f>
        <v>420250</v>
      </c>
      <c r="AY6" s="78">
        <v>421400</v>
      </c>
      <c r="AZ6" s="82">
        <f t="shared" ref="AZ6:AZ35" si="18">AY6-AX6</f>
        <v>1150</v>
      </c>
      <c r="BA6" s="78">
        <f>BB5</f>
        <v>1187400</v>
      </c>
      <c r="BB6" s="78">
        <v>1192000</v>
      </c>
      <c r="BC6" s="82">
        <f t="shared" ref="BC6:BC35" si="19">BB6-BA6</f>
        <v>4600</v>
      </c>
      <c r="BD6" s="82">
        <f>BE5</f>
        <v>26484</v>
      </c>
      <c r="BE6" s="82">
        <v>26610</v>
      </c>
      <c r="BF6" s="82">
        <f>BE6-BD6</f>
        <v>126</v>
      </c>
      <c r="BG6" s="78">
        <f>BH5</f>
        <v>21368</v>
      </c>
      <c r="BH6" s="78">
        <v>21449</v>
      </c>
      <c r="BI6" s="168">
        <f t="shared" ref="BI6:BI35" si="20">BH6-BG6</f>
        <v>81</v>
      </c>
      <c r="BJ6" s="78">
        <f>BK5</f>
        <v>19280</v>
      </c>
      <c r="BK6" s="78">
        <v>19368</v>
      </c>
      <c r="BL6" s="82">
        <f t="shared" ref="BL6:BL35" si="21">BK6-BJ6</f>
        <v>88</v>
      </c>
      <c r="BM6" s="78">
        <f>BN5</f>
        <v>30312</v>
      </c>
      <c r="BN6" s="78">
        <v>30453</v>
      </c>
      <c r="BO6" s="82">
        <f t="shared" ref="BO6:BO35" si="22">BN6-BM6</f>
        <v>141</v>
      </c>
      <c r="BP6" s="78">
        <f>BQ5</f>
        <v>22122</v>
      </c>
      <c r="BQ6" s="78">
        <v>22249</v>
      </c>
      <c r="BR6" s="82">
        <f t="shared" ref="BR6:BR35" si="23">BQ6-BP6</f>
        <v>127</v>
      </c>
      <c r="BS6" s="78">
        <f>BT5</f>
        <v>21928</v>
      </c>
      <c r="BT6" s="78">
        <v>22017</v>
      </c>
      <c r="BU6" s="82">
        <f t="shared" ref="BU6:BU35" si="24">BT6-BS6</f>
        <v>89</v>
      </c>
      <c r="BV6" s="78">
        <f>BW5</f>
        <v>15176</v>
      </c>
      <c r="BW6" s="78">
        <v>15226</v>
      </c>
      <c r="BX6" s="82">
        <f t="shared" ref="BX6:BX35" si="25">BW6-BV6</f>
        <v>50</v>
      </c>
      <c r="BY6" s="78">
        <f>BZ5</f>
        <v>40254</v>
      </c>
      <c r="BZ6" s="78">
        <v>40444</v>
      </c>
      <c r="CA6" s="82">
        <f t="shared" ref="CA6:CA35" si="26">BZ6-BY6</f>
        <v>190</v>
      </c>
      <c r="CB6" s="78">
        <f>CC5</f>
        <v>30183</v>
      </c>
      <c r="CC6" s="78">
        <v>30268</v>
      </c>
      <c r="CD6" s="82">
        <f t="shared" ref="CD6:CD35" si="27">CC6-CB6</f>
        <v>85</v>
      </c>
      <c r="CE6" s="78">
        <f>CF5</f>
        <v>90212</v>
      </c>
      <c r="CF6" s="78">
        <v>90525</v>
      </c>
      <c r="CG6" s="82">
        <f t="shared" ref="CG6:CG35" si="28">CF6-CE6</f>
        <v>313</v>
      </c>
      <c r="CH6" s="78">
        <f>CI5</f>
        <v>66575</v>
      </c>
      <c r="CI6" s="78">
        <v>66943</v>
      </c>
      <c r="CJ6" s="82">
        <f t="shared" ref="CJ6:CJ35" si="29">CI6-CH6</f>
        <v>368</v>
      </c>
      <c r="CK6" s="78">
        <f>CL5</f>
        <v>15229</v>
      </c>
      <c r="CL6" s="78">
        <v>15282</v>
      </c>
      <c r="CM6" s="82">
        <f t="shared" ref="CM6:CM35" si="30">CL6-CK6</f>
        <v>53</v>
      </c>
      <c r="CN6" s="78">
        <f>CO5</f>
        <v>100630</v>
      </c>
      <c r="CO6" s="78">
        <v>104480</v>
      </c>
      <c r="CP6" s="82">
        <f t="shared" ref="CP6:CP35" si="31">CO6-CN6</f>
        <v>3850</v>
      </c>
    </row>
    <row r="7" spans="1:94" s="3" customFormat="1" ht="13.5" customHeight="1" x14ac:dyDescent="0.2">
      <c r="A7" s="81">
        <v>3</v>
      </c>
      <c r="B7" s="74">
        <f t="shared" ref="B7:B35" si="32">C6</f>
        <v>25423389</v>
      </c>
      <c r="C7" s="74">
        <v>25427772</v>
      </c>
      <c r="D7" s="75">
        <f t="shared" si="0"/>
        <v>4383</v>
      </c>
      <c r="E7" s="76">
        <f>F6</f>
        <v>22426671</v>
      </c>
      <c r="F7" s="77">
        <v>22432132</v>
      </c>
      <c r="G7" s="76">
        <f t="shared" ref="G7:G31" si="33">F7-E7</f>
        <v>5461</v>
      </c>
      <c r="H7" s="78">
        <f t="shared" ref="H7:H35" si="34">I6</f>
        <v>85004111</v>
      </c>
      <c r="I7" s="78">
        <v>85019438</v>
      </c>
      <c r="J7" s="82">
        <f t="shared" si="1"/>
        <v>15327</v>
      </c>
      <c r="K7" s="78">
        <f>L6</f>
        <v>1908700</v>
      </c>
      <c r="L7" s="79">
        <v>1910800</v>
      </c>
      <c r="M7" s="82">
        <f t="shared" si="2"/>
        <v>2100</v>
      </c>
      <c r="N7" s="78">
        <f>O6</f>
        <v>2581557</v>
      </c>
      <c r="O7" s="78">
        <v>2584259</v>
      </c>
      <c r="P7" s="82">
        <f t="shared" si="3"/>
        <v>2702</v>
      </c>
      <c r="Q7" s="78">
        <f t="shared" ref="Q7:Q35" si="35">R6</f>
        <v>1568500</v>
      </c>
      <c r="R7" s="79">
        <v>1570500</v>
      </c>
      <c r="S7" s="82">
        <f t="shared" si="4"/>
        <v>2000</v>
      </c>
      <c r="T7" s="78">
        <f>U6</f>
        <v>715776</v>
      </c>
      <c r="U7" s="79">
        <v>716414</v>
      </c>
      <c r="V7" s="82">
        <f t="shared" si="5"/>
        <v>638</v>
      </c>
      <c r="W7" s="78">
        <f>X6</f>
        <v>7410300</v>
      </c>
      <c r="X7" s="79">
        <v>7416900</v>
      </c>
      <c r="Y7" s="82">
        <f t="shared" si="6"/>
        <v>6600</v>
      </c>
      <c r="Z7" s="78">
        <f>AA6</f>
        <v>1685200</v>
      </c>
      <c r="AA7" s="79">
        <v>1687900</v>
      </c>
      <c r="AB7" s="82">
        <f t="shared" si="7"/>
        <v>2700</v>
      </c>
      <c r="AC7" s="78">
        <f t="shared" si="8"/>
        <v>482125</v>
      </c>
      <c r="AD7" s="78">
        <v>482593</v>
      </c>
      <c r="AE7" s="82">
        <f t="shared" si="9"/>
        <v>468</v>
      </c>
      <c r="AF7" s="78">
        <f t="shared" si="10"/>
        <v>348360</v>
      </c>
      <c r="AG7" s="78">
        <v>348750</v>
      </c>
      <c r="AH7" s="82">
        <f t="shared" si="11"/>
        <v>390</v>
      </c>
      <c r="AI7" s="78">
        <f t="shared" si="12"/>
        <v>601610</v>
      </c>
      <c r="AJ7" s="78">
        <v>602490</v>
      </c>
      <c r="AK7" s="82">
        <f t="shared" si="13"/>
        <v>880</v>
      </c>
      <c r="AL7" s="78">
        <f t="shared" ref="AL7:AL35" si="36">AM6</f>
        <v>1094900</v>
      </c>
      <c r="AM7" s="78">
        <v>1096400</v>
      </c>
      <c r="AN7" s="82">
        <f t="shared" si="14"/>
        <v>1500</v>
      </c>
      <c r="AO7" s="78">
        <f t="shared" ref="AO7:AO35" si="37">AP6</f>
        <v>697570</v>
      </c>
      <c r="AP7" s="79">
        <v>698530</v>
      </c>
      <c r="AQ7" s="82">
        <f t="shared" si="15"/>
        <v>960</v>
      </c>
      <c r="AR7" s="78">
        <f t="shared" ref="AR7:AR35" si="38">AS6</f>
        <v>587510</v>
      </c>
      <c r="AS7" s="78">
        <v>587910</v>
      </c>
      <c r="AT7" s="82">
        <f t="shared" si="16"/>
        <v>400</v>
      </c>
      <c r="AU7" s="78">
        <f t="shared" ref="AU7:AU35" si="39">AV6</f>
        <v>548490</v>
      </c>
      <c r="AV7" s="78">
        <v>550090</v>
      </c>
      <c r="AW7" s="82">
        <f t="shared" si="17"/>
        <v>1600</v>
      </c>
      <c r="AX7" s="78">
        <f t="shared" ref="AX7:AX35" si="40">AY6</f>
        <v>421400</v>
      </c>
      <c r="AY7" s="78">
        <v>422690</v>
      </c>
      <c r="AZ7" s="82">
        <f t="shared" si="18"/>
        <v>1290</v>
      </c>
      <c r="BA7" s="78">
        <f t="shared" ref="BA7:BA35" si="41">BB6</f>
        <v>1192000</v>
      </c>
      <c r="BB7" s="78">
        <v>1197500</v>
      </c>
      <c r="BC7" s="82">
        <f t="shared" si="19"/>
        <v>5500</v>
      </c>
      <c r="BD7" s="82">
        <f t="shared" ref="BD7:BD35" si="42">BE6</f>
        <v>26610</v>
      </c>
      <c r="BE7" s="82">
        <v>26717</v>
      </c>
      <c r="BF7" s="82">
        <f t="shared" ref="BF7:BF35" si="43">BE7-BD7</f>
        <v>107</v>
      </c>
      <c r="BG7" s="78">
        <f t="shared" ref="BG7:BG35" si="44">BH6</f>
        <v>21449</v>
      </c>
      <c r="BH7" s="78">
        <v>21532</v>
      </c>
      <c r="BI7" s="168">
        <f t="shared" si="20"/>
        <v>83</v>
      </c>
      <c r="BJ7" s="78">
        <f t="shared" ref="BJ7:BJ35" si="45">BK6</f>
        <v>19368</v>
      </c>
      <c r="BK7" s="78">
        <v>19457</v>
      </c>
      <c r="BL7" s="82">
        <f t="shared" si="21"/>
        <v>89</v>
      </c>
      <c r="BM7" s="78">
        <f t="shared" ref="BM7:BM31" si="46">BN6</f>
        <v>30453</v>
      </c>
      <c r="BN7" s="78">
        <v>30560</v>
      </c>
      <c r="BO7" s="82">
        <f t="shared" si="22"/>
        <v>107</v>
      </c>
      <c r="BP7" s="78">
        <f t="shared" ref="BP7:BP35" si="47">BQ6</f>
        <v>22249</v>
      </c>
      <c r="BQ7" s="78">
        <v>22475</v>
      </c>
      <c r="BR7" s="82">
        <f t="shared" si="23"/>
        <v>226</v>
      </c>
      <c r="BS7" s="78">
        <f t="shared" ref="BS7:BS35" si="48">BT6</f>
        <v>22017</v>
      </c>
      <c r="BT7" s="78">
        <v>22091</v>
      </c>
      <c r="BU7" s="82">
        <f t="shared" si="24"/>
        <v>74</v>
      </c>
      <c r="BV7" s="78">
        <f t="shared" ref="BV7:BV35" si="49">BW6</f>
        <v>15226</v>
      </c>
      <c r="BW7" s="78">
        <v>15275</v>
      </c>
      <c r="BX7" s="82">
        <f t="shared" si="25"/>
        <v>49</v>
      </c>
      <c r="BY7" s="78">
        <f t="shared" ref="BY7:BY35" si="50">BZ6</f>
        <v>40444</v>
      </c>
      <c r="BZ7" s="79">
        <v>40579</v>
      </c>
      <c r="CA7" s="82">
        <f t="shared" si="26"/>
        <v>135</v>
      </c>
      <c r="CB7" s="78">
        <f t="shared" ref="CB7:CB35" si="51">CC6</f>
        <v>30268</v>
      </c>
      <c r="CC7" s="78">
        <v>30343</v>
      </c>
      <c r="CD7" s="82">
        <f t="shared" si="27"/>
        <v>75</v>
      </c>
      <c r="CE7" s="78">
        <f t="shared" ref="CE7:CE35" si="52">CF6</f>
        <v>90525</v>
      </c>
      <c r="CF7" s="79">
        <v>90797</v>
      </c>
      <c r="CG7" s="82">
        <f t="shared" si="28"/>
        <v>272</v>
      </c>
      <c r="CH7" s="78">
        <f t="shared" ref="CH7:CH35" si="53">CI6</f>
        <v>66943</v>
      </c>
      <c r="CI7" s="78">
        <v>67253</v>
      </c>
      <c r="CJ7" s="82">
        <f t="shared" si="29"/>
        <v>310</v>
      </c>
      <c r="CK7" s="78">
        <f t="shared" ref="CK7:CK35" si="54">CL6</f>
        <v>15282</v>
      </c>
      <c r="CL7" s="78">
        <v>15331</v>
      </c>
      <c r="CM7" s="82">
        <f t="shared" si="30"/>
        <v>49</v>
      </c>
      <c r="CN7" s="78">
        <f t="shared" ref="CN7:CN35" si="55">CO6</f>
        <v>104480</v>
      </c>
      <c r="CO7" s="78">
        <v>107920</v>
      </c>
      <c r="CP7" s="82">
        <f t="shared" si="31"/>
        <v>3440</v>
      </c>
    </row>
    <row r="8" spans="1:94" s="3" customFormat="1" ht="13.5" customHeight="1" x14ac:dyDescent="0.2">
      <c r="A8" s="81">
        <v>4</v>
      </c>
      <c r="B8" s="74">
        <f t="shared" si="32"/>
        <v>25427772</v>
      </c>
      <c r="C8" s="74">
        <v>25432240</v>
      </c>
      <c r="D8" s="75">
        <f t="shared" si="0"/>
        <v>4468</v>
      </c>
      <c r="E8" s="76">
        <f>F7</f>
        <v>22432132</v>
      </c>
      <c r="F8" s="77">
        <v>22437743</v>
      </c>
      <c r="G8" s="76">
        <f t="shared" si="33"/>
        <v>5611</v>
      </c>
      <c r="H8" s="78">
        <f t="shared" si="34"/>
        <v>85019438</v>
      </c>
      <c r="I8" s="78">
        <v>85035217</v>
      </c>
      <c r="J8" s="82">
        <f t="shared" si="1"/>
        <v>15779</v>
      </c>
      <c r="K8" s="78">
        <f>L7</f>
        <v>1910800</v>
      </c>
      <c r="L8" s="79">
        <v>1913000</v>
      </c>
      <c r="M8" s="82">
        <f t="shared" si="2"/>
        <v>2200</v>
      </c>
      <c r="N8" s="78">
        <f>O7</f>
        <v>2584259</v>
      </c>
      <c r="O8" s="78">
        <v>2587174</v>
      </c>
      <c r="P8" s="82">
        <f t="shared" si="3"/>
        <v>2915</v>
      </c>
      <c r="Q8" s="78">
        <f t="shared" si="35"/>
        <v>1570500</v>
      </c>
      <c r="R8" s="79">
        <v>1572900</v>
      </c>
      <c r="S8" s="82">
        <f t="shared" si="4"/>
        <v>2400</v>
      </c>
      <c r="T8" s="78">
        <f>U7</f>
        <v>716414</v>
      </c>
      <c r="U8" s="79">
        <v>717038</v>
      </c>
      <c r="V8" s="82">
        <f t="shared" si="5"/>
        <v>624</v>
      </c>
      <c r="W8" s="78">
        <f>X7</f>
        <v>7416900</v>
      </c>
      <c r="X8" s="79">
        <v>7423700</v>
      </c>
      <c r="Y8" s="82">
        <f t="shared" si="6"/>
        <v>6800</v>
      </c>
      <c r="Z8" s="78">
        <f>AA7</f>
        <v>1687900</v>
      </c>
      <c r="AA8" s="79">
        <v>1690300</v>
      </c>
      <c r="AB8" s="82">
        <f t="shared" si="7"/>
        <v>2400</v>
      </c>
      <c r="AC8" s="78">
        <f t="shared" si="8"/>
        <v>482593</v>
      </c>
      <c r="AD8" s="78">
        <v>483033</v>
      </c>
      <c r="AE8" s="82">
        <f t="shared" si="9"/>
        <v>440</v>
      </c>
      <c r="AF8" s="78">
        <f t="shared" si="10"/>
        <v>348750</v>
      </c>
      <c r="AG8" s="78">
        <v>349160</v>
      </c>
      <c r="AH8" s="82">
        <f t="shared" si="11"/>
        <v>410</v>
      </c>
      <c r="AI8" s="78">
        <f t="shared" si="12"/>
        <v>602490</v>
      </c>
      <c r="AJ8" s="78">
        <v>603450</v>
      </c>
      <c r="AK8" s="82">
        <f t="shared" si="13"/>
        <v>960</v>
      </c>
      <c r="AL8" s="78">
        <f t="shared" si="36"/>
        <v>1096400</v>
      </c>
      <c r="AM8" s="78">
        <v>1097800</v>
      </c>
      <c r="AN8" s="82">
        <f t="shared" si="14"/>
        <v>1400</v>
      </c>
      <c r="AO8" s="78">
        <f t="shared" si="37"/>
        <v>698530</v>
      </c>
      <c r="AP8" s="79">
        <v>699510</v>
      </c>
      <c r="AQ8" s="82">
        <f t="shared" si="15"/>
        <v>980</v>
      </c>
      <c r="AR8" s="78">
        <f t="shared" si="38"/>
        <v>587910</v>
      </c>
      <c r="AS8" s="78">
        <v>591350</v>
      </c>
      <c r="AT8" s="82">
        <f t="shared" si="16"/>
        <v>3440</v>
      </c>
      <c r="AU8" s="78">
        <f t="shared" si="39"/>
        <v>550090</v>
      </c>
      <c r="AV8" s="78">
        <v>552110</v>
      </c>
      <c r="AW8" s="82">
        <f t="shared" si="17"/>
        <v>2020</v>
      </c>
      <c r="AX8" s="78">
        <f t="shared" si="40"/>
        <v>422690</v>
      </c>
      <c r="AY8" s="78">
        <v>424000</v>
      </c>
      <c r="AZ8" s="82">
        <f t="shared" si="18"/>
        <v>1310</v>
      </c>
      <c r="BA8" s="78">
        <f t="shared" si="41"/>
        <v>1197500</v>
      </c>
      <c r="BB8" s="78">
        <v>1202100</v>
      </c>
      <c r="BC8" s="82">
        <f t="shared" si="19"/>
        <v>4600</v>
      </c>
      <c r="BD8" s="82">
        <f t="shared" si="42"/>
        <v>26717</v>
      </c>
      <c r="BE8" s="82">
        <v>26840</v>
      </c>
      <c r="BF8" s="82">
        <f t="shared" si="43"/>
        <v>123</v>
      </c>
      <c r="BG8" s="78">
        <f t="shared" si="44"/>
        <v>21532</v>
      </c>
      <c r="BH8" s="78">
        <v>21647</v>
      </c>
      <c r="BI8" s="168">
        <f t="shared" si="20"/>
        <v>115</v>
      </c>
      <c r="BJ8" s="78">
        <f t="shared" si="45"/>
        <v>19457</v>
      </c>
      <c r="BK8" s="78">
        <v>19550</v>
      </c>
      <c r="BL8" s="82">
        <f t="shared" si="21"/>
        <v>93</v>
      </c>
      <c r="BM8" s="78">
        <f t="shared" si="46"/>
        <v>30560</v>
      </c>
      <c r="BN8" s="78">
        <v>30686</v>
      </c>
      <c r="BO8" s="82">
        <f t="shared" si="22"/>
        <v>126</v>
      </c>
      <c r="BP8" s="78">
        <f t="shared" si="47"/>
        <v>22475</v>
      </c>
      <c r="BQ8" s="78">
        <v>22597</v>
      </c>
      <c r="BR8" s="82">
        <f t="shared" si="23"/>
        <v>122</v>
      </c>
      <c r="BS8" s="78">
        <f t="shared" si="48"/>
        <v>22091</v>
      </c>
      <c r="BT8" s="78">
        <v>22167</v>
      </c>
      <c r="BU8" s="82">
        <f t="shared" si="24"/>
        <v>76</v>
      </c>
      <c r="BV8" s="78">
        <f t="shared" si="49"/>
        <v>15275</v>
      </c>
      <c r="BW8" s="78">
        <v>15330</v>
      </c>
      <c r="BX8" s="82">
        <f t="shared" si="25"/>
        <v>55</v>
      </c>
      <c r="BY8" s="78">
        <f t="shared" si="50"/>
        <v>40579</v>
      </c>
      <c r="BZ8" s="79">
        <v>40735</v>
      </c>
      <c r="CA8" s="82">
        <f t="shared" si="26"/>
        <v>156</v>
      </c>
      <c r="CB8" s="78">
        <f t="shared" si="51"/>
        <v>30343</v>
      </c>
      <c r="CC8" s="78">
        <v>30431</v>
      </c>
      <c r="CD8" s="82">
        <f t="shared" si="27"/>
        <v>88</v>
      </c>
      <c r="CE8" s="78">
        <f t="shared" si="52"/>
        <v>90797</v>
      </c>
      <c r="CF8" s="79">
        <v>91080</v>
      </c>
      <c r="CG8" s="82">
        <f t="shared" si="28"/>
        <v>283</v>
      </c>
      <c r="CH8" s="78">
        <f t="shared" si="53"/>
        <v>67253</v>
      </c>
      <c r="CI8" s="78">
        <v>67658</v>
      </c>
      <c r="CJ8" s="82">
        <f t="shared" si="29"/>
        <v>405</v>
      </c>
      <c r="CK8" s="78">
        <f t="shared" si="54"/>
        <v>15331</v>
      </c>
      <c r="CL8" s="78">
        <v>15376</v>
      </c>
      <c r="CM8" s="82">
        <f t="shared" si="30"/>
        <v>45</v>
      </c>
      <c r="CN8" s="78">
        <f t="shared" si="55"/>
        <v>107920</v>
      </c>
      <c r="CO8" s="78">
        <v>111930</v>
      </c>
      <c r="CP8" s="82">
        <f t="shared" si="31"/>
        <v>4010</v>
      </c>
    </row>
    <row r="9" spans="1:94" s="3" customFormat="1" ht="13.5" customHeight="1" x14ac:dyDescent="0.2">
      <c r="A9" s="86">
        <v>5</v>
      </c>
      <c r="B9" s="74">
        <f t="shared" si="32"/>
        <v>25432240</v>
      </c>
      <c r="C9" s="74">
        <v>25436818</v>
      </c>
      <c r="D9" s="75">
        <f t="shared" si="0"/>
        <v>4578</v>
      </c>
      <c r="E9" s="76">
        <f t="shared" ref="E9:E32" si="56">F8</f>
        <v>22437743</v>
      </c>
      <c r="F9" s="77">
        <v>22443548</v>
      </c>
      <c r="G9" s="76">
        <f t="shared" si="33"/>
        <v>5805</v>
      </c>
      <c r="H9" s="78">
        <f t="shared" si="34"/>
        <v>85035217</v>
      </c>
      <c r="I9" s="78">
        <v>85051241</v>
      </c>
      <c r="J9" s="82">
        <f t="shared" si="1"/>
        <v>16024</v>
      </c>
      <c r="K9" s="78">
        <f t="shared" ref="K9:K35" si="57">L8</f>
        <v>1913000</v>
      </c>
      <c r="L9" s="79">
        <v>1915100</v>
      </c>
      <c r="M9" s="82">
        <f t="shared" si="2"/>
        <v>2100</v>
      </c>
      <c r="N9" s="78">
        <f t="shared" ref="N9:N20" si="58">O8</f>
        <v>2587174</v>
      </c>
      <c r="O9" s="78">
        <v>2590080</v>
      </c>
      <c r="P9" s="82">
        <f t="shared" si="3"/>
        <v>2906</v>
      </c>
      <c r="Q9" s="78">
        <f t="shared" si="35"/>
        <v>1572900</v>
      </c>
      <c r="R9" s="79">
        <v>1575000</v>
      </c>
      <c r="S9" s="82">
        <f t="shared" si="4"/>
        <v>2100</v>
      </c>
      <c r="T9" s="78">
        <f t="shared" ref="T9:T20" si="59">U8</f>
        <v>717038</v>
      </c>
      <c r="U9" s="79">
        <v>717722</v>
      </c>
      <c r="V9" s="82">
        <f t="shared" si="5"/>
        <v>684</v>
      </c>
      <c r="W9" s="78">
        <f t="shared" ref="W9:W20" si="60">X8</f>
        <v>7423700</v>
      </c>
      <c r="X9" s="79">
        <v>7430700</v>
      </c>
      <c r="Y9" s="82">
        <f t="shared" si="6"/>
        <v>7000</v>
      </c>
      <c r="Z9" s="78">
        <f t="shared" ref="Z9:Z20" si="61">AA8</f>
        <v>1690300</v>
      </c>
      <c r="AA9" s="79">
        <v>1692900</v>
      </c>
      <c r="AB9" s="82">
        <f t="shared" si="7"/>
        <v>2600</v>
      </c>
      <c r="AC9" s="78">
        <f t="shared" si="8"/>
        <v>483033</v>
      </c>
      <c r="AD9" s="78">
        <v>483508</v>
      </c>
      <c r="AE9" s="82">
        <f t="shared" si="9"/>
        <v>475</v>
      </c>
      <c r="AF9" s="78">
        <f t="shared" si="10"/>
        <v>349160</v>
      </c>
      <c r="AG9" s="78">
        <v>349580</v>
      </c>
      <c r="AH9" s="82">
        <f t="shared" si="11"/>
        <v>420</v>
      </c>
      <c r="AI9" s="78">
        <f t="shared" si="12"/>
        <v>603450</v>
      </c>
      <c r="AJ9" s="78">
        <v>604444</v>
      </c>
      <c r="AK9" s="82">
        <f t="shared" si="13"/>
        <v>994</v>
      </c>
      <c r="AL9" s="78">
        <f t="shared" si="36"/>
        <v>1097800</v>
      </c>
      <c r="AM9" s="78">
        <v>1099400</v>
      </c>
      <c r="AN9" s="82">
        <f t="shared" si="14"/>
        <v>1600</v>
      </c>
      <c r="AO9" s="78">
        <f t="shared" si="37"/>
        <v>699510</v>
      </c>
      <c r="AP9" s="79">
        <v>700580</v>
      </c>
      <c r="AQ9" s="82">
        <f t="shared" si="15"/>
        <v>1070</v>
      </c>
      <c r="AR9" s="78">
        <f t="shared" si="38"/>
        <v>591350</v>
      </c>
      <c r="AS9" s="78">
        <v>591870</v>
      </c>
      <c r="AT9" s="82">
        <f t="shared" si="16"/>
        <v>520</v>
      </c>
      <c r="AU9" s="78">
        <f t="shared" si="39"/>
        <v>552110</v>
      </c>
      <c r="AV9" s="78">
        <v>553720</v>
      </c>
      <c r="AW9" s="82">
        <f t="shared" si="17"/>
        <v>1610</v>
      </c>
      <c r="AX9" s="78">
        <f t="shared" si="40"/>
        <v>424000</v>
      </c>
      <c r="AY9" s="78">
        <v>425360</v>
      </c>
      <c r="AZ9" s="82">
        <f t="shared" si="18"/>
        <v>1360</v>
      </c>
      <c r="BA9" s="78">
        <f t="shared" si="41"/>
        <v>1202100</v>
      </c>
      <c r="BB9" s="78">
        <v>1206900</v>
      </c>
      <c r="BC9" s="82">
        <f t="shared" si="19"/>
        <v>4800</v>
      </c>
      <c r="BD9" s="82">
        <f t="shared" si="42"/>
        <v>26840</v>
      </c>
      <c r="BE9" s="82">
        <v>26950</v>
      </c>
      <c r="BF9" s="82">
        <f t="shared" si="43"/>
        <v>110</v>
      </c>
      <c r="BG9" s="78">
        <f t="shared" si="44"/>
        <v>21647</v>
      </c>
      <c r="BH9" s="78">
        <v>21754</v>
      </c>
      <c r="BI9" s="168">
        <f t="shared" si="20"/>
        <v>107</v>
      </c>
      <c r="BJ9" s="78">
        <f t="shared" si="45"/>
        <v>19550</v>
      </c>
      <c r="BK9" s="78">
        <v>19638</v>
      </c>
      <c r="BL9" s="82">
        <f t="shared" si="21"/>
        <v>88</v>
      </c>
      <c r="BM9" s="78">
        <f t="shared" si="46"/>
        <v>30686</v>
      </c>
      <c r="BN9" s="78">
        <v>30799</v>
      </c>
      <c r="BO9" s="82">
        <f t="shared" si="22"/>
        <v>113</v>
      </c>
      <c r="BP9" s="78">
        <f t="shared" si="47"/>
        <v>22597</v>
      </c>
      <c r="BQ9" s="78">
        <v>22736</v>
      </c>
      <c r="BR9" s="82">
        <f t="shared" si="23"/>
        <v>139</v>
      </c>
      <c r="BS9" s="78">
        <f t="shared" si="48"/>
        <v>22167</v>
      </c>
      <c r="BT9" s="78">
        <v>22248</v>
      </c>
      <c r="BU9" s="82">
        <f t="shared" si="24"/>
        <v>81</v>
      </c>
      <c r="BV9" s="78">
        <f t="shared" si="49"/>
        <v>15330</v>
      </c>
      <c r="BW9" s="78">
        <v>15383</v>
      </c>
      <c r="BX9" s="82">
        <f t="shared" si="25"/>
        <v>53</v>
      </c>
      <c r="BY9" s="78">
        <f t="shared" si="50"/>
        <v>40735</v>
      </c>
      <c r="BZ9" s="79">
        <v>40897</v>
      </c>
      <c r="CA9" s="82">
        <f t="shared" si="26"/>
        <v>162</v>
      </c>
      <c r="CB9" s="78">
        <f t="shared" si="51"/>
        <v>30431</v>
      </c>
      <c r="CC9" s="78">
        <v>30512</v>
      </c>
      <c r="CD9" s="82">
        <f t="shared" si="27"/>
        <v>81</v>
      </c>
      <c r="CE9" s="78">
        <f t="shared" si="52"/>
        <v>91080</v>
      </c>
      <c r="CF9" s="79">
        <v>91333</v>
      </c>
      <c r="CG9" s="82">
        <f t="shared" si="28"/>
        <v>253</v>
      </c>
      <c r="CH9" s="78">
        <f t="shared" si="53"/>
        <v>67658</v>
      </c>
      <c r="CI9" s="78">
        <v>68015</v>
      </c>
      <c r="CJ9" s="82">
        <f t="shared" si="29"/>
        <v>357</v>
      </c>
      <c r="CK9" s="78">
        <f t="shared" si="54"/>
        <v>15376</v>
      </c>
      <c r="CL9" s="78">
        <v>15441</v>
      </c>
      <c r="CM9" s="82">
        <f t="shared" si="30"/>
        <v>65</v>
      </c>
      <c r="CN9" s="78">
        <f t="shared" si="55"/>
        <v>111930</v>
      </c>
      <c r="CO9" s="78">
        <v>115560</v>
      </c>
      <c r="CP9" s="82">
        <f t="shared" si="31"/>
        <v>3630</v>
      </c>
    </row>
    <row r="10" spans="1:94" s="3" customFormat="1" ht="13.5" customHeight="1" x14ac:dyDescent="0.2">
      <c r="A10" s="81">
        <v>6</v>
      </c>
      <c r="B10" s="74">
        <f t="shared" si="32"/>
        <v>25436818</v>
      </c>
      <c r="C10" s="74">
        <v>25441088</v>
      </c>
      <c r="D10" s="75">
        <f t="shared" si="0"/>
        <v>4270</v>
      </c>
      <c r="E10" s="76">
        <f t="shared" si="56"/>
        <v>22443548</v>
      </c>
      <c r="F10" s="77">
        <v>22448913</v>
      </c>
      <c r="G10" s="76">
        <f t="shared" si="33"/>
        <v>5365</v>
      </c>
      <c r="H10" s="78">
        <f t="shared" si="34"/>
        <v>85051241</v>
      </c>
      <c r="I10" s="78">
        <v>85066574</v>
      </c>
      <c r="J10" s="82">
        <f t="shared" si="1"/>
        <v>15333</v>
      </c>
      <c r="K10" s="78">
        <f t="shared" si="57"/>
        <v>1915100</v>
      </c>
      <c r="L10" s="79">
        <v>1917300</v>
      </c>
      <c r="M10" s="82">
        <f t="shared" si="2"/>
        <v>2200</v>
      </c>
      <c r="N10" s="78">
        <f t="shared" si="58"/>
        <v>2590080</v>
      </c>
      <c r="O10" s="78">
        <v>2592934</v>
      </c>
      <c r="P10" s="82">
        <f t="shared" si="3"/>
        <v>2854</v>
      </c>
      <c r="Q10" s="78">
        <f t="shared" si="35"/>
        <v>1575000</v>
      </c>
      <c r="R10" s="79">
        <v>1577200</v>
      </c>
      <c r="S10" s="82">
        <f t="shared" si="4"/>
        <v>2200</v>
      </c>
      <c r="T10" s="78">
        <f t="shared" si="59"/>
        <v>717722</v>
      </c>
      <c r="U10" s="79">
        <v>718398</v>
      </c>
      <c r="V10" s="82">
        <f t="shared" si="5"/>
        <v>676</v>
      </c>
      <c r="W10" s="78">
        <f t="shared" si="60"/>
        <v>7430700</v>
      </c>
      <c r="X10" s="79">
        <v>7437700</v>
      </c>
      <c r="Y10" s="82">
        <f t="shared" si="6"/>
        <v>7000</v>
      </c>
      <c r="Z10" s="78">
        <f t="shared" si="61"/>
        <v>1692900</v>
      </c>
      <c r="AA10" s="79">
        <v>1695200</v>
      </c>
      <c r="AB10" s="82">
        <f t="shared" si="7"/>
        <v>2300</v>
      </c>
      <c r="AC10" s="78">
        <f t="shared" si="8"/>
        <v>483508</v>
      </c>
      <c r="AD10" s="78">
        <v>483964</v>
      </c>
      <c r="AE10" s="82">
        <f t="shared" si="9"/>
        <v>456</v>
      </c>
      <c r="AF10" s="78">
        <f t="shared" si="10"/>
        <v>349580</v>
      </c>
      <c r="AG10" s="78">
        <v>349970</v>
      </c>
      <c r="AH10" s="82">
        <f t="shared" si="11"/>
        <v>390</v>
      </c>
      <c r="AI10" s="78">
        <f t="shared" si="12"/>
        <v>604444</v>
      </c>
      <c r="AJ10" s="78">
        <v>605360</v>
      </c>
      <c r="AK10" s="82">
        <f t="shared" si="13"/>
        <v>916</v>
      </c>
      <c r="AL10" s="78">
        <f t="shared" si="36"/>
        <v>1099400</v>
      </c>
      <c r="AM10" s="78">
        <v>1100900</v>
      </c>
      <c r="AN10" s="82">
        <f t="shared" si="14"/>
        <v>1500</v>
      </c>
      <c r="AO10" s="78">
        <f t="shared" si="37"/>
        <v>700580</v>
      </c>
      <c r="AP10" s="79">
        <v>701590</v>
      </c>
      <c r="AQ10" s="82">
        <f t="shared" si="15"/>
        <v>1010</v>
      </c>
      <c r="AR10" s="78">
        <f t="shared" si="38"/>
        <v>591870</v>
      </c>
      <c r="AS10" s="78">
        <v>591870</v>
      </c>
      <c r="AT10" s="82">
        <f t="shared" si="16"/>
        <v>0</v>
      </c>
      <c r="AU10" s="78">
        <f t="shared" si="39"/>
        <v>553720</v>
      </c>
      <c r="AV10" s="78">
        <v>555230</v>
      </c>
      <c r="AW10" s="82">
        <f t="shared" si="17"/>
        <v>1510</v>
      </c>
      <c r="AX10" s="78">
        <f t="shared" si="40"/>
        <v>425360</v>
      </c>
      <c r="AY10" s="78">
        <v>426700</v>
      </c>
      <c r="AZ10" s="82">
        <f t="shared" si="18"/>
        <v>1340</v>
      </c>
      <c r="BA10" s="78">
        <f t="shared" si="41"/>
        <v>1206900</v>
      </c>
      <c r="BB10" s="78">
        <v>1212100</v>
      </c>
      <c r="BC10" s="82">
        <f t="shared" si="19"/>
        <v>5200</v>
      </c>
      <c r="BD10" s="82">
        <f t="shared" si="42"/>
        <v>26950</v>
      </c>
      <c r="BE10" s="82">
        <v>27060</v>
      </c>
      <c r="BF10" s="82">
        <f t="shared" si="43"/>
        <v>110</v>
      </c>
      <c r="BG10" s="78">
        <f t="shared" si="44"/>
        <v>21754</v>
      </c>
      <c r="BH10" s="78">
        <v>21863</v>
      </c>
      <c r="BI10" s="168">
        <f t="shared" si="20"/>
        <v>109</v>
      </c>
      <c r="BJ10" s="78">
        <f t="shared" si="45"/>
        <v>19638</v>
      </c>
      <c r="BK10" s="78">
        <v>19734</v>
      </c>
      <c r="BL10" s="82">
        <f t="shared" si="21"/>
        <v>96</v>
      </c>
      <c r="BM10" s="78">
        <f t="shared" si="46"/>
        <v>30799</v>
      </c>
      <c r="BN10" s="78">
        <v>30940</v>
      </c>
      <c r="BO10" s="82">
        <f t="shared" si="22"/>
        <v>141</v>
      </c>
      <c r="BP10" s="78">
        <f t="shared" si="47"/>
        <v>22736</v>
      </c>
      <c r="BQ10" s="78">
        <v>22825</v>
      </c>
      <c r="BR10" s="82">
        <f t="shared" si="23"/>
        <v>89</v>
      </c>
      <c r="BS10" s="78">
        <f t="shared" si="48"/>
        <v>22248</v>
      </c>
      <c r="BT10" s="78">
        <v>22351</v>
      </c>
      <c r="BU10" s="82">
        <f t="shared" si="24"/>
        <v>103</v>
      </c>
      <c r="BV10" s="78">
        <f t="shared" si="49"/>
        <v>15383</v>
      </c>
      <c r="BW10" s="78">
        <v>15468</v>
      </c>
      <c r="BX10" s="82">
        <f t="shared" si="25"/>
        <v>85</v>
      </c>
      <c r="BY10" s="78">
        <f t="shared" si="50"/>
        <v>40897</v>
      </c>
      <c r="BZ10" s="79">
        <v>41062</v>
      </c>
      <c r="CA10" s="82">
        <f t="shared" si="26"/>
        <v>165</v>
      </c>
      <c r="CB10" s="78">
        <f t="shared" si="51"/>
        <v>30512</v>
      </c>
      <c r="CC10" s="78">
        <v>30619</v>
      </c>
      <c r="CD10" s="82">
        <f t="shared" si="27"/>
        <v>107</v>
      </c>
      <c r="CE10" s="78">
        <f t="shared" si="52"/>
        <v>91333</v>
      </c>
      <c r="CF10" s="79">
        <v>91615</v>
      </c>
      <c r="CG10" s="82">
        <f t="shared" si="28"/>
        <v>282</v>
      </c>
      <c r="CH10" s="78">
        <f t="shared" si="53"/>
        <v>68015</v>
      </c>
      <c r="CI10" s="78">
        <v>68348</v>
      </c>
      <c r="CJ10" s="82">
        <f t="shared" si="29"/>
        <v>333</v>
      </c>
      <c r="CK10" s="78">
        <f t="shared" si="54"/>
        <v>15441</v>
      </c>
      <c r="CL10" s="78">
        <v>15494</v>
      </c>
      <c r="CM10" s="82">
        <f t="shared" si="30"/>
        <v>53</v>
      </c>
      <c r="CN10" s="78">
        <f t="shared" si="55"/>
        <v>115560</v>
      </c>
      <c r="CO10" s="78">
        <v>119120</v>
      </c>
      <c r="CP10" s="82">
        <f t="shared" si="31"/>
        <v>3560</v>
      </c>
    </row>
    <row r="11" spans="1:94" s="3" customFormat="1" ht="13.5" customHeight="1" x14ac:dyDescent="0.2">
      <c r="A11" s="81">
        <v>7</v>
      </c>
      <c r="B11" s="74">
        <f t="shared" si="32"/>
        <v>25441088</v>
      </c>
      <c r="C11" s="74">
        <v>25445244</v>
      </c>
      <c r="D11" s="75">
        <f t="shared" si="0"/>
        <v>4156</v>
      </c>
      <c r="E11" s="76">
        <f t="shared" si="56"/>
        <v>22448913</v>
      </c>
      <c r="F11" s="77">
        <v>22454614</v>
      </c>
      <c r="G11" s="76">
        <f t="shared" si="33"/>
        <v>5701</v>
      </c>
      <c r="H11" s="78">
        <f t="shared" si="34"/>
        <v>85066574</v>
      </c>
      <c r="I11" s="78">
        <v>85082504</v>
      </c>
      <c r="J11" s="82">
        <f t="shared" si="1"/>
        <v>15930</v>
      </c>
      <c r="K11" s="78">
        <f t="shared" si="57"/>
        <v>1917300</v>
      </c>
      <c r="L11" s="79">
        <v>1919300</v>
      </c>
      <c r="M11" s="82">
        <f t="shared" si="2"/>
        <v>2000</v>
      </c>
      <c r="N11" s="78">
        <f t="shared" si="58"/>
        <v>2592934</v>
      </c>
      <c r="O11" s="78">
        <v>2595831</v>
      </c>
      <c r="P11" s="82">
        <f t="shared" si="3"/>
        <v>2897</v>
      </c>
      <c r="Q11" s="78">
        <f t="shared" si="35"/>
        <v>1577200</v>
      </c>
      <c r="R11" s="79">
        <v>1579700</v>
      </c>
      <c r="S11" s="82">
        <f t="shared" si="4"/>
        <v>2500</v>
      </c>
      <c r="T11" s="78">
        <f t="shared" si="59"/>
        <v>718398</v>
      </c>
      <c r="U11" s="79">
        <v>719066</v>
      </c>
      <c r="V11" s="82">
        <f t="shared" si="5"/>
        <v>668</v>
      </c>
      <c r="W11" s="78">
        <f t="shared" si="60"/>
        <v>7437700</v>
      </c>
      <c r="X11" s="79">
        <v>7444900</v>
      </c>
      <c r="Y11" s="82">
        <f t="shared" si="6"/>
        <v>7200</v>
      </c>
      <c r="Z11" s="78">
        <f t="shared" si="61"/>
        <v>1695200</v>
      </c>
      <c r="AA11" s="79">
        <v>1697400</v>
      </c>
      <c r="AB11" s="82">
        <f t="shared" si="7"/>
        <v>2200</v>
      </c>
      <c r="AC11" s="78">
        <f t="shared" si="8"/>
        <v>483964</v>
      </c>
      <c r="AD11" s="78">
        <v>484401</v>
      </c>
      <c r="AE11" s="82">
        <f t="shared" si="9"/>
        <v>437</v>
      </c>
      <c r="AF11" s="78">
        <f t="shared" si="10"/>
        <v>349970</v>
      </c>
      <c r="AG11" s="78">
        <v>350450</v>
      </c>
      <c r="AH11" s="82">
        <f t="shared" si="11"/>
        <v>480</v>
      </c>
      <c r="AI11" s="78">
        <f t="shared" si="12"/>
        <v>605360</v>
      </c>
      <c r="AJ11" s="78">
        <v>606320</v>
      </c>
      <c r="AK11" s="82">
        <f t="shared" si="13"/>
        <v>960</v>
      </c>
      <c r="AL11" s="78">
        <f t="shared" si="36"/>
        <v>1100900</v>
      </c>
      <c r="AM11" s="78">
        <v>1102300</v>
      </c>
      <c r="AN11" s="82">
        <f t="shared" si="14"/>
        <v>1400</v>
      </c>
      <c r="AO11" s="78">
        <f t="shared" si="37"/>
        <v>701590</v>
      </c>
      <c r="AP11" s="79">
        <v>702660</v>
      </c>
      <c r="AQ11" s="82">
        <f t="shared" si="15"/>
        <v>1070</v>
      </c>
      <c r="AR11" s="78">
        <f t="shared" si="38"/>
        <v>591870</v>
      </c>
      <c r="AS11" s="78">
        <v>596590</v>
      </c>
      <c r="AT11" s="82">
        <f t="shared" si="16"/>
        <v>4720</v>
      </c>
      <c r="AU11" s="78">
        <f t="shared" si="39"/>
        <v>555230</v>
      </c>
      <c r="AV11" s="78">
        <v>557080</v>
      </c>
      <c r="AW11" s="82">
        <f t="shared" si="17"/>
        <v>1850</v>
      </c>
      <c r="AX11" s="78">
        <f t="shared" si="40"/>
        <v>426700</v>
      </c>
      <c r="AY11" s="78">
        <v>428050</v>
      </c>
      <c r="AZ11" s="82">
        <f t="shared" si="18"/>
        <v>1350</v>
      </c>
      <c r="BA11" s="78">
        <f t="shared" si="41"/>
        <v>1212100</v>
      </c>
      <c r="BB11" s="78">
        <v>1216900</v>
      </c>
      <c r="BC11" s="82">
        <f t="shared" si="19"/>
        <v>4800</v>
      </c>
      <c r="BD11" s="82">
        <f t="shared" si="42"/>
        <v>27060</v>
      </c>
      <c r="BE11" s="82">
        <v>27189</v>
      </c>
      <c r="BF11" s="82">
        <f t="shared" si="43"/>
        <v>129</v>
      </c>
      <c r="BG11" s="78">
        <f t="shared" si="44"/>
        <v>21863</v>
      </c>
      <c r="BH11" s="78">
        <v>21970</v>
      </c>
      <c r="BI11" s="168">
        <f t="shared" si="20"/>
        <v>107</v>
      </c>
      <c r="BJ11" s="78">
        <f t="shared" si="45"/>
        <v>19734</v>
      </c>
      <c r="BK11" s="78">
        <v>19814</v>
      </c>
      <c r="BL11" s="82">
        <f t="shared" si="21"/>
        <v>80</v>
      </c>
      <c r="BM11" s="78">
        <f t="shared" si="46"/>
        <v>30940</v>
      </c>
      <c r="BN11" s="78">
        <v>31043</v>
      </c>
      <c r="BO11" s="82">
        <f t="shared" si="22"/>
        <v>103</v>
      </c>
      <c r="BP11" s="78">
        <f t="shared" si="47"/>
        <v>22825</v>
      </c>
      <c r="BQ11" s="78">
        <v>22736</v>
      </c>
      <c r="BR11" s="82">
        <f t="shared" si="23"/>
        <v>-89</v>
      </c>
      <c r="BS11" s="78">
        <f t="shared" si="48"/>
        <v>22351</v>
      </c>
      <c r="BT11" s="78">
        <v>22406</v>
      </c>
      <c r="BU11" s="82">
        <f t="shared" si="24"/>
        <v>55</v>
      </c>
      <c r="BV11" s="78">
        <f t="shared" si="49"/>
        <v>15468</v>
      </c>
      <c r="BW11" s="78">
        <v>15489</v>
      </c>
      <c r="BX11" s="82">
        <f t="shared" si="25"/>
        <v>21</v>
      </c>
      <c r="BY11" s="78">
        <f t="shared" si="50"/>
        <v>41062</v>
      </c>
      <c r="BZ11" s="79">
        <v>41188</v>
      </c>
      <c r="CA11" s="82">
        <f t="shared" si="26"/>
        <v>126</v>
      </c>
      <c r="CB11" s="78">
        <f t="shared" si="51"/>
        <v>30619</v>
      </c>
      <c r="CC11" s="78">
        <v>30678</v>
      </c>
      <c r="CD11" s="82">
        <f t="shared" si="27"/>
        <v>59</v>
      </c>
      <c r="CE11" s="78">
        <f t="shared" si="52"/>
        <v>91615</v>
      </c>
      <c r="CF11" s="79">
        <v>91907</v>
      </c>
      <c r="CG11" s="82">
        <f t="shared" si="28"/>
        <v>292</v>
      </c>
      <c r="CH11" s="78">
        <f t="shared" si="53"/>
        <v>68348</v>
      </c>
      <c r="CI11" s="78">
        <v>68735</v>
      </c>
      <c r="CJ11" s="82">
        <f t="shared" si="29"/>
        <v>387</v>
      </c>
      <c r="CK11" s="78">
        <f t="shared" si="54"/>
        <v>15494</v>
      </c>
      <c r="CL11" s="78">
        <v>15549</v>
      </c>
      <c r="CM11" s="82">
        <f t="shared" si="30"/>
        <v>55</v>
      </c>
      <c r="CN11" s="78">
        <f t="shared" si="55"/>
        <v>119120</v>
      </c>
      <c r="CO11" s="78">
        <v>122650</v>
      </c>
      <c r="CP11" s="82">
        <f t="shared" si="31"/>
        <v>3530</v>
      </c>
    </row>
    <row r="12" spans="1:94" s="3" customFormat="1" ht="13.5" customHeight="1" x14ac:dyDescent="0.2">
      <c r="A12" s="81">
        <v>8</v>
      </c>
      <c r="B12" s="74">
        <f t="shared" si="32"/>
        <v>25445244</v>
      </c>
      <c r="C12" s="74">
        <v>25449373</v>
      </c>
      <c r="D12" s="75">
        <f t="shared" si="0"/>
        <v>4129</v>
      </c>
      <c r="E12" s="76">
        <f t="shared" si="56"/>
        <v>22454614</v>
      </c>
      <c r="F12" s="77">
        <v>22460658</v>
      </c>
      <c r="G12" s="76">
        <f t="shared" si="33"/>
        <v>6044</v>
      </c>
      <c r="H12" s="78">
        <f t="shared" si="34"/>
        <v>85082504</v>
      </c>
      <c r="I12" s="78">
        <v>85097970</v>
      </c>
      <c r="J12" s="82">
        <f t="shared" si="1"/>
        <v>15466</v>
      </c>
      <c r="K12" s="78">
        <f t="shared" si="57"/>
        <v>1919300</v>
      </c>
      <c r="L12" s="79">
        <v>1921400</v>
      </c>
      <c r="M12" s="82">
        <f t="shared" si="2"/>
        <v>2100</v>
      </c>
      <c r="N12" s="78">
        <f t="shared" si="58"/>
        <v>2595831</v>
      </c>
      <c r="O12" s="78">
        <v>2598695</v>
      </c>
      <c r="P12" s="82">
        <f t="shared" si="3"/>
        <v>2864</v>
      </c>
      <c r="Q12" s="78">
        <f t="shared" si="35"/>
        <v>1579700</v>
      </c>
      <c r="R12" s="79">
        <v>1581700</v>
      </c>
      <c r="S12" s="82">
        <f t="shared" si="4"/>
        <v>2000</v>
      </c>
      <c r="T12" s="78">
        <f t="shared" si="59"/>
        <v>719066</v>
      </c>
      <c r="U12" s="79">
        <v>719719</v>
      </c>
      <c r="V12" s="82">
        <f t="shared" si="5"/>
        <v>653</v>
      </c>
      <c r="W12" s="78">
        <f t="shared" si="60"/>
        <v>7444900</v>
      </c>
      <c r="X12" s="79">
        <v>7451800</v>
      </c>
      <c r="Y12" s="82">
        <f t="shared" si="6"/>
        <v>6900</v>
      </c>
      <c r="Z12" s="78">
        <f t="shared" si="61"/>
        <v>1697400</v>
      </c>
      <c r="AA12" s="79">
        <v>1699500</v>
      </c>
      <c r="AB12" s="82">
        <f t="shared" si="7"/>
        <v>2100</v>
      </c>
      <c r="AC12" s="78">
        <f t="shared" si="8"/>
        <v>484401</v>
      </c>
      <c r="AD12" s="78">
        <v>484844</v>
      </c>
      <c r="AE12" s="82">
        <f t="shared" si="9"/>
        <v>443</v>
      </c>
      <c r="AF12" s="78">
        <f t="shared" si="10"/>
        <v>350450</v>
      </c>
      <c r="AG12" s="78">
        <v>350900</v>
      </c>
      <c r="AH12" s="82">
        <f t="shared" si="11"/>
        <v>450</v>
      </c>
      <c r="AI12" s="78">
        <f t="shared" si="12"/>
        <v>606320</v>
      </c>
      <c r="AJ12" s="78">
        <v>607280</v>
      </c>
      <c r="AK12" s="82">
        <f t="shared" si="13"/>
        <v>960</v>
      </c>
      <c r="AL12" s="78">
        <f t="shared" si="36"/>
        <v>1102300</v>
      </c>
      <c r="AM12" s="78">
        <v>1103800</v>
      </c>
      <c r="AN12" s="82">
        <f t="shared" si="14"/>
        <v>1500</v>
      </c>
      <c r="AO12" s="78">
        <f t="shared" si="37"/>
        <v>702660</v>
      </c>
      <c r="AP12" s="79">
        <v>703670</v>
      </c>
      <c r="AQ12" s="82">
        <f t="shared" si="15"/>
        <v>1010</v>
      </c>
      <c r="AR12" s="78">
        <f t="shared" si="38"/>
        <v>596590</v>
      </c>
      <c r="AS12" s="78">
        <v>597280</v>
      </c>
      <c r="AT12" s="82">
        <f t="shared" si="16"/>
        <v>690</v>
      </c>
      <c r="AU12" s="78">
        <f t="shared" si="39"/>
        <v>557080</v>
      </c>
      <c r="AV12" s="78">
        <v>558670</v>
      </c>
      <c r="AW12" s="82">
        <f t="shared" si="17"/>
        <v>1590</v>
      </c>
      <c r="AX12" s="78">
        <f t="shared" si="40"/>
        <v>428050</v>
      </c>
      <c r="AY12" s="78">
        <v>429370</v>
      </c>
      <c r="AZ12" s="82">
        <f t="shared" si="18"/>
        <v>1320</v>
      </c>
      <c r="BA12" s="78">
        <f t="shared" si="41"/>
        <v>1216900</v>
      </c>
      <c r="BB12" s="78">
        <v>1222100</v>
      </c>
      <c r="BC12" s="82">
        <f t="shared" si="19"/>
        <v>5200</v>
      </c>
      <c r="BD12" s="82">
        <f t="shared" si="42"/>
        <v>27189</v>
      </c>
      <c r="BE12" s="82">
        <v>27316</v>
      </c>
      <c r="BF12" s="82">
        <f t="shared" si="43"/>
        <v>127</v>
      </c>
      <c r="BG12" s="78">
        <f t="shared" si="44"/>
        <v>21970</v>
      </c>
      <c r="BH12" s="78">
        <v>22087</v>
      </c>
      <c r="BI12" s="168">
        <f t="shared" si="20"/>
        <v>117</v>
      </c>
      <c r="BJ12" s="78">
        <f t="shared" si="45"/>
        <v>19814</v>
      </c>
      <c r="BK12" s="78">
        <v>19913</v>
      </c>
      <c r="BL12" s="82">
        <f t="shared" si="21"/>
        <v>99</v>
      </c>
      <c r="BM12" s="78">
        <f t="shared" si="46"/>
        <v>31043</v>
      </c>
      <c r="BN12" s="78">
        <v>31196</v>
      </c>
      <c r="BO12" s="82">
        <f t="shared" si="22"/>
        <v>153</v>
      </c>
      <c r="BP12" s="78">
        <f t="shared" si="47"/>
        <v>22736</v>
      </c>
      <c r="BQ12" s="78">
        <v>22943</v>
      </c>
      <c r="BR12" s="82">
        <f t="shared" si="23"/>
        <v>207</v>
      </c>
      <c r="BS12" s="78">
        <f t="shared" si="48"/>
        <v>22406</v>
      </c>
      <c r="BT12" s="78">
        <v>22511</v>
      </c>
      <c r="BU12" s="82">
        <f t="shared" si="24"/>
        <v>105</v>
      </c>
      <c r="BV12" s="78">
        <f t="shared" si="49"/>
        <v>15489</v>
      </c>
      <c r="BW12" s="78">
        <v>15538</v>
      </c>
      <c r="BX12" s="82">
        <f t="shared" si="25"/>
        <v>49</v>
      </c>
      <c r="BY12" s="78">
        <f t="shared" si="50"/>
        <v>41188</v>
      </c>
      <c r="BZ12" s="79">
        <v>41346</v>
      </c>
      <c r="CA12" s="82">
        <f t="shared" si="26"/>
        <v>158</v>
      </c>
      <c r="CB12" s="78">
        <f t="shared" si="51"/>
        <v>30678</v>
      </c>
      <c r="CC12" s="78">
        <v>30759</v>
      </c>
      <c r="CD12" s="82">
        <f t="shared" si="27"/>
        <v>81</v>
      </c>
      <c r="CE12" s="78">
        <f t="shared" si="52"/>
        <v>91907</v>
      </c>
      <c r="CF12" s="79">
        <v>92191</v>
      </c>
      <c r="CG12" s="82">
        <f t="shared" si="28"/>
        <v>284</v>
      </c>
      <c r="CH12" s="78">
        <f t="shared" si="53"/>
        <v>68735</v>
      </c>
      <c r="CI12" s="78">
        <v>68735</v>
      </c>
      <c r="CJ12" s="82">
        <f t="shared" si="29"/>
        <v>0</v>
      </c>
      <c r="CK12" s="78">
        <f t="shared" si="54"/>
        <v>15549</v>
      </c>
      <c r="CL12" s="78">
        <v>15604</v>
      </c>
      <c r="CM12" s="82">
        <f t="shared" si="30"/>
        <v>55</v>
      </c>
      <c r="CN12" s="78">
        <f t="shared" si="55"/>
        <v>122650</v>
      </c>
      <c r="CO12" s="78">
        <v>125380</v>
      </c>
      <c r="CP12" s="82">
        <f t="shared" si="31"/>
        <v>2730</v>
      </c>
    </row>
    <row r="13" spans="1:94" s="3" customFormat="1" ht="13.5" customHeight="1" x14ac:dyDescent="0.2">
      <c r="A13" s="81">
        <v>9</v>
      </c>
      <c r="B13" s="74">
        <f t="shared" si="32"/>
        <v>25449373</v>
      </c>
      <c r="C13" s="74">
        <v>25453268</v>
      </c>
      <c r="D13" s="75">
        <f t="shared" si="0"/>
        <v>3895</v>
      </c>
      <c r="E13" s="76">
        <f t="shared" si="56"/>
        <v>22460658</v>
      </c>
      <c r="F13" s="77">
        <v>22466192</v>
      </c>
      <c r="G13" s="76">
        <f t="shared" si="33"/>
        <v>5534</v>
      </c>
      <c r="H13" s="78">
        <f t="shared" si="34"/>
        <v>85097970</v>
      </c>
      <c r="I13" s="78">
        <v>85113342</v>
      </c>
      <c r="J13" s="82">
        <f t="shared" si="1"/>
        <v>15372</v>
      </c>
      <c r="K13" s="78">
        <f t="shared" si="57"/>
        <v>1921400</v>
      </c>
      <c r="L13" s="79">
        <v>1923400</v>
      </c>
      <c r="M13" s="82">
        <f t="shared" si="2"/>
        <v>2000</v>
      </c>
      <c r="N13" s="78">
        <f t="shared" si="58"/>
        <v>2598695</v>
      </c>
      <c r="O13" s="78">
        <v>2601521</v>
      </c>
      <c r="P13" s="82">
        <f t="shared" si="3"/>
        <v>2826</v>
      </c>
      <c r="Q13" s="78">
        <f t="shared" si="35"/>
        <v>1581700</v>
      </c>
      <c r="R13" s="79">
        <v>1583800</v>
      </c>
      <c r="S13" s="82">
        <f t="shared" si="4"/>
        <v>2100</v>
      </c>
      <c r="T13" s="78">
        <f t="shared" si="59"/>
        <v>719719</v>
      </c>
      <c r="U13" s="79">
        <v>720387</v>
      </c>
      <c r="V13" s="82">
        <f t="shared" si="5"/>
        <v>668</v>
      </c>
      <c r="W13" s="78">
        <f t="shared" si="60"/>
        <v>7451800</v>
      </c>
      <c r="X13" s="79">
        <v>7458500</v>
      </c>
      <c r="Y13" s="82">
        <f t="shared" si="6"/>
        <v>6700</v>
      </c>
      <c r="Z13" s="78">
        <f t="shared" si="61"/>
        <v>1699500</v>
      </c>
      <c r="AA13" s="79">
        <v>1701400</v>
      </c>
      <c r="AB13" s="82">
        <f t="shared" si="7"/>
        <v>1900</v>
      </c>
      <c r="AC13" s="78">
        <f t="shared" si="8"/>
        <v>484844</v>
      </c>
      <c r="AD13" s="78">
        <v>485290</v>
      </c>
      <c r="AE13" s="82">
        <f t="shared" si="9"/>
        <v>446</v>
      </c>
      <c r="AF13" s="78">
        <f t="shared" si="10"/>
        <v>350900</v>
      </c>
      <c r="AG13" s="78">
        <v>351360</v>
      </c>
      <c r="AH13" s="82">
        <f t="shared" si="11"/>
        <v>460</v>
      </c>
      <c r="AI13" s="78">
        <f t="shared" si="12"/>
        <v>607280</v>
      </c>
      <c r="AJ13" s="78">
        <v>608270</v>
      </c>
      <c r="AK13" s="82">
        <f t="shared" si="13"/>
        <v>990</v>
      </c>
      <c r="AL13" s="78">
        <f t="shared" si="36"/>
        <v>1103800</v>
      </c>
      <c r="AM13" s="78">
        <v>1105400</v>
      </c>
      <c r="AN13" s="82">
        <f t="shared" si="14"/>
        <v>1600</v>
      </c>
      <c r="AO13" s="78">
        <f t="shared" si="37"/>
        <v>703670</v>
      </c>
      <c r="AP13" s="79">
        <v>704760</v>
      </c>
      <c r="AQ13" s="82">
        <f t="shared" si="15"/>
        <v>1090</v>
      </c>
      <c r="AR13" s="78">
        <f t="shared" si="38"/>
        <v>597280</v>
      </c>
      <c r="AS13" s="78">
        <v>597780</v>
      </c>
      <c r="AT13" s="82">
        <f t="shared" si="16"/>
        <v>500</v>
      </c>
      <c r="AU13" s="78">
        <f t="shared" si="39"/>
        <v>558670</v>
      </c>
      <c r="AV13" s="78">
        <v>560390</v>
      </c>
      <c r="AW13" s="82">
        <f t="shared" si="17"/>
        <v>1720</v>
      </c>
      <c r="AX13" s="78">
        <f t="shared" si="40"/>
        <v>429370</v>
      </c>
      <c r="AY13" s="78">
        <v>430590</v>
      </c>
      <c r="AZ13" s="82">
        <f t="shared" si="18"/>
        <v>1220</v>
      </c>
      <c r="BA13" s="78">
        <f t="shared" si="41"/>
        <v>1222100</v>
      </c>
      <c r="BB13" s="78">
        <v>1227000</v>
      </c>
      <c r="BC13" s="82">
        <f t="shared" si="19"/>
        <v>4900</v>
      </c>
      <c r="BD13" s="82">
        <f t="shared" si="42"/>
        <v>27316</v>
      </c>
      <c r="BE13" s="82">
        <v>27426</v>
      </c>
      <c r="BF13" s="82">
        <f t="shared" si="43"/>
        <v>110</v>
      </c>
      <c r="BG13" s="78">
        <f t="shared" si="44"/>
        <v>22087</v>
      </c>
      <c r="BH13" s="78">
        <v>22183</v>
      </c>
      <c r="BI13" s="168">
        <f t="shared" si="20"/>
        <v>96</v>
      </c>
      <c r="BJ13" s="78">
        <f t="shared" si="45"/>
        <v>19913</v>
      </c>
      <c r="BK13" s="78">
        <v>19994</v>
      </c>
      <c r="BL13" s="82">
        <f t="shared" si="21"/>
        <v>81</v>
      </c>
      <c r="BM13" s="78">
        <f t="shared" si="46"/>
        <v>31196</v>
      </c>
      <c r="BN13" s="78">
        <v>31310</v>
      </c>
      <c r="BO13" s="82">
        <f t="shared" si="22"/>
        <v>114</v>
      </c>
      <c r="BP13" s="78">
        <f t="shared" si="47"/>
        <v>22943</v>
      </c>
      <c r="BQ13" s="78">
        <v>23052</v>
      </c>
      <c r="BR13" s="82">
        <f t="shared" si="23"/>
        <v>109</v>
      </c>
      <c r="BS13" s="78">
        <f t="shared" si="48"/>
        <v>22511</v>
      </c>
      <c r="BT13" s="78">
        <v>22589</v>
      </c>
      <c r="BU13" s="82">
        <f t="shared" si="24"/>
        <v>78</v>
      </c>
      <c r="BV13" s="78">
        <f t="shared" si="49"/>
        <v>15538</v>
      </c>
      <c r="BW13" s="78">
        <v>15587</v>
      </c>
      <c r="BX13" s="82">
        <f t="shared" si="25"/>
        <v>49</v>
      </c>
      <c r="BY13" s="78">
        <f t="shared" si="50"/>
        <v>41346</v>
      </c>
      <c r="BZ13" s="79">
        <v>41470</v>
      </c>
      <c r="CA13" s="82">
        <f t="shared" si="26"/>
        <v>124</v>
      </c>
      <c r="CB13" s="78">
        <f t="shared" si="51"/>
        <v>30759</v>
      </c>
      <c r="CC13" s="78">
        <v>30832</v>
      </c>
      <c r="CD13" s="82">
        <f t="shared" si="27"/>
        <v>73</v>
      </c>
      <c r="CE13" s="78">
        <f t="shared" si="52"/>
        <v>92191</v>
      </c>
      <c r="CF13" s="79">
        <v>92435</v>
      </c>
      <c r="CG13" s="82">
        <f t="shared" si="28"/>
        <v>244</v>
      </c>
      <c r="CH13" s="78">
        <f t="shared" si="53"/>
        <v>68735</v>
      </c>
      <c r="CI13" s="78">
        <v>69132</v>
      </c>
      <c r="CJ13" s="82">
        <f t="shared" si="29"/>
        <v>397</v>
      </c>
      <c r="CK13" s="78">
        <f t="shared" si="54"/>
        <v>15604</v>
      </c>
      <c r="CL13" s="78">
        <v>15657</v>
      </c>
      <c r="CM13" s="82">
        <f t="shared" si="30"/>
        <v>53</v>
      </c>
      <c r="CN13" s="78">
        <f t="shared" si="55"/>
        <v>125380</v>
      </c>
      <c r="CO13" s="78">
        <v>129820</v>
      </c>
      <c r="CP13" s="82">
        <f t="shared" si="31"/>
        <v>4440</v>
      </c>
    </row>
    <row r="14" spans="1:94" s="3" customFormat="1" ht="13.5" customHeight="1" x14ac:dyDescent="0.2">
      <c r="A14" s="90">
        <v>10</v>
      </c>
      <c r="B14" s="74">
        <f t="shared" si="32"/>
        <v>25453268</v>
      </c>
      <c r="C14" s="74">
        <v>25457084</v>
      </c>
      <c r="D14" s="75">
        <f t="shared" si="0"/>
        <v>3816</v>
      </c>
      <c r="E14" s="76">
        <f t="shared" si="56"/>
        <v>22466192</v>
      </c>
      <c r="F14" s="77">
        <v>22471634</v>
      </c>
      <c r="G14" s="76">
        <f t="shared" si="33"/>
        <v>5442</v>
      </c>
      <c r="H14" s="78">
        <f t="shared" si="34"/>
        <v>85113342</v>
      </c>
      <c r="I14" s="78">
        <v>85127919</v>
      </c>
      <c r="J14" s="82">
        <f t="shared" si="1"/>
        <v>14577</v>
      </c>
      <c r="K14" s="78">
        <f t="shared" si="57"/>
        <v>1923400</v>
      </c>
      <c r="L14" s="79">
        <v>1925200</v>
      </c>
      <c r="M14" s="82">
        <f t="shared" si="2"/>
        <v>1800</v>
      </c>
      <c r="N14" s="78">
        <f t="shared" si="58"/>
        <v>2601521</v>
      </c>
      <c r="O14" s="78">
        <v>2604466</v>
      </c>
      <c r="P14" s="82">
        <f t="shared" si="3"/>
        <v>2945</v>
      </c>
      <c r="Q14" s="78">
        <f t="shared" si="35"/>
        <v>1583800</v>
      </c>
      <c r="R14" s="79">
        <v>1585800</v>
      </c>
      <c r="S14" s="82">
        <f t="shared" si="4"/>
        <v>2000</v>
      </c>
      <c r="T14" s="78">
        <f t="shared" si="59"/>
        <v>720387</v>
      </c>
      <c r="U14" s="79">
        <v>721034</v>
      </c>
      <c r="V14" s="82">
        <f t="shared" si="5"/>
        <v>647</v>
      </c>
      <c r="W14" s="78">
        <f t="shared" si="60"/>
        <v>7458500</v>
      </c>
      <c r="X14" s="79">
        <v>7464700</v>
      </c>
      <c r="Y14" s="82">
        <f t="shared" si="6"/>
        <v>6200</v>
      </c>
      <c r="Z14" s="78">
        <f t="shared" si="61"/>
        <v>1701400</v>
      </c>
      <c r="AA14" s="79">
        <v>1703600</v>
      </c>
      <c r="AB14" s="82">
        <f t="shared" si="7"/>
        <v>2200</v>
      </c>
      <c r="AC14" s="78">
        <f t="shared" si="8"/>
        <v>485290</v>
      </c>
      <c r="AD14" s="78">
        <v>485702</v>
      </c>
      <c r="AE14" s="82">
        <f t="shared" si="9"/>
        <v>412</v>
      </c>
      <c r="AF14" s="78">
        <f t="shared" si="10"/>
        <v>351360</v>
      </c>
      <c r="AG14" s="78">
        <v>351750</v>
      </c>
      <c r="AH14" s="82">
        <f t="shared" si="11"/>
        <v>390</v>
      </c>
      <c r="AI14" s="78">
        <f t="shared" si="12"/>
        <v>608270</v>
      </c>
      <c r="AJ14" s="78">
        <v>609190</v>
      </c>
      <c r="AK14" s="82">
        <f t="shared" si="13"/>
        <v>920</v>
      </c>
      <c r="AL14" s="78">
        <f t="shared" si="36"/>
        <v>1105400</v>
      </c>
      <c r="AM14" s="78">
        <v>1106800</v>
      </c>
      <c r="AN14" s="82">
        <f t="shared" si="14"/>
        <v>1400</v>
      </c>
      <c r="AO14" s="78">
        <f t="shared" si="37"/>
        <v>704760</v>
      </c>
      <c r="AP14" s="79">
        <v>705730</v>
      </c>
      <c r="AQ14" s="82">
        <f t="shared" si="15"/>
        <v>970</v>
      </c>
      <c r="AR14" s="78">
        <f t="shared" si="38"/>
        <v>597780</v>
      </c>
      <c r="AS14" s="78">
        <v>597784</v>
      </c>
      <c r="AT14" s="82">
        <f t="shared" si="16"/>
        <v>4</v>
      </c>
      <c r="AU14" s="78">
        <f t="shared" si="39"/>
        <v>560390</v>
      </c>
      <c r="AV14" s="78">
        <v>562070</v>
      </c>
      <c r="AW14" s="82">
        <f t="shared" si="17"/>
        <v>1680</v>
      </c>
      <c r="AX14" s="78">
        <f t="shared" si="40"/>
        <v>430590</v>
      </c>
      <c r="AY14" s="78">
        <v>431840</v>
      </c>
      <c r="AZ14" s="82">
        <f t="shared" si="18"/>
        <v>1250</v>
      </c>
      <c r="BA14" s="78">
        <f t="shared" si="41"/>
        <v>1227000</v>
      </c>
      <c r="BB14" s="78">
        <v>1231800</v>
      </c>
      <c r="BC14" s="82">
        <f t="shared" si="19"/>
        <v>4800</v>
      </c>
      <c r="BD14" s="82">
        <f t="shared" si="42"/>
        <v>27426</v>
      </c>
      <c r="BE14" s="82"/>
      <c r="BF14" s="82">
        <f t="shared" si="43"/>
        <v>-27426</v>
      </c>
      <c r="BG14" s="78">
        <f t="shared" si="44"/>
        <v>22183</v>
      </c>
      <c r="BH14" s="78"/>
      <c r="BI14" s="168">
        <f t="shared" si="20"/>
        <v>-22183</v>
      </c>
      <c r="BJ14" s="78">
        <f t="shared" si="45"/>
        <v>19994</v>
      </c>
      <c r="BK14" s="78"/>
      <c r="BL14" s="82">
        <f t="shared" si="21"/>
        <v>-19994</v>
      </c>
      <c r="BM14" s="78">
        <f t="shared" si="46"/>
        <v>31310</v>
      </c>
      <c r="BN14" s="78"/>
      <c r="BO14" s="82">
        <f t="shared" si="22"/>
        <v>-31310</v>
      </c>
      <c r="BP14" s="78">
        <f t="shared" si="47"/>
        <v>23052</v>
      </c>
      <c r="BQ14" s="78"/>
      <c r="BR14" s="82">
        <f t="shared" si="23"/>
        <v>-23052</v>
      </c>
      <c r="BS14" s="78">
        <f t="shared" si="48"/>
        <v>22589</v>
      </c>
      <c r="BT14" s="78"/>
      <c r="BU14" s="82">
        <f t="shared" si="24"/>
        <v>-22589</v>
      </c>
      <c r="BV14" s="78">
        <f t="shared" si="49"/>
        <v>15587</v>
      </c>
      <c r="BW14" s="78"/>
      <c r="BX14" s="82">
        <f t="shared" si="25"/>
        <v>-15587</v>
      </c>
      <c r="BY14" s="78">
        <f t="shared" si="50"/>
        <v>41470</v>
      </c>
      <c r="BZ14" s="79"/>
      <c r="CA14" s="82">
        <f t="shared" si="26"/>
        <v>-41470</v>
      </c>
      <c r="CB14" s="78">
        <f t="shared" si="51"/>
        <v>30832</v>
      </c>
      <c r="CC14" s="78"/>
      <c r="CD14" s="82">
        <f t="shared" si="27"/>
        <v>-30832</v>
      </c>
      <c r="CE14" s="78">
        <f t="shared" si="52"/>
        <v>92435</v>
      </c>
      <c r="CF14" s="79"/>
      <c r="CG14" s="82">
        <f t="shared" si="28"/>
        <v>-92435</v>
      </c>
      <c r="CH14" s="78">
        <f t="shared" si="53"/>
        <v>69132</v>
      </c>
      <c r="CI14" s="78"/>
      <c r="CJ14" s="82">
        <f t="shared" si="29"/>
        <v>-69132</v>
      </c>
      <c r="CK14" s="78">
        <f t="shared" si="54"/>
        <v>15657</v>
      </c>
      <c r="CL14" s="78"/>
      <c r="CM14" s="82">
        <f t="shared" si="30"/>
        <v>-15657</v>
      </c>
      <c r="CN14" s="78">
        <f t="shared" si="55"/>
        <v>129820</v>
      </c>
      <c r="CO14" s="78"/>
      <c r="CP14" s="82">
        <f t="shared" si="31"/>
        <v>-129820</v>
      </c>
    </row>
    <row r="15" spans="1:94" s="3" customFormat="1" ht="13.5" customHeight="1" x14ac:dyDescent="0.2">
      <c r="A15" s="90">
        <v>11</v>
      </c>
      <c r="B15" s="74">
        <f t="shared" si="32"/>
        <v>25457084</v>
      </c>
      <c r="C15" s="74">
        <v>25460879</v>
      </c>
      <c r="D15" s="75">
        <f t="shared" si="0"/>
        <v>3795</v>
      </c>
      <c r="E15" s="76">
        <f t="shared" si="56"/>
        <v>22471634</v>
      </c>
      <c r="F15" s="77">
        <v>22477367</v>
      </c>
      <c r="G15" s="76">
        <f t="shared" si="33"/>
        <v>5733</v>
      </c>
      <c r="H15" s="78">
        <f t="shared" si="34"/>
        <v>85127919</v>
      </c>
      <c r="I15" s="78">
        <v>85142907</v>
      </c>
      <c r="J15" s="82">
        <f t="shared" si="1"/>
        <v>14988</v>
      </c>
      <c r="K15" s="78">
        <f t="shared" si="57"/>
        <v>1925200</v>
      </c>
      <c r="L15" s="79">
        <v>1927200</v>
      </c>
      <c r="M15" s="82">
        <f t="shared" si="2"/>
        <v>2000</v>
      </c>
      <c r="N15" s="78">
        <f t="shared" si="58"/>
        <v>2604466</v>
      </c>
      <c r="O15" s="78">
        <v>2607739</v>
      </c>
      <c r="P15" s="82">
        <f t="shared" si="3"/>
        <v>3273</v>
      </c>
      <c r="Q15" s="78">
        <f t="shared" si="35"/>
        <v>1585800</v>
      </c>
      <c r="R15" s="79">
        <v>1587700</v>
      </c>
      <c r="S15" s="82">
        <f t="shared" si="4"/>
        <v>1900</v>
      </c>
      <c r="T15" s="78">
        <f t="shared" si="59"/>
        <v>721034</v>
      </c>
      <c r="U15" s="79">
        <v>721738</v>
      </c>
      <c r="V15" s="82">
        <f t="shared" si="5"/>
        <v>704</v>
      </c>
      <c r="W15" s="78">
        <f t="shared" si="60"/>
        <v>7464700</v>
      </c>
      <c r="X15" s="79">
        <v>7471900</v>
      </c>
      <c r="Y15" s="82">
        <f t="shared" si="6"/>
        <v>7200</v>
      </c>
      <c r="Z15" s="78">
        <f t="shared" si="61"/>
        <v>1703600</v>
      </c>
      <c r="AA15" s="79">
        <v>1705700</v>
      </c>
      <c r="AB15" s="82">
        <f t="shared" si="7"/>
        <v>2100</v>
      </c>
      <c r="AC15" s="78">
        <f t="shared" si="8"/>
        <v>485702</v>
      </c>
      <c r="AD15" s="78">
        <v>486128</v>
      </c>
      <c r="AE15" s="82">
        <f t="shared" si="9"/>
        <v>426</v>
      </c>
      <c r="AF15" s="78">
        <f t="shared" si="10"/>
        <v>351750</v>
      </c>
      <c r="AG15" s="78">
        <v>352150</v>
      </c>
      <c r="AH15" s="82">
        <f t="shared" si="11"/>
        <v>400</v>
      </c>
      <c r="AI15" s="78">
        <f t="shared" si="12"/>
        <v>609190</v>
      </c>
      <c r="AJ15" s="78">
        <v>610120</v>
      </c>
      <c r="AK15" s="82">
        <f t="shared" si="13"/>
        <v>930</v>
      </c>
      <c r="AL15" s="78">
        <f t="shared" si="36"/>
        <v>1106800</v>
      </c>
      <c r="AM15" s="78">
        <v>1108300</v>
      </c>
      <c r="AN15" s="82">
        <f t="shared" si="14"/>
        <v>1500</v>
      </c>
      <c r="AO15" s="78">
        <f t="shared" si="37"/>
        <v>705730</v>
      </c>
      <c r="AP15" s="79">
        <v>706730</v>
      </c>
      <c r="AQ15" s="82">
        <f t="shared" si="15"/>
        <v>1000</v>
      </c>
      <c r="AR15" s="78">
        <f t="shared" si="38"/>
        <v>597784</v>
      </c>
      <c r="AS15" s="78">
        <v>601250</v>
      </c>
      <c r="AT15" s="82">
        <f t="shared" si="16"/>
        <v>3466</v>
      </c>
      <c r="AU15" s="78">
        <f t="shared" si="39"/>
        <v>562070</v>
      </c>
      <c r="AV15" s="78">
        <v>563860</v>
      </c>
      <c r="AW15" s="82">
        <f t="shared" si="17"/>
        <v>1790</v>
      </c>
      <c r="AX15" s="78">
        <f t="shared" si="40"/>
        <v>431840</v>
      </c>
      <c r="AY15" s="78">
        <v>433110</v>
      </c>
      <c r="AZ15" s="82">
        <f t="shared" si="18"/>
        <v>1270</v>
      </c>
      <c r="BA15" s="78">
        <f t="shared" si="41"/>
        <v>1231800</v>
      </c>
      <c r="BB15" s="78">
        <v>1236500</v>
      </c>
      <c r="BC15" s="82">
        <f t="shared" si="19"/>
        <v>4700</v>
      </c>
      <c r="BD15" s="82">
        <f t="shared" si="42"/>
        <v>0</v>
      </c>
      <c r="BE15" s="82"/>
      <c r="BF15" s="82">
        <f t="shared" si="43"/>
        <v>0</v>
      </c>
      <c r="BG15" s="78">
        <f t="shared" si="44"/>
        <v>0</v>
      </c>
      <c r="BH15" s="78"/>
      <c r="BI15" s="168">
        <f t="shared" si="20"/>
        <v>0</v>
      </c>
      <c r="BJ15" s="78">
        <f t="shared" si="45"/>
        <v>0</v>
      </c>
      <c r="BK15" s="78"/>
      <c r="BL15" s="82">
        <f t="shared" si="21"/>
        <v>0</v>
      </c>
      <c r="BM15" s="78">
        <f t="shared" si="46"/>
        <v>0</v>
      </c>
      <c r="BN15" s="78"/>
      <c r="BO15" s="82">
        <f t="shared" si="22"/>
        <v>0</v>
      </c>
      <c r="BP15" s="78">
        <f t="shared" si="47"/>
        <v>0</v>
      </c>
      <c r="BQ15" s="78"/>
      <c r="BR15" s="82">
        <f t="shared" si="23"/>
        <v>0</v>
      </c>
      <c r="BS15" s="78">
        <f t="shared" si="48"/>
        <v>0</v>
      </c>
      <c r="BT15" s="78"/>
      <c r="BU15" s="82">
        <f t="shared" si="24"/>
        <v>0</v>
      </c>
      <c r="BV15" s="78">
        <f t="shared" si="49"/>
        <v>0</v>
      </c>
      <c r="BW15" s="78"/>
      <c r="BX15" s="82">
        <f t="shared" si="25"/>
        <v>0</v>
      </c>
      <c r="BY15" s="78">
        <f t="shared" si="50"/>
        <v>0</v>
      </c>
      <c r="BZ15" s="79"/>
      <c r="CA15" s="82">
        <f t="shared" si="26"/>
        <v>0</v>
      </c>
      <c r="CB15" s="78">
        <f t="shared" si="51"/>
        <v>0</v>
      </c>
      <c r="CC15" s="78"/>
      <c r="CD15" s="82">
        <f t="shared" si="27"/>
        <v>0</v>
      </c>
      <c r="CE15" s="78">
        <f t="shared" si="52"/>
        <v>0</v>
      </c>
      <c r="CF15" s="79"/>
      <c r="CG15" s="82">
        <f t="shared" si="28"/>
        <v>0</v>
      </c>
      <c r="CH15" s="78">
        <f t="shared" si="53"/>
        <v>0</v>
      </c>
      <c r="CI15" s="78"/>
      <c r="CJ15" s="82">
        <f t="shared" si="29"/>
        <v>0</v>
      </c>
      <c r="CK15" s="78">
        <f t="shared" si="54"/>
        <v>0</v>
      </c>
      <c r="CL15" s="78"/>
      <c r="CM15" s="82">
        <f t="shared" si="30"/>
        <v>0</v>
      </c>
      <c r="CN15" s="78">
        <f t="shared" si="55"/>
        <v>0</v>
      </c>
      <c r="CO15" s="78"/>
      <c r="CP15" s="82">
        <f t="shared" si="31"/>
        <v>0</v>
      </c>
    </row>
    <row r="16" spans="1:94" s="3" customFormat="1" ht="13.5" customHeight="1" x14ac:dyDescent="0.2">
      <c r="A16" s="90">
        <v>12</v>
      </c>
      <c r="B16" s="74">
        <f t="shared" si="32"/>
        <v>25460879</v>
      </c>
      <c r="C16" s="74"/>
      <c r="D16" s="75">
        <f t="shared" si="0"/>
        <v>-25460879</v>
      </c>
      <c r="E16" s="76">
        <f t="shared" si="56"/>
        <v>22477367</v>
      </c>
      <c r="F16" s="77"/>
      <c r="G16" s="76">
        <f t="shared" si="33"/>
        <v>-22477367</v>
      </c>
      <c r="H16" s="78">
        <f t="shared" si="34"/>
        <v>85142907</v>
      </c>
      <c r="I16" s="78"/>
      <c r="J16" s="82">
        <f t="shared" si="1"/>
        <v>-85142907</v>
      </c>
      <c r="K16" s="78">
        <f t="shared" si="57"/>
        <v>1927200</v>
      </c>
      <c r="L16" s="79"/>
      <c r="M16" s="82">
        <f t="shared" si="2"/>
        <v>-1927200</v>
      </c>
      <c r="N16" s="78">
        <f t="shared" si="58"/>
        <v>2607739</v>
      </c>
      <c r="O16" s="78"/>
      <c r="P16" s="82">
        <f t="shared" si="3"/>
        <v>-2607739</v>
      </c>
      <c r="Q16" s="78">
        <f t="shared" si="35"/>
        <v>1587700</v>
      </c>
      <c r="R16" s="79"/>
      <c r="S16" s="82">
        <f t="shared" si="4"/>
        <v>-1587700</v>
      </c>
      <c r="T16" s="78">
        <f t="shared" si="59"/>
        <v>721738</v>
      </c>
      <c r="U16" s="79"/>
      <c r="V16" s="82">
        <f t="shared" si="5"/>
        <v>-721738</v>
      </c>
      <c r="W16" s="78">
        <f t="shared" si="60"/>
        <v>7471900</v>
      </c>
      <c r="X16" s="79"/>
      <c r="Y16" s="82">
        <f t="shared" si="6"/>
        <v>-7471900</v>
      </c>
      <c r="Z16" s="78">
        <f t="shared" si="61"/>
        <v>1705700</v>
      </c>
      <c r="AA16" s="79"/>
      <c r="AB16" s="82">
        <f t="shared" si="7"/>
        <v>-1705700</v>
      </c>
      <c r="AC16" s="78">
        <f t="shared" si="8"/>
        <v>486128</v>
      </c>
      <c r="AD16" s="78"/>
      <c r="AE16" s="82">
        <f t="shared" si="9"/>
        <v>-486128</v>
      </c>
      <c r="AF16" s="78">
        <f t="shared" si="10"/>
        <v>352150</v>
      </c>
      <c r="AG16" s="78"/>
      <c r="AH16" s="82">
        <f t="shared" si="11"/>
        <v>-352150</v>
      </c>
      <c r="AI16" s="78">
        <f t="shared" si="12"/>
        <v>610120</v>
      </c>
      <c r="AJ16" s="78"/>
      <c r="AK16" s="82">
        <f t="shared" si="13"/>
        <v>-610120</v>
      </c>
      <c r="AL16" s="78">
        <f t="shared" si="36"/>
        <v>1108300</v>
      </c>
      <c r="AM16" s="78"/>
      <c r="AN16" s="82">
        <f t="shared" si="14"/>
        <v>-1108300</v>
      </c>
      <c r="AO16" s="78">
        <f t="shared" si="37"/>
        <v>706730</v>
      </c>
      <c r="AP16" s="79"/>
      <c r="AQ16" s="82">
        <f t="shared" si="15"/>
        <v>-706730</v>
      </c>
      <c r="AR16" s="78">
        <f t="shared" si="38"/>
        <v>601250</v>
      </c>
      <c r="AS16" s="78"/>
      <c r="AT16" s="82">
        <f t="shared" si="16"/>
        <v>-601250</v>
      </c>
      <c r="AU16" s="78">
        <f t="shared" si="39"/>
        <v>563860</v>
      </c>
      <c r="AV16" s="78"/>
      <c r="AW16" s="82">
        <f t="shared" si="17"/>
        <v>-563860</v>
      </c>
      <c r="AX16" s="78">
        <f t="shared" si="40"/>
        <v>433110</v>
      </c>
      <c r="AY16" s="78"/>
      <c r="AZ16" s="82">
        <f t="shared" si="18"/>
        <v>-433110</v>
      </c>
      <c r="BA16" s="78">
        <f t="shared" si="41"/>
        <v>1236500</v>
      </c>
      <c r="BB16" s="78"/>
      <c r="BC16" s="82">
        <f t="shared" si="19"/>
        <v>-1236500</v>
      </c>
      <c r="BD16" s="82">
        <f t="shared" si="42"/>
        <v>0</v>
      </c>
      <c r="BE16" s="82"/>
      <c r="BF16" s="82">
        <f t="shared" si="43"/>
        <v>0</v>
      </c>
      <c r="BG16" s="78">
        <f t="shared" si="44"/>
        <v>0</v>
      </c>
      <c r="BH16" s="78"/>
      <c r="BI16" s="168">
        <f t="shared" si="20"/>
        <v>0</v>
      </c>
      <c r="BJ16" s="78">
        <f t="shared" si="45"/>
        <v>0</v>
      </c>
      <c r="BK16" s="78"/>
      <c r="BL16" s="82">
        <f t="shared" si="21"/>
        <v>0</v>
      </c>
      <c r="BM16" s="78">
        <f t="shared" si="46"/>
        <v>0</v>
      </c>
      <c r="BN16" s="78"/>
      <c r="BO16" s="82">
        <f t="shared" si="22"/>
        <v>0</v>
      </c>
      <c r="BP16" s="78">
        <f t="shared" si="47"/>
        <v>0</v>
      </c>
      <c r="BQ16" s="78"/>
      <c r="BR16" s="82">
        <f t="shared" si="23"/>
        <v>0</v>
      </c>
      <c r="BS16" s="78">
        <f t="shared" si="48"/>
        <v>0</v>
      </c>
      <c r="BT16" s="78"/>
      <c r="BU16" s="82">
        <f t="shared" si="24"/>
        <v>0</v>
      </c>
      <c r="BV16" s="78">
        <f t="shared" si="49"/>
        <v>0</v>
      </c>
      <c r="BW16" s="78"/>
      <c r="BX16" s="82">
        <f t="shared" si="25"/>
        <v>0</v>
      </c>
      <c r="BY16" s="78">
        <f t="shared" si="50"/>
        <v>0</v>
      </c>
      <c r="BZ16" s="79"/>
      <c r="CA16" s="82">
        <f t="shared" si="26"/>
        <v>0</v>
      </c>
      <c r="CB16" s="78">
        <f t="shared" si="51"/>
        <v>0</v>
      </c>
      <c r="CC16" s="78"/>
      <c r="CD16" s="82">
        <f t="shared" si="27"/>
        <v>0</v>
      </c>
      <c r="CE16" s="78">
        <f t="shared" si="52"/>
        <v>0</v>
      </c>
      <c r="CF16" s="79"/>
      <c r="CG16" s="82">
        <f t="shared" si="28"/>
        <v>0</v>
      </c>
      <c r="CH16" s="78">
        <f t="shared" si="53"/>
        <v>0</v>
      </c>
      <c r="CI16" s="78"/>
      <c r="CJ16" s="82">
        <f t="shared" si="29"/>
        <v>0</v>
      </c>
      <c r="CK16" s="78">
        <f t="shared" si="54"/>
        <v>0</v>
      </c>
      <c r="CL16" s="78"/>
      <c r="CM16" s="82">
        <f t="shared" si="30"/>
        <v>0</v>
      </c>
      <c r="CN16" s="78">
        <f t="shared" si="55"/>
        <v>0</v>
      </c>
      <c r="CO16" s="78"/>
      <c r="CP16" s="82">
        <f t="shared" si="31"/>
        <v>0</v>
      </c>
    </row>
    <row r="17" spans="1:1028" s="3" customFormat="1" ht="13.5" customHeight="1" x14ac:dyDescent="0.2">
      <c r="A17" s="90">
        <v>13</v>
      </c>
      <c r="B17" s="74">
        <f t="shared" si="32"/>
        <v>0</v>
      </c>
      <c r="C17" s="74"/>
      <c r="D17" s="75">
        <f t="shared" si="0"/>
        <v>0</v>
      </c>
      <c r="E17" s="76">
        <f t="shared" si="56"/>
        <v>0</v>
      </c>
      <c r="F17" s="77"/>
      <c r="G17" s="76">
        <f t="shared" si="33"/>
        <v>0</v>
      </c>
      <c r="H17" s="78">
        <f t="shared" si="34"/>
        <v>0</v>
      </c>
      <c r="I17" s="78"/>
      <c r="J17" s="82">
        <f t="shared" si="1"/>
        <v>0</v>
      </c>
      <c r="K17" s="78">
        <f t="shared" si="57"/>
        <v>0</v>
      </c>
      <c r="L17" s="79"/>
      <c r="M17" s="82">
        <f t="shared" si="2"/>
        <v>0</v>
      </c>
      <c r="N17" s="78">
        <f t="shared" si="58"/>
        <v>0</v>
      </c>
      <c r="O17" s="78"/>
      <c r="P17" s="82">
        <f t="shared" si="3"/>
        <v>0</v>
      </c>
      <c r="Q17" s="78">
        <f t="shared" si="35"/>
        <v>0</v>
      </c>
      <c r="R17" s="79"/>
      <c r="S17" s="82">
        <f t="shared" si="4"/>
        <v>0</v>
      </c>
      <c r="T17" s="78">
        <f t="shared" si="59"/>
        <v>0</v>
      </c>
      <c r="U17" s="79"/>
      <c r="V17" s="82">
        <f t="shared" si="5"/>
        <v>0</v>
      </c>
      <c r="W17" s="78">
        <f t="shared" si="60"/>
        <v>0</v>
      </c>
      <c r="X17" s="79"/>
      <c r="Y17" s="82">
        <f t="shared" si="6"/>
        <v>0</v>
      </c>
      <c r="Z17" s="78">
        <f t="shared" si="61"/>
        <v>0</v>
      </c>
      <c r="AA17" s="79"/>
      <c r="AB17" s="82">
        <f t="shared" si="7"/>
        <v>0</v>
      </c>
      <c r="AC17" s="78">
        <f t="shared" si="8"/>
        <v>0</v>
      </c>
      <c r="AD17" s="78"/>
      <c r="AE17" s="82">
        <f t="shared" si="9"/>
        <v>0</v>
      </c>
      <c r="AF17" s="78">
        <f t="shared" si="10"/>
        <v>0</v>
      </c>
      <c r="AG17" s="78"/>
      <c r="AH17" s="82">
        <f t="shared" si="11"/>
        <v>0</v>
      </c>
      <c r="AI17" s="78">
        <f t="shared" si="12"/>
        <v>0</v>
      </c>
      <c r="AJ17" s="78"/>
      <c r="AK17" s="82">
        <f t="shared" si="13"/>
        <v>0</v>
      </c>
      <c r="AL17" s="78">
        <f t="shared" si="36"/>
        <v>0</v>
      </c>
      <c r="AM17" s="78"/>
      <c r="AN17" s="82">
        <f t="shared" si="14"/>
        <v>0</v>
      </c>
      <c r="AO17" s="78">
        <f t="shared" si="37"/>
        <v>0</v>
      </c>
      <c r="AP17" s="79"/>
      <c r="AQ17" s="82">
        <f t="shared" si="15"/>
        <v>0</v>
      </c>
      <c r="AR17" s="78">
        <f t="shared" si="38"/>
        <v>0</v>
      </c>
      <c r="AS17" s="78"/>
      <c r="AT17" s="82">
        <f t="shared" si="16"/>
        <v>0</v>
      </c>
      <c r="AU17" s="78">
        <f t="shared" si="39"/>
        <v>0</v>
      </c>
      <c r="AV17" s="78"/>
      <c r="AW17" s="82">
        <f t="shared" si="17"/>
        <v>0</v>
      </c>
      <c r="AX17" s="78">
        <f t="shared" si="40"/>
        <v>0</v>
      </c>
      <c r="AY17" s="78"/>
      <c r="AZ17" s="82">
        <f t="shared" si="18"/>
        <v>0</v>
      </c>
      <c r="BA17" s="78">
        <f t="shared" si="41"/>
        <v>0</v>
      </c>
      <c r="BB17" s="78"/>
      <c r="BC17" s="82">
        <f t="shared" si="19"/>
        <v>0</v>
      </c>
      <c r="BD17" s="82">
        <f t="shared" si="42"/>
        <v>0</v>
      </c>
      <c r="BE17" s="82"/>
      <c r="BF17" s="82">
        <f t="shared" si="43"/>
        <v>0</v>
      </c>
      <c r="BG17" s="78">
        <f t="shared" si="44"/>
        <v>0</v>
      </c>
      <c r="BH17" s="78"/>
      <c r="BI17" s="168">
        <f t="shared" si="20"/>
        <v>0</v>
      </c>
      <c r="BJ17" s="78">
        <f t="shared" si="45"/>
        <v>0</v>
      </c>
      <c r="BK17" s="78"/>
      <c r="BL17" s="82">
        <f t="shared" si="21"/>
        <v>0</v>
      </c>
      <c r="BM17" s="78">
        <f t="shared" si="46"/>
        <v>0</v>
      </c>
      <c r="BN17" s="78"/>
      <c r="BO17" s="82">
        <f t="shared" si="22"/>
        <v>0</v>
      </c>
      <c r="BP17" s="78">
        <f t="shared" si="47"/>
        <v>0</v>
      </c>
      <c r="BQ17" s="78"/>
      <c r="BR17" s="82">
        <f t="shared" si="23"/>
        <v>0</v>
      </c>
      <c r="BS17" s="78">
        <f t="shared" si="48"/>
        <v>0</v>
      </c>
      <c r="BT17" s="78"/>
      <c r="BU17" s="82">
        <f t="shared" si="24"/>
        <v>0</v>
      </c>
      <c r="BV17" s="78">
        <f t="shared" si="49"/>
        <v>0</v>
      </c>
      <c r="BW17" s="78"/>
      <c r="BX17" s="82">
        <f t="shared" si="25"/>
        <v>0</v>
      </c>
      <c r="BY17" s="78">
        <f t="shared" si="50"/>
        <v>0</v>
      </c>
      <c r="BZ17" s="79"/>
      <c r="CA17" s="82">
        <f t="shared" si="26"/>
        <v>0</v>
      </c>
      <c r="CB17" s="78">
        <f t="shared" si="51"/>
        <v>0</v>
      </c>
      <c r="CC17" s="78"/>
      <c r="CD17" s="82">
        <f t="shared" si="27"/>
        <v>0</v>
      </c>
      <c r="CE17" s="78">
        <f t="shared" si="52"/>
        <v>0</v>
      </c>
      <c r="CF17" s="79"/>
      <c r="CG17" s="82">
        <f t="shared" si="28"/>
        <v>0</v>
      </c>
      <c r="CH17" s="78">
        <f t="shared" si="53"/>
        <v>0</v>
      </c>
      <c r="CI17" s="78"/>
      <c r="CJ17" s="82">
        <f t="shared" si="29"/>
        <v>0</v>
      </c>
      <c r="CK17" s="78">
        <f t="shared" si="54"/>
        <v>0</v>
      </c>
      <c r="CL17" s="78"/>
      <c r="CM17" s="82">
        <f t="shared" si="30"/>
        <v>0</v>
      </c>
      <c r="CN17" s="78">
        <f t="shared" si="55"/>
        <v>0</v>
      </c>
      <c r="CO17" s="78"/>
      <c r="CP17" s="82">
        <f t="shared" si="31"/>
        <v>0</v>
      </c>
    </row>
    <row r="18" spans="1:1028" s="3" customFormat="1" ht="13.5" customHeight="1" x14ac:dyDescent="0.2">
      <c r="A18" s="90">
        <v>14</v>
      </c>
      <c r="B18" s="74">
        <f t="shared" si="32"/>
        <v>0</v>
      </c>
      <c r="C18" s="74"/>
      <c r="D18" s="75">
        <f t="shared" si="0"/>
        <v>0</v>
      </c>
      <c r="E18" s="76">
        <f t="shared" si="56"/>
        <v>0</v>
      </c>
      <c r="F18" s="77"/>
      <c r="G18" s="76">
        <f t="shared" si="33"/>
        <v>0</v>
      </c>
      <c r="H18" s="78">
        <f t="shared" si="34"/>
        <v>0</v>
      </c>
      <c r="I18" s="78"/>
      <c r="J18" s="82">
        <f t="shared" si="1"/>
        <v>0</v>
      </c>
      <c r="K18" s="78">
        <f t="shared" si="57"/>
        <v>0</v>
      </c>
      <c r="L18" s="79"/>
      <c r="M18" s="82">
        <f t="shared" si="2"/>
        <v>0</v>
      </c>
      <c r="N18" s="78">
        <f t="shared" si="58"/>
        <v>0</v>
      </c>
      <c r="O18" s="78"/>
      <c r="P18" s="82">
        <f t="shared" si="3"/>
        <v>0</v>
      </c>
      <c r="Q18" s="78">
        <f t="shared" si="35"/>
        <v>0</v>
      </c>
      <c r="R18" s="78"/>
      <c r="S18" s="82">
        <f t="shared" si="4"/>
        <v>0</v>
      </c>
      <c r="T18" s="78">
        <f t="shared" si="59"/>
        <v>0</v>
      </c>
      <c r="U18" s="79"/>
      <c r="V18" s="82">
        <f t="shared" si="5"/>
        <v>0</v>
      </c>
      <c r="W18" s="78">
        <f t="shared" si="60"/>
        <v>0</v>
      </c>
      <c r="X18" s="79"/>
      <c r="Y18" s="82">
        <f t="shared" si="6"/>
        <v>0</v>
      </c>
      <c r="Z18" s="78">
        <f t="shared" si="61"/>
        <v>0</v>
      </c>
      <c r="AA18" s="79"/>
      <c r="AB18" s="82">
        <f t="shared" si="7"/>
        <v>0</v>
      </c>
      <c r="AC18" s="78">
        <f t="shared" si="8"/>
        <v>0</v>
      </c>
      <c r="AD18" s="78"/>
      <c r="AE18" s="82">
        <f t="shared" si="9"/>
        <v>0</v>
      </c>
      <c r="AF18" s="78">
        <f t="shared" si="10"/>
        <v>0</v>
      </c>
      <c r="AG18" s="78"/>
      <c r="AH18" s="82">
        <f t="shared" si="11"/>
        <v>0</v>
      </c>
      <c r="AI18" s="78">
        <f t="shared" si="12"/>
        <v>0</v>
      </c>
      <c r="AJ18" s="78"/>
      <c r="AK18" s="82">
        <f t="shared" si="13"/>
        <v>0</v>
      </c>
      <c r="AL18" s="78">
        <f t="shared" si="36"/>
        <v>0</v>
      </c>
      <c r="AM18" s="78"/>
      <c r="AN18" s="82">
        <f t="shared" si="14"/>
        <v>0</v>
      </c>
      <c r="AO18" s="78">
        <f t="shared" si="37"/>
        <v>0</v>
      </c>
      <c r="AP18" s="79"/>
      <c r="AQ18" s="82">
        <f t="shared" si="15"/>
        <v>0</v>
      </c>
      <c r="AR18" s="78">
        <f t="shared" si="38"/>
        <v>0</v>
      </c>
      <c r="AS18" s="78"/>
      <c r="AT18" s="82">
        <f t="shared" si="16"/>
        <v>0</v>
      </c>
      <c r="AU18" s="78">
        <f t="shared" si="39"/>
        <v>0</v>
      </c>
      <c r="AV18" s="78"/>
      <c r="AW18" s="82">
        <f t="shared" si="17"/>
        <v>0</v>
      </c>
      <c r="AX18" s="78">
        <f t="shared" si="40"/>
        <v>0</v>
      </c>
      <c r="AY18" s="78"/>
      <c r="AZ18" s="82">
        <f t="shared" si="18"/>
        <v>0</v>
      </c>
      <c r="BA18" s="78">
        <f t="shared" si="41"/>
        <v>0</v>
      </c>
      <c r="BB18" s="78"/>
      <c r="BC18" s="82">
        <f t="shared" si="19"/>
        <v>0</v>
      </c>
      <c r="BD18" s="82">
        <f t="shared" si="42"/>
        <v>0</v>
      </c>
      <c r="BE18" s="82"/>
      <c r="BF18" s="82">
        <f t="shared" si="43"/>
        <v>0</v>
      </c>
      <c r="BG18" s="78">
        <f t="shared" si="44"/>
        <v>0</v>
      </c>
      <c r="BH18" s="78"/>
      <c r="BI18" s="168">
        <f t="shared" si="20"/>
        <v>0</v>
      </c>
      <c r="BJ18" s="78">
        <f t="shared" si="45"/>
        <v>0</v>
      </c>
      <c r="BK18" s="78"/>
      <c r="BL18" s="82">
        <f t="shared" si="21"/>
        <v>0</v>
      </c>
      <c r="BM18" s="78">
        <f t="shared" si="46"/>
        <v>0</v>
      </c>
      <c r="BN18" s="78"/>
      <c r="BO18" s="82">
        <f t="shared" si="22"/>
        <v>0</v>
      </c>
      <c r="BP18" s="78">
        <f t="shared" si="47"/>
        <v>0</v>
      </c>
      <c r="BQ18" s="78"/>
      <c r="BR18" s="82">
        <f t="shared" si="23"/>
        <v>0</v>
      </c>
      <c r="BS18" s="78">
        <f t="shared" si="48"/>
        <v>0</v>
      </c>
      <c r="BT18" s="78"/>
      <c r="BU18" s="82">
        <f t="shared" si="24"/>
        <v>0</v>
      </c>
      <c r="BV18" s="78">
        <f t="shared" si="49"/>
        <v>0</v>
      </c>
      <c r="BW18" s="78"/>
      <c r="BX18" s="82">
        <f t="shared" si="25"/>
        <v>0</v>
      </c>
      <c r="BY18" s="78">
        <f t="shared" si="50"/>
        <v>0</v>
      </c>
      <c r="BZ18" s="79"/>
      <c r="CA18" s="82">
        <f t="shared" si="26"/>
        <v>0</v>
      </c>
      <c r="CB18" s="78">
        <f t="shared" si="51"/>
        <v>0</v>
      </c>
      <c r="CC18" s="78"/>
      <c r="CD18" s="82">
        <f t="shared" si="27"/>
        <v>0</v>
      </c>
      <c r="CE18" s="78">
        <f t="shared" si="52"/>
        <v>0</v>
      </c>
      <c r="CF18" s="79"/>
      <c r="CG18" s="82">
        <f t="shared" si="28"/>
        <v>0</v>
      </c>
      <c r="CH18" s="78">
        <f t="shared" si="53"/>
        <v>0</v>
      </c>
      <c r="CI18" s="78"/>
      <c r="CJ18" s="82">
        <f t="shared" si="29"/>
        <v>0</v>
      </c>
      <c r="CK18" s="78">
        <f t="shared" si="54"/>
        <v>0</v>
      </c>
      <c r="CL18" s="78"/>
      <c r="CM18" s="82">
        <f t="shared" si="30"/>
        <v>0</v>
      </c>
      <c r="CN18" s="78">
        <f t="shared" si="55"/>
        <v>0</v>
      </c>
      <c r="CO18" s="78"/>
      <c r="CP18" s="82">
        <f t="shared" si="31"/>
        <v>0</v>
      </c>
    </row>
    <row r="19" spans="1:1028" s="3" customFormat="1" ht="13.5" customHeight="1" x14ac:dyDescent="0.2">
      <c r="A19" s="90">
        <v>15</v>
      </c>
      <c r="B19" s="74">
        <f t="shared" si="32"/>
        <v>0</v>
      </c>
      <c r="C19" s="74"/>
      <c r="D19" s="75">
        <f t="shared" si="0"/>
        <v>0</v>
      </c>
      <c r="E19" s="76">
        <f t="shared" si="56"/>
        <v>0</v>
      </c>
      <c r="F19" s="77"/>
      <c r="G19" s="76">
        <f t="shared" si="33"/>
        <v>0</v>
      </c>
      <c r="H19" s="78">
        <f t="shared" si="34"/>
        <v>0</v>
      </c>
      <c r="I19" s="78"/>
      <c r="J19" s="82">
        <f t="shared" si="1"/>
        <v>0</v>
      </c>
      <c r="K19" s="78">
        <f t="shared" si="57"/>
        <v>0</v>
      </c>
      <c r="L19" s="78"/>
      <c r="M19" s="82">
        <f t="shared" si="2"/>
        <v>0</v>
      </c>
      <c r="N19" s="78">
        <f t="shared" si="58"/>
        <v>0</v>
      </c>
      <c r="O19" s="78"/>
      <c r="P19" s="82">
        <f t="shared" si="3"/>
        <v>0</v>
      </c>
      <c r="Q19" s="78">
        <f t="shared" si="35"/>
        <v>0</v>
      </c>
      <c r="R19" s="78"/>
      <c r="S19" s="82">
        <f t="shared" si="4"/>
        <v>0</v>
      </c>
      <c r="T19" s="78">
        <f t="shared" si="59"/>
        <v>0</v>
      </c>
      <c r="U19" s="79"/>
      <c r="V19" s="82">
        <f t="shared" si="5"/>
        <v>0</v>
      </c>
      <c r="W19" s="78">
        <f t="shared" si="60"/>
        <v>0</v>
      </c>
      <c r="X19" s="79"/>
      <c r="Y19" s="82">
        <f t="shared" si="6"/>
        <v>0</v>
      </c>
      <c r="Z19" s="78">
        <f t="shared" si="61"/>
        <v>0</v>
      </c>
      <c r="AA19" s="79"/>
      <c r="AB19" s="82">
        <f t="shared" si="7"/>
        <v>0</v>
      </c>
      <c r="AC19" s="78">
        <f t="shared" si="8"/>
        <v>0</v>
      </c>
      <c r="AD19" s="78"/>
      <c r="AE19" s="82">
        <f t="shared" si="9"/>
        <v>0</v>
      </c>
      <c r="AF19" s="78">
        <f t="shared" si="10"/>
        <v>0</v>
      </c>
      <c r="AG19" s="78"/>
      <c r="AH19" s="82">
        <f t="shared" si="11"/>
        <v>0</v>
      </c>
      <c r="AI19" s="78">
        <f t="shared" si="12"/>
        <v>0</v>
      </c>
      <c r="AJ19" s="78"/>
      <c r="AK19" s="82">
        <f t="shared" si="13"/>
        <v>0</v>
      </c>
      <c r="AL19" s="78">
        <f t="shared" si="36"/>
        <v>0</v>
      </c>
      <c r="AM19" s="78"/>
      <c r="AN19" s="82">
        <f t="shared" si="14"/>
        <v>0</v>
      </c>
      <c r="AO19" s="78">
        <f t="shared" si="37"/>
        <v>0</v>
      </c>
      <c r="AP19" s="79"/>
      <c r="AQ19" s="82">
        <f t="shared" si="15"/>
        <v>0</v>
      </c>
      <c r="AR19" s="78">
        <f t="shared" si="38"/>
        <v>0</v>
      </c>
      <c r="AS19" s="78"/>
      <c r="AT19" s="82">
        <f t="shared" si="16"/>
        <v>0</v>
      </c>
      <c r="AU19" s="78">
        <f t="shared" si="39"/>
        <v>0</v>
      </c>
      <c r="AV19" s="78"/>
      <c r="AW19" s="82">
        <f t="shared" si="17"/>
        <v>0</v>
      </c>
      <c r="AX19" s="78">
        <f t="shared" si="40"/>
        <v>0</v>
      </c>
      <c r="AY19" s="78"/>
      <c r="AZ19" s="82">
        <f t="shared" si="18"/>
        <v>0</v>
      </c>
      <c r="BA19" s="78">
        <f t="shared" si="41"/>
        <v>0</v>
      </c>
      <c r="BB19" s="78"/>
      <c r="BC19" s="82">
        <f t="shared" si="19"/>
        <v>0</v>
      </c>
      <c r="BD19" s="82">
        <f t="shared" si="42"/>
        <v>0</v>
      </c>
      <c r="BE19" s="82"/>
      <c r="BF19" s="82">
        <f t="shared" si="43"/>
        <v>0</v>
      </c>
      <c r="BG19" s="78">
        <f t="shared" si="44"/>
        <v>0</v>
      </c>
      <c r="BH19" s="78"/>
      <c r="BI19" s="168">
        <f t="shared" si="20"/>
        <v>0</v>
      </c>
      <c r="BJ19" s="78">
        <f t="shared" si="45"/>
        <v>0</v>
      </c>
      <c r="BK19" s="78"/>
      <c r="BL19" s="82">
        <f t="shared" si="21"/>
        <v>0</v>
      </c>
      <c r="BM19" s="78">
        <f t="shared" si="46"/>
        <v>0</v>
      </c>
      <c r="BN19" s="78"/>
      <c r="BO19" s="82">
        <f t="shared" si="22"/>
        <v>0</v>
      </c>
      <c r="BP19" s="78">
        <f t="shared" si="47"/>
        <v>0</v>
      </c>
      <c r="BQ19" s="78"/>
      <c r="BR19" s="82">
        <f t="shared" si="23"/>
        <v>0</v>
      </c>
      <c r="BS19" s="78">
        <f t="shared" si="48"/>
        <v>0</v>
      </c>
      <c r="BT19" s="78"/>
      <c r="BU19" s="82">
        <f t="shared" si="24"/>
        <v>0</v>
      </c>
      <c r="BV19" s="78">
        <f t="shared" si="49"/>
        <v>0</v>
      </c>
      <c r="BW19" s="78"/>
      <c r="BX19" s="82">
        <f t="shared" si="25"/>
        <v>0</v>
      </c>
      <c r="BY19" s="78">
        <f t="shared" si="50"/>
        <v>0</v>
      </c>
      <c r="BZ19" s="78"/>
      <c r="CA19" s="82">
        <f t="shared" si="26"/>
        <v>0</v>
      </c>
      <c r="CB19" s="78">
        <f t="shared" si="51"/>
        <v>0</v>
      </c>
      <c r="CC19" s="78"/>
      <c r="CD19" s="82">
        <f t="shared" si="27"/>
        <v>0</v>
      </c>
      <c r="CE19" s="78">
        <f t="shared" si="52"/>
        <v>0</v>
      </c>
      <c r="CF19" s="78"/>
      <c r="CG19" s="82">
        <f t="shared" si="28"/>
        <v>0</v>
      </c>
      <c r="CH19" s="78">
        <f t="shared" si="53"/>
        <v>0</v>
      </c>
      <c r="CI19" s="78"/>
      <c r="CJ19" s="82">
        <f t="shared" si="29"/>
        <v>0</v>
      </c>
      <c r="CK19" s="78">
        <f t="shared" si="54"/>
        <v>0</v>
      </c>
      <c r="CL19" s="78"/>
      <c r="CM19" s="82">
        <f t="shared" si="30"/>
        <v>0</v>
      </c>
      <c r="CN19" s="78">
        <f t="shared" si="55"/>
        <v>0</v>
      </c>
      <c r="CO19" s="78"/>
      <c r="CP19" s="82">
        <f t="shared" si="31"/>
        <v>0</v>
      </c>
    </row>
    <row r="20" spans="1:1028" s="3" customFormat="1" ht="13.5" customHeight="1" x14ac:dyDescent="0.2">
      <c r="A20" s="90">
        <v>16</v>
      </c>
      <c r="B20" s="74">
        <f t="shared" si="32"/>
        <v>0</v>
      </c>
      <c r="C20" s="74"/>
      <c r="D20" s="75">
        <f t="shared" si="0"/>
        <v>0</v>
      </c>
      <c r="E20" s="76">
        <f t="shared" si="56"/>
        <v>0</v>
      </c>
      <c r="F20" s="77"/>
      <c r="G20" s="76">
        <f t="shared" si="33"/>
        <v>0</v>
      </c>
      <c r="H20" s="78">
        <f t="shared" si="34"/>
        <v>0</v>
      </c>
      <c r="I20" s="78"/>
      <c r="J20" s="82">
        <f t="shared" si="1"/>
        <v>0</v>
      </c>
      <c r="K20" s="78">
        <f t="shared" si="57"/>
        <v>0</v>
      </c>
      <c r="L20" s="78"/>
      <c r="M20" s="82">
        <f t="shared" si="2"/>
        <v>0</v>
      </c>
      <c r="N20" s="78">
        <f t="shared" si="58"/>
        <v>0</v>
      </c>
      <c r="O20" s="78"/>
      <c r="P20" s="82">
        <f t="shared" si="3"/>
        <v>0</v>
      </c>
      <c r="Q20" s="78">
        <f t="shared" si="35"/>
        <v>0</v>
      </c>
      <c r="R20" s="78"/>
      <c r="S20" s="82">
        <f t="shared" si="4"/>
        <v>0</v>
      </c>
      <c r="T20" s="78">
        <f t="shared" si="59"/>
        <v>0</v>
      </c>
      <c r="U20" s="79"/>
      <c r="V20" s="82">
        <f t="shared" si="5"/>
        <v>0</v>
      </c>
      <c r="W20" s="78">
        <f t="shared" si="60"/>
        <v>0</v>
      </c>
      <c r="X20" s="78"/>
      <c r="Y20" s="82">
        <f t="shared" si="6"/>
        <v>0</v>
      </c>
      <c r="Z20" s="78">
        <f t="shared" si="61"/>
        <v>0</v>
      </c>
      <c r="AA20" s="79"/>
      <c r="AB20" s="82">
        <f t="shared" si="7"/>
        <v>0</v>
      </c>
      <c r="AC20" s="78">
        <f t="shared" si="8"/>
        <v>0</v>
      </c>
      <c r="AD20" s="78"/>
      <c r="AE20" s="82">
        <f t="shared" si="9"/>
        <v>0</v>
      </c>
      <c r="AF20" s="78">
        <f t="shared" si="10"/>
        <v>0</v>
      </c>
      <c r="AG20" s="78"/>
      <c r="AH20" s="82">
        <f t="shared" si="11"/>
        <v>0</v>
      </c>
      <c r="AI20" s="78">
        <f t="shared" si="12"/>
        <v>0</v>
      </c>
      <c r="AJ20" s="78"/>
      <c r="AK20" s="82">
        <f t="shared" si="13"/>
        <v>0</v>
      </c>
      <c r="AL20" s="78">
        <f t="shared" si="36"/>
        <v>0</v>
      </c>
      <c r="AM20" s="78"/>
      <c r="AN20" s="82">
        <f t="shared" si="14"/>
        <v>0</v>
      </c>
      <c r="AO20" s="78">
        <f t="shared" si="37"/>
        <v>0</v>
      </c>
      <c r="AP20" s="79"/>
      <c r="AQ20" s="82">
        <f t="shared" si="15"/>
        <v>0</v>
      </c>
      <c r="AR20" s="78">
        <f t="shared" si="38"/>
        <v>0</v>
      </c>
      <c r="AS20" s="78"/>
      <c r="AT20" s="82">
        <f t="shared" si="16"/>
        <v>0</v>
      </c>
      <c r="AU20" s="78">
        <f t="shared" si="39"/>
        <v>0</v>
      </c>
      <c r="AV20" s="78"/>
      <c r="AW20" s="82">
        <f t="shared" si="17"/>
        <v>0</v>
      </c>
      <c r="AX20" s="78">
        <f t="shared" si="40"/>
        <v>0</v>
      </c>
      <c r="AY20" s="78"/>
      <c r="AZ20" s="82">
        <f t="shared" si="18"/>
        <v>0</v>
      </c>
      <c r="BA20" s="78">
        <f t="shared" si="41"/>
        <v>0</v>
      </c>
      <c r="BB20" s="78"/>
      <c r="BC20" s="82">
        <f t="shared" si="19"/>
        <v>0</v>
      </c>
      <c r="BD20" s="82">
        <f t="shared" si="42"/>
        <v>0</v>
      </c>
      <c r="BE20" s="82"/>
      <c r="BF20" s="82">
        <f t="shared" si="43"/>
        <v>0</v>
      </c>
      <c r="BG20" s="78">
        <f t="shared" si="44"/>
        <v>0</v>
      </c>
      <c r="BH20" s="78"/>
      <c r="BI20" s="168">
        <f t="shared" si="20"/>
        <v>0</v>
      </c>
      <c r="BJ20" s="78">
        <f t="shared" si="45"/>
        <v>0</v>
      </c>
      <c r="BK20" s="78"/>
      <c r="BL20" s="82">
        <f t="shared" si="21"/>
        <v>0</v>
      </c>
      <c r="BM20" s="78">
        <f t="shared" si="46"/>
        <v>0</v>
      </c>
      <c r="BN20" s="78"/>
      <c r="BO20" s="82">
        <f t="shared" si="22"/>
        <v>0</v>
      </c>
      <c r="BP20" s="78">
        <f t="shared" si="47"/>
        <v>0</v>
      </c>
      <c r="BQ20" s="78"/>
      <c r="BR20" s="82">
        <f t="shared" si="23"/>
        <v>0</v>
      </c>
      <c r="BS20" s="78">
        <f t="shared" si="48"/>
        <v>0</v>
      </c>
      <c r="BT20" s="78"/>
      <c r="BU20" s="82">
        <f t="shared" si="24"/>
        <v>0</v>
      </c>
      <c r="BV20" s="78">
        <f t="shared" si="49"/>
        <v>0</v>
      </c>
      <c r="BW20" s="78"/>
      <c r="BX20" s="82">
        <f t="shared" si="25"/>
        <v>0</v>
      </c>
      <c r="BY20" s="78">
        <f t="shared" si="50"/>
        <v>0</v>
      </c>
      <c r="BZ20" s="78"/>
      <c r="CA20" s="82">
        <f t="shared" si="26"/>
        <v>0</v>
      </c>
      <c r="CB20" s="78">
        <f t="shared" si="51"/>
        <v>0</v>
      </c>
      <c r="CC20" s="78"/>
      <c r="CD20" s="82">
        <f t="shared" si="27"/>
        <v>0</v>
      </c>
      <c r="CE20" s="78">
        <f t="shared" si="52"/>
        <v>0</v>
      </c>
      <c r="CF20" s="78"/>
      <c r="CG20" s="82">
        <f t="shared" si="28"/>
        <v>0</v>
      </c>
      <c r="CH20" s="78">
        <f t="shared" si="53"/>
        <v>0</v>
      </c>
      <c r="CI20" s="78"/>
      <c r="CJ20" s="82">
        <f t="shared" si="29"/>
        <v>0</v>
      </c>
      <c r="CK20" s="78">
        <f t="shared" si="54"/>
        <v>0</v>
      </c>
      <c r="CL20" s="78"/>
      <c r="CM20" s="82">
        <f t="shared" si="30"/>
        <v>0</v>
      </c>
      <c r="CN20" s="78">
        <f t="shared" si="55"/>
        <v>0</v>
      </c>
      <c r="CO20" s="78"/>
      <c r="CP20" s="82">
        <f t="shared" si="31"/>
        <v>0</v>
      </c>
    </row>
    <row r="21" spans="1:1028" s="3" customFormat="1" ht="13.5" customHeight="1" x14ac:dyDescent="0.2">
      <c r="A21" s="90">
        <v>17</v>
      </c>
      <c r="B21" s="74">
        <f t="shared" si="32"/>
        <v>0</v>
      </c>
      <c r="C21" s="74"/>
      <c r="D21" s="75">
        <f t="shared" si="0"/>
        <v>0</v>
      </c>
      <c r="E21" s="76">
        <f t="shared" si="56"/>
        <v>0</v>
      </c>
      <c r="F21" s="77"/>
      <c r="G21" s="76">
        <f t="shared" si="33"/>
        <v>0</v>
      </c>
      <c r="H21" s="78">
        <f>I20</f>
        <v>0</v>
      </c>
      <c r="I21" s="78"/>
      <c r="J21" s="82">
        <f t="shared" si="1"/>
        <v>0</v>
      </c>
      <c r="K21" s="78">
        <f t="shared" si="57"/>
        <v>0</v>
      </c>
      <c r="L21" s="78"/>
      <c r="M21" s="82">
        <f t="shared" si="2"/>
        <v>0</v>
      </c>
      <c r="N21" s="78">
        <f>O20</f>
        <v>0</v>
      </c>
      <c r="O21" s="78"/>
      <c r="P21" s="82">
        <f t="shared" si="3"/>
        <v>0</v>
      </c>
      <c r="Q21" s="78">
        <f t="shared" si="35"/>
        <v>0</v>
      </c>
      <c r="R21" s="78"/>
      <c r="S21" s="82">
        <f t="shared" si="4"/>
        <v>0</v>
      </c>
      <c r="T21" s="78">
        <f>U20</f>
        <v>0</v>
      </c>
      <c r="U21" s="79"/>
      <c r="V21" s="82">
        <f t="shared" si="5"/>
        <v>0</v>
      </c>
      <c r="W21" s="78">
        <f>X20</f>
        <v>0</v>
      </c>
      <c r="X21" s="78"/>
      <c r="Y21" s="82">
        <f t="shared" si="6"/>
        <v>0</v>
      </c>
      <c r="Z21" s="78">
        <f>AA20</f>
        <v>0</v>
      </c>
      <c r="AA21" s="78"/>
      <c r="AB21" s="82">
        <f t="shared" si="7"/>
        <v>0</v>
      </c>
      <c r="AC21" s="78">
        <f t="shared" si="8"/>
        <v>0</v>
      </c>
      <c r="AD21" s="78"/>
      <c r="AE21" s="82">
        <f t="shared" si="9"/>
        <v>0</v>
      </c>
      <c r="AF21" s="78">
        <f t="shared" si="10"/>
        <v>0</v>
      </c>
      <c r="AG21" s="78"/>
      <c r="AH21" s="82">
        <f t="shared" si="11"/>
        <v>0</v>
      </c>
      <c r="AI21" s="78">
        <f t="shared" si="12"/>
        <v>0</v>
      </c>
      <c r="AJ21" s="78"/>
      <c r="AK21" s="82">
        <f t="shared" si="13"/>
        <v>0</v>
      </c>
      <c r="AL21" s="78">
        <f t="shared" si="36"/>
        <v>0</v>
      </c>
      <c r="AM21" s="78"/>
      <c r="AN21" s="82">
        <f t="shared" si="14"/>
        <v>0</v>
      </c>
      <c r="AO21" s="78">
        <f t="shared" si="37"/>
        <v>0</v>
      </c>
      <c r="AP21" s="79"/>
      <c r="AQ21" s="82">
        <f t="shared" si="15"/>
        <v>0</v>
      </c>
      <c r="AR21" s="78">
        <f t="shared" si="38"/>
        <v>0</v>
      </c>
      <c r="AS21" s="78"/>
      <c r="AT21" s="82">
        <f t="shared" si="16"/>
        <v>0</v>
      </c>
      <c r="AU21" s="78">
        <f t="shared" si="39"/>
        <v>0</v>
      </c>
      <c r="AV21" s="78"/>
      <c r="AW21" s="82">
        <f t="shared" si="17"/>
        <v>0</v>
      </c>
      <c r="AX21" s="78">
        <f t="shared" si="40"/>
        <v>0</v>
      </c>
      <c r="AY21" s="78"/>
      <c r="AZ21" s="82">
        <f t="shared" si="18"/>
        <v>0</v>
      </c>
      <c r="BA21" s="78">
        <f t="shared" si="41"/>
        <v>0</v>
      </c>
      <c r="BB21" s="78"/>
      <c r="BC21" s="82">
        <f t="shared" si="19"/>
        <v>0</v>
      </c>
      <c r="BD21" s="82">
        <f t="shared" si="42"/>
        <v>0</v>
      </c>
      <c r="BE21" s="82"/>
      <c r="BF21" s="82">
        <f t="shared" si="43"/>
        <v>0</v>
      </c>
      <c r="BG21" s="78">
        <f t="shared" si="44"/>
        <v>0</v>
      </c>
      <c r="BH21" s="78"/>
      <c r="BI21" s="168">
        <f t="shared" si="20"/>
        <v>0</v>
      </c>
      <c r="BJ21" s="78">
        <f t="shared" si="45"/>
        <v>0</v>
      </c>
      <c r="BK21" s="78"/>
      <c r="BL21" s="82">
        <f t="shared" si="21"/>
        <v>0</v>
      </c>
      <c r="BM21" s="78">
        <f t="shared" si="46"/>
        <v>0</v>
      </c>
      <c r="BN21" s="78"/>
      <c r="BO21" s="82">
        <f>BN21-BM21</f>
        <v>0</v>
      </c>
      <c r="BP21" s="78">
        <f t="shared" si="47"/>
        <v>0</v>
      </c>
      <c r="BQ21" s="78"/>
      <c r="BR21" s="82">
        <f t="shared" si="23"/>
        <v>0</v>
      </c>
      <c r="BS21" s="78">
        <f t="shared" si="48"/>
        <v>0</v>
      </c>
      <c r="BT21" s="78"/>
      <c r="BU21" s="82">
        <f t="shared" si="24"/>
        <v>0</v>
      </c>
      <c r="BV21" s="78">
        <f t="shared" si="49"/>
        <v>0</v>
      </c>
      <c r="BW21" s="78"/>
      <c r="BX21" s="82">
        <f t="shared" si="25"/>
        <v>0</v>
      </c>
      <c r="BY21" s="78">
        <f t="shared" si="50"/>
        <v>0</v>
      </c>
      <c r="BZ21" s="78"/>
      <c r="CA21" s="82">
        <f t="shared" si="26"/>
        <v>0</v>
      </c>
      <c r="CB21" s="78">
        <f t="shared" si="51"/>
        <v>0</v>
      </c>
      <c r="CC21" s="78"/>
      <c r="CD21" s="82">
        <f t="shared" si="27"/>
        <v>0</v>
      </c>
      <c r="CE21" s="78">
        <f t="shared" si="52"/>
        <v>0</v>
      </c>
      <c r="CF21" s="78"/>
      <c r="CG21" s="82">
        <f t="shared" si="28"/>
        <v>0</v>
      </c>
      <c r="CH21" s="78">
        <f t="shared" si="53"/>
        <v>0</v>
      </c>
      <c r="CI21" s="78"/>
      <c r="CJ21" s="82">
        <f t="shared" si="29"/>
        <v>0</v>
      </c>
      <c r="CK21" s="78">
        <f t="shared" si="54"/>
        <v>0</v>
      </c>
      <c r="CL21" s="78"/>
      <c r="CM21" s="82">
        <f t="shared" si="30"/>
        <v>0</v>
      </c>
      <c r="CN21" s="78">
        <f t="shared" si="55"/>
        <v>0</v>
      </c>
      <c r="CO21" s="78"/>
      <c r="CP21" s="82">
        <f t="shared" si="31"/>
        <v>0</v>
      </c>
    </row>
    <row r="22" spans="1:1028" s="3" customFormat="1" ht="13.5" customHeight="1" x14ac:dyDescent="0.2">
      <c r="A22" s="90">
        <v>18</v>
      </c>
      <c r="B22" s="74">
        <f t="shared" si="32"/>
        <v>0</v>
      </c>
      <c r="C22" s="74"/>
      <c r="D22" s="75">
        <f t="shared" si="0"/>
        <v>0</v>
      </c>
      <c r="E22" s="76">
        <f t="shared" si="56"/>
        <v>0</v>
      </c>
      <c r="F22" s="77"/>
      <c r="G22" s="76">
        <f t="shared" si="33"/>
        <v>0</v>
      </c>
      <c r="H22" s="78">
        <f>I21</f>
        <v>0</v>
      </c>
      <c r="I22" s="78"/>
      <c r="J22" s="82">
        <f t="shared" si="1"/>
        <v>0</v>
      </c>
      <c r="K22" s="78">
        <f t="shared" si="57"/>
        <v>0</v>
      </c>
      <c r="L22" s="78"/>
      <c r="M22" s="82">
        <f t="shared" si="2"/>
        <v>0</v>
      </c>
      <c r="N22" s="78">
        <f>O21</f>
        <v>0</v>
      </c>
      <c r="O22" s="78"/>
      <c r="P22" s="82">
        <f t="shared" si="3"/>
        <v>0</v>
      </c>
      <c r="Q22" s="78">
        <f t="shared" si="35"/>
        <v>0</v>
      </c>
      <c r="R22" s="78"/>
      <c r="S22" s="82">
        <f t="shared" si="4"/>
        <v>0</v>
      </c>
      <c r="T22" s="78">
        <f>U21</f>
        <v>0</v>
      </c>
      <c r="U22" s="78"/>
      <c r="V22" s="82">
        <f t="shared" si="5"/>
        <v>0</v>
      </c>
      <c r="W22" s="78">
        <f>X21</f>
        <v>0</v>
      </c>
      <c r="X22" s="78"/>
      <c r="Y22" s="82">
        <f t="shared" si="6"/>
        <v>0</v>
      </c>
      <c r="Z22" s="78">
        <f>AA21</f>
        <v>0</v>
      </c>
      <c r="AA22" s="78"/>
      <c r="AB22" s="82">
        <f t="shared" si="7"/>
        <v>0</v>
      </c>
      <c r="AC22" s="78">
        <f t="shared" si="8"/>
        <v>0</v>
      </c>
      <c r="AD22" s="78"/>
      <c r="AE22" s="82">
        <f t="shared" si="9"/>
        <v>0</v>
      </c>
      <c r="AF22" s="78">
        <f t="shared" si="10"/>
        <v>0</v>
      </c>
      <c r="AG22" s="78"/>
      <c r="AH22" s="82">
        <f t="shared" si="11"/>
        <v>0</v>
      </c>
      <c r="AI22" s="78">
        <f t="shared" si="12"/>
        <v>0</v>
      </c>
      <c r="AJ22" s="78"/>
      <c r="AK22" s="82">
        <f t="shared" si="13"/>
        <v>0</v>
      </c>
      <c r="AL22" s="78">
        <f t="shared" si="36"/>
        <v>0</v>
      </c>
      <c r="AM22" s="78"/>
      <c r="AN22" s="82">
        <f t="shared" si="14"/>
        <v>0</v>
      </c>
      <c r="AO22" s="78">
        <f t="shared" si="37"/>
        <v>0</v>
      </c>
      <c r="AP22" s="78"/>
      <c r="AQ22" s="82">
        <f t="shared" si="15"/>
        <v>0</v>
      </c>
      <c r="AR22" s="78">
        <f t="shared" si="38"/>
        <v>0</v>
      </c>
      <c r="AS22" s="78"/>
      <c r="AT22" s="82">
        <f t="shared" si="16"/>
        <v>0</v>
      </c>
      <c r="AU22" s="78">
        <f t="shared" si="39"/>
        <v>0</v>
      </c>
      <c r="AV22" s="78"/>
      <c r="AW22" s="82">
        <f t="shared" si="17"/>
        <v>0</v>
      </c>
      <c r="AX22" s="78">
        <f t="shared" si="40"/>
        <v>0</v>
      </c>
      <c r="AY22" s="78"/>
      <c r="AZ22" s="82">
        <f t="shared" si="18"/>
        <v>0</v>
      </c>
      <c r="BA22" s="78">
        <f t="shared" si="41"/>
        <v>0</v>
      </c>
      <c r="BB22" s="78"/>
      <c r="BC22" s="82">
        <f t="shared" si="19"/>
        <v>0</v>
      </c>
      <c r="BD22" s="82">
        <f t="shared" si="42"/>
        <v>0</v>
      </c>
      <c r="BE22" s="82"/>
      <c r="BF22" s="82">
        <f t="shared" si="43"/>
        <v>0</v>
      </c>
      <c r="BG22" s="78">
        <f t="shared" si="44"/>
        <v>0</v>
      </c>
      <c r="BH22" s="78"/>
      <c r="BI22" s="168">
        <f t="shared" si="20"/>
        <v>0</v>
      </c>
      <c r="BJ22" s="78">
        <f t="shared" si="45"/>
        <v>0</v>
      </c>
      <c r="BK22" s="78"/>
      <c r="BL22" s="82">
        <f t="shared" si="21"/>
        <v>0</v>
      </c>
      <c r="BM22" s="78">
        <f>BN21</f>
        <v>0</v>
      </c>
      <c r="BN22" s="78"/>
      <c r="BO22" s="82">
        <f>BN22-BM22</f>
        <v>0</v>
      </c>
      <c r="BP22" s="78">
        <f t="shared" si="47"/>
        <v>0</v>
      </c>
      <c r="BQ22" s="78"/>
      <c r="BR22" s="82">
        <f t="shared" si="23"/>
        <v>0</v>
      </c>
      <c r="BS22" s="78">
        <f t="shared" si="48"/>
        <v>0</v>
      </c>
      <c r="BT22" s="78"/>
      <c r="BU22" s="82">
        <f t="shared" si="24"/>
        <v>0</v>
      </c>
      <c r="BV22" s="78">
        <f t="shared" si="49"/>
        <v>0</v>
      </c>
      <c r="BW22" s="78"/>
      <c r="BX22" s="82">
        <f t="shared" si="25"/>
        <v>0</v>
      </c>
      <c r="BY22" s="78">
        <f t="shared" si="50"/>
        <v>0</v>
      </c>
      <c r="BZ22" s="78"/>
      <c r="CA22" s="82">
        <f t="shared" si="26"/>
        <v>0</v>
      </c>
      <c r="CB22" s="78">
        <f t="shared" si="51"/>
        <v>0</v>
      </c>
      <c r="CC22" s="78"/>
      <c r="CD22" s="82">
        <f t="shared" si="27"/>
        <v>0</v>
      </c>
      <c r="CE22" s="78">
        <f t="shared" si="52"/>
        <v>0</v>
      </c>
      <c r="CF22" s="78"/>
      <c r="CG22" s="82">
        <f t="shared" si="28"/>
        <v>0</v>
      </c>
      <c r="CH22" s="78">
        <f t="shared" si="53"/>
        <v>0</v>
      </c>
      <c r="CI22" s="78"/>
      <c r="CJ22" s="82">
        <f t="shared" si="29"/>
        <v>0</v>
      </c>
      <c r="CK22" s="78">
        <f t="shared" si="54"/>
        <v>0</v>
      </c>
      <c r="CL22" s="78"/>
      <c r="CM22" s="82">
        <f t="shared" si="30"/>
        <v>0</v>
      </c>
      <c r="CN22" s="78">
        <f t="shared" si="55"/>
        <v>0</v>
      </c>
      <c r="CO22" s="272"/>
      <c r="CP22" s="82">
        <f t="shared" si="31"/>
        <v>0</v>
      </c>
    </row>
    <row r="23" spans="1:1028" s="3" customFormat="1" ht="13.5" customHeight="1" x14ac:dyDescent="0.2">
      <c r="A23" s="90">
        <v>19</v>
      </c>
      <c r="B23" s="74">
        <f t="shared" si="32"/>
        <v>0</v>
      </c>
      <c r="C23" s="74"/>
      <c r="D23" s="75">
        <f t="shared" si="0"/>
        <v>0</v>
      </c>
      <c r="E23" s="76">
        <f t="shared" si="56"/>
        <v>0</v>
      </c>
      <c r="F23" s="76"/>
      <c r="G23" s="76">
        <f t="shared" si="33"/>
        <v>0</v>
      </c>
      <c r="H23" s="78">
        <f>I22</f>
        <v>0</v>
      </c>
      <c r="I23" s="78"/>
      <c r="J23" s="82">
        <f t="shared" si="1"/>
        <v>0</v>
      </c>
      <c r="K23" s="78">
        <f t="shared" si="57"/>
        <v>0</v>
      </c>
      <c r="L23" s="78"/>
      <c r="M23" s="82">
        <f t="shared" si="2"/>
        <v>0</v>
      </c>
      <c r="N23" s="78">
        <f>O22</f>
        <v>0</v>
      </c>
      <c r="O23" s="78"/>
      <c r="P23" s="82">
        <f t="shared" si="3"/>
        <v>0</v>
      </c>
      <c r="Q23" s="78">
        <f t="shared" si="35"/>
        <v>0</v>
      </c>
      <c r="R23" s="78"/>
      <c r="S23" s="82">
        <f t="shared" si="4"/>
        <v>0</v>
      </c>
      <c r="T23" s="78">
        <f>U22</f>
        <v>0</v>
      </c>
      <c r="U23" s="78"/>
      <c r="V23" s="82">
        <f t="shared" si="5"/>
        <v>0</v>
      </c>
      <c r="W23" s="78">
        <f>X22</f>
        <v>0</v>
      </c>
      <c r="X23" s="78"/>
      <c r="Y23" s="82">
        <f t="shared" si="6"/>
        <v>0</v>
      </c>
      <c r="Z23" s="78">
        <f>AA22</f>
        <v>0</v>
      </c>
      <c r="AA23" s="78"/>
      <c r="AB23" s="82">
        <f t="shared" si="7"/>
        <v>0</v>
      </c>
      <c r="AC23" s="78">
        <f t="shared" si="8"/>
        <v>0</v>
      </c>
      <c r="AD23" s="78"/>
      <c r="AE23" s="82">
        <f t="shared" si="9"/>
        <v>0</v>
      </c>
      <c r="AF23" s="78">
        <f t="shared" si="10"/>
        <v>0</v>
      </c>
      <c r="AG23" s="78"/>
      <c r="AH23" s="82">
        <f t="shared" si="11"/>
        <v>0</v>
      </c>
      <c r="AI23" s="78">
        <f t="shared" si="12"/>
        <v>0</v>
      </c>
      <c r="AJ23" s="78"/>
      <c r="AK23" s="82">
        <f t="shared" si="13"/>
        <v>0</v>
      </c>
      <c r="AL23" s="78">
        <f t="shared" si="36"/>
        <v>0</v>
      </c>
      <c r="AM23" s="78"/>
      <c r="AN23" s="82">
        <f t="shared" si="14"/>
        <v>0</v>
      </c>
      <c r="AO23" s="78">
        <f t="shared" si="37"/>
        <v>0</v>
      </c>
      <c r="AP23" s="78"/>
      <c r="AQ23" s="82">
        <f t="shared" si="15"/>
        <v>0</v>
      </c>
      <c r="AR23" s="78">
        <f t="shared" si="38"/>
        <v>0</v>
      </c>
      <c r="AS23" s="78"/>
      <c r="AT23" s="82">
        <f t="shared" si="16"/>
        <v>0</v>
      </c>
      <c r="AU23" s="78">
        <f t="shared" si="39"/>
        <v>0</v>
      </c>
      <c r="AV23" s="78"/>
      <c r="AW23" s="82">
        <f t="shared" si="17"/>
        <v>0</v>
      </c>
      <c r="AX23" s="78">
        <f t="shared" si="40"/>
        <v>0</v>
      </c>
      <c r="AY23" s="78"/>
      <c r="AZ23" s="82">
        <f t="shared" si="18"/>
        <v>0</v>
      </c>
      <c r="BA23" s="78">
        <f t="shared" si="41"/>
        <v>0</v>
      </c>
      <c r="BB23" s="78"/>
      <c r="BC23" s="82">
        <f t="shared" si="19"/>
        <v>0</v>
      </c>
      <c r="BD23" s="82">
        <f t="shared" si="42"/>
        <v>0</v>
      </c>
      <c r="BE23" s="82"/>
      <c r="BF23" s="82">
        <f t="shared" si="43"/>
        <v>0</v>
      </c>
      <c r="BG23" s="78">
        <f t="shared" si="44"/>
        <v>0</v>
      </c>
      <c r="BH23" s="78"/>
      <c r="BI23" s="168">
        <f t="shared" si="20"/>
        <v>0</v>
      </c>
      <c r="BJ23" s="78">
        <f t="shared" si="45"/>
        <v>0</v>
      </c>
      <c r="BK23" s="78"/>
      <c r="BL23" s="82">
        <f t="shared" si="21"/>
        <v>0</v>
      </c>
      <c r="BM23" s="78">
        <f>BN22</f>
        <v>0</v>
      </c>
      <c r="BN23" s="78"/>
      <c r="BO23" s="82">
        <f t="shared" si="22"/>
        <v>0</v>
      </c>
      <c r="BP23" s="78">
        <f t="shared" si="47"/>
        <v>0</v>
      </c>
      <c r="BQ23" s="78"/>
      <c r="BR23" s="82">
        <f t="shared" si="23"/>
        <v>0</v>
      </c>
      <c r="BS23" s="78">
        <f t="shared" si="48"/>
        <v>0</v>
      </c>
      <c r="BT23" s="78"/>
      <c r="BU23" s="82">
        <f t="shared" si="24"/>
        <v>0</v>
      </c>
      <c r="BV23" s="78">
        <f t="shared" si="49"/>
        <v>0</v>
      </c>
      <c r="BW23" s="78"/>
      <c r="BX23" s="82">
        <f t="shared" si="25"/>
        <v>0</v>
      </c>
      <c r="BY23" s="78">
        <f t="shared" si="50"/>
        <v>0</v>
      </c>
      <c r="BZ23" s="78"/>
      <c r="CA23" s="82">
        <f t="shared" si="26"/>
        <v>0</v>
      </c>
      <c r="CB23" s="78">
        <f t="shared" si="51"/>
        <v>0</v>
      </c>
      <c r="CC23" s="78"/>
      <c r="CD23" s="82">
        <f t="shared" si="27"/>
        <v>0</v>
      </c>
      <c r="CE23" s="78">
        <f t="shared" si="52"/>
        <v>0</v>
      </c>
      <c r="CF23" s="78"/>
      <c r="CG23" s="82">
        <f t="shared" si="28"/>
        <v>0</v>
      </c>
      <c r="CH23" s="78">
        <f t="shared" si="53"/>
        <v>0</v>
      </c>
      <c r="CI23" s="78"/>
      <c r="CJ23" s="82">
        <f t="shared" si="29"/>
        <v>0</v>
      </c>
      <c r="CK23" s="78">
        <f t="shared" si="54"/>
        <v>0</v>
      </c>
      <c r="CL23" s="78"/>
      <c r="CM23" s="82">
        <f t="shared" si="30"/>
        <v>0</v>
      </c>
      <c r="CN23" s="78">
        <f t="shared" si="55"/>
        <v>0</v>
      </c>
      <c r="CO23" s="272"/>
      <c r="CP23" s="82">
        <f t="shared" si="31"/>
        <v>0</v>
      </c>
    </row>
    <row r="24" spans="1:1028" s="3" customFormat="1" ht="13.5" customHeight="1" x14ac:dyDescent="0.2">
      <c r="A24" s="90">
        <v>20</v>
      </c>
      <c r="B24" s="74">
        <f t="shared" si="32"/>
        <v>0</v>
      </c>
      <c r="C24" s="74"/>
      <c r="D24" s="75">
        <f t="shared" si="0"/>
        <v>0</v>
      </c>
      <c r="E24" s="76">
        <f t="shared" si="56"/>
        <v>0</v>
      </c>
      <c r="F24" s="76"/>
      <c r="G24" s="76">
        <f t="shared" si="33"/>
        <v>0</v>
      </c>
      <c r="H24" s="78">
        <f t="shared" si="34"/>
        <v>0</v>
      </c>
      <c r="I24" s="78"/>
      <c r="J24" s="82">
        <f t="shared" si="1"/>
        <v>0</v>
      </c>
      <c r="K24" s="78">
        <f t="shared" si="57"/>
        <v>0</v>
      </c>
      <c r="L24" s="78"/>
      <c r="M24" s="82">
        <f t="shared" si="2"/>
        <v>0</v>
      </c>
      <c r="N24" s="78">
        <f t="shared" ref="N24:N35" si="62">O23</f>
        <v>0</v>
      </c>
      <c r="O24" s="78"/>
      <c r="P24" s="82">
        <f t="shared" si="3"/>
        <v>0</v>
      </c>
      <c r="Q24" s="78">
        <f t="shared" si="35"/>
        <v>0</v>
      </c>
      <c r="R24" s="105"/>
      <c r="S24" s="82">
        <f t="shared" si="4"/>
        <v>0</v>
      </c>
      <c r="T24" s="78">
        <f t="shared" ref="T24:T35" si="63">U23</f>
        <v>0</v>
      </c>
      <c r="U24" s="78"/>
      <c r="V24" s="82">
        <f t="shared" si="5"/>
        <v>0</v>
      </c>
      <c r="W24" s="78">
        <f t="shared" ref="W24:W35" si="64">X23</f>
        <v>0</v>
      </c>
      <c r="X24" s="78"/>
      <c r="Y24" s="82">
        <f t="shared" si="6"/>
        <v>0</v>
      </c>
      <c r="Z24" s="78">
        <f t="shared" ref="Z24:Z35" si="65">AA23</f>
        <v>0</v>
      </c>
      <c r="AA24" s="78"/>
      <c r="AB24" s="82">
        <f t="shared" si="7"/>
        <v>0</v>
      </c>
      <c r="AC24" s="78">
        <f t="shared" si="8"/>
        <v>0</v>
      </c>
      <c r="AD24" s="78"/>
      <c r="AE24" s="82">
        <f t="shared" si="9"/>
        <v>0</v>
      </c>
      <c r="AF24" s="78">
        <f t="shared" si="10"/>
        <v>0</v>
      </c>
      <c r="AG24" s="78"/>
      <c r="AH24" s="82">
        <f t="shared" si="11"/>
        <v>0</v>
      </c>
      <c r="AI24" s="78">
        <f t="shared" si="12"/>
        <v>0</v>
      </c>
      <c r="AJ24" s="78"/>
      <c r="AK24" s="82">
        <f t="shared" si="13"/>
        <v>0</v>
      </c>
      <c r="AL24" s="78">
        <f t="shared" si="36"/>
        <v>0</v>
      </c>
      <c r="AM24" s="78"/>
      <c r="AN24" s="82">
        <f t="shared" si="14"/>
        <v>0</v>
      </c>
      <c r="AO24" s="78">
        <f t="shared" si="37"/>
        <v>0</v>
      </c>
      <c r="AP24" s="78"/>
      <c r="AQ24" s="82">
        <f t="shared" si="15"/>
        <v>0</v>
      </c>
      <c r="AR24" s="78">
        <f t="shared" si="38"/>
        <v>0</v>
      </c>
      <c r="AS24" s="78"/>
      <c r="AT24" s="82">
        <f t="shared" si="16"/>
        <v>0</v>
      </c>
      <c r="AU24" s="78">
        <f t="shared" si="39"/>
        <v>0</v>
      </c>
      <c r="AV24" s="78"/>
      <c r="AW24" s="82">
        <f t="shared" si="17"/>
        <v>0</v>
      </c>
      <c r="AX24" s="78">
        <f t="shared" si="40"/>
        <v>0</v>
      </c>
      <c r="AY24" s="78"/>
      <c r="AZ24" s="82">
        <f t="shared" si="18"/>
        <v>0</v>
      </c>
      <c r="BA24" s="78">
        <f t="shared" si="41"/>
        <v>0</v>
      </c>
      <c r="BB24" s="78"/>
      <c r="BC24" s="82">
        <f t="shared" si="19"/>
        <v>0</v>
      </c>
      <c r="BD24" s="82">
        <f t="shared" si="42"/>
        <v>0</v>
      </c>
      <c r="BE24" s="82"/>
      <c r="BF24" s="82">
        <f t="shared" si="43"/>
        <v>0</v>
      </c>
      <c r="BG24" s="78">
        <f t="shared" si="44"/>
        <v>0</v>
      </c>
      <c r="BH24" s="78"/>
      <c r="BI24" s="168">
        <f t="shared" si="20"/>
        <v>0</v>
      </c>
      <c r="BJ24" s="78">
        <f t="shared" si="45"/>
        <v>0</v>
      </c>
      <c r="BK24" s="78"/>
      <c r="BL24" s="82">
        <f t="shared" si="21"/>
        <v>0</v>
      </c>
      <c r="BM24" s="78">
        <f t="shared" si="46"/>
        <v>0</v>
      </c>
      <c r="BN24" s="78"/>
      <c r="BO24" s="82">
        <f t="shared" si="22"/>
        <v>0</v>
      </c>
      <c r="BP24" s="78">
        <f t="shared" si="47"/>
        <v>0</v>
      </c>
      <c r="BQ24" s="78"/>
      <c r="BR24" s="82">
        <f t="shared" si="23"/>
        <v>0</v>
      </c>
      <c r="BS24" s="78">
        <f t="shared" si="48"/>
        <v>0</v>
      </c>
      <c r="BT24" s="78"/>
      <c r="BU24" s="82">
        <f t="shared" si="24"/>
        <v>0</v>
      </c>
      <c r="BV24" s="78">
        <f t="shared" si="49"/>
        <v>0</v>
      </c>
      <c r="BW24" s="78"/>
      <c r="BX24" s="82">
        <f t="shared" si="25"/>
        <v>0</v>
      </c>
      <c r="BY24" s="78">
        <f t="shared" si="50"/>
        <v>0</v>
      </c>
      <c r="BZ24" s="78"/>
      <c r="CA24" s="82">
        <f t="shared" si="26"/>
        <v>0</v>
      </c>
      <c r="CB24" s="78">
        <f t="shared" si="51"/>
        <v>0</v>
      </c>
      <c r="CC24" s="78"/>
      <c r="CD24" s="82">
        <f t="shared" si="27"/>
        <v>0</v>
      </c>
      <c r="CE24" s="78">
        <f t="shared" si="52"/>
        <v>0</v>
      </c>
      <c r="CF24" s="78"/>
      <c r="CG24" s="82">
        <f t="shared" si="28"/>
        <v>0</v>
      </c>
      <c r="CH24" s="78">
        <f t="shared" si="53"/>
        <v>0</v>
      </c>
      <c r="CI24" s="78"/>
      <c r="CJ24" s="82">
        <f t="shared" si="29"/>
        <v>0</v>
      </c>
      <c r="CK24" s="78">
        <f t="shared" si="54"/>
        <v>0</v>
      </c>
      <c r="CL24" s="78"/>
      <c r="CM24" s="82">
        <f t="shared" si="30"/>
        <v>0</v>
      </c>
      <c r="CN24" s="78">
        <f t="shared" si="55"/>
        <v>0</v>
      </c>
      <c r="CO24" s="78"/>
      <c r="CP24" s="82">
        <f t="shared" si="31"/>
        <v>0</v>
      </c>
    </row>
    <row r="25" spans="1:1028" s="3" customFormat="1" ht="13.5" customHeight="1" x14ac:dyDescent="0.2">
      <c r="A25" s="90">
        <v>21</v>
      </c>
      <c r="B25" s="74">
        <f t="shared" si="32"/>
        <v>0</v>
      </c>
      <c r="C25" s="74"/>
      <c r="D25" s="75">
        <f t="shared" si="0"/>
        <v>0</v>
      </c>
      <c r="E25" s="76">
        <f t="shared" si="56"/>
        <v>0</v>
      </c>
      <c r="F25" s="76"/>
      <c r="G25" s="76">
        <f t="shared" si="33"/>
        <v>0</v>
      </c>
      <c r="H25" s="78">
        <f t="shared" si="34"/>
        <v>0</v>
      </c>
      <c r="I25" s="78"/>
      <c r="J25" s="82">
        <f t="shared" si="1"/>
        <v>0</v>
      </c>
      <c r="K25" s="78">
        <f t="shared" si="57"/>
        <v>0</v>
      </c>
      <c r="L25" s="78"/>
      <c r="M25" s="82">
        <f t="shared" si="2"/>
        <v>0</v>
      </c>
      <c r="N25" s="78">
        <f t="shared" si="62"/>
        <v>0</v>
      </c>
      <c r="O25" s="78"/>
      <c r="P25" s="82">
        <f t="shared" si="3"/>
        <v>0</v>
      </c>
      <c r="Q25" s="78">
        <f t="shared" si="35"/>
        <v>0</v>
      </c>
      <c r="R25" s="78"/>
      <c r="S25" s="82">
        <f t="shared" si="4"/>
        <v>0</v>
      </c>
      <c r="T25" s="78">
        <f t="shared" si="63"/>
        <v>0</v>
      </c>
      <c r="U25" s="78"/>
      <c r="V25" s="82">
        <f t="shared" si="5"/>
        <v>0</v>
      </c>
      <c r="W25" s="78">
        <f t="shared" si="64"/>
        <v>0</v>
      </c>
      <c r="X25" s="78"/>
      <c r="Y25" s="82">
        <f t="shared" si="6"/>
        <v>0</v>
      </c>
      <c r="Z25" s="78">
        <f t="shared" si="65"/>
        <v>0</v>
      </c>
      <c r="AA25" s="78"/>
      <c r="AB25" s="82">
        <f t="shared" si="7"/>
        <v>0</v>
      </c>
      <c r="AC25" s="78">
        <f t="shared" si="8"/>
        <v>0</v>
      </c>
      <c r="AD25" s="78"/>
      <c r="AE25" s="82">
        <f t="shared" si="9"/>
        <v>0</v>
      </c>
      <c r="AF25" s="78">
        <f t="shared" si="10"/>
        <v>0</v>
      </c>
      <c r="AG25" s="78"/>
      <c r="AH25" s="82">
        <f t="shared" si="11"/>
        <v>0</v>
      </c>
      <c r="AI25" s="78">
        <f t="shared" si="12"/>
        <v>0</v>
      </c>
      <c r="AJ25" s="78"/>
      <c r="AK25" s="82">
        <f t="shared" si="13"/>
        <v>0</v>
      </c>
      <c r="AL25" s="78">
        <f t="shared" si="36"/>
        <v>0</v>
      </c>
      <c r="AM25" s="78"/>
      <c r="AN25" s="82">
        <f t="shared" si="14"/>
        <v>0</v>
      </c>
      <c r="AO25" s="78">
        <f t="shared" si="37"/>
        <v>0</v>
      </c>
      <c r="AP25" s="78"/>
      <c r="AQ25" s="82">
        <f t="shared" si="15"/>
        <v>0</v>
      </c>
      <c r="AR25" s="78">
        <f t="shared" si="38"/>
        <v>0</v>
      </c>
      <c r="AS25" s="78"/>
      <c r="AT25" s="82">
        <f t="shared" si="16"/>
        <v>0</v>
      </c>
      <c r="AU25" s="78">
        <f t="shared" si="39"/>
        <v>0</v>
      </c>
      <c r="AV25" s="78"/>
      <c r="AW25" s="82">
        <f t="shared" si="17"/>
        <v>0</v>
      </c>
      <c r="AX25" s="78">
        <f t="shared" si="40"/>
        <v>0</v>
      </c>
      <c r="AY25" s="78"/>
      <c r="AZ25" s="82">
        <f t="shared" si="18"/>
        <v>0</v>
      </c>
      <c r="BA25" s="78">
        <f t="shared" si="41"/>
        <v>0</v>
      </c>
      <c r="BB25" s="78"/>
      <c r="BC25" s="82">
        <f t="shared" si="19"/>
        <v>0</v>
      </c>
      <c r="BD25" s="82">
        <f t="shared" si="42"/>
        <v>0</v>
      </c>
      <c r="BE25" s="82"/>
      <c r="BF25" s="82">
        <f t="shared" si="43"/>
        <v>0</v>
      </c>
      <c r="BG25" s="78">
        <f t="shared" si="44"/>
        <v>0</v>
      </c>
      <c r="BH25" s="78"/>
      <c r="BI25" s="168">
        <f t="shared" si="20"/>
        <v>0</v>
      </c>
      <c r="BJ25" s="78">
        <f t="shared" si="45"/>
        <v>0</v>
      </c>
      <c r="BK25" s="78"/>
      <c r="BL25" s="82">
        <f t="shared" si="21"/>
        <v>0</v>
      </c>
      <c r="BM25" s="78">
        <f t="shared" si="46"/>
        <v>0</v>
      </c>
      <c r="BN25" s="78"/>
      <c r="BO25" s="82">
        <f t="shared" si="22"/>
        <v>0</v>
      </c>
      <c r="BP25" s="78">
        <f t="shared" si="47"/>
        <v>0</v>
      </c>
      <c r="BQ25" s="78"/>
      <c r="BR25" s="82">
        <f t="shared" si="23"/>
        <v>0</v>
      </c>
      <c r="BS25" s="78">
        <f t="shared" si="48"/>
        <v>0</v>
      </c>
      <c r="BT25" s="78"/>
      <c r="BU25" s="82">
        <f t="shared" si="24"/>
        <v>0</v>
      </c>
      <c r="BV25" s="78">
        <f t="shared" si="49"/>
        <v>0</v>
      </c>
      <c r="BW25" s="78"/>
      <c r="BX25" s="82">
        <f t="shared" si="25"/>
        <v>0</v>
      </c>
      <c r="BY25" s="78">
        <f t="shared" si="50"/>
        <v>0</v>
      </c>
      <c r="BZ25" s="78"/>
      <c r="CA25" s="82">
        <f t="shared" si="26"/>
        <v>0</v>
      </c>
      <c r="CB25" s="78">
        <f t="shared" si="51"/>
        <v>0</v>
      </c>
      <c r="CC25" s="78"/>
      <c r="CD25" s="82">
        <f t="shared" si="27"/>
        <v>0</v>
      </c>
      <c r="CE25" s="78">
        <f t="shared" si="52"/>
        <v>0</v>
      </c>
      <c r="CF25" s="78"/>
      <c r="CG25" s="82">
        <f t="shared" si="28"/>
        <v>0</v>
      </c>
      <c r="CH25" s="78">
        <f t="shared" si="53"/>
        <v>0</v>
      </c>
      <c r="CI25" s="78"/>
      <c r="CJ25" s="82">
        <f t="shared" si="29"/>
        <v>0</v>
      </c>
      <c r="CK25" s="78">
        <f t="shared" si="54"/>
        <v>0</v>
      </c>
      <c r="CL25" s="78"/>
      <c r="CM25" s="82">
        <f t="shared" si="30"/>
        <v>0</v>
      </c>
      <c r="CN25" s="78">
        <f t="shared" si="55"/>
        <v>0</v>
      </c>
      <c r="CO25" s="78"/>
      <c r="CP25" s="82">
        <f t="shared" si="31"/>
        <v>0</v>
      </c>
    </row>
    <row r="26" spans="1:1028" s="3" customFormat="1" ht="13.5" customHeight="1" x14ac:dyDescent="0.2">
      <c r="A26" s="90">
        <v>22</v>
      </c>
      <c r="B26" s="74">
        <f t="shared" si="32"/>
        <v>0</v>
      </c>
      <c r="C26" s="74"/>
      <c r="D26" s="75">
        <f t="shared" si="0"/>
        <v>0</v>
      </c>
      <c r="E26" s="76">
        <f t="shared" si="56"/>
        <v>0</v>
      </c>
      <c r="F26" s="76"/>
      <c r="G26" s="76">
        <f t="shared" si="33"/>
        <v>0</v>
      </c>
      <c r="H26" s="78">
        <f t="shared" si="34"/>
        <v>0</v>
      </c>
      <c r="I26" s="78"/>
      <c r="J26" s="82">
        <f t="shared" si="1"/>
        <v>0</v>
      </c>
      <c r="K26" s="78">
        <f t="shared" si="57"/>
        <v>0</v>
      </c>
      <c r="L26" s="78"/>
      <c r="M26" s="82">
        <f t="shared" si="2"/>
        <v>0</v>
      </c>
      <c r="N26" s="78">
        <f t="shared" si="62"/>
        <v>0</v>
      </c>
      <c r="O26" s="78"/>
      <c r="P26" s="82">
        <f t="shared" si="3"/>
        <v>0</v>
      </c>
      <c r="Q26" s="78">
        <f t="shared" si="35"/>
        <v>0</v>
      </c>
      <c r="R26" s="78"/>
      <c r="S26" s="82">
        <f t="shared" si="4"/>
        <v>0</v>
      </c>
      <c r="T26" s="78">
        <f t="shared" si="63"/>
        <v>0</v>
      </c>
      <c r="U26" s="78"/>
      <c r="V26" s="82">
        <f t="shared" si="5"/>
        <v>0</v>
      </c>
      <c r="W26" s="78">
        <f t="shared" si="64"/>
        <v>0</v>
      </c>
      <c r="X26" s="78"/>
      <c r="Y26" s="82">
        <f t="shared" si="6"/>
        <v>0</v>
      </c>
      <c r="Z26" s="78">
        <f t="shared" si="65"/>
        <v>0</v>
      </c>
      <c r="AA26" s="78"/>
      <c r="AB26" s="82">
        <f t="shared" si="7"/>
        <v>0</v>
      </c>
      <c r="AC26" s="78">
        <f t="shared" si="8"/>
        <v>0</v>
      </c>
      <c r="AD26" s="78"/>
      <c r="AE26" s="82">
        <f t="shared" si="9"/>
        <v>0</v>
      </c>
      <c r="AF26" s="78">
        <f t="shared" si="10"/>
        <v>0</v>
      </c>
      <c r="AG26" s="78"/>
      <c r="AH26" s="82">
        <f t="shared" si="11"/>
        <v>0</v>
      </c>
      <c r="AI26" s="78">
        <f t="shared" si="12"/>
        <v>0</v>
      </c>
      <c r="AJ26" s="78"/>
      <c r="AK26" s="82">
        <f t="shared" si="13"/>
        <v>0</v>
      </c>
      <c r="AL26" s="78">
        <f t="shared" si="36"/>
        <v>0</v>
      </c>
      <c r="AM26" s="78"/>
      <c r="AN26" s="82">
        <f t="shared" si="14"/>
        <v>0</v>
      </c>
      <c r="AO26" s="78">
        <f t="shared" si="37"/>
        <v>0</v>
      </c>
      <c r="AP26" s="78"/>
      <c r="AQ26" s="82">
        <f t="shared" si="15"/>
        <v>0</v>
      </c>
      <c r="AR26" s="78">
        <f t="shared" si="38"/>
        <v>0</v>
      </c>
      <c r="AS26" s="78"/>
      <c r="AT26" s="82">
        <f t="shared" si="16"/>
        <v>0</v>
      </c>
      <c r="AU26" s="78">
        <f t="shared" si="39"/>
        <v>0</v>
      </c>
      <c r="AV26" s="78"/>
      <c r="AW26" s="82">
        <f t="shared" si="17"/>
        <v>0</v>
      </c>
      <c r="AX26" s="78">
        <f t="shared" si="40"/>
        <v>0</v>
      </c>
      <c r="AY26" s="78"/>
      <c r="AZ26" s="82">
        <f t="shared" si="18"/>
        <v>0</v>
      </c>
      <c r="BA26" s="78">
        <f t="shared" si="41"/>
        <v>0</v>
      </c>
      <c r="BB26" s="78"/>
      <c r="BC26" s="82">
        <f t="shared" si="19"/>
        <v>0</v>
      </c>
      <c r="BD26" s="82">
        <f t="shared" si="42"/>
        <v>0</v>
      </c>
      <c r="BE26" s="82"/>
      <c r="BF26" s="82">
        <f t="shared" si="43"/>
        <v>0</v>
      </c>
      <c r="BG26" s="78">
        <f t="shared" si="44"/>
        <v>0</v>
      </c>
      <c r="BH26" s="78"/>
      <c r="BI26" s="168">
        <f t="shared" si="20"/>
        <v>0</v>
      </c>
      <c r="BJ26" s="78">
        <f t="shared" si="45"/>
        <v>0</v>
      </c>
      <c r="BK26" s="78"/>
      <c r="BL26" s="82">
        <f t="shared" si="21"/>
        <v>0</v>
      </c>
      <c r="BM26" s="78">
        <f t="shared" si="46"/>
        <v>0</v>
      </c>
      <c r="BN26" s="78"/>
      <c r="BO26" s="82">
        <f t="shared" si="22"/>
        <v>0</v>
      </c>
      <c r="BP26" s="78">
        <f t="shared" si="47"/>
        <v>0</v>
      </c>
      <c r="BQ26" s="78"/>
      <c r="BR26" s="82">
        <f t="shared" si="23"/>
        <v>0</v>
      </c>
      <c r="BS26" s="78">
        <f t="shared" si="48"/>
        <v>0</v>
      </c>
      <c r="BT26" s="78"/>
      <c r="BU26" s="82">
        <f t="shared" si="24"/>
        <v>0</v>
      </c>
      <c r="BV26" s="78">
        <f t="shared" si="49"/>
        <v>0</v>
      </c>
      <c r="BW26" s="78"/>
      <c r="BX26" s="82">
        <f t="shared" si="25"/>
        <v>0</v>
      </c>
      <c r="BY26" s="78">
        <f t="shared" si="50"/>
        <v>0</v>
      </c>
      <c r="BZ26" s="78"/>
      <c r="CA26" s="82">
        <f t="shared" si="26"/>
        <v>0</v>
      </c>
      <c r="CB26" s="78">
        <f t="shared" si="51"/>
        <v>0</v>
      </c>
      <c r="CC26" s="78"/>
      <c r="CD26" s="82">
        <f t="shared" si="27"/>
        <v>0</v>
      </c>
      <c r="CE26" s="78">
        <f t="shared" si="52"/>
        <v>0</v>
      </c>
      <c r="CF26" s="78"/>
      <c r="CG26" s="82">
        <f t="shared" si="28"/>
        <v>0</v>
      </c>
      <c r="CH26" s="78">
        <f t="shared" si="53"/>
        <v>0</v>
      </c>
      <c r="CI26" s="78"/>
      <c r="CJ26" s="82">
        <f t="shared" si="29"/>
        <v>0</v>
      </c>
      <c r="CK26" s="78">
        <f t="shared" si="54"/>
        <v>0</v>
      </c>
      <c r="CL26" s="78"/>
      <c r="CM26" s="82">
        <f t="shared" si="30"/>
        <v>0</v>
      </c>
      <c r="CN26" s="78">
        <f t="shared" si="55"/>
        <v>0</v>
      </c>
      <c r="CO26" s="78"/>
      <c r="CP26" s="82">
        <f t="shared" si="31"/>
        <v>0</v>
      </c>
    </row>
    <row r="27" spans="1:1028" s="3" customFormat="1" ht="13.5" customHeight="1" x14ac:dyDescent="0.2">
      <c r="A27" s="90">
        <v>23</v>
      </c>
      <c r="B27" s="74">
        <f t="shared" si="32"/>
        <v>0</v>
      </c>
      <c r="C27" s="74"/>
      <c r="D27" s="75">
        <f t="shared" si="0"/>
        <v>0</v>
      </c>
      <c r="E27" s="76">
        <f t="shared" si="56"/>
        <v>0</v>
      </c>
      <c r="F27" s="76"/>
      <c r="G27" s="76">
        <f t="shared" si="33"/>
        <v>0</v>
      </c>
      <c r="H27" s="78">
        <f t="shared" si="34"/>
        <v>0</v>
      </c>
      <c r="I27" s="78"/>
      <c r="J27" s="82">
        <f t="shared" si="1"/>
        <v>0</v>
      </c>
      <c r="K27" s="78">
        <f t="shared" si="57"/>
        <v>0</v>
      </c>
      <c r="L27" s="78"/>
      <c r="M27" s="82">
        <f t="shared" si="2"/>
        <v>0</v>
      </c>
      <c r="N27" s="78">
        <f t="shared" si="62"/>
        <v>0</v>
      </c>
      <c r="O27" s="78"/>
      <c r="P27" s="82">
        <f t="shared" si="3"/>
        <v>0</v>
      </c>
      <c r="Q27" s="78">
        <f t="shared" si="35"/>
        <v>0</v>
      </c>
      <c r="R27" s="78"/>
      <c r="S27" s="82">
        <f t="shared" si="4"/>
        <v>0</v>
      </c>
      <c r="T27" s="78">
        <f t="shared" si="63"/>
        <v>0</v>
      </c>
      <c r="U27" s="78"/>
      <c r="V27" s="82">
        <f t="shared" si="5"/>
        <v>0</v>
      </c>
      <c r="W27" s="78">
        <f t="shared" si="64"/>
        <v>0</v>
      </c>
      <c r="X27" s="78"/>
      <c r="Y27" s="82">
        <f t="shared" si="6"/>
        <v>0</v>
      </c>
      <c r="Z27" s="78">
        <f t="shared" si="65"/>
        <v>0</v>
      </c>
      <c r="AA27" s="78"/>
      <c r="AB27" s="82">
        <f t="shared" si="7"/>
        <v>0</v>
      </c>
      <c r="AC27" s="78">
        <f t="shared" si="8"/>
        <v>0</v>
      </c>
      <c r="AD27" s="78"/>
      <c r="AE27" s="82">
        <f t="shared" si="9"/>
        <v>0</v>
      </c>
      <c r="AF27" s="78">
        <f t="shared" si="10"/>
        <v>0</v>
      </c>
      <c r="AG27" s="78"/>
      <c r="AH27" s="82">
        <f t="shared" si="11"/>
        <v>0</v>
      </c>
      <c r="AI27" s="78">
        <f t="shared" si="12"/>
        <v>0</v>
      </c>
      <c r="AJ27" s="78"/>
      <c r="AK27" s="82">
        <f t="shared" si="13"/>
        <v>0</v>
      </c>
      <c r="AL27" s="78">
        <f t="shared" si="36"/>
        <v>0</v>
      </c>
      <c r="AM27" s="78"/>
      <c r="AN27" s="82">
        <f t="shared" si="14"/>
        <v>0</v>
      </c>
      <c r="AO27" s="78">
        <f t="shared" si="37"/>
        <v>0</v>
      </c>
      <c r="AP27" s="78"/>
      <c r="AQ27" s="82">
        <f t="shared" si="15"/>
        <v>0</v>
      </c>
      <c r="AR27" s="78">
        <f t="shared" si="38"/>
        <v>0</v>
      </c>
      <c r="AS27" s="78"/>
      <c r="AT27" s="82">
        <f t="shared" si="16"/>
        <v>0</v>
      </c>
      <c r="AU27" s="78">
        <f t="shared" si="39"/>
        <v>0</v>
      </c>
      <c r="AV27" s="78"/>
      <c r="AW27" s="82">
        <f t="shared" si="17"/>
        <v>0</v>
      </c>
      <c r="AX27" s="78">
        <f t="shared" si="40"/>
        <v>0</v>
      </c>
      <c r="AY27" s="78"/>
      <c r="AZ27" s="82">
        <f t="shared" si="18"/>
        <v>0</v>
      </c>
      <c r="BA27" s="78">
        <f t="shared" si="41"/>
        <v>0</v>
      </c>
      <c r="BB27" s="78"/>
      <c r="BC27" s="82">
        <f t="shared" si="19"/>
        <v>0</v>
      </c>
      <c r="BD27" s="82">
        <f t="shared" si="42"/>
        <v>0</v>
      </c>
      <c r="BE27" s="82"/>
      <c r="BF27" s="82">
        <f t="shared" si="43"/>
        <v>0</v>
      </c>
      <c r="BG27" s="78">
        <f t="shared" si="44"/>
        <v>0</v>
      </c>
      <c r="BH27" s="78"/>
      <c r="BI27" s="168">
        <f t="shared" si="20"/>
        <v>0</v>
      </c>
      <c r="BJ27" s="78">
        <f t="shared" si="45"/>
        <v>0</v>
      </c>
      <c r="BK27" s="78"/>
      <c r="BL27" s="82">
        <f t="shared" si="21"/>
        <v>0</v>
      </c>
      <c r="BM27" s="78">
        <f t="shared" si="46"/>
        <v>0</v>
      </c>
      <c r="BN27" s="78"/>
      <c r="BO27" s="82">
        <f t="shared" si="22"/>
        <v>0</v>
      </c>
      <c r="BP27" s="78">
        <f t="shared" si="47"/>
        <v>0</v>
      </c>
      <c r="BQ27" s="78"/>
      <c r="BR27" s="82">
        <f t="shared" si="23"/>
        <v>0</v>
      </c>
      <c r="BS27" s="78">
        <f t="shared" si="48"/>
        <v>0</v>
      </c>
      <c r="BT27" s="78"/>
      <c r="BU27" s="82">
        <f t="shared" si="24"/>
        <v>0</v>
      </c>
      <c r="BV27" s="78">
        <f t="shared" si="49"/>
        <v>0</v>
      </c>
      <c r="BW27" s="78"/>
      <c r="BX27" s="82">
        <f t="shared" si="25"/>
        <v>0</v>
      </c>
      <c r="BY27" s="78">
        <f t="shared" si="50"/>
        <v>0</v>
      </c>
      <c r="BZ27" s="78"/>
      <c r="CA27" s="82">
        <f t="shared" si="26"/>
        <v>0</v>
      </c>
      <c r="CB27" s="78">
        <f t="shared" si="51"/>
        <v>0</v>
      </c>
      <c r="CC27" s="78"/>
      <c r="CD27" s="82">
        <f t="shared" si="27"/>
        <v>0</v>
      </c>
      <c r="CE27" s="78">
        <f t="shared" si="52"/>
        <v>0</v>
      </c>
      <c r="CF27" s="78"/>
      <c r="CG27" s="82">
        <f t="shared" si="28"/>
        <v>0</v>
      </c>
      <c r="CH27" s="78">
        <f t="shared" si="53"/>
        <v>0</v>
      </c>
      <c r="CI27" s="78"/>
      <c r="CJ27" s="82">
        <f t="shared" si="29"/>
        <v>0</v>
      </c>
      <c r="CK27" s="78">
        <f t="shared" si="54"/>
        <v>0</v>
      </c>
      <c r="CL27" s="78"/>
      <c r="CM27" s="82">
        <f t="shared" si="30"/>
        <v>0</v>
      </c>
      <c r="CN27" s="78">
        <f t="shared" si="55"/>
        <v>0</v>
      </c>
      <c r="CO27" s="78"/>
      <c r="CP27" s="82">
        <f t="shared" si="31"/>
        <v>0</v>
      </c>
    </row>
    <row r="28" spans="1:1028" s="87" customFormat="1" ht="13.5" customHeight="1" x14ac:dyDescent="0.2">
      <c r="A28" s="90">
        <v>24</v>
      </c>
      <c r="B28" s="74">
        <f t="shared" si="32"/>
        <v>0</v>
      </c>
      <c r="C28" s="74"/>
      <c r="D28" s="75">
        <f t="shared" si="0"/>
        <v>0</v>
      </c>
      <c r="E28" s="76">
        <f t="shared" si="56"/>
        <v>0</v>
      </c>
      <c r="F28" s="76"/>
      <c r="G28" s="76">
        <f t="shared" si="33"/>
        <v>0</v>
      </c>
      <c r="H28" s="78">
        <f t="shared" si="34"/>
        <v>0</v>
      </c>
      <c r="I28" s="78"/>
      <c r="J28" s="82">
        <f t="shared" si="1"/>
        <v>0</v>
      </c>
      <c r="K28" s="78">
        <f t="shared" si="57"/>
        <v>0</v>
      </c>
      <c r="L28" s="78"/>
      <c r="M28" s="82">
        <f t="shared" si="2"/>
        <v>0</v>
      </c>
      <c r="N28" s="78">
        <f t="shared" si="62"/>
        <v>0</v>
      </c>
      <c r="O28" s="78"/>
      <c r="P28" s="82">
        <f t="shared" si="3"/>
        <v>0</v>
      </c>
      <c r="Q28" s="78">
        <f t="shared" si="35"/>
        <v>0</v>
      </c>
      <c r="R28" s="78"/>
      <c r="S28" s="82">
        <f t="shared" si="4"/>
        <v>0</v>
      </c>
      <c r="T28" s="78">
        <f t="shared" si="63"/>
        <v>0</v>
      </c>
      <c r="U28" s="78"/>
      <c r="V28" s="82">
        <f t="shared" si="5"/>
        <v>0</v>
      </c>
      <c r="W28" s="78">
        <f t="shared" si="64"/>
        <v>0</v>
      </c>
      <c r="X28" s="78"/>
      <c r="Y28" s="82">
        <f t="shared" si="6"/>
        <v>0</v>
      </c>
      <c r="Z28" s="78">
        <f t="shared" si="65"/>
        <v>0</v>
      </c>
      <c r="AA28" s="78"/>
      <c r="AB28" s="82">
        <f t="shared" si="7"/>
        <v>0</v>
      </c>
      <c r="AC28" s="78">
        <f t="shared" si="8"/>
        <v>0</v>
      </c>
      <c r="AD28" s="78"/>
      <c r="AE28" s="82">
        <f t="shared" si="9"/>
        <v>0</v>
      </c>
      <c r="AF28" s="78">
        <f t="shared" si="10"/>
        <v>0</v>
      </c>
      <c r="AG28" s="78"/>
      <c r="AH28" s="82">
        <f t="shared" si="11"/>
        <v>0</v>
      </c>
      <c r="AI28" s="78">
        <f t="shared" si="12"/>
        <v>0</v>
      </c>
      <c r="AJ28" s="78"/>
      <c r="AK28" s="82">
        <f t="shared" si="13"/>
        <v>0</v>
      </c>
      <c r="AL28" s="78">
        <f t="shared" si="36"/>
        <v>0</v>
      </c>
      <c r="AM28" s="78"/>
      <c r="AN28" s="82">
        <f t="shared" si="14"/>
        <v>0</v>
      </c>
      <c r="AO28" s="78">
        <f t="shared" si="37"/>
        <v>0</v>
      </c>
      <c r="AP28" s="78"/>
      <c r="AQ28" s="82">
        <f t="shared" si="15"/>
        <v>0</v>
      </c>
      <c r="AR28" s="78">
        <f t="shared" si="38"/>
        <v>0</v>
      </c>
      <c r="AS28" s="78"/>
      <c r="AT28" s="82">
        <f t="shared" si="16"/>
        <v>0</v>
      </c>
      <c r="AU28" s="78">
        <f t="shared" si="39"/>
        <v>0</v>
      </c>
      <c r="AV28" s="78"/>
      <c r="AW28" s="82">
        <f t="shared" si="17"/>
        <v>0</v>
      </c>
      <c r="AX28" s="78">
        <f t="shared" si="40"/>
        <v>0</v>
      </c>
      <c r="AY28" s="78"/>
      <c r="AZ28" s="82">
        <f t="shared" si="18"/>
        <v>0</v>
      </c>
      <c r="BA28" s="78">
        <f t="shared" si="41"/>
        <v>0</v>
      </c>
      <c r="BB28" s="78"/>
      <c r="BC28" s="82">
        <f t="shared" si="19"/>
        <v>0</v>
      </c>
      <c r="BD28" s="82">
        <f t="shared" si="42"/>
        <v>0</v>
      </c>
      <c r="BE28" s="82"/>
      <c r="BF28" s="82">
        <f t="shared" si="43"/>
        <v>0</v>
      </c>
      <c r="BG28" s="78">
        <f t="shared" si="44"/>
        <v>0</v>
      </c>
      <c r="BH28" s="78"/>
      <c r="BI28" s="168">
        <f t="shared" si="20"/>
        <v>0</v>
      </c>
      <c r="BJ28" s="78">
        <f t="shared" si="45"/>
        <v>0</v>
      </c>
      <c r="BK28" s="78"/>
      <c r="BL28" s="82">
        <f t="shared" si="21"/>
        <v>0</v>
      </c>
      <c r="BM28" s="78">
        <f t="shared" si="46"/>
        <v>0</v>
      </c>
      <c r="BN28" s="78"/>
      <c r="BO28" s="82">
        <f t="shared" si="22"/>
        <v>0</v>
      </c>
      <c r="BP28" s="78">
        <f t="shared" si="47"/>
        <v>0</v>
      </c>
      <c r="BQ28" s="78"/>
      <c r="BR28" s="82">
        <f t="shared" si="23"/>
        <v>0</v>
      </c>
      <c r="BS28" s="78">
        <f t="shared" si="48"/>
        <v>0</v>
      </c>
      <c r="BT28" s="78"/>
      <c r="BU28" s="82">
        <f t="shared" si="24"/>
        <v>0</v>
      </c>
      <c r="BV28" s="78">
        <f t="shared" si="49"/>
        <v>0</v>
      </c>
      <c r="BW28" s="78"/>
      <c r="BX28" s="82">
        <f t="shared" si="25"/>
        <v>0</v>
      </c>
      <c r="BY28" s="78">
        <f t="shared" si="50"/>
        <v>0</v>
      </c>
      <c r="BZ28" s="78"/>
      <c r="CA28" s="82">
        <f t="shared" si="26"/>
        <v>0</v>
      </c>
      <c r="CB28" s="78">
        <f t="shared" si="51"/>
        <v>0</v>
      </c>
      <c r="CC28" s="78"/>
      <c r="CD28" s="82">
        <f t="shared" si="27"/>
        <v>0</v>
      </c>
      <c r="CE28" s="78">
        <f t="shared" si="52"/>
        <v>0</v>
      </c>
      <c r="CF28" s="78"/>
      <c r="CG28" s="82">
        <f t="shared" si="28"/>
        <v>0</v>
      </c>
      <c r="CH28" s="78">
        <f t="shared" si="53"/>
        <v>0</v>
      </c>
      <c r="CI28" s="78"/>
      <c r="CJ28" s="82">
        <f t="shared" si="29"/>
        <v>0</v>
      </c>
      <c r="CK28" s="78">
        <f t="shared" si="54"/>
        <v>0</v>
      </c>
      <c r="CL28" s="78"/>
      <c r="CM28" s="82">
        <f t="shared" si="30"/>
        <v>0</v>
      </c>
      <c r="CN28" s="78">
        <f t="shared" si="55"/>
        <v>0</v>
      </c>
      <c r="CO28" s="78"/>
      <c r="CP28" s="82">
        <f t="shared" si="31"/>
        <v>0</v>
      </c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</row>
    <row r="29" spans="1:1028" s="3" customFormat="1" ht="13.5" customHeight="1" x14ac:dyDescent="0.2">
      <c r="A29" s="90">
        <v>25</v>
      </c>
      <c r="B29" s="74">
        <f t="shared" si="32"/>
        <v>0</v>
      </c>
      <c r="C29" s="74"/>
      <c r="D29" s="75">
        <f t="shared" si="0"/>
        <v>0</v>
      </c>
      <c r="E29" s="76">
        <f t="shared" si="56"/>
        <v>0</v>
      </c>
      <c r="F29" s="76"/>
      <c r="G29" s="76">
        <f t="shared" si="33"/>
        <v>0</v>
      </c>
      <c r="H29" s="78">
        <f t="shared" si="34"/>
        <v>0</v>
      </c>
      <c r="I29" s="78"/>
      <c r="J29" s="82">
        <f t="shared" si="1"/>
        <v>0</v>
      </c>
      <c r="K29" s="78">
        <f t="shared" si="57"/>
        <v>0</v>
      </c>
      <c r="L29" s="78"/>
      <c r="M29" s="82">
        <f t="shared" si="2"/>
        <v>0</v>
      </c>
      <c r="N29" s="78">
        <f t="shared" si="62"/>
        <v>0</v>
      </c>
      <c r="O29" s="78"/>
      <c r="P29" s="82">
        <f t="shared" si="3"/>
        <v>0</v>
      </c>
      <c r="Q29" s="78">
        <f t="shared" si="35"/>
        <v>0</v>
      </c>
      <c r="R29" s="78"/>
      <c r="S29" s="82">
        <f t="shared" si="4"/>
        <v>0</v>
      </c>
      <c r="T29" s="78">
        <f t="shared" si="63"/>
        <v>0</v>
      </c>
      <c r="U29" s="78"/>
      <c r="V29" s="82">
        <f t="shared" si="5"/>
        <v>0</v>
      </c>
      <c r="W29" s="78">
        <f t="shared" si="64"/>
        <v>0</v>
      </c>
      <c r="X29" s="78"/>
      <c r="Y29" s="82">
        <f t="shared" si="6"/>
        <v>0</v>
      </c>
      <c r="Z29" s="78">
        <f t="shared" si="65"/>
        <v>0</v>
      </c>
      <c r="AA29" s="78"/>
      <c r="AB29" s="82">
        <f t="shared" si="7"/>
        <v>0</v>
      </c>
      <c r="AC29" s="78">
        <f t="shared" si="8"/>
        <v>0</v>
      </c>
      <c r="AD29" s="78"/>
      <c r="AE29" s="82">
        <f t="shared" si="9"/>
        <v>0</v>
      </c>
      <c r="AF29" s="78">
        <f t="shared" si="10"/>
        <v>0</v>
      </c>
      <c r="AG29" s="78"/>
      <c r="AH29" s="82">
        <f t="shared" si="11"/>
        <v>0</v>
      </c>
      <c r="AI29" s="78">
        <f t="shared" si="12"/>
        <v>0</v>
      </c>
      <c r="AJ29" s="78"/>
      <c r="AK29" s="82">
        <f t="shared" si="13"/>
        <v>0</v>
      </c>
      <c r="AL29" s="78">
        <f t="shared" si="36"/>
        <v>0</v>
      </c>
      <c r="AM29" s="78"/>
      <c r="AN29" s="82">
        <f t="shared" si="14"/>
        <v>0</v>
      </c>
      <c r="AO29" s="78">
        <f t="shared" si="37"/>
        <v>0</v>
      </c>
      <c r="AP29" s="78"/>
      <c r="AQ29" s="82">
        <f t="shared" si="15"/>
        <v>0</v>
      </c>
      <c r="AR29" s="78">
        <f t="shared" si="38"/>
        <v>0</v>
      </c>
      <c r="AS29" s="78"/>
      <c r="AT29" s="82">
        <f t="shared" si="16"/>
        <v>0</v>
      </c>
      <c r="AU29" s="78">
        <f t="shared" si="39"/>
        <v>0</v>
      </c>
      <c r="AV29" s="78"/>
      <c r="AW29" s="82">
        <f t="shared" si="17"/>
        <v>0</v>
      </c>
      <c r="AX29" s="78">
        <f t="shared" si="40"/>
        <v>0</v>
      </c>
      <c r="AY29" s="78"/>
      <c r="AZ29" s="82">
        <f t="shared" si="18"/>
        <v>0</v>
      </c>
      <c r="BA29" s="78">
        <f t="shared" si="41"/>
        <v>0</v>
      </c>
      <c r="BB29" s="78"/>
      <c r="BC29" s="82">
        <f t="shared" si="19"/>
        <v>0</v>
      </c>
      <c r="BD29" s="82">
        <f t="shared" si="42"/>
        <v>0</v>
      </c>
      <c r="BE29" s="82"/>
      <c r="BF29" s="82">
        <f t="shared" si="43"/>
        <v>0</v>
      </c>
      <c r="BG29" s="78">
        <f t="shared" si="44"/>
        <v>0</v>
      </c>
      <c r="BH29" s="78"/>
      <c r="BI29" s="168">
        <f t="shared" si="20"/>
        <v>0</v>
      </c>
      <c r="BJ29" s="78">
        <f t="shared" si="45"/>
        <v>0</v>
      </c>
      <c r="BK29" s="78"/>
      <c r="BL29" s="82">
        <f t="shared" si="21"/>
        <v>0</v>
      </c>
      <c r="BM29" s="78">
        <f t="shared" si="46"/>
        <v>0</v>
      </c>
      <c r="BN29" s="78"/>
      <c r="BO29" s="82">
        <f t="shared" si="22"/>
        <v>0</v>
      </c>
      <c r="BP29" s="78">
        <f t="shared" si="47"/>
        <v>0</v>
      </c>
      <c r="BQ29" s="78"/>
      <c r="BR29" s="82">
        <f t="shared" si="23"/>
        <v>0</v>
      </c>
      <c r="BS29" s="78">
        <f t="shared" si="48"/>
        <v>0</v>
      </c>
      <c r="BT29" s="78"/>
      <c r="BU29" s="82">
        <f t="shared" si="24"/>
        <v>0</v>
      </c>
      <c r="BV29" s="78">
        <f t="shared" si="49"/>
        <v>0</v>
      </c>
      <c r="BW29" s="78"/>
      <c r="BX29" s="82">
        <f t="shared" si="25"/>
        <v>0</v>
      </c>
      <c r="BY29" s="78">
        <f t="shared" si="50"/>
        <v>0</v>
      </c>
      <c r="BZ29" s="78"/>
      <c r="CA29" s="82">
        <f t="shared" si="26"/>
        <v>0</v>
      </c>
      <c r="CB29" s="78">
        <f t="shared" si="51"/>
        <v>0</v>
      </c>
      <c r="CC29" s="78"/>
      <c r="CD29" s="82">
        <f t="shared" si="27"/>
        <v>0</v>
      </c>
      <c r="CE29" s="78">
        <f t="shared" si="52"/>
        <v>0</v>
      </c>
      <c r="CF29" s="78"/>
      <c r="CG29" s="82">
        <f t="shared" si="28"/>
        <v>0</v>
      </c>
      <c r="CH29" s="78">
        <f t="shared" si="53"/>
        <v>0</v>
      </c>
      <c r="CI29" s="78"/>
      <c r="CJ29" s="82">
        <f t="shared" si="29"/>
        <v>0</v>
      </c>
      <c r="CK29" s="78">
        <f t="shared" si="54"/>
        <v>0</v>
      </c>
      <c r="CL29" s="78"/>
      <c r="CM29" s="82">
        <f t="shared" si="30"/>
        <v>0</v>
      </c>
      <c r="CN29" s="78">
        <f t="shared" si="55"/>
        <v>0</v>
      </c>
      <c r="CO29" s="78"/>
      <c r="CP29" s="82">
        <f t="shared" si="31"/>
        <v>0</v>
      </c>
    </row>
    <row r="30" spans="1:1028" s="3" customFormat="1" ht="13.5" customHeight="1" x14ac:dyDescent="0.2">
      <c r="A30" s="90">
        <v>26</v>
      </c>
      <c r="B30" s="74">
        <f t="shared" si="32"/>
        <v>0</v>
      </c>
      <c r="C30" s="74"/>
      <c r="D30" s="75">
        <f t="shared" si="0"/>
        <v>0</v>
      </c>
      <c r="E30" s="76">
        <f t="shared" si="56"/>
        <v>0</v>
      </c>
      <c r="F30" s="76"/>
      <c r="G30" s="76">
        <f t="shared" si="33"/>
        <v>0</v>
      </c>
      <c r="H30" s="78">
        <f t="shared" si="34"/>
        <v>0</v>
      </c>
      <c r="I30" s="78"/>
      <c r="J30" s="82">
        <f t="shared" si="1"/>
        <v>0</v>
      </c>
      <c r="K30" s="78">
        <f t="shared" si="57"/>
        <v>0</v>
      </c>
      <c r="L30" s="78"/>
      <c r="M30" s="82">
        <f t="shared" si="2"/>
        <v>0</v>
      </c>
      <c r="N30" s="78">
        <f t="shared" si="62"/>
        <v>0</v>
      </c>
      <c r="O30" s="78"/>
      <c r="P30" s="82">
        <f t="shared" si="3"/>
        <v>0</v>
      </c>
      <c r="Q30" s="78">
        <f t="shared" si="35"/>
        <v>0</v>
      </c>
      <c r="R30" s="78"/>
      <c r="S30" s="82">
        <f t="shared" si="4"/>
        <v>0</v>
      </c>
      <c r="T30" s="78">
        <f t="shared" si="63"/>
        <v>0</v>
      </c>
      <c r="U30" s="78"/>
      <c r="V30" s="82">
        <f t="shared" si="5"/>
        <v>0</v>
      </c>
      <c r="W30" s="78">
        <f t="shared" si="64"/>
        <v>0</v>
      </c>
      <c r="X30" s="78"/>
      <c r="Y30" s="82">
        <f t="shared" si="6"/>
        <v>0</v>
      </c>
      <c r="Z30" s="78">
        <f t="shared" si="65"/>
        <v>0</v>
      </c>
      <c r="AA30" s="78"/>
      <c r="AB30" s="82">
        <f t="shared" si="7"/>
        <v>0</v>
      </c>
      <c r="AC30" s="78">
        <f t="shared" si="8"/>
        <v>0</v>
      </c>
      <c r="AD30" s="78"/>
      <c r="AE30" s="82">
        <f t="shared" si="9"/>
        <v>0</v>
      </c>
      <c r="AF30" s="78">
        <f t="shared" si="10"/>
        <v>0</v>
      </c>
      <c r="AG30" s="78"/>
      <c r="AH30" s="82">
        <f t="shared" si="11"/>
        <v>0</v>
      </c>
      <c r="AI30" s="78">
        <f t="shared" si="12"/>
        <v>0</v>
      </c>
      <c r="AJ30" s="78"/>
      <c r="AK30" s="82">
        <f t="shared" si="13"/>
        <v>0</v>
      </c>
      <c r="AL30" s="78">
        <f t="shared" si="36"/>
        <v>0</v>
      </c>
      <c r="AM30" s="78"/>
      <c r="AN30" s="82">
        <f t="shared" si="14"/>
        <v>0</v>
      </c>
      <c r="AO30" s="78">
        <f t="shared" si="37"/>
        <v>0</v>
      </c>
      <c r="AP30" s="78"/>
      <c r="AQ30" s="82">
        <f t="shared" si="15"/>
        <v>0</v>
      </c>
      <c r="AR30" s="78">
        <f t="shared" si="38"/>
        <v>0</v>
      </c>
      <c r="AS30" s="78"/>
      <c r="AT30" s="82">
        <f t="shared" si="16"/>
        <v>0</v>
      </c>
      <c r="AU30" s="78">
        <f t="shared" si="39"/>
        <v>0</v>
      </c>
      <c r="AV30" s="78"/>
      <c r="AW30" s="82">
        <f t="shared" si="17"/>
        <v>0</v>
      </c>
      <c r="AX30" s="78">
        <f t="shared" si="40"/>
        <v>0</v>
      </c>
      <c r="AY30" s="78"/>
      <c r="AZ30" s="82">
        <f t="shared" si="18"/>
        <v>0</v>
      </c>
      <c r="BA30" s="78">
        <f t="shared" si="41"/>
        <v>0</v>
      </c>
      <c r="BB30" s="78"/>
      <c r="BC30" s="82">
        <f t="shared" si="19"/>
        <v>0</v>
      </c>
      <c r="BD30" s="82">
        <f t="shared" si="42"/>
        <v>0</v>
      </c>
      <c r="BE30" s="82"/>
      <c r="BF30" s="82">
        <f t="shared" si="43"/>
        <v>0</v>
      </c>
      <c r="BG30" s="78">
        <f t="shared" si="44"/>
        <v>0</v>
      </c>
      <c r="BH30" s="78"/>
      <c r="BI30" s="168">
        <f t="shared" si="20"/>
        <v>0</v>
      </c>
      <c r="BJ30" s="78">
        <f t="shared" si="45"/>
        <v>0</v>
      </c>
      <c r="BK30" s="78"/>
      <c r="BL30" s="82">
        <f t="shared" si="21"/>
        <v>0</v>
      </c>
      <c r="BM30" s="78">
        <f t="shared" si="46"/>
        <v>0</v>
      </c>
      <c r="BN30" s="78"/>
      <c r="BO30" s="82">
        <f t="shared" si="22"/>
        <v>0</v>
      </c>
      <c r="BP30" s="78">
        <f t="shared" si="47"/>
        <v>0</v>
      </c>
      <c r="BQ30" s="78"/>
      <c r="BR30" s="82">
        <f t="shared" si="23"/>
        <v>0</v>
      </c>
      <c r="BS30" s="78">
        <f t="shared" si="48"/>
        <v>0</v>
      </c>
      <c r="BT30" s="78"/>
      <c r="BU30" s="82">
        <f t="shared" si="24"/>
        <v>0</v>
      </c>
      <c r="BV30" s="78">
        <f t="shared" si="49"/>
        <v>0</v>
      </c>
      <c r="BW30" s="78"/>
      <c r="BX30" s="82">
        <f t="shared" si="25"/>
        <v>0</v>
      </c>
      <c r="BY30" s="78">
        <f t="shared" si="50"/>
        <v>0</v>
      </c>
      <c r="BZ30" s="78"/>
      <c r="CA30" s="82">
        <f t="shared" si="26"/>
        <v>0</v>
      </c>
      <c r="CB30" s="78">
        <f t="shared" si="51"/>
        <v>0</v>
      </c>
      <c r="CC30" s="78"/>
      <c r="CD30" s="82">
        <f t="shared" si="27"/>
        <v>0</v>
      </c>
      <c r="CE30" s="78">
        <f t="shared" si="52"/>
        <v>0</v>
      </c>
      <c r="CF30" s="78"/>
      <c r="CG30" s="82">
        <f t="shared" si="28"/>
        <v>0</v>
      </c>
      <c r="CH30" s="78">
        <f t="shared" si="53"/>
        <v>0</v>
      </c>
      <c r="CI30" s="78"/>
      <c r="CJ30" s="82">
        <f t="shared" si="29"/>
        <v>0</v>
      </c>
      <c r="CK30" s="78">
        <f t="shared" si="54"/>
        <v>0</v>
      </c>
      <c r="CL30" s="78"/>
      <c r="CM30" s="82">
        <f t="shared" si="30"/>
        <v>0</v>
      </c>
      <c r="CN30" s="78">
        <f t="shared" si="55"/>
        <v>0</v>
      </c>
      <c r="CO30" s="78"/>
      <c r="CP30" s="82">
        <f t="shared" si="31"/>
        <v>0</v>
      </c>
    </row>
    <row r="31" spans="1:1028" s="3" customFormat="1" ht="13.5" customHeight="1" x14ac:dyDescent="0.2">
      <c r="A31" s="90">
        <v>27</v>
      </c>
      <c r="B31" s="74">
        <f t="shared" si="32"/>
        <v>0</v>
      </c>
      <c r="C31" s="74"/>
      <c r="D31" s="75">
        <f t="shared" si="0"/>
        <v>0</v>
      </c>
      <c r="E31" s="76">
        <f t="shared" si="56"/>
        <v>0</v>
      </c>
      <c r="F31" s="76"/>
      <c r="G31" s="76">
        <f t="shared" si="33"/>
        <v>0</v>
      </c>
      <c r="H31" s="78">
        <f t="shared" si="34"/>
        <v>0</v>
      </c>
      <c r="I31" s="78"/>
      <c r="J31" s="82">
        <f t="shared" si="1"/>
        <v>0</v>
      </c>
      <c r="K31" s="78">
        <f t="shared" si="57"/>
        <v>0</v>
      </c>
      <c r="L31" s="78"/>
      <c r="M31" s="82">
        <f t="shared" si="2"/>
        <v>0</v>
      </c>
      <c r="N31" s="78">
        <f t="shared" si="62"/>
        <v>0</v>
      </c>
      <c r="O31" s="78"/>
      <c r="P31" s="82">
        <f t="shared" si="3"/>
        <v>0</v>
      </c>
      <c r="Q31" s="78">
        <f t="shared" si="35"/>
        <v>0</v>
      </c>
      <c r="R31" s="78"/>
      <c r="S31" s="82">
        <f t="shared" si="4"/>
        <v>0</v>
      </c>
      <c r="T31" s="78">
        <f t="shared" si="63"/>
        <v>0</v>
      </c>
      <c r="U31" s="78"/>
      <c r="V31" s="82">
        <f t="shared" si="5"/>
        <v>0</v>
      </c>
      <c r="W31" s="78">
        <f t="shared" si="64"/>
        <v>0</v>
      </c>
      <c r="X31" s="78"/>
      <c r="Y31" s="82">
        <f t="shared" si="6"/>
        <v>0</v>
      </c>
      <c r="Z31" s="78">
        <f t="shared" si="65"/>
        <v>0</v>
      </c>
      <c r="AA31" s="78"/>
      <c r="AB31" s="82">
        <f t="shared" si="7"/>
        <v>0</v>
      </c>
      <c r="AC31" s="78">
        <f t="shared" si="8"/>
        <v>0</v>
      </c>
      <c r="AD31" s="78"/>
      <c r="AE31" s="82">
        <f t="shared" si="9"/>
        <v>0</v>
      </c>
      <c r="AF31" s="78">
        <f t="shared" si="10"/>
        <v>0</v>
      </c>
      <c r="AG31" s="78"/>
      <c r="AH31" s="82">
        <f t="shared" si="11"/>
        <v>0</v>
      </c>
      <c r="AI31" s="78">
        <f t="shared" si="12"/>
        <v>0</v>
      </c>
      <c r="AJ31" s="78"/>
      <c r="AK31" s="82">
        <f t="shared" si="13"/>
        <v>0</v>
      </c>
      <c r="AL31" s="78">
        <f t="shared" si="36"/>
        <v>0</v>
      </c>
      <c r="AM31" s="78"/>
      <c r="AN31" s="82">
        <f t="shared" si="14"/>
        <v>0</v>
      </c>
      <c r="AO31" s="78">
        <f t="shared" si="37"/>
        <v>0</v>
      </c>
      <c r="AP31" s="78"/>
      <c r="AQ31" s="82">
        <f t="shared" si="15"/>
        <v>0</v>
      </c>
      <c r="AR31" s="78">
        <f t="shared" si="38"/>
        <v>0</v>
      </c>
      <c r="AS31" s="78"/>
      <c r="AT31" s="82">
        <f t="shared" si="16"/>
        <v>0</v>
      </c>
      <c r="AU31" s="78">
        <f t="shared" si="39"/>
        <v>0</v>
      </c>
      <c r="AV31" s="78"/>
      <c r="AW31" s="82">
        <f t="shared" si="17"/>
        <v>0</v>
      </c>
      <c r="AX31" s="78">
        <f t="shared" si="40"/>
        <v>0</v>
      </c>
      <c r="AY31" s="78"/>
      <c r="AZ31" s="82">
        <f t="shared" si="18"/>
        <v>0</v>
      </c>
      <c r="BA31" s="78">
        <f t="shared" si="41"/>
        <v>0</v>
      </c>
      <c r="BB31" s="78"/>
      <c r="BC31" s="82">
        <f t="shared" si="19"/>
        <v>0</v>
      </c>
      <c r="BD31" s="82">
        <f t="shared" si="42"/>
        <v>0</v>
      </c>
      <c r="BE31" s="82"/>
      <c r="BF31" s="82">
        <f t="shared" si="43"/>
        <v>0</v>
      </c>
      <c r="BG31" s="78">
        <f t="shared" si="44"/>
        <v>0</v>
      </c>
      <c r="BH31" s="78"/>
      <c r="BI31" s="168">
        <f t="shared" si="20"/>
        <v>0</v>
      </c>
      <c r="BJ31" s="78">
        <f t="shared" si="45"/>
        <v>0</v>
      </c>
      <c r="BK31" s="78"/>
      <c r="BL31" s="82">
        <f t="shared" si="21"/>
        <v>0</v>
      </c>
      <c r="BM31" s="78">
        <f t="shared" si="46"/>
        <v>0</v>
      </c>
      <c r="BN31" s="78"/>
      <c r="BO31" s="82">
        <f t="shared" si="22"/>
        <v>0</v>
      </c>
      <c r="BP31" s="78">
        <f t="shared" si="47"/>
        <v>0</v>
      </c>
      <c r="BQ31" s="78"/>
      <c r="BR31" s="82">
        <f t="shared" si="23"/>
        <v>0</v>
      </c>
      <c r="BS31" s="78">
        <f t="shared" si="48"/>
        <v>0</v>
      </c>
      <c r="BT31" s="78"/>
      <c r="BU31" s="82">
        <f t="shared" si="24"/>
        <v>0</v>
      </c>
      <c r="BV31" s="78">
        <f t="shared" si="49"/>
        <v>0</v>
      </c>
      <c r="BW31" s="78"/>
      <c r="BX31" s="82">
        <f t="shared" si="25"/>
        <v>0</v>
      </c>
      <c r="BY31" s="78">
        <f t="shared" si="50"/>
        <v>0</v>
      </c>
      <c r="BZ31" s="78"/>
      <c r="CA31" s="82">
        <f t="shared" si="26"/>
        <v>0</v>
      </c>
      <c r="CB31" s="78">
        <f t="shared" si="51"/>
        <v>0</v>
      </c>
      <c r="CC31" s="78"/>
      <c r="CD31" s="82">
        <f t="shared" si="27"/>
        <v>0</v>
      </c>
      <c r="CE31" s="78">
        <f t="shared" si="52"/>
        <v>0</v>
      </c>
      <c r="CF31" s="78"/>
      <c r="CG31" s="82">
        <f t="shared" si="28"/>
        <v>0</v>
      </c>
      <c r="CH31" s="78">
        <f t="shared" si="53"/>
        <v>0</v>
      </c>
      <c r="CI31" s="78"/>
      <c r="CJ31" s="82">
        <f t="shared" si="29"/>
        <v>0</v>
      </c>
      <c r="CK31" s="78">
        <f t="shared" si="54"/>
        <v>0</v>
      </c>
      <c r="CL31" s="78"/>
      <c r="CM31" s="82">
        <f t="shared" si="30"/>
        <v>0</v>
      </c>
      <c r="CN31" s="78">
        <f t="shared" si="55"/>
        <v>0</v>
      </c>
      <c r="CO31" s="78"/>
      <c r="CP31" s="82">
        <f t="shared" si="31"/>
        <v>0</v>
      </c>
    </row>
    <row r="32" spans="1:1028" s="3" customFormat="1" ht="13.5" customHeight="1" x14ac:dyDescent="0.2">
      <c r="A32" s="90">
        <v>28</v>
      </c>
      <c r="B32" s="74">
        <f t="shared" si="32"/>
        <v>0</v>
      </c>
      <c r="C32" s="74"/>
      <c r="D32" s="75">
        <f t="shared" si="0"/>
        <v>0</v>
      </c>
      <c r="E32" s="76">
        <f t="shared" si="56"/>
        <v>0</v>
      </c>
      <c r="F32" s="76"/>
      <c r="G32" s="76">
        <f>F32-E32</f>
        <v>0</v>
      </c>
      <c r="H32" s="78">
        <f t="shared" si="34"/>
        <v>0</v>
      </c>
      <c r="I32" s="78"/>
      <c r="J32" s="82">
        <f>I32-H32</f>
        <v>0</v>
      </c>
      <c r="K32" s="78">
        <f t="shared" si="57"/>
        <v>0</v>
      </c>
      <c r="L32" s="78"/>
      <c r="M32" s="82">
        <f>L32-K32</f>
        <v>0</v>
      </c>
      <c r="N32" s="78">
        <f t="shared" si="62"/>
        <v>0</v>
      </c>
      <c r="O32" s="78"/>
      <c r="P32" s="82">
        <f>O32-N32</f>
        <v>0</v>
      </c>
      <c r="Q32" s="78">
        <f t="shared" si="35"/>
        <v>0</v>
      </c>
      <c r="R32" s="80"/>
      <c r="S32" s="82">
        <f>R32-Q32</f>
        <v>0</v>
      </c>
      <c r="T32" s="78">
        <f t="shared" si="63"/>
        <v>0</v>
      </c>
      <c r="U32" s="78"/>
      <c r="V32" s="82">
        <f>U32-T32</f>
        <v>0</v>
      </c>
      <c r="W32" s="78">
        <f t="shared" si="64"/>
        <v>0</v>
      </c>
      <c r="X32" s="78"/>
      <c r="Y32" s="82">
        <f>X32-W32</f>
        <v>0</v>
      </c>
      <c r="Z32" s="78">
        <f t="shared" si="65"/>
        <v>0</v>
      </c>
      <c r="AA32" s="78"/>
      <c r="AB32" s="82">
        <f>AA32-Z32</f>
        <v>0</v>
      </c>
      <c r="AC32" s="78">
        <f t="shared" si="8"/>
        <v>0</v>
      </c>
      <c r="AD32" s="78"/>
      <c r="AE32" s="82">
        <f t="shared" si="9"/>
        <v>0</v>
      </c>
      <c r="AF32" s="78">
        <f t="shared" si="10"/>
        <v>0</v>
      </c>
      <c r="AG32" s="78"/>
      <c r="AH32" s="82">
        <f t="shared" si="11"/>
        <v>0</v>
      </c>
      <c r="AI32" s="78">
        <f t="shared" si="12"/>
        <v>0</v>
      </c>
      <c r="AJ32" s="78"/>
      <c r="AK32" s="82">
        <f t="shared" si="13"/>
        <v>0</v>
      </c>
      <c r="AL32" s="78">
        <f t="shared" si="36"/>
        <v>0</v>
      </c>
      <c r="AM32" s="78"/>
      <c r="AN32" s="82">
        <f t="shared" si="14"/>
        <v>0</v>
      </c>
      <c r="AO32" s="78">
        <f t="shared" si="37"/>
        <v>0</v>
      </c>
      <c r="AP32" s="78"/>
      <c r="AQ32" s="82">
        <f t="shared" si="15"/>
        <v>0</v>
      </c>
      <c r="AR32" s="78">
        <f t="shared" si="38"/>
        <v>0</v>
      </c>
      <c r="AS32" s="78"/>
      <c r="AT32" s="82">
        <f t="shared" si="16"/>
        <v>0</v>
      </c>
      <c r="AU32" s="78">
        <f t="shared" si="39"/>
        <v>0</v>
      </c>
      <c r="AV32" s="78"/>
      <c r="AW32" s="82">
        <f t="shared" si="17"/>
        <v>0</v>
      </c>
      <c r="AX32" s="78">
        <f t="shared" si="40"/>
        <v>0</v>
      </c>
      <c r="AY32" s="78"/>
      <c r="AZ32" s="82">
        <f t="shared" si="18"/>
        <v>0</v>
      </c>
      <c r="BA32" s="78">
        <f t="shared" si="41"/>
        <v>0</v>
      </c>
      <c r="BB32" s="78"/>
      <c r="BC32" s="82">
        <f t="shared" si="19"/>
        <v>0</v>
      </c>
      <c r="BD32" s="82">
        <f t="shared" si="42"/>
        <v>0</v>
      </c>
      <c r="BE32" s="82"/>
      <c r="BF32" s="82">
        <f t="shared" si="43"/>
        <v>0</v>
      </c>
      <c r="BG32" s="78">
        <f t="shared" si="44"/>
        <v>0</v>
      </c>
      <c r="BH32" s="78"/>
      <c r="BI32" s="168">
        <f t="shared" si="20"/>
        <v>0</v>
      </c>
      <c r="BJ32" s="78">
        <f t="shared" si="45"/>
        <v>0</v>
      </c>
      <c r="BK32" s="78"/>
      <c r="BL32" s="82">
        <f t="shared" si="21"/>
        <v>0</v>
      </c>
      <c r="BM32" s="78">
        <f>BN31</f>
        <v>0</v>
      </c>
      <c r="BN32" s="78"/>
      <c r="BO32" s="82">
        <f t="shared" si="22"/>
        <v>0</v>
      </c>
      <c r="BP32" s="78">
        <f t="shared" si="47"/>
        <v>0</v>
      </c>
      <c r="BQ32" s="78"/>
      <c r="BR32" s="82">
        <f t="shared" si="23"/>
        <v>0</v>
      </c>
      <c r="BS32" s="78">
        <f t="shared" si="48"/>
        <v>0</v>
      </c>
      <c r="BT32" s="78"/>
      <c r="BU32" s="82">
        <f t="shared" si="24"/>
        <v>0</v>
      </c>
      <c r="BV32" s="78">
        <f t="shared" si="49"/>
        <v>0</v>
      </c>
      <c r="BW32" s="78"/>
      <c r="BX32" s="82">
        <f t="shared" si="25"/>
        <v>0</v>
      </c>
      <c r="BY32" s="78">
        <f t="shared" si="50"/>
        <v>0</v>
      </c>
      <c r="BZ32" s="78"/>
      <c r="CA32" s="82">
        <f t="shared" si="26"/>
        <v>0</v>
      </c>
      <c r="CB32" s="78">
        <f t="shared" si="51"/>
        <v>0</v>
      </c>
      <c r="CC32" s="78"/>
      <c r="CD32" s="82">
        <f t="shared" si="27"/>
        <v>0</v>
      </c>
      <c r="CE32" s="78">
        <f t="shared" si="52"/>
        <v>0</v>
      </c>
      <c r="CF32" s="78"/>
      <c r="CG32" s="82">
        <f t="shared" si="28"/>
        <v>0</v>
      </c>
      <c r="CH32" s="78">
        <f t="shared" si="53"/>
        <v>0</v>
      </c>
      <c r="CI32" s="78"/>
      <c r="CJ32" s="82">
        <f t="shared" si="29"/>
        <v>0</v>
      </c>
      <c r="CK32" s="78">
        <f t="shared" si="54"/>
        <v>0</v>
      </c>
      <c r="CL32" s="78"/>
      <c r="CM32" s="82">
        <f t="shared" si="30"/>
        <v>0</v>
      </c>
      <c r="CN32" s="78">
        <f t="shared" si="55"/>
        <v>0</v>
      </c>
      <c r="CO32" s="78"/>
      <c r="CP32" s="82">
        <f t="shared" si="31"/>
        <v>0</v>
      </c>
    </row>
    <row r="33" spans="1:94" s="3" customFormat="1" ht="13.5" customHeight="1" x14ac:dyDescent="0.2">
      <c r="A33" s="90">
        <v>29</v>
      </c>
      <c r="B33" s="74">
        <f t="shared" si="32"/>
        <v>0</v>
      </c>
      <c r="C33" s="91"/>
      <c r="D33" s="75">
        <f t="shared" si="0"/>
        <v>0</v>
      </c>
      <c r="E33" s="76">
        <f>F32</f>
        <v>0</v>
      </c>
      <c r="F33" s="76"/>
      <c r="G33" s="76">
        <f>F33-E33</f>
        <v>0</v>
      </c>
      <c r="H33" s="78">
        <f t="shared" si="34"/>
        <v>0</v>
      </c>
      <c r="I33" s="78"/>
      <c r="J33" s="82">
        <f t="shared" si="1"/>
        <v>0</v>
      </c>
      <c r="K33" s="78">
        <f t="shared" si="57"/>
        <v>0</v>
      </c>
      <c r="L33" s="78"/>
      <c r="M33" s="82">
        <f t="shared" ref="M33:M35" si="66">L33-K33</f>
        <v>0</v>
      </c>
      <c r="N33" s="78">
        <f t="shared" si="62"/>
        <v>0</v>
      </c>
      <c r="O33" s="78"/>
      <c r="P33" s="82">
        <f t="shared" ref="P33:P35" si="67">O33-N33</f>
        <v>0</v>
      </c>
      <c r="Q33" s="78">
        <f t="shared" si="35"/>
        <v>0</v>
      </c>
      <c r="R33" s="82"/>
      <c r="S33" s="82">
        <f t="shared" ref="S33:S35" si="68">R33-Q33</f>
        <v>0</v>
      </c>
      <c r="T33" s="78">
        <f t="shared" si="63"/>
        <v>0</v>
      </c>
      <c r="U33" s="78"/>
      <c r="V33" s="82">
        <f t="shared" ref="V33:V35" si="69">U33-T33</f>
        <v>0</v>
      </c>
      <c r="W33" s="78">
        <f t="shared" si="64"/>
        <v>0</v>
      </c>
      <c r="X33" s="78"/>
      <c r="Y33" s="82">
        <f t="shared" ref="Y33:Y35" si="70">X33-W33</f>
        <v>0</v>
      </c>
      <c r="Z33" s="78">
        <f t="shared" si="65"/>
        <v>0</v>
      </c>
      <c r="AA33" s="78"/>
      <c r="AB33" s="82">
        <f t="shared" ref="AB33:AB35" si="71">AA33-Z33</f>
        <v>0</v>
      </c>
      <c r="AC33" s="78">
        <f t="shared" si="8"/>
        <v>0</v>
      </c>
      <c r="AD33" s="78"/>
      <c r="AE33" s="82">
        <f t="shared" si="9"/>
        <v>0</v>
      </c>
      <c r="AF33" s="78">
        <f t="shared" si="10"/>
        <v>0</v>
      </c>
      <c r="AG33" s="78"/>
      <c r="AH33" s="82">
        <f t="shared" si="11"/>
        <v>0</v>
      </c>
      <c r="AI33" s="78">
        <f t="shared" si="12"/>
        <v>0</v>
      </c>
      <c r="AJ33" s="78"/>
      <c r="AK33" s="82">
        <f t="shared" si="13"/>
        <v>0</v>
      </c>
      <c r="AL33" s="78">
        <f t="shared" si="36"/>
        <v>0</v>
      </c>
      <c r="AM33" s="78"/>
      <c r="AN33" s="82">
        <f t="shared" si="14"/>
        <v>0</v>
      </c>
      <c r="AO33" s="78">
        <f t="shared" si="37"/>
        <v>0</v>
      </c>
      <c r="AP33" s="78"/>
      <c r="AQ33" s="82">
        <f t="shared" si="15"/>
        <v>0</v>
      </c>
      <c r="AR33" s="78">
        <f t="shared" si="38"/>
        <v>0</v>
      </c>
      <c r="AS33" s="78"/>
      <c r="AT33" s="82">
        <f t="shared" si="16"/>
        <v>0</v>
      </c>
      <c r="AU33" s="78">
        <f t="shared" si="39"/>
        <v>0</v>
      </c>
      <c r="AV33" s="78"/>
      <c r="AW33" s="82">
        <f t="shared" si="17"/>
        <v>0</v>
      </c>
      <c r="AX33" s="78">
        <f t="shared" si="40"/>
        <v>0</v>
      </c>
      <c r="AY33" s="78"/>
      <c r="AZ33" s="82">
        <f t="shared" si="18"/>
        <v>0</v>
      </c>
      <c r="BA33" s="78">
        <f t="shared" si="41"/>
        <v>0</v>
      </c>
      <c r="BB33" s="78"/>
      <c r="BC33" s="82">
        <f t="shared" si="19"/>
        <v>0</v>
      </c>
      <c r="BD33" s="82">
        <f t="shared" si="42"/>
        <v>0</v>
      </c>
      <c r="BE33" s="82"/>
      <c r="BF33" s="82">
        <f t="shared" si="43"/>
        <v>0</v>
      </c>
      <c r="BG33" s="78">
        <f t="shared" si="44"/>
        <v>0</v>
      </c>
      <c r="BH33" s="78"/>
      <c r="BI33" s="168">
        <f t="shared" si="20"/>
        <v>0</v>
      </c>
      <c r="BJ33" s="78">
        <f t="shared" si="45"/>
        <v>0</v>
      </c>
      <c r="BK33" s="78"/>
      <c r="BL33" s="82">
        <f t="shared" si="21"/>
        <v>0</v>
      </c>
      <c r="BM33" s="78">
        <f t="shared" ref="BM33:BM35" si="72">BN32</f>
        <v>0</v>
      </c>
      <c r="BN33" s="78"/>
      <c r="BO33" s="82">
        <f t="shared" si="22"/>
        <v>0</v>
      </c>
      <c r="BP33" s="78">
        <f t="shared" si="47"/>
        <v>0</v>
      </c>
      <c r="BQ33" s="78"/>
      <c r="BR33" s="82">
        <f t="shared" si="23"/>
        <v>0</v>
      </c>
      <c r="BS33" s="78">
        <f t="shared" si="48"/>
        <v>0</v>
      </c>
      <c r="BT33" s="78"/>
      <c r="BU33" s="82">
        <f t="shared" si="24"/>
        <v>0</v>
      </c>
      <c r="BV33" s="78">
        <f t="shared" si="49"/>
        <v>0</v>
      </c>
      <c r="BW33" s="78"/>
      <c r="BX33" s="82">
        <f t="shared" si="25"/>
        <v>0</v>
      </c>
      <c r="BY33" s="78">
        <f t="shared" si="50"/>
        <v>0</v>
      </c>
      <c r="BZ33" s="78"/>
      <c r="CA33" s="82">
        <f t="shared" si="26"/>
        <v>0</v>
      </c>
      <c r="CB33" s="78">
        <f t="shared" si="51"/>
        <v>0</v>
      </c>
      <c r="CC33" s="78"/>
      <c r="CD33" s="82">
        <f t="shared" si="27"/>
        <v>0</v>
      </c>
      <c r="CE33" s="78">
        <f t="shared" si="52"/>
        <v>0</v>
      </c>
      <c r="CF33" s="78"/>
      <c r="CG33" s="82">
        <f t="shared" si="28"/>
        <v>0</v>
      </c>
      <c r="CH33" s="78">
        <f t="shared" si="53"/>
        <v>0</v>
      </c>
      <c r="CI33" s="78"/>
      <c r="CJ33" s="82">
        <f t="shared" si="29"/>
        <v>0</v>
      </c>
      <c r="CK33" s="78">
        <f t="shared" si="54"/>
        <v>0</v>
      </c>
      <c r="CL33" s="78"/>
      <c r="CM33" s="82">
        <f t="shared" si="30"/>
        <v>0</v>
      </c>
      <c r="CN33" s="78">
        <f t="shared" si="55"/>
        <v>0</v>
      </c>
      <c r="CO33" s="78"/>
      <c r="CP33" s="82">
        <f t="shared" si="31"/>
        <v>0</v>
      </c>
    </row>
    <row r="34" spans="1:94" s="3" customFormat="1" ht="13.5" customHeight="1" x14ac:dyDescent="0.2">
      <c r="A34" s="90">
        <v>30</v>
      </c>
      <c r="B34" s="74">
        <f t="shared" si="32"/>
        <v>0</v>
      </c>
      <c r="C34" s="74"/>
      <c r="D34" s="75">
        <f t="shared" si="0"/>
        <v>0</v>
      </c>
      <c r="E34" s="76">
        <f t="shared" ref="E34:E35" si="73">F33</f>
        <v>0</v>
      </c>
      <c r="F34" s="144"/>
      <c r="G34" s="76">
        <f t="shared" ref="G34:G35" si="74">F34-E34</f>
        <v>0</v>
      </c>
      <c r="H34" s="78">
        <f t="shared" si="34"/>
        <v>0</v>
      </c>
      <c r="I34" s="78"/>
      <c r="J34" s="82">
        <f t="shared" si="1"/>
        <v>0</v>
      </c>
      <c r="K34" s="78">
        <f t="shared" si="57"/>
        <v>0</v>
      </c>
      <c r="L34" s="78"/>
      <c r="M34" s="82">
        <f t="shared" si="66"/>
        <v>0</v>
      </c>
      <c r="N34" s="78">
        <f t="shared" si="62"/>
        <v>0</v>
      </c>
      <c r="O34" s="78"/>
      <c r="P34" s="82">
        <f t="shared" si="67"/>
        <v>0</v>
      </c>
      <c r="Q34" s="78">
        <f t="shared" si="35"/>
        <v>0</v>
      </c>
      <c r="R34" s="82"/>
      <c r="S34" s="82">
        <f t="shared" si="68"/>
        <v>0</v>
      </c>
      <c r="T34" s="78">
        <f t="shared" si="63"/>
        <v>0</v>
      </c>
      <c r="U34" s="78"/>
      <c r="V34" s="82">
        <f t="shared" si="69"/>
        <v>0</v>
      </c>
      <c r="W34" s="78">
        <f t="shared" si="64"/>
        <v>0</v>
      </c>
      <c r="X34" s="78"/>
      <c r="Y34" s="82">
        <f t="shared" si="70"/>
        <v>0</v>
      </c>
      <c r="Z34" s="78">
        <f t="shared" si="65"/>
        <v>0</v>
      </c>
      <c r="AA34" s="78"/>
      <c r="AB34" s="82">
        <f t="shared" si="71"/>
        <v>0</v>
      </c>
      <c r="AC34" s="78">
        <f t="shared" si="8"/>
        <v>0</v>
      </c>
      <c r="AD34" s="78"/>
      <c r="AE34" s="82">
        <f t="shared" si="9"/>
        <v>0</v>
      </c>
      <c r="AF34" s="78">
        <f t="shared" si="10"/>
        <v>0</v>
      </c>
      <c r="AG34" s="78"/>
      <c r="AH34" s="82">
        <f t="shared" si="11"/>
        <v>0</v>
      </c>
      <c r="AI34" s="78">
        <f t="shared" si="12"/>
        <v>0</v>
      </c>
      <c r="AJ34" s="78"/>
      <c r="AK34" s="82">
        <f t="shared" si="13"/>
        <v>0</v>
      </c>
      <c r="AL34" s="78">
        <f t="shared" si="36"/>
        <v>0</v>
      </c>
      <c r="AM34" s="78"/>
      <c r="AN34" s="82">
        <f t="shared" si="14"/>
        <v>0</v>
      </c>
      <c r="AO34" s="78">
        <f t="shared" si="37"/>
        <v>0</v>
      </c>
      <c r="AP34" s="78"/>
      <c r="AQ34" s="82">
        <f t="shared" si="15"/>
        <v>0</v>
      </c>
      <c r="AR34" s="78">
        <f t="shared" si="38"/>
        <v>0</v>
      </c>
      <c r="AS34" s="78"/>
      <c r="AT34" s="82">
        <f t="shared" si="16"/>
        <v>0</v>
      </c>
      <c r="AU34" s="78">
        <f t="shared" si="39"/>
        <v>0</v>
      </c>
      <c r="AV34" s="78"/>
      <c r="AW34" s="82">
        <f t="shared" si="17"/>
        <v>0</v>
      </c>
      <c r="AX34" s="78">
        <f t="shared" si="40"/>
        <v>0</v>
      </c>
      <c r="AY34" s="78"/>
      <c r="AZ34" s="82">
        <f t="shared" si="18"/>
        <v>0</v>
      </c>
      <c r="BA34" s="78">
        <f t="shared" si="41"/>
        <v>0</v>
      </c>
      <c r="BB34" s="78"/>
      <c r="BC34" s="82">
        <f t="shared" si="19"/>
        <v>0</v>
      </c>
      <c r="BD34" s="82">
        <f t="shared" si="42"/>
        <v>0</v>
      </c>
      <c r="BE34" s="82"/>
      <c r="BF34" s="82">
        <f t="shared" si="43"/>
        <v>0</v>
      </c>
      <c r="BG34" s="78">
        <f t="shared" si="44"/>
        <v>0</v>
      </c>
      <c r="BH34" s="78"/>
      <c r="BI34" s="168">
        <f t="shared" si="20"/>
        <v>0</v>
      </c>
      <c r="BJ34" s="78">
        <f t="shared" si="45"/>
        <v>0</v>
      </c>
      <c r="BK34" s="78"/>
      <c r="BL34" s="82">
        <f t="shared" si="21"/>
        <v>0</v>
      </c>
      <c r="BM34" s="78">
        <f t="shared" si="72"/>
        <v>0</v>
      </c>
      <c r="BN34" s="78"/>
      <c r="BO34" s="82">
        <f t="shared" si="22"/>
        <v>0</v>
      </c>
      <c r="BP34" s="78">
        <f t="shared" si="47"/>
        <v>0</v>
      </c>
      <c r="BQ34" s="78"/>
      <c r="BR34" s="82">
        <f t="shared" si="23"/>
        <v>0</v>
      </c>
      <c r="BS34" s="78">
        <f t="shared" si="48"/>
        <v>0</v>
      </c>
      <c r="BT34" s="78"/>
      <c r="BU34" s="82">
        <f t="shared" si="24"/>
        <v>0</v>
      </c>
      <c r="BV34" s="78">
        <f t="shared" si="49"/>
        <v>0</v>
      </c>
      <c r="BW34" s="78"/>
      <c r="BX34" s="82">
        <f t="shared" si="25"/>
        <v>0</v>
      </c>
      <c r="BY34" s="78">
        <f t="shared" si="50"/>
        <v>0</v>
      </c>
      <c r="BZ34" s="78"/>
      <c r="CA34" s="82">
        <f t="shared" si="26"/>
        <v>0</v>
      </c>
      <c r="CB34" s="78">
        <f t="shared" si="51"/>
        <v>0</v>
      </c>
      <c r="CC34" s="78"/>
      <c r="CD34" s="82">
        <f t="shared" si="27"/>
        <v>0</v>
      </c>
      <c r="CE34" s="78">
        <f t="shared" si="52"/>
        <v>0</v>
      </c>
      <c r="CF34" s="78"/>
      <c r="CG34" s="82">
        <f t="shared" si="28"/>
        <v>0</v>
      </c>
      <c r="CH34" s="78">
        <f t="shared" si="53"/>
        <v>0</v>
      </c>
      <c r="CI34" s="78"/>
      <c r="CJ34" s="82">
        <f t="shared" si="29"/>
        <v>0</v>
      </c>
      <c r="CK34" s="78">
        <f t="shared" si="54"/>
        <v>0</v>
      </c>
      <c r="CL34" s="78"/>
      <c r="CM34" s="82">
        <f t="shared" si="30"/>
        <v>0</v>
      </c>
      <c r="CN34" s="78">
        <f t="shared" si="55"/>
        <v>0</v>
      </c>
      <c r="CO34" s="78"/>
      <c r="CP34" s="82">
        <f t="shared" si="31"/>
        <v>0</v>
      </c>
    </row>
    <row r="35" spans="1:94" s="3" customFormat="1" ht="13.5" customHeight="1" x14ac:dyDescent="0.2">
      <c r="A35" s="90">
        <v>31</v>
      </c>
      <c r="B35" s="74">
        <f t="shared" si="32"/>
        <v>0</v>
      </c>
      <c r="C35" s="74"/>
      <c r="D35" s="75">
        <f t="shared" si="0"/>
        <v>0</v>
      </c>
      <c r="E35" s="76">
        <f t="shared" si="73"/>
        <v>0</v>
      </c>
      <c r="F35" s="144"/>
      <c r="G35" s="76">
        <f t="shared" si="74"/>
        <v>0</v>
      </c>
      <c r="H35" s="78">
        <f t="shared" si="34"/>
        <v>0</v>
      </c>
      <c r="I35" s="78"/>
      <c r="J35" s="82">
        <f t="shared" si="1"/>
        <v>0</v>
      </c>
      <c r="K35" s="78">
        <f t="shared" si="57"/>
        <v>0</v>
      </c>
      <c r="L35" s="78"/>
      <c r="M35" s="82">
        <f t="shared" si="66"/>
        <v>0</v>
      </c>
      <c r="N35" s="78">
        <f t="shared" si="62"/>
        <v>0</v>
      </c>
      <c r="O35" s="78"/>
      <c r="P35" s="82">
        <f t="shared" si="67"/>
        <v>0</v>
      </c>
      <c r="Q35" s="78">
        <f t="shared" si="35"/>
        <v>0</v>
      </c>
      <c r="R35" s="82"/>
      <c r="S35" s="82">
        <f t="shared" si="68"/>
        <v>0</v>
      </c>
      <c r="T35" s="78">
        <f t="shared" si="63"/>
        <v>0</v>
      </c>
      <c r="U35" s="78"/>
      <c r="V35" s="82">
        <f t="shared" si="69"/>
        <v>0</v>
      </c>
      <c r="W35" s="78">
        <f t="shared" si="64"/>
        <v>0</v>
      </c>
      <c r="X35" s="78"/>
      <c r="Y35" s="82">
        <f t="shared" si="70"/>
        <v>0</v>
      </c>
      <c r="Z35" s="78">
        <f t="shared" si="65"/>
        <v>0</v>
      </c>
      <c r="AA35" s="78"/>
      <c r="AB35" s="82">
        <f t="shared" si="71"/>
        <v>0</v>
      </c>
      <c r="AC35" s="78">
        <f t="shared" si="8"/>
        <v>0</v>
      </c>
      <c r="AD35" s="78"/>
      <c r="AE35" s="82">
        <f t="shared" si="9"/>
        <v>0</v>
      </c>
      <c r="AF35" s="78">
        <f t="shared" si="10"/>
        <v>0</v>
      </c>
      <c r="AG35" s="78"/>
      <c r="AH35" s="82">
        <f t="shared" si="11"/>
        <v>0</v>
      </c>
      <c r="AI35" s="78">
        <f t="shared" si="12"/>
        <v>0</v>
      </c>
      <c r="AJ35" s="78"/>
      <c r="AK35" s="82">
        <f t="shared" si="13"/>
        <v>0</v>
      </c>
      <c r="AL35" s="78">
        <f t="shared" si="36"/>
        <v>0</v>
      </c>
      <c r="AM35" s="78"/>
      <c r="AN35" s="82">
        <f t="shared" si="14"/>
        <v>0</v>
      </c>
      <c r="AO35" s="78">
        <f t="shared" si="37"/>
        <v>0</v>
      </c>
      <c r="AP35" s="78"/>
      <c r="AQ35" s="82">
        <f t="shared" si="15"/>
        <v>0</v>
      </c>
      <c r="AR35" s="78">
        <f t="shared" si="38"/>
        <v>0</v>
      </c>
      <c r="AS35" s="78"/>
      <c r="AT35" s="82">
        <f t="shared" si="16"/>
        <v>0</v>
      </c>
      <c r="AU35" s="78">
        <f t="shared" si="39"/>
        <v>0</v>
      </c>
      <c r="AV35" s="78"/>
      <c r="AW35" s="82">
        <f t="shared" si="17"/>
        <v>0</v>
      </c>
      <c r="AX35" s="78">
        <f t="shared" si="40"/>
        <v>0</v>
      </c>
      <c r="AY35" s="78"/>
      <c r="AZ35" s="82">
        <f t="shared" si="18"/>
        <v>0</v>
      </c>
      <c r="BA35" s="78">
        <f t="shared" si="41"/>
        <v>0</v>
      </c>
      <c r="BB35" s="78"/>
      <c r="BC35" s="82">
        <f t="shared" si="19"/>
        <v>0</v>
      </c>
      <c r="BD35" s="82">
        <f t="shared" si="42"/>
        <v>0</v>
      </c>
      <c r="BE35" s="82"/>
      <c r="BF35" s="82">
        <f t="shared" si="43"/>
        <v>0</v>
      </c>
      <c r="BG35" s="78">
        <f t="shared" si="44"/>
        <v>0</v>
      </c>
      <c r="BH35" s="78"/>
      <c r="BI35" s="168">
        <f t="shared" si="20"/>
        <v>0</v>
      </c>
      <c r="BJ35" s="78">
        <f t="shared" si="45"/>
        <v>0</v>
      </c>
      <c r="BK35" s="78"/>
      <c r="BL35" s="82">
        <f t="shared" si="21"/>
        <v>0</v>
      </c>
      <c r="BM35" s="78">
        <f t="shared" si="72"/>
        <v>0</v>
      </c>
      <c r="BN35" s="78"/>
      <c r="BO35" s="82">
        <f t="shared" si="22"/>
        <v>0</v>
      </c>
      <c r="BP35" s="78">
        <f t="shared" si="47"/>
        <v>0</v>
      </c>
      <c r="BQ35" s="78"/>
      <c r="BR35" s="82">
        <f t="shared" si="23"/>
        <v>0</v>
      </c>
      <c r="BS35" s="78">
        <f t="shared" si="48"/>
        <v>0</v>
      </c>
      <c r="BT35" s="78"/>
      <c r="BU35" s="82">
        <f t="shared" si="24"/>
        <v>0</v>
      </c>
      <c r="BV35" s="78">
        <f t="shared" si="49"/>
        <v>0</v>
      </c>
      <c r="BW35" s="78"/>
      <c r="BX35" s="82">
        <f t="shared" si="25"/>
        <v>0</v>
      </c>
      <c r="BY35" s="78">
        <f t="shared" si="50"/>
        <v>0</v>
      </c>
      <c r="BZ35" s="78"/>
      <c r="CA35" s="82">
        <f t="shared" si="26"/>
        <v>0</v>
      </c>
      <c r="CB35" s="78">
        <f t="shared" si="51"/>
        <v>0</v>
      </c>
      <c r="CC35" s="78"/>
      <c r="CD35" s="82">
        <f t="shared" si="27"/>
        <v>0</v>
      </c>
      <c r="CE35" s="78">
        <f t="shared" si="52"/>
        <v>0</v>
      </c>
      <c r="CF35" s="78"/>
      <c r="CG35" s="82">
        <f t="shared" si="28"/>
        <v>0</v>
      </c>
      <c r="CH35" s="78">
        <f t="shared" si="53"/>
        <v>0</v>
      </c>
      <c r="CI35" s="78"/>
      <c r="CJ35" s="82">
        <f t="shared" si="29"/>
        <v>0</v>
      </c>
      <c r="CK35" s="78">
        <f t="shared" si="54"/>
        <v>0</v>
      </c>
      <c r="CL35" s="78"/>
      <c r="CM35" s="82">
        <f t="shared" si="30"/>
        <v>0</v>
      </c>
      <c r="CN35" s="78">
        <f t="shared" si="55"/>
        <v>0</v>
      </c>
      <c r="CO35" s="78"/>
      <c r="CP35" s="82">
        <f t="shared" si="31"/>
        <v>0</v>
      </c>
    </row>
    <row r="36" spans="1:94" s="3" customFormat="1" ht="13.5" thickBot="1" x14ac:dyDescent="0.25">
      <c r="A36" s="3" t="s">
        <v>7</v>
      </c>
      <c r="B36" s="88"/>
      <c r="C36" s="88"/>
      <c r="D36" s="89">
        <f>SUM(D5:D35)</f>
        <v>-25415038</v>
      </c>
      <c r="E36" s="89"/>
      <c r="F36" s="89"/>
      <c r="G36" s="89">
        <f>SUM(G5:G35)</f>
        <v>-22415724</v>
      </c>
      <c r="H36" s="89"/>
      <c r="I36" s="89"/>
      <c r="J36" s="89">
        <f>SUM(J5:J35)</f>
        <v>-84973340</v>
      </c>
      <c r="K36" s="89"/>
      <c r="L36" s="89"/>
      <c r="M36" s="89">
        <f>SUM(M5:M35)</f>
        <v>-1904300</v>
      </c>
      <c r="N36" s="89"/>
      <c r="O36" s="89"/>
      <c r="P36" s="89">
        <f>SUM(P5:P35)</f>
        <v>-2575806</v>
      </c>
      <c r="Q36" s="89"/>
      <c r="R36" s="89"/>
      <c r="S36" s="89">
        <f>SUM(S5:S35)</f>
        <v>-1564500</v>
      </c>
      <c r="T36" s="89"/>
      <c r="U36" s="89"/>
      <c r="V36" s="89">
        <f>SUM(V5:V35)</f>
        <v>-714530</v>
      </c>
      <c r="W36" s="89"/>
      <c r="X36" s="89"/>
      <c r="Y36" s="89">
        <f>SUM(Y5:Y35)</f>
        <v>-7396800</v>
      </c>
      <c r="Z36" s="89"/>
      <c r="AA36" s="89"/>
      <c r="AB36" s="89">
        <f>SUM(AB5:AB35)</f>
        <v>-1679900</v>
      </c>
      <c r="AC36" s="89"/>
      <c r="AD36" s="89"/>
      <c r="AE36" s="89">
        <f>SUM(AE5:AE35)</f>
        <v>-481218</v>
      </c>
      <c r="AF36" s="89"/>
      <c r="AG36" s="89"/>
      <c r="AH36" s="89">
        <f>SUM(AH5:AH35)</f>
        <v>-347510</v>
      </c>
      <c r="AI36" s="89"/>
      <c r="AJ36" s="89"/>
      <c r="AK36" s="89">
        <f>SUM(AK5:AK35)</f>
        <v>-599710</v>
      </c>
      <c r="AL36" s="89"/>
      <c r="AM36" s="89"/>
      <c r="AN36" s="89">
        <f>SUM(AN5:AN35)</f>
        <v>-1091800</v>
      </c>
      <c r="AO36" s="89"/>
      <c r="AP36" s="89"/>
      <c r="AQ36" s="89">
        <f>SUM(AQ5:AQ35)</f>
        <v>-695510</v>
      </c>
      <c r="AR36" s="89"/>
      <c r="AS36" s="89"/>
      <c r="AT36" s="89">
        <f>SUM(AT5:AT35)</f>
        <v>-585480</v>
      </c>
      <c r="AU36" s="89"/>
      <c r="AV36" s="89"/>
      <c r="AW36" s="89">
        <f>SUM(AW5:AW35)</f>
        <v>-544830</v>
      </c>
      <c r="AX36" s="89"/>
      <c r="AY36" s="89"/>
      <c r="AZ36" s="89">
        <f>SUM(AZ5:AZ35)</f>
        <v>-419210</v>
      </c>
      <c r="BA36" s="89"/>
      <c r="BB36" s="89"/>
      <c r="BC36" s="89">
        <f>SUM(BC5:BC35)</f>
        <v>-1182300</v>
      </c>
      <c r="BD36" s="89"/>
      <c r="BE36" s="89"/>
      <c r="BF36" s="89">
        <f>SUM(BF5:BF35)</f>
        <v>-26360</v>
      </c>
      <c r="BG36" s="89"/>
      <c r="BH36" s="89"/>
      <c r="BI36" s="169">
        <f>SUM(BI5:BI35)</f>
        <v>-21277</v>
      </c>
      <c r="BJ36" s="89"/>
      <c r="BK36" s="89"/>
      <c r="BL36" s="117">
        <f>SUM(BL5:BL35)</f>
        <v>-19194</v>
      </c>
      <c r="BM36" s="89"/>
      <c r="BN36" s="89"/>
      <c r="BO36" s="117">
        <f>SUM(BO5:BO35)</f>
        <v>-30186</v>
      </c>
      <c r="BP36" s="89"/>
      <c r="BQ36" s="89"/>
      <c r="BR36" s="117">
        <f>SUM(BR5:BR35)</f>
        <v>-22000</v>
      </c>
      <c r="BS36" s="89"/>
      <c r="BT36" s="89"/>
      <c r="BU36" s="117">
        <f>SUM(BU5:BU35)</f>
        <v>-21845</v>
      </c>
      <c r="BV36" s="89"/>
      <c r="BW36" s="89"/>
      <c r="BX36" s="117">
        <f>SUM(BX5:BX35)</f>
        <v>-15122</v>
      </c>
      <c r="BY36" s="89"/>
      <c r="BZ36" s="89"/>
      <c r="CA36" s="117">
        <f>SUM(CA5:CA35)</f>
        <v>-40090</v>
      </c>
      <c r="CB36" s="89"/>
      <c r="CC36" s="89"/>
      <c r="CD36" s="117">
        <f>SUM(CD5:CD35)</f>
        <v>-30100</v>
      </c>
      <c r="CE36" s="89"/>
      <c r="CF36" s="89"/>
      <c r="CG36" s="117">
        <f>SUM(CG5:CG35)</f>
        <v>-89918</v>
      </c>
      <c r="CH36" s="89"/>
      <c r="CI36" s="89"/>
      <c r="CJ36" s="117">
        <f>SUM(CJ5:CJ35)</f>
        <v>-66101</v>
      </c>
      <c r="CK36" s="89"/>
      <c r="CL36" s="89"/>
      <c r="CM36" s="117">
        <f>SUM(CM5:CM35)</f>
        <v>-15176</v>
      </c>
      <c r="CN36" s="89"/>
      <c r="CO36" s="89"/>
      <c r="CP36" s="117">
        <f>SUM(CP5:CP35)</f>
        <v>-96664</v>
      </c>
    </row>
    <row r="37" spans="1:94" ht="13.5" thickTop="1" x14ac:dyDescent="0.2"/>
  </sheetData>
  <mergeCells count="33">
    <mergeCell ref="CK3:CM3"/>
    <mergeCell ref="CN3:CP3"/>
    <mergeCell ref="BV3:BX3"/>
    <mergeCell ref="BY3:CA3"/>
    <mergeCell ref="CB3:CD3"/>
    <mergeCell ref="CE3:CG3"/>
    <mergeCell ref="CH3:CJ3"/>
    <mergeCell ref="BS3:BU3"/>
    <mergeCell ref="AR3:AT3"/>
    <mergeCell ref="BG3:BI3"/>
    <mergeCell ref="BJ3:BL3"/>
    <mergeCell ref="BM3:BO3"/>
    <mergeCell ref="BP3:BR3"/>
    <mergeCell ref="BD3:BF3"/>
    <mergeCell ref="AU3:AW3"/>
    <mergeCell ref="AX3:AZ3"/>
    <mergeCell ref="BA3:BC3"/>
    <mergeCell ref="AI3:AK3"/>
    <mergeCell ref="AL3:AN3"/>
    <mergeCell ref="AO3:AQ3"/>
    <mergeCell ref="H3:J3"/>
    <mergeCell ref="AC3:AE3"/>
    <mergeCell ref="K3:M3"/>
    <mergeCell ref="N3:P3"/>
    <mergeCell ref="Q3:S3"/>
    <mergeCell ref="T3:V3"/>
    <mergeCell ref="W3:Y3"/>
    <mergeCell ref="Z3:AB3"/>
    <mergeCell ref="C1:F1"/>
    <mergeCell ref="A1:B1"/>
    <mergeCell ref="B3:D3"/>
    <mergeCell ref="E3:G3"/>
    <mergeCell ref="AF3:AH3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38"/>
  <sheetViews>
    <sheetView zoomScale="80" zoomScaleNormal="80" workbookViewId="0">
      <pane ySplit="5" topLeftCell="A6" activePane="bottomLeft" state="frozen"/>
      <selection activeCell="C1" sqref="C1"/>
      <selection pane="bottomLeft" activeCell="S17" sqref="S17"/>
    </sheetView>
  </sheetViews>
  <sheetFormatPr defaultColWidth="9.140625" defaultRowHeight="12.75" x14ac:dyDescent="0.2"/>
  <cols>
    <col min="1" max="1" width="4.7109375" style="208" customWidth="1"/>
    <col min="2" max="2" width="13.5703125" style="208" customWidth="1"/>
    <col min="3" max="3" width="8.85546875" style="208" customWidth="1"/>
    <col min="4" max="4" width="10.5703125" style="208" customWidth="1"/>
    <col min="5" max="5" width="2" style="213" customWidth="1"/>
    <col min="6" max="6" width="5.140625" style="208" customWidth="1"/>
    <col min="7" max="7" width="13.5703125" style="208" customWidth="1"/>
    <col min="8" max="8" width="10" style="208" customWidth="1"/>
    <col min="9" max="9" width="14" style="208" customWidth="1"/>
    <col min="10" max="10" width="2.85546875" style="213" customWidth="1"/>
    <col min="11" max="11" width="5.42578125" style="208" customWidth="1"/>
    <col min="12" max="13" width="13.5703125" style="208" customWidth="1"/>
    <col min="14" max="14" width="12.140625" style="208" customWidth="1"/>
    <col min="15" max="15" width="2.85546875" style="213" customWidth="1"/>
    <col min="16" max="16" width="5.85546875" style="208" customWidth="1"/>
    <col min="17" max="17" width="13.5703125" style="208" customWidth="1"/>
    <col min="18" max="18" width="8.85546875" style="208" customWidth="1"/>
    <col min="19" max="19" width="11.140625" style="208" customWidth="1"/>
    <col min="20" max="20" width="2.42578125" style="213" customWidth="1"/>
    <col min="21" max="21" width="6.42578125" style="179" customWidth="1"/>
    <col min="22" max="22" width="10.85546875" style="211" customWidth="1"/>
    <col min="23" max="23" width="13" style="212" bestFit="1" customWidth="1"/>
    <col min="24" max="24" width="11.85546875" style="179" customWidth="1"/>
    <col min="25" max="16384" width="9.140625" style="179"/>
  </cols>
  <sheetData>
    <row r="1" spans="1:24" ht="12.75" customHeight="1" x14ac:dyDescent="0.2">
      <c r="A1" s="310" t="s">
        <v>125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</row>
    <row r="2" spans="1:24" s="180" customFormat="1" ht="24" customHeight="1" x14ac:dyDescent="0.2">
      <c r="A2" s="310"/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</row>
    <row r="3" spans="1:24" ht="24.75" customHeight="1" x14ac:dyDescent="0.2">
      <c r="A3" s="311" t="s">
        <v>3</v>
      </c>
      <c r="B3" s="311"/>
      <c r="C3" s="181">
        <v>44256</v>
      </c>
      <c r="D3" s="182"/>
      <c r="E3" s="183"/>
      <c r="F3" s="183"/>
      <c r="G3" s="183"/>
      <c r="H3" s="183"/>
      <c r="I3" s="182"/>
      <c r="J3" s="183"/>
      <c r="K3" s="183"/>
      <c r="L3" s="183"/>
      <c r="M3" s="183"/>
      <c r="N3" s="182"/>
      <c r="O3" s="183"/>
      <c r="P3" s="183"/>
      <c r="Q3" s="183"/>
      <c r="R3" s="183"/>
      <c r="S3" s="182"/>
      <c r="T3" s="183"/>
      <c r="U3" s="183"/>
      <c r="V3" s="183"/>
      <c r="W3" s="183"/>
      <c r="X3" s="183"/>
    </row>
    <row r="4" spans="1:24" ht="15" customHeight="1" x14ac:dyDescent="0.2">
      <c r="A4" s="312" t="s">
        <v>126</v>
      </c>
      <c r="B4" s="313"/>
      <c r="C4" s="313"/>
      <c r="D4" s="314"/>
      <c r="E4" s="184"/>
      <c r="F4" s="312" t="s">
        <v>127</v>
      </c>
      <c r="G4" s="313"/>
      <c r="H4" s="313"/>
      <c r="I4" s="314"/>
      <c r="J4" s="184"/>
      <c r="K4" s="312" t="s">
        <v>128</v>
      </c>
      <c r="L4" s="313"/>
      <c r="M4" s="313"/>
      <c r="N4" s="314"/>
      <c r="O4" s="184"/>
      <c r="P4" s="312" t="s">
        <v>129</v>
      </c>
      <c r="Q4" s="313"/>
      <c r="R4" s="313"/>
      <c r="S4" s="314"/>
      <c r="T4" s="184"/>
      <c r="U4" s="315" t="s">
        <v>130</v>
      </c>
      <c r="V4" s="316"/>
      <c r="W4" s="316"/>
      <c r="X4" s="317"/>
    </row>
    <row r="5" spans="1:24" ht="36" customHeight="1" x14ac:dyDescent="0.2">
      <c r="A5" s="185" t="s">
        <v>5</v>
      </c>
      <c r="B5" s="185" t="s">
        <v>19</v>
      </c>
      <c r="C5" s="185" t="s">
        <v>20</v>
      </c>
      <c r="D5" s="186" t="s">
        <v>131</v>
      </c>
      <c r="E5" s="186"/>
      <c r="F5" s="185" t="s">
        <v>5</v>
      </c>
      <c r="G5" s="185" t="s">
        <v>19</v>
      </c>
      <c r="H5" s="185" t="s">
        <v>20</v>
      </c>
      <c r="I5" s="186" t="s">
        <v>131</v>
      </c>
      <c r="J5" s="186"/>
      <c r="K5" s="185" t="s">
        <v>5</v>
      </c>
      <c r="L5" s="185" t="s">
        <v>19</v>
      </c>
      <c r="M5" s="185" t="s">
        <v>20</v>
      </c>
      <c r="N5" s="186" t="s">
        <v>131</v>
      </c>
      <c r="O5" s="186"/>
      <c r="P5" s="185" t="s">
        <v>5</v>
      </c>
      <c r="Q5" s="185" t="s">
        <v>19</v>
      </c>
      <c r="R5" s="185" t="s">
        <v>20</v>
      </c>
      <c r="S5" s="186" t="s">
        <v>131</v>
      </c>
      <c r="T5" s="186"/>
      <c r="U5" s="187" t="s">
        <v>42</v>
      </c>
      <c r="V5" s="188" t="s">
        <v>13</v>
      </c>
      <c r="W5" s="189" t="s">
        <v>132</v>
      </c>
      <c r="X5" s="187" t="s">
        <v>77</v>
      </c>
    </row>
    <row r="6" spans="1:24" ht="15" customHeight="1" x14ac:dyDescent="0.2">
      <c r="A6" s="202">
        <v>1</v>
      </c>
      <c r="B6" s="190">
        <v>3237</v>
      </c>
      <c r="C6" s="190">
        <v>3345</v>
      </c>
      <c r="D6" s="191">
        <v>34</v>
      </c>
      <c r="E6" s="260"/>
      <c r="F6" s="202">
        <v>1</v>
      </c>
      <c r="G6" s="193">
        <v>3085</v>
      </c>
      <c r="H6" s="190">
        <v>3085</v>
      </c>
      <c r="I6" s="191">
        <f>H6-G6</f>
        <v>0</v>
      </c>
      <c r="J6" s="260"/>
      <c r="K6" s="202">
        <v>1</v>
      </c>
      <c r="L6" s="190">
        <v>728932</v>
      </c>
      <c r="M6" s="190">
        <v>729162</v>
      </c>
      <c r="N6" s="191">
        <f>M6-L6</f>
        <v>230</v>
      </c>
      <c r="O6" s="194"/>
      <c r="P6" s="202">
        <v>1</v>
      </c>
      <c r="Q6" s="190">
        <v>199576</v>
      </c>
      <c r="R6" s="190">
        <v>199663</v>
      </c>
      <c r="S6" s="191">
        <f>R6-Q6</f>
        <v>87</v>
      </c>
      <c r="T6" s="192"/>
      <c r="U6" s="195">
        <v>1</v>
      </c>
      <c r="V6" s="196">
        <f>SUM(S6+N6+I6+D6)</f>
        <v>351</v>
      </c>
      <c r="W6" s="197">
        <f>'Maldives at LG Daily'!I5</f>
        <v>83</v>
      </c>
      <c r="X6" s="198"/>
    </row>
    <row r="7" spans="1:24" ht="15" customHeight="1" x14ac:dyDescent="0.2">
      <c r="A7" s="202">
        <v>2</v>
      </c>
      <c r="B7" s="199">
        <f t="shared" ref="B7:B34" si="0">C6</f>
        <v>3345</v>
      </c>
      <c r="C7" s="200">
        <v>3455</v>
      </c>
      <c r="D7" s="191">
        <f>C7-B7</f>
        <v>110</v>
      </c>
      <c r="E7" s="260"/>
      <c r="F7" s="202">
        <v>2</v>
      </c>
      <c r="G7" s="199">
        <f t="shared" ref="G7:G34" si="1">H6</f>
        <v>3085</v>
      </c>
      <c r="H7" s="190">
        <v>3085</v>
      </c>
      <c r="I7" s="201">
        <f t="shared" ref="I7:I10" si="2">H7-G7</f>
        <v>0</v>
      </c>
      <c r="J7" s="260"/>
      <c r="K7" s="202">
        <v>2</v>
      </c>
      <c r="L7" s="199">
        <f t="shared" ref="L7:L34" si="3">M6</f>
        <v>729162</v>
      </c>
      <c r="M7" s="200">
        <v>729426</v>
      </c>
      <c r="N7" s="201">
        <f t="shared" ref="N7:N10" si="4">M7-L7</f>
        <v>264</v>
      </c>
      <c r="O7" s="194"/>
      <c r="P7" s="202">
        <v>2</v>
      </c>
      <c r="Q7" s="199">
        <f t="shared" ref="Q7:Q34" si="5">R6</f>
        <v>199663</v>
      </c>
      <c r="R7" s="200">
        <v>199762</v>
      </c>
      <c r="S7" s="201">
        <f t="shared" ref="S7:S10" si="6">R7-Q7</f>
        <v>99</v>
      </c>
      <c r="T7" s="192"/>
      <c r="U7" s="202">
        <v>2</v>
      </c>
      <c r="V7" s="93">
        <f t="shared" ref="V7:V36" si="7">SUM(S7+N7+I7+D7)</f>
        <v>473</v>
      </c>
      <c r="W7" s="197">
        <f>'Maldives at LG Daily'!I6</f>
        <v>78</v>
      </c>
      <c r="X7" s="203"/>
    </row>
    <row r="8" spans="1:24" ht="15" customHeight="1" x14ac:dyDescent="0.2">
      <c r="A8" s="202">
        <v>3</v>
      </c>
      <c r="B8" s="195">
        <f t="shared" si="0"/>
        <v>3455</v>
      </c>
      <c r="C8" s="200">
        <v>3547</v>
      </c>
      <c r="D8" s="201">
        <f t="shared" ref="D8:D33" si="8">C8-B8</f>
        <v>92</v>
      </c>
      <c r="E8" s="260"/>
      <c r="F8" s="202">
        <v>3</v>
      </c>
      <c r="G8" s="195">
        <f t="shared" si="1"/>
        <v>3085</v>
      </c>
      <c r="H8" s="190">
        <v>3107</v>
      </c>
      <c r="I8" s="201">
        <f t="shared" si="2"/>
        <v>22</v>
      </c>
      <c r="J8" s="260"/>
      <c r="K8" s="202">
        <v>3</v>
      </c>
      <c r="L8" s="195">
        <f t="shared" si="3"/>
        <v>729426</v>
      </c>
      <c r="M8" s="200">
        <v>729670</v>
      </c>
      <c r="N8" s="201">
        <f t="shared" si="4"/>
        <v>244</v>
      </c>
      <c r="O8" s="194"/>
      <c r="P8" s="202">
        <v>3</v>
      </c>
      <c r="Q8" s="195">
        <f t="shared" si="5"/>
        <v>199762</v>
      </c>
      <c r="R8" s="200">
        <v>199849</v>
      </c>
      <c r="S8" s="201">
        <f t="shared" si="6"/>
        <v>87</v>
      </c>
      <c r="T8" s="192"/>
      <c r="U8" s="195">
        <v>3</v>
      </c>
      <c r="V8" s="93">
        <f t="shared" si="7"/>
        <v>445</v>
      </c>
      <c r="W8" s="197">
        <f>'Maldives at LG Daily'!I7</f>
        <v>78</v>
      </c>
      <c r="X8" s="203"/>
    </row>
    <row r="9" spans="1:24" ht="15" customHeight="1" x14ac:dyDescent="0.2">
      <c r="A9" s="202">
        <v>4</v>
      </c>
      <c r="B9" s="195">
        <f t="shared" si="0"/>
        <v>3547</v>
      </c>
      <c r="C9" s="200">
        <v>3661</v>
      </c>
      <c r="D9" s="201">
        <f t="shared" si="8"/>
        <v>114</v>
      </c>
      <c r="E9" s="260"/>
      <c r="F9" s="202">
        <v>4</v>
      </c>
      <c r="G9" s="195">
        <f t="shared" si="1"/>
        <v>3107</v>
      </c>
      <c r="H9" s="190">
        <v>3124</v>
      </c>
      <c r="I9" s="201">
        <f t="shared" si="2"/>
        <v>17</v>
      </c>
      <c r="J9" s="260"/>
      <c r="K9" s="202">
        <v>4</v>
      </c>
      <c r="L9" s="195">
        <f t="shared" si="3"/>
        <v>729670</v>
      </c>
      <c r="M9" s="200">
        <v>729938</v>
      </c>
      <c r="N9" s="201">
        <f t="shared" si="4"/>
        <v>268</v>
      </c>
      <c r="O9" s="194"/>
      <c r="P9" s="202">
        <v>4</v>
      </c>
      <c r="Q9" s="195">
        <f t="shared" si="5"/>
        <v>199849</v>
      </c>
      <c r="R9" s="200">
        <v>199938</v>
      </c>
      <c r="S9" s="201">
        <f t="shared" si="6"/>
        <v>89</v>
      </c>
      <c r="T9" s="192"/>
      <c r="U9" s="195">
        <v>4</v>
      </c>
      <c r="V9" s="93">
        <f t="shared" si="7"/>
        <v>488</v>
      </c>
      <c r="W9" s="197">
        <f>'Maldives at LG Daily'!I8</f>
        <v>72</v>
      </c>
      <c r="X9" s="203"/>
    </row>
    <row r="10" spans="1:24" ht="15" customHeight="1" x14ac:dyDescent="0.2">
      <c r="A10" s="202">
        <v>5</v>
      </c>
      <c r="B10" s="195">
        <f t="shared" si="0"/>
        <v>3661</v>
      </c>
      <c r="C10" s="200">
        <v>3766</v>
      </c>
      <c r="D10" s="201">
        <f t="shared" si="8"/>
        <v>105</v>
      </c>
      <c r="E10" s="260"/>
      <c r="F10" s="202">
        <v>5</v>
      </c>
      <c r="G10" s="195">
        <f t="shared" si="1"/>
        <v>3124</v>
      </c>
      <c r="H10" s="190">
        <v>3175</v>
      </c>
      <c r="I10" s="201">
        <f t="shared" si="2"/>
        <v>51</v>
      </c>
      <c r="J10" s="260"/>
      <c r="K10" s="202">
        <v>5</v>
      </c>
      <c r="L10" s="195">
        <f t="shared" si="3"/>
        <v>729938</v>
      </c>
      <c r="M10" s="200">
        <v>730153</v>
      </c>
      <c r="N10" s="201">
        <f t="shared" si="4"/>
        <v>215</v>
      </c>
      <c r="O10" s="194"/>
      <c r="P10" s="202">
        <v>5</v>
      </c>
      <c r="Q10" s="195">
        <f t="shared" si="5"/>
        <v>199938</v>
      </c>
      <c r="R10" s="200">
        <v>199995</v>
      </c>
      <c r="S10" s="201">
        <f t="shared" si="6"/>
        <v>57</v>
      </c>
      <c r="T10" s="192"/>
      <c r="U10" s="202">
        <v>5</v>
      </c>
      <c r="V10" s="93">
        <f t="shared" si="7"/>
        <v>428</v>
      </c>
      <c r="W10" s="197">
        <f>'Maldives at LG Daily'!I9</f>
        <v>73</v>
      </c>
      <c r="X10" s="203"/>
    </row>
    <row r="11" spans="1:24" ht="15" customHeight="1" x14ac:dyDescent="0.2">
      <c r="A11" s="202">
        <v>6</v>
      </c>
      <c r="B11" s="195">
        <f t="shared" si="0"/>
        <v>3766</v>
      </c>
      <c r="C11" s="200">
        <v>3891</v>
      </c>
      <c r="D11" s="201">
        <f>C11-B11</f>
        <v>125</v>
      </c>
      <c r="E11" s="260"/>
      <c r="F11" s="202">
        <v>6</v>
      </c>
      <c r="G11" s="195">
        <f t="shared" si="1"/>
        <v>3175</v>
      </c>
      <c r="H11" s="190">
        <v>3230</v>
      </c>
      <c r="I11" s="201">
        <f>H11-G11</f>
        <v>55</v>
      </c>
      <c r="J11" s="260"/>
      <c r="K11" s="202">
        <v>6</v>
      </c>
      <c r="L11" s="195">
        <f t="shared" si="3"/>
        <v>730153</v>
      </c>
      <c r="M11" s="200">
        <v>730392</v>
      </c>
      <c r="N11" s="201">
        <f>M11-L11</f>
        <v>239</v>
      </c>
      <c r="O11" s="194"/>
      <c r="P11" s="202">
        <v>6</v>
      </c>
      <c r="Q11" s="195">
        <f t="shared" si="5"/>
        <v>199995</v>
      </c>
      <c r="R11" s="200">
        <v>200008</v>
      </c>
      <c r="S11" s="201">
        <f>R11-Q11</f>
        <v>13</v>
      </c>
      <c r="T11" s="192"/>
      <c r="U11" s="195">
        <v>6</v>
      </c>
      <c r="V11" s="93">
        <f t="shared" si="7"/>
        <v>432</v>
      </c>
      <c r="W11" s="197">
        <f>'Maldives at LG Daily'!I10</f>
        <v>73</v>
      </c>
      <c r="X11" s="203"/>
    </row>
    <row r="12" spans="1:24" ht="15" customHeight="1" x14ac:dyDescent="0.2">
      <c r="A12" s="202">
        <v>7</v>
      </c>
      <c r="B12" s="195">
        <f t="shared" si="0"/>
        <v>3891</v>
      </c>
      <c r="C12" s="200">
        <v>4004</v>
      </c>
      <c r="D12" s="201">
        <f t="shared" si="8"/>
        <v>113</v>
      </c>
      <c r="E12" s="260"/>
      <c r="F12" s="202">
        <v>7</v>
      </c>
      <c r="G12" s="195">
        <f t="shared" si="1"/>
        <v>3230</v>
      </c>
      <c r="H12" s="190">
        <v>3292</v>
      </c>
      <c r="I12" s="201">
        <f t="shared" ref="I12:I24" si="9">H12-G12</f>
        <v>62</v>
      </c>
      <c r="J12" s="260"/>
      <c r="K12" s="202">
        <v>7</v>
      </c>
      <c r="L12" s="195">
        <f t="shared" si="3"/>
        <v>730392</v>
      </c>
      <c r="M12" s="200">
        <v>730640</v>
      </c>
      <c r="N12" s="201">
        <f t="shared" ref="N12:N24" si="10">M12-L12</f>
        <v>248</v>
      </c>
      <c r="O12" s="194"/>
      <c r="P12" s="202">
        <v>7</v>
      </c>
      <c r="Q12" s="195">
        <f t="shared" si="5"/>
        <v>200008</v>
      </c>
      <c r="R12" s="200">
        <v>200076</v>
      </c>
      <c r="S12" s="201">
        <f t="shared" ref="S12:S24" si="11">R12-Q12</f>
        <v>68</v>
      </c>
      <c r="T12" s="192"/>
      <c r="U12" s="195">
        <v>7</v>
      </c>
      <c r="V12" s="93">
        <f t="shared" si="7"/>
        <v>491</v>
      </c>
      <c r="W12" s="197">
        <f>'Maldives at LG Daily'!I11</f>
        <v>71</v>
      </c>
      <c r="X12" s="203"/>
    </row>
    <row r="13" spans="1:24" ht="15" customHeight="1" x14ac:dyDescent="0.2">
      <c r="A13" s="202">
        <v>8</v>
      </c>
      <c r="B13" s="195">
        <f t="shared" si="0"/>
        <v>4004</v>
      </c>
      <c r="C13" s="200">
        <v>4129</v>
      </c>
      <c r="D13" s="201">
        <f t="shared" si="8"/>
        <v>125</v>
      </c>
      <c r="E13" s="260"/>
      <c r="F13" s="202">
        <v>8</v>
      </c>
      <c r="G13" s="195">
        <f t="shared" si="1"/>
        <v>3292</v>
      </c>
      <c r="H13" s="190">
        <v>3300</v>
      </c>
      <c r="I13" s="201">
        <f t="shared" si="9"/>
        <v>8</v>
      </c>
      <c r="J13" s="260"/>
      <c r="K13" s="202">
        <v>8</v>
      </c>
      <c r="L13" s="195">
        <f t="shared" si="3"/>
        <v>730640</v>
      </c>
      <c r="M13" s="200">
        <v>730857</v>
      </c>
      <c r="N13" s="201">
        <f t="shared" si="10"/>
        <v>217</v>
      </c>
      <c r="O13" s="194"/>
      <c r="P13" s="202">
        <v>8</v>
      </c>
      <c r="Q13" s="195">
        <f t="shared" si="5"/>
        <v>200076</v>
      </c>
      <c r="R13" s="200">
        <v>200150</v>
      </c>
      <c r="S13" s="201">
        <f t="shared" si="11"/>
        <v>74</v>
      </c>
      <c r="T13" s="192"/>
      <c r="U13" s="202">
        <v>8</v>
      </c>
      <c r="V13" s="93">
        <f t="shared" si="7"/>
        <v>424</v>
      </c>
      <c r="W13" s="197">
        <f>'Maldives at LG Daily'!I12</f>
        <v>65</v>
      </c>
      <c r="X13" s="203"/>
    </row>
    <row r="14" spans="1:24" ht="15" customHeight="1" x14ac:dyDescent="0.2">
      <c r="A14" s="202">
        <v>9</v>
      </c>
      <c r="B14" s="195">
        <f t="shared" si="0"/>
        <v>4129</v>
      </c>
      <c r="C14" s="200">
        <v>4170</v>
      </c>
      <c r="D14" s="201">
        <f t="shared" si="8"/>
        <v>41</v>
      </c>
      <c r="E14" s="260"/>
      <c r="F14" s="202">
        <v>9</v>
      </c>
      <c r="G14" s="195">
        <f t="shared" si="1"/>
        <v>3300</v>
      </c>
      <c r="H14" s="190">
        <v>3351</v>
      </c>
      <c r="I14" s="201">
        <f t="shared" si="9"/>
        <v>51</v>
      </c>
      <c r="J14" s="260"/>
      <c r="K14" s="202">
        <v>9</v>
      </c>
      <c r="L14" s="195">
        <f t="shared" si="3"/>
        <v>730857</v>
      </c>
      <c r="M14" s="200">
        <v>731090</v>
      </c>
      <c r="N14" s="201">
        <f t="shared" si="10"/>
        <v>233</v>
      </c>
      <c r="O14" s="194"/>
      <c r="P14" s="202">
        <v>9</v>
      </c>
      <c r="Q14" s="195">
        <f t="shared" si="5"/>
        <v>200150</v>
      </c>
      <c r="R14" s="200">
        <v>200257</v>
      </c>
      <c r="S14" s="201">
        <f t="shared" si="11"/>
        <v>107</v>
      </c>
      <c r="T14" s="192"/>
      <c r="U14" s="195">
        <v>9</v>
      </c>
      <c r="V14" s="93">
        <f t="shared" si="7"/>
        <v>432</v>
      </c>
      <c r="W14" s="197">
        <f>'Maldives at LG Daily'!I13</f>
        <v>57</v>
      </c>
      <c r="X14" s="203"/>
    </row>
    <row r="15" spans="1:24" ht="15" customHeight="1" x14ac:dyDescent="0.2">
      <c r="A15" s="202">
        <v>10</v>
      </c>
      <c r="B15" s="195">
        <f t="shared" si="0"/>
        <v>4170</v>
      </c>
      <c r="C15" s="200">
        <v>4270</v>
      </c>
      <c r="D15" s="201">
        <f t="shared" si="8"/>
        <v>100</v>
      </c>
      <c r="E15" s="260"/>
      <c r="F15" s="202">
        <v>10</v>
      </c>
      <c r="G15" s="195">
        <f t="shared" si="1"/>
        <v>3351</v>
      </c>
      <c r="H15" s="190">
        <v>3370</v>
      </c>
      <c r="I15" s="201">
        <f t="shared" si="9"/>
        <v>19</v>
      </c>
      <c r="J15" s="260"/>
      <c r="K15" s="202">
        <v>10</v>
      </c>
      <c r="L15" s="195">
        <f t="shared" si="3"/>
        <v>731090</v>
      </c>
      <c r="M15" s="200">
        <v>731294</v>
      </c>
      <c r="N15" s="201">
        <f t="shared" si="10"/>
        <v>204</v>
      </c>
      <c r="O15" s="194"/>
      <c r="P15" s="202">
        <v>10</v>
      </c>
      <c r="Q15" s="195">
        <f t="shared" si="5"/>
        <v>200257</v>
      </c>
      <c r="R15" s="200">
        <v>200337</v>
      </c>
      <c r="S15" s="201">
        <f t="shared" si="11"/>
        <v>80</v>
      </c>
      <c r="T15" s="192"/>
      <c r="U15" s="195">
        <v>10</v>
      </c>
      <c r="V15" s="93">
        <f t="shared" si="7"/>
        <v>403</v>
      </c>
      <c r="W15" s="197">
        <f>'Maldives at LG Daily'!I14</f>
        <v>56</v>
      </c>
      <c r="X15" s="203"/>
    </row>
    <row r="16" spans="1:24" ht="15" customHeight="1" x14ac:dyDescent="0.2">
      <c r="A16" s="202">
        <v>11</v>
      </c>
      <c r="B16" s="195">
        <f t="shared" si="0"/>
        <v>4270</v>
      </c>
      <c r="C16" s="200">
        <v>4404</v>
      </c>
      <c r="D16" s="201">
        <f t="shared" si="8"/>
        <v>134</v>
      </c>
      <c r="E16" s="260"/>
      <c r="F16" s="202">
        <v>11</v>
      </c>
      <c r="G16" s="195">
        <f t="shared" si="1"/>
        <v>3370</v>
      </c>
      <c r="H16" s="190">
        <v>3405</v>
      </c>
      <c r="I16" s="201">
        <f t="shared" si="9"/>
        <v>35</v>
      </c>
      <c r="J16" s="260"/>
      <c r="K16" s="202">
        <v>11</v>
      </c>
      <c r="L16" s="195">
        <f t="shared" si="3"/>
        <v>731294</v>
      </c>
      <c r="M16" s="200">
        <v>731503</v>
      </c>
      <c r="N16" s="201">
        <f t="shared" si="10"/>
        <v>209</v>
      </c>
      <c r="O16" s="194"/>
      <c r="P16" s="202">
        <v>11</v>
      </c>
      <c r="Q16" s="195">
        <f t="shared" si="5"/>
        <v>200337</v>
      </c>
      <c r="R16" s="200">
        <v>200384</v>
      </c>
      <c r="S16" s="201">
        <f t="shared" si="11"/>
        <v>47</v>
      </c>
      <c r="T16" s="192"/>
      <c r="U16" s="202">
        <v>11</v>
      </c>
      <c r="V16" s="93">
        <f t="shared" si="7"/>
        <v>425</v>
      </c>
      <c r="W16" s="197">
        <f>'Maldives at LG Daily'!I15</f>
        <v>48</v>
      </c>
      <c r="X16" s="203"/>
    </row>
    <row r="17" spans="1:24" ht="15" customHeight="1" x14ac:dyDescent="0.2">
      <c r="A17" s="202">
        <v>12</v>
      </c>
      <c r="B17" s="195">
        <f t="shared" si="0"/>
        <v>4404</v>
      </c>
      <c r="C17" s="200">
        <v>4468</v>
      </c>
      <c r="D17" s="201">
        <f t="shared" si="8"/>
        <v>64</v>
      </c>
      <c r="E17" s="260"/>
      <c r="F17" s="202">
        <v>12</v>
      </c>
      <c r="G17" s="195">
        <f t="shared" si="1"/>
        <v>3405</v>
      </c>
      <c r="H17" s="200">
        <v>3417</v>
      </c>
      <c r="I17" s="201">
        <f t="shared" si="9"/>
        <v>12</v>
      </c>
      <c r="J17" s="260"/>
      <c r="K17" s="202">
        <v>12</v>
      </c>
      <c r="L17" s="195">
        <f t="shared" si="3"/>
        <v>731503</v>
      </c>
      <c r="M17" s="200">
        <v>731666</v>
      </c>
      <c r="N17" s="201">
        <f t="shared" si="10"/>
        <v>163</v>
      </c>
      <c r="O17" s="194"/>
      <c r="P17" s="202">
        <v>12</v>
      </c>
      <c r="Q17" s="195">
        <f t="shared" si="5"/>
        <v>200384</v>
      </c>
      <c r="R17" s="200">
        <v>200486</v>
      </c>
      <c r="S17" s="201">
        <f t="shared" si="11"/>
        <v>102</v>
      </c>
      <c r="T17" s="192"/>
      <c r="U17" s="195">
        <v>12</v>
      </c>
      <c r="V17" s="93">
        <f t="shared" si="7"/>
        <v>341</v>
      </c>
      <c r="W17" s="197">
        <f>'Maldives at LG Daily'!I16</f>
        <v>0</v>
      </c>
      <c r="X17" s="203"/>
    </row>
    <row r="18" spans="1:24" ht="15" customHeight="1" x14ac:dyDescent="0.2">
      <c r="A18" s="202">
        <v>13</v>
      </c>
      <c r="B18" s="195">
        <f t="shared" si="0"/>
        <v>4468</v>
      </c>
      <c r="C18" s="200"/>
      <c r="D18" s="201">
        <f t="shared" si="8"/>
        <v>-4468</v>
      </c>
      <c r="E18" s="260"/>
      <c r="F18" s="202">
        <v>13</v>
      </c>
      <c r="G18" s="195">
        <f t="shared" si="1"/>
        <v>3417</v>
      </c>
      <c r="H18" s="200"/>
      <c r="I18" s="201">
        <f t="shared" si="9"/>
        <v>-3417</v>
      </c>
      <c r="J18" s="260"/>
      <c r="K18" s="202">
        <v>13</v>
      </c>
      <c r="L18" s="195">
        <f t="shared" si="3"/>
        <v>731666</v>
      </c>
      <c r="M18" s="200"/>
      <c r="N18" s="201">
        <f t="shared" si="10"/>
        <v>-731666</v>
      </c>
      <c r="O18" s="194"/>
      <c r="P18" s="202">
        <v>13</v>
      </c>
      <c r="Q18" s="195">
        <f t="shared" si="5"/>
        <v>200486</v>
      </c>
      <c r="R18" s="200"/>
      <c r="S18" s="201">
        <f t="shared" si="11"/>
        <v>-200486</v>
      </c>
      <c r="T18" s="192"/>
      <c r="U18" s="195">
        <v>13</v>
      </c>
      <c r="V18" s="93">
        <f t="shared" si="7"/>
        <v>-940037</v>
      </c>
      <c r="W18" s="197">
        <f>'Maldives at LG Daily'!I17</f>
        <v>0</v>
      </c>
      <c r="X18" s="203"/>
    </row>
    <row r="19" spans="1:24" ht="15" customHeight="1" x14ac:dyDescent="0.2">
      <c r="A19" s="202">
        <v>14</v>
      </c>
      <c r="B19" s="195">
        <f t="shared" si="0"/>
        <v>0</v>
      </c>
      <c r="C19" s="200"/>
      <c r="D19" s="201">
        <f t="shared" si="8"/>
        <v>0</v>
      </c>
      <c r="E19" s="260"/>
      <c r="F19" s="202">
        <v>14</v>
      </c>
      <c r="G19" s="195">
        <f t="shared" si="1"/>
        <v>0</v>
      </c>
      <c r="H19" s="200"/>
      <c r="I19" s="201">
        <f t="shared" si="9"/>
        <v>0</v>
      </c>
      <c r="J19" s="260"/>
      <c r="K19" s="202">
        <v>14</v>
      </c>
      <c r="L19" s="195">
        <f t="shared" si="3"/>
        <v>0</v>
      </c>
      <c r="M19" s="200"/>
      <c r="N19" s="201">
        <f t="shared" si="10"/>
        <v>0</v>
      </c>
      <c r="O19" s="194"/>
      <c r="P19" s="202">
        <v>14</v>
      </c>
      <c r="Q19" s="195">
        <f t="shared" si="5"/>
        <v>0</v>
      </c>
      <c r="R19" s="200"/>
      <c r="S19" s="201">
        <f t="shared" si="11"/>
        <v>0</v>
      </c>
      <c r="T19" s="192"/>
      <c r="U19" s="202">
        <v>14</v>
      </c>
      <c r="V19" s="93">
        <f t="shared" si="7"/>
        <v>0</v>
      </c>
      <c r="W19" s="197">
        <f>'Maldives at LG Daily'!I18</f>
        <v>0</v>
      </c>
      <c r="X19" s="203"/>
    </row>
    <row r="20" spans="1:24" ht="15" customHeight="1" x14ac:dyDescent="0.2">
      <c r="A20" s="202">
        <v>15</v>
      </c>
      <c r="B20" s="195">
        <f t="shared" si="0"/>
        <v>0</v>
      </c>
      <c r="C20" s="200"/>
      <c r="D20" s="201">
        <f t="shared" si="8"/>
        <v>0</v>
      </c>
      <c r="E20" s="260"/>
      <c r="F20" s="202">
        <v>15</v>
      </c>
      <c r="G20" s="195">
        <f t="shared" si="1"/>
        <v>0</v>
      </c>
      <c r="H20" s="200"/>
      <c r="I20" s="201">
        <f t="shared" si="9"/>
        <v>0</v>
      </c>
      <c r="J20" s="260"/>
      <c r="K20" s="202">
        <v>15</v>
      </c>
      <c r="L20" s="195">
        <f t="shared" si="3"/>
        <v>0</v>
      </c>
      <c r="M20" s="200"/>
      <c r="N20" s="201">
        <f t="shared" si="10"/>
        <v>0</v>
      </c>
      <c r="O20" s="194"/>
      <c r="P20" s="202">
        <v>15</v>
      </c>
      <c r="Q20" s="195">
        <f t="shared" si="5"/>
        <v>0</v>
      </c>
      <c r="R20" s="200"/>
      <c r="S20" s="201">
        <f t="shared" si="11"/>
        <v>0</v>
      </c>
      <c r="T20" s="192"/>
      <c r="U20" s="195">
        <v>15</v>
      </c>
      <c r="V20" s="93">
        <f t="shared" si="7"/>
        <v>0</v>
      </c>
      <c r="W20" s="197">
        <f>'Maldives at LG Daily'!I19</f>
        <v>0</v>
      </c>
      <c r="X20" s="203"/>
    </row>
    <row r="21" spans="1:24" ht="15" customHeight="1" x14ac:dyDescent="0.2">
      <c r="A21" s="202">
        <v>16</v>
      </c>
      <c r="B21" s="195">
        <f t="shared" si="0"/>
        <v>0</v>
      </c>
      <c r="C21" s="200"/>
      <c r="D21" s="201">
        <f t="shared" si="8"/>
        <v>0</v>
      </c>
      <c r="E21" s="260"/>
      <c r="F21" s="202">
        <v>16</v>
      </c>
      <c r="G21" s="195">
        <f t="shared" si="1"/>
        <v>0</v>
      </c>
      <c r="H21" s="200"/>
      <c r="I21" s="201">
        <f t="shared" si="9"/>
        <v>0</v>
      </c>
      <c r="J21" s="260"/>
      <c r="K21" s="202">
        <v>16</v>
      </c>
      <c r="L21" s="195">
        <f t="shared" si="3"/>
        <v>0</v>
      </c>
      <c r="M21" s="200"/>
      <c r="N21" s="201">
        <f t="shared" si="10"/>
        <v>0</v>
      </c>
      <c r="O21" s="194"/>
      <c r="P21" s="202">
        <v>16</v>
      </c>
      <c r="Q21" s="195">
        <f t="shared" si="5"/>
        <v>0</v>
      </c>
      <c r="R21" s="200"/>
      <c r="S21" s="201">
        <f t="shared" si="11"/>
        <v>0</v>
      </c>
      <c r="T21" s="192"/>
      <c r="U21" s="195">
        <v>16</v>
      </c>
      <c r="V21" s="93">
        <f t="shared" si="7"/>
        <v>0</v>
      </c>
      <c r="W21" s="197">
        <f>'Maldives at LG Daily'!I20</f>
        <v>0</v>
      </c>
      <c r="X21" s="204"/>
    </row>
    <row r="22" spans="1:24" ht="15" customHeight="1" x14ac:dyDescent="0.2">
      <c r="A22" s="202">
        <v>17</v>
      </c>
      <c r="B22" s="195">
        <f t="shared" si="0"/>
        <v>0</v>
      </c>
      <c r="C22" s="200"/>
      <c r="D22" s="201">
        <f t="shared" si="8"/>
        <v>0</v>
      </c>
      <c r="E22" s="260"/>
      <c r="F22" s="202">
        <v>17</v>
      </c>
      <c r="G22" s="195">
        <f t="shared" si="1"/>
        <v>0</v>
      </c>
      <c r="H22" s="200"/>
      <c r="I22" s="201">
        <f t="shared" si="9"/>
        <v>0</v>
      </c>
      <c r="J22" s="260"/>
      <c r="K22" s="202">
        <v>17</v>
      </c>
      <c r="L22" s="195">
        <f t="shared" si="3"/>
        <v>0</v>
      </c>
      <c r="M22" s="200"/>
      <c r="N22" s="201">
        <f t="shared" si="10"/>
        <v>0</v>
      </c>
      <c r="O22" s="194"/>
      <c r="P22" s="202">
        <v>17</v>
      </c>
      <c r="Q22" s="195">
        <f t="shared" si="5"/>
        <v>0</v>
      </c>
      <c r="R22" s="200"/>
      <c r="S22" s="201">
        <f t="shared" si="11"/>
        <v>0</v>
      </c>
      <c r="T22" s="192"/>
      <c r="U22" s="202">
        <v>17</v>
      </c>
      <c r="V22" s="93">
        <f t="shared" si="7"/>
        <v>0</v>
      </c>
      <c r="W22" s="197">
        <f>'Maldives at LG Daily'!I21</f>
        <v>0</v>
      </c>
      <c r="X22" s="204"/>
    </row>
    <row r="23" spans="1:24" ht="15" customHeight="1" x14ac:dyDescent="0.2">
      <c r="A23" s="202">
        <v>18</v>
      </c>
      <c r="B23" s="195">
        <f t="shared" si="0"/>
        <v>0</v>
      </c>
      <c r="C23" s="200"/>
      <c r="D23" s="201">
        <f t="shared" si="8"/>
        <v>0</v>
      </c>
      <c r="E23" s="260"/>
      <c r="F23" s="202">
        <v>18</v>
      </c>
      <c r="G23" s="195">
        <f t="shared" si="1"/>
        <v>0</v>
      </c>
      <c r="H23" s="200"/>
      <c r="I23" s="201">
        <f t="shared" si="9"/>
        <v>0</v>
      </c>
      <c r="J23" s="260"/>
      <c r="K23" s="202">
        <v>18</v>
      </c>
      <c r="L23" s="195">
        <f t="shared" si="3"/>
        <v>0</v>
      </c>
      <c r="M23" s="200"/>
      <c r="N23" s="201">
        <f t="shared" si="10"/>
        <v>0</v>
      </c>
      <c r="O23" s="194"/>
      <c r="P23" s="202">
        <v>18</v>
      </c>
      <c r="Q23" s="195">
        <f t="shared" si="5"/>
        <v>0</v>
      </c>
      <c r="R23" s="200"/>
      <c r="S23" s="201">
        <f t="shared" si="11"/>
        <v>0</v>
      </c>
      <c r="T23" s="192"/>
      <c r="U23" s="195">
        <v>18</v>
      </c>
      <c r="V23" s="93">
        <f t="shared" si="7"/>
        <v>0</v>
      </c>
      <c r="W23" s="197">
        <f>'Maldives at LG Daily'!I22</f>
        <v>0</v>
      </c>
      <c r="X23" s="204"/>
    </row>
    <row r="24" spans="1:24" ht="15" customHeight="1" x14ac:dyDescent="0.2">
      <c r="A24" s="202">
        <v>19</v>
      </c>
      <c r="B24" s="195">
        <f t="shared" si="0"/>
        <v>0</v>
      </c>
      <c r="C24" s="200"/>
      <c r="D24" s="201">
        <f t="shared" si="8"/>
        <v>0</v>
      </c>
      <c r="E24" s="260"/>
      <c r="F24" s="202">
        <v>19</v>
      </c>
      <c r="G24" s="195">
        <f t="shared" si="1"/>
        <v>0</v>
      </c>
      <c r="H24" s="200"/>
      <c r="I24" s="201">
        <f t="shared" si="9"/>
        <v>0</v>
      </c>
      <c r="J24" s="260"/>
      <c r="K24" s="202">
        <v>19</v>
      </c>
      <c r="L24" s="195">
        <f t="shared" si="3"/>
        <v>0</v>
      </c>
      <c r="M24" s="200"/>
      <c r="N24" s="201">
        <f t="shared" si="10"/>
        <v>0</v>
      </c>
      <c r="O24" s="194"/>
      <c r="P24" s="202">
        <v>19</v>
      </c>
      <c r="Q24" s="195">
        <f t="shared" si="5"/>
        <v>0</v>
      </c>
      <c r="R24" s="200"/>
      <c r="S24" s="201">
        <f t="shared" si="11"/>
        <v>0</v>
      </c>
      <c r="T24" s="192"/>
      <c r="U24" s="195">
        <v>19</v>
      </c>
      <c r="V24" s="93">
        <f t="shared" si="7"/>
        <v>0</v>
      </c>
      <c r="W24" s="197">
        <f>'Maldives at LG Daily'!I23</f>
        <v>0</v>
      </c>
      <c r="X24" s="204"/>
    </row>
    <row r="25" spans="1:24" ht="15" customHeight="1" x14ac:dyDescent="0.2">
      <c r="A25" s="202">
        <v>20</v>
      </c>
      <c r="B25" s="195">
        <f t="shared" si="0"/>
        <v>0</v>
      </c>
      <c r="C25" s="200"/>
      <c r="D25" s="201">
        <f>C25-B25</f>
        <v>0</v>
      </c>
      <c r="E25" s="260"/>
      <c r="F25" s="202">
        <v>20</v>
      </c>
      <c r="G25" s="195">
        <f t="shared" si="1"/>
        <v>0</v>
      </c>
      <c r="H25" s="200"/>
      <c r="I25" s="201">
        <f>H25-G25</f>
        <v>0</v>
      </c>
      <c r="J25" s="260"/>
      <c r="K25" s="202">
        <v>20</v>
      </c>
      <c r="L25" s="195">
        <f t="shared" si="3"/>
        <v>0</v>
      </c>
      <c r="M25" s="200"/>
      <c r="N25" s="201">
        <f>M25-L25</f>
        <v>0</v>
      </c>
      <c r="O25" s="194"/>
      <c r="P25" s="202">
        <v>20</v>
      </c>
      <c r="Q25" s="195">
        <f t="shared" si="5"/>
        <v>0</v>
      </c>
      <c r="R25" s="200"/>
      <c r="S25" s="201">
        <f>R25-Q25</f>
        <v>0</v>
      </c>
      <c r="T25" s="192"/>
      <c r="U25" s="202">
        <v>20</v>
      </c>
      <c r="V25" s="93">
        <f t="shared" si="7"/>
        <v>0</v>
      </c>
      <c r="W25" s="197">
        <f>'Maldives at LG Daily'!I24</f>
        <v>0</v>
      </c>
      <c r="X25" s="204"/>
    </row>
    <row r="26" spans="1:24" ht="15" customHeight="1" x14ac:dyDescent="0.2">
      <c r="A26" s="202">
        <v>21</v>
      </c>
      <c r="B26" s="195">
        <f t="shared" si="0"/>
        <v>0</v>
      </c>
      <c r="C26" s="200"/>
      <c r="D26" s="201">
        <f t="shared" si="8"/>
        <v>0</v>
      </c>
      <c r="E26" s="260"/>
      <c r="F26" s="202">
        <v>21</v>
      </c>
      <c r="G26" s="195">
        <f t="shared" si="1"/>
        <v>0</v>
      </c>
      <c r="H26" s="200"/>
      <c r="I26" s="201">
        <f t="shared" ref="I26:I29" si="12">H26-G26</f>
        <v>0</v>
      </c>
      <c r="J26" s="260"/>
      <c r="K26" s="202">
        <v>21</v>
      </c>
      <c r="L26" s="195">
        <f t="shared" si="3"/>
        <v>0</v>
      </c>
      <c r="M26" s="200"/>
      <c r="N26" s="201">
        <f t="shared" ref="N26:N29" si="13">M26-L26</f>
        <v>0</v>
      </c>
      <c r="O26" s="194"/>
      <c r="P26" s="202">
        <v>21</v>
      </c>
      <c r="Q26" s="195">
        <f t="shared" si="5"/>
        <v>0</v>
      </c>
      <c r="R26" s="200"/>
      <c r="S26" s="201">
        <f t="shared" ref="S26:S29" si="14">R26-Q26</f>
        <v>0</v>
      </c>
      <c r="T26" s="192"/>
      <c r="U26" s="195">
        <v>21</v>
      </c>
      <c r="V26" s="93">
        <f t="shared" si="7"/>
        <v>0</v>
      </c>
      <c r="W26" s="197">
        <f>'Maldives at LG Daily'!I25</f>
        <v>0</v>
      </c>
      <c r="X26" s="204"/>
    </row>
    <row r="27" spans="1:24" ht="15" customHeight="1" x14ac:dyDescent="0.2">
      <c r="A27" s="202">
        <v>22</v>
      </c>
      <c r="B27" s="195">
        <f t="shared" si="0"/>
        <v>0</v>
      </c>
      <c r="C27" s="200"/>
      <c r="D27" s="201">
        <f t="shared" si="8"/>
        <v>0</v>
      </c>
      <c r="E27" s="260"/>
      <c r="F27" s="202">
        <v>22</v>
      </c>
      <c r="G27" s="195">
        <f t="shared" si="1"/>
        <v>0</v>
      </c>
      <c r="H27" s="200"/>
      <c r="I27" s="201">
        <f t="shared" si="12"/>
        <v>0</v>
      </c>
      <c r="J27" s="260"/>
      <c r="K27" s="202">
        <v>22</v>
      </c>
      <c r="L27" s="195">
        <f t="shared" si="3"/>
        <v>0</v>
      </c>
      <c r="M27" s="200"/>
      <c r="N27" s="201">
        <f t="shared" si="13"/>
        <v>0</v>
      </c>
      <c r="O27" s="194"/>
      <c r="P27" s="202">
        <v>22</v>
      </c>
      <c r="Q27" s="195">
        <f t="shared" si="5"/>
        <v>0</v>
      </c>
      <c r="R27" s="200"/>
      <c r="S27" s="201">
        <f t="shared" si="14"/>
        <v>0</v>
      </c>
      <c r="T27" s="192"/>
      <c r="U27" s="195">
        <v>22</v>
      </c>
      <c r="V27" s="93">
        <f t="shared" si="7"/>
        <v>0</v>
      </c>
      <c r="W27" s="197">
        <f>'Maldives at LG Daily'!I26</f>
        <v>0</v>
      </c>
      <c r="X27" s="204"/>
    </row>
    <row r="28" spans="1:24" ht="15" customHeight="1" x14ac:dyDescent="0.2">
      <c r="A28" s="202">
        <v>23</v>
      </c>
      <c r="B28" s="195">
        <f t="shared" si="0"/>
        <v>0</v>
      </c>
      <c r="C28" s="200"/>
      <c r="D28" s="201">
        <f t="shared" si="8"/>
        <v>0</v>
      </c>
      <c r="E28" s="260"/>
      <c r="F28" s="202">
        <v>23</v>
      </c>
      <c r="G28" s="195">
        <f t="shared" si="1"/>
        <v>0</v>
      </c>
      <c r="H28" s="200"/>
      <c r="I28" s="201">
        <f t="shared" si="12"/>
        <v>0</v>
      </c>
      <c r="J28" s="260"/>
      <c r="K28" s="202">
        <v>23</v>
      </c>
      <c r="L28" s="195">
        <f t="shared" si="3"/>
        <v>0</v>
      </c>
      <c r="M28" s="200"/>
      <c r="N28" s="201">
        <f t="shared" si="13"/>
        <v>0</v>
      </c>
      <c r="O28" s="194"/>
      <c r="P28" s="202">
        <v>23</v>
      </c>
      <c r="Q28" s="195">
        <f t="shared" si="5"/>
        <v>0</v>
      </c>
      <c r="R28" s="200"/>
      <c r="S28" s="201">
        <f t="shared" si="14"/>
        <v>0</v>
      </c>
      <c r="T28" s="192"/>
      <c r="U28" s="202">
        <v>23</v>
      </c>
      <c r="V28" s="93">
        <f t="shared" si="7"/>
        <v>0</v>
      </c>
      <c r="W28" s="197">
        <f>'Maldives at LG Daily'!I27</f>
        <v>0</v>
      </c>
      <c r="X28" s="204"/>
    </row>
    <row r="29" spans="1:24" ht="15" customHeight="1" x14ac:dyDescent="0.2">
      <c r="A29" s="202">
        <v>24</v>
      </c>
      <c r="B29" s="195">
        <f t="shared" si="0"/>
        <v>0</v>
      </c>
      <c r="C29" s="200"/>
      <c r="D29" s="201">
        <f t="shared" si="8"/>
        <v>0</v>
      </c>
      <c r="E29" s="260"/>
      <c r="F29" s="202">
        <v>24</v>
      </c>
      <c r="G29" s="195">
        <f t="shared" si="1"/>
        <v>0</v>
      </c>
      <c r="H29" s="200"/>
      <c r="I29" s="201">
        <f t="shared" si="12"/>
        <v>0</v>
      </c>
      <c r="J29" s="260"/>
      <c r="K29" s="202">
        <v>24</v>
      </c>
      <c r="L29" s="195">
        <f t="shared" si="3"/>
        <v>0</v>
      </c>
      <c r="M29" s="200"/>
      <c r="N29" s="201">
        <f t="shared" si="13"/>
        <v>0</v>
      </c>
      <c r="O29" s="194"/>
      <c r="P29" s="202">
        <v>24</v>
      </c>
      <c r="Q29" s="195">
        <f t="shared" si="5"/>
        <v>0</v>
      </c>
      <c r="R29" s="200"/>
      <c r="S29" s="201">
        <f t="shared" si="14"/>
        <v>0</v>
      </c>
      <c r="T29" s="192"/>
      <c r="U29" s="195">
        <v>24</v>
      </c>
      <c r="V29" s="93">
        <f t="shared" si="7"/>
        <v>0</v>
      </c>
      <c r="W29" s="197">
        <f>'Maldives at LG Daily'!I28</f>
        <v>0</v>
      </c>
      <c r="X29" s="204"/>
    </row>
    <row r="30" spans="1:24" ht="15" customHeight="1" x14ac:dyDescent="0.2">
      <c r="A30" s="202">
        <v>25</v>
      </c>
      <c r="B30" s="195">
        <f t="shared" si="0"/>
        <v>0</v>
      </c>
      <c r="C30" s="205"/>
      <c r="D30" s="201">
        <f>C30-B30</f>
        <v>0</v>
      </c>
      <c r="E30" s="260"/>
      <c r="F30" s="202">
        <v>25</v>
      </c>
      <c r="G30" s="195">
        <f t="shared" si="1"/>
        <v>0</v>
      </c>
      <c r="H30" s="205"/>
      <c r="I30" s="201">
        <f>H30-G30</f>
        <v>0</v>
      </c>
      <c r="J30" s="260"/>
      <c r="K30" s="202">
        <v>25</v>
      </c>
      <c r="L30" s="195">
        <f t="shared" si="3"/>
        <v>0</v>
      </c>
      <c r="M30" s="205"/>
      <c r="N30" s="201">
        <f>M30-L30</f>
        <v>0</v>
      </c>
      <c r="O30" s="194"/>
      <c r="P30" s="202">
        <v>25</v>
      </c>
      <c r="Q30" s="195">
        <f t="shared" si="5"/>
        <v>0</v>
      </c>
      <c r="R30" s="205"/>
      <c r="S30" s="201">
        <f>R30-Q30</f>
        <v>0</v>
      </c>
      <c r="T30" s="192"/>
      <c r="U30" s="195">
        <v>25</v>
      </c>
      <c r="V30" s="93">
        <f t="shared" si="7"/>
        <v>0</v>
      </c>
      <c r="W30" s="197">
        <f>'Maldives at LG Daily'!I29</f>
        <v>0</v>
      </c>
      <c r="X30" s="204"/>
    </row>
    <row r="31" spans="1:24" s="212" customFormat="1" ht="15" customHeight="1" x14ac:dyDescent="0.2">
      <c r="A31" s="202">
        <v>26</v>
      </c>
      <c r="B31" s="262">
        <f t="shared" si="0"/>
        <v>0</v>
      </c>
      <c r="C31" s="200"/>
      <c r="D31" s="263">
        <f t="shared" si="8"/>
        <v>0</v>
      </c>
      <c r="E31" s="264"/>
      <c r="F31" s="202">
        <v>26</v>
      </c>
      <c r="G31" s="262">
        <f t="shared" si="1"/>
        <v>0</v>
      </c>
      <c r="H31" s="200"/>
      <c r="I31" s="263">
        <f t="shared" ref="I31:I33" si="15">H31-G31</f>
        <v>0</v>
      </c>
      <c r="J31" s="264"/>
      <c r="K31" s="202">
        <v>26</v>
      </c>
      <c r="L31" s="262">
        <f t="shared" si="3"/>
        <v>0</v>
      </c>
      <c r="M31" s="200"/>
      <c r="N31" s="263">
        <f t="shared" ref="N31:N33" si="16">M31-L31</f>
        <v>0</v>
      </c>
      <c r="O31" s="265"/>
      <c r="P31" s="202">
        <v>26</v>
      </c>
      <c r="Q31" s="262">
        <f t="shared" si="5"/>
        <v>0</v>
      </c>
      <c r="R31" s="200"/>
      <c r="S31" s="263">
        <f t="shared" ref="S31:S33" si="17">R31-Q31</f>
        <v>0</v>
      </c>
      <c r="T31" s="266"/>
      <c r="U31" s="202">
        <v>26</v>
      </c>
      <c r="V31" s="267">
        <f t="shared" si="7"/>
        <v>0</v>
      </c>
      <c r="W31" s="197">
        <f>'Maldives at LG Daily'!I30</f>
        <v>0</v>
      </c>
      <c r="X31" s="268"/>
    </row>
    <row r="32" spans="1:24" ht="15" customHeight="1" x14ac:dyDescent="0.2">
      <c r="A32" s="202">
        <v>27</v>
      </c>
      <c r="B32" s="195">
        <f t="shared" si="0"/>
        <v>0</v>
      </c>
      <c r="C32" s="200"/>
      <c r="D32" s="201">
        <f t="shared" si="8"/>
        <v>0</v>
      </c>
      <c r="E32" s="260"/>
      <c r="F32" s="202">
        <v>27</v>
      </c>
      <c r="G32" s="195">
        <f t="shared" si="1"/>
        <v>0</v>
      </c>
      <c r="H32" s="200"/>
      <c r="I32" s="201">
        <f t="shared" si="15"/>
        <v>0</v>
      </c>
      <c r="J32" s="260"/>
      <c r="K32" s="202">
        <v>27</v>
      </c>
      <c r="L32" s="195">
        <f t="shared" si="3"/>
        <v>0</v>
      </c>
      <c r="M32" s="200"/>
      <c r="N32" s="201">
        <f t="shared" si="16"/>
        <v>0</v>
      </c>
      <c r="O32" s="194"/>
      <c r="P32" s="202">
        <v>27</v>
      </c>
      <c r="Q32" s="195">
        <f t="shared" si="5"/>
        <v>0</v>
      </c>
      <c r="R32" s="200"/>
      <c r="S32" s="201">
        <f t="shared" si="17"/>
        <v>0</v>
      </c>
      <c r="T32" s="192"/>
      <c r="U32" s="195">
        <v>27</v>
      </c>
      <c r="V32" s="93">
        <f t="shared" si="7"/>
        <v>0</v>
      </c>
      <c r="W32" s="197">
        <f>'Maldives at LG Daily'!I31</f>
        <v>0</v>
      </c>
      <c r="X32" s="204"/>
    </row>
    <row r="33" spans="1:26" ht="15" customHeight="1" x14ac:dyDescent="0.2">
      <c r="A33" s="202">
        <v>28</v>
      </c>
      <c r="B33" s="195">
        <f t="shared" si="0"/>
        <v>0</v>
      </c>
      <c r="C33" s="200"/>
      <c r="D33" s="201">
        <f t="shared" si="8"/>
        <v>0</v>
      </c>
      <c r="E33" s="260"/>
      <c r="F33" s="202">
        <v>28</v>
      </c>
      <c r="G33" s="195">
        <f t="shared" si="1"/>
        <v>0</v>
      </c>
      <c r="H33" s="200"/>
      <c r="I33" s="201">
        <f t="shared" si="15"/>
        <v>0</v>
      </c>
      <c r="J33" s="260"/>
      <c r="K33" s="202">
        <v>28</v>
      </c>
      <c r="L33" s="195">
        <f t="shared" si="3"/>
        <v>0</v>
      </c>
      <c r="M33" s="200"/>
      <c r="N33" s="201">
        <f t="shared" si="16"/>
        <v>0</v>
      </c>
      <c r="O33" s="194"/>
      <c r="P33" s="202">
        <v>28</v>
      </c>
      <c r="Q33" s="195">
        <f t="shared" si="5"/>
        <v>0</v>
      </c>
      <c r="R33" s="200"/>
      <c r="S33" s="201">
        <f t="shared" si="17"/>
        <v>0</v>
      </c>
      <c r="T33" s="192"/>
      <c r="U33" s="195">
        <v>28</v>
      </c>
      <c r="V33" s="93">
        <f t="shared" si="7"/>
        <v>0</v>
      </c>
      <c r="W33" s="197">
        <f>'Maldives at LG Daily'!I32</f>
        <v>0</v>
      </c>
      <c r="X33" s="204"/>
    </row>
    <row r="34" spans="1:26" x14ac:dyDescent="0.2">
      <c r="A34" s="202">
        <v>29</v>
      </c>
      <c r="B34" s="195">
        <f t="shared" si="0"/>
        <v>0</v>
      </c>
      <c r="C34" s="200"/>
      <c r="D34" s="201">
        <f>C34-B34</f>
        <v>0</v>
      </c>
      <c r="E34" s="194"/>
      <c r="F34" s="202">
        <v>29</v>
      </c>
      <c r="G34" s="195">
        <f t="shared" si="1"/>
        <v>0</v>
      </c>
      <c r="H34" s="200"/>
      <c r="I34" s="201">
        <f>H34-G34</f>
        <v>0</v>
      </c>
      <c r="J34" s="194"/>
      <c r="K34" s="202">
        <v>29</v>
      </c>
      <c r="L34" s="195">
        <f t="shared" si="3"/>
        <v>0</v>
      </c>
      <c r="M34" s="200"/>
      <c r="N34" s="201">
        <f>M34-L34</f>
        <v>0</v>
      </c>
      <c r="O34" s="194"/>
      <c r="P34" s="202">
        <v>29</v>
      </c>
      <c r="Q34" s="195">
        <f t="shared" si="5"/>
        <v>0</v>
      </c>
      <c r="R34" s="200"/>
      <c r="S34" s="201">
        <f>R34-Q34</f>
        <v>0</v>
      </c>
      <c r="T34" s="192"/>
      <c r="U34" s="202">
        <v>29</v>
      </c>
      <c r="V34" s="93">
        <f t="shared" si="7"/>
        <v>0</v>
      </c>
      <c r="W34" s="197">
        <f>'Maldives at LG Daily'!I33</f>
        <v>0</v>
      </c>
      <c r="X34" s="204"/>
      <c r="Z34" s="206">
        <f>SUM(W23:W32)</f>
        <v>0</v>
      </c>
    </row>
    <row r="35" spans="1:26" x14ac:dyDescent="0.2">
      <c r="A35" s="202">
        <v>30</v>
      </c>
      <c r="B35" s="195">
        <f>C34</f>
        <v>0</v>
      </c>
      <c r="C35" s="200"/>
      <c r="D35" s="201">
        <f>C35-B35</f>
        <v>0</v>
      </c>
      <c r="E35" s="194"/>
      <c r="F35" s="202">
        <v>30</v>
      </c>
      <c r="G35" s="195">
        <f>H34</f>
        <v>0</v>
      </c>
      <c r="H35" s="200"/>
      <c r="I35" s="201">
        <f>H35-G35</f>
        <v>0</v>
      </c>
      <c r="J35" s="194"/>
      <c r="K35" s="202">
        <v>30</v>
      </c>
      <c r="L35" s="195">
        <f>M34</f>
        <v>0</v>
      </c>
      <c r="M35" s="200"/>
      <c r="N35" s="201">
        <f>M35-L35</f>
        <v>0</v>
      </c>
      <c r="O35" s="194"/>
      <c r="P35" s="202">
        <v>30</v>
      </c>
      <c r="Q35" s="195">
        <f>R34</f>
        <v>0</v>
      </c>
      <c r="R35" s="200"/>
      <c r="S35" s="201">
        <f>R35-Q35</f>
        <v>0</v>
      </c>
      <c r="T35" s="192"/>
      <c r="U35" s="195">
        <v>30</v>
      </c>
      <c r="V35" s="93">
        <f t="shared" si="7"/>
        <v>0</v>
      </c>
      <c r="W35" s="197">
        <f>'Maldives at LG Daily'!I34</f>
        <v>0</v>
      </c>
      <c r="X35" s="204"/>
      <c r="Z35" s="179">
        <f>Z34/11</f>
        <v>0</v>
      </c>
    </row>
    <row r="36" spans="1:26" x14ac:dyDescent="0.2">
      <c r="A36" s="202">
        <v>31</v>
      </c>
      <c r="B36" s="195">
        <f>C35</f>
        <v>0</v>
      </c>
      <c r="C36" s="200"/>
      <c r="D36" s="201">
        <f>C36-B36</f>
        <v>0</v>
      </c>
      <c r="E36" s="194"/>
      <c r="F36" s="202">
        <v>31</v>
      </c>
      <c r="G36" s="195">
        <f>H35</f>
        <v>0</v>
      </c>
      <c r="H36" s="200"/>
      <c r="I36" s="201">
        <f>H36-G36</f>
        <v>0</v>
      </c>
      <c r="J36" s="194"/>
      <c r="K36" s="202">
        <v>31</v>
      </c>
      <c r="L36" s="195">
        <f>M35</f>
        <v>0</v>
      </c>
      <c r="M36" s="200"/>
      <c r="N36" s="201">
        <f>M36-L36</f>
        <v>0</v>
      </c>
      <c r="O36" s="194"/>
      <c r="P36" s="202">
        <v>31</v>
      </c>
      <c r="Q36" s="195">
        <f>R35</f>
        <v>0</v>
      </c>
      <c r="R36" s="200"/>
      <c r="S36" s="201">
        <f>R36-Q36</f>
        <v>0</v>
      </c>
      <c r="T36" s="207"/>
      <c r="U36" s="195">
        <v>31</v>
      </c>
      <c r="V36" s="93">
        <f t="shared" si="7"/>
        <v>0</v>
      </c>
      <c r="W36" s="197">
        <f>'Maldives at LG Daily'!I35</f>
        <v>0</v>
      </c>
      <c r="X36" s="204"/>
    </row>
    <row r="37" spans="1:26" ht="13.5" thickBot="1" x14ac:dyDescent="0.25">
      <c r="A37" s="208" t="s">
        <v>7</v>
      </c>
      <c r="D37" s="209">
        <f>SUM(D6:D36)</f>
        <v>-3311</v>
      </c>
      <c r="E37" s="210"/>
      <c r="F37" s="208" t="s">
        <v>7</v>
      </c>
      <c r="I37" s="209">
        <f>SUM(I6:I36)</f>
        <v>-3085</v>
      </c>
      <c r="J37" s="210"/>
      <c r="K37" s="208" t="s">
        <v>7</v>
      </c>
      <c r="N37" s="209">
        <f>SUM(N6:N36)</f>
        <v>-728932</v>
      </c>
      <c r="O37" s="210"/>
      <c r="P37" s="208" t="s">
        <v>7</v>
      </c>
      <c r="S37" s="209">
        <f>SUM(S6:S36)</f>
        <v>-199576</v>
      </c>
      <c r="T37" s="210"/>
      <c r="W37" s="261">
        <f>SUM(W6:W36)</f>
        <v>754</v>
      </c>
    </row>
    <row r="38" spans="1:26" ht="13.5" thickTop="1" x14ac:dyDescent="0.2">
      <c r="W38" s="212">
        <f>W37/31</f>
        <v>24.322580645161292</v>
      </c>
    </row>
  </sheetData>
  <mergeCells count="7">
    <mergeCell ref="A1:X2"/>
    <mergeCell ref="A3:B3"/>
    <mergeCell ref="A4:D4"/>
    <mergeCell ref="F4:I4"/>
    <mergeCell ref="K4:N4"/>
    <mergeCell ref="P4:S4"/>
    <mergeCell ref="U4:X4"/>
  </mergeCells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90" zoomScaleNormal="90" workbookViewId="0">
      <selection activeCell="E15" sqref="E15"/>
    </sheetView>
  </sheetViews>
  <sheetFormatPr defaultColWidth="9.140625" defaultRowHeight="12.75" x14ac:dyDescent="0.2"/>
  <cols>
    <col min="1" max="1" width="7" style="233" customWidth="1"/>
    <col min="2" max="2" width="17.7109375" style="208" customWidth="1"/>
    <col min="3" max="3" width="15.7109375" style="208" customWidth="1"/>
    <col min="4" max="5" width="16.140625" style="208" customWidth="1"/>
    <col min="6" max="6" width="16.140625" style="234" customWidth="1"/>
    <col min="7" max="7" width="14.5703125" style="234" customWidth="1"/>
    <col min="8" max="8" width="13" style="179" customWidth="1"/>
    <col min="9" max="16384" width="9.140625" style="179"/>
  </cols>
  <sheetData>
    <row r="1" spans="1:20" s="180" customFormat="1" x14ac:dyDescent="0.2">
      <c r="A1" s="318"/>
      <c r="B1" s="318"/>
      <c r="C1" s="214"/>
      <c r="D1" s="214"/>
      <c r="E1" s="214"/>
      <c r="F1" s="215"/>
      <c r="G1" s="215"/>
    </row>
    <row r="2" spans="1:20" ht="24.75" customHeight="1" x14ac:dyDescent="0.2">
      <c r="A2" s="319" t="s">
        <v>36</v>
      </c>
      <c r="B2" s="319"/>
      <c r="C2" s="319"/>
      <c r="D2" s="319"/>
      <c r="E2" s="319"/>
      <c r="F2" s="319"/>
      <c r="G2" s="319"/>
      <c r="H2" s="319"/>
    </row>
    <row r="3" spans="1:20" ht="26.25" customHeight="1" x14ac:dyDescent="0.2">
      <c r="A3" s="216" t="s">
        <v>133</v>
      </c>
      <c r="B3" s="217">
        <v>44287</v>
      </c>
      <c r="C3" s="218"/>
      <c r="D3" s="216"/>
      <c r="E3" s="216"/>
      <c r="F3" s="216"/>
      <c r="G3" s="219"/>
      <c r="H3" s="220"/>
    </row>
    <row r="4" spans="1:20" ht="42" customHeight="1" x14ac:dyDescent="0.2">
      <c r="A4" s="221" t="s">
        <v>5</v>
      </c>
      <c r="B4" s="222" t="s">
        <v>134</v>
      </c>
      <c r="C4" s="222" t="s">
        <v>135</v>
      </c>
      <c r="D4" s="222" t="s">
        <v>136</v>
      </c>
      <c r="E4" s="222" t="s">
        <v>137</v>
      </c>
      <c r="F4" s="223" t="s">
        <v>7</v>
      </c>
      <c r="G4" s="224" t="s">
        <v>37</v>
      </c>
      <c r="H4" s="224" t="s">
        <v>138</v>
      </c>
    </row>
    <row r="5" spans="1:20" ht="24" customHeight="1" x14ac:dyDescent="0.2">
      <c r="A5" s="320">
        <v>44286</v>
      </c>
      <c r="B5" s="321"/>
      <c r="C5" s="321"/>
      <c r="D5" s="321"/>
      <c r="E5" s="321"/>
      <c r="F5" s="322"/>
      <c r="G5" s="225"/>
      <c r="H5" s="225"/>
    </row>
    <row r="6" spans="1:20" ht="21.75" customHeight="1" x14ac:dyDescent="0.2">
      <c r="A6" s="226">
        <v>1</v>
      </c>
      <c r="B6" s="202">
        <v>2</v>
      </c>
      <c r="C6" s="202">
        <v>1</v>
      </c>
      <c r="D6" s="202">
        <v>2</v>
      </c>
      <c r="E6" s="142">
        <v>2</v>
      </c>
      <c r="F6" s="227">
        <f>SUM(B6:E6)</f>
        <v>7</v>
      </c>
      <c r="G6" s="228">
        <f>F6*45</f>
        <v>315</v>
      </c>
      <c r="H6" s="229">
        <f>WATER!W6/31</f>
        <v>2.6774193548387095</v>
      </c>
    </row>
    <row r="7" spans="1:20" ht="21.75" customHeight="1" x14ac:dyDescent="0.2">
      <c r="A7" s="226">
        <v>2</v>
      </c>
      <c r="B7" s="202">
        <v>2</v>
      </c>
      <c r="C7" s="199">
        <v>1</v>
      </c>
      <c r="D7" s="202">
        <v>1</v>
      </c>
      <c r="E7" s="142">
        <v>3</v>
      </c>
      <c r="F7" s="227">
        <f t="shared" ref="F7:F36" si="0">SUM(B7:E7)</f>
        <v>7</v>
      </c>
      <c r="G7" s="228">
        <f t="shared" ref="G7:G36" si="1">F7*45</f>
        <v>315</v>
      </c>
      <c r="H7" s="229">
        <f>WATER!W7</f>
        <v>78</v>
      </c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</row>
    <row r="8" spans="1:20" ht="21.75" customHeight="1" x14ac:dyDescent="0.2">
      <c r="A8" s="226">
        <v>3</v>
      </c>
      <c r="B8" s="202">
        <v>2</v>
      </c>
      <c r="C8" s="199">
        <v>0</v>
      </c>
      <c r="D8" s="202">
        <v>1</v>
      </c>
      <c r="E8" s="142">
        <v>2</v>
      </c>
      <c r="F8" s="227">
        <f t="shared" si="0"/>
        <v>5</v>
      </c>
      <c r="G8" s="228">
        <f t="shared" si="1"/>
        <v>225</v>
      </c>
      <c r="H8" s="229">
        <f>WATER!W8</f>
        <v>78</v>
      </c>
    </row>
    <row r="9" spans="1:20" ht="21.75" customHeight="1" x14ac:dyDescent="0.2">
      <c r="A9" s="226">
        <v>4</v>
      </c>
      <c r="B9" s="202">
        <v>2</v>
      </c>
      <c r="C9" s="199">
        <v>1</v>
      </c>
      <c r="D9" s="202">
        <v>1</v>
      </c>
      <c r="E9" s="142">
        <v>3</v>
      </c>
      <c r="F9" s="227">
        <f t="shared" si="0"/>
        <v>7</v>
      </c>
      <c r="G9" s="228">
        <f t="shared" si="1"/>
        <v>315</v>
      </c>
      <c r="H9" s="229">
        <f>WATER!W9</f>
        <v>72</v>
      </c>
    </row>
    <row r="10" spans="1:20" ht="21.75" customHeight="1" x14ac:dyDescent="0.2">
      <c r="A10" s="226">
        <v>5</v>
      </c>
      <c r="B10" s="202">
        <v>1</v>
      </c>
      <c r="C10" s="199">
        <v>1</v>
      </c>
      <c r="D10" s="202">
        <v>1</v>
      </c>
      <c r="E10" s="142">
        <v>3</v>
      </c>
      <c r="F10" s="227">
        <f t="shared" si="0"/>
        <v>6</v>
      </c>
      <c r="G10" s="228">
        <f t="shared" si="1"/>
        <v>270</v>
      </c>
      <c r="H10" s="229">
        <f>WATER!W10</f>
        <v>73</v>
      </c>
    </row>
    <row r="11" spans="1:20" ht="21.75" customHeight="1" x14ac:dyDescent="0.2">
      <c r="A11" s="226">
        <v>6</v>
      </c>
      <c r="B11" s="202">
        <v>2</v>
      </c>
      <c r="C11" s="199">
        <v>0</v>
      </c>
      <c r="D11" s="202">
        <v>1</v>
      </c>
      <c r="E11" s="142">
        <v>3</v>
      </c>
      <c r="F11" s="227">
        <f t="shared" si="0"/>
        <v>6</v>
      </c>
      <c r="G11" s="228">
        <f t="shared" si="1"/>
        <v>270</v>
      </c>
      <c r="H11" s="229">
        <f>WATER!W11</f>
        <v>73</v>
      </c>
    </row>
    <row r="12" spans="1:20" ht="21.75" customHeight="1" x14ac:dyDescent="0.2">
      <c r="A12" s="226">
        <v>7</v>
      </c>
      <c r="B12" s="202">
        <v>2</v>
      </c>
      <c r="C12" s="199">
        <v>2</v>
      </c>
      <c r="D12" s="202">
        <v>1</v>
      </c>
      <c r="E12" s="142">
        <v>2</v>
      </c>
      <c r="F12" s="227">
        <f t="shared" si="0"/>
        <v>7</v>
      </c>
      <c r="G12" s="228">
        <f t="shared" si="1"/>
        <v>315</v>
      </c>
      <c r="H12" s="229">
        <f>WATER!W12</f>
        <v>71</v>
      </c>
    </row>
    <row r="13" spans="1:20" ht="21.75" customHeight="1" x14ac:dyDescent="0.2">
      <c r="A13" s="226">
        <v>8</v>
      </c>
      <c r="B13" s="202">
        <v>2</v>
      </c>
      <c r="C13" s="199">
        <v>0</v>
      </c>
      <c r="D13" s="202">
        <v>1</v>
      </c>
      <c r="E13" s="142">
        <v>5</v>
      </c>
      <c r="F13" s="227">
        <f t="shared" si="0"/>
        <v>8</v>
      </c>
      <c r="G13" s="228">
        <f t="shared" si="1"/>
        <v>360</v>
      </c>
      <c r="H13" s="229">
        <f>WATER!W13</f>
        <v>65</v>
      </c>
    </row>
    <row r="14" spans="1:20" ht="21.75" customHeight="1" x14ac:dyDescent="0.2">
      <c r="A14" s="226">
        <v>9</v>
      </c>
      <c r="B14" s="202">
        <v>2</v>
      </c>
      <c r="C14" s="199">
        <v>1</v>
      </c>
      <c r="D14" s="202">
        <v>1</v>
      </c>
      <c r="E14" s="142">
        <v>2</v>
      </c>
      <c r="F14" s="227">
        <f t="shared" si="0"/>
        <v>6</v>
      </c>
      <c r="G14" s="228">
        <f t="shared" si="1"/>
        <v>270</v>
      </c>
      <c r="H14" s="229">
        <f>WATER!W14</f>
        <v>57</v>
      </c>
    </row>
    <row r="15" spans="1:20" ht="21.75" customHeight="1" x14ac:dyDescent="0.2">
      <c r="A15" s="226">
        <v>10</v>
      </c>
      <c r="B15" s="202">
        <v>2</v>
      </c>
      <c r="C15" s="199">
        <v>0</v>
      </c>
      <c r="D15" s="202">
        <v>1</v>
      </c>
      <c r="E15" s="142"/>
      <c r="F15" s="227">
        <f t="shared" si="0"/>
        <v>3</v>
      </c>
      <c r="G15" s="228">
        <f t="shared" si="1"/>
        <v>135</v>
      </c>
      <c r="H15" s="229">
        <f>WATER!W15</f>
        <v>56</v>
      </c>
    </row>
    <row r="16" spans="1:20" ht="21.75" customHeight="1" x14ac:dyDescent="0.2">
      <c r="A16" s="226">
        <v>11</v>
      </c>
      <c r="B16" s="202">
        <v>2</v>
      </c>
      <c r="C16" s="199">
        <v>2</v>
      </c>
      <c r="D16" s="202">
        <v>1</v>
      </c>
      <c r="E16" s="142"/>
      <c r="F16" s="227">
        <f t="shared" si="0"/>
        <v>5</v>
      </c>
      <c r="G16" s="228">
        <f t="shared" si="1"/>
        <v>225</v>
      </c>
      <c r="H16" s="229">
        <f>WATER!W16</f>
        <v>48</v>
      </c>
    </row>
    <row r="17" spans="1:8" ht="21.75" customHeight="1" x14ac:dyDescent="0.2">
      <c r="A17" s="226">
        <v>12</v>
      </c>
      <c r="B17" s="202"/>
      <c r="C17" s="199"/>
      <c r="D17" s="202"/>
      <c r="E17" s="142"/>
      <c r="F17" s="227">
        <f t="shared" si="0"/>
        <v>0</v>
      </c>
      <c r="G17" s="228">
        <f t="shared" si="1"/>
        <v>0</v>
      </c>
      <c r="H17" s="229">
        <f>WATER!W17</f>
        <v>0</v>
      </c>
    </row>
    <row r="18" spans="1:8" ht="21.75" customHeight="1" x14ac:dyDescent="0.2">
      <c r="A18" s="226">
        <v>13</v>
      </c>
      <c r="B18" s="202"/>
      <c r="C18" s="202"/>
      <c r="D18" s="199"/>
      <c r="E18" s="142"/>
      <c r="F18" s="227">
        <f t="shared" si="0"/>
        <v>0</v>
      </c>
      <c r="G18" s="228">
        <f t="shared" si="1"/>
        <v>0</v>
      </c>
      <c r="H18" s="229">
        <f>WATER!W18</f>
        <v>0</v>
      </c>
    </row>
    <row r="19" spans="1:8" ht="21.75" customHeight="1" x14ac:dyDescent="0.2">
      <c r="A19" s="226">
        <v>14</v>
      </c>
      <c r="B19" s="199"/>
      <c r="C19" s="199"/>
      <c r="D19" s="199"/>
      <c r="E19" s="142"/>
      <c r="F19" s="227">
        <f t="shared" si="0"/>
        <v>0</v>
      </c>
      <c r="G19" s="228">
        <f t="shared" si="1"/>
        <v>0</v>
      </c>
      <c r="H19" s="229">
        <f>WATER!W19</f>
        <v>0</v>
      </c>
    </row>
    <row r="20" spans="1:8" ht="21.75" customHeight="1" x14ac:dyDescent="0.2">
      <c r="A20" s="226">
        <v>15</v>
      </c>
      <c r="B20" s="199"/>
      <c r="C20" s="199"/>
      <c r="D20" s="199"/>
      <c r="E20" s="142"/>
      <c r="F20" s="227">
        <f t="shared" si="0"/>
        <v>0</v>
      </c>
      <c r="G20" s="228">
        <f t="shared" si="1"/>
        <v>0</v>
      </c>
      <c r="H20" s="229">
        <f>WATER!W20</f>
        <v>0</v>
      </c>
    </row>
    <row r="21" spans="1:8" ht="21.75" customHeight="1" x14ac:dyDescent="0.2">
      <c r="A21" s="226">
        <v>16</v>
      </c>
      <c r="B21" s="199"/>
      <c r="C21" s="202"/>
      <c r="D21" s="199"/>
      <c r="E21" s="142"/>
      <c r="F21" s="227">
        <f t="shared" si="0"/>
        <v>0</v>
      </c>
      <c r="G21" s="228">
        <f t="shared" si="1"/>
        <v>0</v>
      </c>
      <c r="H21" s="229">
        <f>WATER!W21</f>
        <v>0</v>
      </c>
    </row>
    <row r="22" spans="1:8" ht="21.75" customHeight="1" x14ac:dyDescent="0.2">
      <c r="A22" s="226">
        <v>17</v>
      </c>
      <c r="B22" s="199"/>
      <c r="C22" s="199"/>
      <c r="D22" s="199"/>
      <c r="E22" s="142"/>
      <c r="F22" s="227">
        <f t="shared" si="0"/>
        <v>0</v>
      </c>
      <c r="G22" s="228">
        <f t="shared" si="1"/>
        <v>0</v>
      </c>
      <c r="H22" s="229">
        <f>WATER!W22</f>
        <v>0</v>
      </c>
    </row>
    <row r="23" spans="1:8" ht="21.75" customHeight="1" x14ac:dyDescent="0.2">
      <c r="A23" s="226">
        <v>18</v>
      </c>
      <c r="B23" s="199"/>
      <c r="C23" s="199"/>
      <c r="D23" s="199"/>
      <c r="E23" s="142"/>
      <c r="F23" s="227">
        <f t="shared" si="0"/>
        <v>0</v>
      </c>
      <c r="G23" s="228">
        <f t="shared" si="1"/>
        <v>0</v>
      </c>
      <c r="H23" s="229">
        <f>WATER!W23</f>
        <v>0</v>
      </c>
    </row>
    <row r="24" spans="1:8" ht="21.75" customHeight="1" x14ac:dyDescent="0.2">
      <c r="A24" s="226">
        <v>19</v>
      </c>
      <c r="B24" s="199"/>
      <c r="C24" s="202"/>
      <c r="D24" s="199"/>
      <c r="E24" s="142"/>
      <c r="F24" s="227">
        <f t="shared" si="0"/>
        <v>0</v>
      </c>
      <c r="G24" s="228">
        <f t="shared" si="1"/>
        <v>0</v>
      </c>
      <c r="H24" s="229">
        <f>WATER!W24</f>
        <v>0</v>
      </c>
    </row>
    <row r="25" spans="1:8" ht="21.75" customHeight="1" x14ac:dyDescent="0.2">
      <c r="A25" s="226">
        <v>20</v>
      </c>
      <c r="B25" s="199"/>
      <c r="C25" s="199"/>
      <c r="D25" s="199"/>
      <c r="E25" s="142"/>
      <c r="F25" s="227">
        <f t="shared" si="0"/>
        <v>0</v>
      </c>
      <c r="G25" s="228">
        <f t="shared" si="1"/>
        <v>0</v>
      </c>
      <c r="H25" s="229">
        <f>WATER!W25</f>
        <v>0</v>
      </c>
    </row>
    <row r="26" spans="1:8" ht="21.75" customHeight="1" x14ac:dyDescent="0.2">
      <c r="A26" s="226">
        <v>21</v>
      </c>
      <c r="B26" s="199"/>
      <c r="C26" s="199"/>
      <c r="D26" s="199"/>
      <c r="E26" s="142"/>
      <c r="F26" s="227">
        <f t="shared" si="0"/>
        <v>0</v>
      </c>
      <c r="G26" s="228">
        <f t="shared" si="1"/>
        <v>0</v>
      </c>
      <c r="H26" s="229">
        <f>WATER!W26</f>
        <v>0</v>
      </c>
    </row>
    <row r="27" spans="1:8" ht="21.75" customHeight="1" x14ac:dyDescent="0.2">
      <c r="A27" s="226">
        <v>22</v>
      </c>
      <c r="B27" s="199"/>
      <c r="C27" s="202"/>
      <c r="D27" s="199"/>
      <c r="E27" s="142"/>
      <c r="F27" s="227">
        <f t="shared" si="0"/>
        <v>0</v>
      </c>
      <c r="G27" s="228">
        <f t="shared" si="1"/>
        <v>0</v>
      </c>
      <c r="H27" s="229">
        <f>WATER!W27</f>
        <v>0</v>
      </c>
    </row>
    <row r="28" spans="1:8" ht="21.75" customHeight="1" x14ac:dyDescent="0.2">
      <c r="A28" s="226">
        <v>23</v>
      </c>
      <c r="B28" s="199"/>
      <c r="C28" s="199"/>
      <c r="D28" s="199"/>
      <c r="E28" s="142"/>
      <c r="F28" s="227">
        <f t="shared" si="0"/>
        <v>0</v>
      </c>
      <c r="G28" s="228">
        <f t="shared" si="1"/>
        <v>0</v>
      </c>
      <c r="H28" s="229">
        <f>WATER!W28</f>
        <v>0</v>
      </c>
    </row>
    <row r="29" spans="1:8" ht="21.75" customHeight="1" x14ac:dyDescent="0.2">
      <c r="A29" s="226">
        <v>24</v>
      </c>
      <c r="B29" s="199"/>
      <c r="C29" s="199"/>
      <c r="D29" s="199"/>
      <c r="E29" s="142"/>
      <c r="F29" s="227">
        <f t="shared" si="0"/>
        <v>0</v>
      </c>
      <c r="G29" s="228">
        <f t="shared" si="1"/>
        <v>0</v>
      </c>
      <c r="H29" s="229">
        <f>WATER!W29</f>
        <v>0</v>
      </c>
    </row>
    <row r="30" spans="1:8" ht="21.75" customHeight="1" x14ac:dyDescent="0.2">
      <c r="A30" s="226">
        <v>25</v>
      </c>
      <c r="B30" s="199"/>
      <c r="C30" s="202"/>
      <c r="D30" s="199"/>
      <c r="E30" s="142"/>
      <c r="F30" s="227">
        <f t="shared" si="0"/>
        <v>0</v>
      </c>
      <c r="G30" s="228">
        <f t="shared" si="1"/>
        <v>0</v>
      </c>
      <c r="H30" s="229">
        <f>WATER!W30</f>
        <v>0</v>
      </c>
    </row>
    <row r="31" spans="1:8" ht="21.75" customHeight="1" x14ac:dyDescent="0.2">
      <c r="A31" s="226">
        <v>26</v>
      </c>
      <c r="B31" s="199"/>
      <c r="C31" s="199"/>
      <c r="D31" s="199"/>
      <c r="E31" s="142"/>
      <c r="F31" s="227">
        <f t="shared" si="0"/>
        <v>0</v>
      </c>
      <c r="G31" s="228">
        <f t="shared" si="1"/>
        <v>0</v>
      </c>
      <c r="H31" s="229">
        <f>WATER!W31</f>
        <v>0</v>
      </c>
    </row>
    <row r="32" spans="1:8" ht="21.75" customHeight="1" x14ac:dyDescent="0.2">
      <c r="A32" s="226">
        <v>27</v>
      </c>
      <c r="B32" s="199"/>
      <c r="C32" s="199"/>
      <c r="D32" s="199"/>
      <c r="E32" s="142"/>
      <c r="F32" s="227">
        <f t="shared" si="0"/>
        <v>0</v>
      </c>
      <c r="G32" s="228">
        <f t="shared" si="1"/>
        <v>0</v>
      </c>
      <c r="H32" s="229">
        <f>WATER!W32</f>
        <v>0</v>
      </c>
    </row>
    <row r="33" spans="1:8" ht="21.75" customHeight="1" x14ac:dyDescent="0.2">
      <c r="A33" s="226">
        <v>28</v>
      </c>
      <c r="B33" s="199"/>
      <c r="C33" s="202"/>
      <c r="D33" s="199"/>
      <c r="E33" s="142"/>
      <c r="F33" s="227">
        <f t="shared" si="0"/>
        <v>0</v>
      </c>
      <c r="G33" s="228">
        <f t="shared" si="1"/>
        <v>0</v>
      </c>
      <c r="H33" s="229">
        <f>WATER!W33</f>
        <v>0</v>
      </c>
    </row>
    <row r="34" spans="1:8" ht="21.75" customHeight="1" x14ac:dyDescent="0.2">
      <c r="A34" s="226">
        <v>29</v>
      </c>
      <c r="B34" s="199"/>
      <c r="C34" s="199"/>
      <c r="D34" s="199"/>
      <c r="E34" s="142"/>
      <c r="F34" s="227">
        <f t="shared" si="0"/>
        <v>0</v>
      </c>
      <c r="G34" s="228">
        <f t="shared" si="1"/>
        <v>0</v>
      </c>
      <c r="H34" s="229">
        <f>WATER!W34</f>
        <v>0</v>
      </c>
    </row>
    <row r="35" spans="1:8" ht="21.75" customHeight="1" x14ac:dyDescent="0.2">
      <c r="A35" s="226">
        <v>30</v>
      </c>
      <c r="B35" s="199"/>
      <c r="C35" s="199"/>
      <c r="D35" s="199"/>
      <c r="E35" s="142"/>
      <c r="F35" s="227">
        <f t="shared" si="0"/>
        <v>0</v>
      </c>
      <c r="G35" s="228">
        <f t="shared" si="1"/>
        <v>0</v>
      </c>
      <c r="H35" s="229">
        <f>WATER!W35</f>
        <v>0</v>
      </c>
    </row>
    <row r="36" spans="1:8" ht="21.75" customHeight="1" x14ac:dyDescent="0.2">
      <c r="A36" s="226">
        <v>31</v>
      </c>
      <c r="B36" s="199"/>
      <c r="C36" s="199"/>
      <c r="D36" s="199"/>
      <c r="E36" s="142"/>
      <c r="F36" s="227">
        <f t="shared" si="0"/>
        <v>0</v>
      </c>
      <c r="G36" s="228">
        <f t="shared" si="1"/>
        <v>0</v>
      </c>
      <c r="H36" s="229">
        <f>WATER!W36</f>
        <v>0</v>
      </c>
    </row>
    <row r="37" spans="1:8" ht="21" customHeight="1" x14ac:dyDescent="0.2">
      <c r="A37" s="230" t="s">
        <v>7</v>
      </c>
      <c r="B37" s="230"/>
      <c r="C37" s="230"/>
      <c r="D37" s="231"/>
      <c r="E37" s="231">
        <f>SUM(E6:E36)</f>
        <v>25</v>
      </c>
      <c r="F37" s="232">
        <f>SUM(F6:F36)</f>
        <v>67</v>
      </c>
      <c r="G37" s="228">
        <f>SUM(G6:G36)</f>
        <v>3015</v>
      </c>
      <c r="H37" s="229">
        <f>SUM(H6:H36)/30</f>
        <v>22.455913978494625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topLeftCell="A7" workbookViewId="0">
      <selection activeCell="J22" sqref="J22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24">
        <v>44256</v>
      </c>
      <c r="C1" s="324"/>
      <c r="D1" s="324"/>
      <c r="E1" s="324"/>
      <c r="F1" s="324"/>
      <c r="G1" s="324"/>
      <c r="H1" s="324"/>
    </row>
    <row r="2" spans="2:14" ht="15.75" customHeight="1" x14ac:dyDescent="0.2">
      <c r="B2" s="324"/>
      <c r="C2" s="324"/>
      <c r="D2" s="324"/>
      <c r="E2" s="324"/>
      <c r="F2" s="324"/>
      <c r="G2" s="324"/>
      <c r="H2" s="324"/>
    </row>
    <row r="3" spans="2:14" ht="28.5" customHeight="1" x14ac:dyDescent="0.2">
      <c r="B3" s="325" t="s">
        <v>89</v>
      </c>
      <c r="C3" s="325"/>
      <c r="D3" s="325"/>
      <c r="E3" s="325"/>
      <c r="F3" s="325"/>
      <c r="G3" s="325"/>
      <c r="H3" s="325"/>
    </row>
    <row r="4" spans="2:14" x14ac:dyDescent="0.2">
      <c r="B4" s="138" t="s">
        <v>42</v>
      </c>
      <c r="C4" s="138" t="s">
        <v>84</v>
      </c>
      <c r="D4" s="138" t="s">
        <v>85</v>
      </c>
      <c r="E4" s="138" t="s">
        <v>86</v>
      </c>
      <c r="F4" s="138" t="s">
        <v>87</v>
      </c>
      <c r="G4" s="138" t="s">
        <v>88</v>
      </c>
      <c r="H4" s="138" t="s">
        <v>7</v>
      </c>
    </row>
    <row r="5" spans="2:14" x14ac:dyDescent="0.2">
      <c r="B5" s="136">
        <v>1</v>
      </c>
      <c r="C5" s="137">
        <f>'GENSET #1'!D10</f>
        <v>0</v>
      </c>
      <c r="D5" s="137">
        <f>'GENSET #2'!D10</f>
        <v>15044</v>
      </c>
      <c r="E5" s="137">
        <f>'GENSET #3'!D10</f>
        <v>8852</v>
      </c>
      <c r="F5" s="137">
        <f>'GENSET #4'!D10</f>
        <v>4016</v>
      </c>
      <c r="G5" s="137">
        <f>'GENSET #5'!D10</f>
        <v>4464</v>
      </c>
      <c r="H5" s="141">
        <f>SUM(C5:G5)</f>
        <v>32376</v>
      </c>
    </row>
    <row r="6" spans="2:14" x14ac:dyDescent="0.2">
      <c r="B6" s="131">
        <v>2</v>
      </c>
      <c r="C6" s="18">
        <f>'GENSET #1'!D11</f>
        <v>0</v>
      </c>
      <c r="D6" s="18">
        <f>'GENSET #2'!D11</f>
        <v>15706</v>
      </c>
      <c r="E6" s="18">
        <f>'GENSET #3'!D11</f>
        <v>2747</v>
      </c>
      <c r="F6" s="18">
        <f>'GENSET #4'!D11</f>
        <v>4900</v>
      </c>
      <c r="G6" s="18">
        <f>'GENSET #5'!D11</f>
        <v>9594</v>
      </c>
      <c r="H6" s="141">
        <f>SUM(C6:G6)</f>
        <v>32947</v>
      </c>
    </row>
    <row r="7" spans="2:14" x14ac:dyDescent="0.2">
      <c r="B7" s="136">
        <v>3</v>
      </c>
      <c r="C7" s="137">
        <f>'GENSET #1'!D12</f>
        <v>0</v>
      </c>
      <c r="D7" s="137">
        <f>'GENSET #2'!D12</f>
        <v>13517</v>
      </c>
      <c r="E7" s="137">
        <f>'GENSET #3'!D12</f>
        <v>8583</v>
      </c>
      <c r="F7" s="137">
        <f>'GENSET #4'!D12</f>
        <v>3074</v>
      </c>
      <c r="G7" s="137">
        <f>'GENSET #5'!D12</f>
        <v>7405</v>
      </c>
      <c r="H7" s="141">
        <f t="shared" ref="H7:H35" si="0">SUM(C7:G7)</f>
        <v>32579</v>
      </c>
    </row>
    <row r="8" spans="2:14" x14ac:dyDescent="0.2">
      <c r="B8" s="131">
        <v>4</v>
      </c>
      <c r="C8" s="18">
        <f>'GENSET #1'!D13</f>
        <v>0</v>
      </c>
      <c r="D8" s="18">
        <f>'GENSET #2'!D13</f>
        <v>13726</v>
      </c>
      <c r="E8" s="18">
        <f>'GENSET #3'!D13</f>
        <v>6830</v>
      </c>
      <c r="F8" s="18">
        <f>'GENSET #4'!D13</f>
        <v>2534</v>
      </c>
      <c r="G8" s="18">
        <f>'GENSET #5'!D13</f>
        <v>9701</v>
      </c>
      <c r="H8" s="141">
        <f t="shared" si="0"/>
        <v>32791</v>
      </c>
    </row>
    <row r="9" spans="2:14" x14ac:dyDescent="0.2">
      <c r="B9" s="136">
        <v>5</v>
      </c>
      <c r="C9" s="137">
        <f>'GENSET #1'!D14</f>
        <v>0</v>
      </c>
      <c r="D9" s="137">
        <f>'GENSET #2'!D14</f>
        <v>13900</v>
      </c>
      <c r="E9" s="137">
        <f>'GENSET #3'!D14</f>
        <v>7869</v>
      </c>
      <c r="F9" s="137">
        <f>'GENSET #4'!D14</f>
        <v>4322</v>
      </c>
      <c r="G9" s="137">
        <f>'GENSET #5'!D14</f>
        <v>7267</v>
      </c>
      <c r="H9" s="141">
        <f t="shared" si="0"/>
        <v>33358</v>
      </c>
    </row>
    <row r="10" spans="2:14" x14ac:dyDescent="0.2">
      <c r="B10" s="131">
        <v>6</v>
      </c>
      <c r="C10" s="18">
        <f>'GENSET #1'!D15</f>
        <v>0</v>
      </c>
      <c r="D10" s="18">
        <f>'GENSET #2'!D15</f>
        <v>15723</v>
      </c>
      <c r="E10" s="18">
        <f>'GENSET #3'!D15</f>
        <v>7819</v>
      </c>
      <c r="F10" s="18">
        <f>'GENSET #4'!D15</f>
        <v>2793</v>
      </c>
      <c r="G10" s="18">
        <f>'GENSET #5'!D15</f>
        <v>5643</v>
      </c>
      <c r="H10" s="141">
        <f t="shared" si="0"/>
        <v>31978</v>
      </c>
      <c r="K10" s="140"/>
      <c r="L10" s="140"/>
      <c r="M10" s="140"/>
      <c r="N10" s="140"/>
    </row>
    <row r="11" spans="2:14" x14ac:dyDescent="0.2">
      <c r="B11" s="136">
        <v>7</v>
      </c>
      <c r="C11" s="137">
        <f>'GENSET #1'!D16</f>
        <v>0</v>
      </c>
      <c r="D11" s="137">
        <f>'GENSET #2'!D16</f>
        <v>15630</v>
      </c>
      <c r="E11" s="137">
        <f>'GENSET #3'!D16</f>
        <v>6446</v>
      </c>
      <c r="F11" s="137">
        <f>'GENSET #4'!D16</f>
        <v>2639</v>
      </c>
      <c r="G11" s="137">
        <f>'GENSET #5'!D16</f>
        <v>7849</v>
      </c>
      <c r="H11" s="141">
        <f t="shared" si="0"/>
        <v>32564</v>
      </c>
      <c r="K11" s="140"/>
      <c r="L11" s="140"/>
      <c r="M11" s="140"/>
      <c r="N11" s="140"/>
    </row>
    <row r="12" spans="2:14" x14ac:dyDescent="0.2">
      <c r="B12" s="131">
        <v>8</v>
      </c>
      <c r="C12" s="18">
        <f>'GENSET #1'!D17</f>
        <v>0</v>
      </c>
      <c r="D12" s="18">
        <f>'GENSET #2'!D17</f>
        <v>14953</v>
      </c>
      <c r="E12" s="18">
        <f>'GENSET #3'!D17</f>
        <v>7523</v>
      </c>
      <c r="F12" s="18">
        <f>'GENSET #4'!D17</f>
        <v>3256</v>
      </c>
      <c r="G12" s="18">
        <f>'GENSET #5'!D17</f>
        <v>6637</v>
      </c>
      <c r="H12" s="141">
        <f t="shared" si="0"/>
        <v>32369</v>
      </c>
      <c r="K12" s="140"/>
      <c r="L12" s="140"/>
      <c r="M12" s="140"/>
      <c r="N12" s="140"/>
    </row>
    <row r="13" spans="2:14" x14ac:dyDescent="0.2">
      <c r="B13" s="136">
        <v>9</v>
      </c>
      <c r="C13" s="137">
        <f>'GENSET #1'!D18</f>
        <v>0</v>
      </c>
      <c r="D13" s="137">
        <f>'GENSET #2'!D18</f>
        <v>15893</v>
      </c>
      <c r="E13" s="137">
        <f>'GENSET #3'!D18</f>
        <v>9258</v>
      </c>
      <c r="F13" s="137">
        <f>'GENSET #4'!D18</f>
        <v>4262</v>
      </c>
      <c r="G13" s="137">
        <f>'GENSET #5'!D18</f>
        <v>1962</v>
      </c>
      <c r="H13" s="141">
        <f t="shared" si="0"/>
        <v>31375</v>
      </c>
      <c r="K13" s="140"/>
      <c r="L13" s="140"/>
      <c r="M13" s="140"/>
      <c r="N13" s="140"/>
    </row>
    <row r="14" spans="2:14" x14ac:dyDescent="0.2">
      <c r="B14" s="131">
        <v>10</v>
      </c>
      <c r="C14" s="18">
        <f>'GENSET #1'!D19</f>
        <v>0</v>
      </c>
      <c r="D14" s="18">
        <f>'GENSET #2'!D19</f>
        <v>14784</v>
      </c>
      <c r="E14" s="18">
        <f>'GENSET #3'!D19</f>
        <v>3263</v>
      </c>
      <c r="F14" s="18">
        <f>'GENSET #4'!D19</f>
        <v>531</v>
      </c>
      <c r="G14" s="18">
        <f>'GENSET #5'!D19</f>
        <v>12044</v>
      </c>
      <c r="H14" s="141">
        <f t="shared" si="0"/>
        <v>30622</v>
      </c>
      <c r="K14" s="140"/>
      <c r="L14" s="140"/>
      <c r="M14" s="140"/>
      <c r="N14" s="140"/>
    </row>
    <row r="15" spans="2:14" x14ac:dyDescent="0.2">
      <c r="B15" s="136">
        <v>11</v>
      </c>
      <c r="C15" s="137">
        <f>'GENSET #1'!D20</f>
        <v>0</v>
      </c>
      <c r="D15" s="137">
        <f>'GENSET #2'!D20</f>
        <v>13980</v>
      </c>
      <c r="E15" s="137">
        <f>'GENSET #3'!D20</f>
        <v>10045</v>
      </c>
      <c r="F15" s="137">
        <f>'GENSET #4'!D20</f>
        <v>3957</v>
      </c>
      <c r="G15" s="137">
        <f>'GENSET #5'!D20</f>
        <v>3476</v>
      </c>
      <c r="H15" s="141">
        <f t="shared" si="0"/>
        <v>31458</v>
      </c>
      <c r="K15" s="140"/>
      <c r="L15" s="140"/>
      <c r="M15" s="140"/>
      <c r="N15" s="140"/>
    </row>
    <row r="16" spans="2:14" x14ac:dyDescent="0.2">
      <c r="B16" s="131">
        <v>12</v>
      </c>
      <c r="C16" s="18">
        <f>'GENSET #1'!D21</f>
        <v>0</v>
      </c>
      <c r="D16" s="18">
        <f>'GENSET #2'!D21</f>
        <v>-29439352</v>
      </c>
      <c r="E16" s="18">
        <f>'GENSET #3'!D21</f>
        <v>-12900099</v>
      </c>
      <c r="F16" s="18">
        <f>'GENSET #4'!D21</f>
        <v>-11594028</v>
      </c>
      <c r="G16" s="18">
        <f>'GENSET #5'!D21</f>
        <v>-18006339</v>
      </c>
      <c r="H16" s="141">
        <f t="shared" si="0"/>
        <v>-71939818</v>
      </c>
      <c r="K16" s="140"/>
      <c r="L16" s="140"/>
      <c r="M16" s="140"/>
      <c r="N16" s="140"/>
    </row>
    <row r="17" spans="2:14" x14ac:dyDescent="0.2">
      <c r="B17" s="136">
        <v>13</v>
      </c>
      <c r="C17" s="137">
        <f>'GENSET #1'!D22</f>
        <v>-17082256</v>
      </c>
      <c r="D17" s="137">
        <f>'GENSET #2'!D22</f>
        <v>0</v>
      </c>
      <c r="E17" s="137">
        <f>'GENSET #3'!D22</f>
        <v>0</v>
      </c>
      <c r="F17" s="137">
        <f>'GENSET #4'!D22</f>
        <v>0</v>
      </c>
      <c r="G17" s="137">
        <f>'GENSET #5'!D22</f>
        <v>0</v>
      </c>
      <c r="H17" s="141">
        <f t="shared" si="0"/>
        <v>-17082256</v>
      </c>
      <c r="K17" s="140"/>
      <c r="L17" s="140"/>
      <c r="M17" s="140"/>
      <c r="N17" s="140"/>
    </row>
    <row r="18" spans="2:14" x14ac:dyDescent="0.2">
      <c r="B18" s="131">
        <v>14</v>
      </c>
      <c r="C18" s="18">
        <f>'GENSET #1'!D23</f>
        <v>0</v>
      </c>
      <c r="D18" s="18">
        <f>'GENSET #2'!D23</f>
        <v>0</v>
      </c>
      <c r="E18" s="18">
        <f>'GENSET #3'!D23</f>
        <v>0</v>
      </c>
      <c r="F18" s="18">
        <f>'GENSET #4'!D23</f>
        <v>0</v>
      </c>
      <c r="G18" s="18">
        <f>'GENSET #5'!D23</f>
        <v>0</v>
      </c>
      <c r="H18" s="141">
        <f t="shared" si="0"/>
        <v>0</v>
      </c>
      <c r="K18" s="140"/>
      <c r="L18" s="140"/>
      <c r="M18" s="140"/>
      <c r="N18" s="140"/>
    </row>
    <row r="19" spans="2:14" x14ac:dyDescent="0.2">
      <c r="B19" s="136">
        <v>15</v>
      </c>
      <c r="C19" s="137">
        <f>'GENSET #1'!D24</f>
        <v>0</v>
      </c>
      <c r="D19" s="137">
        <f>'GENSET #2'!D24</f>
        <v>0</v>
      </c>
      <c r="E19" s="137">
        <f>'GENSET #3'!D24</f>
        <v>0</v>
      </c>
      <c r="F19" s="137">
        <f>'GENSET #4'!D24</f>
        <v>0</v>
      </c>
      <c r="G19" s="137">
        <f>'GENSET #5'!D24</f>
        <v>0</v>
      </c>
      <c r="H19" s="141">
        <f t="shared" si="0"/>
        <v>0</v>
      </c>
      <c r="K19" s="140"/>
      <c r="L19" s="140"/>
      <c r="M19" s="140"/>
      <c r="N19" s="140"/>
    </row>
    <row r="20" spans="2:14" x14ac:dyDescent="0.2">
      <c r="B20" s="131">
        <v>16</v>
      </c>
      <c r="C20" s="18">
        <f>'GENSET #1'!D25</f>
        <v>0</v>
      </c>
      <c r="D20" s="18">
        <f>'GENSET #2'!D25</f>
        <v>0</v>
      </c>
      <c r="E20" s="18">
        <f>'GENSET #3'!D25</f>
        <v>0</v>
      </c>
      <c r="F20" s="18">
        <f>'GENSET #4'!D25</f>
        <v>0</v>
      </c>
      <c r="G20" s="18">
        <f>'GENSET #5'!D25</f>
        <v>0</v>
      </c>
      <c r="H20" s="141">
        <f t="shared" si="0"/>
        <v>0</v>
      </c>
      <c r="K20" s="140"/>
      <c r="L20" s="140"/>
      <c r="M20" s="140"/>
      <c r="N20" s="140"/>
    </row>
    <row r="21" spans="2:14" x14ac:dyDescent="0.2">
      <c r="B21" s="136">
        <v>17</v>
      </c>
      <c r="C21" s="137">
        <f>'GENSET #1'!D26</f>
        <v>0</v>
      </c>
      <c r="D21" s="137">
        <f>'GENSET #2'!D26</f>
        <v>0</v>
      </c>
      <c r="E21" s="137">
        <f>'GENSET #3'!D26</f>
        <v>0</v>
      </c>
      <c r="F21" s="137">
        <f>'GENSET #4'!D26</f>
        <v>0</v>
      </c>
      <c r="G21" s="137">
        <f>'GENSET #5'!D26</f>
        <v>0</v>
      </c>
      <c r="H21" s="141">
        <f t="shared" si="0"/>
        <v>0</v>
      </c>
      <c r="K21" s="140"/>
      <c r="L21" s="140"/>
      <c r="M21" s="140"/>
      <c r="N21" s="140"/>
    </row>
    <row r="22" spans="2:14" x14ac:dyDescent="0.2">
      <c r="B22" s="131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41">
        <f t="shared" si="0"/>
        <v>0</v>
      </c>
    </row>
    <row r="23" spans="2:14" x14ac:dyDescent="0.2">
      <c r="B23" s="136">
        <v>19</v>
      </c>
      <c r="C23" s="137">
        <f>'GENSET #1'!D28</f>
        <v>0</v>
      </c>
      <c r="D23" s="137">
        <f>'GENSET #2'!D28</f>
        <v>0</v>
      </c>
      <c r="E23" s="137">
        <f>'GENSET #3'!D28</f>
        <v>0</v>
      </c>
      <c r="F23" s="137">
        <f>'GENSET #4'!D28</f>
        <v>0</v>
      </c>
      <c r="G23" s="137">
        <f>'GENSET #5'!D28</f>
        <v>0</v>
      </c>
      <c r="H23" s="141">
        <f t="shared" si="0"/>
        <v>0</v>
      </c>
    </row>
    <row r="24" spans="2:14" x14ac:dyDescent="0.2">
      <c r="B24" s="131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41">
        <f t="shared" si="0"/>
        <v>0</v>
      </c>
    </row>
    <row r="25" spans="2:14" x14ac:dyDescent="0.2">
      <c r="B25" s="136">
        <v>21</v>
      </c>
      <c r="C25" s="137">
        <f>'GENSET #1'!D30</f>
        <v>0</v>
      </c>
      <c r="D25" s="137">
        <f>'GENSET #2'!D30</f>
        <v>0</v>
      </c>
      <c r="E25" s="137">
        <f>'GENSET #3'!D30</f>
        <v>0</v>
      </c>
      <c r="F25" s="137">
        <f>'GENSET #4'!D30</f>
        <v>0</v>
      </c>
      <c r="G25" s="137">
        <f>'GENSET #5'!D30</f>
        <v>0</v>
      </c>
      <c r="H25" s="141">
        <f t="shared" si="0"/>
        <v>0</v>
      </c>
    </row>
    <row r="26" spans="2:14" x14ac:dyDescent="0.2">
      <c r="B26" s="131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41">
        <f t="shared" si="0"/>
        <v>0</v>
      </c>
    </row>
    <row r="27" spans="2:14" x14ac:dyDescent="0.2">
      <c r="B27" s="136">
        <v>23</v>
      </c>
      <c r="C27" s="137">
        <f>'GENSET #1'!D32</f>
        <v>0</v>
      </c>
      <c r="D27" s="137">
        <f>'GENSET #2'!D32</f>
        <v>0</v>
      </c>
      <c r="E27" s="137">
        <f>'GENSET #3'!D32</f>
        <v>0</v>
      </c>
      <c r="F27" s="137">
        <f>'GENSET #4'!D32</f>
        <v>0</v>
      </c>
      <c r="G27" s="137">
        <f>'GENSET #5'!D32</f>
        <v>0</v>
      </c>
      <c r="H27" s="141">
        <f t="shared" si="0"/>
        <v>0</v>
      </c>
    </row>
    <row r="28" spans="2:14" x14ac:dyDescent="0.2">
      <c r="B28" s="131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41">
        <f t="shared" si="0"/>
        <v>0</v>
      </c>
    </row>
    <row r="29" spans="2:14" x14ac:dyDescent="0.2">
      <c r="B29" s="136">
        <v>25</v>
      </c>
      <c r="C29" s="137">
        <f>'GENSET #1'!D34</f>
        <v>0</v>
      </c>
      <c r="D29" s="137">
        <f>'GENSET #2'!D34</f>
        <v>0</v>
      </c>
      <c r="E29" s="137">
        <f>'GENSET #3'!D34</f>
        <v>0</v>
      </c>
      <c r="F29" s="137">
        <f>'GENSET #4'!D34</f>
        <v>0</v>
      </c>
      <c r="G29" s="137">
        <f>'GENSET #5'!D34</f>
        <v>0</v>
      </c>
      <c r="H29" s="141">
        <f t="shared" si="0"/>
        <v>0</v>
      </c>
    </row>
    <row r="30" spans="2:14" x14ac:dyDescent="0.2">
      <c r="B30" s="131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41">
        <f t="shared" si="0"/>
        <v>0</v>
      </c>
    </row>
    <row r="31" spans="2:14" x14ac:dyDescent="0.2">
      <c r="B31" s="136">
        <v>27</v>
      </c>
      <c r="C31" s="137">
        <f>'GENSET #1'!D36</f>
        <v>0</v>
      </c>
      <c r="D31" s="137">
        <f>'GENSET #2'!D36</f>
        <v>0</v>
      </c>
      <c r="E31" s="137">
        <f>'GENSET #3'!D36</f>
        <v>0</v>
      </c>
      <c r="F31" s="137">
        <f>'GENSET #4'!D36</f>
        <v>0</v>
      </c>
      <c r="G31" s="137">
        <f>'GENSET #5'!D36</f>
        <v>0</v>
      </c>
      <c r="H31" s="141">
        <f t="shared" si="0"/>
        <v>0</v>
      </c>
    </row>
    <row r="32" spans="2:14" x14ac:dyDescent="0.2">
      <c r="B32" s="131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41">
        <f t="shared" si="0"/>
        <v>0</v>
      </c>
    </row>
    <row r="33" spans="1:8" x14ac:dyDescent="0.2">
      <c r="B33" s="136">
        <v>29</v>
      </c>
      <c r="C33" s="137">
        <f>'GENSET #1'!D38</f>
        <v>0</v>
      </c>
      <c r="D33" s="137">
        <f>'GENSET #2'!D38</f>
        <v>0</v>
      </c>
      <c r="E33" s="137">
        <f>'GENSET #3'!D38</f>
        <v>0</v>
      </c>
      <c r="F33" s="137">
        <f>'GENSET #4'!D38</f>
        <v>0</v>
      </c>
      <c r="G33" s="137">
        <f>'GENSET #5'!D38</f>
        <v>0</v>
      </c>
      <c r="H33" s="141">
        <f t="shared" si="0"/>
        <v>0</v>
      </c>
    </row>
    <row r="34" spans="1:8" x14ac:dyDescent="0.2">
      <c r="B34" s="131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41">
        <f t="shared" si="0"/>
        <v>0</v>
      </c>
    </row>
    <row r="35" spans="1:8" x14ac:dyDescent="0.2">
      <c r="B35" s="136">
        <v>31</v>
      </c>
      <c r="C35" s="18">
        <f>'GENSET #1'!D40</f>
        <v>0</v>
      </c>
      <c r="D35" s="18">
        <f>'GENSET #2'!D40</f>
        <v>0</v>
      </c>
      <c r="E35" s="18">
        <f>'GENSET #3'!D40</f>
        <v>0</v>
      </c>
      <c r="F35" s="18">
        <f>'GENSET #4'!D40</f>
        <v>0</v>
      </c>
      <c r="G35" s="18">
        <f>'GENSET #5'!D40</f>
        <v>0</v>
      </c>
      <c r="H35" s="141">
        <f t="shared" si="0"/>
        <v>0</v>
      </c>
    </row>
    <row r="36" spans="1:8" x14ac:dyDescent="0.2">
      <c r="A36" s="323" t="s">
        <v>90</v>
      </c>
      <c r="B36" s="323"/>
      <c r="C36" s="139">
        <f>SUM(C5:C35)</f>
        <v>-17082256</v>
      </c>
      <c r="D36" s="139">
        <f>SUM(D5:D35)</f>
        <v>-29276496</v>
      </c>
      <c r="E36" s="139">
        <f>SUM(E5:E35)</f>
        <v>-12820864</v>
      </c>
      <c r="F36" s="139">
        <f>SUM(F5:F35)</f>
        <v>-11557744</v>
      </c>
      <c r="G36" s="139">
        <f>SUM(G5:G35)</f>
        <v>-17930297</v>
      </c>
      <c r="H36" s="139"/>
    </row>
  </sheetData>
  <mergeCells count="3">
    <mergeCell ref="A36:B36"/>
    <mergeCell ref="B1:H2"/>
    <mergeCell ref="B3:H3"/>
  </mergeCells>
  <phoneticPr fontId="17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299">
        <v>44256</v>
      </c>
      <c r="C4" s="299"/>
      <c r="D4" s="10"/>
      <c r="E4" s="10"/>
      <c r="F4" s="132"/>
    </row>
    <row r="5" spans="1:10" ht="14.25" customHeight="1" x14ac:dyDescent="0.2">
      <c r="A5" s="6"/>
      <c r="B5" s="11"/>
      <c r="C5" s="11"/>
      <c r="D5" s="12"/>
      <c r="E5" s="10"/>
      <c r="F5" s="132"/>
    </row>
    <row r="7" spans="1:10" x14ac:dyDescent="0.2">
      <c r="A7" s="1" t="s">
        <v>8</v>
      </c>
    </row>
    <row r="8" spans="1:10" ht="24" customHeight="1" x14ac:dyDescent="0.2">
      <c r="A8" s="13" t="s">
        <v>58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84" t="s">
        <v>57</v>
      </c>
    </row>
    <row r="9" spans="1:10" x14ac:dyDescent="0.2">
      <c r="A9" s="6">
        <v>1</v>
      </c>
      <c r="B9" s="7">
        <f>SUM('GENSET #1:GENSET #5'!D10)</f>
        <v>32376</v>
      </c>
      <c r="C9" s="7">
        <f>'Diesel consumption'!D5</f>
        <v>8870</v>
      </c>
      <c r="D9" s="2">
        <f>'SOLAR METER READING'!D9</f>
        <v>2792</v>
      </c>
      <c r="E9" s="7">
        <f>'Gas-2'!G6</f>
        <v>315</v>
      </c>
      <c r="F9" s="133">
        <f>WATER!V6</f>
        <v>351</v>
      </c>
      <c r="G9" s="135">
        <f>WATER!W6</f>
        <v>83</v>
      </c>
      <c r="H9" s="15">
        <f>B9/C9</f>
        <v>3.6500563697857946</v>
      </c>
      <c r="I9" s="15">
        <f>SUM(B9,D9)</f>
        <v>35168</v>
      </c>
      <c r="J9" s="3"/>
    </row>
    <row r="10" spans="1:10" x14ac:dyDescent="0.2">
      <c r="A10" s="6">
        <v>2</v>
      </c>
      <c r="B10" s="7">
        <f>SUM('GENSET #1:GENSET #5'!D11)</f>
        <v>32947</v>
      </c>
      <c r="C10" s="7">
        <f>'Diesel consumption'!D6</f>
        <v>9130</v>
      </c>
      <c r="D10" s="2">
        <f>'SOLAR METER READING'!D10</f>
        <v>2408</v>
      </c>
      <c r="E10" s="7">
        <f>'Gas-2'!G7</f>
        <v>315</v>
      </c>
      <c r="F10" s="133">
        <f>WATER!V7</f>
        <v>473</v>
      </c>
      <c r="G10" s="135">
        <f>WATER!W7</f>
        <v>78</v>
      </c>
      <c r="H10" s="15">
        <f t="shared" ref="H10:H38" si="0">B10/C10</f>
        <v>3.6086527929901422</v>
      </c>
      <c r="I10" s="15">
        <f t="shared" ref="I10:I40" si="1">SUM(B10,D10)</f>
        <v>35355</v>
      </c>
    </row>
    <row r="11" spans="1:10" x14ac:dyDescent="0.2">
      <c r="A11" s="6">
        <v>3</v>
      </c>
      <c r="B11" s="7">
        <f>SUM('GENSET #1:GENSET #5'!D12)</f>
        <v>32579</v>
      </c>
      <c r="C11" s="7">
        <f>'Diesel consumption'!D7</f>
        <v>9000</v>
      </c>
      <c r="D11" s="2">
        <f>'SOLAR METER READING'!D11</f>
        <v>3130</v>
      </c>
      <c r="E11" s="7">
        <f>'Gas-2'!G8</f>
        <v>225</v>
      </c>
      <c r="F11" s="133">
        <f>WATER!V8</f>
        <v>445</v>
      </c>
      <c r="G11" s="135">
        <f>WATER!W8</f>
        <v>78</v>
      </c>
      <c r="H11" s="15">
        <f t="shared" si="0"/>
        <v>3.6198888888888887</v>
      </c>
      <c r="I11" s="15">
        <f t="shared" si="1"/>
        <v>35709</v>
      </c>
    </row>
    <row r="12" spans="1:10" x14ac:dyDescent="0.2">
      <c r="A12" s="6">
        <v>4</v>
      </c>
      <c r="B12" s="7">
        <f>SUM('GENSET #1:GENSET #5'!D13)</f>
        <v>32791</v>
      </c>
      <c r="C12" s="7">
        <f>'Diesel consumption'!D8</f>
        <v>9050</v>
      </c>
      <c r="D12" s="2">
        <f>'SOLAR METER READING'!D12</f>
        <v>3122</v>
      </c>
      <c r="E12" s="7">
        <f>'Gas-2'!G9</f>
        <v>315</v>
      </c>
      <c r="F12" s="133">
        <f>WATER!V9</f>
        <v>488</v>
      </c>
      <c r="G12" s="135">
        <f>WATER!W9</f>
        <v>72</v>
      </c>
      <c r="H12" s="15">
        <f t="shared" si="0"/>
        <v>3.6233149171270718</v>
      </c>
      <c r="I12" s="15">
        <f t="shared" si="1"/>
        <v>35913</v>
      </c>
    </row>
    <row r="13" spans="1:10" x14ac:dyDescent="0.2">
      <c r="A13" s="6">
        <v>5</v>
      </c>
      <c r="B13" s="7">
        <f>SUM('GENSET #1:GENSET #5'!D14)</f>
        <v>33358</v>
      </c>
      <c r="C13" s="7">
        <f>'Diesel consumption'!D9</f>
        <v>9000</v>
      </c>
      <c r="D13" s="2">
        <f>'SOLAR METER READING'!D13</f>
        <v>3091</v>
      </c>
      <c r="E13" s="7">
        <f>'Gas-2'!G10</f>
        <v>270</v>
      </c>
      <c r="F13" s="133">
        <f>WATER!V10</f>
        <v>428</v>
      </c>
      <c r="G13" s="135">
        <f>WATER!W10</f>
        <v>73</v>
      </c>
      <c r="H13" s="15">
        <f t="shared" si="0"/>
        <v>3.7064444444444447</v>
      </c>
      <c r="I13" s="15">
        <f t="shared" si="1"/>
        <v>36449</v>
      </c>
    </row>
    <row r="14" spans="1:10" x14ac:dyDescent="0.2">
      <c r="A14" s="6">
        <v>6</v>
      </c>
      <c r="B14" s="7">
        <f>SUM('GENSET #1:GENSET #5'!D15)</f>
        <v>31978</v>
      </c>
      <c r="C14" s="7">
        <f>'Diesel consumption'!D10</f>
        <v>8860</v>
      </c>
      <c r="D14" s="2">
        <f>'SOLAR METER READING'!D14</f>
        <v>3161</v>
      </c>
      <c r="E14" s="7">
        <f>'Gas-2'!G11</f>
        <v>270</v>
      </c>
      <c r="F14" s="133">
        <f>WATER!V11</f>
        <v>432</v>
      </c>
      <c r="G14" s="135">
        <f>WATER!W11</f>
        <v>73</v>
      </c>
      <c r="H14" s="15">
        <f t="shared" si="0"/>
        <v>3.6092550790067719</v>
      </c>
      <c r="I14" s="15">
        <f t="shared" si="1"/>
        <v>35139</v>
      </c>
    </row>
    <row r="15" spans="1:10" x14ac:dyDescent="0.2">
      <c r="A15" s="6">
        <v>7</v>
      </c>
      <c r="B15" s="7">
        <f>SUM('GENSET #1:GENSET #5'!D16)</f>
        <v>32564</v>
      </c>
      <c r="C15" s="7">
        <f>'Diesel consumption'!D11</f>
        <v>8940</v>
      </c>
      <c r="D15" s="2">
        <f>'SOLAR METER READING'!D15</f>
        <v>3104</v>
      </c>
      <c r="E15" s="7">
        <f>'Gas-2'!G12</f>
        <v>315</v>
      </c>
      <c r="F15" s="133">
        <f>WATER!V12</f>
        <v>491</v>
      </c>
      <c r="G15" s="135">
        <f>WATER!W12</f>
        <v>71</v>
      </c>
      <c r="H15" s="15">
        <f t="shared" si="0"/>
        <v>3.6425055928411632</v>
      </c>
      <c r="I15" s="15">
        <f t="shared" si="1"/>
        <v>35668</v>
      </c>
    </row>
    <row r="16" spans="1:10" x14ac:dyDescent="0.2">
      <c r="A16" s="6">
        <v>8</v>
      </c>
      <c r="B16" s="7">
        <f>SUM('GENSET #1:GENSET #5'!D17)</f>
        <v>32369</v>
      </c>
      <c r="C16" s="7">
        <f>'Diesel consumption'!D12</f>
        <v>8950</v>
      </c>
      <c r="D16" s="2">
        <f>'SOLAR METER READING'!D16</f>
        <v>3188</v>
      </c>
      <c r="E16" s="7">
        <f>'Gas-2'!G13</f>
        <v>360</v>
      </c>
      <c r="F16" s="133">
        <f>WATER!V13</f>
        <v>424</v>
      </c>
      <c r="G16" s="135">
        <f>WATER!W13</f>
        <v>65</v>
      </c>
      <c r="H16" s="15">
        <f t="shared" si="0"/>
        <v>3.6166480446927376</v>
      </c>
      <c r="I16" s="15">
        <f t="shared" si="1"/>
        <v>35557</v>
      </c>
    </row>
    <row r="17" spans="1:9" x14ac:dyDescent="0.2">
      <c r="A17" s="6">
        <v>9</v>
      </c>
      <c r="B17" s="7">
        <f>SUM('GENSET #1:GENSET #5'!D18)</f>
        <v>31375</v>
      </c>
      <c r="C17" s="7">
        <f>'Diesel consumption'!D13</f>
        <v>8700</v>
      </c>
      <c r="D17" s="2">
        <f>'SOLAR METER READING'!D17</f>
        <v>2863</v>
      </c>
      <c r="E17" s="7">
        <f>'Gas-2'!G14</f>
        <v>270</v>
      </c>
      <c r="F17" s="133">
        <f>WATER!V14</f>
        <v>432</v>
      </c>
      <c r="G17" s="135">
        <f>WATER!W14</f>
        <v>57</v>
      </c>
      <c r="H17" s="15">
        <f t="shared" si="0"/>
        <v>3.6063218390804597</v>
      </c>
      <c r="I17" s="15">
        <f t="shared" si="1"/>
        <v>34238</v>
      </c>
    </row>
    <row r="18" spans="1:9" x14ac:dyDescent="0.2">
      <c r="A18" s="6">
        <v>10</v>
      </c>
      <c r="B18" s="7">
        <f>SUM('GENSET #1:GENSET #5'!D19)</f>
        <v>30622</v>
      </c>
      <c r="C18" s="7">
        <f>'Diesel consumption'!D14</f>
        <v>8350</v>
      </c>
      <c r="D18" s="2">
        <f>'SOLAR METER READING'!D18</f>
        <v>3286</v>
      </c>
      <c r="E18" s="7">
        <f>'Gas-2'!G15</f>
        <v>135</v>
      </c>
      <c r="F18" s="133">
        <f>WATER!V15</f>
        <v>403</v>
      </c>
      <c r="G18" s="135">
        <f>WATER!W15</f>
        <v>56</v>
      </c>
      <c r="H18" s="15">
        <f t="shared" si="0"/>
        <v>3.667305389221557</v>
      </c>
      <c r="I18" s="15">
        <f t="shared" si="1"/>
        <v>33908</v>
      </c>
    </row>
    <row r="19" spans="1:9" x14ac:dyDescent="0.2">
      <c r="A19" s="6">
        <v>11</v>
      </c>
      <c r="B19" s="7">
        <f>SUM('GENSET #1:GENSET #5'!D20)</f>
        <v>31458</v>
      </c>
      <c r="C19" s="7">
        <f>'Diesel consumption'!D15</f>
        <v>8630</v>
      </c>
      <c r="D19" s="2">
        <f>'SOLAR METER READING'!D19</f>
        <v>3341</v>
      </c>
      <c r="E19" s="7">
        <f>'Gas-2'!G16</f>
        <v>225</v>
      </c>
      <c r="F19" s="133">
        <f>WATER!V16</f>
        <v>425</v>
      </c>
      <c r="G19" s="135">
        <f>WATER!W16</f>
        <v>48</v>
      </c>
      <c r="H19" s="15">
        <f t="shared" si="0"/>
        <v>3.6451911935110082</v>
      </c>
      <c r="I19" s="15">
        <f t="shared" si="1"/>
        <v>34799</v>
      </c>
    </row>
    <row r="20" spans="1:9" x14ac:dyDescent="0.2">
      <c r="A20" s="6">
        <v>12</v>
      </c>
      <c r="B20" s="7">
        <f>SUM('GENSET #1:GENSET #5'!D21)</f>
        <v>-71939818</v>
      </c>
      <c r="C20" s="7">
        <f>'Diesel consumption'!D16</f>
        <v>-43695650</v>
      </c>
      <c r="D20" s="2">
        <f>'SOLAR METER READING'!D20</f>
        <v>-2536509</v>
      </c>
      <c r="E20" s="7">
        <f>'Gas-2'!G17</f>
        <v>0</v>
      </c>
      <c r="F20" s="133">
        <f>WATER!V17</f>
        <v>341</v>
      </c>
      <c r="G20" s="135">
        <f>WATER!W17</f>
        <v>0</v>
      </c>
      <c r="H20" s="15">
        <f t="shared" si="0"/>
        <v>1.6463839764370138</v>
      </c>
      <c r="I20" s="15">
        <f t="shared" si="1"/>
        <v>-74476327</v>
      </c>
    </row>
    <row r="21" spans="1:9" x14ac:dyDescent="0.2">
      <c r="A21" s="6">
        <v>13</v>
      </c>
      <c r="B21" s="7">
        <f>SUM('GENSET #1:GENSET #5'!D22)</f>
        <v>-17082256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33">
        <f>WATER!V18</f>
        <v>-940037</v>
      </c>
      <c r="G21" s="135">
        <f>WATER!W18</f>
        <v>0</v>
      </c>
      <c r="H21" s="15" t="e">
        <f t="shared" si="0"/>
        <v>#DIV/0!</v>
      </c>
      <c r="I21" s="15">
        <f t="shared" si="1"/>
        <v>-17082256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33">
        <f>WATER!V19</f>
        <v>0</v>
      </c>
      <c r="G22" s="135">
        <f>WATER!W19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33">
        <f>WATER!V20</f>
        <v>0</v>
      </c>
      <c r="G23" s="135">
        <f>WATER!W20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33">
        <f>WATER!V21</f>
        <v>0</v>
      </c>
      <c r="G24" s="135">
        <f>WATER!W21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33">
        <f>WATER!V22</f>
        <v>0</v>
      </c>
      <c r="G25" s="135">
        <f>WATER!W22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33">
        <f>WATER!V23</f>
        <v>0</v>
      </c>
      <c r="G26" s="135">
        <f>WATER!W23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33">
        <f>WATER!V24</f>
        <v>0</v>
      </c>
      <c r="G27" s="135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33">
        <f>WATER!V25</f>
        <v>0</v>
      </c>
      <c r="G28" s="135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33">
        <f>WATER!V26</f>
        <v>0</v>
      </c>
      <c r="G29" s="135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33">
        <f>WATER!V27</f>
        <v>0</v>
      </c>
      <c r="G30" s="135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33">
        <f>WATER!V28</f>
        <v>0</v>
      </c>
      <c r="G31" s="135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33">
        <f>WATER!V29</f>
        <v>0</v>
      </c>
      <c r="G32" s="135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33">
        <f>WATER!V30</f>
        <v>0</v>
      </c>
      <c r="G33" s="135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33">
        <f>WATER!V31</f>
        <v>0</v>
      </c>
      <c r="G34" s="135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33">
        <f>WATER!V32</f>
        <v>0</v>
      </c>
      <c r="G35" s="135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33">
        <f>WATER!V33</f>
        <v>0</v>
      </c>
      <c r="G36" s="135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33">
        <f>WATER!V34</f>
        <v>0</v>
      </c>
      <c r="G37" s="135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33">
        <f>WATER!V35</f>
        <v>0</v>
      </c>
      <c r="G38" s="135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>
        <f>'Diesel consumption'!D35</f>
        <v>0</v>
      </c>
      <c r="D39" s="2">
        <f>'SOLAR METER READING'!D39</f>
        <v>0</v>
      </c>
      <c r="E39" s="7">
        <f>'Gas-2'!G36</f>
        <v>0</v>
      </c>
      <c r="F39" s="133">
        <f>WATER!V36</f>
        <v>0</v>
      </c>
      <c r="G39" s="135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-88667657</v>
      </c>
      <c r="C40" s="17">
        <f t="shared" ref="C40:D40" si="2">SUM(C9:C39)</f>
        <v>-43598170</v>
      </c>
      <c r="D40" s="17">
        <f t="shared" si="2"/>
        <v>-2503023</v>
      </c>
      <c r="E40" s="17">
        <f>SUM(E9:E39)</f>
        <v>3015</v>
      </c>
      <c r="F40" s="134">
        <f>SUM(F9:F39)</f>
        <v>-934904</v>
      </c>
      <c r="G40" s="6"/>
      <c r="I40" s="15">
        <f t="shared" si="1"/>
        <v>-91170680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2021-04-02T12:00:18Z</cp:lastPrinted>
  <dcterms:created xsi:type="dcterms:W3CDTF">2018-12-01T06:13:40Z</dcterms:created>
  <dcterms:modified xsi:type="dcterms:W3CDTF">2021-04-12T14:22:31Z</dcterms:modified>
</cp:coreProperties>
</file>