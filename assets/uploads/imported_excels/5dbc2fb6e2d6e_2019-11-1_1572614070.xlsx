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J:\HEP\Four Seasons\Milan\"/>
    </mc:Choice>
  </mc:AlternateContent>
  <bookViews>
    <workbookView xWindow="0" yWindow="0" windowWidth="28800" windowHeight="12435"/>
  </bookViews>
  <sheets>
    <sheet name="TOTAL" sheetId="5" r:id="rId1"/>
    <sheet name="Submetering " sheetId="4" r:id="rId2"/>
    <sheet name="Hotel Data" sheetId="2" r:id="rId3"/>
  </sheets>
  <calcPr calcId="152511"/>
  <fileRecoveryPr autoRecover="0"/>
</workbook>
</file>

<file path=xl/calcChain.xml><?xml version="1.0" encoding="utf-8"?>
<calcChain xmlns="http://schemas.openxmlformats.org/spreadsheetml/2006/main">
  <c r="AV36" i="2" l="1"/>
  <c r="AR36" i="2"/>
  <c r="AP36" i="2"/>
  <c r="AN36" i="2"/>
  <c r="AL36" i="2"/>
  <c r="AJ36" i="2"/>
  <c r="AH36" i="2"/>
  <c r="AG36" i="2"/>
  <c r="AB38" i="2"/>
  <c r="AJ38" i="2"/>
  <c r="AE36" i="2"/>
  <c r="AD36" i="2"/>
  <c r="AB36" i="2"/>
  <c r="AA36" i="2"/>
  <c r="Y36" i="2"/>
  <c r="X36" i="2"/>
  <c r="V36" i="2"/>
  <c r="T36" i="2"/>
  <c r="R36" i="2"/>
  <c r="P36" i="2"/>
  <c r="N36" i="2"/>
  <c r="H36" i="2"/>
  <c r="F36" i="2"/>
  <c r="D36" i="2"/>
  <c r="BI35" i="2"/>
  <c r="BH35" i="2"/>
  <c r="BG35" i="2"/>
  <c r="BF35" i="2"/>
  <c r="BE35" i="2"/>
  <c r="BD35" i="2"/>
  <c r="BA35" i="2"/>
  <c r="AZ35" i="2"/>
  <c r="AY35" i="2"/>
  <c r="AW35" i="2"/>
  <c r="AQ35" i="2"/>
  <c r="AM35" i="2"/>
  <c r="AI35" i="2"/>
  <c r="AC35" i="2"/>
  <c r="Z35" i="2"/>
  <c r="W35" i="2"/>
  <c r="U35" i="2"/>
  <c r="S35" i="2"/>
  <c r="Q35" i="2"/>
  <c r="H33" i="4"/>
  <c r="O35" i="2"/>
  <c r="G33" i="4"/>
  <c r="K35" i="2"/>
  <c r="I35" i="2"/>
  <c r="M35" i="2"/>
  <c r="G35" i="2"/>
  <c r="F33" i="4"/>
  <c r="E35" i="2"/>
  <c r="A35" i="2"/>
  <c r="BC35" i="2"/>
  <c r="J33" i="4"/>
  <c r="E33" i="4"/>
  <c r="H32" i="4"/>
  <c r="G32" i="4"/>
  <c r="F32" i="4"/>
  <c r="I26" i="4"/>
  <c r="G26" i="4"/>
  <c r="G25" i="5"/>
  <c r="F25" i="4"/>
  <c r="I24" i="4"/>
  <c r="H24" i="4"/>
  <c r="F24" i="4"/>
  <c r="E24" i="4"/>
  <c r="F20" i="4"/>
  <c r="E20" i="4"/>
  <c r="F19" i="4"/>
  <c r="E19" i="4"/>
  <c r="I18" i="4"/>
  <c r="H18" i="4"/>
  <c r="G17" i="5"/>
  <c r="H17" i="4"/>
  <c r="G17" i="4"/>
  <c r="I16" i="5"/>
  <c r="G15" i="5"/>
  <c r="H15" i="4"/>
  <c r="G15" i="4"/>
  <c r="I14" i="5"/>
  <c r="F15" i="4"/>
  <c r="J14" i="4"/>
  <c r="I14" i="4"/>
  <c r="H14" i="4"/>
  <c r="G14" i="4"/>
  <c r="E14" i="4"/>
  <c r="I31" i="5"/>
  <c r="I32" i="5"/>
  <c r="G31" i="5"/>
  <c r="E32" i="5"/>
  <c r="E31" i="5"/>
  <c r="O33" i="4"/>
  <c r="O32" i="4"/>
  <c r="N33" i="4"/>
  <c r="N32" i="4"/>
  <c r="M33" i="4"/>
  <c r="M32" i="4"/>
  <c r="L33" i="4"/>
  <c r="L32" i="4"/>
  <c r="K33" i="4"/>
  <c r="K32" i="4"/>
  <c r="E32" i="4"/>
  <c r="I33" i="4"/>
  <c r="J32" i="4"/>
  <c r="I32" i="4"/>
  <c r="J31" i="4"/>
  <c r="H31" i="4"/>
  <c r="I30" i="5"/>
  <c r="F31" i="4"/>
  <c r="G30" i="5"/>
  <c r="I15" i="4"/>
  <c r="E15" i="4"/>
  <c r="J30" i="4"/>
  <c r="H23" i="4"/>
  <c r="F23" i="4"/>
  <c r="J16" i="4"/>
  <c r="H16" i="4"/>
  <c r="P33" i="4"/>
  <c r="I3" i="4"/>
  <c r="G3" i="4"/>
  <c r="I2" i="5"/>
  <c r="I31" i="4"/>
  <c r="G31" i="4"/>
  <c r="I29" i="5"/>
  <c r="E30" i="4"/>
  <c r="J29" i="4"/>
  <c r="I29" i="4"/>
  <c r="H29" i="4"/>
  <c r="G29" i="4"/>
  <c r="G28" i="5"/>
  <c r="E29" i="4"/>
  <c r="I28" i="4"/>
  <c r="H28" i="4"/>
  <c r="G28" i="4"/>
  <c r="I27" i="5"/>
  <c r="F28" i="4"/>
  <c r="G27" i="5"/>
  <c r="J27" i="4"/>
  <c r="I27" i="4"/>
  <c r="H27" i="4"/>
  <c r="G27" i="4"/>
  <c r="I26" i="5"/>
  <c r="J26" i="4"/>
  <c r="H26" i="4"/>
  <c r="I25" i="5"/>
  <c r="J25" i="4"/>
  <c r="I25" i="4"/>
  <c r="H25" i="4"/>
  <c r="G25" i="4"/>
  <c r="E25" i="4"/>
  <c r="G24" i="5"/>
  <c r="J23" i="4"/>
  <c r="I23" i="4"/>
  <c r="E23" i="4"/>
  <c r="J22" i="4"/>
  <c r="I22" i="4"/>
  <c r="I21" i="5"/>
  <c r="G21" i="5"/>
  <c r="J21" i="4"/>
  <c r="G21" i="4"/>
  <c r="I20" i="5"/>
  <c r="F21" i="4"/>
  <c r="E21" i="4"/>
  <c r="H20" i="4"/>
  <c r="G20" i="4"/>
  <c r="I19" i="5"/>
  <c r="J19" i="4"/>
  <c r="I19" i="4"/>
  <c r="H19" i="4"/>
  <c r="G19" i="4"/>
  <c r="I18" i="5"/>
  <c r="G18" i="4"/>
  <c r="F18" i="4"/>
  <c r="E18" i="4"/>
  <c r="J17" i="4"/>
  <c r="I17" i="4"/>
  <c r="F17" i="4"/>
  <c r="E17" i="4"/>
  <c r="G16" i="5"/>
  <c r="G16" i="4"/>
  <c r="I15" i="5"/>
  <c r="F14" i="4"/>
  <c r="J13" i="4"/>
  <c r="I12" i="5"/>
  <c r="F13" i="4"/>
  <c r="G12" i="5"/>
  <c r="I12" i="4"/>
  <c r="H12" i="4"/>
  <c r="G12" i="4"/>
  <c r="F12" i="4"/>
  <c r="G11" i="5"/>
  <c r="I11" i="4"/>
  <c r="H11" i="4"/>
  <c r="G11" i="4"/>
  <c r="I10" i="5"/>
  <c r="F11" i="4"/>
  <c r="E11" i="4"/>
  <c r="I10" i="4"/>
  <c r="H10" i="4"/>
  <c r="F10" i="4"/>
  <c r="G9" i="5"/>
  <c r="J9" i="4"/>
  <c r="I9" i="4"/>
  <c r="I8" i="5"/>
  <c r="F9" i="4"/>
  <c r="G8" i="4"/>
  <c r="F8" i="4"/>
  <c r="G7" i="5"/>
  <c r="H7" i="4"/>
  <c r="I6" i="5"/>
  <c r="I6" i="4"/>
  <c r="H6" i="4"/>
  <c r="G6" i="4"/>
  <c r="I5" i="5"/>
  <c r="F6" i="4"/>
  <c r="J5" i="4"/>
  <c r="F5" i="4"/>
  <c r="J4" i="4"/>
  <c r="I4" i="4"/>
  <c r="F4" i="4"/>
  <c r="E4" i="4"/>
  <c r="G24" i="4"/>
  <c r="I23" i="5"/>
  <c r="G23" i="4"/>
  <c r="G22" i="4"/>
  <c r="I21" i="4"/>
  <c r="I17" i="5"/>
  <c r="H13" i="4"/>
  <c r="I11" i="5"/>
  <c r="H9" i="4"/>
  <c r="G9" i="4"/>
  <c r="H8" i="4"/>
  <c r="G7" i="4"/>
  <c r="G5" i="4"/>
  <c r="H4" i="4"/>
  <c r="G4" i="4"/>
  <c r="I3" i="5"/>
  <c r="I4" i="5"/>
  <c r="H5" i="4"/>
  <c r="G5" i="5"/>
  <c r="J6" i="4"/>
  <c r="G6" i="5"/>
  <c r="F7" i="4"/>
  <c r="I7" i="4"/>
  <c r="J7" i="4"/>
  <c r="I8" i="4"/>
  <c r="I9" i="5"/>
  <c r="J10" i="4"/>
  <c r="J12" i="4"/>
  <c r="G13" i="4"/>
  <c r="I13" i="4"/>
  <c r="I13" i="5"/>
  <c r="F16" i="4"/>
  <c r="I16" i="4"/>
  <c r="J18" i="4"/>
  <c r="G18" i="5"/>
  <c r="I20" i="4"/>
  <c r="J20" i="4"/>
  <c r="H21" i="4"/>
  <c r="E22" i="4"/>
  <c r="F22" i="4"/>
  <c r="H22" i="4"/>
  <c r="I22" i="5"/>
  <c r="J24" i="4"/>
  <c r="I24" i="5"/>
  <c r="F26" i="4"/>
  <c r="G26" i="5"/>
  <c r="F27" i="4"/>
  <c r="E28" i="4"/>
  <c r="J28" i="4"/>
  <c r="I30" i="4"/>
  <c r="H30" i="4"/>
  <c r="I28" i="5"/>
  <c r="F29" i="4"/>
  <c r="G22" i="5"/>
  <c r="J15" i="4"/>
  <c r="J11" i="4"/>
  <c r="G10" i="5"/>
  <c r="G10" i="4"/>
  <c r="N8" i="4"/>
  <c r="L8" i="4"/>
  <c r="K8" i="4"/>
  <c r="F30" i="4"/>
  <c r="I7" i="5"/>
  <c r="E3" i="5"/>
  <c r="E4" i="5"/>
  <c r="E5" i="5"/>
  <c r="E6" i="5"/>
  <c r="E7" i="5"/>
  <c r="E8" i="5"/>
  <c r="E9" i="5"/>
  <c r="E10" i="5"/>
  <c r="E11" i="5"/>
  <c r="E12" i="5"/>
  <c r="E13" i="5"/>
  <c r="E14" i="5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E2" i="5"/>
  <c r="J8" i="4"/>
  <c r="L4" i="4"/>
  <c r="L5" i="4"/>
  <c r="L6" i="4"/>
  <c r="L7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O4" i="4"/>
  <c r="O5" i="4"/>
  <c r="O6" i="4"/>
  <c r="O7" i="4"/>
  <c r="O8" i="4"/>
  <c r="O9" i="4"/>
  <c r="O10" i="4"/>
  <c r="O11" i="4"/>
  <c r="O12" i="4"/>
  <c r="O13" i="4"/>
  <c r="O14" i="4"/>
  <c r="O15" i="4"/>
  <c r="O16" i="4"/>
  <c r="O17" i="4"/>
  <c r="O18" i="4"/>
  <c r="O19" i="4"/>
  <c r="O20" i="4"/>
  <c r="O21" i="4"/>
  <c r="O22" i="4"/>
  <c r="O23" i="4"/>
  <c r="O24" i="4"/>
  <c r="O25" i="4"/>
  <c r="O26" i="4"/>
  <c r="O27" i="4"/>
  <c r="O28" i="4"/>
  <c r="O29" i="4"/>
  <c r="O30" i="4"/>
  <c r="O31" i="4"/>
  <c r="N4" i="4"/>
  <c r="N5" i="4"/>
  <c r="N6" i="4"/>
  <c r="N7" i="4"/>
  <c r="N9" i="4"/>
  <c r="N10" i="4"/>
  <c r="N11" i="4"/>
  <c r="N12" i="4"/>
  <c r="N13" i="4"/>
  <c r="N14" i="4"/>
  <c r="N15" i="4"/>
  <c r="N16" i="4"/>
  <c r="N17" i="4"/>
  <c r="N18" i="4"/>
  <c r="N19" i="4"/>
  <c r="N20" i="4"/>
  <c r="N21" i="4"/>
  <c r="N22" i="4"/>
  <c r="N23" i="4"/>
  <c r="N24" i="4"/>
  <c r="N25" i="4"/>
  <c r="N26" i="4"/>
  <c r="N27" i="4"/>
  <c r="N28" i="4"/>
  <c r="N29" i="4"/>
  <c r="N30" i="4"/>
  <c r="N31" i="4"/>
  <c r="M4" i="4"/>
  <c r="M5" i="4"/>
  <c r="M6" i="4"/>
  <c r="M7" i="4"/>
  <c r="M8" i="4"/>
  <c r="M9" i="4"/>
  <c r="M10" i="4"/>
  <c r="M11" i="4"/>
  <c r="M12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K4" i="4"/>
  <c r="K5" i="4"/>
  <c r="K6" i="4"/>
  <c r="K7" i="4"/>
  <c r="K9" i="4"/>
  <c r="K10" i="4"/>
  <c r="K11" i="4"/>
  <c r="K12" i="4"/>
  <c r="K13" i="4"/>
  <c r="K14" i="4"/>
  <c r="K15" i="4"/>
  <c r="K16" i="4"/>
  <c r="K17" i="4"/>
  <c r="K18" i="4"/>
  <c r="K19" i="4"/>
  <c r="K20" i="4"/>
  <c r="K21" i="4"/>
  <c r="K22" i="4"/>
  <c r="K23" i="4"/>
  <c r="K24" i="4"/>
  <c r="K25" i="4"/>
  <c r="K26" i="4"/>
  <c r="K27" i="4"/>
  <c r="K28" i="4"/>
  <c r="K29" i="4"/>
  <c r="K30" i="4"/>
  <c r="K31" i="4"/>
  <c r="I5" i="4"/>
  <c r="G30" i="4"/>
  <c r="E31" i="4"/>
  <c r="O3" i="4"/>
  <c r="N3" i="4"/>
  <c r="M3" i="4"/>
  <c r="K3" i="4"/>
  <c r="L3" i="4"/>
  <c r="P4" i="4"/>
  <c r="P5" i="4"/>
  <c r="P6" i="4"/>
  <c r="P7" i="4"/>
  <c r="P8" i="4"/>
  <c r="P9" i="4"/>
  <c r="P10" i="4"/>
  <c r="P11" i="4"/>
  <c r="P12" i="4"/>
  <c r="P13" i="4"/>
  <c r="P14" i="4"/>
  <c r="P15" i="4"/>
  <c r="P16" i="4"/>
  <c r="P17" i="4"/>
  <c r="P18" i="4"/>
  <c r="P19" i="4"/>
  <c r="P20" i="4"/>
  <c r="P21" i="4"/>
  <c r="P22" i="4"/>
  <c r="P23" i="4"/>
  <c r="P24" i="4"/>
  <c r="P25" i="4"/>
  <c r="P26" i="4"/>
  <c r="P27" i="4"/>
  <c r="P28" i="4"/>
  <c r="P29" i="4"/>
  <c r="P30" i="4"/>
  <c r="P31" i="4"/>
  <c r="P32" i="4"/>
  <c r="P3" i="4"/>
  <c r="B4" i="4"/>
  <c r="B5" i="4"/>
  <c r="B6" i="4"/>
  <c r="B7" i="4"/>
  <c r="B8" i="4"/>
  <c r="B9" i="4"/>
  <c r="B10" i="4"/>
  <c r="B11" i="4"/>
  <c r="B12" i="4"/>
  <c r="B13" i="4"/>
  <c r="B14" i="4"/>
  <c r="B15" i="4"/>
  <c r="B16" i="4"/>
  <c r="B17" i="4"/>
  <c r="B18" i="4"/>
  <c r="B19" i="4"/>
  <c r="B20" i="4"/>
  <c r="B21" i="4"/>
  <c r="B22" i="4"/>
  <c r="B23" i="4"/>
  <c r="B24" i="4"/>
  <c r="B25" i="4"/>
  <c r="B26" i="4"/>
  <c r="B27" i="4"/>
  <c r="B28" i="4"/>
  <c r="B29" i="4"/>
  <c r="B30" i="4"/>
  <c r="B31" i="4"/>
  <c r="B32" i="4"/>
  <c r="B33" i="4"/>
  <c r="B3" i="5"/>
  <c r="B4" i="5"/>
  <c r="B5" i="5"/>
  <c r="B6" i="5"/>
  <c r="B7" i="5"/>
  <c r="B8" i="5"/>
  <c r="B9" i="5"/>
  <c r="B10" i="5"/>
  <c r="B11" i="5"/>
  <c r="B12" i="5"/>
  <c r="B13" i="5"/>
  <c r="B14" i="5"/>
  <c r="B15" i="5"/>
  <c r="B16" i="5"/>
  <c r="B17" i="5"/>
  <c r="B18" i="5"/>
  <c r="B19" i="5"/>
  <c r="B20" i="5"/>
  <c r="B21" i="5"/>
  <c r="B22" i="5"/>
  <c r="B23" i="5"/>
  <c r="B24" i="5"/>
  <c r="B25" i="5"/>
  <c r="B26" i="5"/>
  <c r="B27" i="5"/>
  <c r="B28" i="5"/>
  <c r="B29" i="5"/>
  <c r="B30" i="5"/>
  <c r="B31" i="5"/>
  <c r="B32" i="5"/>
  <c r="E8" i="4"/>
  <c r="E6" i="4"/>
  <c r="E7" i="4"/>
  <c r="E27" i="4"/>
  <c r="G20" i="5"/>
  <c r="E13" i="4"/>
  <c r="G29" i="5"/>
  <c r="G3" i="5"/>
  <c r="G4" i="5"/>
  <c r="E5" i="4"/>
  <c r="E9" i="4"/>
  <c r="G8" i="5"/>
  <c r="E12" i="4"/>
  <c r="E10" i="4"/>
  <c r="F3" i="4"/>
  <c r="J3" i="4"/>
  <c r="E3" i="4"/>
  <c r="G2" i="5"/>
  <c r="H3" i="4"/>
  <c r="E16" i="4"/>
  <c r="G14" i="5"/>
  <c r="G13" i="5"/>
  <c r="G19" i="5"/>
  <c r="G23" i="5"/>
  <c r="E26" i="4"/>
  <c r="G32" i="5"/>
  <c r="BB35" i="2"/>
</calcChain>
</file>

<file path=xl/sharedStrings.xml><?xml version="1.0" encoding="utf-8"?>
<sst xmlns="http://schemas.openxmlformats.org/spreadsheetml/2006/main" count="204" uniqueCount="76">
  <si>
    <t>GAS CUCINA</t>
  </si>
  <si>
    <t xml:space="preserve">  H2O GENERALE</t>
  </si>
  <si>
    <t>H2O CONDIZION.ADD</t>
  </si>
  <si>
    <t>H2O ADD F CUC P</t>
  </si>
  <si>
    <t>H2O SANIT. CALDA</t>
  </si>
  <si>
    <t xml:space="preserve">  ENEL ATTIVA</t>
  </si>
  <si>
    <t>ENEL REATT.</t>
  </si>
  <si>
    <t>RICAVI</t>
  </si>
  <si>
    <t xml:space="preserve">REFRIGERATA </t>
  </si>
  <si>
    <t>lt/ G</t>
  </si>
  <si>
    <t>ACQUA GENER.</t>
  </si>
  <si>
    <t>ACQUA CONDIZ.</t>
  </si>
  <si>
    <t>ENERGIA</t>
  </si>
  <si>
    <t>Proiezione BA</t>
  </si>
  <si>
    <t>GG</t>
  </si>
  <si>
    <t>ORA</t>
  </si>
  <si>
    <t>NOTE</t>
  </si>
  <si>
    <t>LETTURA MC</t>
  </si>
  <si>
    <t>DIFF. G</t>
  </si>
  <si>
    <t>lett. BA</t>
  </si>
  <si>
    <t>GUESTS</t>
  </si>
  <si>
    <t>mcxcl</t>
  </si>
  <si>
    <t>LET. KWH*2200</t>
  </si>
  <si>
    <t>LET.KWT</t>
  </si>
  <si>
    <t>LET. KWH</t>
  </si>
  <si>
    <t>LET. KWH*80</t>
  </si>
  <si>
    <t>COVERS</t>
  </si>
  <si>
    <t>MIN</t>
  </si>
  <si>
    <t>MAX</t>
  </si>
  <si>
    <t>LAVANDERIA</t>
  </si>
  <si>
    <t xml:space="preserve">TOTALE </t>
  </si>
  <si>
    <t>CONSUMI</t>
  </si>
  <si>
    <t>BUDGET</t>
  </si>
  <si>
    <t>RIMECO 14</t>
  </si>
  <si>
    <t>RIMECO 15</t>
  </si>
  <si>
    <t>RIMECO 16</t>
  </si>
  <si>
    <t>Site Name</t>
  </si>
  <si>
    <t>Day</t>
  </si>
  <si>
    <t>Month</t>
  </si>
  <si>
    <t>Year</t>
  </si>
  <si>
    <t>Total Electricity Kwh</t>
  </si>
  <si>
    <t>Natual Gas (m3)</t>
  </si>
  <si>
    <t>Water Utility Supply (m3) m3</t>
  </si>
  <si>
    <t xml:space="preserve">Room Nights </t>
  </si>
  <si>
    <t xml:space="preserve">Total Guests </t>
  </si>
  <si>
    <t>Milan</t>
  </si>
  <si>
    <t>GAS CUCINA (m3)</t>
  </si>
  <si>
    <t>H2O CONDIZION.ADD (m3)</t>
  </si>
  <si>
    <t>REINT. H2O ADD (m3)</t>
  </si>
  <si>
    <t>H2O ADD F CUC P (m3)</t>
  </si>
  <si>
    <t>H2O SANIT. CALDA (m3)</t>
  </si>
  <si>
    <t>ENEL CUC.PRINC. P (KWh)</t>
  </si>
  <si>
    <t>ENEL CUC.PRINC. N. (KWh)</t>
  </si>
  <si>
    <t>ENEL CUC.PREP. (KWh)</t>
  </si>
  <si>
    <t>ENEL CUC.VERANDA (KWh)</t>
  </si>
  <si>
    <t>GAS RISCALD.(m3)</t>
  </si>
  <si>
    <t xml:space="preserve">   ENEL LAVANDERIA (KWh)</t>
  </si>
  <si>
    <t>Electricity Tariff ($/Kwh)</t>
  </si>
  <si>
    <t>Natural Gas $/m3</t>
  </si>
  <si>
    <t>Water Utility Supply (m3) $/m3</t>
  </si>
  <si>
    <t>ENEL CUC.PRINC</t>
  </si>
  <si>
    <t xml:space="preserve">   GAS RISCALD.</t>
  </si>
  <si>
    <t xml:space="preserve">        GAS CUCINA</t>
  </si>
  <si>
    <t>REINT. H2O ADD rfrig</t>
  </si>
  <si>
    <t xml:space="preserve">    ENEL CUC.PRINC. P</t>
  </si>
  <si>
    <t xml:space="preserve"> ENEL CUC.PRINC. N.</t>
  </si>
  <si>
    <t>ENEL CUC.PREP.</t>
  </si>
  <si>
    <t xml:space="preserve">           ENEL CUC.VERANDA       </t>
  </si>
  <si>
    <t xml:space="preserve">              ENEL LAVANDERIA</t>
  </si>
  <si>
    <t xml:space="preserve">  TEMPER.GG.</t>
  </si>
  <si>
    <t>GAS RISCALDAM.</t>
  </si>
  <si>
    <t>ENEL CUC.VER.</t>
  </si>
  <si>
    <t>ENEL LAVAND.</t>
  </si>
  <si>
    <t>Consumo BA</t>
  </si>
  <si>
    <t>00:00</t>
  </si>
  <si>
    <t>GF4 + recupero in mnt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</si>
</sst>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0">
    <numFmt numFmtId="169" formatCode="_-* #,##0_-;\-* #,##0_-;_-* &quot;-&quot;_-;_-@_-"/>
    <numFmt numFmtId="171" formatCode="_-* #,##0.00_-;\-* #,##0.00_-;_-* &quot;-&quot;??_-;_-@_-"/>
    <numFmt numFmtId="172" formatCode="_-* #,##0.000_-;\-* #,##0.000_-;_-* &quot;-&quot;_-;_-@_-"/>
    <numFmt numFmtId="173" formatCode="#,##0_ ;\-#,##0\ "/>
    <numFmt numFmtId="174" formatCode="_-* #,##0.00_-;\-* #,##0.00_-;_-* &quot;-&quot;_-;_-@_-"/>
    <numFmt numFmtId="175" formatCode="_-* #,##0.00000_-;\-* #,##0.00000_-;_-* &quot;-&quot;_-;_-@_-"/>
    <numFmt numFmtId="177" formatCode="#,##0.00_ ;\-#,##0.00\ "/>
    <numFmt numFmtId="178" formatCode="0.000"/>
    <numFmt numFmtId="179" formatCode="#,##0.000"/>
    <numFmt numFmtId="180" formatCode="#,##0.000_ ;\-#,##0.000\ "/>
  </numFmts>
  <fonts count="21" x14ac:knownFonts="1">
    <font>
      <sz val="11"/>
      <color theme="1"/>
      <name val="Calibri"/>
      <family val="2"/>
      <scheme val="minor"/>
    </font>
    <font>
      <sz val="12"/>
      <name val="Arial"/>
      <family val="2"/>
    </font>
    <font>
      <b/>
      <sz val="12"/>
      <name val="Arial"/>
      <family val="2"/>
    </font>
    <font>
      <sz val="12"/>
      <color indexed="12"/>
      <name val="Arial"/>
      <family val="2"/>
    </font>
    <font>
      <b/>
      <sz val="10"/>
      <name val="Arial"/>
      <family val="2"/>
    </font>
    <font>
      <sz val="12"/>
      <color indexed="10"/>
      <name val="Arial"/>
      <family val="2"/>
    </font>
    <font>
      <sz val="12"/>
      <color indexed="17"/>
      <name val="Arial"/>
      <family val="2"/>
    </font>
    <font>
      <sz val="12"/>
      <color indexed="30"/>
      <name val="Arial"/>
      <family val="2"/>
    </font>
    <font>
      <b/>
      <sz val="12"/>
      <color indexed="48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theme="3"/>
      <name val="Arial"/>
      <family val="2"/>
    </font>
    <font>
      <sz val="11"/>
      <color theme="3"/>
      <name val="Calibri"/>
      <family val="2"/>
      <scheme val="minor"/>
    </font>
    <font>
      <sz val="1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sz val="12"/>
      <color theme="9"/>
      <name val="Arial"/>
      <family val="2"/>
    </font>
    <font>
      <sz val="12"/>
      <color theme="9" tint="-0.249977111117893"/>
      <name val="Arial"/>
      <family val="2"/>
    </font>
    <font>
      <sz val="12"/>
      <color rgb="FFFF0000"/>
      <name val="Arial"/>
      <family val="2"/>
    </font>
    <font>
      <sz val="12"/>
      <color rgb="FF00B0F0"/>
      <name val="Arial"/>
      <family val="2"/>
    </font>
    <font>
      <b/>
      <sz val="12"/>
      <color theme="3" tint="0.59999389629810485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11"/>
      </patternFill>
    </fill>
    <fill>
      <patternFill patternType="solid">
        <fgColor indexed="13"/>
        <bgColor indexed="64"/>
      </patternFill>
    </fill>
    <fill>
      <patternFill patternType="solid">
        <fgColor indexed="13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</fills>
  <borders count="45">
    <border>
      <left/>
      <right/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indexed="8"/>
      </right>
      <top/>
      <bottom/>
      <diagonal/>
    </border>
    <border>
      <left style="double">
        <color indexed="8"/>
      </left>
      <right style="double">
        <color indexed="8"/>
      </right>
      <top style="double">
        <color indexed="8"/>
      </top>
      <bottom style="double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double">
        <color indexed="8"/>
      </top>
      <bottom style="double">
        <color indexed="8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double">
        <color indexed="8"/>
      </left>
      <right style="thin">
        <color indexed="64"/>
      </right>
      <top style="thin">
        <color indexed="8"/>
      </top>
      <bottom style="thin">
        <color indexed="8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double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double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8"/>
      </left>
      <right/>
      <top style="medium">
        <color indexed="64"/>
      </top>
      <bottom style="thin">
        <color indexed="8"/>
      </bottom>
      <diagonal/>
    </border>
    <border>
      <left/>
      <right style="thin">
        <color indexed="8"/>
      </right>
      <top style="medium">
        <color indexed="64"/>
      </top>
      <bottom style="thin">
        <color indexed="8"/>
      </bottom>
      <diagonal/>
    </border>
    <border>
      <left style="medium">
        <color indexed="64"/>
      </left>
      <right/>
      <top style="medium">
        <color indexed="8"/>
      </top>
      <bottom/>
      <diagonal/>
    </border>
    <border>
      <left/>
      <right/>
      <top style="medium">
        <color indexed="8"/>
      </top>
      <bottom/>
      <diagonal/>
    </border>
    <border>
      <left/>
      <right style="medium">
        <color indexed="8"/>
      </right>
      <top style="medium">
        <color indexed="8"/>
      </top>
      <bottom/>
      <diagonal/>
    </border>
    <border>
      <left/>
      <right style="medium">
        <color indexed="8"/>
      </right>
      <top/>
      <bottom/>
      <diagonal/>
    </border>
    <border>
      <left style="medium">
        <color indexed="8"/>
      </left>
      <right/>
      <top style="medium">
        <color indexed="64"/>
      </top>
      <bottom/>
      <diagonal/>
    </border>
    <border>
      <left style="medium">
        <color indexed="8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8"/>
      </left>
      <right style="double">
        <color indexed="8"/>
      </right>
      <top style="double">
        <color indexed="8"/>
      </top>
      <bottom/>
      <diagonal/>
    </border>
    <border>
      <left style="double">
        <color indexed="8"/>
      </left>
      <right style="thin">
        <color indexed="8"/>
      </right>
      <top/>
      <bottom style="double">
        <color indexed="8"/>
      </bottom>
      <diagonal/>
    </border>
    <border>
      <left style="thin">
        <color indexed="8"/>
      </left>
      <right style="double">
        <color indexed="8"/>
      </right>
      <top/>
      <bottom style="double">
        <color indexed="8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169" fontId="9" fillId="0" borderId="0" applyFont="0" applyFill="0" applyBorder="0" applyAlignment="0" applyProtection="0"/>
  </cellStyleXfs>
  <cellXfs count="160">
    <xf numFmtId="0" fontId="0" fillId="0" borderId="0" xfId="0"/>
    <xf numFmtId="169" fontId="1" fillId="0" borderId="0" xfId="1" applyFont="1"/>
    <xf numFmtId="169" fontId="2" fillId="0" borderId="0" xfId="1" applyFont="1"/>
    <xf numFmtId="169" fontId="2" fillId="3" borderId="1" xfId="1" applyFont="1" applyFill="1" applyBorder="1" applyAlignment="1" applyProtection="1">
      <alignment horizontal="left"/>
    </xf>
    <xf numFmtId="169" fontId="2" fillId="3" borderId="2" xfId="1" applyFont="1" applyFill="1" applyBorder="1" applyAlignment="1" applyProtection="1">
      <alignment horizontal="left"/>
    </xf>
    <xf numFmtId="169" fontId="4" fillId="3" borderId="3" xfId="1" applyFont="1" applyFill="1" applyBorder="1" applyAlignment="1" applyProtection="1">
      <alignment horizontal="left"/>
    </xf>
    <xf numFmtId="169" fontId="5" fillId="0" borderId="4" xfId="1" applyFont="1" applyBorder="1" applyProtection="1"/>
    <xf numFmtId="169" fontId="3" fillId="0" borderId="4" xfId="1" applyFont="1" applyBorder="1" applyProtection="1"/>
    <xf numFmtId="169" fontId="1" fillId="0" borderId="4" xfId="1" applyFont="1" applyBorder="1" applyProtection="1"/>
    <xf numFmtId="3" fontId="1" fillId="0" borderId="4" xfId="1" applyNumberFormat="1" applyFont="1" applyBorder="1" applyProtection="1"/>
    <xf numFmtId="169" fontId="1" fillId="0" borderId="4" xfId="1" applyFont="1" applyBorder="1" applyAlignment="1" applyProtection="1">
      <alignment horizontal="left"/>
    </xf>
    <xf numFmtId="172" fontId="6" fillId="0" borderId="4" xfId="1" applyNumberFormat="1" applyFont="1" applyBorder="1" applyProtection="1"/>
    <xf numFmtId="3" fontId="5" fillId="0" borderId="4" xfId="1" applyNumberFormat="1" applyFont="1" applyBorder="1" applyProtection="1"/>
    <xf numFmtId="174" fontId="5" fillId="0" borderId="4" xfId="1" applyNumberFormat="1" applyFont="1" applyBorder="1" applyProtection="1"/>
    <xf numFmtId="169" fontId="5" fillId="0" borderId="4" xfId="1" applyFont="1" applyFill="1" applyBorder="1" applyProtection="1"/>
    <xf numFmtId="169" fontId="1" fillId="0" borderId="5" xfId="1" applyFont="1" applyBorder="1" applyProtection="1"/>
    <xf numFmtId="169" fontId="1" fillId="0" borderId="6" xfId="1" applyFont="1" applyBorder="1" applyProtection="1"/>
    <xf numFmtId="169" fontId="1" fillId="0" borderId="7" xfId="1" applyFont="1" applyBorder="1"/>
    <xf numFmtId="169" fontId="2" fillId="0" borderId="8" xfId="1" applyFont="1" applyBorder="1" applyProtection="1"/>
    <xf numFmtId="169" fontId="2" fillId="0" borderId="0" xfId="1" applyFont="1" applyBorder="1" applyProtection="1"/>
    <xf numFmtId="169" fontId="1" fillId="2" borderId="9" xfId="1" applyFont="1" applyFill="1" applyBorder="1"/>
    <xf numFmtId="169" fontId="2" fillId="5" borderId="10" xfId="1" applyFont="1" applyFill="1" applyBorder="1"/>
    <xf numFmtId="169" fontId="2" fillId="0" borderId="0" xfId="1" applyFont="1" applyAlignment="1" applyProtection="1">
      <alignment horizontal="center"/>
    </xf>
    <xf numFmtId="174" fontId="2" fillId="0" borderId="0" xfId="1" applyNumberFormat="1" applyFont="1" applyBorder="1" applyProtection="1"/>
    <xf numFmtId="174" fontId="1" fillId="0" borderId="0" xfId="1" applyNumberFormat="1" applyFont="1"/>
    <xf numFmtId="169" fontId="2" fillId="0" borderId="11" xfId="1" applyFont="1" applyBorder="1"/>
    <xf numFmtId="169" fontId="2" fillId="0" borderId="11" xfId="1" applyFont="1" applyBorder="1" applyProtection="1"/>
    <xf numFmtId="169" fontId="1" fillId="0" borderId="0" xfId="1" applyNumberFormat="1" applyFont="1"/>
    <xf numFmtId="1" fontId="0" fillId="0" borderId="0" xfId="0" applyNumberFormat="1"/>
    <xf numFmtId="1" fontId="10" fillId="0" borderId="0" xfId="0" applyNumberFormat="1" applyFont="1" applyAlignment="1">
      <alignment vertical="center" wrapText="1"/>
    </xf>
    <xf numFmtId="0" fontId="10" fillId="0" borderId="0" xfId="0" applyFont="1" applyAlignment="1">
      <alignment vertical="center" wrapText="1"/>
    </xf>
    <xf numFmtId="0" fontId="10" fillId="0" borderId="0" xfId="0" applyFont="1" applyAlignment="1">
      <alignment wrapText="1"/>
    </xf>
    <xf numFmtId="0" fontId="10" fillId="0" borderId="0" xfId="0" applyFont="1"/>
    <xf numFmtId="1" fontId="10" fillId="0" borderId="0" xfId="0" applyNumberFormat="1" applyFont="1" applyAlignment="1">
      <alignment wrapText="1"/>
    </xf>
    <xf numFmtId="0" fontId="12" fillId="0" borderId="0" xfId="0" applyFont="1"/>
    <xf numFmtId="0" fontId="13" fillId="0" borderId="0" xfId="0" applyFont="1"/>
    <xf numFmtId="0" fontId="14" fillId="0" borderId="0" xfId="0" applyFont="1"/>
    <xf numFmtId="1" fontId="12" fillId="0" borderId="0" xfId="0" applyNumberFormat="1" applyFont="1"/>
    <xf numFmtId="169" fontId="12" fillId="0" borderId="0" xfId="0" applyNumberFormat="1" applyFont="1"/>
    <xf numFmtId="1" fontId="15" fillId="0" borderId="0" xfId="0" applyNumberFormat="1" applyFont="1" applyAlignment="1">
      <alignment wrapText="1"/>
    </xf>
    <xf numFmtId="1" fontId="14" fillId="0" borderId="0" xfId="0" applyNumberFormat="1" applyFont="1"/>
    <xf numFmtId="1" fontId="11" fillId="0" borderId="0" xfId="0" applyNumberFormat="1" applyFont="1"/>
    <xf numFmtId="169" fontId="1" fillId="3" borderId="12" xfId="1" applyFont="1" applyFill="1" applyBorder="1" applyAlignment="1">
      <alignment horizontal="center" vertical="center" wrapText="1"/>
    </xf>
    <xf numFmtId="169" fontId="1" fillId="3" borderId="13" xfId="1" applyFont="1" applyFill="1" applyBorder="1" applyAlignment="1">
      <alignment horizontal="center" vertical="center" wrapText="1"/>
    </xf>
    <xf numFmtId="169" fontId="1" fillId="3" borderId="14" xfId="1" applyFont="1" applyFill="1" applyBorder="1" applyAlignment="1">
      <alignment horizontal="center" vertical="center" wrapText="1"/>
    </xf>
    <xf numFmtId="169" fontId="1" fillId="0" borderId="0" xfId="1" applyFont="1" applyBorder="1"/>
    <xf numFmtId="169" fontId="1" fillId="0" borderId="0" xfId="1" applyFont="1" applyBorder="1" applyAlignment="1">
      <alignment horizontal="center" vertical="center" wrapText="1"/>
    </xf>
    <xf numFmtId="169" fontId="2" fillId="3" borderId="1" xfId="1" applyFont="1" applyFill="1" applyBorder="1" applyAlignment="1" applyProtection="1">
      <alignment horizontal="center" vertical="center" wrapText="1"/>
    </xf>
    <xf numFmtId="169" fontId="2" fillId="3" borderId="1" xfId="1" applyFont="1" applyFill="1" applyBorder="1" applyAlignment="1" applyProtection="1">
      <alignment horizontal="left" vertical="center"/>
    </xf>
    <xf numFmtId="169" fontId="2" fillId="3" borderId="9" xfId="1" applyFont="1" applyFill="1" applyBorder="1" applyAlignment="1">
      <alignment horizontal="center" vertical="center" wrapText="1"/>
    </xf>
    <xf numFmtId="169" fontId="16" fillId="0" borderId="4" xfId="1" applyFont="1" applyBorder="1" applyProtection="1"/>
    <xf numFmtId="3" fontId="1" fillId="0" borderId="1" xfId="1" applyNumberFormat="1" applyFont="1" applyBorder="1" applyProtection="1"/>
    <xf numFmtId="169" fontId="2" fillId="4" borderId="15" xfId="1" applyFont="1" applyFill="1" applyBorder="1" applyAlignment="1" applyProtection="1">
      <alignment horizontal="right"/>
    </xf>
    <xf numFmtId="169" fontId="2" fillId="0" borderId="0" xfId="1" applyFont="1" applyBorder="1" applyAlignment="1" applyProtection="1">
      <alignment horizontal="left"/>
    </xf>
    <xf numFmtId="169" fontId="2" fillId="0" borderId="16" xfId="1" applyFont="1" applyBorder="1" applyProtection="1"/>
    <xf numFmtId="169" fontId="1" fillId="2" borderId="0" xfId="1" applyFont="1" applyFill="1" applyBorder="1"/>
    <xf numFmtId="169" fontId="1" fillId="0" borderId="0" xfId="1" applyFont="1" applyBorder="1" applyProtection="1"/>
    <xf numFmtId="174" fontId="2" fillId="0" borderId="0" xfId="1" applyNumberFormat="1" applyFont="1"/>
    <xf numFmtId="169" fontId="2" fillId="0" borderId="10" xfId="1" applyFont="1" applyFill="1" applyBorder="1"/>
    <xf numFmtId="169" fontId="2" fillId="4" borderId="17" xfId="1" applyFont="1" applyFill="1" applyBorder="1" applyProtection="1"/>
    <xf numFmtId="4" fontId="1" fillId="0" borderId="4" xfId="1" quotePrefix="1" applyNumberFormat="1" applyFont="1" applyBorder="1" applyAlignment="1" applyProtection="1">
      <alignment horizontal="left"/>
    </xf>
    <xf numFmtId="177" fontId="5" fillId="0" borderId="4" xfId="1" applyNumberFormat="1" applyFont="1" applyBorder="1" applyProtection="1"/>
    <xf numFmtId="178" fontId="5" fillId="0" borderId="18" xfId="1" applyNumberFormat="1" applyFont="1" applyBorder="1" applyProtection="1"/>
    <xf numFmtId="169" fontId="2" fillId="4" borderId="5" xfId="1" applyFont="1" applyFill="1" applyBorder="1" applyAlignment="1" applyProtection="1"/>
    <xf numFmtId="169" fontId="5" fillId="0" borderId="19" xfId="1" applyFont="1" applyBorder="1" applyProtection="1"/>
    <xf numFmtId="174" fontId="5" fillId="0" borderId="19" xfId="1" applyNumberFormat="1" applyFont="1" applyBorder="1" applyProtection="1"/>
    <xf numFmtId="169" fontId="5" fillId="0" borderId="20" xfId="1" applyFont="1" applyBorder="1" applyProtection="1"/>
    <xf numFmtId="169" fontId="1" fillId="3" borderId="17" xfId="1" applyFont="1" applyFill="1" applyBorder="1"/>
    <xf numFmtId="169" fontId="5" fillId="0" borderId="19" xfId="1" applyFont="1" applyFill="1" applyBorder="1" applyProtection="1"/>
    <xf numFmtId="172" fontId="5" fillId="0" borderId="21" xfId="1" applyNumberFormat="1" applyFont="1" applyBorder="1" applyProtection="1"/>
    <xf numFmtId="169" fontId="5" fillId="0" borderId="5" xfId="1" applyFont="1" applyBorder="1" applyProtection="1"/>
    <xf numFmtId="169" fontId="5" fillId="0" borderId="6" xfId="1" applyFont="1" applyBorder="1" applyProtection="1"/>
    <xf numFmtId="169" fontId="3" fillId="0" borderId="6" xfId="1" applyFont="1" applyFill="1" applyBorder="1"/>
    <xf numFmtId="169" fontId="17" fillId="0" borderId="4" xfId="1" applyFont="1" applyBorder="1" applyProtection="1"/>
    <xf numFmtId="169" fontId="7" fillId="0" borderId="4" xfId="1" applyFont="1" applyBorder="1" applyProtection="1"/>
    <xf numFmtId="169" fontId="5" fillId="0" borderId="4" xfId="1" applyNumberFormat="1" applyFont="1" applyBorder="1" applyProtection="1"/>
    <xf numFmtId="169" fontId="3" fillId="0" borderId="19" xfId="1" applyFont="1" applyFill="1" applyBorder="1" applyProtection="1"/>
    <xf numFmtId="179" fontId="5" fillId="0" borderId="4" xfId="1" applyNumberFormat="1" applyFont="1" applyBorder="1" applyProtection="1"/>
    <xf numFmtId="169" fontId="3" fillId="0" borderId="5" xfId="1" applyFont="1" applyFill="1" applyBorder="1" applyProtection="1"/>
    <xf numFmtId="173" fontId="5" fillId="0" borderId="4" xfId="1" applyNumberFormat="1" applyFont="1" applyFill="1" applyBorder="1" applyProtection="1"/>
    <xf numFmtId="169" fontId="1" fillId="4" borderId="17" xfId="1" applyFont="1" applyFill="1" applyBorder="1" applyProtection="1"/>
    <xf numFmtId="169" fontId="17" fillId="0" borderId="22" xfId="1" applyFont="1" applyBorder="1" applyProtection="1"/>
    <xf numFmtId="169" fontId="5" fillId="6" borderId="4" xfId="1" applyFont="1" applyFill="1" applyBorder="1" applyProtection="1"/>
    <xf numFmtId="171" fontId="5" fillId="0" borderId="4" xfId="1" applyNumberFormat="1" applyFont="1" applyBorder="1" applyProtection="1"/>
    <xf numFmtId="1" fontId="5" fillId="0" borderId="4" xfId="1" applyNumberFormat="1" applyFont="1" applyFill="1" applyBorder="1" applyProtection="1"/>
    <xf numFmtId="169" fontId="1" fillId="4" borderId="5" xfId="1" applyFont="1" applyFill="1" applyBorder="1" applyProtection="1"/>
    <xf numFmtId="175" fontId="5" fillId="0" borderId="18" xfId="1" applyNumberFormat="1" applyFont="1" applyBorder="1" applyProtection="1"/>
    <xf numFmtId="171" fontId="5" fillId="0" borderId="4" xfId="1" applyNumberFormat="1" applyFont="1" applyFill="1" applyBorder="1" applyProtection="1"/>
    <xf numFmtId="169" fontId="18" fillId="0" borderId="4" xfId="1" applyFont="1" applyBorder="1" applyProtection="1"/>
    <xf numFmtId="169" fontId="19" fillId="0" borderId="22" xfId="1" applyFont="1" applyBorder="1" applyProtection="1"/>
    <xf numFmtId="1" fontId="5" fillId="0" borderId="4" xfId="1" applyNumberFormat="1" applyFont="1" applyFill="1" applyBorder="1"/>
    <xf numFmtId="169" fontId="5" fillId="0" borderId="4" xfId="1" applyFont="1" applyFill="1" applyBorder="1"/>
    <xf numFmtId="169" fontId="2" fillId="4" borderId="17" xfId="1" applyFont="1" applyFill="1" applyBorder="1"/>
    <xf numFmtId="4" fontId="1" fillId="0" borderId="4" xfId="1" quotePrefix="1" applyNumberFormat="1" applyFont="1" applyBorder="1" applyAlignment="1">
      <alignment horizontal="left"/>
    </xf>
    <xf numFmtId="169" fontId="8" fillId="0" borderId="4" xfId="1" applyFont="1" applyBorder="1" applyAlignment="1">
      <alignment horizontal="left"/>
    </xf>
    <xf numFmtId="169" fontId="5" fillId="0" borderId="4" xfId="1" applyFont="1" applyBorder="1"/>
    <xf numFmtId="169" fontId="1" fillId="0" borderId="4" xfId="1" applyFont="1" applyBorder="1"/>
    <xf numFmtId="169" fontId="16" fillId="0" borderId="4" xfId="1" applyFont="1" applyBorder="1"/>
    <xf numFmtId="169" fontId="3" fillId="0" borderId="4" xfId="1" applyFont="1" applyBorder="1"/>
    <xf numFmtId="172" fontId="6" fillId="0" borderId="4" xfId="1" applyNumberFormat="1" applyFont="1" applyBorder="1"/>
    <xf numFmtId="169" fontId="1" fillId="0" borderId="19" xfId="1" applyFont="1" applyBorder="1"/>
    <xf numFmtId="169" fontId="5" fillId="0" borderId="40" xfId="1" applyFont="1" applyBorder="1"/>
    <xf numFmtId="3" fontId="1" fillId="0" borderId="4" xfId="1" applyNumberFormat="1" applyFont="1" applyBorder="1"/>
    <xf numFmtId="3" fontId="5" fillId="0" borderId="4" xfId="1" applyNumberFormat="1" applyFont="1" applyBorder="1"/>
    <xf numFmtId="174" fontId="5" fillId="0" borderId="4" xfId="1" applyNumberFormat="1" applyFont="1" applyBorder="1"/>
    <xf numFmtId="177" fontId="5" fillId="0" borderId="4" xfId="1" applyNumberFormat="1" applyFont="1" applyBorder="1"/>
    <xf numFmtId="169" fontId="7" fillId="0" borderId="4" xfId="1" applyFont="1" applyBorder="1"/>
    <xf numFmtId="180" fontId="5" fillId="0" borderId="4" xfId="1" applyNumberFormat="1" applyFont="1" applyBorder="1"/>
    <xf numFmtId="172" fontId="5" fillId="0" borderId="18" xfId="1" applyNumberFormat="1" applyFont="1" applyBorder="1"/>
    <xf numFmtId="169" fontId="2" fillId="4" borderId="4" xfId="1" applyFont="1" applyFill="1" applyBorder="1"/>
    <xf numFmtId="169" fontId="2" fillId="0" borderId="0" xfId="1" applyFont="1" applyAlignment="1">
      <alignment horizontal="left"/>
    </xf>
    <xf numFmtId="169" fontId="2" fillId="0" borderId="8" xfId="1" applyFont="1" applyBorder="1"/>
    <xf numFmtId="169" fontId="20" fillId="0" borderId="0" xfId="1" applyFont="1"/>
    <xf numFmtId="173" fontId="2" fillId="0" borderId="8" xfId="1" applyNumberFormat="1" applyFont="1" applyBorder="1"/>
    <xf numFmtId="177" fontId="2" fillId="0" borderId="8" xfId="1" applyNumberFormat="1" applyFont="1" applyBorder="1"/>
    <xf numFmtId="169" fontId="2" fillId="0" borderId="41" xfId="1" applyFont="1" applyBorder="1"/>
    <xf numFmtId="169" fontId="2" fillId="0" borderId="29" xfId="1" applyFont="1" applyBorder="1"/>
    <xf numFmtId="169" fontId="2" fillId="0" borderId="42" xfId="1" applyFont="1" applyBorder="1"/>
    <xf numFmtId="169" fontId="2" fillId="0" borderId="43" xfId="1" applyFont="1" applyBorder="1"/>
    <xf numFmtId="169" fontId="1" fillId="2" borderId="4" xfId="1" applyFont="1" applyFill="1" applyBorder="1"/>
    <xf numFmtId="4" fontId="2" fillId="3" borderId="27" xfId="1" applyNumberFormat="1" applyFont="1" applyFill="1" applyBorder="1" applyAlignment="1" applyProtection="1">
      <alignment horizontal="center" vertical="center" wrapText="1"/>
    </xf>
    <xf numFmtId="4" fontId="2" fillId="3" borderId="29" xfId="1" applyNumberFormat="1" applyFont="1" applyFill="1" applyBorder="1" applyAlignment="1" applyProtection="1">
      <alignment horizontal="center" vertical="center" wrapText="1"/>
    </xf>
    <xf numFmtId="169" fontId="2" fillId="3" borderId="27" xfId="1" applyFont="1" applyFill="1" applyBorder="1" applyAlignment="1" applyProtection="1">
      <alignment horizontal="center" vertical="center" wrapText="1"/>
    </xf>
    <xf numFmtId="169" fontId="2" fillId="3" borderId="28" xfId="1" applyFont="1" applyFill="1" applyBorder="1" applyAlignment="1" applyProtection="1">
      <alignment horizontal="center" vertical="center" wrapText="1"/>
    </xf>
    <xf numFmtId="169" fontId="2" fillId="3" borderId="29" xfId="1" applyFont="1" applyFill="1" applyBorder="1" applyAlignment="1" applyProtection="1">
      <alignment horizontal="center" vertical="center" wrapText="1"/>
    </xf>
    <xf numFmtId="169" fontId="2" fillId="3" borderId="12" xfId="1" applyFont="1" applyFill="1" applyBorder="1" applyAlignment="1" applyProtection="1">
      <alignment horizontal="center" vertical="center" wrapText="1"/>
    </xf>
    <xf numFmtId="169" fontId="2" fillId="3" borderId="26" xfId="1" applyFont="1" applyFill="1" applyBorder="1" applyAlignment="1" applyProtection="1">
      <alignment horizontal="center" vertical="center" wrapText="1"/>
    </xf>
    <xf numFmtId="169" fontId="2" fillId="3" borderId="30" xfId="1" applyFont="1" applyFill="1" applyBorder="1" applyAlignment="1" applyProtection="1">
      <alignment horizontal="center" vertical="center" wrapText="1"/>
    </xf>
    <xf numFmtId="169" fontId="2" fillId="3" borderId="13" xfId="1" applyFont="1" applyFill="1" applyBorder="1" applyAlignment="1" applyProtection="1">
      <alignment horizontal="center" vertical="center" wrapText="1"/>
    </xf>
    <xf numFmtId="169" fontId="2" fillId="3" borderId="16" xfId="1" applyFont="1" applyFill="1" applyBorder="1" applyAlignment="1" applyProtection="1">
      <alignment horizontal="center" vertical="center" wrapText="1"/>
    </xf>
    <xf numFmtId="169" fontId="2" fillId="3" borderId="31" xfId="1" applyFont="1" applyFill="1" applyBorder="1" applyAlignment="1" applyProtection="1">
      <alignment horizontal="center" vertical="center" wrapText="1"/>
    </xf>
    <xf numFmtId="169" fontId="2" fillId="3" borderId="32" xfId="1" applyFont="1" applyFill="1" applyBorder="1" applyAlignment="1">
      <alignment horizontal="center" vertical="center" wrapText="1"/>
    </xf>
    <xf numFmtId="169" fontId="2" fillId="3" borderId="33" xfId="1" applyFont="1" applyFill="1" applyBorder="1" applyAlignment="1">
      <alignment horizontal="center" vertical="center" wrapText="1"/>
    </xf>
    <xf numFmtId="169" fontId="1" fillId="3" borderId="12" xfId="1" applyFont="1" applyFill="1" applyBorder="1" applyAlignment="1">
      <alignment horizontal="center" vertical="center" wrapText="1"/>
    </xf>
    <xf numFmtId="169" fontId="1" fillId="3" borderId="26" xfId="1" applyFont="1" applyFill="1" applyBorder="1" applyAlignment="1">
      <alignment horizontal="center" vertical="center" wrapText="1"/>
    </xf>
    <xf numFmtId="169" fontId="1" fillId="3" borderId="30" xfId="1" applyFont="1" applyFill="1" applyBorder="1" applyAlignment="1">
      <alignment horizontal="center" vertical="center" wrapText="1"/>
    </xf>
    <xf numFmtId="169" fontId="1" fillId="3" borderId="13" xfId="1" applyFont="1" applyFill="1" applyBorder="1" applyAlignment="1">
      <alignment horizontal="center" vertical="center" wrapText="1"/>
    </xf>
    <xf numFmtId="169" fontId="1" fillId="3" borderId="16" xfId="1" applyFont="1" applyFill="1" applyBorder="1" applyAlignment="1">
      <alignment horizontal="center" vertical="center" wrapText="1"/>
    </xf>
    <xf numFmtId="169" fontId="1" fillId="3" borderId="31" xfId="1" applyFont="1" applyFill="1" applyBorder="1" applyAlignment="1">
      <alignment horizontal="center" vertical="center" wrapText="1"/>
    </xf>
    <xf numFmtId="169" fontId="2" fillId="3" borderId="34" xfId="1" applyFont="1" applyFill="1" applyBorder="1" applyAlignment="1" applyProtection="1">
      <alignment horizontal="center" vertical="center" wrapText="1"/>
    </xf>
    <xf numFmtId="169" fontId="2" fillId="3" borderId="35" xfId="1" applyFont="1" applyFill="1" applyBorder="1" applyAlignment="1" applyProtection="1">
      <alignment horizontal="center" vertical="center" wrapText="1"/>
    </xf>
    <xf numFmtId="169" fontId="2" fillId="3" borderId="36" xfId="1" applyFont="1" applyFill="1" applyBorder="1" applyAlignment="1" applyProtection="1">
      <alignment horizontal="center" vertical="center" wrapText="1"/>
    </xf>
    <xf numFmtId="169" fontId="2" fillId="3" borderId="14" xfId="1" applyFont="1" applyFill="1" applyBorder="1" applyAlignment="1" applyProtection="1">
      <alignment horizontal="center" vertical="center" wrapText="1"/>
    </xf>
    <xf numFmtId="169" fontId="2" fillId="3" borderId="0" xfId="1" applyFont="1" applyFill="1" applyBorder="1" applyAlignment="1" applyProtection="1">
      <alignment horizontal="center" vertical="center" wrapText="1"/>
    </xf>
    <xf numFmtId="169" fontId="2" fillId="3" borderId="37" xfId="1" applyFont="1" applyFill="1" applyBorder="1" applyAlignment="1" applyProtection="1">
      <alignment horizontal="center" vertical="center" wrapText="1"/>
    </xf>
    <xf numFmtId="169" fontId="2" fillId="3" borderId="38" xfId="1" applyFont="1" applyFill="1" applyBorder="1" applyAlignment="1" applyProtection="1">
      <alignment horizontal="center" vertical="center" wrapText="1"/>
    </xf>
    <xf numFmtId="169" fontId="2" fillId="3" borderId="39" xfId="1" applyFont="1" applyFill="1" applyBorder="1" applyAlignment="1" applyProtection="1">
      <alignment horizontal="center" vertical="center" wrapText="1"/>
    </xf>
    <xf numFmtId="169" fontId="2" fillId="3" borderId="12" xfId="1" applyFont="1" applyFill="1" applyBorder="1" applyAlignment="1">
      <alignment horizontal="center" vertical="center" wrapText="1"/>
    </xf>
    <xf numFmtId="169" fontId="2" fillId="3" borderId="30" xfId="1" applyFont="1" applyFill="1" applyBorder="1" applyAlignment="1">
      <alignment horizontal="center" vertical="center" wrapText="1"/>
    </xf>
    <xf numFmtId="169" fontId="2" fillId="3" borderId="13" xfId="1" applyFont="1" applyFill="1" applyBorder="1" applyAlignment="1">
      <alignment horizontal="center" vertical="center" wrapText="1"/>
    </xf>
    <xf numFmtId="169" fontId="2" fillId="3" borderId="31" xfId="1" applyFont="1" applyFill="1" applyBorder="1" applyAlignment="1">
      <alignment horizontal="center" vertical="center" wrapText="1"/>
    </xf>
    <xf numFmtId="169" fontId="2" fillId="5" borderId="23" xfId="1" applyFont="1" applyFill="1" applyBorder="1" applyAlignment="1">
      <alignment horizontal="center"/>
    </xf>
    <xf numFmtId="169" fontId="1" fillId="5" borderId="24" xfId="1" applyFont="1" applyFill="1" applyBorder="1" applyAlignment="1">
      <alignment horizontal="center"/>
    </xf>
    <xf numFmtId="169" fontId="2" fillId="5" borderId="25" xfId="1" applyFont="1" applyFill="1" applyBorder="1" applyAlignment="1">
      <alignment horizontal="center"/>
    </xf>
    <xf numFmtId="169" fontId="2" fillId="0" borderId="26" xfId="1" applyFont="1" applyBorder="1" applyAlignment="1">
      <alignment horizontal="center"/>
    </xf>
    <xf numFmtId="169" fontId="2" fillId="3" borderId="27" xfId="1" applyFont="1" applyFill="1" applyBorder="1" applyAlignment="1">
      <alignment horizontal="center" vertical="center" wrapText="1"/>
    </xf>
    <xf numFmtId="169" fontId="2" fillId="3" borderId="29" xfId="1" applyFont="1" applyFill="1" applyBorder="1" applyAlignment="1">
      <alignment horizontal="center" vertical="center" wrapText="1"/>
    </xf>
    <xf numFmtId="4" fontId="2" fillId="3" borderId="27" xfId="1" applyNumberFormat="1" applyFont="1" applyFill="1" applyBorder="1" applyAlignment="1">
      <alignment horizontal="center" vertical="center" wrapText="1"/>
    </xf>
    <xf numFmtId="4" fontId="2" fillId="3" borderId="29" xfId="1" applyNumberFormat="1" applyFont="1" applyFill="1" applyBorder="1" applyAlignment="1">
      <alignment horizontal="center" vertical="center" wrapText="1"/>
    </xf>
    <xf numFmtId="0" fontId="10" fillId="0" borderId="44" xfId="0" applyFont="1" applyBorder="1" applyAlignment="1">
      <alignment horizontal="center" vertical="top" wrapText="1"/>
    </xf>
  </cellXfs>
  <cellStyles count="2">
    <cellStyle name="Comma [0]" xfId="1" builtinId="6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2"/>
  <sheetViews>
    <sheetView tabSelected="1" zoomScaleNormal="100" workbookViewId="0">
      <selection activeCell="J5" sqref="J5"/>
    </sheetView>
  </sheetViews>
  <sheetFormatPr defaultColWidth="11.5703125" defaultRowHeight="15" x14ac:dyDescent="0.25"/>
  <cols>
    <col min="4" max="4" width="13.42578125" customWidth="1"/>
    <col min="5" max="5" width="13" style="41" customWidth="1"/>
    <col min="6" max="6" width="12.5703125" customWidth="1"/>
    <col min="7" max="7" width="13" style="28" customWidth="1"/>
  </cols>
  <sheetData>
    <row r="1" spans="1:12" s="32" customFormat="1" ht="60" x14ac:dyDescent="0.25">
      <c r="A1" s="32" t="s">
        <v>36</v>
      </c>
      <c r="B1" s="32" t="s">
        <v>37</v>
      </c>
      <c r="C1" s="32" t="s">
        <v>38</v>
      </c>
      <c r="D1" s="32" t="s">
        <v>39</v>
      </c>
      <c r="E1" s="39" t="s">
        <v>40</v>
      </c>
      <c r="F1" s="31" t="s">
        <v>57</v>
      </c>
      <c r="G1" s="33" t="s">
        <v>41</v>
      </c>
      <c r="H1" s="31" t="s">
        <v>58</v>
      </c>
      <c r="I1" s="159" t="s">
        <v>42</v>
      </c>
      <c r="J1" s="31" t="s">
        <v>59</v>
      </c>
      <c r="K1" s="31" t="s">
        <v>43</v>
      </c>
      <c r="L1" s="31" t="s">
        <v>44</v>
      </c>
    </row>
    <row r="2" spans="1:12" s="34" customFormat="1" ht="12.75" x14ac:dyDescent="0.2">
      <c r="A2" s="34" t="s">
        <v>45</v>
      </c>
      <c r="B2" s="34">
        <v>1</v>
      </c>
      <c r="C2" s="36">
        <v>10</v>
      </c>
      <c r="D2" s="34">
        <v>2019</v>
      </c>
      <c r="E2" s="40">
        <f>'Hotel Data'!X5</f>
        <v>15857</v>
      </c>
      <c r="F2" s="34">
        <v>0.1641</v>
      </c>
      <c r="G2" s="37">
        <f>'Hotel Data'!E5</f>
        <v>133.5</v>
      </c>
      <c r="H2" s="34">
        <v>0.36</v>
      </c>
      <c r="I2" s="38">
        <f>'Hotel Data'!K5</f>
        <v>181</v>
      </c>
      <c r="J2" s="34">
        <v>0.98</v>
      </c>
      <c r="K2" s="34">
        <v>94</v>
      </c>
      <c r="L2" s="34">
        <v>102</v>
      </c>
    </row>
    <row r="3" spans="1:12" s="35" customFormat="1" x14ac:dyDescent="0.25">
      <c r="A3" s="35" t="s">
        <v>45</v>
      </c>
      <c r="B3" s="35">
        <f>B2+1</f>
        <v>2</v>
      </c>
      <c r="C3" s="36">
        <v>10</v>
      </c>
      <c r="D3" s="34">
        <v>2019</v>
      </c>
      <c r="E3" s="40">
        <f>'Hotel Data'!X6</f>
        <v>15529</v>
      </c>
      <c r="F3" s="34">
        <v>0.1641</v>
      </c>
      <c r="G3" s="37">
        <f>'Hotel Data'!E6</f>
        <v>137</v>
      </c>
      <c r="H3" s="34">
        <v>0.36</v>
      </c>
      <c r="I3" s="38">
        <f>'Hotel Data'!K6</f>
        <v>186</v>
      </c>
      <c r="J3" s="34">
        <v>0.98</v>
      </c>
      <c r="K3" s="34">
        <v>117</v>
      </c>
      <c r="L3" s="34">
        <v>175</v>
      </c>
    </row>
    <row r="4" spans="1:12" s="35" customFormat="1" x14ac:dyDescent="0.25">
      <c r="A4" s="35" t="s">
        <v>45</v>
      </c>
      <c r="B4" s="35">
        <f t="shared" ref="B4:B32" si="0">B3+1</f>
        <v>3</v>
      </c>
      <c r="C4" s="36">
        <v>10</v>
      </c>
      <c r="D4" s="34">
        <v>2019</v>
      </c>
      <c r="E4" s="40">
        <f>'Hotel Data'!X7</f>
        <v>13039</v>
      </c>
      <c r="F4" s="34">
        <v>0.1641</v>
      </c>
      <c r="G4" s="37">
        <f>'Hotel Data'!E7</f>
        <v>243.10000000009313</v>
      </c>
      <c r="H4" s="34">
        <v>0.36</v>
      </c>
      <c r="I4" s="38">
        <f>'Hotel Data'!K7</f>
        <v>189</v>
      </c>
      <c r="J4" s="34">
        <v>0.98</v>
      </c>
      <c r="K4" s="34">
        <v>100</v>
      </c>
      <c r="L4" s="34">
        <v>167</v>
      </c>
    </row>
    <row r="5" spans="1:12" s="35" customFormat="1" x14ac:dyDescent="0.25">
      <c r="A5" s="35" t="s">
        <v>45</v>
      </c>
      <c r="B5" s="35">
        <f t="shared" si="0"/>
        <v>4</v>
      </c>
      <c r="C5" s="36">
        <v>10</v>
      </c>
      <c r="D5" s="34">
        <v>2019</v>
      </c>
      <c r="E5" s="40">
        <f>'Hotel Data'!X8</f>
        <v>13309</v>
      </c>
      <c r="F5" s="34">
        <v>0.1641</v>
      </c>
      <c r="G5" s="37">
        <f>'Hotel Data'!E8</f>
        <v>318.10000000009313</v>
      </c>
      <c r="H5" s="34">
        <v>0.36</v>
      </c>
      <c r="I5" s="38">
        <f>'Hotel Data'!K8</f>
        <v>178</v>
      </c>
      <c r="J5" s="34">
        <v>0.98</v>
      </c>
      <c r="K5" s="34">
        <v>90</v>
      </c>
      <c r="L5" s="34">
        <v>171</v>
      </c>
    </row>
    <row r="6" spans="1:12" s="35" customFormat="1" x14ac:dyDescent="0.25">
      <c r="A6" s="35" t="s">
        <v>45</v>
      </c>
      <c r="B6" s="35">
        <f t="shared" si="0"/>
        <v>5</v>
      </c>
      <c r="C6" s="36">
        <v>10</v>
      </c>
      <c r="D6" s="34">
        <v>2019</v>
      </c>
      <c r="E6" s="40">
        <f>'Hotel Data'!X9</f>
        <v>11633.8</v>
      </c>
      <c r="F6" s="34">
        <v>0.1641</v>
      </c>
      <c r="G6" s="37">
        <f>'Hotel Data'!E9</f>
        <v>322.6999999997206</v>
      </c>
      <c r="H6" s="34">
        <v>0.36</v>
      </c>
      <c r="I6" s="38">
        <f>'Hotel Data'!K9</f>
        <v>178</v>
      </c>
      <c r="J6" s="34">
        <v>0.98</v>
      </c>
      <c r="K6" s="34">
        <v>108</v>
      </c>
      <c r="L6" s="34">
        <v>192</v>
      </c>
    </row>
    <row r="7" spans="1:12" s="35" customFormat="1" x14ac:dyDescent="0.25">
      <c r="A7" s="35" t="s">
        <v>45</v>
      </c>
      <c r="B7" s="35">
        <f t="shared" si="0"/>
        <v>6</v>
      </c>
      <c r="C7" s="36">
        <v>10</v>
      </c>
      <c r="D7" s="34">
        <v>2019</v>
      </c>
      <c r="E7" s="40">
        <f>'Hotel Data'!X10</f>
        <v>12283</v>
      </c>
      <c r="F7" s="34">
        <v>0.1641</v>
      </c>
      <c r="G7" s="37">
        <f>'Hotel Data'!E10</f>
        <v>310.20000000018626</v>
      </c>
      <c r="H7" s="34">
        <v>0.36</v>
      </c>
      <c r="I7" s="38">
        <f>'Hotel Data'!K10</f>
        <v>198</v>
      </c>
      <c r="J7" s="34">
        <v>0.98</v>
      </c>
      <c r="K7" s="34">
        <v>104</v>
      </c>
      <c r="L7" s="34">
        <v>166</v>
      </c>
    </row>
    <row r="8" spans="1:12" s="35" customFormat="1" x14ac:dyDescent="0.25">
      <c r="A8" s="35" t="s">
        <v>45</v>
      </c>
      <c r="B8" s="35">
        <f t="shared" si="0"/>
        <v>7</v>
      </c>
      <c r="C8" s="36">
        <v>10</v>
      </c>
      <c r="D8" s="34">
        <v>2019</v>
      </c>
      <c r="E8" s="40">
        <f>'Hotel Data'!X11</f>
        <v>11900</v>
      </c>
      <c r="F8" s="34">
        <v>0.1641</v>
      </c>
      <c r="G8" s="37">
        <f>'Hotel Data'!E11</f>
        <v>334.29999999981374</v>
      </c>
      <c r="H8" s="34">
        <v>0.36</v>
      </c>
      <c r="I8" s="38">
        <f>'Hotel Data'!K11</f>
        <v>180</v>
      </c>
      <c r="J8" s="34">
        <v>0.98</v>
      </c>
      <c r="K8" s="34">
        <v>98</v>
      </c>
      <c r="L8" s="34">
        <v>150</v>
      </c>
    </row>
    <row r="9" spans="1:12" s="35" customFormat="1" x14ac:dyDescent="0.25">
      <c r="A9" s="35" t="s">
        <v>45</v>
      </c>
      <c r="B9" s="35">
        <f t="shared" si="0"/>
        <v>8</v>
      </c>
      <c r="C9" s="36">
        <v>10</v>
      </c>
      <c r="D9" s="34">
        <v>2019</v>
      </c>
      <c r="E9" s="40">
        <f>'Hotel Data'!X12</f>
        <v>11781.6</v>
      </c>
      <c r="F9" s="34">
        <v>0.1641</v>
      </c>
      <c r="G9" s="37">
        <f>'Hotel Data'!E12</f>
        <v>382.89999999990687</v>
      </c>
      <c r="H9" s="34">
        <v>0.36</v>
      </c>
      <c r="I9" s="38">
        <f>'Hotel Data'!K12</f>
        <v>175</v>
      </c>
      <c r="J9" s="34">
        <v>0.98</v>
      </c>
      <c r="K9" s="34">
        <v>94</v>
      </c>
      <c r="L9" s="34">
        <v>160</v>
      </c>
    </row>
    <row r="10" spans="1:12" s="35" customFormat="1" x14ac:dyDescent="0.25">
      <c r="A10" s="35" t="s">
        <v>45</v>
      </c>
      <c r="B10" s="35">
        <f t="shared" si="0"/>
        <v>9</v>
      </c>
      <c r="C10" s="36">
        <v>10</v>
      </c>
      <c r="D10" s="34">
        <v>2019</v>
      </c>
      <c r="E10" s="40">
        <f>'Hotel Data'!X13</f>
        <v>12042</v>
      </c>
      <c r="F10" s="34">
        <v>0.1641</v>
      </c>
      <c r="G10" s="37">
        <f>'Hotel Data'!E13</f>
        <v>510</v>
      </c>
      <c r="H10" s="34">
        <v>0.36</v>
      </c>
      <c r="I10" s="38">
        <f>'Hotel Data'!K13</f>
        <v>176</v>
      </c>
      <c r="J10" s="34">
        <v>0.98</v>
      </c>
      <c r="K10" s="34">
        <v>112</v>
      </c>
      <c r="L10" s="34">
        <v>168</v>
      </c>
    </row>
    <row r="11" spans="1:12" s="35" customFormat="1" x14ac:dyDescent="0.25">
      <c r="A11" s="35" t="s">
        <v>45</v>
      </c>
      <c r="B11" s="35">
        <f t="shared" si="0"/>
        <v>10</v>
      </c>
      <c r="C11" s="36">
        <v>10</v>
      </c>
      <c r="D11" s="34">
        <v>2019</v>
      </c>
      <c r="E11" s="40">
        <f>'Hotel Data'!X14</f>
        <v>12054</v>
      </c>
      <c r="F11" s="34">
        <v>0.1641</v>
      </c>
      <c r="G11" s="37">
        <f>'Hotel Data'!E14</f>
        <v>455.3000000002794</v>
      </c>
      <c r="H11" s="34">
        <v>0.36</v>
      </c>
      <c r="I11" s="38">
        <f>'Hotel Data'!K14</f>
        <v>172</v>
      </c>
      <c r="J11" s="34">
        <v>0.98</v>
      </c>
      <c r="K11" s="34">
        <v>105</v>
      </c>
      <c r="L11" s="34">
        <v>180</v>
      </c>
    </row>
    <row r="12" spans="1:12" s="35" customFormat="1" x14ac:dyDescent="0.25">
      <c r="A12" s="35" t="s">
        <v>45</v>
      </c>
      <c r="B12" s="35">
        <f t="shared" si="0"/>
        <v>11</v>
      </c>
      <c r="C12" s="36">
        <v>10</v>
      </c>
      <c r="D12" s="34">
        <v>2019</v>
      </c>
      <c r="E12" s="40">
        <f>'Hotel Data'!X15</f>
        <v>11721</v>
      </c>
      <c r="F12" s="34">
        <v>0.1641</v>
      </c>
      <c r="G12" s="37">
        <f>'Hotel Data'!E15</f>
        <v>427.10000000009313</v>
      </c>
      <c r="H12" s="34">
        <v>0.36</v>
      </c>
      <c r="I12" s="38">
        <f>'Hotel Data'!K15</f>
        <v>181</v>
      </c>
      <c r="J12" s="34">
        <v>0.98</v>
      </c>
      <c r="K12" s="34">
        <v>109</v>
      </c>
      <c r="L12" s="34">
        <v>180</v>
      </c>
    </row>
    <row r="13" spans="1:12" s="35" customFormat="1" x14ac:dyDescent="0.25">
      <c r="A13" s="35" t="s">
        <v>45</v>
      </c>
      <c r="B13" s="35">
        <f t="shared" si="0"/>
        <v>12</v>
      </c>
      <c r="C13" s="36">
        <v>10</v>
      </c>
      <c r="D13" s="34">
        <v>2019</v>
      </c>
      <c r="E13" s="40">
        <f>'Hotel Data'!X16</f>
        <v>11292.4</v>
      </c>
      <c r="F13" s="34">
        <v>0.1641</v>
      </c>
      <c r="G13" s="37">
        <f>'Hotel Data'!E16</f>
        <v>411.09999999962747</v>
      </c>
      <c r="H13" s="34">
        <v>0.36</v>
      </c>
      <c r="I13" s="38">
        <f>'Hotel Data'!K16</f>
        <v>157</v>
      </c>
      <c r="J13" s="34">
        <v>0.98</v>
      </c>
      <c r="K13" s="34">
        <v>113</v>
      </c>
      <c r="L13" s="34">
        <v>192</v>
      </c>
    </row>
    <row r="14" spans="1:12" s="35" customFormat="1" x14ac:dyDescent="0.25">
      <c r="A14" s="35" t="s">
        <v>45</v>
      </c>
      <c r="B14" s="35">
        <f t="shared" si="0"/>
        <v>13</v>
      </c>
      <c r="C14" s="36">
        <v>10</v>
      </c>
      <c r="D14" s="34">
        <v>2019</v>
      </c>
      <c r="E14" s="40">
        <f>'Hotel Data'!X17</f>
        <v>11764.8</v>
      </c>
      <c r="F14" s="34">
        <v>0.1641</v>
      </c>
      <c r="G14" s="37">
        <f>'Hotel Data'!E17</f>
        <v>428.90000000037253</v>
      </c>
      <c r="H14" s="34">
        <v>0.36</v>
      </c>
      <c r="I14" s="38">
        <f>'Hotel Data'!K17</f>
        <v>173</v>
      </c>
      <c r="J14" s="34">
        <v>0.98</v>
      </c>
      <c r="K14" s="34">
        <v>97</v>
      </c>
      <c r="L14" s="34">
        <v>165</v>
      </c>
    </row>
    <row r="15" spans="1:12" s="35" customFormat="1" x14ac:dyDescent="0.25">
      <c r="A15" s="35" t="s">
        <v>45</v>
      </c>
      <c r="B15" s="35">
        <f t="shared" si="0"/>
        <v>14</v>
      </c>
      <c r="C15" s="36">
        <v>10</v>
      </c>
      <c r="D15" s="34">
        <v>2019</v>
      </c>
      <c r="E15" s="40">
        <f>'Hotel Data'!X18</f>
        <v>11781</v>
      </c>
      <c r="F15" s="34">
        <v>0.1641</v>
      </c>
      <c r="G15" s="37">
        <f>'Hotel Data'!E18</f>
        <v>293</v>
      </c>
      <c r="H15" s="34">
        <v>0.36</v>
      </c>
      <c r="I15" s="38">
        <f>'Hotel Data'!K18</f>
        <v>156</v>
      </c>
      <c r="J15" s="34">
        <v>0.98</v>
      </c>
      <c r="K15" s="34">
        <v>94</v>
      </c>
      <c r="L15" s="34">
        <v>154</v>
      </c>
    </row>
    <row r="16" spans="1:12" s="35" customFormat="1" x14ac:dyDescent="0.25">
      <c r="A16" s="35" t="s">
        <v>45</v>
      </c>
      <c r="B16" s="35">
        <f t="shared" si="0"/>
        <v>15</v>
      </c>
      <c r="C16" s="36">
        <v>10</v>
      </c>
      <c r="D16" s="34">
        <v>2019</v>
      </c>
      <c r="E16" s="40">
        <f>'Hotel Data'!X19</f>
        <v>12048</v>
      </c>
      <c r="F16" s="34">
        <v>0.1641</v>
      </c>
      <c r="G16" s="37">
        <f>'Hotel Data'!E19</f>
        <v>239.39999999990687</v>
      </c>
      <c r="H16" s="34">
        <v>0.36</v>
      </c>
      <c r="I16" s="38">
        <f>'Hotel Data'!K19</f>
        <v>188</v>
      </c>
      <c r="J16" s="34">
        <v>0.98</v>
      </c>
      <c r="K16" s="34">
        <v>85</v>
      </c>
      <c r="L16" s="34">
        <v>137</v>
      </c>
    </row>
    <row r="17" spans="1:12" s="35" customFormat="1" x14ac:dyDescent="0.25">
      <c r="A17" s="35" t="s">
        <v>45</v>
      </c>
      <c r="B17" s="35">
        <f t="shared" si="0"/>
        <v>16</v>
      </c>
      <c r="C17" s="36">
        <v>10</v>
      </c>
      <c r="D17" s="34">
        <v>2019</v>
      </c>
      <c r="E17" s="40">
        <f>'Hotel Data'!X20</f>
        <v>10834</v>
      </c>
      <c r="F17" s="34">
        <v>0.1641</v>
      </c>
      <c r="G17" s="37">
        <f>'Hotel Data'!E20</f>
        <v>525.29999999981374</v>
      </c>
      <c r="H17" s="34">
        <v>0.36</v>
      </c>
      <c r="I17" s="38">
        <f>'Hotel Data'!K20</f>
        <v>159</v>
      </c>
      <c r="J17" s="34">
        <v>0.98</v>
      </c>
      <c r="K17" s="34">
        <v>91</v>
      </c>
      <c r="L17" s="34">
        <v>147</v>
      </c>
    </row>
    <row r="18" spans="1:12" s="35" customFormat="1" x14ac:dyDescent="0.25">
      <c r="A18" s="35" t="s">
        <v>45</v>
      </c>
      <c r="B18" s="35">
        <f t="shared" si="0"/>
        <v>17</v>
      </c>
      <c r="C18" s="36">
        <v>10</v>
      </c>
      <c r="D18" s="34">
        <v>2019</v>
      </c>
      <c r="E18" s="40">
        <f>'Hotel Data'!X21</f>
        <v>11033.2</v>
      </c>
      <c r="F18" s="34">
        <v>0.1641</v>
      </c>
      <c r="G18" s="37">
        <f>'Hotel Data'!E21</f>
        <v>504.8000000002794</v>
      </c>
      <c r="H18" s="34">
        <v>0.36</v>
      </c>
      <c r="I18" s="38">
        <f>'Hotel Data'!K21</f>
        <v>176</v>
      </c>
      <c r="J18" s="34">
        <v>0.98</v>
      </c>
      <c r="K18" s="34">
        <v>109</v>
      </c>
      <c r="L18" s="34">
        <v>188</v>
      </c>
    </row>
    <row r="19" spans="1:12" s="35" customFormat="1" x14ac:dyDescent="0.25">
      <c r="A19" s="35" t="s">
        <v>45</v>
      </c>
      <c r="B19" s="35">
        <f t="shared" si="0"/>
        <v>18</v>
      </c>
      <c r="C19" s="36">
        <v>10</v>
      </c>
      <c r="D19" s="34">
        <v>2019</v>
      </c>
      <c r="E19" s="40">
        <f>'Hotel Data'!X22</f>
        <v>11052</v>
      </c>
      <c r="F19" s="34">
        <v>0.1641</v>
      </c>
      <c r="G19" s="37">
        <f>'Hotel Data'!E22</f>
        <v>450.5</v>
      </c>
      <c r="H19" s="34">
        <v>0.36</v>
      </c>
      <c r="I19" s="38">
        <f>'Hotel Data'!K22</f>
        <v>168</v>
      </c>
      <c r="J19" s="34">
        <v>0.98</v>
      </c>
      <c r="K19" s="34">
        <v>206</v>
      </c>
      <c r="L19" s="34">
        <v>117</v>
      </c>
    </row>
    <row r="20" spans="1:12" s="35" customFormat="1" x14ac:dyDescent="0.25">
      <c r="A20" s="35" t="s">
        <v>45</v>
      </c>
      <c r="B20" s="35">
        <f t="shared" si="0"/>
        <v>19</v>
      </c>
      <c r="C20" s="36">
        <v>10</v>
      </c>
      <c r="D20" s="34">
        <v>2019</v>
      </c>
      <c r="E20" s="40">
        <f>'Hotel Data'!X23</f>
        <v>10825.4</v>
      </c>
      <c r="F20" s="34">
        <v>0.1641</v>
      </c>
      <c r="G20" s="37">
        <f>'Hotel Data'!E23</f>
        <v>516.39999999990687</v>
      </c>
      <c r="H20" s="34">
        <v>0.36</v>
      </c>
      <c r="I20" s="38">
        <f>'Hotel Data'!K23</f>
        <v>180</v>
      </c>
      <c r="J20" s="34">
        <v>0.98</v>
      </c>
      <c r="K20" s="34">
        <v>111</v>
      </c>
      <c r="L20" s="34">
        <v>196</v>
      </c>
    </row>
    <row r="21" spans="1:12" s="35" customFormat="1" x14ac:dyDescent="0.25">
      <c r="A21" s="35" t="s">
        <v>45</v>
      </c>
      <c r="B21" s="35">
        <f t="shared" si="0"/>
        <v>20</v>
      </c>
      <c r="C21" s="36">
        <v>10</v>
      </c>
      <c r="D21" s="34">
        <v>2019</v>
      </c>
      <c r="E21" s="40">
        <f>'Hotel Data'!X24</f>
        <v>11701.2</v>
      </c>
      <c r="F21" s="34">
        <v>0.1641</v>
      </c>
      <c r="G21" s="37">
        <f>'Hotel Data'!E24</f>
        <v>411.5</v>
      </c>
      <c r="H21" s="34">
        <v>0.36</v>
      </c>
      <c r="I21" s="38">
        <f>'Hotel Data'!K24</f>
        <v>191</v>
      </c>
      <c r="J21" s="34">
        <v>0.98</v>
      </c>
      <c r="K21" s="34">
        <v>76</v>
      </c>
      <c r="L21" s="34">
        <v>131</v>
      </c>
    </row>
    <row r="22" spans="1:12" s="35" customFormat="1" x14ac:dyDescent="0.25">
      <c r="A22" s="35" t="s">
        <v>45</v>
      </c>
      <c r="B22" s="35">
        <f t="shared" si="0"/>
        <v>21</v>
      </c>
      <c r="C22" s="36">
        <v>10</v>
      </c>
      <c r="D22" s="34">
        <v>2019</v>
      </c>
      <c r="E22" s="40">
        <f>'Hotel Data'!X25</f>
        <v>11278</v>
      </c>
      <c r="F22" s="34">
        <v>0.1641</v>
      </c>
      <c r="G22" s="37">
        <f>'Hotel Data'!E25</f>
        <v>368</v>
      </c>
      <c r="H22" s="34">
        <v>0.36</v>
      </c>
      <c r="I22" s="38">
        <f>'Hotel Data'!K25</f>
        <v>158</v>
      </c>
      <c r="J22" s="34">
        <v>0.98</v>
      </c>
      <c r="K22" s="34">
        <v>107</v>
      </c>
      <c r="L22" s="34">
        <v>177</v>
      </c>
    </row>
    <row r="23" spans="1:12" s="35" customFormat="1" x14ac:dyDescent="0.25">
      <c r="A23" s="35" t="s">
        <v>45</v>
      </c>
      <c r="B23" s="35">
        <f t="shared" si="0"/>
        <v>22</v>
      </c>
      <c r="C23" s="36">
        <v>10</v>
      </c>
      <c r="D23" s="34">
        <v>2019</v>
      </c>
      <c r="E23" s="40">
        <f>'Hotel Data'!X26</f>
        <v>11863</v>
      </c>
      <c r="F23" s="34">
        <v>0.1641</v>
      </c>
      <c r="G23" s="37">
        <f>'Hotel Data'!E26</f>
        <v>356.1999999997206</v>
      </c>
      <c r="H23" s="34">
        <v>0.36</v>
      </c>
      <c r="I23" s="38">
        <f>'Hotel Data'!K26</f>
        <v>180</v>
      </c>
      <c r="J23" s="34">
        <v>0.98</v>
      </c>
      <c r="K23" s="34">
        <v>106</v>
      </c>
      <c r="L23" s="34">
        <v>171</v>
      </c>
    </row>
    <row r="24" spans="1:12" s="35" customFormat="1" x14ac:dyDescent="0.25">
      <c r="A24" s="35" t="s">
        <v>45</v>
      </c>
      <c r="B24" s="35">
        <f t="shared" si="0"/>
        <v>23</v>
      </c>
      <c r="C24" s="36">
        <v>10</v>
      </c>
      <c r="D24" s="34">
        <v>2019</v>
      </c>
      <c r="E24" s="40">
        <f>'Hotel Data'!X27</f>
        <v>11970</v>
      </c>
      <c r="F24" s="34">
        <v>0.1641</v>
      </c>
      <c r="G24" s="37">
        <f>'Hotel Data'!E27</f>
        <v>338.90000000037253</v>
      </c>
      <c r="H24" s="34">
        <v>0.36</v>
      </c>
      <c r="I24" s="38">
        <f>'Hotel Data'!K27</f>
        <v>189</v>
      </c>
      <c r="J24" s="34">
        <v>0.98</v>
      </c>
      <c r="K24" s="34">
        <v>108</v>
      </c>
      <c r="L24" s="34">
        <v>172</v>
      </c>
    </row>
    <row r="25" spans="1:12" s="35" customFormat="1" x14ac:dyDescent="0.25">
      <c r="A25" s="35" t="s">
        <v>45</v>
      </c>
      <c r="B25" s="35">
        <f t="shared" si="0"/>
        <v>24</v>
      </c>
      <c r="C25" s="36">
        <v>10</v>
      </c>
      <c r="D25" s="34">
        <v>2019</v>
      </c>
      <c r="E25" s="40">
        <f>'Hotel Data'!X28</f>
        <v>11659</v>
      </c>
      <c r="F25" s="34">
        <v>0.1641</v>
      </c>
      <c r="G25" s="37">
        <f>'Hotel Data'!E28</f>
        <v>379.39999999990687</v>
      </c>
      <c r="H25" s="34">
        <v>0.36</v>
      </c>
      <c r="I25" s="38">
        <f>'Hotel Data'!K28</f>
        <v>188</v>
      </c>
      <c r="J25" s="34">
        <v>0.98</v>
      </c>
      <c r="K25" s="34">
        <v>104</v>
      </c>
      <c r="L25" s="34">
        <v>172</v>
      </c>
    </row>
    <row r="26" spans="1:12" s="35" customFormat="1" x14ac:dyDescent="0.25">
      <c r="A26" s="35" t="s">
        <v>45</v>
      </c>
      <c r="B26" s="35">
        <f>B25+1</f>
        <v>25</v>
      </c>
      <c r="C26" s="36">
        <v>10</v>
      </c>
      <c r="D26" s="34">
        <v>2019</v>
      </c>
      <c r="E26" s="40">
        <f>'Hotel Data'!X29</f>
        <v>11367.2</v>
      </c>
      <c r="F26" s="34">
        <v>0.1641</v>
      </c>
      <c r="G26" s="37">
        <f>'Hotel Data'!E29</f>
        <v>398.60000000009313</v>
      </c>
      <c r="H26" s="34">
        <v>0.36</v>
      </c>
      <c r="I26" s="38">
        <f>'Hotel Data'!K29</f>
        <v>179</v>
      </c>
      <c r="J26" s="34">
        <v>0.98</v>
      </c>
      <c r="K26" s="34">
        <v>95</v>
      </c>
      <c r="L26" s="34">
        <v>198</v>
      </c>
    </row>
    <row r="27" spans="1:12" s="35" customFormat="1" x14ac:dyDescent="0.25">
      <c r="A27" s="35" t="s">
        <v>45</v>
      </c>
      <c r="B27" s="35">
        <f t="shared" si="0"/>
        <v>26</v>
      </c>
      <c r="C27" s="36">
        <v>10</v>
      </c>
      <c r="D27" s="34">
        <v>2019</v>
      </c>
      <c r="E27" s="40">
        <f>'Hotel Data'!X30</f>
        <v>10831.4</v>
      </c>
      <c r="F27" s="34">
        <v>0.1641</v>
      </c>
      <c r="G27" s="37">
        <f>'Hotel Data'!E30</f>
        <v>422.89999999990687</v>
      </c>
      <c r="H27" s="34">
        <v>0.36</v>
      </c>
      <c r="I27" s="38">
        <f>'Hotel Data'!K30</f>
        <v>168</v>
      </c>
      <c r="J27" s="34">
        <v>0.98</v>
      </c>
      <c r="K27" s="34">
        <v>95</v>
      </c>
      <c r="L27" s="34">
        <v>199</v>
      </c>
    </row>
    <row r="28" spans="1:12" s="35" customFormat="1" x14ac:dyDescent="0.25">
      <c r="A28" s="35" t="s">
        <v>45</v>
      </c>
      <c r="B28" s="35">
        <f t="shared" si="0"/>
        <v>27</v>
      </c>
      <c r="C28" s="36">
        <v>10</v>
      </c>
      <c r="D28" s="34">
        <v>2019</v>
      </c>
      <c r="E28" s="40">
        <f>'Hotel Data'!X31</f>
        <v>10906.4</v>
      </c>
      <c r="F28" s="34">
        <v>0.1641</v>
      </c>
      <c r="G28" s="37">
        <f>'Hotel Data'!E31</f>
        <v>386.6999999997206</v>
      </c>
      <c r="H28" s="34">
        <v>0.36</v>
      </c>
      <c r="I28" s="38">
        <f>'Hotel Data'!K31</f>
        <v>169</v>
      </c>
      <c r="J28" s="34">
        <v>0.98</v>
      </c>
      <c r="K28" s="34">
        <v>70</v>
      </c>
      <c r="L28" s="34">
        <v>175</v>
      </c>
    </row>
    <row r="29" spans="1:12" s="35" customFormat="1" x14ac:dyDescent="0.25">
      <c r="A29" s="35" t="s">
        <v>45</v>
      </c>
      <c r="B29" s="35">
        <f t="shared" si="0"/>
        <v>28</v>
      </c>
      <c r="C29" s="36">
        <v>10</v>
      </c>
      <c r="D29" s="34">
        <v>2019</v>
      </c>
      <c r="E29" s="40">
        <f>'Hotel Data'!X32</f>
        <v>11312</v>
      </c>
      <c r="F29" s="34">
        <v>0.1641</v>
      </c>
      <c r="G29" s="37">
        <f>'Hotel Data'!E32</f>
        <v>393.90000000037253</v>
      </c>
      <c r="H29" s="34">
        <v>0.36</v>
      </c>
      <c r="I29" s="38">
        <f>'Hotel Data'!K32</f>
        <v>162</v>
      </c>
      <c r="J29" s="34">
        <v>0.98</v>
      </c>
      <c r="K29" s="34">
        <v>86</v>
      </c>
      <c r="L29" s="34">
        <v>169</v>
      </c>
    </row>
    <row r="30" spans="1:12" s="35" customFormat="1" x14ac:dyDescent="0.25">
      <c r="A30" s="35" t="s">
        <v>45</v>
      </c>
      <c r="B30" s="35">
        <f t="shared" si="0"/>
        <v>29</v>
      </c>
      <c r="C30" s="36">
        <v>10</v>
      </c>
      <c r="D30" s="34">
        <v>2019</v>
      </c>
      <c r="E30" s="40">
        <f>'Hotel Data'!X33</f>
        <v>11247</v>
      </c>
      <c r="F30" s="34">
        <v>0.1641</v>
      </c>
      <c r="G30" s="37">
        <f>'Hotel Data'!E33</f>
        <v>675.1999999997206</v>
      </c>
      <c r="H30" s="34">
        <v>0.36</v>
      </c>
      <c r="I30" s="38">
        <f>'Hotel Data'!K33</f>
        <v>161</v>
      </c>
      <c r="J30" s="34">
        <v>0.98</v>
      </c>
      <c r="K30" s="34">
        <v>98</v>
      </c>
      <c r="L30" s="34">
        <v>164</v>
      </c>
    </row>
    <row r="31" spans="1:12" s="34" customFormat="1" x14ac:dyDescent="0.25">
      <c r="A31" s="34" t="s">
        <v>45</v>
      </c>
      <c r="B31" s="35">
        <f t="shared" si="0"/>
        <v>30</v>
      </c>
      <c r="C31" s="36">
        <v>10</v>
      </c>
      <c r="D31" s="34">
        <v>2019</v>
      </c>
      <c r="E31" s="40">
        <f>'Hotel Data'!X34</f>
        <v>11231</v>
      </c>
      <c r="F31" s="34">
        <v>0.1641</v>
      </c>
      <c r="G31" s="37">
        <f>'Hotel Data'!E34</f>
        <v>758.8000000002794</v>
      </c>
      <c r="H31" s="34">
        <v>0.36</v>
      </c>
      <c r="I31" s="38">
        <f>'Hotel Data'!K34</f>
        <v>158</v>
      </c>
      <c r="J31" s="34">
        <v>0.98</v>
      </c>
      <c r="K31" s="34">
        <v>81</v>
      </c>
      <c r="L31" s="34">
        <v>130</v>
      </c>
    </row>
    <row r="32" spans="1:12" s="34" customFormat="1" x14ac:dyDescent="0.25">
      <c r="A32" s="34" t="s">
        <v>45</v>
      </c>
      <c r="B32" s="35">
        <f t="shared" si="0"/>
        <v>31</v>
      </c>
      <c r="C32" s="36">
        <v>10</v>
      </c>
      <c r="D32" s="34">
        <v>2019</v>
      </c>
      <c r="E32" s="40">
        <f>'Hotel Data'!X35</f>
        <v>10353</v>
      </c>
      <c r="F32" s="34">
        <v>0.1641</v>
      </c>
      <c r="G32" s="37">
        <f>'Hotel Data'!E35</f>
        <v>915.39999999990687</v>
      </c>
      <c r="H32" s="34">
        <v>0.36</v>
      </c>
      <c r="I32" s="38">
        <f>'Hotel Data'!K35</f>
        <v>142</v>
      </c>
      <c r="J32" s="34">
        <v>0.98</v>
      </c>
      <c r="K32" s="34">
        <v>92</v>
      </c>
      <c r="L32" s="34">
        <v>181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3"/>
  <sheetViews>
    <sheetView topLeftCell="B1" workbookViewId="0">
      <selection activeCell="C3" sqref="C3:C33"/>
    </sheetView>
  </sheetViews>
  <sheetFormatPr defaultColWidth="11.5703125" defaultRowHeight="15" x14ac:dyDescent="0.25"/>
  <cols>
    <col min="4" max="4" width="13.42578125" customWidth="1"/>
    <col min="5" max="5" width="13" style="28" customWidth="1"/>
    <col min="6" max="6" width="12.5703125" customWidth="1"/>
    <col min="7" max="7" width="13" style="28" customWidth="1"/>
    <col min="12" max="12" width="11.5703125" style="28"/>
    <col min="15" max="15" width="14" customWidth="1"/>
  </cols>
  <sheetData>
    <row r="1" spans="1:16" s="32" customFormat="1" ht="45" x14ac:dyDescent="0.25">
      <c r="A1" s="32" t="s">
        <v>36</v>
      </c>
      <c r="B1" s="32" t="s">
        <v>37</v>
      </c>
      <c r="C1" s="32" t="s">
        <v>38</v>
      </c>
      <c r="D1" s="32" t="s">
        <v>39</v>
      </c>
      <c r="E1" s="29" t="s">
        <v>55</v>
      </c>
      <c r="F1" s="29" t="s">
        <v>46</v>
      </c>
      <c r="G1" s="29" t="s">
        <v>47</v>
      </c>
      <c r="H1" s="30" t="s">
        <v>48</v>
      </c>
      <c r="I1" s="30" t="s">
        <v>49</v>
      </c>
      <c r="J1" s="30" t="s">
        <v>50</v>
      </c>
      <c r="K1" s="30" t="s">
        <v>51</v>
      </c>
      <c r="L1" s="29" t="s">
        <v>52</v>
      </c>
      <c r="M1" s="30" t="s">
        <v>53</v>
      </c>
      <c r="N1" s="30" t="s">
        <v>54</v>
      </c>
      <c r="O1" s="31" t="s">
        <v>56</v>
      </c>
      <c r="P1" s="31" t="s">
        <v>43</v>
      </c>
    </row>
    <row r="2" spans="1:16" s="32" customFormat="1" x14ac:dyDescent="0.25">
      <c r="E2" s="29"/>
      <c r="F2" s="29"/>
      <c r="G2" s="29"/>
      <c r="H2" s="30"/>
      <c r="I2" s="30"/>
      <c r="J2" s="30"/>
      <c r="K2" s="30"/>
      <c r="L2" s="29"/>
      <c r="M2" s="30"/>
      <c r="N2" s="30"/>
      <c r="O2" s="31"/>
      <c r="P2" s="31"/>
    </row>
    <row r="3" spans="1:16" s="34" customFormat="1" x14ac:dyDescent="0.25">
      <c r="A3" s="34" t="s">
        <v>45</v>
      </c>
      <c r="B3" s="34">
        <v>1</v>
      </c>
      <c r="C3" s="36">
        <v>10</v>
      </c>
      <c r="D3" s="34">
        <v>2018</v>
      </c>
      <c r="E3" s="37">
        <f>'Hotel Data'!E5</f>
        <v>133.5</v>
      </c>
      <c r="F3" s="37">
        <f>'Hotel Data'!G5</f>
        <v>1.0230000000001382</v>
      </c>
      <c r="G3" s="37">
        <f>'Hotel Data'!O5</f>
        <v>20</v>
      </c>
      <c r="H3" s="37">
        <f>'Hotel Data'!Q5</f>
        <v>4</v>
      </c>
      <c r="I3" s="37">
        <f>'Hotel Data'!S5</f>
        <v>2</v>
      </c>
      <c r="J3" s="37">
        <f>'Hotel Data'!U5</f>
        <v>28</v>
      </c>
      <c r="K3" s="37">
        <f>'Hotel Data'!AD5</f>
        <v>248</v>
      </c>
      <c r="L3" s="37">
        <f>'Hotel Data'!AG5</f>
        <v>1204</v>
      </c>
      <c r="M3" s="38">
        <f>'Hotel Data'!AJ5</f>
        <v>224</v>
      </c>
      <c r="N3" s="38">
        <f>'Hotel Data'!AN5</f>
        <v>655</v>
      </c>
      <c r="O3" s="38">
        <f>'Hotel Data'!AR5</f>
        <v>296</v>
      </c>
      <c r="P3" s="35">
        <f>TOTAL!K2</f>
        <v>94</v>
      </c>
    </row>
    <row r="4" spans="1:16" s="35" customFormat="1" x14ac:dyDescent="0.25">
      <c r="A4" s="35" t="s">
        <v>45</v>
      </c>
      <c r="B4" s="35">
        <f>B3+1</f>
        <v>2</v>
      </c>
      <c r="C4" s="36">
        <v>10</v>
      </c>
      <c r="D4" s="34">
        <v>2018</v>
      </c>
      <c r="E4" s="37">
        <f>'Hotel Data'!E6</f>
        <v>137</v>
      </c>
      <c r="F4" s="37">
        <f>'Hotel Data'!G6</f>
        <v>2.1410000000005311</v>
      </c>
      <c r="G4" s="37">
        <f>'Hotel Data'!O6</f>
        <v>18</v>
      </c>
      <c r="H4" s="37">
        <f>'Hotel Data'!Q6</f>
        <v>4</v>
      </c>
      <c r="I4" s="37">
        <f>'Hotel Data'!S6</f>
        <v>3</v>
      </c>
      <c r="J4" s="37">
        <f>'Hotel Data'!U6</f>
        <v>30</v>
      </c>
      <c r="K4" s="37">
        <f>'Hotel Data'!AD6</f>
        <v>242</v>
      </c>
      <c r="L4" s="37">
        <f>'Hotel Data'!AG6</f>
        <v>1074</v>
      </c>
      <c r="M4" s="38">
        <f>'Hotel Data'!AJ6</f>
        <v>176</v>
      </c>
      <c r="N4" s="38">
        <f>'Hotel Data'!AN6</f>
        <v>655</v>
      </c>
      <c r="O4" s="38">
        <f>'Hotel Data'!AR6</f>
        <v>264</v>
      </c>
      <c r="P4" s="35">
        <f>TOTAL!K3</f>
        <v>117</v>
      </c>
    </row>
    <row r="5" spans="1:16" s="35" customFormat="1" x14ac:dyDescent="0.25">
      <c r="A5" s="35" t="s">
        <v>45</v>
      </c>
      <c r="B5" s="35">
        <f t="shared" ref="B5:B33" si="0">B4+1</f>
        <v>3</v>
      </c>
      <c r="C5" s="36">
        <v>10</v>
      </c>
      <c r="D5" s="34">
        <v>2018</v>
      </c>
      <c r="E5" s="37">
        <f>'Hotel Data'!E7</f>
        <v>243.10000000009313</v>
      </c>
      <c r="F5" s="37">
        <f>'Hotel Data'!G7</f>
        <v>4.9499999999998181</v>
      </c>
      <c r="G5" s="37">
        <f>'Hotel Data'!O7</f>
        <v>16</v>
      </c>
      <c r="H5" s="37">
        <f>'Hotel Data'!Q7</f>
        <v>4</v>
      </c>
      <c r="I5" s="37">
        <f>'Hotel Data'!S7</f>
        <v>3</v>
      </c>
      <c r="J5" s="37">
        <f>'Hotel Data'!U7</f>
        <v>35</v>
      </c>
      <c r="K5" s="37">
        <f>'Hotel Data'!AD7</f>
        <v>239</v>
      </c>
      <c r="L5" s="37">
        <f>'Hotel Data'!AG7</f>
        <v>1213</v>
      </c>
      <c r="M5" s="38">
        <f>'Hotel Data'!AJ7</f>
        <v>328</v>
      </c>
      <c r="N5" s="38">
        <f>'Hotel Data'!AN7</f>
        <v>655</v>
      </c>
      <c r="O5" s="38">
        <f>'Hotel Data'!AR7</f>
        <v>312</v>
      </c>
      <c r="P5" s="35">
        <f>TOTAL!K4</f>
        <v>100</v>
      </c>
    </row>
    <row r="6" spans="1:16" s="35" customFormat="1" x14ac:dyDescent="0.25">
      <c r="A6" s="35" t="s">
        <v>45</v>
      </c>
      <c r="B6" s="35">
        <f t="shared" si="0"/>
        <v>4</v>
      </c>
      <c r="C6" s="36">
        <v>10</v>
      </c>
      <c r="D6" s="34">
        <v>2018</v>
      </c>
      <c r="E6" s="37">
        <f>'Hotel Data'!E8</f>
        <v>318.10000000009313</v>
      </c>
      <c r="F6" s="37">
        <f>'Hotel Data'!G8</f>
        <v>0.64800000000013824</v>
      </c>
      <c r="G6" s="37">
        <f>'Hotel Data'!O8</f>
        <v>12</v>
      </c>
      <c r="H6" s="37">
        <f>'Hotel Data'!Q8</f>
        <v>4</v>
      </c>
      <c r="I6" s="37">
        <f>'Hotel Data'!S8</f>
        <v>5</v>
      </c>
      <c r="J6" s="37">
        <f>'Hotel Data'!U8</f>
        <v>35</v>
      </c>
      <c r="K6" s="37">
        <f>'Hotel Data'!AD8</f>
        <v>244.56</v>
      </c>
      <c r="L6" s="37">
        <f>'Hotel Data'!AG8</f>
        <v>1084.7</v>
      </c>
      <c r="M6" s="38">
        <f>'Hotel Data'!AJ8</f>
        <v>248</v>
      </c>
      <c r="N6" s="38">
        <f>'Hotel Data'!AN8</f>
        <v>654.98</v>
      </c>
      <c r="O6" s="38">
        <f>'Hotel Data'!AR8</f>
        <v>312</v>
      </c>
      <c r="P6" s="35">
        <f>TOTAL!K5</f>
        <v>90</v>
      </c>
    </row>
    <row r="7" spans="1:16" s="35" customFormat="1" x14ac:dyDescent="0.25">
      <c r="A7" s="35" t="s">
        <v>45</v>
      </c>
      <c r="B7" s="35">
        <f t="shared" si="0"/>
        <v>5</v>
      </c>
      <c r="C7" s="36">
        <v>10</v>
      </c>
      <c r="D7" s="34">
        <v>2018</v>
      </c>
      <c r="E7" s="37">
        <f>'Hotel Data'!E9</f>
        <v>322.6999999997206</v>
      </c>
      <c r="F7" s="37">
        <f>'Hotel Data'!G9</f>
        <v>1.1279999999997017</v>
      </c>
      <c r="G7" s="37">
        <f>'Hotel Data'!O9</f>
        <v>11</v>
      </c>
      <c r="H7" s="37">
        <f>'Hotel Data'!Q9</f>
        <v>4</v>
      </c>
      <c r="I7" s="37">
        <f>'Hotel Data'!S9</f>
        <v>3</v>
      </c>
      <c r="J7" s="37">
        <f>'Hotel Data'!U9</f>
        <v>34</v>
      </c>
      <c r="K7" s="37">
        <f>'Hotel Data'!AD9</f>
        <v>245.36</v>
      </c>
      <c r="L7" s="37">
        <f>'Hotel Data'!AG9</f>
        <v>1072.8</v>
      </c>
      <c r="M7" s="38">
        <f>'Hotel Data'!AJ9</f>
        <v>208</v>
      </c>
      <c r="N7" s="38">
        <f>'Hotel Data'!AN9</f>
        <v>654.51</v>
      </c>
      <c r="O7" s="38">
        <f>'Hotel Data'!AR9</f>
        <v>312</v>
      </c>
      <c r="P7" s="35">
        <f>TOTAL!K6</f>
        <v>108</v>
      </c>
    </row>
    <row r="8" spans="1:16" s="35" customFormat="1" x14ac:dyDescent="0.25">
      <c r="A8" s="35" t="s">
        <v>45</v>
      </c>
      <c r="B8" s="35">
        <f t="shared" si="0"/>
        <v>6</v>
      </c>
      <c r="C8" s="36">
        <v>10</v>
      </c>
      <c r="D8" s="34">
        <v>2018</v>
      </c>
      <c r="E8" s="37">
        <f>'Hotel Data'!E10</f>
        <v>310.20000000018626</v>
      </c>
      <c r="F8" s="37">
        <f>'Hotel Data'!G10</f>
        <v>2.7039999999997235</v>
      </c>
      <c r="G8" s="37">
        <f>'Hotel Data'!O10</f>
        <v>15</v>
      </c>
      <c r="H8" s="37">
        <f>'Hotel Data'!Q10</f>
        <v>4</v>
      </c>
      <c r="I8" s="37">
        <f>'Hotel Data'!S10</f>
        <v>5</v>
      </c>
      <c r="J8" s="37">
        <f>'Hotel Data'!U10</f>
        <v>38</v>
      </c>
      <c r="K8" s="37">
        <f>'Hotel Data'!AD10</f>
        <v>247.7</v>
      </c>
      <c r="L8" s="37">
        <f>'Hotel Data'!AG10</f>
        <v>1268.7</v>
      </c>
      <c r="M8" s="38">
        <f>'Hotel Data'!AJ10</f>
        <v>272</v>
      </c>
      <c r="N8" s="38">
        <f>'Hotel Data'!AN10</f>
        <v>654.79999999999995</v>
      </c>
      <c r="O8" s="38">
        <f>'Hotel Data'!AR10</f>
        <v>264</v>
      </c>
      <c r="P8" s="35">
        <f>TOTAL!K7</f>
        <v>104</v>
      </c>
    </row>
    <row r="9" spans="1:16" s="35" customFormat="1" x14ac:dyDescent="0.25">
      <c r="A9" s="35" t="s">
        <v>45</v>
      </c>
      <c r="B9" s="35">
        <f t="shared" si="0"/>
        <v>7</v>
      </c>
      <c r="C9" s="36">
        <v>10</v>
      </c>
      <c r="D9" s="34">
        <v>2018</v>
      </c>
      <c r="E9" s="37">
        <f>'Hotel Data'!E11</f>
        <v>334.29999999981374</v>
      </c>
      <c r="F9" s="37">
        <f>'Hotel Data'!G11</f>
        <v>0.82900000000063301</v>
      </c>
      <c r="G9" s="37">
        <f>'Hotel Data'!O11</f>
        <v>9</v>
      </c>
      <c r="H9" s="37">
        <f>'Hotel Data'!Q11</f>
        <v>4</v>
      </c>
      <c r="I9" s="37">
        <f>'Hotel Data'!S11</f>
        <v>1</v>
      </c>
      <c r="J9" s="37">
        <f>'Hotel Data'!U11</f>
        <v>34</v>
      </c>
      <c r="K9" s="37">
        <f>'Hotel Data'!AD11</f>
        <v>242.59</v>
      </c>
      <c r="L9" s="37">
        <f>'Hotel Data'!AG11</f>
        <v>1167.2</v>
      </c>
      <c r="M9" s="38">
        <f>'Hotel Data'!AJ11</f>
        <v>184</v>
      </c>
      <c r="N9" s="38">
        <f>'Hotel Data'!AN11</f>
        <v>654.82000000000005</v>
      </c>
      <c r="O9" s="38">
        <f>'Hotel Data'!AR11</f>
        <v>312</v>
      </c>
      <c r="P9" s="35">
        <f>TOTAL!K8</f>
        <v>98</v>
      </c>
    </row>
    <row r="10" spans="1:16" s="35" customFormat="1" x14ac:dyDescent="0.25">
      <c r="A10" s="35" t="s">
        <v>45</v>
      </c>
      <c r="B10" s="35">
        <f t="shared" si="0"/>
        <v>8</v>
      </c>
      <c r="C10" s="36">
        <v>10</v>
      </c>
      <c r="D10" s="34">
        <v>2018</v>
      </c>
      <c r="E10" s="37">
        <f>'Hotel Data'!E12</f>
        <v>382.89999999990687</v>
      </c>
      <c r="F10" s="37">
        <f>'Hotel Data'!G12</f>
        <v>5.4799999999995634</v>
      </c>
      <c r="G10" s="37">
        <f>'Hotel Data'!O12</f>
        <v>14</v>
      </c>
      <c r="H10" s="37">
        <f>'Hotel Data'!Q12</f>
        <v>4</v>
      </c>
      <c r="I10" s="37">
        <f>'Hotel Data'!S12</f>
        <v>4</v>
      </c>
      <c r="J10" s="37">
        <f>'Hotel Data'!U12</f>
        <v>30</v>
      </c>
      <c r="K10" s="37">
        <f>'Hotel Data'!AD12</f>
        <v>245.87</v>
      </c>
      <c r="L10" s="37">
        <f>'Hotel Data'!AG12</f>
        <v>1215.8</v>
      </c>
      <c r="M10" s="38">
        <f>'Hotel Data'!AJ12</f>
        <v>208</v>
      </c>
      <c r="N10" s="38">
        <f>'Hotel Data'!AN12</f>
        <v>654.85</v>
      </c>
      <c r="O10" s="38">
        <f>'Hotel Data'!AR12</f>
        <v>320</v>
      </c>
      <c r="P10" s="35">
        <f>TOTAL!K9</f>
        <v>94</v>
      </c>
    </row>
    <row r="11" spans="1:16" s="35" customFormat="1" x14ac:dyDescent="0.25">
      <c r="A11" s="35" t="s">
        <v>45</v>
      </c>
      <c r="B11" s="35">
        <f t="shared" si="0"/>
        <v>9</v>
      </c>
      <c r="C11" s="36">
        <v>10</v>
      </c>
      <c r="D11" s="34">
        <v>2018</v>
      </c>
      <c r="E11" s="37">
        <f>'Hotel Data'!E13</f>
        <v>510</v>
      </c>
      <c r="F11" s="37">
        <f>'Hotel Data'!G13</f>
        <v>1.2700000000004366</v>
      </c>
      <c r="G11" s="37">
        <f>'Hotel Data'!O13</f>
        <v>9</v>
      </c>
      <c r="H11" s="37">
        <f>'Hotel Data'!Q13</f>
        <v>3</v>
      </c>
      <c r="I11" s="37">
        <f>'Hotel Data'!S13</f>
        <v>3</v>
      </c>
      <c r="J11" s="37">
        <f>'Hotel Data'!U13</f>
        <v>29</v>
      </c>
      <c r="K11" s="37">
        <f>'Hotel Data'!AD13</f>
        <v>256</v>
      </c>
      <c r="L11" s="37">
        <f>'Hotel Data'!AG13</f>
        <v>1269</v>
      </c>
      <c r="M11" s="38">
        <f>'Hotel Data'!AJ13</f>
        <v>280</v>
      </c>
      <c r="N11" s="38">
        <f>'Hotel Data'!AN13</f>
        <v>655</v>
      </c>
      <c r="O11" s="38">
        <f>'Hotel Data'!AR13</f>
        <v>312</v>
      </c>
      <c r="P11" s="35">
        <f>TOTAL!K10</f>
        <v>112</v>
      </c>
    </row>
    <row r="12" spans="1:16" s="35" customFormat="1" x14ac:dyDescent="0.25">
      <c r="A12" s="35" t="s">
        <v>45</v>
      </c>
      <c r="B12" s="35">
        <f t="shared" si="0"/>
        <v>10</v>
      </c>
      <c r="C12" s="36">
        <v>10</v>
      </c>
      <c r="D12" s="34">
        <v>2018</v>
      </c>
      <c r="E12" s="37">
        <f>'Hotel Data'!E14</f>
        <v>455.3000000002794</v>
      </c>
      <c r="F12" s="37">
        <f>'Hotel Data'!G14</f>
        <v>5.25</v>
      </c>
      <c r="G12" s="37">
        <f>'Hotel Data'!O14</f>
        <v>6</v>
      </c>
      <c r="H12" s="37">
        <f>'Hotel Data'!Q14</f>
        <v>3</v>
      </c>
      <c r="I12" s="37">
        <f>'Hotel Data'!S14</f>
        <v>3</v>
      </c>
      <c r="J12" s="37">
        <f>'Hotel Data'!U14</f>
        <v>31</v>
      </c>
      <c r="K12" s="37">
        <f>'Hotel Data'!AD14</f>
        <v>243</v>
      </c>
      <c r="L12" s="37">
        <f>'Hotel Data'!AG14</f>
        <v>1330</v>
      </c>
      <c r="M12" s="38">
        <f>'Hotel Data'!AJ14</f>
        <v>256</v>
      </c>
      <c r="N12" s="38">
        <f>'Hotel Data'!AN14</f>
        <v>655</v>
      </c>
      <c r="O12" s="38">
        <f>'Hotel Data'!AR14</f>
        <v>328</v>
      </c>
      <c r="P12" s="35">
        <f>TOTAL!K11</f>
        <v>105</v>
      </c>
    </row>
    <row r="13" spans="1:16" s="35" customFormat="1" x14ac:dyDescent="0.25">
      <c r="A13" s="35" t="s">
        <v>45</v>
      </c>
      <c r="B13" s="35">
        <f t="shared" si="0"/>
        <v>11</v>
      </c>
      <c r="C13" s="36">
        <v>10</v>
      </c>
      <c r="D13" s="34">
        <v>2018</v>
      </c>
      <c r="E13" s="37">
        <f>'Hotel Data'!E15</f>
        <v>427.10000000009313</v>
      </c>
      <c r="F13" s="37">
        <f>'Hotel Data'!G15</f>
        <v>3.1899999999995998</v>
      </c>
      <c r="G13" s="37">
        <f>'Hotel Data'!O15</f>
        <v>13</v>
      </c>
      <c r="H13" s="37">
        <f>'Hotel Data'!Q15</f>
        <v>3</v>
      </c>
      <c r="I13" s="37">
        <f>'Hotel Data'!S15</f>
        <v>2</v>
      </c>
      <c r="J13" s="37">
        <f>'Hotel Data'!U15</f>
        <v>29</v>
      </c>
      <c r="K13" s="37">
        <f>'Hotel Data'!AD15</f>
        <v>245.68</v>
      </c>
      <c r="L13" s="37">
        <f>'Hotel Data'!AG15</f>
        <v>1102.8</v>
      </c>
      <c r="M13" s="38">
        <f>'Hotel Data'!AJ15</f>
        <v>240</v>
      </c>
      <c r="N13" s="38">
        <f>'Hotel Data'!AN15</f>
        <v>654.44000000000005</v>
      </c>
      <c r="O13" s="38">
        <f>'Hotel Data'!AR15</f>
        <v>320</v>
      </c>
      <c r="P13" s="35">
        <f>TOTAL!K12</f>
        <v>109</v>
      </c>
    </row>
    <row r="14" spans="1:16" s="35" customFormat="1" x14ac:dyDescent="0.25">
      <c r="A14" s="35" t="s">
        <v>45</v>
      </c>
      <c r="B14" s="35">
        <f t="shared" si="0"/>
        <v>12</v>
      </c>
      <c r="C14" s="36">
        <v>10</v>
      </c>
      <c r="D14" s="34">
        <v>2018</v>
      </c>
      <c r="E14" s="37">
        <f>'Hotel Data'!E16</f>
        <v>411.09999999962747</v>
      </c>
      <c r="F14" s="37">
        <f>'Hotel Data'!G16</f>
        <v>1.7780000000002474</v>
      </c>
      <c r="G14" s="37">
        <f>'Hotel Data'!O16</f>
        <v>5</v>
      </c>
      <c r="H14" s="37">
        <f>'Hotel Data'!Q16</f>
        <v>3</v>
      </c>
      <c r="I14" s="37">
        <f>'Hotel Data'!S16</f>
        <v>2</v>
      </c>
      <c r="J14" s="37">
        <f>'Hotel Data'!U16</f>
        <v>30</v>
      </c>
      <c r="K14" s="37">
        <f>'Hotel Data'!AD16</f>
        <v>244.27</v>
      </c>
      <c r="L14" s="37">
        <f>'Hotel Data'!AG16</f>
        <v>1087.5999999999999</v>
      </c>
      <c r="M14" s="38">
        <f>'Hotel Data'!AJ16</f>
        <v>208</v>
      </c>
      <c r="N14" s="38">
        <f>'Hotel Data'!AN16</f>
        <v>655.14</v>
      </c>
      <c r="O14" s="38">
        <f>'Hotel Data'!AR16</f>
        <v>312</v>
      </c>
      <c r="P14" s="35">
        <f>TOTAL!K13</f>
        <v>113</v>
      </c>
    </row>
    <row r="15" spans="1:16" s="35" customFormat="1" x14ac:dyDescent="0.25">
      <c r="A15" s="35" t="s">
        <v>45</v>
      </c>
      <c r="B15" s="35">
        <f t="shared" si="0"/>
        <v>13</v>
      </c>
      <c r="C15" s="36">
        <v>10</v>
      </c>
      <c r="D15" s="34">
        <v>2018</v>
      </c>
      <c r="E15" s="37">
        <f>'Hotel Data'!E17</f>
        <v>428.90000000037253</v>
      </c>
      <c r="F15" s="37">
        <f>'Hotel Data'!G17</f>
        <v>2.7739999999994325</v>
      </c>
      <c r="G15" s="37">
        <f>'Hotel Data'!O17</f>
        <v>5</v>
      </c>
      <c r="H15" s="37">
        <f>'Hotel Data'!Q17</f>
        <v>4</v>
      </c>
      <c r="I15" s="37">
        <f>'Hotel Data'!S17</f>
        <v>4</v>
      </c>
      <c r="J15" s="37">
        <f>'Hotel Data'!U17</f>
        <v>35</v>
      </c>
      <c r="K15" s="37">
        <f>'Hotel Data'!AD17</f>
        <v>241.59</v>
      </c>
      <c r="L15" s="37">
        <f>'Hotel Data'!AG17</f>
        <v>1300.0999999999999</v>
      </c>
      <c r="M15" s="38">
        <f>'Hotel Data'!AJ17</f>
        <v>280</v>
      </c>
      <c r="N15" s="38">
        <f>'Hotel Data'!AN17</f>
        <v>654.82000000000005</v>
      </c>
      <c r="O15" s="38">
        <f>'Hotel Data'!AR17</f>
        <v>280</v>
      </c>
      <c r="P15" s="35">
        <f>TOTAL!K14</f>
        <v>97</v>
      </c>
    </row>
    <row r="16" spans="1:16" s="35" customFormat="1" x14ac:dyDescent="0.25">
      <c r="A16" s="35" t="s">
        <v>45</v>
      </c>
      <c r="B16" s="35">
        <f t="shared" si="0"/>
        <v>14</v>
      </c>
      <c r="C16" s="36">
        <v>10</v>
      </c>
      <c r="D16" s="34">
        <v>2018</v>
      </c>
      <c r="E16" s="37">
        <f>'Hotel Data'!E18</f>
        <v>293</v>
      </c>
      <c r="F16" s="37">
        <f>'Hotel Data'!G18</f>
        <v>-1.9999999994979589E-3</v>
      </c>
      <c r="G16" s="37">
        <f>'Hotel Data'!O18</f>
        <v>1</v>
      </c>
      <c r="H16" s="37">
        <f>'Hotel Data'!Q18</f>
        <v>3</v>
      </c>
      <c r="I16" s="37">
        <f>'Hotel Data'!S18</f>
        <v>3</v>
      </c>
      <c r="J16" s="37">
        <f>'Hotel Data'!U18</f>
        <v>29</v>
      </c>
      <c r="K16" s="37">
        <f>'Hotel Data'!AD18</f>
        <v>235</v>
      </c>
      <c r="L16" s="37">
        <f>'Hotel Data'!AG18</f>
        <v>1119</v>
      </c>
      <c r="M16" s="38">
        <f>'Hotel Data'!AJ18</f>
        <v>192</v>
      </c>
      <c r="N16" s="38">
        <f>'Hotel Data'!AN18</f>
        <v>655</v>
      </c>
      <c r="O16" s="38">
        <f>'Hotel Data'!AR18</f>
        <v>312</v>
      </c>
      <c r="P16" s="35">
        <f>TOTAL!K15</f>
        <v>94</v>
      </c>
    </row>
    <row r="17" spans="1:16" s="35" customFormat="1" x14ac:dyDescent="0.25">
      <c r="A17" s="35" t="s">
        <v>45</v>
      </c>
      <c r="B17" s="35">
        <f t="shared" si="0"/>
        <v>15</v>
      </c>
      <c r="C17" s="36">
        <v>10</v>
      </c>
      <c r="D17" s="34">
        <v>2018</v>
      </c>
      <c r="E17" s="37">
        <f>'Hotel Data'!E19</f>
        <v>239.39999999990687</v>
      </c>
      <c r="F17" s="37">
        <f>'Hotel Data'!G19</f>
        <v>1.3400000000001455</v>
      </c>
      <c r="G17" s="37">
        <f>'Hotel Data'!O19</f>
        <v>5</v>
      </c>
      <c r="H17" s="37">
        <f>'Hotel Data'!Q19</f>
        <v>3</v>
      </c>
      <c r="I17" s="37">
        <f>'Hotel Data'!S19</f>
        <v>2</v>
      </c>
      <c r="J17" s="37">
        <f>'Hotel Data'!U19</f>
        <v>28</v>
      </c>
      <c r="K17" s="37">
        <f>'Hotel Data'!AD19</f>
        <v>240</v>
      </c>
      <c r="L17" s="37">
        <f>'Hotel Data'!AG19</f>
        <v>1150</v>
      </c>
      <c r="M17" s="38">
        <f>'Hotel Data'!AJ19</f>
        <v>200</v>
      </c>
      <c r="N17" s="38">
        <f>'Hotel Data'!AN19</f>
        <v>655</v>
      </c>
      <c r="O17" s="38">
        <f>'Hotel Data'!AR19</f>
        <v>288</v>
      </c>
      <c r="P17" s="35">
        <f>TOTAL!K16</f>
        <v>85</v>
      </c>
    </row>
    <row r="18" spans="1:16" s="35" customFormat="1" x14ac:dyDescent="0.25">
      <c r="A18" s="35" t="s">
        <v>45</v>
      </c>
      <c r="B18" s="35">
        <f t="shared" si="0"/>
        <v>16</v>
      </c>
      <c r="C18" s="36">
        <v>10</v>
      </c>
      <c r="D18" s="34">
        <v>2018</v>
      </c>
      <c r="E18" s="37">
        <f>'Hotel Data'!E20</f>
        <v>525.29999999981374</v>
      </c>
      <c r="F18" s="37">
        <f>'Hotel Data'!G20</f>
        <v>3.5199999999995271</v>
      </c>
      <c r="G18" s="37">
        <f>'Hotel Data'!O20</f>
        <v>14</v>
      </c>
      <c r="H18" s="37">
        <f>'Hotel Data'!Q20</f>
        <v>3</v>
      </c>
      <c r="I18" s="37">
        <f>'Hotel Data'!S20</f>
        <v>4</v>
      </c>
      <c r="J18" s="37">
        <f>'Hotel Data'!U20</f>
        <v>27</v>
      </c>
      <c r="K18" s="37">
        <f>'Hotel Data'!AD20</f>
        <v>239</v>
      </c>
      <c r="L18" s="37">
        <f>'Hotel Data'!AG20</f>
        <v>1077</v>
      </c>
      <c r="M18" s="38">
        <f>'Hotel Data'!AJ20</f>
        <v>168</v>
      </c>
      <c r="N18" s="38">
        <f>'Hotel Data'!AN20</f>
        <v>655</v>
      </c>
      <c r="O18" s="38">
        <f>'Hotel Data'!AR20</f>
        <v>272</v>
      </c>
      <c r="P18" s="35">
        <f>TOTAL!K17</f>
        <v>91</v>
      </c>
    </row>
    <row r="19" spans="1:16" s="35" customFormat="1" x14ac:dyDescent="0.25">
      <c r="A19" s="35" t="s">
        <v>45</v>
      </c>
      <c r="B19" s="35">
        <f t="shared" si="0"/>
        <v>17</v>
      </c>
      <c r="C19" s="36">
        <v>10</v>
      </c>
      <c r="D19" s="34">
        <v>2018</v>
      </c>
      <c r="E19" s="37">
        <f>'Hotel Data'!E21</f>
        <v>504.8000000002794</v>
      </c>
      <c r="F19" s="37">
        <f>'Hotel Data'!G21</f>
        <v>3.3100000000004002</v>
      </c>
      <c r="G19" s="37">
        <f>'Hotel Data'!O21</f>
        <v>15</v>
      </c>
      <c r="H19" s="37">
        <f>'Hotel Data'!Q21</f>
        <v>3</v>
      </c>
      <c r="I19" s="37">
        <f>'Hotel Data'!S21</f>
        <v>2</v>
      </c>
      <c r="J19" s="37">
        <f>'Hotel Data'!U21</f>
        <v>31</v>
      </c>
      <c r="K19" s="37">
        <f>'Hotel Data'!AD21</f>
        <v>237.33</v>
      </c>
      <c r="L19" s="37">
        <f>'Hotel Data'!AG21</f>
        <v>1058.0999999999999</v>
      </c>
      <c r="M19" s="38">
        <f>'Hotel Data'!AJ21</f>
        <v>208</v>
      </c>
      <c r="N19" s="38">
        <f>'Hotel Data'!AN21</f>
        <v>655.09</v>
      </c>
      <c r="O19" s="38">
        <f>'Hotel Data'!AR21</f>
        <v>264</v>
      </c>
      <c r="P19" s="35">
        <f>TOTAL!K18</f>
        <v>109</v>
      </c>
    </row>
    <row r="20" spans="1:16" s="35" customFormat="1" x14ac:dyDescent="0.25">
      <c r="A20" s="35" t="s">
        <v>45</v>
      </c>
      <c r="B20" s="35">
        <f t="shared" si="0"/>
        <v>18</v>
      </c>
      <c r="C20" s="36">
        <v>10</v>
      </c>
      <c r="D20" s="34">
        <v>2018</v>
      </c>
      <c r="E20" s="37">
        <f>'Hotel Data'!E22</f>
        <v>450.5</v>
      </c>
      <c r="F20" s="37">
        <f>'Hotel Data'!G22</f>
        <v>1.4799999999995634</v>
      </c>
      <c r="G20" s="37">
        <f>'Hotel Data'!O22</f>
        <v>14</v>
      </c>
      <c r="H20" s="37">
        <f>'Hotel Data'!Q22</f>
        <v>3</v>
      </c>
      <c r="I20" s="37">
        <f>'Hotel Data'!S22</f>
        <v>1</v>
      </c>
      <c r="J20" s="37">
        <f>'Hotel Data'!U22</f>
        <v>30</v>
      </c>
      <c r="K20" s="37">
        <f>'Hotel Data'!AD22</f>
        <v>246.53</v>
      </c>
      <c r="L20" s="37">
        <f>'Hotel Data'!AG22</f>
        <v>1091.5999999999999</v>
      </c>
      <c r="M20" s="38">
        <f>'Hotel Data'!AJ22</f>
        <v>176</v>
      </c>
      <c r="N20" s="38">
        <f>'Hotel Data'!AN22</f>
        <v>655.05999999999995</v>
      </c>
      <c r="O20" s="38">
        <f>'Hotel Data'!AR22</f>
        <v>288</v>
      </c>
      <c r="P20" s="35">
        <f>TOTAL!K19</f>
        <v>206</v>
      </c>
    </row>
    <row r="21" spans="1:16" s="35" customFormat="1" x14ac:dyDescent="0.25">
      <c r="A21" s="35" t="s">
        <v>45</v>
      </c>
      <c r="B21" s="35">
        <f t="shared" si="0"/>
        <v>19</v>
      </c>
      <c r="C21" s="36">
        <v>10</v>
      </c>
      <c r="D21" s="34">
        <v>2018</v>
      </c>
      <c r="E21" s="37">
        <f>'Hotel Data'!E23</f>
        <v>516.39999999990687</v>
      </c>
      <c r="F21" s="37">
        <f>'Hotel Data'!G23</f>
        <v>6.204000000000633</v>
      </c>
      <c r="G21" s="37">
        <f>'Hotel Data'!O23</f>
        <v>15</v>
      </c>
      <c r="H21" s="37">
        <f>'Hotel Data'!Q23</f>
        <v>4</v>
      </c>
      <c r="I21" s="37">
        <f>'Hotel Data'!S23</f>
        <v>1</v>
      </c>
      <c r="J21" s="37">
        <f>'Hotel Data'!U23</f>
        <v>36</v>
      </c>
      <c r="K21" s="37">
        <f>'Hotel Data'!AD23</f>
        <v>245.24</v>
      </c>
      <c r="L21" s="37">
        <f>'Hotel Data'!AG23</f>
        <v>1214</v>
      </c>
      <c r="M21" s="38">
        <f>'Hotel Data'!AJ23</f>
        <v>216</v>
      </c>
      <c r="N21" s="38">
        <f>'Hotel Data'!AN23</f>
        <v>655.35</v>
      </c>
      <c r="O21" s="38">
        <f>'Hotel Data'!AR23</f>
        <v>328</v>
      </c>
      <c r="P21" s="35">
        <f>TOTAL!K20</f>
        <v>111</v>
      </c>
    </row>
    <row r="22" spans="1:16" s="35" customFormat="1" x14ac:dyDescent="0.25">
      <c r="A22" s="35" t="s">
        <v>45</v>
      </c>
      <c r="B22" s="35">
        <f t="shared" si="0"/>
        <v>20</v>
      </c>
      <c r="C22" s="36">
        <v>10</v>
      </c>
      <c r="D22" s="34">
        <v>2018</v>
      </c>
      <c r="E22" s="37">
        <f>'Hotel Data'!E24</f>
        <v>411.5</v>
      </c>
      <c r="F22" s="37">
        <f>'Hotel Data'!G24</f>
        <v>1.2509999999992942</v>
      </c>
      <c r="G22" s="37">
        <f>'Hotel Data'!O24</f>
        <v>13</v>
      </c>
      <c r="H22" s="37">
        <f>'Hotel Data'!Q24</f>
        <v>4</v>
      </c>
      <c r="I22" s="37">
        <f>'Hotel Data'!S24</f>
        <v>3</v>
      </c>
      <c r="J22" s="37">
        <f>'Hotel Data'!U24</f>
        <v>32</v>
      </c>
      <c r="K22" s="37">
        <f>'Hotel Data'!AD24</f>
        <v>248.2</v>
      </c>
      <c r="L22" s="37">
        <f>'Hotel Data'!AG24</f>
        <v>1297.3</v>
      </c>
      <c r="M22" s="38">
        <f>'Hotel Data'!AJ24</f>
        <v>280</v>
      </c>
      <c r="N22" s="38">
        <f>'Hotel Data'!AN24</f>
        <v>655.23</v>
      </c>
      <c r="O22" s="38">
        <f>'Hotel Data'!AR24</f>
        <v>336</v>
      </c>
      <c r="P22" s="35">
        <f>TOTAL!K21</f>
        <v>76</v>
      </c>
    </row>
    <row r="23" spans="1:16" s="35" customFormat="1" x14ac:dyDescent="0.25">
      <c r="A23" s="35" t="s">
        <v>45</v>
      </c>
      <c r="B23" s="35">
        <f t="shared" si="0"/>
        <v>21</v>
      </c>
      <c r="C23" s="36">
        <v>10</v>
      </c>
      <c r="D23" s="34">
        <v>2018</v>
      </c>
      <c r="E23" s="37">
        <f>'Hotel Data'!E25</f>
        <v>368</v>
      </c>
      <c r="F23" s="37">
        <f>'Hotel Data'!G25</f>
        <v>0.39500000000043656</v>
      </c>
      <c r="G23" s="37">
        <f>'Hotel Data'!O25</f>
        <v>14</v>
      </c>
      <c r="H23" s="37">
        <f>'Hotel Data'!Q25</f>
        <v>3</v>
      </c>
      <c r="I23" s="37">
        <f>'Hotel Data'!S25</f>
        <v>2</v>
      </c>
      <c r="J23" s="37">
        <f>'Hotel Data'!U25</f>
        <v>28</v>
      </c>
      <c r="K23" s="37">
        <f>'Hotel Data'!AD25</f>
        <v>245</v>
      </c>
      <c r="L23" s="37">
        <f>'Hotel Data'!AG25</f>
        <v>1067</v>
      </c>
      <c r="M23" s="38">
        <f>'Hotel Data'!AJ25</f>
        <v>192</v>
      </c>
      <c r="N23" s="38">
        <f>'Hotel Data'!AN25</f>
        <v>655</v>
      </c>
      <c r="O23" s="38">
        <f>'Hotel Data'!AR25</f>
        <v>320</v>
      </c>
      <c r="P23" s="35">
        <f>TOTAL!K22</f>
        <v>107</v>
      </c>
    </row>
    <row r="24" spans="1:16" s="35" customFormat="1" x14ac:dyDescent="0.25">
      <c r="A24" s="35" t="s">
        <v>45</v>
      </c>
      <c r="B24" s="35">
        <f t="shared" si="0"/>
        <v>22</v>
      </c>
      <c r="C24" s="36">
        <v>10</v>
      </c>
      <c r="D24" s="34">
        <v>2018</v>
      </c>
      <c r="E24" s="37">
        <f>'Hotel Data'!E26</f>
        <v>356.1999999997206</v>
      </c>
      <c r="F24" s="37">
        <f>'Hotel Data'!G26</f>
        <v>1.0000000000218279E-2</v>
      </c>
      <c r="G24" s="37">
        <f>'Hotel Data'!O26</f>
        <v>14</v>
      </c>
      <c r="H24" s="37">
        <f>'Hotel Data'!Q26</f>
        <v>3</v>
      </c>
      <c r="I24" s="37">
        <f>'Hotel Data'!S26</f>
        <v>2</v>
      </c>
      <c r="J24" s="37">
        <f>'Hotel Data'!U26</f>
        <v>31</v>
      </c>
      <c r="K24" s="37">
        <f>'Hotel Data'!AD26</f>
        <v>247</v>
      </c>
      <c r="L24" s="37">
        <f>'Hotel Data'!AG26</f>
        <v>1122</v>
      </c>
      <c r="M24" s="38">
        <f>'Hotel Data'!AJ26</f>
        <v>264</v>
      </c>
      <c r="N24" s="38">
        <f>'Hotel Data'!AN26</f>
        <v>655</v>
      </c>
      <c r="O24" s="38">
        <f>'Hotel Data'!AR26</f>
        <v>304</v>
      </c>
      <c r="P24" s="35">
        <f>TOTAL!K23</f>
        <v>106</v>
      </c>
    </row>
    <row r="25" spans="1:16" s="35" customFormat="1" x14ac:dyDescent="0.25">
      <c r="A25" s="35" t="s">
        <v>45</v>
      </c>
      <c r="B25" s="35">
        <f t="shared" si="0"/>
        <v>23</v>
      </c>
      <c r="C25" s="36">
        <v>10</v>
      </c>
      <c r="D25" s="34">
        <v>2018</v>
      </c>
      <c r="E25" s="37">
        <f>'Hotel Data'!E27</f>
        <v>338.90000000037253</v>
      </c>
      <c r="F25" s="37">
        <f>'Hotel Data'!G27</f>
        <v>1.0599999999994907</v>
      </c>
      <c r="G25" s="37">
        <f>'Hotel Data'!O27</f>
        <v>14</v>
      </c>
      <c r="H25" s="37">
        <f>'Hotel Data'!Q27</f>
        <v>4</v>
      </c>
      <c r="I25" s="37">
        <f>'Hotel Data'!S27</f>
        <v>6</v>
      </c>
      <c r="J25" s="37">
        <f>'Hotel Data'!U27</f>
        <v>30</v>
      </c>
      <c r="K25" s="37">
        <f>'Hotel Data'!AD27</f>
        <v>250</v>
      </c>
      <c r="L25" s="37">
        <f>'Hotel Data'!AG27</f>
        <v>1153</v>
      </c>
      <c r="M25" s="38">
        <f>'Hotel Data'!AJ27</f>
        <v>264</v>
      </c>
      <c r="N25" s="38">
        <f>'Hotel Data'!AN27</f>
        <v>655</v>
      </c>
      <c r="O25" s="38">
        <f>'Hotel Data'!AR27</f>
        <v>312</v>
      </c>
      <c r="P25" s="35">
        <f>TOTAL!K24</f>
        <v>108</v>
      </c>
    </row>
    <row r="26" spans="1:16" s="35" customFormat="1" x14ac:dyDescent="0.25">
      <c r="A26" s="35" t="s">
        <v>45</v>
      </c>
      <c r="B26" s="35">
        <f t="shared" si="0"/>
        <v>24</v>
      </c>
      <c r="C26" s="36">
        <v>10</v>
      </c>
      <c r="D26" s="34">
        <v>2018</v>
      </c>
      <c r="E26" s="37">
        <f>'Hotel Data'!E28</f>
        <v>379.39999999990687</v>
      </c>
      <c r="F26" s="37">
        <f>'Hotel Data'!G28</f>
        <v>7.6999999999998181</v>
      </c>
      <c r="G26" s="37">
        <f>'Hotel Data'!O28</f>
        <v>13</v>
      </c>
      <c r="H26" s="37">
        <f>'Hotel Data'!Q28</f>
        <v>3</v>
      </c>
      <c r="I26" s="37">
        <f>'Hotel Data'!S28</f>
        <v>2</v>
      </c>
      <c r="J26" s="37">
        <f>'Hotel Data'!U28</f>
        <v>31</v>
      </c>
      <c r="K26" s="37">
        <f>'Hotel Data'!AD28</f>
        <v>266</v>
      </c>
      <c r="L26" s="37">
        <f>'Hotel Data'!AG28</f>
        <v>1130</v>
      </c>
      <c r="M26" s="38">
        <f>'Hotel Data'!AJ28</f>
        <v>368</v>
      </c>
      <c r="N26" s="38">
        <f>'Hotel Data'!AN28</f>
        <v>655</v>
      </c>
      <c r="O26" s="38">
        <f>'Hotel Data'!AR28</f>
        <v>280</v>
      </c>
      <c r="P26" s="35">
        <f>TOTAL!K25</f>
        <v>104</v>
      </c>
    </row>
    <row r="27" spans="1:16" s="35" customFormat="1" x14ac:dyDescent="0.25">
      <c r="A27" s="35" t="s">
        <v>45</v>
      </c>
      <c r="B27" s="35">
        <f>B26+1</f>
        <v>25</v>
      </c>
      <c r="C27" s="36">
        <v>10</v>
      </c>
      <c r="D27" s="34">
        <v>2018</v>
      </c>
      <c r="E27" s="37">
        <f>'Hotel Data'!E29</f>
        <v>398.60000000009313</v>
      </c>
      <c r="F27" s="37">
        <f>'Hotel Data'!G29</f>
        <v>5.5399999999999636</v>
      </c>
      <c r="G27" s="37">
        <f>'Hotel Data'!O29</f>
        <v>14</v>
      </c>
      <c r="H27" s="37">
        <f>'Hotel Data'!Q29</f>
        <v>4</v>
      </c>
      <c r="I27" s="37">
        <f>'Hotel Data'!S29</f>
        <v>2</v>
      </c>
      <c r="J27" s="37">
        <f>'Hotel Data'!U29</f>
        <v>33</v>
      </c>
      <c r="K27" s="37">
        <f>'Hotel Data'!AD29</f>
        <v>242.81</v>
      </c>
      <c r="L27" s="37">
        <f>'Hotel Data'!AG29</f>
        <v>1164.2</v>
      </c>
      <c r="M27" s="38">
        <f>'Hotel Data'!AJ29</f>
        <v>208</v>
      </c>
      <c r="N27" s="38">
        <f>'Hotel Data'!AN29</f>
        <v>654.91</v>
      </c>
      <c r="O27" s="38">
        <f>'Hotel Data'!AR29</f>
        <v>288</v>
      </c>
      <c r="P27" s="35">
        <f>TOTAL!K26</f>
        <v>95</v>
      </c>
    </row>
    <row r="28" spans="1:16" s="35" customFormat="1" x14ac:dyDescent="0.25">
      <c r="A28" s="35" t="s">
        <v>45</v>
      </c>
      <c r="B28" s="35">
        <f t="shared" si="0"/>
        <v>26</v>
      </c>
      <c r="C28" s="36">
        <v>10</v>
      </c>
      <c r="D28" s="34">
        <v>2018</v>
      </c>
      <c r="E28" s="37">
        <f>'Hotel Data'!E30</f>
        <v>422.89999999990687</v>
      </c>
      <c r="F28" s="37">
        <f>'Hotel Data'!G30</f>
        <v>5.4400000000005093</v>
      </c>
      <c r="G28" s="37">
        <f>'Hotel Data'!O30</f>
        <v>12</v>
      </c>
      <c r="H28" s="37">
        <f>'Hotel Data'!Q30</f>
        <v>3</v>
      </c>
      <c r="I28" s="37">
        <f>'Hotel Data'!S30</f>
        <v>3</v>
      </c>
      <c r="J28" s="37">
        <f>'Hotel Data'!U30</f>
        <v>30</v>
      </c>
      <c r="K28" s="37">
        <f>'Hotel Data'!AD30</f>
        <v>241.15</v>
      </c>
      <c r="L28" s="37">
        <f>'Hotel Data'!AG30</f>
        <v>1141.8</v>
      </c>
      <c r="M28" s="38">
        <f>'Hotel Data'!AJ30</f>
        <v>216</v>
      </c>
      <c r="N28" s="38">
        <f>'Hotel Data'!AN30</f>
        <v>654.91999999999996</v>
      </c>
      <c r="O28" s="38">
        <f>'Hotel Data'!AR30</f>
        <v>280</v>
      </c>
      <c r="P28" s="35">
        <f>TOTAL!K27</f>
        <v>95</v>
      </c>
    </row>
    <row r="29" spans="1:16" s="35" customFormat="1" x14ac:dyDescent="0.25">
      <c r="A29" s="35" t="s">
        <v>45</v>
      </c>
      <c r="B29" s="35">
        <f t="shared" si="0"/>
        <v>27</v>
      </c>
      <c r="C29" s="36">
        <v>10</v>
      </c>
      <c r="D29" s="34">
        <v>2018</v>
      </c>
      <c r="E29" s="37">
        <f>'Hotel Data'!E31</f>
        <v>386.6999999997206</v>
      </c>
      <c r="F29" s="37">
        <f>'Hotel Data'!G31</f>
        <v>1.4830000000001746</v>
      </c>
      <c r="G29" s="37">
        <f>'Hotel Data'!O31</f>
        <v>13</v>
      </c>
      <c r="H29" s="37">
        <f>'Hotel Data'!Q31</f>
        <v>4</v>
      </c>
      <c r="I29" s="37">
        <f>'Hotel Data'!S31</f>
        <v>2</v>
      </c>
      <c r="J29" s="37">
        <f>'Hotel Data'!U31</f>
        <v>30</v>
      </c>
      <c r="K29" s="37">
        <f>'Hotel Data'!AD31</f>
        <v>230.54</v>
      </c>
      <c r="L29" s="37">
        <f>'Hotel Data'!AG31</f>
        <v>1132</v>
      </c>
      <c r="M29" s="38">
        <f>'Hotel Data'!AJ31</f>
        <v>288</v>
      </c>
      <c r="N29" s="38">
        <f>'Hotel Data'!AN31</f>
        <v>654.94000000000005</v>
      </c>
      <c r="O29" s="38">
        <f>'Hotel Data'!AR31</f>
        <v>304</v>
      </c>
      <c r="P29" s="35">
        <f>TOTAL!K28</f>
        <v>70</v>
      </c>
    </row>
    <row r="30" spans="1:16" s="35" customFormat="1" x14ac:dyDescent="0.25">
      <c r="A30" s="35" t="s">
        <v>45</v>
      </c>
      <c r="B30" s="35">
        <f t="shared" si="0"/>
        <v>28</v>
      </c>
      <c r="C30" s="36">
        <v>10</v>
      </c>
      <c r="D30" s="34">
        <v>2018</v>
      </c>
      <c r="E30" s="37">
        <f>'Hotel Data'!E32</f>
        <v>393.90000000037253</v>
      </c>
      <c r="F30" s="37">
        <f>'Hotel Data'!G32</f>
        <v>7.9179999999996653</v>
      </c>
      <c r="G30" s="37">
        <f>'Hotel Data'!O32</f>
        <v>13</v>
      </c>
      <c r="H30" s="37">
        <f>'Hotel Data'!Q32</f>
        <v>4</v>
      </c>
      <c r="I30" s="37">
        <f>'Hotel Data'!S32</f>
        <v>3</v>
      </c>
      <c r="J30" s="37">
        <f>'Hotel Data'!U32</f>
        <v>30</v>
      </c>
      <c r="K30" s="37">
        <f>'Hotel Data'!AD32</f>
        <v>261</v>
      </c>
      <c r="L30" s="37">
        <f>'Hotel Data'!AG32</f>
        <v>1284</v>
      </c>
      <c r="M30" s="38">
        <f>'Hotel Data'!AJ32</f>
        <v>192</v>
      </c>
      <c r="N30" s="38">
        <f>'Hotel Data'!AN32</f>
        <v>655</v>
      </c>
      <c r="O30" s="38">
        <f>'Hotel Data'!AR32</f>
        <v>240</v>
      </c>
      <c r="P30" s="35">
        <f>TOTAL!K29</f>
        <v>86</v>
      </c>
    </row>
    <row r="31" spans="1:16" s="35" customFormat="1" x14ac:dyDescent="0.25">
      <c r="A31" s="35" t="s">
        <v>45</v>
      </c>
      <c r="B31" s="35">
        <f t="shared" si="0"/>
        <v>29</v>
      </c>
      <c r="C31" s="36">
        <v>10</v>
      </c>
      <c r="D31" s="34">
        <v>2018</v>
      </c>
      <c r="E31" s="37">
        <f>'Hotel Data'!E33</f>
        <v>675.1999999997206</v>
      </c>
      <c r="F31" s="37">
        <f>'Hotel Data'!G33</f>
        <v>7.0690000000004147</v>
      </c>
      <c r="G31" s="37">
        <f>'Hotel Data'!O33</f>
        <v>15</v>
      </c>
      <c r="H31" s="37">
        <f>'Hotel Data'!Q33</f>
        <v>3</v>
      </c>
      <c r="I31" s="37">
        <f>'Hotel Data'!S33</f>
        <v>2</v>
      </c>
      <c r="J31" s="37">
        <f>'Hotel Data'!U33</f>
        <v>29</v>
      </c>
      <c r="K31" s="37">
        <f>'Hotel Data'!AD33</f>
        <v>245</v>
      </c>
      <c r="L31" s="37">
        <f>'Hotel Data'!AG33</f>
        <v>1330</v>
      </c>
      <c r="M31" s="38">
        <f>'Hotel Data'!AJ33</f>
        <v>240</v>
      </c>
      <c r="N31" s="38">
        <f>'Hotel Data'!AN33</f>
        <v>655</v>
      </c>
      <c r="O31" s="38">
        <f>'Hotel Data'!AR33</f>
        <v>296</v>
      </c>
      <c r="P31" s="35">
        <f>TOTAL!K30</f>
        <v>98</v>
      </c>
    </row>
    <row r="32" spans="1:16" s="34" customFormat="1" x14ac:dyDescent="0.25">
      <c r="A32" s="34" t="s">
        <v>45</v>
      </c>
      <c r="B32" s="34">
        <f t="shared" si="0"/>
        <v>30</v>
      </c>
      <c r="C32" s="36">
        <v>10</v>
      </c>
      <c r="D32" s="34">
        <v>2018</v>
      </c>
      <c r="E32" s="37">
        <f>'Hotel Data'!E34</f>
        <v>758.8000000002794</v>
      </c>
      <c r="F32" s="37">
        <f>'Hotel Data'!G34</f>
        <v>3.7089999999998327</v>
      </c>
      <c r="G32" s="37">
        <f>'Hotel Data'!O34</f>
        <v>14</v>
      </c>
      <c r="H32" s="37">
        <f>'Hotel Data'!Q34</f>
        <v>3</v>
      </c>
      <c r="I32" s="37">
        <f>'Hotel Data'!S34</f>
        <v>4</v>
      </c>
      <c r="J32" s="37">
        <f>'Hotel Data'!U34</f>
        <v>28</v>
      </c>
      <c r="K32" s="37">
        <f>'Hotel Data'!AD34</f>
        <v>240</v>
      </c>
      <c r="L32" s="37">
        <f>'Hotel Data'!AG34</f>
        <v>1184</v>
      </c>
      <c r="M32" s="38">
        <f>'Hotel Data'!AJ34</f>
        <v>320</v>
      </c>
      <c r="N32" s="38">
        <f>'Hotel Data'!AN34</f>
        <v>655</v>
      </c>
      <c r="O32" s="38">
        <f>'Hotel Data'!AR34</f>
        <v>256</v>
      </c>
      <c r="P32" s="35">
        <f>TOTAL!K31</f>
        <v>81</v>
      </c>
    </row>
    <row r="33" spans="1:16" s="34" customFormat="1" x14ac:dyDescent="0.25">
      <c r="A33" s="34" t="s">
        <v>45</v>
      </c>
      <c r="B33" s="34">
        <f t="shared" si="0"/>
        <v>31</v>
      </c>
      <c r="C33" s="36">
        <v>10</v>
      </c>
      <c r="D33" s="34">
        <v>2018</v>
      </c>
      <c r="E33" s="37">
        <f>'Hotel Data'!E35</f>
        <v>915.39999999990687</v>
      </c>
      <c r="F33" s="37">
        <f>'Hotel Data'!G35</f>
        <v>7.3589999999994689</v>
      </c>
      <c r="G33" s="37">
        <f>'Hotel Data'!O35</f>
        <v>15</v>
      </c>
      <c r="H33" s="37">
        <f>'Hotel Data'!Q35</f>
        <v>4</v>
      </c>
      <c r="I33" s="37">
        <f>'Hotel Data'!S35</f>
        <v>1</v>
      </c>
      <c r="J33" s="37">
        <f>'Hotel Data'!U35</f>
        <v>25</v>
      </c>
      <c r="K33" s="37">
        <f>'Hotel Data'!AD35</f>
        <v>244</v>
      </c>
      <c r="L33" s="37">
        <f>'Hotel Data'!AG35</f>
        <v>951</v>
      </c>
      <c r="M33" s="38">
        <f>'Hotel Data'!AJ35</f>
        <v>160</v>
      </c>
      <c r="N33" s="38">
        <f>'Hotel Data'!AN35</f>
        <v>655</v>
      </c>
      <c r="O33" s="38">
        <f>'Hotel Data'!AR35</f>
        <v>296</v>
      </c>
      <c r="P33" s="35">
        <f>TOTAL!K32</f>
        <v>92</v>
      </c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I44"/>
  <sheetViews>
    <sheetView topLeftCell="AA1" zoomScale="85" zoomScaleNormal="85" workbookViewId="0">
      <selection activeCell="A35" sqref="A35:IV36"/>
    </sheetView>
  </sheetViews>
  <sheetFormatPr defaultColWidth="8.5703125" defaultRowHeight="15" x14ac:dyDescent="0.2"/>
  <cols>
    <col min="1" max="1" width="6" style="45" customWidth="1"/>
    <col min="2" max="2" width="8.140625" style="1" customWidth="1"/>
    <col min="3" max="3" width="14.85546875" style="1" customWidth="1"/>
    <col min="4" max="4" width="13.5703125" style="1" customWidth="1"/>
    <col min="5" max="5" width="10" style="1" customWidth="1"/>
    <col min="6" max="6" width="12.28515625" style="1" customWidth="1"/>
    <col min="7" max="7" width="12.28515625" style="1" bestFit="1" customWidth="1"/>
    <col min="8" max="8" width="11.7109375" style="1" customWidth="1"/>
    <col min="9" max="11" width="12.7109375" style="1" customWidth="1"/>
    <col min="12" max="13" width="8.85546875" style="1" customWidth="1"/>
    <col min="14" max="14" width="14.85546875" style="1" customWidth="1"/>
    <col min="15" max="15" width="9.140625" style="1" customWidth="1"/>
    <col min="16" max="16" width="15.7109375" style="1" customWidth="1"/>
    <col min="17" max="17" width="9" style="1" customWidth="1"/>
    <col min="18" max="18" width="15.7109375" style="1" customWidth="1"/>
    <col min="19" max="19" width="9.5703125" style="1" customWidth="1"/>
    <col min="20" max="20" width="13.5703125" style="1" customWidth="1"/>
    <col min="21" max="21" width="7.5703125" style="1" customWidth="1"/>
    <col min="22" max="22" width="17" style="1" customWidth="1"/>
    <col min="23" max="23" width="15.140625" style="1" bestFit="1" customWidth="1"/>
    <col min="24" max="24" width="14.42578125" style="1" customWidth="1"/>
    <col min="25" max="25" width="12.7109375" style="24" customWidth="1"/>
    <col min="26" max="26" width="16.42578125" style="1" customWidth="1"/>
    <col min="27" max="27" width="11.5703125" style="1" customWidth="1"/>
    <col min="28" max="28" width="16.5703125" style="45" customWidth="1"/>
    <col min="29" max="29" width="12.140625" style="1" customWidth="1"/>
    <col min="30" max="30" width="17.7109375" style="1" bestFit="1" customWidth="1"/>
    <col min="31" max="31" width="17.85546875" style="1" customWidth="1"/>
    <col min="32" max="32" width="12.28515625" style="1" bestFit="1" customWidth="1"/>
    <col min="33" max="33" width="12.28515625" style="1" customWidth="1"/>
    <col min="34" max="34" width="17.85546875" style="1" bestFit="1" customWidth="1"/>
    <col min="35" max="35" width="17.85546875" style="1" customWidth="1"/>
    <col min="36" max="36" width="12.28515625" style="1" customWidth="1"/>
    <col min="37" max="37" width="10" style="1" customWidth="1"/>
    <col min="38" max="38" width="15" style="1" customWidth="1"/>
    <col min="39" max="39" width="12.5703125" style="1" customWidth="1"/>
    <col min="40" max="40" width="11" style="1" customWidth="1"/>
    <col min="41" max="41" width="9.140625" style="1" customWidth="1"/>
    <col min="42" max="42" width="13.42578125" style="1" customWidth="1"/>
    <col min="43" max="43" width="13.28515625" style="1" customWidth="1"/>
    <col min="44" max="44" width="10.28515625" style="1" customWidth="1"/>
    <col min="45" max="45" width="11.140625" style="1" customWidth="1"/>
    <col min="46" max="46" width="10.28515625" style="1" customWidth="1"/>
    <col min="47" max="47" width="11.5703125" style="1" customWidth="1"/>
    <col min="48" max="48" width="13.140625" style="1" customWidth="1"/>
    <col min="49" max="49" width="9" style="1" customWidth="1"/>
    <col min="50" max="50" width="7.28515625" style="1" customWidth="1"/>
    <col min="51" max="51" width="7.5703125" style="1" customWidth="1"/>
    <col min="52" max="55" width="11.42578125" style="1" customWidth="1"/>
    <col min="56" max="56" width="17.28515625" style="1" bestFit="1" customWidth="1"/>
    <col min="57" max="57" width="17.28515625" style="1" customWidth="1"/>
    <col min="58" max="59" width="12.7109375" style="1" customWidth="1"/>
    <col min="60" max="61" width="11.42578125" style="1" customWidth="1"/>
    <col min="62" max="16384" width="8.5703125" style="1"/>
  </cols>
  <sheetData>
    <row r="1" spans="1:61" ht="12" customHeight="1" x14ac:dyDescent="0.2">
      <c r="A1" s="133"/>
      <c r="B1" s="134"/>
      <c r="C1" s="135"/>
      <c r="D1" s="125" t="s">
        <v>61</v>
      </c>
      <c r="E1" s="127"/>
      <c r="F1" s="125" t="s">
        <v>62</v>
      </c>
      <c r="G1" s="127"/>
      <c r="H1" s="139" t="s">
        <v>1</v>
      </c>
      <c r="I1" s="140"/>
      <c r="J1" s="140"/>
      <c r="K1" s="140"/>
      <c r="L1" s="140"/>
      <c r="M1" s="141"/>
      <c r="N1" s="145" t="s">
        <v>2</v>
      </c>
      <c r="O1" s="127"/>
      <c r="P1" s="147" t="s">
        <v>63</v>
      </c>
      <c r="Q1" s="148"/>
      <c r="R1" s="147" t="s">
        <v>3</v>
      </c>
      <c r="S1" s="148"/>
      <c r="T1" s="147" t="s">
        <v>4</v>
      </c>
      <c r="U1" s="148"/>
      <c r="V1" s="125" t="s">
        <v>5</v>
      </c>
      <c r="W1" s="126"/>
      <c r="X1" s="127"/>
      <c r="Y1" s="125" t="s">
        <v>6</v>
      </c>
      <c r="Z1" s="126"/>
      <c r="AA1" s="127"/>
      <c r="AB1" s="125" t="s">
        <v>64</v>
      </c>
      <c r="AC1" s="126"/>
      <c r="AD1" s="127"/>
      <c r="AE1" s="125" t="s">
        <v>65</v>
      </c>
      <c r="AF1" s="126"/>
      <c r="AG1" s="127"/>
      <c r="AH1" s="125" t="s">
        <v>66</v>
      </c>
      <c r="AI1" s="126"/>
      <c r="AJ1" s="126"/>
      <c r="AK1" s="127"/>
      <c r="AL1" s="125" t="s">
        <v>67</v>
      </c>
      <c r="AM1" s="126"/>
      <c r="AN1" s="126"/>
      <c r="AO1" s="127"/>
      <c r="AP1" s="125" t="s">
        <v>68</v>
      </c>
      <c r="AQ1" s="126"/>
      <c r="AR1" s="127"/>
      <c r="AS1" s="125" t="s">
        <v>69</v>
      </c>
      <c r="AT1" s="127"/>
      <c r="AU1" s="155" t="s">
        <v>7</v>
      </c>
      <c r="AV1" s="157" t="s">
        <v>8</v>
      </c>
      <c r="AW1" s="120" t="s">
        <v>9</v>
      </c>
      <c r="AX1" s="46"/>
      <c r="AY1" s="42"/>
      <c r="AZ1" s="122" t="s">
        <v>70</v>
      </c>
      <c r="BA1" s="122" t="s">
        <v>0</v>
      </c>
      <c r="BB1" s="122" t="s">
        <v>10</v>
      </c>
      <c r="BC1" s="122" t="s">
        <v>11</v>
      </c>
      <c r="BD1" s="122" t="s">
        <v>12</v>
      </c>
      <c r="BE1" s="122" t="s">
        <v>13</v>
      </c>
      <c r="BF1" s="122" t="s">
        <v>60</v>
      </c>
      <c r="BG1" s="122" t="s">
        <v>66</v>
      </c>
      <c r="BH1" s="122" t="s">
        <v>71</v>
      </c>
      <c r="BI1" s="122" t="s">
        <v>72</v>
      </c>
    </row>
    <row r="2" spans="1:61" ht="15.75" thickBot="1" x14ac:dyDescent="0.25">
      <c r="A2" s="136"/>
      <c r="B2" s="137"/>
      <c r="C2" s="138"/>
      <c r="D2" s="128"/>
      <c r="E2" s="130"/>
      <c r="F2" s="128"/>
      <c r="G2" s="130"/>
      <c r="H2" s="142"/>
      <c r="I2" s="143"/>
      <c r="J2" s="143"/>
      <c r="K2" s="143"/>
      <c r="L2" s="143"/>
      <c r="M2" s="144"/>
      <c r="N2" s="146"/>
      <c r="O2" s="130"/>
      <c r="P2" s="149"/>
      <c r="Q2" s="150"/>
      <c r="R2" s="149"/>
      <c r="S2" s="150"/>
      <c r="T2" s="149"/>
      <c r="U2" s="150"/>
      <c r="V2" s="128"/>
      <c r="W2" s="129"/>
      <c r="X2" s="130"/>
      <c r="Y2" s="128"/>
      <c r="Z2" s="129"/>
      <c r="AA2" s="130"/>
      <c r="AB2" s="128"/>
      <c r="AC2" s="129"/>
      <c r="AD2" s="130"/>
      <c r="AE2" s="128"/>
      <c r="AF2" s="129"/>
      <c r="AG2" s="130"/>
      <c r="AH2" s="128"/>
      <c r="AI2" s="129"/>
      <c r="AJ2" s="129"/>
      <c r="AK2" s="130"/>
      <c r="AL2" s="128"/>
      <c r="AM2" s="129"/>
      <c r="AN2" s="129"/>
      <c r="AO2" s="130"/>
      <c r="AP2" s="128"/>
      <c r="AQ2" s="129"/>
      <c r="AR2" s="130"/>
      <c r="AS2" s="128"/>
      <c r="AT2" s="130"/>
      <c r="AU2" s="156"/>
      <c r="AV2" s="158"/>
      <c r="AW2" s="121"/>
      <c r="AX2" s="46"/>
      <c r="AY2" s="44"/>
      <c r="AZ2" s="123"/>
      <c r="BA2" s="123"/>
      <c r="BB2" s="123"/>
      <c r="BC2" s="123"/>
      <c r="BD2" s="123"/>
      <c r="BE2" s="123"/>
      <c r="BF2" s="123"/>
      <c r="BG2" s="123"/>
      <c r="BH2" s="123"/>
      <c r="BI2" s="123"/>
    </row>
    <row r="3" spans="1:61" ht="16.5" thickBot="1" x14ac:dyDescent="0.3">
      <c r="A3" s="47" t="s">
        <v>14</v>
      </c>
      <c r="B3" s="47" t="s">
        <v>15</v>
      </c>
      <c r="C3" s="47" t="s">
        <v>16</v>
      </c>
      <c r="D3" s="48" t="s">
        <v>17</v>
      </c>
      <c r="E3" s="48" t="s">
        <v>18</v>
      </c>
      <c r="F3" s="48" t="s">
        <v>17</v>
      </c>
      <c r="G3" s="48" t="s">
        <v>18</v>
      </c>
      <c r="H3" s="3" t="s">
        <v>17</v>
      </c>
      <c r="I3" s="3" t="s">
        <v>18</v>
      </c>
      <c r="J3" s="4" t="s">
        <v>19</v>
      </c>
      <c r="K3" s="5" t="s">
        <v>18</v>
      </c>
      <c r="L3" s="3" t="s">
        <v>20</v>
      </c>
      <c r="M3" s="3" t="s">
        <v>21</v>
      </c>
      <c r="N3" s="48" t="s">
        <v>17</v>
      </c>
      <c r="O3" s="48" t="s">
        <v>18</v>
      </c>
      <c r="P3" s="48" t="s">
        <v>17</v>
      </c>
      <c r="Q3" s="48" t="s">
        <v>18</v>
      </c>
      <c r="R3" s="48" t="s">
        <v>17</v>
      </c>
      <c r="S3" s="48" t="s">
        <v>18</v>
      </c>
      <c r="T3" s="48" t="s">
        <v>17</v>
      </c>
      <c r="U3" s="48" t="s">
        <v>18</v>
      </c>
      <c r="V3" s="48" t="s">
        <v>22</v>
      </c>
      <c r="W3" s="48" t="s">
        <v>18</v>
      </c>
      <c r="X3" s="48" t="s">
        <v>73</v>
      </c>
      <c r="Y3" s="48" t="s">
        <v>23</v>
      </c>
      <c r="Z3" s="48" t="s">
        <v>18</v>
      </c>
      <c r="AA3" s="48"/>
      <c r="AB3" s="48" t="s">
        <v>24</v>
      </c>
      <c r="AC3" s="48" t="s">
        <v>18</v>
      </c>
      <c r="AD3" s="48" t="s">
        <v>73</v>
      </c>
      <c r="AE3" s="48" t="s">
        <v>24</v>
      </c>
      <c r="AF3" s="48" t="s">
        <v>18</v>
      </c>
      <c r="AG3" s="48" t="s">
        <v>73</v>
      </c>
      <c r="AH3" s="48" t="s">
        <v>25</v>
      </c>
      <c r="AI3" s="48" t="s">
        <v>18</v>
      </c>
      <c r="AJ3" s="48" t="s">
        <v>73</v>
      </c>
      <c r="AK3" s="48" t="s">
        <v>26</v>
      </c>
      <c r="AL3" s="48" t="s">
        <v>24</v>
      </c>
      <c r="AM3" s="48" t="s">
        <v>18</v>
      </c>
      <c r="AN3" s="48" t="s">
        <v>73</v>
      </c>
      <c r="AO3" s="48" t="s">
        <v>26</v>
      </c>
      <c r="AP3" s="48" t="s">
        <v>25</v>
      </c>
      <c r="AQ3" s="48" t="s">
        <v>18</v>
      </c>
      <c r="AR3" s="48" t="s">
        <v>73</v>
      </c>
      <c r="AS3" s="47" t="s">
        <v>27</v>
      </c>
      <c r="AT3" s="47" t="s">
        <v>28</v>
      </c>
      <c r="AU3" s="131" t="s">
        <v>29</v>
      </c>
      <c r="AV3" s="132"/>
      <c r="AW3" s="49"/>
      <c r="AX3" s="46"/>
      <c r="AY3" s="43"/>
      <c r="AZ3" s="124"/>
      <c r="BA3" s="124"/>
      <c r="BB3" s="124"/>
      <c r="BC3" s="124"/>
      <c r="BD3" s="124"/>
      <c r="BE3" s="124"/>
      <c r="BF3" s="124"/>
      <c r="BG3" s="124"/>
      <c r="BH3" s="124"/>
      <c r="BI3" s="124"/>
    </row>
    <row r="4" spans="1:61" ht="13.9" customHeight="1" x14ac:dyDescent="0.2">
      <c r="A4" s="67"/>
      <c r="B4" s="60"/>
      <c r="C4" s="10"/>
      <c r="D4" s="64">
        <v>3057716.5</v>
      </c>
      <c r="E4" s="8"/>
      <c r="F4" s="64">
        <v>6207.9269999999997</v>
      </c>
      <c r="G4" s="8"/>
      <c r="H4" s="64">
        <v>504467</v>
      </c>
      <c r="I4" s="8"/>
      <c r="J4" s="50">
        <v>475731</v>
      </c>
      <c r="K4" s="8"/>
      <c r="L4" s="7"/>
      <c r="M4" s="7"/>
      <c r="N4" s="64">
        <v>86744</v>
      </c>
      <c r="O4" s="8"/>
      <c r="P4" s="64">
        <v>78916</v>
      </c>
      <c r="Q4" s="51"/>
      <c r="R4" s="64">
        <v>13855</v>
      </c>
      <c r="S4" s="51"/>
      <c r="T4" s="64">
        <v>164979</v>
      </c>
      <c r="U4" s="51"/>
      <c r="V4" s="65">
        <v>347.31900000000002</v>
      </c>
      <c r="W4" s="8"/>
      <c r="X4" s="74">
        <v>15553</v>
      </c>
      <c r="Y4" s="65">
        <v>59.555999999999997</v>
      </c>
      <c r="Z4" s="8"/>
      <c r="AA4" s="74">
        <v>2556</v>
      </c>
      <c r="AB4" s="65">
        <v>1526130.27</v>
      </c>
      <c r="AC4" s="9"/>
      <c r="AD4" s="74">
        <v>246</v>
      </c>
      <c r="AE4" s="65">
        <v>4381938</v>
      </c>
      <c r="AF4" s="9"/>
      <c r="AG4" s="74">
        <v>1196</v>
      </c>
      <c r="AH4" s="65">
        <v>32027.5</v>
      </c>
      <c r="AI4" s="8"/>
      <c r="AJ4" s="74">
        <v>208</v>
      </c>
      <c r="AK4" s="74"/>
      <c r="AL4" s="64">
        <v>1933864.3</v>
      </c>
      <c r="AM4" s="8"/>
      <c r="AN4" s="74">
        <v>655</v>
      </c>
      <c r="AO4" s="7"/>
      <c r="AP4" s="64">
        <v>44636.2</v>
      </c>
      <c r="AQ4" s="8"/>
      <c r="AR4" s="74">
        <v>336</v>
      </c>
      <c r="AS4" s="66"/>
      <c r="AT4" s="6"/>
      <c r="AU4" s="64"/>
      <c r="AV4" s="65">
        <v>60.463000000000001</v>
      </c>
      <c r="AW4" s="62"/>
      <c r="AX4" s="69"/>
      <c r="AY4" s="20"/>
      <c r="AZ4" s="70">
        <v>9564</v>
      </c>
      <c r="BA4" s="70">
        <v>105</v>
      </c>
      <c r="BB4" s="70">
        <v>6091</v>
      </c>
      <c r="BC4" s="70">
        <v>372</v>
      </c>
      <c r="BD4" s="71"/>
      <c r="BE4" s="71"/>
      <c r="BF4" s="72"/>
      <c r="BG4" s="72"/>
      <c r="BH4" s="72"/>
      <c r="BI4" s="72"/>
    </row>
    <row r="5" spans="1:61" ht="15.75" x14ac:dyDescent="0.25">
      <c r="A5" s="59">
        <v>1</v>
      </c>
      <c r="B5" s="60" t="s">
        <v>74</v>
      </c>
      <c r="C5" s="10"/>
      <c r="D5" s="6">
        <v>3057850</v>
      </c>
      <c r="E5" s="8">
        <v>133.5</v>
      </c>
      <c r="F5" s="6">
        <v>6208.95</v>
      </c>
      <c r="G5" s="8">
        <v>1.0230000000001382</v>
      </c>
      <c r="H5" s="14">
        <v>504658</v>
      </c>
      <c r="I5" s="8">
        <v>191</v>
      </c>
      <c r="J5" s="73">
        <v>475912</v>
      </c>
      <c r="K5" s="8">
        <v>181</v>
      </c>
      <c r="L5" s="7"/>
      <c r="M5" s="11" t="e">
        <v>#DIV/0!</v>
      </c>
      <c r="N5" s="6">
        <v>86764</v>
      </c>
      <c r="O5" s="8">
        <v>20</v>
      </c>
      <c r="P5" s="12">
        <v>78920</v>
      </c>
      <c r="Q5" s="9">
        <v>4</v>
      </c>
      <c r="R5" s="12">
        <v>13857</v>
      </c>
      <c r="S5" s="9">
        <v>2</v>
      </c>
      <c r="T5" s="12">
        <v>165007</v>
      </c>
      <c r="U5" s="9">
        <v>28</v>
      </c>
      <c r="V5" s="13"/>
      <c r="W5" s="8">
        <v>0</v>
      </c>
      <c r="X5" s="74">
        <v>15857</v>
      </c>
      <c r="Y5" s="61"/>
      <c r="Z5" s="8">
        <v>0</v>
      </c>
      <c r="AA5" s="74">
        <v>2672</v>
      </c>
      <c r="AB5" s="6"/>
      <c r="AC5" s="9">
        <v>0</v>
      </c>
      <c r="AD5" s="74">
        <v>248</v>
      </c>
      <c r="AE5" s="6"/>
      <c r="AF5" s="9"/>
      <c r="AG5" s="74">
        <v>1204</v>
      </c>
      <c r="AH5" s="75"/>
      <c r="AI5" s="8">
        <v>0</v>
      </c>
      <c r="AJ5" s="74">
        <v>224</v>
      </c>
      <c r="AK5" s="7"/>
      <c r="AL5" s="6"/>
      <c r="AM5" s="8">
        <v>0</v>
      </c>
      <c r="AN5" s="74">
        <v>655</v>
      </c>
      <c r="AO5" s="7"/>
      <c r="AP5" s="6"/>
      <c r="AQ5" s="8">
        <v>0</v>
      </c>
      <c r="AR5" s="74">
        <v>296</v>
      </c>
      <c r="AS5" s="14"/>
      <c r="AT5" s="68"/>
      <c r="AU5" s="76"/>
      <c r="AV5" s="77">
        <v>60.463000000000001</v>
      </c>
      <c r="AW5" s="62">
        <v>0</v>
      </c>
      <c r="AY5" s="63">
        <v>1</v>
      </c>
      <c r="AZ5" s="15">
        <v>4138.5</v>
      </c>
      <c r="BA5" s="15">
        <v>31.713000000004286</v>
      </c>
      <c r="BB5" s="15">
        <v>5921</v>
      </c>
      <c r="BC5" s="15">
        <v>620</v>
      </c>
      <c r="BD5" s="16">
        <v>0</v>
      </c>
      <c r="BE5" s="15">
        <v>491567</v>
      </c>
      <c r="BF5" s="15">
        <v>45012</v>
      </c>
      <c r="BG5" s="16">
        <v>6944</v>
      </c>
      <c r="BH5" s="16">
        <v>20305</v>
      </c>
      <c r="BI5" s="16">
        <v>9176</v>
      </c>
    </row>
    <row r="6" spans="1:61" ht="15.75" x14ac:dyDescent="0.25">
      <c r="A6" s="59">
        <v>2</v>
      </c>
      <c r="B6" s="60" t="s">
        <v>74</v>
      </c>
      <c r="C6" s="10"/>
      <c r="D6" s="6">
        <v>3057987</v>
      </c>
      <c r="E6" s="8">
        <v>137</v>
      </c>
      <c r="F6" s="6">
        <v>6211.0910000000003</v>
      </c>
      <c r="G6" s="8">
        <v>2.1410000000005311</v>
      </c>
      <c r="H6" s="14">
        <v>504853</v>
      </c>
      <c r="I6" s="8">
        <v>195</v>
      </c>
      <c r="J6" s="73">
        <v>476098</v>
      </c>
      <c r="K6" s="8">
        <v>186</v>
      </c>
      <c r="L6" s="7"/>
      <c r="M6" s="11" t="e">
        <v>#DIV/0!</v>
      </c>
      <c r="N6" s="6">
        <v>86782</v>
      </c>
      <c r="O6" s="8">
        <v>18</v>
      </c>
      <c r="P6" s="12">
        <v>78924</v>
      </c>
      <c r="Q6" s="9">
        <v>4</v>
      </c>
      <c r="R6" s="12">
        <v>13860</v>
      </c>
      <c r="S6" s="9">
        <v>3</v>
      </c>
      <c r="T6" s="12">
        <v>165037</v>
      </c>
      <c r="U6" s="9">
        <v>30</v>
      </c>
      <c r="V6" s="13"/>
      <c r="W6" s="8">
        <v>0</v>
      </c>
      <c r="X6" s="74">
        <v>15529</v>
      </c>
      <c r="Y6" s="61"/>
      <c r="Z6" s="8">
        <v>0</v>
      </c>
      <c r="AA6" s="74">
        <v>2527</v>
      </c>
      <c r="AB6" s="6"/>
      <c r="AC6" s="9">
        <v>0</v>
      </c>
      <c r="AD6" s="74">
        <v>242</v>
      </c>
      <c r="AE6" s="6"/>
      <c r="AF6" s="9"/>
      <c r="AG6" s="74">
        <v>1074</v>
      </c>
      <c r="AH6" s="6"/>
      <c r="AI6" s="8">
        <v>0</v>
      </c>
      <c r="AJ6" s="74">
        <v>176</v>
      </c>
      <c r="AK6" s="7"/>
      <c r="AL6" s="6"/>
      <c r="AM6" s="8">
        <v>0</v>
      </c>
      <c r="AN6" s="74">
        <v>655</v>
      </c>
      <c r="AO6" s="7"/>
      <c r="AP6" s="6"/>
      <c r="AQ6" s="8">
        <v>0</v>
      </c>
      <c r="AR6" s="74">
        <v>264</v>
      </c>
      <c r="AS6" s="14">
        <v>12</v>
      </c>
      <c r="AT6" s="68">
        <v>25</v>
      </c>
      <c r="AU6" s="78"/>
      <c r="AV6" s="77">
        <v>60.463000000000001</v>
      </c>
      <c r="AW6" s="62">
        <v>0</v>
      </c>
      <c r="AY6" s="63">
        <v>2</v>
      </c>
      <c r="AZ6" s="15">
        <v>4192.75</v>
      </c>
      <c r="BA6" s="15">
        <v>49.042000000010376</v>
      </c>
      <c r="BB6" s="15">
        <v>5983</v>
      </c>
      <c r="BC6" s="15">
        <v>589</v>
      </c>
      <c r="BD6" s="16">
        <v>0</v>
      </c>
      <c r="BE6" s="15">
        <v>486483</v>
      </c>
      <c r="BF6" s="15">
        <v>42904</v>
      </c>
      <c r="BG6" s="16">
        <v>6200</v>
      </c>
      <c r="BH6" s="16">
        <v>20305</v>
      </c>
      <c r="BI6" s="16">
        <v>8680</v>
      </c>
    </row>
    <row r="7" spans="1:61" ht="15.75" x14ac:dyDescent="0.25">
      <c r="A7" s="59">
        <v>3</v>
      </c>
      <c r="B7" s="60" t="s">
        <v>74</v>
      </c>
      <c r="C7" s="10"/>
      <c r="D7" s="6">
        <v>3058230.1</v>
      </c>
      <c r="E7" s="8">
        <v>243.10000000009313</v>
      </c>
      <c r="F7" s="6">
        <v>6216.0410000000002</v>
      </c>
      <c r="G7" s="8">
        <v>4.9499999999998181</v>
      </c>
      <c r="H7" s="14">
        <v>505053</v>
      </c>
      <c r="I7" s="8">
        <v>200</v>
      </c>
      <c r="J7" s="73">
        <v>476287</v>
      </c>
      <c r="K7" s="8">
        <v>189</v>
      </c>
      <c r="L7" s="7"/>
      <c r="M7" s="11" t="e">
        <v>#DIV/0!</v>
      </c>
      <c r="N7" s="6">
        <v>86798</v>
      </c>
      <c r="O7" s="8">
        <v>16</v>
      </c>
      <c r="P7" s="12">
        <v>78928</v>
      </c>
      <c r="Q7" s="9">
        <v>4</v>
      </c>
      <c r="R7" s="12">
        <v>13863</v>
      </c>
      <c r="S7" s="9">
        <v>3</v>
      </c>
      <c r="T7" s="12">
        <v>165072</v>
      </c>
      <c r="U7" s="9">
        <v>35</v>
      </c>
      <c r="V7" s="13"/>
      <c r="W7" s="8">
        <v>0</v>
      </c>
      <c r="X7" s="74">
        <v>13039</v>
      </c>
      <c r="Y7" s="61"/>
      <c r="Z7" s="8">
        <v>0</v>
      </c>
      <c r="AA7" s="74">
        <v>2032</v>
      </c>
      <c r="AB7" s="6"/>
      <c r="AC7" s="9">
        <v>0</v>
      </c>
      <c r="AD7" s="74">
        <v>239</v>
      </c>
      <c r="AE7" s="6"/>
      <c r="AF7" s="9"/>
      <c r="AG7" s="74">
        <v>1213</v>
      </c>
      <c r="AH7" s="6"/>
      <c r="AI7" s="8">
        <v>0</v>
      </c>
      <c r="AJ7" s="74">
        <v>328</v>
      </c>
      <c r="AK7" s="7"/>
      <c r="AL7" s="6"/>
      <c r="AM7" s="8">
        <v>0</v>
      </c>
      <c r="AN7" s="74">
        <v>655</v>
      </c>
      <c r="AO7" s="7"/>
      <c r="AP7" s="6"/>
      <c r="AQ7" s="8">
        <v>0</v>
      </c>
      <c r="AR7" s="74">
        <v>312</v>
      </c>
      <c r="AS7" s="14">
        <v>9</v>
      </c>
      <c r="AT7" s="68">
        <v>23</v>
      </c>
      <c r="AU7" s="76"/>
      <c r="AV7" s="77">
        <v>60.463000000000001</v>
      </c>
      <c r="AW7" s="62">
        <v>0</v>
      </c>
      <c r="AY7" s="63">
        <v>3</v>
      </c>
      <c r="AZ7" s="15">
        <v>5307.200000000963</v>
      </c>
      <c r="BA7" s="15">
        <v>83.844666666671714</v>
      </c>
      <c r="BB7" s="15">
        <v>6055.3333333333339</v>
      </c>
      <c r="BC7" s="15">
        <v>558</v>
      </c>
      <c r="BD7" s="16">
        <v>0</v>
      </c>
      <c r="BE7" s="15">
        <v>459058.33333333337</v>
      </c>
      <c r="BF7" s="15">
        <v>43606.666666666672</v>
      </c>
      <c r="BG7" s="16">
        <v>7522.6666666666661</v>
      </c>
      <c r="BH7" s="16">
        <v>20305</v>
      </c>
      <c r="BI7" s="16">
        <v>9010.6666666666679</v>
      </c>
    </row>
    <row r="8" spans="1:61" ht="15.75" x14ac:dyDescent="0.25">
      <c r="A8" s="59">
        <v>4</v>
      </c>
      <c r="B8" s="60" t="s">
        <v>74</v>
      </c>
      <c r="C8" s="10"/>
      <c r="D8" s="6">
        <v>3058548.2</v>
      </c>
      <c r="E8" s="8">
        <v>318.10000000009313</v>
      </c>
      <c r="F8" s="6">
        <v>6216.6890000000003</v>
      </c>
      <c r="G8" s="8">
        <v>0.64800000000013824</v>
      </c>
      <c r="H8" s="14">
        <v>505241</v>
      </c>
      <c r="I8" s="8">
        <v>188</v>
      </c>
      <c r="J8" s="73">
        <v>476465</v>
      </c>
      <c r="K8" s="8">
        <v>178</v>
      </c>
      <c r="L8" s="7"/>
      <c r="M8" s="11" t="e">
        <v>#DIV/0!</v>
      </c>
      <c r="N8" s="6">
        <v>86810</v>
      </c>
      <c r="O8" s="8">
        <v>12</v>
      </c>
      <c r="P8" s="12">
        <v>78932</v>
      </c>
      <c r="Q8" s="9">
        <v>4</v>
      </c>
      <c r="R8" s="12">
        <v>13868</v>
      </c>
      <c r="S8" s="9">
        <v>5</v>
      </c>
      <c r="T8" s="12">
        <v>165107</v>
      </c>
      <c r="U8" s="9">
        <v>35</v>
      </c>
      <c r="V8" s="13"/>
      <c r="W8" s="8">
        <v>0</v>
      </c>
      <c r="X8" s="74">
        <v>13309</v>
      </c>
      <c r="Y8" s="61"/>
      <c r="Z8" s="8">
        <v>0</v>
      </c>
      <c r="AA8" s="74">
        <v>1874.8</v>
      </c>
      <c r="AB8" s="6"/>
      <c r="AC8" s="9">
        <v>0</v>
      </c>
      <c r="AD8" s="74">
        <v>244.56</v>
      </c>
      <c r="AE8" s="6"/>
      <c r="AF8" s="9"/>
      <c r="AG8" s="74">
        <v>1084.7</v>
      </c>
      <c r="AH8" s="6"/>
      <c r="AI8" s="8">
        <v>0</v>
      </c>
      <c r="AJ8" s="74">
        <v>248</v>
      </c>
      <c r="AK8" s="7"/>
      <c r="AL8" s="6"/>
      <c r="AM8" s="8">
        <v>0</v>
      </c>
      <c r="AN8" s="74">
        <v>654.98</v>
      </c>
      <c r="AO8" s="7"/>
      <c r="AP8" s="6"/>
      <c r="AQ8" s="8">
        <v>0</v>
      </c>
      <c r="AR8" s="74">
        <v>312</v>
      </c>
      <c r="AS8" s="14">
        <v>9</v>
      </c>
      <c r="AT8" s="68">
        <v>18</v>
      </c>
      <c r="AU8" s="78"/>
      <c r="AV8" s="77">
        <v>60.463000000000001</v>
      </c>
      <c r="AW8" s="62">
        <v>0</v>
      </c>
      <c r="AY8" s="63">
        <v>4</v>
      </c>
      <c r="AZ8" s="15">
        <v>6445.6750000014435</v>
      </c>
      <c r="BA8" s="15">
        <v>67.905500000004849</v>
      </c>
      <c r="BB8" s="15">
        <v>5998.5</v>
      </c>
      <c r="BC8" s="15">
        <v>511.5</v>
      </c>
      <c r="BD8" s="16">
        <v>0</v>
      </c>
      <c r="BE8" s="15">
        <v>447438.5</v>
      </c>
      <c r="BF8" s="15">
        <v>43006.764999999992</v>
      </c>
      <c r="BG8" s="16">
        <v>7564</v>
      </c>
      <c r="BH8" s="16">
        <v>20304.845000000001</v>
      </c>
      <c r="BI8" s="16">
        <v>9176</v>
      </c>
    </row>
    <row r="9" spans="1:61" ht="15.75" x14ac:dyDescent="0.25">
      <c r="A9" s="59">
        <v>5</v>
      </c>
      <c r="B9" s="60" t="s">
        <v>74</v>
      </c>
      <c r="C9" s="10"/>
      <c r="D9" s="6">
        <v>3058870.9</v>
      </c>
      <c r="E9" s="8">
        <v>322.6999999997206</v>
      </c>
      <c r="F9" s="6">
        <v>6217.817</v>
      </c>
      <c r="G9" s="8">
        <v>1.1279999999997017</v>
      </c>
      <c r="H9" s="14">
        <v>505428</v>
      </c>
      <c r="I9" s="8">
        <v>187</v>
      </c>
      <c r="J9" s="73">
        <v>476643</v>
      </c>
      <c r="K9" s="8">
        <v>178</v>
      </c>
      <c r="L9" s="7"/>
      <c r="M9" s="11" t="e">
        <v>#DIV/0!</v>
      </c>
      <c r="N9" s="6">
        <v>86821</v>
      </c>
      <c r="O9" s="8">
        <v>11</v>
      </c>
      <c r="P9" s="12">
        <v>78936</v>
      </c>
      <c r="Q9" s="9">
        <v>4</v>
      </c>
      <c r="R9" s="12">
        <v>13871</v>
      </c>
      <c r="S9" s="9">
        <v>3</v>
      </c>
      <c r="T9" s="12">
        <v>165141</v>
      </c>
      <c r="U9" s="9">
        <v>34</v>
      </c>
      <c r="V9" s="13"/>
      <c r="W9" s="8">
        <v>0</v>
      </c>
      <c r="X9" s="74">
        <v>11633.8</v>
      </c>
      <c r="Y9" s="61"/>
      <c r="Z9" s="8">
        <v>0</v>
      </c>
      <c r="AA9" s="74">
        <v>2067.6</v>
      </c>
      <c r="AB9" s="6"/>
      <c r="AC9" s="9">
        <v>0</v>
      </c>
      <c r="AD9" s="74">
        <v>245.36</v>
      </c>
      <c r="AE9" s="6"/>
      <c r="AF9" s="9"/>
      <c r="AG9" s="74">
        <v>1072.8</v>
      </c>
      <c r="AH9" s="6"/>
      <c r="AI9" s="8">
        <v>0</v>
      </c>
      <c r="AJ9" s="74">
        <v>208</v>
      </c>
      <c r="AK9" s="7"/>
      <c r="AL9" s="6"/>
      <c r="AM9" s="8">
        <v>0</v>
      </c>
      <c r="AN9" s="74">
        <v>654.51</v>
      </c>
      <c r="AO9" s="7"/>
      <c r="AP9" s="6"/>
      <c r="AQ9" s="8">
        <v>0</v>
      </c>
      <c r="AR9" s="74">
        <v>312</v>
      </c>
      <c r="AS9" s="14">
        <v>12</v>
      </c>
      <c r="AT9" s="68">
        <v>24</v>
      </c>
      <c r="AU9" s="76"/>
      <c r="AV9" s="77">
        <v>60.463000000000001</v>
      </c>
      <c r="AW9" s="62">
        <v>0</v>
      </c>
      <c r="AY9" s="63">
        <v>5</v>
      </c>
      <c r="AZ9" s="15">
        <v>7157.2799999994231</v>
      </c>
      <c r="BA9" s="15">
        <v>61.31800000000203</v>
      </c>
      <c r="BB9" s="15">
        <v>5958.2</v>
      </c>
      <c r="BC9" s="15">
        <v>477.40000000000003</v>
      </c>
      <c r="BD9" s="16">
        <v>0</v>
      </c>
      <c r="BE9" s="15">
        <v>430080.36000000004</v>
      </c>
      <c r="BF9" s="15">
        <v>42578.004000000008</v>
      </c>
      <c r="BG9" s="16">
        <v>7340.8</v>
      </c>
      <c r="BH9" s="16">
        <v>20301.837999999996</v>
      </c>
      <c r="BI9" s="16">
        <v>9275.1999999999989</v>
      </c>
    </row>
    <row r="10" spans="1:61" ht="15.75" x14ac:dyDescent="0.25">
      <c r="A10" s="59">
        <v>6</v>
      </c>
      <c r="B10" s="60" t="s">
        <v>74</v>
      </c>
      <c r="C10" s="10"/>
      <c r="D10" s="6">
        <v>3059181.1</v>
      </c>
      <c r="E10" s="8">
        <v>310.20000000018626</v>
      </c>
      <c r="F10" s="6">
        <v>6220.5209999999997</v>
      </c>
      <c r="G10" s="8">
        <v>2.7039999999997235</v>
      </c>
      <c r="H10" s="14">
        <v>505637</v>
      </c>
      <c r="I10" s="8">
        <v>209</v>
      </c>
      <c r="J10" s="73">
        <v>476841</v>
      </c>
      <c r="K10" s="8">
        <v>198</v>
      </c>
      <c r="L10" s="7"/>
      <c r="M10" s="11" t="e">
        <v>#DIV/0!</v>
      </c>
      <c r="N10" s="6">
        <v>86836</v>
      </c>
      <c r="O10" s="8">
        <v>15</v>
      </c>
      <c r="P10" s="12">
        <v>78940</v>
      </c>
      <c r="Q10" s="9">
        <v>4</v>
      </c>
      <c r="R10" s="12">
        <v>13876</v>
      </c>
      <c r="S10" s="9">
        <v>5</v>
      </c>
      <c r="T10" s="12">
        <v>165179</v>
      </c>
      <c r="U10" s="9">
        <v>38</v>
      </c>
      <c r="V10" s="13"/>
      <c r="W10" s="8">
        <v>0</v>
      </c>
      <c r="X10" s="74">
        <v>12283</v>
      </c>
      <c r="Y10" s="61"/>
      <c r="Z10" s="8">
        <v>0</v>
      </c>
      <c r="AA10" s="74">
        <v>2029.6</v>
      </c>
      <c r="AB10" s="6"/>
      <c r="AC10" s="9">
        <v>0</v>
      </c>
      <c r="AD10" s="74">
        <v>247.7</v>
      </c>
      <c r="AE10" s="6"/>
      <c r="AF10" s="9"/>
      <c r="AG10" s="74">
        <v>1268.7</v>
      </c>
      <c r="AH10" s="6"/>
      <c r="AI10" s="8">
        <v>0</v>
      </c>
      <c r="AJ10" s="74">
        <v>272</v>
      </c>
      <c r="AK10" s="7"/>
      <c r="AL10" s="6"/>
      <c r="AM10" s="8">
        <v>0</v>
      </c>
      <c r="AN10" s="74">
        <v>654.79999999999995</v>
      </c>
      <c r="AO10" s="7"/>
      <c r="AP10" s="6"/>
      <c r="AQ10" s="8">
        <v>0</v>
      </c>
      <c r="AR10" s="74">
        <v>264</v>
      </c>
      <c r="AS10" s="14"/>
      <c r="AT10" s="68"/>
      <c r="AU10" s="78"/>
      <c r="AV10" s="77">
        <v>60.463000000000001</v>
      </c>
      <c r="AW10" s="62">
        <v>0</v>
      </c>
      <c r="AY10" s="63">
        <v>6</v>
      </c>
      <c r="AZ10" s="15">
        <v>7567.1000000004806</v>
      </c>
      <c r="BA10" s="15">
        <v>65.069000000000273</v>
      </c>
      <c r="BB10" s="15">
        <v>6045</v>
      </c>
      <c r="BC10" s="15">
        <v>475.33333333333337</v>
      </c>
      <c r="BD10" s="16">
        <v>0</v>
      </c>
      <c r="BE10" s="15">
        <v>421862.46666666667</v>
      </c>
      <c r="BF10" s="15">
        <v>43316.403333333328</v>
      </c>
      <c r="BG10" s="16">
        <v>7522.6666666666661</v>
      </c>
      <c r="BH10" s="16">
        <v>20301.331666666665</v>
      </c>
      <c r="BI10" s="16">
        <v>9093.3333333333321</v>
      </c>
    </row>
    <row r="11" spans="1:61" ht="15.75" x14ac:dyDescent="0.25">
      <c r="A11" s="59">
        <v>7</v>
      </c>
      <c r="B11" s="60" t="s">
        <v>74</v>
      </c>
      <c r="C11" s="10"/>
      <c r="D11" s="6">
        <v>3059515.4</v>
      </c>
      <c r="E11" s="8">
        <v>334.29999999981374</v>
      </c>
      <c r="F11" s="6">
        <v>6221.35</v>
      </c>
      <c r="G11" s="8">
        <v>0.82900000000063301</v>
      </c>
      <c r="H11" s="14">
        <v>505827</v>
      </c>
      <c r="I11" s="8">
        <v>190</v>
      </c>
      <c r="J11" s="73">
        <v>477021</v>
      </c>
      <c r="K11" s="8">
        <v>180</v>
      </c>
      <c r="L11" s="7"/>
      <c r="M11" s="11" t="e">
        <v>#DIV/0!</v>
      </c>
      <c r="N11" s="6">
        <v>86845</v>
      </c>
      <c r="O11" s="8">
        <v>9</v>
      </c>
      <c r="P11" s="12">
        <v>78944</v>
      </c>
      <c r="Q11" s="9">
        <v>4</v>
      </c>
      <c r="R11" s="12">
        <v>13877</v>
      </c>
      <c r="S11" s="9">
        <v>1</v>
      </c>
      <c r="T11" s="12">
        <v>165213</v>
      </c>
      <c r="U11" s="9">
        <v>34</v>
      </c>
      <c r="V11" s="13"/>
      <c r="W11" s="8">
        <v>0</v>
      </c>
      <c r="X11" s="74">
        <v>11900</v>
      </c>
      <c r="Y11" s="61"/>
      <c r="Z11" s="8">
        <v>0</v>
      </c>
      <c r="AA11" s="74">
        <v>1980.6</v>
      </c>
      <c r="AB11" s="6"/>
      <c r="AC11" s="9">
        <v>0</v>
      </c>
      <c r="AD11" s="74">
        <v>242.59</v>
      </c>
      <c r="AE11" s="6"/>
      <c r="AF11" s="9"/>
      <c r="AG11" s="74">
        <v>1167.2</v>
      </c>
      <c r="AH11" s="6"/>
      <c r="AI11" s="8">
        <v>0</v>
      </c>
      <c r="AJ11" s="74">
        <v>184</v>
      </c>
      <c r="AK11" s="7"/>
      <c r="AL11" s="6"/>
      <c r="AM11" s="8">
        <v>0</v>
      </c>
      <c r="AN11" s="74">
        <v>654.82000000000005</v>
      </c>
      <c r="AO11" s="7"/>
      <c r="AP11" s="6"/>
      <c r="AQ11" s="8">
        <v>0</v>
      </c>
      <c r="AR11" s="74">
        <v>312</v>
      </c>
      <c r="AS11" s="14">
        <v>20</v>
      </c>
      <c r="AT11" s="68">
        <v>26</v>
      </c>
      <c r="AU11" s="76"/>
      <c r="AV11" s="77">
        <v>60.463000000000001</v>
      </c>
      <c r="AW11" s="62">
        <v>0</v>
      </c>
      <c r="AY11" s="63">
        <v>7</v>
      </c>
      <c r="AZ11" s="15">
        <v>7966.55714285673</v>
      </c>
      <c r="BA11" s="15">
        <v>59.444714285717311</v>
      </c>
      <c r="BB11" s="15">
        <v>6022.8571428571422</v>
      </c>
      <c r="BC11" s="15">
        <v>447.28571428571428</v>
      </c>
      <c r="BD11" s="16">
        <v>0</v>
      </c>
      <c r="BE11" s="15">
        <v>414296.39999999997</v>
      </c>
      <c r="BF11" s="15">
        <v>43371.701428571425</v>
      </c>
      <c r="BG11" s="16">
        <v>7262.8571428571422</v>
      </c>
      <c r="BH11" s="16">
        <v>20301.05857142857</v>
      </c>
      <c r="BI11" s="16">
        <v>9176</v>
      </c>
    </row>
    <row r="12" spans="1:61" ht="15.75" x14ac:dyDescent="0.25">
      <c r="A12" s="59">
        <v>8</v>
      </c>
      <c r="B12" s="60" t="s">
        <v>74</v>
      </c>
      <c r="C12" s="10"/>
      <c r="D12" s="6">
        <v>3059898.3</v>
      </c>
      <c r="E12" s="8">
        <v>382.89999999990687</v>
      </c>
      <c r="F12" s="6">
        <v>6226.83</v>
      </c>
      <c r="G12" s="8">
        <v>5.4799999999995634</v>
      </c>
      <c r="H12" s="14">
        <v>506010</v>
      </c>
      <c r="I12" s="8">
        <v>183</v>
      </c>
      <c r="J12" s="73">
        <v>477196</v>
      </c>
      <c r="K12" s="8">
        <v>175</v>
      </c>
      <c r="L12" s="7"/>
      <c r="M12" s="11" t="e">
        <v>#DIV/0!</v>
      </c>
      <c r="N12" s="6">
        <v>86859</v>
      </c>
      <c r="O12" s="8">
        <v>14</v>
      </c>
      <c r="P12" s="12">
        <v>78948</v>
      </c>
      <c r="Q12" s="9">
        <v>4</v>
      </c>
      <c r="R12" s="12">
        <v>13881</v>
      </c>
      <c r="S12" s="9">
        <v>4</v>
      </c>
      <c r="T12" s="12">
        <v>165243</v>
      </c>
      <c r="U12" s="9">
        <v>30</v>
      </c>
      <c r="V12" s="13"/>
      <c r="W12" s="8">
        <v>0</v>
      </c>
      <c r="X12" s="74">
        <v>11781.6</v>
      </c>
      <c r="Y12" s="61"/>
      <c r="Z12" s="8">
        <v>0</v>
      </c>
      <c r="AA12" s="74">
        <v>1878.6</v>
      </c>
      <c r="AB12" s="6"/>
      <c r="AC12" s="9">
        <v>0</v>
      </c>
      <c r="AD12" s="74">
        <v>245.87</v>
      </c>
      <c r="AE12" s="6"/>
      <c r="AF12" s="9"/>
      <c r="AG12" s="74">
        <v>1215.8</v>
      </c>
      <c r="AH12" s="6"/>
      <c r="AI12" s="8">
        <v>0</v>
      </c>
      <c r="AJ12" s="74">
        <v>208</v>
      </c>
      <c r="AK12" s="7"/>
      <c r="AL12" s="6"/>
      <c r="AM12" s="8">
        <v>0</v>
      </c>
      <c r="AN12" s="74">
        <v>654.85</v>
      </c>
      <c r="AO12" s="7"/>
      <c r="AP12" s="6"/>
      <c r="AQ12" s="8">
        <v>0</v>
      </c>
      <c r="AR12" s="74">
        <v>320</v>
      </c>
      <c r="AS12" s="79">
        <v>16</v>
      </c>
      <c r="AT12" s="68">
        <v>22</v>
      </c>
      <c r="AU12" s="78"/>
      <c r="AV12" s="77">
        <v>60.463000000000001</v>
      </c>
      <c r="AW12" s="62">
        <v>0</v>
      </c>
      <c r="AY12" s="63">
        <v>8</v>
      </c>
      <c r="AZ12" s="15">
        <v>8454.4749999992782</v>
      </c>
      <c r="BA12" s="15">
        <v>73.249125000000959</v>
      </c>
      <c r="BB12" s="15">
        <v>5979.125</v>
      </c>
      <c r="BC12" s="15">
        <v>445.625</v>
      </c>
      <c r="BD12" s="16">
        <v>0</v>
      </c>
      <c r="BE12" s="15">
        <v>408163.05000000005</v>
      </c>
      <c r="BF12" s="15">
        <v>43614.209999999992</v>
      </c>
      <c r="BG12" s="16">
        <v>7161</v>
      </c>
      <c r="BH12" s="16">
        <v>20300.97</v>
      </c>
      <c r="BI12" s="16">
        <v>9269</v>
      </c>
    </row>
    <row r="13" spans="1:61" ht="15.75" x14ac:dyDescent="0.25">
      <c r="A13" s="59">
        <v>9</v>
      </c>
      <c r="B13" s="60" t="s">
        <v>74</v>
      </c>
      <c r="C13" s="10"/>
      <c r="D13" s="6">
        <v>3060408.3</v>
      </c>
      <c r="E13" s="8">
        <v>510</v>
      </c>
      <c r="F13" s="6">
        <v>6228.1</v>
      </c>
      <c r="G13" s="8">
        <v>1.2700000000004366</v>
      </c>
      <c r="H13" s="14">
        <v>506196</v>
      </c>
      <c r="I13" s="8">
        <v>186</v>
      </c>
      <c r="J13" s="73">
        <v>477372</v>
      </c>
      <c r="K13" s="8">
        <v>176</v>
      </c>
      <c r="L13" s="7"/>
      <c r="M13" s="11" t="e">
        <v>#DIV/0!</v>
      </c>
      <c r="N13" s="6">
        <v>86868</v>
      </c>
      <c r="O13" s="8">
        <v>9</v>
      </c>
      <c r="P13" s="12">
        <v>78951</v>
      </c>
      <c r="Q13" s="9">
        <v>3</v>
      </c>
      <c r="R13" s="12">
        <v>13884</v>
      </c>
      <c r="S13" s="9">
        <v>3</v>
      </c>
      <c r="T13" s="12">
        <v>165272</v>
      </c>
      <c r="U13" s="9">
        <v>29</v>
      </c>
      <c r="V13" s="13"/>
      <c r="W13" s="8">
        <v>0</v>
      </c>
      <c r="X13" s="74">
        <v>12042</v>
      </c>
      <c r="Y13" s="61"/>
      <c r="Z13" s="8">
        <v>0</v>
      </c>
      <c r="AA13" s="74">
        <v>2398</v>
      </c>
      <c r="AB13" s="6"/>
      <c r="AC13" s="9">
        <v>0</v>
      </c>
      <c r="AD13" s="74">
        <v>256</v>
      </c>
      <c r="AE13" s="6"/>
      <c r="AF13" s="9"/>
      <c r="AG13" s="74">
        <v>1269</v>
      </c>
      <c r="AH13" s="6"/>
      <c r="AI13" s="8">
        <v>0</v>
      </c>
      <c r="AJ13" s="74">
        <v>280</v>
      </c>
      <c r="AK13" s="7"/>
      <c r="AL13" s="6"/>
      <c r="AM13" s="8">
        <v>0</v>
      </c>
      <c r="AN13" s="74">
        <v>655</v>
      </c>
      <c r="AO13" s="7"/>
      <c r="AP13" s="6"/>
      <c r="AQ13" s="8">
        <v>0</v>
      </c>
      <c r="AR13" s="74">
        <v>312</v>
      </c>
      <c r="AS13" s="14"/>
      <c r="AT13" s="68"/>
      <c r="AU13" s="76"/>
      <c r="AV13" s="77">
        <v>60.463000000000001</v>
      </c>
      <c r="AW13" s="62">
        <v>0</v>
      </c>
      <c r="AY13" s="63">
        <v>9</v>
      </c>
      <c r="AZ13" s="15">
        <v>9271.7555555549152</v>
      </c>
      <c r="BA13" s="15">
        <v>69.484777777780124</v>
      </c>
      <c r="BB13" s="15">
        <v>5955.4444444444443</v>
      </c>
      <c r="BC13" s="15">
        <v>427.11111111111114</v>
      </c>
      <c r="BD13" s="16">
        <v>0</v>
      </c>
      <c r="BE13" s="15">
        <v>404289.60000000003</v>
      </c>
      <c r="BF13" s="15">
        <v>44020.964444444435</v>
      </c>
      <c r="BG13" s="16">
        <v>7329.7777777777783</v>
      </c>
      <c r="BH13" s="16">
        <v>20301.417777777777</v>
      </c>
      <c r="BI13" s="16">
        <v>9313.7777777777774</v>
      </c>
    </row>
    <row r="14" spans="1:61" x14ac:dyDescent="0.2">
      <c r="A14" s="80">
        <v>10</v>
      </c>
      <c r="B14" s="60" t="s">
        <v>74</v>
      </c>
      <c r="C14" s="10"/>
      <c r="D14" s="6">
        <v>3060863.6</v>
      </c>
      <c r="E14" s="8">
        <v>455.3000000002794</v>
      </c>
      <c r="F14" s="6">
        <v>6233.35</v>
      </c>
      <c r="G14" s="8">
        <v>5.25</v>
      </c>
      <c r="H14" s="6">
        <v>506377</v>
      </c>
      <c r="I14" s="8">
        <v>181</v>
      </c>
      <c r="J14" s="81">
        <v>477544</v>
      </c>
      <c r="K14" s="8">
        <v>172</v>
      </c>
      <c r="L14" s="7"/>
      <c r="M14" s="11" t="e">
        <v>#DIV/0!</v>
      </c>
      <c r="N14" s="82">
        <v>86874</v>
      </c>
      <c r="O14" s="8">
        <v>6</v>
      </c>
      <c r="P14" s="12">
        <v>78954</v>
      </c>
      <c r="Q14" s="8">
        <v>3</v>
      </c>
      <c r="R14" s="12">
        <v>13887</v>
      </c>
      <c r="S14" s="8">
        <v>3</v>
      </c>
      <c r="T14" s="12">
        <v>165303</v>
      </c>
      <c r="U14" s="8">
        <v>31</v>
      </c>
      <c r="V14" s="83">
        <v>409.93</v>
      </c>
      <c r="W14" s="8">
        <v>901846</v>
      </c>
      <c r="X14" s="74">
        <v>12054</v>
      </c>
      <c r="Y14" s="13">
        <v>70.42</v>
      </c>
      <c r="Z14" s="8">
        <v>154924</v>
      </c>
      <c r="AA14" s="74">
        <v>2272</v>
      </c>
      <c r="AB14" s="6">
        <v>1528583.92</v>
      </c>
      <c r="AC14" s="9">
        <v>2453.6499999999069</v>
      </c>
      <c r="AD14" s="74">
        <v>243</v>
      </c>
      <c r="AE14" s="6">
        <v>4393291</v>
      </c>
      <c r="AF14" s="9"/>
      <c r="AG14" s="74">
        <v>1330</v>
      </c>
      <c r="AH14" s="6">
        <v>32056.1</v>
      </c>
      <c r="AI14" s="8">
        <v>2564488</v>
      </c>
      <c r="AJ14" s="74">
        <v>256</v>
      </c>
      <c r="AK14" s="7"/>
      <c r="AL14" s="6">
        <v>1941610.5</v>
      </c>
      <c r="AM14" s="8">
        <v>1941610.5</v>
      </c>
      <c r="AN14" s="74">
        <v>655</v>
      </c>
      <c r="AO14" s="7"/>
      <c r="AP14" s="6">
        <v>44673.1</v>
      </c>
      <c r="AQ14" s="8">
        <v>3573848</v>
      </c>
      <c r="AR14" s="74">
        <v>328</v>
      </c>
      <c r="AS14" s="84">
        <v>16</v>
      </c>
      <c r="AT14" s="14">
        <v>22</v>
      </c>
      <c r="AU14" s="7"/>
      <c r="AV14" s="77">
        <v>60.463000000000001</v>
      </c>
      <c r="AW14" s="62">
        <v>0</v>
      </c>
      <c r="AY14" s="85">
        <v>10</v>
      </c>
      <c r="AZ14" s="15">
        <v>9756.0100000002876</v>
      </c>
      <c r="BA14" s="15">
        <v>78.81130000000212</v>
      </c>
      <c r="BB14" s="15">
        <v>5921</v>
      </c>
      <c r="BC14" s="15">
        <v>403</v>
      </c>
      <c r="BD14" s="16">
        <v>427007.01999999996</v>
      </c>
      <c r="BE14" s="15">
        <v>401228.04</v>
      </c>
      <c r="BF14" s="16">
        <v>44495.167999999998</v>
      </c>
      <c r="BG14" s="16">
        <v>7390.4000000000005</v>
      </c>
      <c r="BH14" s="16">
        <v>20301.775999999998</v>
      </c>
      <c r="BI14" s="16">
        <v>9399.1999999999989</v>
      </c>
    </row>
    <row r="15" spans="1:61" x14ac:dyDescent="0.2">
      <c r="A15" s="80">
        <v>11</v>
      </c>
      <c r="B15" s="60" t="s">
        <v>74</v>
      </c>
      <c r="C15" s="10"/>
      <c r="D15" s="6">
        <v>3061290.7</v>
      </c>
      <c r="E15" s="8">
        <v>427.10000000009313</v>
      </c>
      <c r="F15" s="6">
        <v>6236.54</v>
      </c>
      <c r="G15" s="8">
        <v>3.1899999999995998</v>
      </c>
      <c r="H15" s="6">
        <v>506568</v>
      </c>
      <c r="I15" s="8">
        <v>191</v>
      </c>
      <c r="J15" s="81">
        <v>477725</v>
      </c>
      <c r="K15" s="8">
        <v>181</v>
      </c>
      <c r="L15" s="7"/>
      <c r="M15" s="11" t="e">
        <v>#DIV/0!</v>
      </c>
      <c r="N15" s="82">
        <v>86887</v>
      </c>
      <c r="O15" s="8">
        <v>13</v>
      </c>
      <c r="P15" s="12">
        <v>78957</v>
      </c>
      <c r="Q15" s="8">
        <v>3</v>
      </c>
      <c r="R15" s="12">
        <v>13889</v>
      </c>
      <c r="S15" s="8">
        <v>2</v>
      </c>
      <c r="T15" s="12">
        <v>165332</v>
      </c>
      <c r="U15" s="8">
        <v>29</v>
      </c>
      <c r="V15" s="83"/>
      <c r="W15" s="8">
        <v>0</v>
      </c>
      <c r="X15" s="74">
        <v>11721</v>
      </c>
      <c r="Y15" s="83"/>
      <c r="Z15" s="8">
        <v>0</v>
      </c>
      <c r="AA15" s="74">
        <v>2425.6</v>
      </c>
      <c r="AB15" s="6"/>
      <c r="AC15" s="9">
        <v>0</v>
      </c>
      <c r="AD15" s="74">
        <v>245.68</v>
      </c>
      <c r="AE15" s="6"/>
      <c r="AF15" s="9"/>
      <c r="AG15" s="74">
        <v>1102.8</v>
      </c>
      <c r="AH15" s="6"/>
      <c r="AI15" s="8">
        <v>0</v>
      </c>
      <c r="AJ15" s="74">
        <v>240</v>
      </c>
      <c r="AK15" s="7"/>
      <c r="AL15" s="6"/>
      <c r="AM15" s="8">
        <v>0</v>
      </c>
      <c r="AN15" s="74">
        <v>654.44000000000005</v>
      </c>
      <c r="AO15" s="7"/>
      <c r="AP15" s="6"/>
      <c r="AQ15" s="8">
        <v>0</v>
      </c>
      <c r="AR15" s="74">
        <v>320</v>
      </c>
      <c r="AS15" s="84">
        <v>16</v>
      </c>
      <c r="AT15" s="14">
        <v>23</v>
      </c>
      <c r="AU15" s="7"/>
      <c r="AV15" s="77">
        <v>60.463000000000001</v>
      </c>
      <c r="AW15" s="62">
        <v>0</v>
      </c>
      <c r="AY15" s="85">
        <v>11</v>
      </c>
      <c r="AZ15" s="15">
        <v>10072.74545454598</v>
      </c>
      <c r="BA15" s="15">
        <v>80.636636363637166</v>
      </c>
      <c r="BB15" s="15">
        <v>5921</v>
      </c>
      <c r="BC15" s="15">
        <v>403</v>
      </c>
      <c r="BD15" s="16">
        <v>0</v>
      </c>
      <c r="BE15" s="15">
        <v>397784.67272727285</v>
      </c>
      <c r="BF15" s="16">
        <v>44250.414545454536</v>
      </c>
      <c r="BG15" s="16">
        <v>7394.9090909090901</v>
      </c>
      <c r="BH15" s="16">
        <v>20300.49090909091</v>
      </c>
      <c r="BI15" s="16">
        <v>9446.5454545454559</v>
      </c>
    </row>
    <row r="16" spans="1:61" x14ac:dyDescent="0.2">
      <c r="A16" s="80">
        <v>12</v>
      </c>
      <c r="B16" s="60" t="s">
        <v>74</v>
      </c>
      <c r="C16" s="10"/>
      <c r="D16" s="6">
        <v>3061701.8</v>
      </c>
      <c r="E16" s="8">
        <v>411.09999999962747</v>
      </c>
      <c r="F16" s="6">
        <v>6238.3180000000002</v>
      </c>
      <c r="G16" s="8">
        <v>1.7780000000002474</v>
      </c>
      <c r="H16" s="6">
        <v>506734</v>
      </c>
      <c r="I16" s="8">
        <v>166</v>
      </c>
      <c r="J16" s="81">
        <v>477882</v>
      </c>
      <c r="K16" s="8">
        <v>157</v>
      </c>
      <c r="L16" s="7"/>
      <c r="M16" s="11" t="e">
        <v>#DIV/0!</v>
      </c>
      <c r="N16" s="82">
        <v>86892</v>
      </c>
      <c r="O16" s="8">
        <v>5</v>
      </c>
      <c r="P16" s="12">
        <v>78960</v>
      </c>
      <c r="Q16" s="8">
        <v>3</v>
      </c>
      <c r="R16" s="12">
        <v>13891</v>
      </c>
      <c r="S16" s="8">
        <v>2</v>
      </c>
      <c r="T16" s="12">
        <v>165362</v>
      </c>
      <c r="U16" s="8">
        <v>30</v>
      </c>
      <c r="V16" s="13"/>
      <c r="W16" s="8">
        <v>0</v>
      </c>
      <c r="X16" s="74">
        <v>11292.4</v>
      </c>
      <c r="Y16" s="83"/>
      <c r="Z16" s="8">
        <v>0</v>
      </c>
      <c r="AA16" s="74">
        <v>2504.1999999999998</v>
      </c>
      <c r="AB16" s="6"/>
      <c r="AC16" s="9">
        <v>0</v>
      </c>
      <c r="AD16" s="74">
        <v>244.27</v>
      </c>
      <c r="AE16" s="6"/>
      <c r="AF16" s="9"/>
      <c r="AG16" s="74">
        <v>1087.5999999999999</v>
      </c>
      <c r="AH16" s="6"/>
      <c r="AI16" s="8">
        <v>0</v>
      </c>
      <c r="AJ16" s="74">
        <v>208</v>
      </c>
      <c r="AK16" s="7"/>
      <c r="AL16" s="6"/>
      <c r="AM16" s="8">
        <v>0</v>
      </c>
      <c r="AN16" s="74">
        <v>655.14</v>
      </c>
      <c r="AO16" s="7"/>
      <c r="AP16" s="6"/>
      <c r="AQ16" s="8">
        <v>0</v>
      </c>
      <c r="AR16" s="74">
        <v>312</v>
      </c>
      <c r="AS16" s="84"/>
      <c r="AT16" s="14"/>
      <c r="AU16" s="7"/>
      <c r="AV16" s="77">
        <v>60.463000000000001</v>
      </c>
      <c r="AW16" s="62">
        <v>0</v>
      </c>
      <c r="AY16" s="85">
        <v>12</v>
      </c>
      <c r="AZ16" s="15">
        <v>10295.358333332853</v>
      </c>
      <c r="BA16" s="15">
        <v>78.510083333334705</v>
      </c>
      <c r="BB16" s="15">
        <v>5856.4166666666661</v>
      </c>
      <c r="BC16" s="15">
        <v>382.33333333333337</v>
      </c>
      <c r="BD16" s="16">
        <v>0</v>
      </c>
      <c r="BE16" s="15">
        <v>393807.9833333334</v>
      </c>
      <c r="BF16" s="16">
        <v>44003.544166666667</v>
      </c>
      <c r="BG16" s="16">
        <v>7316</v>
      </c>
      <c r="BH16" s="16">
        <v>20301.228333333333</v>
      </c>
      <c r="BI16" s="16">
        <v>9465.3333333333321</v>
      </c>
    </row>
    <row r="17" spans="1:61" x14ac:dyDescent="0.2">
      <c r="A17" s="80">
        <v>13</v>
      </c>
      <c r="B17" s="60" t="s">
        <v>74</v>
      </c>
      <c r="C17" s="10"/>
      <c r="D17" s="6">
        <v>3062130.7</v>
      </c>
      <c r="E17" s="8">
        <v>428.90000000037253</v>
      </c>
      <c r="F17" s="6">
        <v>6241.0919999999996</v>
      </c>
      <c r="G17" s="8">
        <v>2.7739999999994325</v>
      </c>
      <c r="H17" s="6">
        <v>506916</v>
      </c>
      <c r="I17" s="8">
        <v>182</v>
      </c>
      <c r="J17" s="81">
        <v>478055</v>
      </c>
      <c r="K17" s="8">
        <v>173</v>
      </c>
      <c r="L17" s="7"/>
      <c r="M17" s="11" t="e">
        <v>#DIV/0!</v>
      </c>
      <c r="N17" s="82">
        <v>86897</v>
      </c>
      <c r="O17" s="8">
        <v>5</v>
      </c>
      <c r="P17" s="12">
        <v>78964</v>
      </c>
      <c r="Q17" s="8">
        <v>4</v>
      </c>
      <c r="R17" s="12">
        <v>13895</v>
      </c>
      <c r="S17" s="8">
        <v>4</v>
      </c>
      <c r="T17" s="12">
        <v>165397</v>
      </c>
      <c r="U17" s="8">
        <v>35</v>
      </c>
      <c r="V17" s="13"/>
      <c r="W17" s="8">
        <v>0</v>
      </c>
      <c r="X17" s="74">
        <v>11764.8</v>
      </c>
      <c r="Y17" s="83"/>
      <c r="Z17" s="8">
        <v>0</v>
      </c>
      <c r="AA17" s="74">
        <v>2399.1999999999998</v>
      </c>
      <c r="AB17" s="6"/>
      <c r="AC17" s="9">
        <v>0</v>
      </c>
      <c r="AD17" s="74">
        <v>241.59</v>
      </c>
      <c r="AE17" s="6"/>
      <c r="AF17" s="9"/>
      <c r="AG17" s="74">
        <v>1300.0999999999999</v>
      </c>
      <c r="AH17" s="6"/>
      <c r="AI17" s="8">
        <v>0</v>
      </c>
      <c r="AJ17" s="74">
        <v>280</v>
      </c>
      <c r="AK17" s="7"/>
      <c r="AL17" s="6"/>
      <c r="AM17" s="8">
        <v>0</v>
      </c>
      <c r="AN17" s="74">
        <v>654.82000000000005</v>
      </c>
      <c r="AO17" s="7"/>
      <c r="AP17" s="6"/>
      <c r="AQ17" s="8">
        <v>0</v>
      </c>
      <c r="AR17" s="74">
        <v>280</v>
      </c>
      <c r="AS17" s="84"/>
      <c r="AT17" s="14"/>
      <c r="AU17" s="7"/>
      <c r="AV17" s="77">
        <v>60.463000000000001</v>
      </c>
      <c r="AW17" s="62">
        <v>0</v>
      </c>
      <c r="AY17" s="85">
        <v>13</v>
      </c>
      <c r="AZ17" s="15">
        <v>10526.169230769676</v>
      </c>
      <c r="BA17" s="15">
        <v>79.085769230769145</v>
      </c>
      <c r="BB17" s="15">
        <v>5839.9230769230771</v>
      </c>
      <c r="BC17" s="15">
        <v>364.84615384615387</v>
      </c>
      <c r="BD17" s="16">
        <v>0</v>
      </c>
      <c r="BE17" s="15">
        <v>391569.58461538458</v>
      </c>
      <c r="BF17" s="16">
        <v>44294.99384615384</v>
      </c>
      <c r="BG17" s="16">
        <v>7420.9230769230771</v>
      </c>
      <c r="BH17" s="16">
        <v>20301.089230769234</v>
      </c>
      <c r="BI17" s="16">
        <v>9404.9230769230762</v>
      </c>
    </row>
    <row r="18" spans="1:61" x14ac:dyDescent="0.2">
      <c r="A18" s="80">
        <v>14</v>
      </c>
      <c r="B18" s="60" t="s">
        <v>74</v>
      </c>
      <c r="C18" s="10"/>
      <c r="D18" s="6">
        <v>3062423.7</v>
      </c>
      <c r="E18" s="8">
        <v>293</v>
      </c>
      <c r="F18" s="6">
        <v>6241.09</v>
      </c>
      <c r="G18" s="8">
        <v>-1.9999999994979589E-3</v>
      </c>
      <c r="H18" s="6">
        <v>507081</v>
      </c>
      <c r="I18" s="8">
        <v>165</v>
      </c>
      <c r="J18" s="81">
        <v>478211</v>
      </c>
      <c r="K18" s="8">
        <v>156</v>
      </c>
      <c r="L18" s="7"/>
      <c r="M18" s="11" t="e">
        <v>#DIV/0!</v>
      </c>
      <c r="N18" s="82">
        <v>86898</v>
      </c>
      <c r="O18" s="8">
        <v>1</v>
      </c>
      <c r="P18" s="12">
        <v>78967</v>
      </c>
      <c r="Q18" s="8">
        <v>3</v>
      </c>
      <c r="R18" s="12">
        <v>13898</v>
      </c>
      <c r="S18" s="8">
        <v>3</v>
      </c>
      <c r="T18" s="12">
        <v>165426</v>
      </c>
      <c r="U18" s="8">
        <v>29</v>
      </c>
      <c r="V18" s="13"/>
      <c r="W18" s="8">
        <v>0</v>
      </c>
      <c r="X18" s="74">
        <v>11781</v>
      </c>
      <c r="Y18" s="83"/>
      <c r="Z18" s="8">
        <v>0</v>
      </c>
      <c r="AA18" s="74">
        <v>2171</v>
      </c>
      <c r="AB18" s="6"/>
      <c r="AC18" s="9">
        <v>0</v>
      </c>
      <c r="AD18" s="74">
        <v>235</v>
      </c>
      <c r="AE18" s="6"/>
      <c r="AF18" s="9"/>
      <c r="AG18" s="74">
        <v>1119</v>
      </c>
      <c r="AH18" s="6"/>
      <c r="AI18" s="8">
        <v>0</v>
      </c>
      <c r="AJ18" s="74">
        <v>192</v>
      </c>
      <c r="AK18" s="7"/>
      <c r="AL18" s="6"/>
      <c r="AM18" s="8">
        <v>0</v>
      </c>
      <c r="AN18" s="74">
        <v>655</v>
      </c>
      <c r="AO18" s="7"/>
      <c r="AP18" s="6"/>
      <c r="AQ18" s="8">
        <v>0</v>
      </c>
      <c r="AR18" s="74">
        <v>312</v>
      </c>
      <c r="AS18" s="84">
        <v>16</v>
      </c>
      <c r="AT18" s="14">
        <v>23</v>
      </c>
      <c r="AU18" s="7"/>
      <c r="AV18" s="77">
        <v>60.463000000000001</v>
      </c>
      <c r="AW18" s="62">
        <v>0</v>
      </c>
      <c r="AY18" s="85">
        <v>14</v>
      </c>
      <c r="AZ18" s="15">
        <v>10423.085714286128</v>
      </c>
      <c r="BA18" s="15">
        <v>73.432357142858166</v>
      </c>
      <c r="BB18" s="15">
        <v>5788.1428571428578</v>
      </c>
      <c r="BC18" s="15">
        <v>341</v>
      </c>
      <c r="BD18" s="16">
        <v>0</v>
      </c>
      <c r="BE18" s="15">
        <v>389686.8285714286</v>
      </c>
      <c r="BF18" s="16">
        <v>44129.208571428564</v>
      </c>
      <c r="BG18" s="16">
        <v>7316</v>
      </c>
      <c r="BH18" s="16">
        <v>20301.368571428575</v>
      </c>
      <c r="BI18" s="16">
        <v>9424</v>
      </c>
    </row>
    <row r="19" spans="1:61" x14ac:dyDescent="0.2">
      <c r="A19" s="80">
        <v>15</v>
      </c>
      <c r="B19" s="60" t="s">
        <v>74</v>
      </c>
      <c r="C19" s="10"/>
      <c r="D19" s="6">
        <v>3062663.1</v>
      </c>
      <c r="E19" s="8">
        <v>239.39999999990687</v>
      </c>
      <c r="F19" s="6">
        <v>6242.43</v>
      </c>
      <c r="G19" s="8">
        <v>1.3400000000001455</v>
      </c>
      <c r="H19" s="6">
        <v>507279</v>
      </c>
      <c r="I19" s="8">
        <v>198</v>
      </c>
      <c r="J19" s="81">
        <v>478399</v>
      </c>
      <c r="K19" s="8">
        <v>188</v>
      </c>
      <c r="L19" s="7"/>
      <c r="M19" s="11" t="e">
        <v>#DIV/0!</v>
      </c>
      <c r="N19" s="82">
        <v>86903</v>
      </c>
      <c r="O19" s="8">
        <v>5</v>
      </c>
      <c r="P19" s="12">
        <v>78970</v>
      </c>
      <c r="Q19" s="8">
        <v>3</v>
      </c>
      <c r="R19" s="12">
        <v>13900</v>
      </c>
      <c r="S19" s="8">
        <v>2</v>
      </c>
      <c r="T19" s="12">
        <v>165454</v>
      </c>
      <c r="U19" s="8">
        <v>28</v>
      </c>
      <c r="V19" s="13"/>
      <c r="W19" s="8">
        <v>0</v>
      </c>
      <c r="X19" s="74">
        <v>12048</v>
      </c>
      <c r="Y19" s="83"/>
      <c r="Z19" s="8">
        <v>0</v>
      </c>
      <c r="AA19" s="74">
        <v>1978</v>
      </c>
      <c r="AB19" s="6"/>
      <c r="AC19" s="9">
        <v>0</v>
      </c>
      <c r="AD19" s="74">
        <v>240</v>
      </c>
      <c r="AE19" s="6"/>
      <c r="AF19" s="9"/>
      <c r="AG19" s="74">
        <v>1150</v>
      </c>
      <c r="AH19" s="6"/>
      <c r="AI19" s="8">
        <v>0</v>
      </c>
      <c r="AJ19" s="74">
        <v>200</v>
      </c>
      <c r="AK19" s="7"/>
      <c r="AL19" s="6"/>
      <c r="AM19" s="8">
        <v>0</v>
      </c>
      <c r="AN19" s="74">
        <v>655</v>
      </c>
      <c r="AO19" s="7"/>
      <c r="AP19" s="6"/>
      <c r="AQ19" s="8">
        <v>0</v>
      </c>
      <c r="AR19" s="74">
        <v>288</v>
      </c>
      <c r="AS19" s="84">
        <v>14</v>
      </c>
      <c r="AT19" s="14">
        <v>19</v>
      </c>
      <c r="AU19" s="7"/>
      <c r="AV19" s="77">
        <v>60.463000000000001</v>
      </c>
      <c r="AW19" s="86">
        <v>0</v>
      </c>
      <c r="AY19" s="85">
        <v>15</v>
      </c>
      <c r="AZ19" s="15">
        <v>10222.973333333526</v>
      </c>
      <c r="BA19" s="15">
        <v>71.306200000001255</v>
      </c>
      <c r="BB19" s="15">
        <v>5811.4666666666672</v>
      </c>
      <c r="BC19" s="15">
        <v>328.59999999999997</v>
      </c>
      <c r="BD19" s="16">
        <v>0</v>
      </c>
      <c r="BE19" s="15">
        <v>388606.90666666668</v>
      </c>
      <c r="BF19" s="16">
        <v>44059.927999999993</v>
      </c>
      <c r="BG19" s="16">
        <v>7241.5999999999995</v>
      </c>
      <c r="BH19" s="16">
        <v>20301.610666666667</v>
      </c>
      <c r="BI19" s="16">
        <v>9390.9333333333343</v>
      </c>
    </row>
    <row r="20" spans="1:61" x14ac:dyDescent="0.2">
      <c r="A20" s="80">
        <v>16</v>
      </c>
      <c r="B20" s="60" t="s">
        <v>74</v>
      </c>
      <c r="C20" s="10"/>
      <c r="D20" s="6">
        <v>3063188.4</v>
      </c>
      <c r="E20" s="8">
        <v>525.29999999981374</v>
      </c>
      <c r="F20" s="6">
        <v>6245.95</v>
      </c>
      <c r="G20" s="8">
        <v>3.5199999999995271</v>
      </c>
      <c r="H20" s="6">
        <v>507447</v>
      </c>
      <c r="I20" s="8">
        <v>168</v>
      </c>
      <c r="J20" s="81">
        <v>478558</v>
      </c>
      <c r="K20" s="8">
        <v>159</v>
      </c>
      <c r="L20" s="7"/>
      <c r="M20" s="11" t="e">
        <v>#DIV/0!</v>
      </c>
      <c r="N20" s="82">
        <v>86917</v>
      </c>
      <c r="O20" s="8">
        <v>14</v>
      </c>
      <c r="P20" s="12">
        <v>78973</v>
      </c>
      <c r="Q20" s="8">
        <v>3</v>
      </c>
      <c r="R20" s="12">
        <v>13904</v>
      </c>
      <c r="S20" s="8">
        <v>4</v>
      </c>
      <c r="T20" s="12">
        <v>165481</v>
      </c>
      <c r="U20" s="8">
        <v>27</v>
      </c>
      <c r="V20" s="13"/>
      <c r="W20" s="8">
        <v>0</v>
      </c>
      <c r="X20" s="74">
        <v>10834</v>
      </c>
      <c r="Y20" s="83"/>
      <c r="Z20" s="8">
        <v>0</v>
      </c>
      <c r="AA20" s="74">
        <v>1948</v>
      </c>
      <c r="AB20" s="6"/>
      <c r="AC20" s="9">
        <v>0</v>
      </c>
      <c r="AD20" s="74">
        <v>239</v>
      </c>
      <c r="AE20" s="6"/>
      <c r="AF20" s="9"/>
      <c r="AG20" s="74">
        <v>1077</v>
      </c>
      <c r="AH20" s="6"/>
      <c r="AI20" s="8">
        <v>0</v>
      </c>
      <c r="AJ20" s="74">
        <v>168</v>
      </c>
      <c r="AK20" s="7"/>
      <c r="AL20" s="6"/>
      <c r="AM20" s="8">
        <v>0</v>
      </c>
      <c r="AN20" s="74">
        <v>655</v>
      </c>
      <c r="AO20" s="7"/>
      <c r="AP20" s="6"/>
      <c r="AQ20" s="8">
        <v>0</v>
      </c>
      <c r="AR20" s="74">
        <v>272</v>
      </c>
      <c r="AS20" s="84">
        <v>17</v>
      </c>
      <c r="AT20" s="14">
        <v>22</v>
      </c>
      <c r="AU20" s="7"/>
      <c r="AV20" s="77">
        <v>60.463000000000001</v>
      </c>
      <c r="AW20" s="86">
        <v>0</v>
      </c>
      <c r="AY20" s="85">
        <v>16</v>
      </c>
      <c r="AZ20" s="15">
        <v>10601.80624999982</v>
      </c>
      <c r="BA20" s="15">
        <v>73.669562500000268</v>
      </c>
      <c r="BB20" s="15">
        <v>5773.75</v>
      </c>
      <c r="BC20" s="15">
        <v>335.1875</v>
      </c>
      <c r="BD20" s="16">
        <v>0</v>
      </c>
      <c r="BE20" s="15">
        <v>385309.85000000003</v>
      </c>
      <c r="BF20" s="16">
        <v>43855.932499999995</v>
      </c>
      <c r="BG20" s="16">
        <v>7114.5</v>
      </c>
      <c r="BH20" s="16">
        <v>20301.822500000002</v>
      </c>
      <c r="BI20" s="16">
        <v>9331</v>
      </c>
    </row>
    <row r="21" spans="1:61" x14ac:dyDescent="0.2">
      <c r="A21" s="80">
        <v>17</v>
      </c>
      <c r="B21" s="60" t="s">
        <v>74</v>
      </c>
      <c r="C21" s="10"/>
      <c r="D21" s="6">
        <v>3063693.2</v>
      </c>
      <c r="E21" s="8">
        <v>504.8000000002794</v>
      </c>
      <c r="F21" s="6">
        <v>6249.26</v>
      </c>
      <c r="G21" s="8">
        <v>3.3100000000004002</v>
      </c>
      <c r="H21" s="6">
        <v>507632</v>
      </c>
      <c r="I21" s="8">
        <v>185</v>
      </c>
      <c r="J21" s="81">
        <v>478734</v>
      </c>
      <c r="K21" s="8">
        <v>176</v>
      </c>
      <c r="L21" s="7"/>
      <c r="M21" s="11" t="e">
        <v>#DIV/0!</v>
      </c>
      <c r="N21" s="82">
        <v>86932</v>
      </c>
      <c r="O21" s="8">
        <v>15</v>
      </c>
      <c r="P21" s="12">
        <v>78976</v>
      </c>
      <c r="Q21" s="8">
        <v>3</v>
      </c>
      <c r="R21" s="12">
        <v>13906</v>
      </c>
      <c r="S21" s="8">
        <v>2</v>
      </c>
      <c r="T21" s="12">
        <v>165512</v>
      </c>
      <c r="U21" s="8">
        <v>31</v>
      </c>
      <c r="V21" s="13"/>
      <c r="W21" s="8">
        <v>0</v>
      </c>
      <c r="X21" s="74">
        <v>11033.2</v>
      </c>
      <c r="Y21" s="87"/>
      <c r="Z21" s="8">
        <v>0</v>
      </c>
      <c r="AA21" s="74">
        <v>1782.8</v>
      </c>
      <c r="AB21" s="6"/>
      <c r="AC21" s="9">
        <v>0</v>
      </c>
      <c r="AD21" s="74">
        <v>237.33</v>
      </c>
      <c r="AE21" s="6"/>
      <c r="AF21" s="9"/>
      <c r="AG21" s="74">
        <v>1058.0999999999999</v>
      </c>
      <c r="AH21" s="6"/>
      <c r="AI21" s="8">
        <v>0</v>
      </c>
      <c r="AJ21" s="74">
        <v>208</v>
      </c>
      <c r="AK21" s="7"/>
      <c r="AL21" s="6"/>
      <c r="AM21" s="8">
        <v>0</v>
      </c>
      <c r="AN21" s="74">
        <v>655.09</v>
      </c>
      <c r="AO21" s="7"/>
      <c r="AP21" s="6"/>
      <c r="AQ21" s="8">
        <v>0</v>
      </c>
      <c r="AR21" s="74">
        <v>264</v>
      </c>
      <c r="AS21" s="84">
        <v>16</v>
      </c>
      <c r="AT21" s="14">
        <v>22</v>
      </c>
      <c r="AU21" s="7"/>
      <c r="AV21" s="77">
        <v>60.546999999999997</v>
      </c>
      <c r="AW21" s="86">
        <v>8.3999999999996078E-2</v>
      </c>
      <c r="AY21" s="85">
        <v>17</v>
      </c>
      <c r="AZ21" s="15">
        <v>10898.688235294458</v>
      </c>
      <c r="BA21" s="15">
        <v>75.37194117647158</v>
      </c>
      <c r="BB21" s="15">
        <v>5771.4705882352946</v>
      </c>
      <c r="BC21" s="15">
        <v>342.8235294117647</v>
      </c>
      <c r="BD21" s="16">
        <v>0</v>
      </c>
      <c r="BE21" s="15">
        <v>382763.92941176472</v>
      </c>
      <c r="BF21" s="16">
        <v>43638.426470588223</v>
      </c>
      <c r="BG21" s="16">
        <v>7075.2941176470595</v>
      </c>
      <c r="BH21" s="16">
        <v>20302.173529411768</v>
      </c>
      <c r="BI21" s="16">
        <v>9263.5294117647063</v>
      </c>
    </row>
    <row r="22" spans="1:61" x14ac:dyDescent="0.2">
      <c r="A22" s="80">
        <v>18</v>
      </c>
      <c r="B22" s="60" t="s">
        <v>74</v>
      </c>
      <c r="C22" s="10"/>
      <c r="D22" s="6">
        <v>3064143.7</v>
      </c>
      <c r="E22" s="8">
        <v>450.5</v>
      </c>
      <c r="F22" s="6">
        <v>6250.74</v>
      </c>
      <c r="G22" s="8">
        <v>1.4799999999995634</v>
      </c>
      <c r="H22" s="6">
        <v>507910</v>
      </c>
      <c r="I22" s="8">
        <v>278</v>
      </c>
      <c r="J22" s="81">
        <v>478902</v>
      </c>
      <c r="K22" s="8">
        <v>168</v>
      </c>
      <c r="L22" s="7"/>
      <c r="M22" s="11" t="e">
        <v>#DIV/0!</v>
      </c>
      <c r="N22" s="82">
        <v>86946</v>
      </c>
      <c r="O22" s="8">
        <v>14</v>
      </c>
      <c r="P22" s="12">
        <v>78979</v>
      </c>
      <c r="Q22" s="8">
        <v>3</v>
      </c>
      <c r="R22" s="12">
        <v>13908</v>
      </c>
      <c r="S22" s="8">
        <v>1</v>
      </c>
      <c r="T22" s="12">
        <v>165542</v>
      </c>
      <c r="U22" s="8">
        <v>30</v>
      </c>
      <c r="V22" s="13"/>
      <c r="W22" s="8">
        <v>0</v>
      </c>
      <c r="X22" s="74">
        <v>11052</v>
      </c>
      <c r="Y22" s="83"/>
      <c r="Z22" s="8">
        <v>0</v>
      </c>
      <c r="AA22" s="74">
        <v>1898.4</v>
      </c>
      <c r="AB22" s="6"/>
      <c r="AC22" s="9">
        <v>0</v>
      </c>
      <c r="AD22" s="74">
        <v>246.53</v>
      </c>
      <c r="AE22" s="6"/>
      <c r="AF22" s="9"/>
      <c r="AG22" s="74">
        <v>1091.5999999999999</v>
      </c>
      <c r="AH22" s="6"/>
      <c r="AI22" s="8">
        <v>0</v>
      </c>
      <c r="AJ22" s="74">
        <v>176</v>
      </c>
      <c r="AK22" s="7"/>
      <c r="AL22" s="6"/>
      <c r="AM22" s="8">
        <v>0</v>
      </c>
      <c r="AN22" s="74">
        <v>655.05999999999995</v>
      </c>
      <c r="AO22" s="7"/>
      <c r="AP22" s="6"/>
      <c r="AQ22" s="8">
        <v>0</v>
      </c>
      <c r="AR22" s="74">
        <v>288</v>
      </c>
      <c r="AS22" s="84">
        <v>14</v>
      </c>
      <c r="AT22" s="14">
        <v>19</v>
      </c>
      <c r="AU22" s="7"/>
      <c r="AV22" s="77">
        <v>60.546999999999997</v>
      </c>
      <c r="AW22" s="86">
        <v>0</v>
      </c>
      <c r="AY22" s="85">
        <v>18</v>
      </c>
      <c r="AZ22" s="15">
        <v>11069.066666666988</v>
      </c>
      <c r="BA22" s="15">
        <v>73.733500000000177</v>
      </c>
      <c r="BB22" s="15">
        <v>5929.6111111111113</v>
      </c>
      <c r="BC22" s="15">
        <v>347.88888888888886</v>
      </c>
      <c r="BD22" s="16">
        <v>0</v>
      </c>
      <c r="BE22" s="15">
        <v>380533.26666666672</v>
      </c>
      <c r="BF22" s="16">
        <v>43518.626666666656</v>
      </c>
      <c r="BG22" s="16">
        <v>6985.3333333333339</v>
      </c>
      <c r="BH22" s="16">
        <v>20302.433888888889</v>
      </c>
      <c r="BI22" s="16">
        <v>9244.8888888888887</v>
      </c>
    </row>
    <row r="23" spans="1:61" x14ac:dyDescent="0.2">
      <c r="A23" s="80">
        <v>19</v>
      </c>
      <c r="B23" s="60" t="s">
        <v>74</v>
      </c>
      <c r="C23" s="10"/>
      <c r="D23" s="6">
        <v>3064660.1</v>
      </c>
      <c r="E23" s="8">
        <v>516.39999999990687</v>
      </c>
      <c r="F23" s="6">
        <v>6256.9440000000004</v>
      </c>
      <c r="G23" s="8">
        <v>6.204000000000633</v>
      </c>
      <c r="H23" s="6">
        <v>507999</v>
      </c>
      <c r="I23" s="8">
        <v>89</v>
      </c>
      <c r="J23" s="81">
        <v>479082</v>
      </c>
      <c r="K23" s="8">
        <v>180</v>
      </c>
      <c r="L23" s="7"/>
      <c r="M23" s="11" t="e">
        <v>#DIV/0!</v>
      </c>
      <c r="N23" s="82">
        <v>86961</v>
      </c>
      <c r="O23" s="8">
        <v>15</v>
      </c>
      <c r="P23" s="12">
        <v>78983</v>
      </c>
      <c r="Q23" s="8">
        <v>4</v>
      </c>
      <c r="R23" s="12">
        <v>13909</v>
      </c>
      <c r="S23" s="8">
        <v>1</v>
      </c>
      <c r="T23" s="12">
        <v>165578</v>
      </c>
      <c r="U23" s="8">
        <v>36</v>
      </c>
      <c r="V23" s="13"/>
      <c r="W23" s="8">
        <v>0</v>
      </c>
      <c r="X23" s="74">
        <v>10825.4</v>
      </c>
      <c r="Y23" s="83"/>
      <c r="Z23" s="8">
        <v>0</v>
      </c>
      <c r="AA23" s="74">
        <v>1791.6</v>
      </c>
      <c r="AB23" s="6"/>
      <c r="AC23" s="9">
        <v>0</v>
      </c>
      <c r="AD23" s="74">
        <v>245.24</v>
      </c>
      <c r="AE23" s="6"/>
      <c r="AF23" s="9"/>
      <c r="AG23" s="74">
        <v>1214</v>
      </c>
      <c r="AH23" s="6"/>
      <c r="AI23" s="8">
        <v>0</v>
      </c>
      <c r="AJ23" s="74">
        <v>216</v>
      </c>
      <c r="AK23" s="7"/>
      <c r="AL23" s="6"/>
      <c r="AM23" s="8">
        <v>0</v>
      </c>
      <c r="AN23" s="74">
        <v>655.35</v>
      </c>
      <c r="AO23" s="7"/>
      <c r="AP23" s="6"/>
      <c r="AQ23" s="8">
        <v>0</v>
      </c>
      <c r="AR23" s="74">
        <v>328</v>
      </c>
      <c r="AS23" s="84">
        <v>17</v>
      </c>
      <c r="AT23" s="14">
        <v>21</v>
      </c>
      <c r="AU23" s="7"/>
      <c r="AV23" s="77">
        <v>60.546999999999997</v>
      </c>
      <c r="AW23" s="86">
        <v>0</v>
      </c>
      <c r="AY23" s="85">
        <v>19</v>
      </c>
      <c r="AZ23" s="15">
        <v>11329.031578947521</v>
      </c>
      <c r="BA23" s="15">
        <v>79.975105263159094</v>
      </c>
      <c r="BB23" s="15">
        <v>5762.7368421052633</v>
      </c>
      <c r="BC23" s="15">
        <v>354.05263157894734</v>
      </c>
      <c r="BD23" s="16">
        <v>0</v>
      </c>
      <c r="BE23" s="15">
        <v>378167.69473684212</v>
      </c>
      <c r="BF23" s="16">
        <v>43609.037894736837</v>
      </c>
      <c r="BG23" s="16">
        <v>6970.105263157895</v>
      </c>
      <c r="BH23" s="16">
        <v>20303.140000000003</v>
      </c>
      <c r="BI23" s="16">
        <v>9293.4736842105267</v>
      </c>
    </row>
    <row r="24" spans="1:61" x14ac:dyDescent="0.2">
      <c r="A24" s="80">
        <v>20</v>
      </c>
      <c r="B24" s="60" t="s">
        <v>74</v>
      </c>
      <c r="C24" s="10"/>
      <c r="D24" s="6">
        <v>3065071.6</v>
      </c>
      <c r="E24" s="8">
        <v>411.5</v>
      </c>
      <c r="F24" s="6">
        <v>6258.1949999999997</v>
      </c>
      <c r="G24" s="8">
        <v>1.2509999999992942</v>
      </c>
      <c r="H24" s="6">
        <v>508200</v>
      </c>
      <c r="I24" s="8">
        <v>201</v>
      </c>
      <c r="J24" s="81">
        <v>479273</v>
      </c>
      <c r="K24" s="8">
        <v>191</v>
      </c>
      <c r="L24" s="7"/>
      <c r="M24" s="11" t="e">
        <v>#DIV/0!</v>
      </c>
      <c r="N24" s="82">
        <v>86974</v>
      </c>
      <c r="O24" s="8">
        <v>13</v>
      </c>
      <c r="P24" s="12">
        <v>78987</v>
      </c>
      <c r="Q24" s="8">
        <v>4</v>
      </c>
      <c r="R24" s="12">
        <v>13912</v>
      </c>
      <c r="S24" s="8">
        <v>3</v>
      </c>
      <c r="T24" s="12">
        <v>165610</v>
      </c>
      <c r="U24" s="8">
        <v>32</v>
      </c>
      <c r="V24" s="13">
        <v>467.10599999999999</v>
      </c>
      <c r="W24" s="8">
        <v>1027633.2</v>
      </c>
      <c r="X24" s="74">
        <v>11701.2</v>
      </c>
      <c r="Y24" s="83">
        <v>80.843000000000004</v>
      </c>
      <c r="Z24" s="8">
        <v>177854.6</v>
      </c>
      <c r="AA24" s="74">
        <v>1879.4</v>
      </c>
      <c r="AB24" s="6">
        <v>1531014.3</v>
      </c>
      <c r="AC24" s="9">
        <v>2430.3800000001211</v>
      </c>
      <c r="AD24" s="74">
        <v>248.2</v>
      </c>
      <c r="AE24" s="6">
        <v>4404823</v>
      </c>
      <c r="AF24" s="9"/>
      <c r="AG24" s="74">
        <v>1297.3</v>
      </c>
      <c r="AH24" s="6">
        <v>32082.400000000001</v>
      </c>
      <c r="AI24" s="8">
        <v>2566592</v>
      </c>
      <c r="AJ24" s="74">
        <v>280</v>
      </c>
      <c r="AK24" s="7"/>
      <c r="AL24" s="6">
        <v>1949715.2</v>
      </c>
      <c r="AM24" s="8">
        <v>1949715.2</v>
      </c>
      <c r="AN24" s="74">
        <v>655.23</v>
      </c>
      <c r="AO24" s="7"/>
      <c r="AP24" s="6">
        <v>44709.8</v>
      </c>
      <c r="AQ24" s="8">
        <v>3576784</v>
      </c>
      <c r="AR24" s="74">
        <v>336</v>
      </c>
      <c r="AS24" s="84">
        <v>13</v>
      </c>
      <c r="AT24" s="14">
        <v>20</v>
      </c>
      <c r="AU24" s="7"/>
      <c r="AV24" s="77">
        <v>60.546999999999997</v>
      </c>
      <c r="AW24" s="86">
        <v>0</v>
      </c>
      <c r="AY24" s="85">
        <v>20</v>
      </c>
      <c r="AZ24" s="15">
        <v>11400.405000000144</v>
      </c>
      <c r="BA24" s="15">
        <v>77.915400000000048</v>
      </c>
      <c r="BB24" s="15">
        <v>5786.1500000000005</v>
      </c>
      <c r="BC24" s="15">
        <v>356.5</v>
      </c>
      <c r="BD24" s="16">
        <v>408473.66999999993</v>
      </c>
      <c r="BE24" s="15">
        <v>377396.17000000004</v>
      </c>
      <c r="BF24" s="16">
        <v>43824.11099999999</v>
      </c>
      <c r="BG24" s="16">
        <v>7055.5999999999995</v>
      </c>
      <c r="BH24" s="16">
        <v>20303.589500000002</v>
      </c>
      <c r="BI24" s="16">
        <v>9349.6</v>
      </c>
    </row>
    <row r="25" spans="1:61" x14ac:dyDescent="0.2">
      <c r="A25" s="80">
        <v>21</v>
      </c>
      <c r="B25" s="60" t="s">
        <v>74</v>
      </c>
      <c r="C25" s="10"/>
      <c r="D25" s="6">
        <v>3065439.6</v>
      </c>
      <c r="E25" s="8">
        <v>368</v>
      </c>
      <c r="F25" s="6">
        <v>6258.59</v>
      </c>
      <c r="G25" s="8">
        <v>0.39500000000043656</v>
      </c>
      <c r="H25" s="6">
        <v>508367</v>
      </c>
      <c r="I25" s="8">
        <v>167</v>
      </c>
      <c r="J25" s="81">
        <v>479431</v>
      </c>
      <c r="K25" s="8">
        <v>158</v>
      </c>
      <c r="L25" s="7"/>
      <c r="M25" s="11" t="e">
        <v>#DIV/0!</v>
      </c>
      <c r="N25" s="82">
        <v>86988</v>
      </c>
      <c r="O25" s="8">
        <v>14</v>
      </c>
      <c r="P25" s="12">
        <v>78990</v>
      </c>
      <c r="Q25" s="8">
        <v>3</v>
      </c>
      <c r="R25" s="12">
        <v>13914</v>
      </c>
      <c r="S25" s="8">
        <v>2</v>
      </c>
      <c r="T25" s="12">
        <v>165638</v>
      </c>
      <c r="U25" s="8">
        <v>28</v>
      </c>
      <c r="V25" s="13"/>
      <c r="W25" s="8">
        <v>0</v>
      </c>
      <c r="X25" s="74">
        <v>11278</v>
      </c>
      <c r="Y25" s="83"/>
      <c r="Z25" s="8">
        <v>0</v>
      </c>
      <c r="AA25" s="74">
        <v>2228</v>
      </c>
      <c r="AB25" s="6"/>
      <c r="AC25" s="9">
        <v>0</v>
      </c>
      <c r="AD25" s="74">
        <v>245</v>
      </c>
      <c r="AE25" s="6"/>
      <c r="AF25" s="9"/>
      <c r="AG25" s="74">
        <v>1067</v>
      </c>
      <c r="AH25" s="6"/>
      <c r="AI25" s="8">
        <v>0</v>
      </c>
      <c r="AJ25" s="74">
        <v>192</v>
      </c>
      <c r="AK25" s="7"/>
      <c r="AL25" s="6"/>
      <c r="AM25" s="8">
        <v>0</v>
      </c>
      <c r="AN25" s="74">
        <v>655</v>
      </c>
      <c r="AO25" s="7"/>
      <c r="AP25" s="6"/>
      <c r="AQ25" s="8">
        <v>0</v>
      </c>
      <c r="AR25" s="74">
        <v>320</v>
      </c>
      <c r="AS25" s="84">
        <v>15</v>
      </c>
      <c r="AT25" s="14">
        <v>18</v>
      </c>
      <c r="AU25" s="7"/>
      <c r="AV25" s="77">
        <v>60.546999999999997</v>
      </c>
      <c r="AW25" s="86">
        <v>0</v>
      </c>
      <c r="AY25" s="85">
        <v>21</v>
      </c>
      <c r="AZ25" s="15">
        <v>11400.766666666803</v>
      </c>
      <c r="BA25" s="15">
        <v>74.788238095238782</v>
      </c>
      <c r="BB25" s="15">
        <v>5757.1428571428578</v>
      </c>
      <c r="BC25" s="15">
        <v>360.1904761904762</v>
      </c>
      <c r="BD25" s="16">
        <v>0</v>
      </c>
      <c r="BE25" s="15">
        <v>376073.4</v>
      </c>
      <c r="BF25" s="16">
        <v>43674.010476190466</v>
      </c>
      <c r="BG25" s="16">
        <v>7003.0476190476193</v>
      </c>
      <c r="BH25" s="16">
        <v>20303.656666666669</v>
      </c>
      <c r="BI25" s="16">
        <v>9376.7619047619046</v>
      </c>
    </row>
    <row r="26" spans="1:61" x14ac:dyDescent="0.2">
      <c r="A26" s="80">
        <v>22</v>
      </c>
      <c r="B26" s="60" t="s">
        <v>74</v>
      </c>
      <c r="C26" s="10"/>
      <c r="D26" s="6">
        <v>3065795.8</v>
      </c>
      <c r="E26" s="8">
        <v>356.1999999997206</v>
      </c>
      <c r="F26" s="6">
        <v>6258.6</v>
      </c>
      <c r="G26" s="8">
        <v>1.0000000000218279E-2</v>
      </c>
      <c r="H26" s="6">
        <v>508557</v>
      </c>
      <c r="I26" s="8">
        <v>190</v>
      </c>
      <c r="J26" s="81">
        <v>479611</v>
      </c>
      <c r="K26" s="8">
        <v>180</v>
      </c>
      <c r="L26" s="7"/>
      <c r="M26" s="11" t="e">
        <v>#DIV/0!</v>
      </c>
      <c r="N26" s="82">
        <v>87002</v>
      </c>
      <c r="O26" s="8">
        <v>14</v>
      </c>
      <c r="P26" s="12">
        <v>78993</v>
      </c>
      <c r="Q26" s="8">
        <v>3</v>
      </c>
      <c r="R26" s="12">
        <v>13916</v>
      </c>
      <c r="S26" s="8">
        <v>2</v>
      </c>
      <c r="T26" s="12">
        <v>165669</v>
      </c>
      <c r="U26" s="8">
        <v>31</v>
      </c>
      <c r="V26" s="13"/>
      <c r="W26" s="8">
        <v>0</v>
      </c>
      <c r="X26" s="74">
        <v>11863</v>
      </c>
      <c r="Y26" s="83"/>
      <c r="Z26" s="8">
        <v>0</v>
      </c>
      <c r="AA26" s="74">
        <v>2190</v>
      </c>
      <c r="AB26" s="6"/>
      <c r="AC26" s="9">
        <v>0</v>
      </c>
      <c r="AD26" s="74">
        <v>247</v>
      </c>
      <c r="AE26" s="6"/>
      <c r="AF26" s="9"/>
      <c r="AG26" s="74">
        <v>1122</v>
      </c>
      <c r="AH26" s="6"/>
      <c r="AI26" s="8">
        <v>0</v>
      </c>
      <c r="AJ26" s="74">
        <v>264</v>
      </c>
      <c r="AK26" s="7"/>
      <c r="AL26" s="6"/>
      <c r="AM26" s="8">
        <v>0</v>
      </c>
      <c r="AN26" s="74">
        <v>655</v>
      </c>
      <c r="AO26" s="7"/>
      <c r="AP26" s="6"/>
      <c r="AQ26" s="8">
        <v>0</v>
      </c>
      <c r="AR26" s="74">
        <v>304</v>
      </c>
      <c r="AS26" s="84">
        <v>16</v>
      </c>
      <c r="AT26" s="14">
        <v>22</v>
      </c>
      <c r="AU26" s="7"/>
      <c r="AV26" s="77">
        <v>60.548000000000002</v>
      </c>
      <c r="AW26" s="86">
        <v>1.0000000000047748E-3</v>
      </c>
      <c r="AY26" s="85">
        <v>22</v>
      </c>
      <c r="AZ26" s="15">
        <v>11384.46818181792</v>
      </c>
      <c r="BA26" s="15">
        <v>71.4028636363646</v>
      </c>
      <c r="BB26" s="15">
        <v>5763.181818181818</v>
      </c>
      <c r="BC26" s="15">
        <v>363.5454545454545</v>
      </c>
      <c r="BD26" s="16">
        <v>0</v>
      </c>
      <c r="BE26" s="15">
        <v>375695.2</v>
      </c>
      <c r="BF26" s="16">
        <v>43617.873636363627</v>
      </c>
      <c r="BG26" s="16">
        <v>7056.7272727272721</v>
      </c>
      <c r="BH26" s="16">
        <v>20303.717727272728</v>
      </c>
      <c r="BI26" s="16">
        <v>9378.9090909090919</v>
      </c>
    </row>
    <row r="27" spans="1:61" x14ac:dyDescent="0.2">
      <c r="A27" s="80">
        <v>23</v>
      </c>
      <c r="B27" s="60" t="s">
        <v>74</v>
      </c>
      <c r="C27" s="10"/>
      <c r="D27" s="6">
        <v>3066134.7</v>
      </c>
      <c r="E27" s="8">
        <v>338.90000000037253</v>
      </c>
      <c r="F27" s="6">
        <v>6259.66</v>
      </c>
      <c r="G27" s="8">
        <v>1.0599999999994907</v>
      </c>
      <c r="H27" s="88">
        <v>508756</v>
      </c>
      <c r="I27" s="8">
        <v>199</v>
      </c>
      <c r="J27" s="81">
        <v>479800</v>
      </c>
      <c r="K27" s="8">
        <v>189</v>
      </c>
      <c r="L27" s="7"/>
      <c r="M27" s="11" t="e">
        <v>#DIV/0!</v>
      </c>
      <c r="N27" s="82">
        <v>87016</v>
      </c>
      <c r="O27" s="8">
        <v>14</v>
      </c>
      <c r="P27" s="12">
        <v>78997</v>
      </c>
      <c r="Q27" s="8">
        <v>4</v>
      </c>
      <c r="R27" s="12">
        <v>13922</v>
      </c>
      <c r="S27" s="8">
        <v>6</v>
      </c>
      <c r="T27" s="12">
        <v>165699</v>
      </c>
      <c r="U27" s="8">
        <v>30</v>
      </c>
      <c r="V27" s="13"/>
      <c r="W27" s="8">
        <v>0</v>
      </c>
      <c r="X27" s="74">
        <v>11970</v>
      </c>
      <c r="Y27" s="83"/>
      <c r="Z27" s="8">
        <v>0</v>
      </c>
      <c r="AA27" s="74">
        <v>2120</v>
      </c>
      <c r="AB27" s="6"/>
      <c r="AC27" s="9">
        <v>0</v>
      </c>
      <c r="AD27" s="74">
        <v>250</v>
      </c>
      <c r="AE27" s="6"/>
      <c r="AF27" s="9"/>
      <c r="AG27" s="74">
        <v>1153</v>
      </c>
      <c r="AH27" s="6"/>
      <c r="AI27" s="8">
        <v>0</v>
      </c>
      <c r="AJ27" s="74">
        <v>264</v>
      </c>
      <c r="AK27" s="7"/>
      <c r="AL27" s="6"/>
      <c r="AM27" s="8">
        <v>0</v>
      </c>
      <c r="AN27" s="74">
        <v>655</v>
      </c>
      <c r="AO27" s="7"/>
      <c r="AP27" s="6"/>
      <c r="AQ27" s="8">
        <v>0</v>
      </c>
      <c r="AR27" s="74">
        <v>312</v>
      </c>
      <c r="AS27" s="84">
        <v>17</v>
      </c>
      <c r="AT27" s="14">
        <v>21</v>
      </c>
      <c r="AU27" s="7"/>
      <c r="AV27" s="77">
        <v>60.548000000000002</v>
      </c>
      <c r="AW27" s="86">
        <v>0</v>
      </c>
      <c r="AY27" s="85">
        <v>23</v>
      </c>
      <c r="AZ27" s="15">
        <v>11346.269565217641</v>
      </c>
      <c r="BA27" s="15">
        <v>69.727086956521987</v>
      </c>
      <c r="BB27" s="15">
        <v>5780.826086956522</v>
      </c>
      <c r="BC27" s="15">
        <v>366.60869565217388</v>
      </c>
      <c r="BD27" s="16">
        <v>0</v>
      </c>
      <c r="BE27" s="15">
        <v>375494.1043478261</v>
      </c>
      <c r="BF27" s="16">
        <v>43612.44434782608</v>
      </c>
      <c r="BG27" s="16">
        <v>7105.7391304347821</v>
      </c>
      <c r="BH27" s="16">
        <v>20303.773478260868</v>
      </c>
      <c r="BI27" s="16">
        <v>9391.652173913044</v>
      </c>
    </row>
    <row r="28" spans="1:61" x14ac:dyDescent="0.2">
      <c r="A28" s="80">
        <v>24</v>
      </c>
      <c r="B28" s="60" t="s">
        <v>74</v>
      </c>
      <c r="C28" s="10"/>
      <c r="D28" s="6">
        <v>3066514.1</v>
      </c>
      <c r="E28" s="8">
        <v>379.39999999990687</v>
      </c>
      <c r="F28" s="6">
        <v>6267.36</v>
      </c>
      <c r="G28" s="8">
        <v>7.6999999999998181</v>
      </c>
      <c r="H28" s="6">
        <v>508953</v>
      </c>
      <c r="I28" s="8">
        <v>197</v>
      </c>
      <c r="J28" s="81">
        <v>479988</v>
      </c>
      <c r="K28" s="8">
        <v>188</v>
      </c>
      <c r="L28" s="7"/>
      <c r="M28" s="11" t="e">
        <v>#DIV/0!</v>
      </c>
      <c r="N28" s="82">
        <v>87029</v>
      </c>
      <c r="O28" s="8">
        <v>13</v>
      </c>
      <c r="P28" s="12">
        <v>79000</v>
      </c>
      <c r="Q28" s="8">
        <v>3</v>
      </c>
      <c r="R28" s="12">
        <v>13924</v>
      </c>
      <c r="S28" s="8">
        <v>2</v>
      </c>
      <c r="T28" s="12">
        <v>165730</v>
      </c>
      <c r="U28" s="8">
        <v>31</v>
      </c>
      <c r="V28" s="13"/>
      <c r="W28" s="8">
        <v>0</v>
      </c>
      <c r="X28" s="74">
        <v>11659</v>
      </c>
      <c r="Y28" s="83"/>
      <c r="Z28" s="8">
        <v>0</v>
      </c>
      <c r="AA28" s="74">
        <v>2106</v>
      </c>
      <c r="AB28" s="6"/>
      <c r="AC28" s="9">
        <v>0</v>
      </c>
      <c r="AD28" s="74">
        <v>266</v>
      </c>
      <c r="AE28" s="6"/>
      <c r="AF28" s="9"/>
      <c r="AG28" s="74">
        <v>1130</v>
      </c>
      <c r="AH28" s="6"/>
      <c r="AI28" s="8">
        <v>0</v>
      </c>
      <c r="AJ28" s="74">
        <v>368</v>
      </c>
      <c r="AK28" s="7"/>
      <c r="AL28" s="6"/>
      <c r="AM28" s="8">
        <v>0</v>
      </c>
      <c r="AN28" s="74">
        <v>655</v>
      </c>
      <c r="AO28" s="7"/>
      <c r="AP28" s="6"/>
      <c r="AQ28" s="8">
        <v>0</v>
      </c>
      <c r="AR28" s="74">
        <v>280</v>
      </c>
      <c r="AS28" s="84"/>
      <c r="AT28" s="14"/>
      <c r="AU28" s="7"/>
      <c r="AV28" s="77">
        <v>60.548000000000002</v>
      </c>
      <c r="AW28" s="86">
        <v>0</v>
      </c>
      <c r="AY28" s="85">
        <v>24</v>
      </c>
      <c r="AZ28" s="15">
        <v>11363.566666666786</v>
      </c>
      <c r="BA28" s="15">
        <v>76.767624999999981</v>
      </c>
      <c r="BB28" s="15">
        <v>5794.4166666666661</v>
      </c>
      <c r="BC28" s="15">
        <v>368.125</v>
      </c>
      <c r="BD28" s="16">
        <v>0</v>
      </c>
      <c r="BE28" s="15">
        <v>374908.05833333335</v>
      </c>
      <c r="BF28" s="16">
        <v>43598.42583333332</v>
      </c>
      <c r="BG28" s="16">
        <v>7285</v>
      </c>
      <c r="BH28" s="16">
        <v>20303.824583333335</v>
      </c>
      <c r="BI28" s="16">
        <v>9362</v>
      </c>
    </row>
    <row r="29" spans="1:61" x14ac:dyDescent="0.2">
      <c r="A29" s="80">
        <v>25</v>
      </c>
      <c r="B29" s="60" t="s">
        <v>74</v>
      </c>
      <c r="C29" s="10"/>
      <c r="D29" s="6">
        <v>3066912.7</v>
      </c>
      <c r="E29" s="8">
        <v>398.60000000009313</v>
      </c>
      <c r="F29" s="6">
        <v>6272.9</v>
      </c>
      <c r="G29" s="8">
        <v>5.5399999999999636</v>
      </c>
      <c r="H29" s="6">
        <v>509142</v>
      </c>
      <c r="I29" s="8">
        <v>189</v>
      </c>
      <c r="J29" s="89">
        <v>480167</v>
      </c>
      <c r="K29" s="8">
        <v>179</v>
      </c>
      <c r="L29" s="7"/>
      <c r="M29" s="11" t="e">
        <v>#DIV/0!</v>
      </c>
      <c r="N29" s="82">
        <v>87043</v>
      </c>
      <c r="O29" s="8">
        <v>14</v>
      </c>
      <c r="P29" s="12">
        <v>79004</v>
      </c>
      <c r="Q29" s="8">
        <v>4</v>
      </c>
      <c r="R29" s="12">
        <v>13926</v>
      </c>
      <c r="S29" s="8">
        <v>2</v>
      </c>
      <c r="T29" s="12">
        <v>165763</v>
      </c>
      <c r="U29" s="8">
        <v>33</v>
      </c>
      <c r="V29" s="13"/>
      <c r="W29" s="8">
        <v>0</v>
      </c>
      <c r="X29" s="74">
        <v>11367.2</v>
      </c>
      <c r="Y29" s="83"/>
      <c r="Z29" s="8">
        <v>0</v>
      </c>
      <c r="AA29" s="74">
        <v>1914.4</v>
      </c>
      <c r="AB29" s="6"/>
      <c r="AC29" s="9">
        <v>0</v>
      </c>
      <c r="AD29" s="74">
        <v>242.81</v>
      </c>
      <c r="AE29" s="6"/>
      <c r="AF29" s="9"/>
      <c r="AG29" s="74">
        <v>1164.2</v>
      </c>
      <c r="AH29" s="6"/>
      <c r="AI29" s="8">
        <v>0</v>
      </c>
      <c r="AJ29" s="74">
        <v>208</v>
      </c>
      <c r="AK29" s="7"/>
      <c r="AL29" s="6"/>
      <c r="AM29" s="8">
        <v>0</v>
      </c>
      <c r="AN29" s="74">
        <v>654.91</v>
      </c>
      <c r="AO29" s="7"/>
      <c r="AP29" s="6"/>
      <c r="AQ29" s="8">
        <v>0</v>
      </c>
      <c r="AR29" s="74">
        <v>288</v>
      </c>
      <c r="AS29" s="84">
        <v>13</v>
      </c>
      <c r="AT29" s="14">
        <v>21</v>
      </c>
      <c r="AU29" s="7"/>
      <c r="AV29" s="77">
        <v>60.548000000000002</v>
      </c>
      <c r="AW29" s="86">
        <v>0</v>
      </c>
      <c r="AY29" s="85">
        <v>25</v>
      </c>
      <c r="AZ29" s="15">
        <v>11403.288000000231</v>
      </c>
      <c r="BA29" s="15">
        <v>80.566519999999954</v>
      </c>
      <c r="BB29" s="15">
        <v>5797</v>
      </c>
      <c r="BC29" s="15">
        <v>370.76000000000005</v>
      </c>
      <c r="BD29" s="16">
        <v>0</v>
      </c>
      <c r="BE29" s="15">
        <v>374007.06400000001</v>
      </c>
      <c r="BF29" s="16">
        <v>43599.181199999992</v>
      </c>
      <c r="BG29" s="16">
        <v>7251.5199999999995</v>
      </c>
      <c r="BH29" s="16">
        <v>20303.760000000002</v>
      </c>
      <c r="BI29" s="16">
        <v>9344.64</v>
      </c>
    </row>
    <row r="30" spans="1:61" x14ac:dyDescent="0.2">
      <c r="A30" s="80">
        <v>26</v>
      </c>
      <c r="B30" s="60" t="s">
        <v>74</v>
      </c>
      <c r="C30" s="10"/>
      <c r="D30" s="6">
        <v>3067335.6</v>
      </c>
      <c r="E30" s="8">
        <v>422.89999999990687</v>
      </c>
      <c r="F30" s="6">
        <v>6278.34</v>
      </c>
      <c r="G30" s="8">
        <v>5.4400000000005093</v>
      </c>
      <c r="H30" s="6">
        <v>509319</v>
      </c>
      <c r="I30" s="8">
        <v>177</v>
      </c>
      <c r="J30" s="81">
        <v>480335</v>
      </c>
      <c r="K30" s="8">
        <v>168</v>
      </c>
      <c r="L30" s="7"/>
      <c r="M30" s="11" t="e">
        <v>#DIV/0!</v>
      </c>
      <c r="N30" s="82">
        <v>87055</v>
      </c>
      <c r="O30" s="8">
        <v>12</v>
      </c>
      <c r="P30" s="12">
        <v>79007</v>
      </c>
      <c r="Q30" s="8">
        <v>3</v>
      </c>
      <c r="R30" s="12">
        <v>13929</v>
      </c>
      <c r="S30" s="8">
        <v>3</v>
      </c>
      <c r="T30" s="12">
        <v>165793</v>
      </c>
      <c r="U30" s="8">
        <v>30</v>
      </c>
      <c r="V30" s="13"/>
      <c r="W30" s="8">
        <v>0</v>
      </c>
      <c r="X30" s="74">
        <v>10831.4</v>
      </c>
      <c r="Y30" s="83"/>
      <c r="Z30" s="8">
        <v>0</v>
      </c>
      <c r="AA30" s="74">
        <v>1958.2</v>
      </c>
      <c r="AB30" s="6"/>
      <c r="AC30" s="9">
        <v>0</v>
      </c>
      <c r="AD30" s="74">
        <v>241.15</v>
      </c>
      <c r="AE30" s="6"/>
      <c r="AF30" s="9"/>
      <c r="AG30" s="74">
        <v>1141.8</v>
      </c>
      <c r="AH30" s="6"/>
      <c r="AI30" s="8">
        <v>0</v>
      </c>
      <c r="AJ30" s="74">
        <v>216</v>
      </c>
      <c r="AK30" s="7"/>
      <c r="AL30" s="6"/>
      <c r="AM30" s="8">
        <v>0</v>
      </c>
      <c r="AN30" s="74">
        <v>654.91999999999996</v>
      </c>
      <c r="AO30" s="7"/>
      <c r="AP30" s="6"/>
      <c r="AQ30" s="8">
        <v>0</v>
      </c>
      <c r="AR30" s="74">
        <v>280</v>
      </c>
      <c r="AS30" s="84">
        <v>10</v>
      </c>
      <c r="AT30" s="14">
        <v>23</v>
      </c>
      <c r="AU30" s="7"/>
      <c r="AV30" s="77">
        <v>60.548000000000002</v>
      </c>
      <c r="AW30" s="86">
        <v>0</v>
      </c>
      <c r="AY30" s="85">
        <v>26</v>
      </c>
      <c r="AZ30" s="15">
        <v>11468.926923077033</v>
      </c>
      <c r="BA30" s="15">
        <v>83.953961538462096</v>
      </c>
      <c r="BB30" s="15">
        <v>5785.0769230769229</v>
      </c>
      <c r="BC30" s="15">
        <v>370.80769230769232</v>
      </c>
      <c r="BD30" s="16">
        <v>0</v>
      </c>
      <c r="BE30" s="15">
        <v>372536.53846153856</v>
      </c>
      <c r="BF30" s="16">
        <v>43571.191538461528</v>
      </c>
      <c r="BG30" s="16">
        <v>7230.1538461538457</v>
      </c>
      <c r="BH30" s="16">
        <v>20303.712307692305</v>
      </c>
      <c r="BI30" s="16">
        <v>9319.0769230769238</v>
      </c>
    </row>
    <row r="31" spans="1:61" x14ac:dyDescent="0.2">
      <c r="A31" s="80">
        <v>27</v>
      </c>
      <c r="B31" s="60" t="s">
        <v>74</v>
      </c>
      <c r="C31" s="10"/>
      <c r="D31" s="6">
        <v>3067722.3</v>
      </c>
      <c r="E31" s="8">
        <v>386.6999999997206</v>
      </c>
      <c r="F31" s="6">
        <v>6279.8230000000003</v>
      </c>
      <c r="G31" s="8">
        <v>1.4830000000001746</v>
      </c>
      <c r="H31" s="6">
        <v>509497</v>
      </c>
      <c r="I31" s="8">
        <v>178</v>
      </c>
      <c r="J31" s="81">
        <v>480504</v>
      </c>
      <c r="K31" s="8">
        <v>169</v>
      </c>
      <c r="L31" s="7"/>
      <c r="M31" s="11" t="e">
        <v>#DIV/0!</v>
      </c>
      <c r="N31" s="82">
        <v>87068</v>
      </c>
      <c r="O31" s="8">
        <v>13</v>
      </c>
      <c r="P31" s="12">
        <v>79011</v>
      </c>
      <c r="Q31" s="8">
        <v>4</v>
      </c>
      <c r="R31" s="12">
        <v>13931</v>
      </c>
      <c r="S31" s="8">
        <v>2</v>
      </c>
      <c r="T31" s="12">
        <v>165823</v>
      </c>
      <c r="U31" s="8">
        <v>30</v>
      </c>
      <c r="V31" s="13"/>
      <c r="W31" s="8">
        <v>0</v>
      </c>
      <c r="X31" s="74">
        <v>10906.4</v>
      </c>
      <c r="Y31" s="83"/>
      <c r="Z31" s="8">
        <v>0</v>
      </c>
      <c r="AA31" s="74">
        <v>1733.4</v>
      </c>
      <c r="AB31" s="6"/>
      <c r="AC31" s="9">
        <v>0</v>
      </c>
      <c r="AD31" s="74">
        <v>230.54</v>
      </c>
      <c r="AE31" s="6"/>
      <c r="AF31" s="9"/>
      <c r="AG31" s="74">
        <v>1132</v>
      </c>
      <c r="AH31" s="6"/>
      <c r="AI31" s="8">
        <v>0</v>
      </c>
      <c r="AJ31" s="74">
        <v>288</v>
      </c>
      <c r="AK31" s="7"/>
      <c r="AL31" s="6"/>
      <c r="AM31" s="8">
        <v>0</v>
      </c>
      <c r="AN31" s="74">
        <v>654.94000000000005</v>
      </c>
      <c r="AO31" s="7"/>
      <c r="AP31" s="6"/>
      <c r="AQ31" s="8">
        <v>0</v>
      </c>
      <c r="AR31" s="74">
        <v>304</v>
      </c>
      <c r="AS31" s="90">
        <v>12</v>
      </c>
      <c r="AT31" s="91">
        <v>25</v>
      </c>
      <c r="AU31" s="7"/>
      <c r="AV31" s="77">
        <v>60.548000000000002</v>
      </c>
      <c r="AW31" s="86">
        <v>0</v>
      </c>
      <c r="AY31" s="85">
        <v>27</v>
      </c>
      <c r="AZ31" s="15">
        <v>11488.140740740526</v>
      </c>
      <c r="BA31" s="15">
        <v>82.547259259260002</v>
      </c>
      <c r="BB31" s="15">
        <v>5775.1851851851852</v>
      </c>
      <c r="BC31" s="15">
        <v>372</v>
      </c>
      <c r="BD31" s="16">
        <v>0</v>
      </c>
      <c r="BE31" s="15">
        <v>371261.05185185192</v>
      </c>
      <c r="BF31" s="16">
        <v>43521.841481481468</v>
      </c>
      <c r="BG31" s="16">
        <v>7293.0370370370374</v>
      </c>
      <c r="BH31" s="16">
        <v>20303.691111111108</v>
      </c>
      <c r="BI31" s="16">
        <v>9322.9629629629635</v>
      </c>
    </row>
    <row r="32" spans="1:61" x14ac:dyDescent="0.2">
      <c r="A32" s="80">
        <v>28</v>
      </c>
      <c r="B32" s="60" t="s">
        <v>74</v>
      </c>
      <c r="C32" s="10"/>
      <c r="D32" s="6">
        <v>3068116.2</v>
      </c>
      <c r="E32" s="8">
        <v>393.90000000037253</v>
      </c>
      <c r="F32" s="6">
        <v>6287.741</v>
      </c>
      <c r="G32" s="8">
        <v>7.9179999999996653</v>
      </c>
      <c r="H32" s="6">
        <v>506970</v>
      </c>
      <c r="I32" s="8">
        <v>-2527</v>
      </c>
      <c r="J32" s="81">
        <v>480666</v>
      </c>
      <c r="K32" s="8">
        <v>162</v>
      </c>
      <c r="L32" s="7"/>
      <c r="M32" s="11" t="e">
        <v>#DIV/0!</v>
      </c>
      <c r="N32" s="82">
        <v>87081</v>
      </c>
      <c r="O32" s="8">
        <v>13</v>
      </c>
      <c r="P32" s="12">
        <v>79015</v>
      </c>
      <c r="Q32" s="8">
        <v>4</v>
      </c>
      <c r="R32" s="12">
        <v>13934</v>
      </c>
      <c r="S32" s="8">
        <v>3</v>
      </c>
      <c r="T32" s="12">
        <v>165853</v>
      </c>
      <c r="U32" s="8">
        <v>30</v>
      </c>
      <c r="V32" s="13"/>
      <c r="W32" s="8">
        <v>0</v>
      </c>
      <c r="X32" s="74">
        <v>11312</v>
      </c>
      <c r="Y32" s="83"/>
      <c r="Z32" s="8">
        <v>0</v>
      </c>
      <c r="AA32" s="74">
        <v>2119</v>
      </c>
      <c r="AB32" s="6"/>
      <c r="AC32" s="9">
        <v>0</v>
      </c>
      <c r="AD32" s="74">
        <v>261</v>
      </c>
      <c r="AE32" s="6"/>
      <c r="AF32" s="9"/>
      <c r="AG32" s="74">
        <v>1284</v>
      </c>
      <c r="AH32" s="6"/>
      <c r="AI32" s="8">
        <v>0</v>
      </c>
      <c r="AJ32" s="74">
        <v>192</v>
      </c>
      <c r="AK32" s="7"/>
      <c r="AL32" s="6"/>
      <c r="AM32" s="8">
        <v>0</v>
      </c>
      <c r="AN32" s="74">
        <v>655</v>
      </c>
      <c r="AO32" s="7"/>
      <c r="AP32" s="6"/>
      <c r="AQ32" s="8">
        <v>0</v>
      </c>
      <c r="AR32" s="74">
        <v>240</v>
      </c>
      <c r="AS32" s="84">
        <v>13</v>
      </c>
      <c r="AT32" s="14">
        <v>19</v>
      </c>
      <c r="AU32" s="7"/>
      <c r="AV32" s="77">
        <v>60.548000000000002</v>
      </c>
      <c r="AW32" s="86">
        <v>0</v>
      </c>
      <c r="AY32" s="85">
        <v>28</v>
      </c>
      <c r="AZ32" s="15">
        <v>11513.953571428778</v>
      </c>
      <c r="BA32" s="15">
        <v>88.365500000000338</v>
      </c>
      <c r="BB32" s="15">
        <v>2771.1785714285711</v>
      </c>
      <c r="BC32" s="15">
        <v>373.10714285714289</v>
      </c>
      <c r="BD32" s="16">
        <v>0</v>
      </c>
      <c r="BE32" s="15">
        <v>370525.72857142863</v>
      </c>
      <c r="BF32" s="16">
        <v>43678.025714285701</v>
      </c>
      <c r="BG32" s="16">
        <v>7245.1428571428578</v>
      </c>
      <c r="BH32" s="16">
        <v>20303.737857142853</v>
      </c>
      <c r="BI32" s="16">
        <v>9255.7142857142844</v>
      </c>
    </row>
    <row r="33" spans="1:61" x14ac:dyDescent="0.2">
      <c r="A33" s="80">
        <v>29</v>
      </c>
      <c r="B33" s="60" t="s">
        <v>74</v>
      </c>
      <c r="C33" s="10" t="s">
        <v>75</v>
      </c>
      <c r="D33" s="6">
        <v>3068791.4</v>
      </c>
      <c r="E33" s="8">
        <v>675.1999999997206</v>
      </c>
      <c r="F33" s="6">
        <v>6294.81</v>
      </c>
      <c r="G33" s="8">
        <v>7.0690000000004147</v>
      </c>
      <c r="H33" s="6">
        <v>509838</v>
      </c>
      <c r="I33" s="8">
        <v>2868</v>
      </c>
      <c r="J33" s="81">
        <v>480827</v>
      </c>
      <c r="K33" s="8">
        <v>161</v>
      </c>
      <c r="L33" s="7"/>
      <c r="M33" s="11" t="e">
        <v>#DIV/0!</v>
      </c>
      <c r="N33" s="82">
        <v>87096</v>
      </c>
      <c r="O33" s="8">
        <v>15</v>
      </c>
      <c r="P33" s="12">
        <v>79018</v>
      </c>
      <c r="Q33" s="8">
        <v>3</v>
      </c>
      <c r="R33" s="12">
        <v>13936</v>
      </c>
      <c r="S33" s="8">
        <v>2</v>
      </c>
      <c r="T33" s="12">
        <v>165882</v>
      </c>
      <c r="U33" s="8">
        <v>29</v>
      </c>
      <c r="V33" s="13"/>
      <c r="W33" s="8">
        <v>0</v>
      </c>
      <c r="X33" s="74">
        <v>11247</v>
      </c>
      <c r="Y33" s="83"/>
      <c r="Z33" s="8">
        <v>0</v>
      </c>
      <c r="AA33" s="74">
        <v>2373</v>
      </c>
      <c r="AB33" s="6"/>
      <c r="AC33" s="9">
        <v>0</v>
      </c>
      <c r="AD33" s="74">
        <v>245</v>
      </c>
      <c r="AE33" s="6"/>
      <c r="AF33" s="9"/>
      <c r="AG33" s="74">
        <v>1330</v>
      </c>
      <c r="AH33" s="6"/>
      <c r="AI33" s="8">
        <v>0</v>
      </c>
      <c r="AJ33" s="74">
        <v>240</v>
      </c>
      <c r="AK33" s="7"/>
      <c r="AL33" s="6"/>
      <c r="AM33" s="8">
        <v>0</v>
      </c>
      <c r="AN33" s="74">
        <v>655</v>
      </c>
      <c r="AO33" s="7"/>
      <c r="AP33" s="6"/>
      <c r="AQ33" s="8">
        <v>0</v>
      </c>
      <c r="AR33" s="74">
        <v>296</v>
      </c>
      <c r="AS33" s="84">
        <v>15</v>
      </c>
      <c r="AT33" s="14">
        <v>19</v>
      </c>
      <c r="AU33" s="7"/>
      <c r="AV33" s="77">
        <v>60.548000000000002</v>
      </c>
      <c r="AW33" s="86">
        <v>0</v>
      </c>
      <c r="AY33" s="85">
        <v>29</v>
      </c>
      <c r="AZ33" s="15">
        <v>11838.686206896453</v>
      </c>
      <c r="BA33" s="15">
        <v>92.874931034483538</v>
      </c>
      <c r="BB33" s="15">
        <v>5741.4137931034484</v>
      </c>
      <c r="BC33" s="15">
        <v>376.27586206896552</v>
      </c>
      <c r="BD33" s="16">
        <v>0</v>
      </c>
      <c r="BE33" s="15">
        <v>369771.6344827587</v>
      </c>
      <c r="BF33" s="16">
        <v>43855.507586206892</v>
      </c>
      <c r="BG33" s="16">
        <v>7251.8620689655172</v>
      </c>
      <c r="BH33" s="16">
        <v>20303.781379310341</v>
      </c>
      <c r="BI33" s="16">
        <v>9252.9655172413786</v>
      </c>
    </row>
    <row r="34" spans="1:61" x14ac:dyDescent="0.2">
      <c r="A34" s="80">
        <v>30</v>
      </c>
      <c r="B34" s="60" t="s">
        <v>74</v>
      </c>
      <c r="C34" s="10" t="s">
        <v>75</v>
      </c>
      <c r="D34" s="6">
        <v>3069550.2</v>
      </c>
      <c r="E34" s="8">
        <v>758.8000000002794</v>
      </c>
      <c r="F34" s="6">
        <v>6298.5190000000002</v>
      </c>
      <c r="G34" s="8">
        <v>3.7089999999998327</v>
      </c>
      <c r="H34" s="6">
        <v>510005</v>
      </c>
      <c r="I34" s="8">
        <v>167</v>
      </c>
      <c r="J34" s="81">
        <v>480985</v>
      </c>
      <c r="K34" s="8">
        <v>158</v>
      </c>
      <c r="L34" s="7"/>
      <c r="M34" s="11" t="e">
        <v>#DIV/0!</v>
      </c>
      <c r="N34" s="82">
        <v>87110</v>
      </c>
      <c r="O34" s="8">
        <v>14</v>
      </c>
      <c r="P34" s="12">
        <v>79021</v>
      </c>
      <c r="Q34" s="8">
        <v>3</v>
      </c>
      <c r="R34" s="12">
        <v>13940</v>
      </c>
      <c r="S34" s="8">
        <v>4</v>
      </c>
      <c r="T34" s="12">
        <v>165910</v>
      </c>
      <c r="U34" s="8">
        <v>28</v>
      </c>
      <c r="V34" s="13"/>
      <c r="W34" s="8">
        <v>0</v>
      </c>
      <c r="X34" s="74">
        <v>11231</v>
      </c>
      <c r="Y34" s="83"/>
      <c r="Z34" s="8">
        <v>0</v>
      </c>
      <c r="AA34" s="74">
        <v>2112</v>
      </c>
      <c r="AB34" s="6"/>
      <c r="AC34" s="9">
        <v>0</v>
      </c>
      <c r="AD34" s="74">
        <v>240</v>
      </c>
      <c r="AE34" s="6"/>
      <c r="AF34" s="9"/>
      <c r="AG34" s="74">
        <v>1184</v>
      </c>
      <c r="AH34" s="6"/>
      <c r="AI34" s="8">
        <v>0</v>
      </c>
      <c r="AJ34" s="74">
        <v>320</v>
      </c>
      <c r="AK34" s="7"/>
      <c r="AL34" s="6"/>
      <c r="AM34" s="8">
        <v>0</v>
      </c>
      <c r="AN34" s="74">
        <v>655</v>
      </c>
      <c r="AO34" s="7"/>
      <c r="AP34" s="6"/>
      <c r="AQ34" s="8">
        <v>0</v>
      </c>
      <c r="AR34" s="74">
        <v>256</v>
      </c>
      <c r="AS34" s="84">
        <v>8</v>
      </c>
      <c r="AT34" s="14">
        <v>14</v>
      </c>
      <c r="AU34" s="7"/>
      <c r="AV34" s="77">
        <v>60.548000000000002</v>
      </c>
      <c r="AW34" s="86">
        <v>0</v>
      </c>
      <c r="AY34" s="85">
        <v>30</v>
      </c>
      <c r="AZ34" s="15">
        <v>12228.15666666686</v>
      </c>
      <c r="BA34" s="15">
        <v>93.611733333333902</v>
      </c>
      <c r="BB34" s="15">
        <v>5722.5999999999995</v>
      </c>
      <c r="BC34" s="15">
        <v>378.2</v>
      </c>
      <c r="BD34" s="16">
        <v>0</v>
      </c>
      <c r="BE34" s="15">
        <v>369051.28000000009</v>
      </c>
      <c r="BF34" s="16">
        <v>43865.123999999989</v>
      </c>
      <c r="BG34" s="16">
        <v>7340.8</v>
      </c>
      <c r="BH34" s="16">
        <v>20303.821999999996</v>
      </c>
      <c r="BI34" s="16">
        <v>9209.0666666666657</v>
      </c>
    </row>
    <row r="35" spans="1:61" ht="16.5" thickBot="1" x14ac:dyDescent="0.3">
      <c r="A35" s="92">
        <f>1+A34</f>
        <v>31</v>
      </c>
      <c r="B35" s="93" t="s">
        <v>74</v>
      </c>
      <c r="C35" s="94"/>
      <c r="D35" s="95">
        <v>3070465.6</v>
      </c>
      <c r="E35" s="96">
        <f>IF(ISBLANK(D35),0,D35-D34)</f>
        <v>915.39999999990687</v>
      </c>
      <c r="F35" s="95">
        <v>6305.8779999999997</v>
      </c>
      <c r="G35" s="96">
        <f>IF(ISBLANK(F35),0,F35-F34)</f>
        <v>7.3589999999994689</v>
      </c>
      <c r="H35" s="95">
        <v>510134</v>
      </c>
      <c r="I35" s="96">
        <f>IF(ISBLANK(H35),0,H35-H34)</f>
        <v>129</v>
      </c>
      <c r="J35" s="97">
        <v>481127</v>
      </c>
      <c r="K35" s="96">
        <f>IF(ISBLANK(J35),0,J35-J34)</f>
        <v>142</v>
      </c>
      <c r="L35" s="98"/>
      <c r="M35" s="99" t="e">
        <f>I35/L35</f>
        <v>#DIV/0!</v>
      </c>
      <c r="N35" s="95">
        <v>87125</v>
      </c>
      <c r="O35" s="100">
        <f>IF(ISBLANK(N35),0,N35-N34)</f>
        <v>15</v>
      </c>
      <c r="P35" s="101">
        <v>79025</v>
      </c>
      <c r="Q35" s="102">
        <f>IF(ISBLANK(P35),0,P35-P34)</f>
        <v>4</v>
      </c>
      <c r="R35" s="103">
        <v>13941</v>
      </c>
      <c r="S35" s="102">
        <f>IF(ISBLANK(R35),0,R35-R34)</f>
        <v>1</v>
      </c>
      <c r="T35" s="101">
        <v>165935</v>
      </c>
      <c r="U35" s="102">
        <f>IF(ISBLANK(T35),0,T35-T34)</f>
        <v>25</v>
      </c>
      <c r="V35" s="104">
        <v>529.36</v>
      </c>
      <c r="W35" s="96">
        <f>IF(ISBLANK(V35),0,SUM(V35-V34)*2200)</f>
        <v>1164592</v>
      </c>
      <c r="X35" s="97">
        <v>10353</v>
      </c>
      <c r="Y35" s="105">
        <v>92.253</v>
      </c>
      <c r="Z35" s="96">
        <f>IF(ISBLANK(Y35),0,Y35-Y34)*2200</f>
        <v>202956.6</v>
      </c>
      <c r="AA35" s="97">
        <v>1874</v>
      </c>
      <c r="AB35" s="95">
        <v>1533744.64</v>
      </c>
      <c r="AC35" s="102">
        <f>IF(ISBLANK(AB35),0,SUM(AB35-AB24))</f>
        <v>2730.339999999851</v>
      </c>
      <c r="AD35" s="97">
        <v>244</v>
      </c>
      <c r="AE35" s="103">
        <v>4417533</v>
      </c>
      <c r="AF35" s="102"/>
      <c r="AG35" s="106">
        <v>951</v>
      </c>
      <c r="AH35" s="95">
        <v>321158</v>
      </c>
      <c r="AI35" s="96">
        <f>IF(ISBLANK(AH35),0,AH35-AH34)*80</f>
        <v>25692640</v>
      </c>
      <c r="AJ35" s="97">
        <v>160</v>
      </c>
      <c r="AK35" s="98"/>
      <c r="AL35" s="95">
        <v>1957869.6</v>
      </c>
      <c r="AM35" s="96">
        <f>IF(ISBLANK(AL35),0,AL35-AL34)</f>
        <v>1957869.6</v>
      </c>
      <c r="AN35" s="97">
        <v>655</v>
      </c>
      <c r="AO35" s="98"/>
      <c r="AP35" s="95">
        <v>44748.7</v>
      </c>
      <c r="AQ35" s="96">
        <f>IF(ISBLANK(AP35),0,AP35-AP34)*80</f>
        <v>3579896</v>
      </c>
      <c r="AR35" s="97">
        <v>296</v>
      </c>
      <c r="AS35" s="95"/>
      <c r="AT35" s="95"/>
      <c r="AU35" s="98"/>
      <c r="AV35" s="107">
        <v>60.548000000000002</v>
      </c>
      <c r="AW35" s="108">
        <f>IF(ISBLANK(AV35),0,AV35-AV34)</f>
        <v>0</v>
      </c>
      <c r="AY35" s="109">
        <f>1+AY34</f>
        <v>31</v>
      </c>
      <c r="AZ35" s="102">
        <f>IF(D35&lt;&gt;0,(+D35-D$10)/$A35*31,0)</f>
        <v>11284.5</v>
      </c>
      <c r="BA35" s="102">
        <f>IF(F35&lt;&gt;0,(+F35-F$10)/$A35*31,0)</f>
        <v>85.356999999999971</v>
      </c>
      <c r="BB35" s="102">
        <f>IF(H35&lt;&gt;0,(+H35-H$10)/$A35*31,0)</f>
        <v>4497</v>
      </c>
      <c r="BC35" s="102">
        <f>IF(N35&lt;&gt;0,(+N35-N$10)/$A35*31,0)</f>
        <v>289</v>
      </c>
      <c r="BD35" s="102">
        <f>IF(V35&lt;&gt;0,(+V35-V$10)*2200/$A35*31,0)</f>
        <v>1164592</v>
      </c>
      <c r="BE35" s="102">
        <f>IF(X35&lt;&gt;0,AVERAGE(X$11:X35)*31,)</f>
        <v>354452.26399999997</v>
      </c>
      <c r="BF35" s="96">
        <f>IF(AD35+AG35&lt;&gt;0,AVERAGE(AD$11:AD35)*31+AVERAGE(AG$11:AG35)*31,)</f>
        <v>43724.011999999995</v>
      </c>
      <c r="BG35" s="102">
        <f>IF(AJ35&lt;&gt;0,AVERAGE(AJ$11:AJ35)*31,)</f>
        <v>7201.92</v>
      </c>
      <c r="BH35" s="102">
        <f>IF(AN35&lt;&gt;0,AVERAGE(AN$11:AN35)*31,)</f>
        <v>20304.466799999998</v>
      </c>
      <c r="BI35" s="102">
        <f>IF(AR35&lt;&gt;0,AVERAGE(AR$11:AR35)*31,)</f>
        <v>9235.52</v>
      </c>
    </row>
    <row r="36" spans="1:61" ht="15" customHeight="1" thickTop="1" thickBot="1" x14ac:dyDescent="0.3">
      <c r="A36" s="110" t="s">
        <v>30</v>
      </c>
      <c r="C36" s="17"/>
      <c r="D36" s="111">
        <f>D35-D4</f>
        <v>12749.100000000093</v>
      </c>
      <c r="F36" s="111">
        <f>F35-F4</f>
        <v>97.951000000000022</v>
      </c>
      <c r="G36" s="2"/>
      <c r="H36" s="111">
        <f>H35-H4</f>
        <v>5667</v>
      </c>
      <c r="I36" s="2"/>
      <c r="J36" s="112"/>
      <c r="K36" s="2"/>
      <c r="L36" s="2"/>
      <c r="M36" s="2"/>
      <c r="N36" s="111">
        <f>N35-N4</f>
        <v>381</v>
      </c>
      <c r="O36" s="2"/>
      <c r="P36" s="111">
        <f>P35-P5</f>
        <v>105</v>
      </c>
      <c r="Q36" s="2"/>
      <c r="R36" s="113">
        <f>R35-R5</f>
        <v>84</v>
      </c>
      <c r="S36" s="2"/>
      <c r="T36" s="111">
        <f>T35-T5</f>
        <v>928</v>
      </c>
      <c r="U36" s="2"/>
      <c r="V36" s="111">
        <f>SUM(+V35-V4)*2200</f>
        <v>400490.2</v>
      </c>
      <c r="W36" s="2"/>
      <c r="X36" s="111">
        <f>SUM(X5:X35)</f>
        <v>367499.40000000008</v>
      </c>
      <c r="Y36" s="114">
        <f>Y35-Y4</f>
        <v>32.697000000000003</v>
      </c>
      <c r="Z36" s="2"/>
      <c r="AA36" s="111">
        <f>SUM(Y4:Y36)</f>
        <v>335.76900000000001</v>
      </c>
      <c r="AB36" s="115">
        <f>SUM(+AB35-AB4)</f>
        <v>7614.3699999998789</v>
      </c>
      <c r="AC36" s="2"/>
      <c r="AD36" s="111">
        <f>SUM(AD5:AD35)</f>
        <v>7589.4199999999992</v>
      </c>
      <c r="AE36" s="115">
        <f>SUM(+AE35-AE4)</f>
        <v>35595</v>
      </c>
      <c r="AF36" s="2"/>
      <c r="AG36" s="111">
        <f>SUM(AG5:AG35)</f>
        <v>36055.699999999997</v>
      </c>
      <c r="AH36" s="111">
        <f>SUM(+AH35-AH4)*80</f>
        <v>23130440</v>
      </c>
      <c r="AI36" s="2"/>
      <c r="AJ36" s="116">
        <f>SUM(AJ4:AJ35)</f>
        <v>7472</v>
      </c>
      <c r="AK36" s="2"/>
      <c r="AL36" s="116">
        <f>AL35-AL4</f>
        <v>24005.300000000047</v>
      </c>
      <c r="AM36" s="2"/>
      <c r="AN36" s="111">
        <f>SUM(AN5:AN35)</f>
        <v>20303.859999999997</v>
      </c>
      <c r="AO36" s="2"/>
      <c r="AP36" s="111">
        <f>SUM(+AP35-AP4)*80</f>
        <v>9000</v>
      </c>
      <c r="AQ36" s="2"/>
      <c r="AR36" s="111">
        <f>SUM(AR5:AR35)</f>
        <v>9208</v>
      </c>
      <c r="AS36" s="117"/>
      <c r="AT36" s="118"/>
      <c r="AU36" s="2"/>
      <c r="AV36" s="111">
        <f>SUM(AV5:AV35)</f>
        <v>1875.6229999999998</v>
      </c>
      <c r="AY36" s="119"/>
      <c r="AZ36" s="96"/>
      <c r="BA36" s="96"/>
      <c r="BB36" s="96"/>
      <c r="BC36" s="96"/>
      <c r="BD36" s="96"/>
      <c r="BE36" s="102"/>
      <c r="BF36" s="96"/>
      <c r="BG36" s="102"/>
      <c r="BH36" s="102"/>
      <c r="BI36" s="102"/>
    </row>
    <row r="37" spans="1:61" ht="17.25" thickTop="1" thickBot="1" x14ac:dyDescent="0.3">
      <c r="A37" s="53" t="s">
        <v>31</v>
      </c>
      <c r="C37" s="45"/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23"/>
      <c r="Z37" s="19"/>
      <c r="AA37" s="19"/>
      <c r="AB37" s="54"/>
      <c r="AC37" s="2"/>
      <c r="AD37" s="19"/>
      <c r="AE37" s="19"/>
      <c r="AF37" s="19"/>
      <c r="AG37" s="19"/>
      <c r="AH37" s="19"/>
      <c r="AI37" s="19"/>
      <c r="AJ37" s="19"/>
      <c r="AK37" s="19"/>
      <c r="AL37" s="19"/>
      <c r="AM37" s="19"/>
      <c r="AN37" s="19"/>
      <c r="AO37" s="19"/>
      <c r="AP37" s="19"/>
      <c r="AQ37" s="19"/>
      <c r="AR37" s="19"/>
      <c r="AS37" s="19"/>
      <c r="AT37" s="19"/>
      <c r="AU37" s="19"/>
      <c r="AV37" s="19"/>
      <c r="AW37" s="19"/>
      <c r="AY37" s="55"/>
      <c r="AZ37" s="45"/>
      <c r="BA37" s="45"/>
      <c r="BB37" s="45"/>
      <c r="BC37" s="45"/>
      <c r="BD37" s="45"/>
      <c r="BE37" s="56"/>
      <c r="BF37" s="56"/>
      <c r="BG37" s="56"/>
      <c r="BH37" s="56"/>
      <c r="BI37" s="56"/>
    </row>
    <row r="38" spans="1:61" ht="16.5" thickBot="1" x14ac:dyDescent="0.3">
      <c r="A38" s="53" t="s">
        <v>31</v>
      </c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19"/>
      <c r="Q38" s="2"/>
      <c r="R38" s="19"/>
      <c r="S38" s="2"/>
      <c r="T38" s="2"/>
      <c r="U38" s="2"/>
      <c r="V38" s="2"/>
      <c r="W38" s="2"/>
      <c r="X38" s="2"/>
      <c r="Y38" s="57"/>
      <c r="Z38" s="2"/>
      <c r="AA38" s="2"/>
      <c r="AB38" s="151">
        <f>AD36+AG36</f>
        <v>43645.119999999995</v>
      </c>
      <c r="AC38" s="152"/>
      <c r="AD38" s="152"/>
      <c r="AE38" s="153"/>
      <c r="AF38" s="2"/>
      <c r="AG38" s="2"/>
      <c r="AH38" s="2"/>
      <c r="AI38" s="58"/>
      <c r="AJ38" s="21">
        <f>AB38+AJ36</f>
        <v>51117.119999999995</v>
      </c>
      <c r="AK38" s="2"/>
      <c r="AL38" s="2"/>
      <c r="AM38" s="2"/>
      <c r="AN38" s="2"/>
      <c r="AO38" s="2"/>
      <c r="AP38" s="2"/>
      <c r="AQ38" s="2"/>
      <c r="AR38" s="2"/>
      <c r="AS38" s="22"/>
      <c r="AT38" s="2"/>
      <c r="AU38" s="2"/>
    </row>
    <row r="39" spans="1:61" ht="15.75" x14ac:dyDescent="0.25"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57"/>
      <c r="Z39" s="2"/>
      <c r="AA39" s="2"/>
      <c r="AB39" s="154"/>
      <c r="AC39" s="154"/>
      <c r="AD39" s="154"/>
      <c r="AE39" s="154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</row>
    <row r="40" spans="1:61" ht="15.75" thickBot="1" x14ac:dyDescent="0.25"/>
    <row r="41" spans="1:61" ht="17.25" thickTop="1" thickBot="1" x14ac:dyDescent="0.3">
      <c r="A41" s="52" t="s">
        <v>32</v>
      </c>
      <c r="B41" s="52"/>
      <c r="C41" s="25"/>
      <c r="D41" s="18"/>
      <c r="E41" s="26"/>
      <c r="F41" s="18"/>
      <c r="G41" s="26"/>
      <c r="H41" s="18"/>
      <c r="I41" s="26"/>
      <c r="J41" s="26"/>
      <c r="K41" s="26"/>
      <c r="L41" s="25"/>
      <c r="M41" s="25"/>
      <c r="N41" s="18"/>
      <c r="O41" s="26"/>
      <c r="P41" s="26"/>
      <c r="Q41" s="26"/>
      <c r="R41" s="26"/>
      <c r="S41" s="26"/>
      <c r="T41" s="26"/>
      <c r="U41" s="26"/>
      <c r="V41" s="18"/>
      <c r="Y41" s="1"/>
      <c r="AB41" s="1"/>
      <c r="AS41" s="27"/>
    </row>
    <row r="42" spans="1:61" ht="16.5" thickTop="1" x14ac:dyDescent="0.25">
      <c r="A42" s="2" t="s">
        <v>33</v>
      </c>
      <c r="D42" s="1">
        <v>10577</v>
      </c>
      <c r="F42" s="1">
        <v>83</v>
      </c>
      <c r="H42" s="1">
        <v>6049</v>
      </c>
      <c r="N42" s="1">
        <v>643</v>
      </c>
      <c r="V42" s="1">
        <v>506762</v>
      </c>
    </row>
    <row r="43" spans="1:61" ht="15" customHeight="1" x14ac:dyDescent="0.25">
      <c r="A43" s="2" t="s">
        <v>34</v>
      </c>
      <c r="D43" s="1">
        <v>10290</v>
      </c>
      <c r="F43" s="1">
        <v>200</v>
      </c>
      <c r="H43" s="1">
        <v>5501</v>
      </c>
      <c r="N43" s="1">
        <v>907</v>
      </c>
      <c r="V43" s="1">
        <v>557339</v>
      </c>
    </row>
    <row r="44" spans="1:61" ht="25.5" customHeight="1" x14ac:dyDescent="0.25">
      <c r="A44" s="2" t="s">
        <v>35</v>
      </c>
      <c r="D44" s="1">
        <v>10297</v>
      </c>
      <c r="F44" s="1">
        <v>146</v>
      </c>
      <c r="H44" s="1">
        <v>6626</v>
      </c>
      <c r="N44" s="1">
        <v>885</v>
      </c>
      <c r="V44" s="1">
        <v>517912</v>
      </c>
    </row>
  </sheetData>
  <mergeCells count="32">
    <mergeCell ref="AB38:AE38"/>
    <mergeCell ref="AB39:AE39"/>
    <mergeCell ref="BE1:BE3"/>
    <mergeCell ref="BF1:BF3"/>
    <mergeCell ref="BG1:BG3"/>
    <mergeCell ref="BH1:BH3"/>
    <mergeCell ref="AP1:AR2"/>
    <mergeCell ref="AS1:AT2"/>
    <mergeCell ref="AU1:AU2"/>
    <mergeCell ref="AV1:AV2"/>
    <mergeCell ref="BI1:BI3"/>
    <mergeCell ref="AU3:AV3"/>
    <mergeCell ref="A1:C2"/>
    <mergeCell ref="D1:E2"/>
    <mergeCell ref="F1:G2"/>
    <mergeCell ref="H1:M2"/>
    <mergeCell ref="N1:O2"/>
    <mergeCell ref="P1:Q2"/>
    <mergeCell ref="R1:S2"/>
    <mergeCell ref="T1:U2"/>
    <mergeCell ref="V1:X2"/>
    <mergeCell ref="Y1:AA2"/>
    <mergeCell ref="AB1:AD2"/>
    <mergeCell ref="AE1:AG2"/>
    <mergeCell ref="AH1:AK2"/>
    <mergeCell ref="AL1:AO2"/>
    <mergeCell ref="AW1:AW2"/>
    <mergeCell ref="AZ1:AZ3"/>
    <mergeCell ref="BA1:BA3"/>
    <mergeCell ref="BB1:BB3"/>
    <mergeCell ref="BC1:BC3"/>
    <mergeCell ref="BD1:BD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 </vt:lpstr>
      <vt:lpstr>Hotel Data</vt:lpstr>
    </vt:vector>
  </TitlesOfParts>
  <Company>Hewlett-Packard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 Laudato</dc:creator>
  <cp:lastModifiedBy>Joe El Khoury</cp:lastModifiedBy>
  <dcterms:created xsi:type="dcterms:W3CDTF">2017-05-22T13:08:25Z</dcterms:created>
  <dcterms:modified xsi:type="dcterms:W3CDTF">2019-11-01T13:12:01Z</dcterms:modified>
</cp:coreProperties>
</file>