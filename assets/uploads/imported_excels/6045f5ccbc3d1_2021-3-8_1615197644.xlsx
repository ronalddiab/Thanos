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580" firstSheet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WATER!$A$3:$C$34</definedName>
  </definedNames>
  <calcPr calcId="152511"/>
</workbook>
</file>

<file path=xl/calcChain.xml><?xml version="1.0" encoding="utf-8"?>
<calcChain xmlns="http://schemas.openxmlformats.org/spreadsheetml/2006/main">
  <c r="AT34" i="7" l="1"/>
  <c r="AS34" i="7"/>
  <c r="AU34" i="7" s="1"/>
  <c r="D25" i="3"/>
  <c r="D26" i="3" s="1"/>
  <c r="U25" i="3"/>
  <c r="U24" i="3"/>
  <c r="D22" i="3"/>
  <c r="D23" i="3" s="1"/>
  <c r="I18" i="76"/>
  <c r="D18" i="77"/>
  <c r="C19" i="77" l="1"/>
  <c r="C18" i="77"/>
  <c r="C17" i="77"/>
  <c r="C16" i="77"/>
  <c r="C15" i="77"/>
  <c r="C14" i="77"/>
  <c r="BB5" i="7"/>
  <c r="BA5" i="7"/>
  <c r="AZ5" i="7"/>
  <c r="AY5" i="7"/>
  <c r="AX5" i="7"/>
  <c r="AW5" i="7"/>
  <c r="AV5" i="7"/>
  <c r="AU5" i="7"/>
  <c r="AT5" i="7"/>
  <c r="AS5" i="7"/>
  <c r="AR5" i="7"/>
  <c r="AQ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B3" i="76" l="1"/>
  <c r="C5" i="5" l="1"/>
  <c r="D5" i="5"/>
  <c r="E5" i="5"/>
  <c r="F5" i="5"/>
  <c r="H5" i="5"/>
  <c r="I5" i="5"/>
  <c r="J5" i="5"/>
  <c r="K5" i="5"/>
  <c r="L5" i="5"/>
  <c r="M5" i="5"/>
  <c r="N5" i="5"/>
  <c r="O5" i="5"/>
  <c r="P5" i="5"/>
  <c r="Q5" i="5"/>
  <c r="R5" i="5"/>
  <c r="S5" i="5"/>
  <c r="U5" i="5"/>
  <c r="W5" i="5"/>
  <c r="Y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X5" i="5"/>
  <c r="V5" i="5"/>
  <c r="W6" i="5" s="1"/>
  <c r="T5" i="5"/>
  <c r="G5" i="5"/>
  <c r="B5" i="5"/>
  <c r="I9" i="77" l="1"/>
  <c r="H7" i="77"/>
  <c r="I7" i="77" s="1"/>
  <c r="H8" i="77" l="1"/>
  <c r="I8" i="77" s="1"/>
  <c r="H10" i="77" l="1"/>
  <c r="I10" i="77" s="1"/>
  <c r="G37" i="74" l="1"/>
  <c r="F37" i="74"/>
  <c r="G36" i="74"/>
  <c r="H36" i="74" s="1"/>
  <c r="F36" i="74"/>
  <c r="G35" i="74"/>
  <c r="H35" i="74" s="1"/>
  <c r="F35" i="74"/>
  <c r="G34" i="74"/>
  <c r="F34" i="74"/>
  <c r="H34" i="74" s="1"/>
  <c r="G33" i="74"/>
  <c r="H33" i="74" s="1"/>
  <c r="F33" i="74"/>
  <c r="G32" i="74"/>
  <c r="F32" i="74"/>
  <c r="G31" i="74"/>
  <c r="F31" i="74"/>
  <c r="G30" i="74"/>
  <c r="F30" i="74"/>
  <c r="H30" i="74" s="1"/>
  <c r="G29" i="74"/>
  <c r="H29" i="74" s="1"/>
  <c r="F29" i="74"/>
  <c r="G28" i="74"/>
  <c r="F28" i="74"/>
  <c r="G27" i="74"/>
  <c r="F27" i="74"/>
  <c r="G26" i="74"/>
  <c r="F26" i="74"/>
  <c r="H26" i="74" s="1"/>
  <c r="G25" i="74"/>
  <c r="H25" i="74" s="1"/>
  <c r="F25" i="74"/>
  <c r="G24" i="74"/>
  <c r="F24" i="74"/>
  <c r="G23" i="74"/>
  <c r="F23" i="74"/>
  <c r="G22" i="74"/>
  <c r="F22" i="74"/>
  <c r="H22" i="74" s="1"/>
  <c r="G21" i="74"/>
  <c r="H21" i="74" s="1"/>
  <c r="F21" i="74"/>
  <c r="G20" i="74"/>
  <c r="F20" i="74"/>
  <c r="G19" i="74"/>
  <c r="F19" i="74"/>
  <c r="G18" i="74"/>
  <c r="F18" i="74"/>
  <c r="G17" i="74"/>
  <c r="H17" i="74" s="1"/>
  <c r="F17" i="74"/>
  <c r="G16" i="74"/>
  <c r="F16" i="74"/>
  <c r="G15" i="74"/>
  <c r="H15" i="74" s="1"/>
  <c r="F15" i="74"/>
  <c r="G14" i="74"/>
  <c r="F14" i="74"/>
  <c r="H14" i="74" s="1"/>
  <c r="G13" i="74"/>
  <c r="H13" i="74" s="1"/>
  <c r="F13" i="74"/>
  <c r="G12" i="74"/>
  <c r="H12" i="74" s="1"/>
  <c r="F12" i="74"/>
  <c r="G11" i="74"/>
  <c r="H11" i="74" s="1"/>
  <c r="F11" i="74"/>
  <c r="G10" i="74"/>
  <c r="F10" i="74"/>
  <c r="T40" i="74"/>
  <c r="L40" i="74"/>
  <c r="I40" i="74"/>
  <c r="X39" i="74"/>
  <c r="T39" i="74"/>
  <c r="P39" i="74"/>
  <c r="M39" i="74"/>
  <c r="L39" i="74"/>
  <c r="I39" i="74"/>
  <c r="X38" i="74"/>
  <c r="T38" i="74"/>
  <c r="P38" i="74"/>
  <c r="M38" i="74"/>
  <c r="L38" i="74"/>
  <c r="I38" i="74"/>
  <c r="X37" i="74"/>
  <c r="T37" i="74"/>
  <c r="P37" i="74"/>
  <c r="M37" i="74"/>
  <c r="L37" i="74"/>
  <c r="I37" i="74"/>
  <c r="E37" i="74"/>
  <c r="X36" i="74"/>
  <c r="T36" i="74"/>
  <c r="P36" i="74"/>
  <c r="M36" i="74"/>
  <c r="L36" i="74"/>
  <c r="I36" i="74"/>
  <c r="E36" i="74"/>
  <c r="X35" i="74"/>
  <c r="T35" i="74"/>
  <c r="P35" i="74"/>
  <c r="M35" i="74"/>
  <c r="L35" i="74"/>
  <c r="I35" i="74"/>
  <c r="E35" i="74"/>
  <c r="X34" i="74"/>
  <c r="T34" i="74"/>
  <c r="P34" i="74"/>
  <c r="M34" i="74"/>
  <c r="L34" i="74"/>
  <c r="I34" i="74"/>
  <c r="E34" i="74"/>
  <c r="X33" i="74"/>
  <c r="T33" i="74"/>
  <c r="P33" i="74"/>
  <c r="M33" i="74"/>
  <c r="L33" i="74"/>
  <c r="I33" i="74"/>
  <c r="E33" i="74"/>
  <c r="X32" i="74"/>
  <c r="T32" i="74"/>
  <c r="P32" i="74"/>
  <c r="M32" i="74"/>
  <c r="L32" i="74"/>
  <c r="I32" i="74"/>
  <c r="H32" i="74"/>
  <c r="E32" i="74"/>
  <c r="X31" i="74"/>
  <c r="T31" i="74"/>
  <c r="P31" i="74"/>
  <c r="M31" i="74"/>
  <c r="L31" i="74"/>
  <c r="I31" i="74"/>
  <c r="E31" i="74"/>
  <c r="X30" i="74"/>
  <c r="T30" i="74"/>
  <c r="P30" i="74"/>
  <c r="M30" i="74"/>
  <c r="L30" i="74"/>
  <c r="I30" i="74"/>
  <c r="E30" i="74"/>
  <c r="X29" i="74"/>
  <c r="T29" i="74"/>
  <c r="P29" i="74"/>
  <c r="M29" i="74"/>
  <c r="L29" i="74"/>
  <c r="I29" i="74"/>
  <c r="E29" i="74"/>
  <c r="X28" i="74"/>
  <c r="T28" i="74"/>
  <c r="P28" i="74"/>
  <c r="M28" i="74"/>
  <c r="L28" i="74"/>
  <c r="I28" i="74"/>
  <c r="E28" i="74"/>
  <c r="X27" i="74"/>
  <c r="T27" i="74"/>
  <c r="P27" i="74"/>
  <c r="M27" i="74"/>
  <c r="L27" i="74"/>
  <c r="I27" i="74"/>
  <c r="E27" i="74"/>
  <c r="X26" i="74"/>
  <c r="T26" i="74"/>
  <c r="P26" i="74"/>
  <c r="M26" i="74"/>
  <c r="L26" i="74"/>
  <c r="I26" i="74"/>
  <c r="E26" i="74"/>
  <c r="X25" i="74"/>
  <c r="T25" i="74"/>
  <c r="P25" i="74"/>
  <c r="M25" i="74"/>
  <c r="L25" i="74"/>
  <c r="I25" i="74"/>
  <c r="E25" i="74"/>
  <c r="X24" i="74"/>
  <c r="T24" i="74"/>
  <c r="P24" i="74"/>
  <c r="M24" i="74"/>
  <c r="L24" i="74"/>
  <c r="I24" i="74"/>
  <c r="E24" i="74"/>
  <c r="X23" i="74"/>
  <c r="T23" i="74"/>
  <c r="P23" i="74"/>
  <c r="M23" i="74"/>
  <c r="L23" i="74"/>
  <c r="I23" i="74"/>
  <c r="E23" i="74"/>
  <c r="X22" i="74"/>
  <c r="T22" i="74"/>
  <c r="P22" i="74"/>
  <c r="M22" i="74"/>
  <c r="L22" i="74"/>
  <c r="I22" i="74"/>
  <c r="E22" i="74"/>
  <c r="X21" i="74"/>
  <c r="T21" i="74"/>
  <c r="P21" i="74"/>
  <c r="M21" i="74"/>
  <c r="L21" i="74"/>
  <c r="I21" i="74"/>
  <c r="E21" i="74"/>
  <c r="X20" i="74"/>
  <c r="T20" i="74"/>
  <c r="P20" i="74"/>
  <c r="M20" i="74"/>
  <c r="L20" i="74"/>
  <c r="I20" i="74"/>
  <c r="E20" i="74"/>
  <c r="X19" i="74"/>
  <c r="T19" i="74"/>
  <c r="P19" i="74"/>
  <c r="M19" i="74"/>
  <c r="L19" i="74"/>
  <c r="I19" i="74"/>
  <c r="H19" i="74"/>
  <c r="E19" i="74"/>
  <c r="X18" i="74"/>
  <c r="T18" i="74"/>
  <c r="P18" i="74"/>
  <c r="M18" i="74"/>
  <c r="L18" i="74"/>
  <c r="I18" i="74"/>
  <c r="H18" i="74"/>
  <c r="E18" i="74"/>
  <c r="X17" i="74"/>
  <c r="T17" i="74"/>
  <c r="P17" i="74"/>
  <c r="M17" i="74"/>
  <c r="L17" i="74"/>
  <c r="I17" i="74"/>
  <c r="E17" i="74"/>
  <c r="X16" i="74"/>
  <c r="T16" i="74"/>
  <c r="P16" i="74"/>
  <c r="M16" i="74"/>
  <c r="L16" i="74"/>
  <c r="I16" i="74"/>
  <c r="E16" i="74"/>
  <c r="X15" i="74"/>
  <c r="T15" i="74"/>
  <c r="P15" i="74"/>
  <c r="M15" i="74"/>
  <c r="L15" i="74"/>
  <c r="I15" i="74"/>
  <c r="E15" i="74"/>
  <c r="X14" i="74"/>
  <c r="T14" i="74"/>
  <c r="P14" i="74"/>
  <c r="M14" i="74"/>
  <c r="L14" i="74"/>
  <c r="I14" i="74"/>
  <c r="E14" i="74"/>
  <c r="X13" i="74"/>
  <c r="T13" i="74"/>
  <c r="P13" i="74"/>
  <c r="M13" i="74"/>
  <c r="L13" i="74"/>
  <c r="I13" i="74"/>
  <c r="E13" i="74"/>
  <c r="X12" i="74"/>
  <c r="T12" i="74"/>
  <c r="P12" i="74"/>
  <c r="M12" i="74"/>
  <c r="L12" i="74"/>
  <c r="I12" i="74"/>
  <c r="E12" i="74"/>
  <c r="X11" i="74"/>
  <c r="T11" i="74"/>
  <c r="P11" i="74"/>
  <c r="M11" i="74"/>
  <c r="L11" i="74"/>
  <c r="I11" i="74"/>
  <c r="E11" i="74"/>
  <c r="X10" i="74"/>
  <c r="T10" i="74"/>
  <c r="P10" i="74"/>
  <c r="M10" i="74"/>
  <c r="L10" i="74"/>
  <c r="I10" i="74"/>
  <c r="E10" i="74"/>
  <c r="C43" i="74"/>
  <c r="B4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D10" i="74"/>
  <c r="C40" i="74"/>
  <c r="C39" i="74"/>
  <c r="C38" i="74"/>
  <c r="C37" i="74"/>
  <c r="C36" i="74"/>
  <c r="C35" i="74"/>
  <c r="C34" i="74"/>
  <c r="C33" i="74"/>
  <c r="C32" i="74"/>
  <c r="C31" i="74"/>
  <c r="C30" i="74"/>
  <c r="C29" i="74"/>
  <c r="C28" i="74"/>
  <c r="C27" i="74"/>
  <c r="C26" i="74"/>
  <c r="C25" i="74"/>
  <c r="C24" i="74"/>
  <c r="C23" i="74"/>
  <c r="C22" i="74"/>
  <c r="C21" i="74"/>
  <c r="C20" i="74"/>
  <c r="C19" i="74"/>
  <c r="C18" i="74"/>
  <c r="C17" i="74"/>
  <c r="C16" i="74"/>
  <c r="C15" i="74"/>
  <c r="C14" i="74"/>
  <c r="C13" i="74"/>
  <c r="C12" i="74"/>
  <c r="C11" i="74"/>
  <c r="C10" i="74"/>
  <c r="B40" i="74"/>
  <c r="B39" i="74"/>
  <c r="B38" i="74"/>
  <c r="B37" i="74"/>
  <c r="B36" i="74"/>
  <c r="B35" i="74"/>
  <c r="B34" i="74"/>
  <c r="B33" i="74"/>
  <c r="B32" i="74"/>
  <c r="B31" i="74"/>
  <c r="B30" i="74"/>
  <c r="B29" i="74"/>
  <c r="B28" i="74"/>
  <c r="B27" i="74"/>
  <c r="B26" i="74"/>
  <c r="B25" i="74"/>
  <c r="B24" i="74"/>
  <c r="B23" i="74"/>
  <c r="B22" i="74"/>
  <c r="B21" i="74"/>
  <c r="B20" i="74"/>
  <c r="B19" i="74"/>
  <c r="B18" i="74"/>
  <c r="B17" i="74"/>
  <c r="B16" i="74"/>
  <c r="B15" i="74"/>
  <c r="B14" i="74"/>
  <c r="B13" i="74"/>
  <c r="B12" i="74"/>
  <c r="B11" i="74"/>
  <c r="B10" i="74"/>
  <c r="I5" i="79"/>
  <c r="H5" i="79"/>
  <c r="H6" i="79" s="1"/>
  <c r="H7" i="79" s="1"/>
  <c r="I7" i="79" s="1"/>
  <c r="G5" i="79"/>
  <c r="F5" i="79"/>
  <c r="E5" i="79"/>
  <c r="D5" i="79"/>
  <c r="C5" i="79"/>
  <c r="B5" i="79"/>
  <c r="W16" i="76"/>
  <c r="W15" i="76"/>
  <c r="W14" i="76"/>
  <c r="W13" i="76"/>
  <c r="AA17" i="76"/>
  <c r="AD11" i="76"/>
  <c r="AD10" i="76"/>
  <c r="AD9" i="76"/>
  <c r="Z11" i="76"/>
  <c r="Z10" i="76"/>
  <c r="Z9" i="76"/>
  <c r="Y11" i="76"/>
  <c r="Y10" i="76"/>
  <c r="Y9" i="76"/>
  <c r="X11" i="76"/>
  <c r="X10" i="76"/>
  <c r="X9" i="76"/>
  <c r="W11" i="76"/>
  <c r="W10" i="76"/>
  <c r="W9" i="76"/>
  <c r="S3" i="76"/>
  <c r="Q3" i="76"/>
  <c r="N3" i="76"/>
  <c r="M3" i="76"/>
  <c r="L3" i="76"/>
  <c r="K3" i="76"/>
  <c r="W26" i="76"/>
  <c r="I3" i="76"/>
  <c r="G3" i="76"/>
  <c r="E3" i="76"/>
  <c r="D3" i="76"/>
  <c r="C3" i="76"/>
  <c r="D29" i="3"/>
  <c r="D30" i="3" s="1"/>
  <c r="AK2" i="3"/>
  <c r="AJ2" i="3"/>
  <c r="AI2" i="3"/>
  <c r="AG2" i="3"/>
  <c r="AF2" i="3"/>
  <c r="AE2" i="3"/>
  <c r="AD2" i="3"/>
  <c r="Z2" i="3"/>
  <c r="W2" i="3"/>
  <c r="V2" i="3"/>
  <c r="U2" i="3"/>
  <c r="T2" i="3"/>
  <c r="T3" i="3" s="1"/>
  <c r="T4" i="3" s="1"/>
  <c r="T5" i="3" s="1"/>
  <c r="T6" i="3" s="1"/>
  <c r="T7" i="3" s="1"/>
  <c r="T8" i="3" s="1"/>
  <c r="T9" i="3" s="1"/>
  <c r="T10" i="3" s="1"/>
  <c r="T11" i="3" s="1"/>
  <c r="T12" i="3" s="1"/>
  <c r="S2" i="3"/>
  <c r="R2" i="3"/>
  <c r="R3" i="3" s="1"/>
  <c r="R4" i="3" s="1"/>
  <c r="R5" i="3" s="1"/>
  <c r="R6" i="3" s="1"/>
  <c r="R8" i="3" s="1"/>
  <c r="R9" i="3" s="1"/>
  <c r="R10" i="3" s="1"/>
  <c r="R11" i="3" s="1"/>
  <c r="R12" i="3" s="1"/>
  <c r="R15" i="3" s="1"/>
  <c r="R16" i="3" s="1"/>
  <c r="R17" i="3" s="1"/>
  <c r="R18" i="3" s="1"/>
  <c r="R19" i="3" s="1"/>
  <c r="R20" i="3" s="1"/>
  <c r="R21" i="3" s="1"/>
  <c r="R22" i="3" s="1"/>
  <c r="R23" i="3" s="1"/>
  <c r="Q2" i="3"/>
  <c r="P2" i="3"/>
  <c r="P3" i="3" s="1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O2" i="3"/>
  <c r="K2" i="3"/>
  <c r="J2" i="3"/>
  <c r="J3" i="3" s="1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I2" i="3"/>
  <c r="H3" i="3"/>
  <c r="H4" i="3" s="1"/>
  <c r="H5" i="3" s="1"/>
  <c r="H6" i="3" s="1"/>
  <c r="H7" i="3" s="1"/>
  <c r="H8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G2" i="3"/>
  <c r="F2" i="3"/>
  <c r="E2" i="3"/>
  <c r="D2" i="3"/>
  <c r="C2" i="3"/>
  <c r="B2" i="3"/>
  <c r="AV25" i="5"/>
  <c r="AV26" i="5" s="1"/>
  <c r="AV29" i="5" s="1"/>
  <c r="T7" i="5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6" i="5" s="1"/>
  <c r="T27" i="5" s="1"/>
  <c r="T28" i="5" s="1"/>
  <c r="T29" i="5" s="1"/>
  <c r="T30" i="5" s="1"/>
  <c r="T31" i="5" s="1"/>
  <c r="T32" i="5" s="1"/>
  <c r="T33" i="5" s="1"/>
  <c r="AT9" i="5"/>
  <c r="AT11" i="5" s="1"/>
  <c r="AT13" i="5" s="1"/>
  <c r="AT14" i="5" s="1"/>
  <c r="AT15" i="5" s="1"/>
  <c r="AT16" i="5" s="1"/>
  <c r="AT17" i="5" s="1"/>
  <c r="AT20" i="5" s="1"/>
  <c r="AT21" i="5" s="1"/>
  <c r="AT27" i="5" s="1"/>
  <c r="AT28" i="5" s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2" i="5" s="1"/>
  <c r="Z23" i="5" s="1"/>
  <c r="Z24" i="5" s="1"/>
  <c r="X7" i="5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9" i="5" s="1"/>
  <c r="X20" i="5" s="1"/>
  <c r="X22" i="5" s="1"/>
  <c r="X23" i="5" s="1"/>
  <c r="X24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20" i="5" s="1"/>
  <c r="G22" i="5" s="1"/>
  <c r="G23" i="5" s="1"/>
  <c r="G24" i="5" s="1"/>
  <c r="X6" i="1"/>
  <c r="X7" i="1" s="1"/>
  <c r="X8" i="1" s="1"/>
  <c r="X9" i="1" s="1"/>
  <c r="X10" i="1" s="1"/>
  <c r="X11" i="1" s="1"/>
  <c r="X13" i="1" s="1"/>
  <c r="X14" i="1" s="1"/>
  <c r="X15" i="1" s="1"/>
  <c r="X16" i="1" s="1"/>
  <c r="X18" i="1" s="1"/>
  <c r="X19" i="1" s="1"/>
  <c r="X20" i="1" s="1"/>
  <c r="X21" i="1" s="1"/>
  <c r="X23" i="1" s="1"/>
  <c r="X24" i="1" s="1"/>
  <c r="X25" i="1" s="1"/>
  <c r="X26" i="1" s="1"/>
  <c r="X28" i="1" s="1"/>
  <c r="X29" i="1" s="1"/>
  <c r="X30" i="1" s="1"/>
  <c r="X31" i="1" s="1"/>
  <c r="X32" i="1" s="1"/>
  <c r="H7" i="1"/>
  <c r="H10" i="1" s="1"/>
  <c r="H13" i="1" s="1"/>
  <c r="H16" i="1" s="1"/>
  <c r="H19" i="1" s="1"/>
  <c r="H20" i="1" s="1"/>
  <c r="H23" i="1" s="1"/>
  <c r="AU4" i="1"/>
  <c r="AT4" i="1"/>
  <c r="AS4" i="1"/>
  <c r="AR4" i="1"/>
  <c r="AR5" i="1" s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Q4" i="1"/>
  <c r="AP4" i="1"/>
  <c r="AP5" i="1" s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O4" i="1"/>
  <c r="AN4" i="1"/>
  <c r="AN5" i="1" s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M4" i="1"/>
  <c r="AL4" i="1"/>
  <c r="AK4" i="1"/>
  <c r="AJ4" i="1"/>
  <c r="AI4" i="1"/>
  <c r="AH4" i="1"/>
  <c r="AG4" i="1"/>
  <c r="AF4" i="1"/>
  <c r="AE4" i="1"/>
  <c r="AE5" i="1" s="1"/>
  <c r="AE6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9" i="1" s="1"/>
  <c r="AE30" i="1" s="1"/>
  <c r="AE31" i="1" s="1"/>
  <c r="AD4" i="1"/>
  <c r="AC4" i="1"/>
  <c r="AC5" i="1" s="1"/>
  <c r="AC6" i="1" s="1"/>
  <c r="AC7" i="1" s="1"/>
  <c r="AC8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9" i="1" s="1"/>
  <c r="AC30" i="1" s="1"/>
  <c r="AC31" i="1" s="1"/>
  <c r="AC32" i="1" s="1"/>
  <c r="AB4" i="1"/>
  <c r="AA4" i="1"/>
  <c r="Z4" i="1"/>
  <c r="Z6" i="1" s="1"/>
  <c r="Z7" i="1" s="1"/>
  <c r="Z8" i="1" s="1"/>
  <c r="Z9" i="1" s="1"/>
  <c r="Z10" i="1" s="1"/>
  <c r="Z11" i="1" s="1"/>
  <c r="Z13" i="1" s="1"/>
  <c r="Z14" i="1" s="1"/>
  <c r="Z15" i="1" s="1"/>
  <c r="Z16" i="1" s="1"/>
  <c r="Z17" i="1" s="1"/>
  <c r="Z18" i="1" s="1"/>
  <c r="Z19" i="1" s="1"/>
  <c r="Z20" i="1" s="1"/>
  <c r="Z21" i="1" s="1"/>
  <c r="Z23" i="1" s="1"/>
  <c r="Z24" i="1" s="1"/>
  <c r="Z25" i="1" s="1"/>
  <c r="Z26" i="1" s="1"/>
  <c r="Z28" i="1" s="1"/>
  <c r="Z29" i="1" s="1"/>
  <c r="Z30" i="1" s="1"/>
  <c r="Z31" i="1" s="1"/>
  <c r="Z32" i="1" s="1"/>
  <c r="Y4" i="1"/>
  <c r="X4" i="1"/>
  <c r="W4" i="1"/>
  <c r="V4" i="1"/>
  <c r="U4" i="1"/>
  <c r="T4" i="1"/>
  <c r="S4" i="1"/>
  <c r="R4" i="1"/>
  <c r="Q4" i="1"/>
  <c r="Q6" i="1" s="1"/>
  <c r="Q9" i="1" s="1"/>
  <c r="Q12" i="1" s="1"/>
  <c r="Q15" i="1" s="1"/>
  <c r="Q18" i="1" s="1"/>
  <c r="Q22" i="1" s="1"/>
  <c r="Q25" i="1" s="1"/>
  <c r="Q28" i="1" s="1"/>
  <c r="Q31" i="1" s="1"/>
  <c r="P4" i="1"/>
  <c r="P6" i="1" s="1"/>
  <c r="P9" i="1" s="1"/>
  <c r="P12" i="1" s="1"/>
  <c r="P15" i="1" s="1"/>
  <c r="P18" i="1" s="1"/>
  <c r="P22" i="1" s="1"/>
  <c r="P25" i="1" s="1"/>
  <c r="P28" i="1" s="1"/>
  <c r="P31" i="1" s="1"/>
  <c r="O4" i="1"/>
  <c r="N4" i="1"/>
  <c r="M4" i="1"/>
  <c r="M5" i="1" s="1"/>
  <c r="M8" i="1" s="1"/>
  <c r="M11" i="1" s="1"/>
  <c r="M14" i="1" s="1"/>
  <c r="M17" i="1" s="1"/>
  <c r="M20" i="1" s="1"/>
  <c r="M21" i="1" s="1"/>
  <c r="L4" i="1"/>
  <c r="K4" i="1"/>
  <c r="K5" i="1" s="1"/>
  <c r="K8" i="1" s="1"/>
  <c r="K11" i="1" s="1"/>
  <c r="K14" i="1" s="1"/>
  <c r="K17" i="1" s="1"/>
  <c r="K20" i="1" s="1"/>
  <c r="K21" i="1" s="1"/>
  <c r="J4" i="1"/>
  <c r="I4" i="1"/>
  <c r="H4" i="1"/>
  <c r="G4" i="1"/>
  <c r="F4" i="1"/>
  <c r="F7" i="1" s="1"/>
  <c r="F10" i="1" s="1"/>
  <c r="F13" i="1" s="1"/>
  <c r="F19" i="1" s="1"/>
  <c r="F20" i="1" s="1"/>
  <c r="F23" i="1" s="1"/>
  <c r="E4" i="1"/>
  <c r="D4" i="1"/>
  <c r="C4" i="1"/>
  <c r="B4" i="1"/>
  <c r="AG2" i="2"/>
  <c r="AF2" i="2"/>
  <c r="AE2" i="2"/>
  <c r="AD2" i="2"/>
  <c r="AC2" i="2"/>
  <c r="AC10" i="2" s="1"/>
  <c r="AC11" i="2" s="1"/>
  <c r="AC12" i="2" s="1"/>
  <c r="AC13" i="2" s="1"/>
  <c r="AC14" i="2" s="1"/>
  <c r="AC15" i="2" s="1"/>
  <c r="AC16" i="2" s="1"/>
  <c r="AC17" i="2" s="1"/>
  <c r="AC22" i="2" s="1"/>
  <c r="AC23" i="2" s="1"/>
  <c r="AC24" i="2" s="1"/>
  <c r="AC25" i="2" s="1"/>
  <c r="AC26" i="2" s="1"/>
  <c r="AC27" i="2" s="1"/>
  <c r="AC28" i="2" s="1"/>
  <c r="AC29" i="2" s="1"/>
  <c r="AC30" i="2" s="1"/>
  <c r="AB2" i="2"/>
  <c r="AA2" i="2"/>
  <c r="AA9" i="2" s="1"/>
  <c r="AA10" i="2" s="1"/>
  <c r="AA11" i="2" s="1"/>
  <c r="AA13" i="2" s="1"/>
  <c r="AA14" i="2" s="1"/>
  <c r="AA15" i="2" s="1"/>
  <c r="AA16" i="2" s="1"/>
  <c r="AA17" i="2" s="1"/>
  <c r="AA22" i="2" s="1"/>
  <c r="AA23" i="2" s="1"/>
  <c r="AA24" i="2" s="1"/>
  <c r="AA25" i="2" s="1"/>
  <c r="AA26" i="2" s="1"/>
  <c r="AA27" i="2" s="1"/>
  <c r="AA28" i="2" s="1"/>
  <c r="AA29" i="2" s="1"/>
  <c r="AA30" i="2" s="1"/>
  <c r="Z2" i="2"/>
  <c r="Y2" i="2"/>
  <c r="Y3" i="2" s="1"/>
  <c r="Y4" i="2" s="1"/>
  <c r="Y5" i="2" s="1"/>
  <c r="Y6" i="2" s="1"/>
  <c r="Y7" i="2" s="1"/>
  <c r="Y8" i="2" s="1"/>
  <c r="Y16" i="2" s="1"/>
  <c r="Y17" i="2" s="1"/>
  <c r="Y18" i="2" s="1"/>
  <c r="X2" i="2"/>
  <c r="W2" i="2"/>
  <c r="W3" i="2" s="1"/>
  <c r="W4" i="2" s="1"/>
  <c r="W5" i="2" s="1"/>
  <c r="W6" i="2" s="1"/>
  <c r="W7" i="2" s="1"/>
  <c r="W8" i="2" s="1"/>
  <c r="W16" i="2" s="1"/>
  <c r="W17" i="2" s="1"/>
  <c r="W18" i="2" s="1"/>
  <c r="V2" i="2"/>
  <c r="U2" i="2"/>
  <c r="U3" i="2" s="1"/>
  <c r="U4" i="2" s="1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8" i="2" s="1"/>
  <c r="U19" i="2" s="1"/>
  <c r="U20" i="2" s="1"/>
  <c r="U21" i="2" s="1"/>
  <c r="T2" i="2"/>
  <c r="S2" i="2"/>
  <c r="S3" i="2" s="1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8" i="2" s="1"/>
  <c r="S19" i="2" s="1"/>
  <c r="S20" i="2" s="1"/>
  <c r="S21" i="2" s="1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D24" i="73"/>
  <c r="AP24" i="5"/>
  <c r="AN24" i="5"/>
  <c r="AM24" i="5"/>
  <c r="K24" i="5"/>
  <c r="AJ23" i="1"/>
  <c r="A23" i="1"/>
  <c r="T13" i="3" l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H27" i="74"/>
  <c r="H24" i="74"/>
  <c r="H20" i="74"/>
  <c r="H31" i="74"/>
  <c r="H28" i="74"/>
  <c r="H23" i="74"/>
  <c r="H37" i="74"/>
  <c r="H16" i="74"/>
  <c r="H10" i="74"/>
  <c r="H8" i="79"/>
  <c r="H9" i="79" s="1"/>
  <c r="H15" i="79" s="1"/>
  <c r="H16" i="79" s="1"/>
  <c r="H17" i="79" s="1"/>
  <c r="H18" i="79" s="1"/>
  <c r="H19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I22" i="76"/>
  <c r="W27" i="76"/>
  <c r="G22" i="76"/>
  <c r="W28" i="76"/>
  <c r="C22" i="76"/>
  <c r="C21" i="3"/>
  <c r="B25" i="3"/>
  <c r="B26" i="3" s="1"/>
  <c r="B29" i="3" s="1"/>
  <c r="B30" i="3" s="1"/>
  <c r="BA24" i="5"/>
  <c r="AX28" i="5"/>
  <c r="AA24" i="5"/>
  <c r="Z25" i="5"/>
  <c r="Z27" i="5" s="1"/>
  <c r="Z29" i="5" s="1"/>
  <c r="Z30" i="5" s="1"/>
  <c r="AJ24" i="5"/>
  <c r="X25" i="5"/>
  <c r="X26" i="5" s="1"/>
  <c r="X27" i="5" s="1"/>
  <c r="X28" i="5" s="1"/>
  <c r="X29" i="5" s="1"/>
  <c r="X30" i="5" s="1"/>
  <c r="Y24" i="5"/>
  <c r="G25" i="5"/>
  <c r="G26" i="5" s="1"/>
  <c r="G28" i="5" s="1"/>
  <c r="G29" i="5" s="1"/>
  <c r="G32" i="5" s="1"/>
  <c r="G33" i="5" s="1"/>
  <c r="H24" i="5"/>
  <c r="N23" i="1"/>
  <c r="M24" i="1"/>
  <c r="M27" i="1" s="1"/>
  <c r="M29" i="1" s="1"/>
  <c r="M30" i="1" s="1"/>
  <c r="L23" i="1"/>
  <c r="K24" i="1"/>
  <c r="K27" i="1" s="1"/>
  <c r="K29" i="1" s="1"/>
  <c r="K30" i="1" s="1"/>
  <c r="I23" i="1"/>
  <c r="H26" i="1"/>
  <c r="H29" i="1" s="1"/>
  <c r="H31" i="1" s="1"/>
  <c r="G23" i="1"/>
  <c r="J23" i="1" s="1"/>
  <c r="F26" i="1"/>
  <c r="F29" i="1" s="1"/>
  <c r="F31" i="1" s="1"/>
  <c r="V21" i="2"/>
  <c r="U22" i="2"/>
  <c r="U23" i="2" s="1"/>
  <c r="U24" i="2" s="1"/>
  <c r="U25" i="2" s="1"/>
  <c r="U26" i="2" s="1"/>
  <c r="U27" i="2" s="1"/>
  <c r="U28" i="2" s="1"/>
  <c r="U29" i="2" s="1"/>
  <c r="U30" i="2" s="1"/>
  <c r="T21" i="2"/>
  <c r="S22" i="2"/>
  <c r="S23" i="2" s="1"/>
  <c r="S24" i="2" s="1"/>
  <c r="S25" i="2" s="1"/>
  <c r="S26" i="2" s="1"/>
  <c r="S27" i="2" s="1"/>
  <c r="S28" i="2" s="1"/>
  <c r="S29" i="2" s="1"/>
  <c r="Q21" i="2"/>
  <c r="M21" i="2"/>
  <c r="K21" i="2"/>
  <c r="I21" i="2"/>
  <c r="G21" i="2"/>
  <c r="E21" i="2"/>
  <c r="D23" i="1" l="1"/>
  <c r="E23" i="1" s="1"/>
  <c r="N21" i="2"/>
  <c r="R21" i="2" s="1"/>
  <c r="I22" i="1"/>
  <c r="E18" i="3"/>
  <c r="E19" i="3"/>
  <c r="AO21" i="1"/>
  <c r="AB15" i="76" l="1"/>
  <c r="AC15" i="76"/>
  <c r="AB16" i="76"/>
  <c r="AC16" i="76"/>
  <c r="AC17" i="76"/>
  <c r="AC18" i="76"/>
  <c r="AC19" i="76"/>
  <c r="AB12" i="76"/>
  <c r="AC12" i="76"/>
  <c r="AD12" i="76"/>
  <c r="X14" i="76"/>
  <c r="Y14" i="76"/>
  <c r="AP5" i="7"/>
  <c r="BC5" i="7"/>
  <c r="BD5" i="7"/>
  <c r="BE5" i="7"/>
  <c r="BF5" i="7"/>
  <c r="BG5" i="7"/>
  <c r="D5" i="73"/>
  <c r="E5" i="73"/>
  <c r="F5" i="73"/>
  <c r="G5" i="73"/>
  <c r="H5" i="73"/>
  <c r="I5" i="73"/>
  <c r="J5" i="73"/>
  <c r="K5" i="73"/>
  <c r="L5" i="73"/>
  <c r="M5" i="73"/>
  <c r="N5" i="73"/>
  <c r="O5" i="73"/>
  <c r="AH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B2" i="2"/>
  <c r="A2" i="2"/>
  <c r="U24" i="5" l="1"/>
  <c r="R23" i="1"/>
  <c r="V23" i="1" s="1"/>
  <c r="S23" i="1"/>
  <c r="AF23" i="1"/>
  <c r="AD23" i="1"/>
  <c r="AG23" i="1" s="1"/>
  <c r="AA23" i="1"/>
  <c r="Y23" i="1"/>
  <c r="X21" i="2"/>
  <c r="Z21" i="2"/>
  <c r="I24" i="1"/>
  <c r="E20" i="3"/>
  <c r="K7" i="5"/>
  <c r="U10" i="3"/>
  <c r="AB23" i="1" l="1"/>
  <c r="AM23" i="1"/>
  <c r="T23" i="1"/>
  <c r="AL23" i="1"/>
  <c r="U23" i="1"/>
  <c r="AH23" i="1"/>
  <c r="AI23" i="1" s="1"/>
  <c r="AK23" i="1" s="1"/>
  <c r="I25" i="1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i="5" l="1"/>
  <c r="AI2" i="2"/>
  <c r="K19" i="5" l="1"/>
  <c r="K20" i="5" l="1"/>
  <c r="A5" i="5"/>
  <c r="K21" i="5" l="1"/>
  <c r="K19" i="73"/>
  <c r="G19" i="73"/>
  <c r="K15" i="76"/>
  <c r="K22" i="5" l="1"/>
  <c r="D14" i="73"/>
  <c r="K23" i="5" l="1"/>
  <c r="L24" i="5" s="1"/>
  <c r="AK24" i="5" s="1"/>
  <c r="X78" i="74" l="1"/>
  <c r="Z12" i="76"/>
  <c r="P31" i="3"/>
  <c r="AK35" i="5"/>
  <c r="F34" i="5"/>
  <c r="AD24" i="5" l="1"/>
  <c r="AQ23" i="1"/>
  <c r="AS23" i="1"/>
  <c r="AO23" i="1"/>
  <c r="AB21" i="2"/>
  <c r="AE21" i="2" s="1"/>
  <c r="AD21" i="2"/>
  <c r="AF21" i="2" s="1"/>
  <c r="K25" i="5"/>
  <c r="BA19" i="5"/>
  <c r="N6" i="1"/>
  <c r="L5" i="1"/>
  <c r="AT23" i="1" l="1"/>
  <c r="K26" i="5"/>
  <c r="BA20" i="5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19" i="76"/>
  <c r="A20" i="76"/>
  <c r="A21" i="76"/>
  <c r="A22" i="76"/>
  <c r="A23" i="76"/>
  <c r="A24" i="76"/>
  <c r="A25" i="76"/>
  <c r="A26" i="76"/>
  <c r="A27" i="76"/>
  <c r="A28" i="76"/>
  <c r="A29" i="76"/>
  <c r="A30" i="76"/>
  <c r="A31" i="76"/>
  <c r="A22" i="2"/>
  <c r="C17" i="76"/>
  <c r="Q15" i="2"/>
  <c r="C12" i="76"/>
  <c r="K27" i="5" l="1"/>
  <c r="L7" i="1"/>
  <c r="BA21" i="5"/>
  <c r="N8" i="1"/>
  <c r="K28" i="5" l="1"/>
  <c r="L8" i="1"/>
  <c r="N9" i="1"/>
  <c r="K6" i="5"/>
  <c r="K29" i="5" l="1"/>
  <c r="N10" i="1"/>
  <c r="L9" i="1"/>
  <c r="K30" i="5" l="1"/>
  <c r="N11" i="1"/>
  <c r="L10" i="1"/>
  <c r="K31" i="5" l="1"/>
  <c r="N12" i="1"/>
  <c r="L11" i="1"/>
  <c r="K32" i="5" l="1"/>
  <c r="L12" i="1"/>
  <c r="N13" i="1"/>
  <c r="A21" i="1"/>
  <c r="A22" i="1"/>
  <c r="A24" i="1"/>
  <c r="A25" i="1"/>
  <c r="A26" i="1"/>
  <c r="Q14" i="2"/>
  <c r="Q13" i="2"/>
  <c r="K33" i="5" l="1"/>
  <c r="N14" i="1"/>
  <c r="L13" i="1"/>
  <c r="S5" i="3"/>
  <c r="S6" i="3"/>
  <c r="K11" i="73"/>
  <c r="Y7" i="5"/>
  <c r="Y8" i="5"/>
  <c r="N15" i="1" l="1"/>
  <c r="L14" i="1"/>
  <c r="N16" i="1" l="1"/>
  <c r="L15" i="1"/>
  <c r="V26" i="76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3" i="2"/>
  <c r="A24" i="2"/>
  <c r="A25" i="2"/>
  <c r="A26" i="2"/>
  <c r="A27" i="2"/>
  <c r="A28" i="2"/>
  <c r="A29" i="2"/>
  <c r="A30" i="2"/>
  <c r="A3" i="2"/>
  <c r="B3" i="2" s="1"/>
  <c r="N17" i="1" l="1"/>
  <c r="L16" i="1"/>
  <c r="Y6" i="5"/>
  <c r="S7" i="3"/>
  <c r="G24" i="2"/>
  <c r="N18" i="1" l="1"/>
  <c r="L17" i="1"/>
  <c r="Q16" i="2"/>
  <c r="S8" i="3"/>
  <c r="D9" i="1"/>
  <c r="E9" i="1" s="1"/>
  <c r="L18" i="1" l="1"/>
  <c r="N19" i="1"/>
  <c r="Q17" i="2"/>
  <c r="S9" i="3"/>
  <c r="L19" i="1" l="1"/>
  <c r="N20" i="1"/>
  <c r="Q18" i="2"/>
  <c r="S16" i="3"/>
  <c r="V16" i="3" s="1"/>
  <c r="Y13" i="76"/>
  <c r="BH5" i="7"/>
  <c r="L20" i="1" l="1"/>
  <c r="N21" i="1"/>
  <c r="Q19" i="2"/>
  <c r="L21" i="1" l="1"/>
  <c r="N22" i="1"/>
  <c r="Q20" i="2"/>
  <c r="L22" i="1" l="1"/>
  <c r="N24" i="1" l="1"/>
  <c r="Q22" i="2"/>
  <c r="C13" i="76"/>
  <c r="N25" i="1" l="1"/>
  <c r="L24" i="1"/>
  <c r="Q23" i="2"/>
  <c r="C14" i="76"/>
  <c r="N26" i="1" l="1"/>
  <c r="L25" i="1"/>
  <c r="Q24" i="2"/>
  <c r="C15" i="76"/>
  <c r="N27" i="1" l="1"/>
  <c r="L26" i="1"/>
  <c r="Q25" i="2"/>
  <c r="C16" i="76"/>
  <c r="D12" i="73"/>
  <c r="AB7" i="2"/>
  <c r="G5" i="76"/>
  <c r="N28" i="1" l="1"/>
  <c r="L27" i="1"/>
  <c r="Q26" i="2"/>
  <c r="V28" i="76"/>
  <c r="V27" i="76"/>
  <c r="N29" i="1" l="1"/>
  <c r="L28" i="1"/>
  <c r="Q27" i="2"/>
  <c r="C18" i="76"/>
  <c r="L29" i="1" l="1"/>
  <c r="N30" i="1"/>
  <c r="Q28" i="2"/>
  <c r="C19" i="76"/>
  <c r="X15" i="76"/>
  <c r="N31" i="1" l="1"/>
  <c r="L30" i="1"/>
  <c r="Q29" i="2"/>
  <c r="C20" i="76"/>
  <c r="C4" i="76"/>
  <c r="AB8" i="2"/>
  <c r="G14" i="76"/>
  <c r="L14" i="76" s="1"/>
  <c r="N32" i="1" l="1"/>
  <c r="L31" i="1"/>
  <c r="Q30" i="2"/>
  <c r="C21" i="76"/>
  <c r="AB9" i="2"/>
  <c r="K14" i="76"/>
  <c r="N14" i="76" s="1"/>
  <c r="I14" i="76"/>
  <c r="M14" i="76" s="1"/>
  <c r="K16" i="76"/>
  <c r="N16" i="76" s="1"/>
  <c r="K17" i="76"/>
  <c r="N17" i="76" s="1"/>
  <c r="N15" i="76"/>
  <c r="G15" i="76"/>
  <c r="L15" i="76" s="1"/>
  <c r="I15" i="76"/>
  <c r="M15" i="76" s="1"/>
  <c r="L32" i="1" l="1"/>
  <c r="AB10" i="2"/>
  <c r="D14" i="76"/>
  <c r="E14" i="76" s="1"/>
  <c r="G16" i="76"/>
  <c r="L16" i="76" s="1"/>
  <c r="I16" i="76"/>
  <c r="M16" i="76" s="1"/>
  <c r="C23" i="76" l="1"/>
  <c r="G17" i="76"/>
  <c r="L17" i="76" s="1"/>
  <c r="I17" i="76"/>
  <c r="M17" i="76" s="1"/>
  <c r="D15" i="76"/>
  <c r="E15" i="76" s="1"/>
  <c r="C24" i="76" l="1"/>
  <c r="G18" i="76"/>
  <c r="D17" i="76"/>
  <c r="E17" i="76" s="1"/>
  <c r="D16" i="76"/>
  <c r="E16" i="76" s="1"/>
  <c r="S12" i="3"/>
  <c r="V12" i="3" s="1"/>
  <c r="C25" i="76" l="1"/>
  <c r="G19" i="76"/>
  <c r="I19" i="76"/>
  <c r="K18" i="76"/>
  <c r="N18" i="76" s="1"/>
  <c r="C26" i="76" l="1"/>
  <c r="I20" i="76"/>
  <c r="M18" i="76"/>
  <c r="D18" i="76"/>
  <c r="E18" i="76" s="1"/>
  <c r="L18" i="76"/>
  <c r="K19" i="76"/>
  <c r="N19" i="76" s="1"/>
  <c r="C27" i="76" l="1"/>
  <c r="I21" i="76"/>
  <c r="M19" i="76"/>
  <c r="D19" i="76"/>
  <c r="E19" i="76" s="1"/>
  <c r="G20" i="76"/>
  <c r="K20" i="76"/>
  <c r="N20" i="76" s="1"/>
  <c r="L19" i="76"/>
  <c r="C28" i="76" l="1"/>
  <c r="M20" i="76"/>
  <c r="D20" i="76"/>
  <c r="E20" i="76" s="1"/>
  <c r="L20" i="76"/>
  <c r="G21" i="76"/>
  <c r="K21" i="76"/>
  <c r="N21" i="76" s="1"/>
  <c r="O5" i="79"/>
  <c r="N5" i="79"/>
  <c r="AA5" i="76"/>
  <c r="Y16" i="76"/>
  <c r="V16" i="76"/>
  <c r="V15" i="76"/>
  <c r="V14" i="76"/>
  <c r="V13" i="76"/>
  <c r="C29" i="76" l="1"/>
  <c r="M21" i="76"/>
  <c r="D21" i="76"/>
  <c r="E21" i="76" s="1"/>
  <c r="AQ11" i="1"/>
  <c r="K22" i="76"/>
  <c r="L21" i="76"/>
  <c r="N22" i="76" l="1"/>
  <c r="D22" i="76"/>
  <c r="E22" i="76" s="1"/>
  <c r="C30" i="76"/>
  <c r="M22" i="76"/>
  <c r="I23" i="76"/>
  <c r="K23" i="76"/>
  <c r="N23" i="76" s="1"/>
  <c r="L22" i="76"/>
  <c r="G23" i="76"/>
  <c r="G30" i="73"/>
  <c r="D30" i="73"/>
  <c r="M23" i="76" l="1"/>
  <c r="D23" i="76"/>
  <c r="E23" i="76" s="1"/>
  <c r="I24" i="76"/>
  <c r="G24" i="76"/>
  <c r="L23" i="76"/>
  <c r="K24" i="76"/>
  <c r="N24" i="76" s="1"/>
  <c r="X20" i="2" l="1"/>
  <c r="M24" i="76"/>
  <c r="D24" i="76"/>
  <c r="E24" i="76" s="1"/>
  <c r="I25" i="76"/>
  <c r="G25" i="76"/>
  <c r="L24" i="76"/>
  <c r="K25" i="76"/>
  <c r="N25" i="76" s="1"/>
  <c r="AA8" i="1"/>
  <c r="U8" i="5"/>
  <c r="M25" i="76" l="1"/>
  <c r="D25" i="76"/>
  <c r="E25" i="76" s="1"/>
  <c r="I26" i="76"/>
  <c r="K26" i="76"/>
  <c r="N26" i="76" s="1"/>
  <c r="G26" i="76"/>
  <c r="L25" i="76"/>
  <c r="U9" i="5"/>
  <c r="M26" i="76" l="1"/>
  <c r="D26" i="76"/>
  <c r="E26" i="76" s="1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AB8" i="76"/>
  <c r="M28" i="76" l="1"/>
  <c r="D28" i="76"/>
  <c r="E28" i="76" s="1"/>
  <c r="I29" i="76"/>
  <c r="G29" i="76"/>
  <c r="L28" i="76"/>
  <c r="K29" i="76"/>
  <c r="N29" i="76" s="1"/>
  <c r="I6" i="79"/>
  <c r="M29" i="76" l="1"/>
  <c r="D29" i="76"/>
  <c r="E29" i="76" s="1"/>
  <c r="I30" i="76"/>
  <c r="G30" i="76"/>
  <c r="K30" i="76"/>
  <c r="N30" i="76" s="1"/>
  <c r="L29" i="76"/>
  <c r="O6" i="79"/>
  <c r="AF14" i="1"/>
  <c r="R29" i="1"/>
  <c r="AA7" i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M30" i="76" l="1"/>
  <c r="D30" i="76"/>
  <c r="E30" i="76" s="1"/>
  <c r="I31" i="76"/>
  <c r="C31" i="76"/>
  <c r="G31" i="76"/>
  <c r="L30" i="76"/>
  <c r="K31" i="76"/>
  <c r="N31" i="76" s="1"/>
  <c r="N32" i="76" s="1"/>
  <c r="O7" i="79"/>
  <c r="AS29" i="1"/>
  <c r="E26" i="2"/>
  <c r="M31" i="76" l="1"/>
  <c r="M32" i="76" s="1"/>
  <c r="D31" i="76"/>
  <c r="E31" i="76" s="1"/>
  <c r="L31" i="76"/>
  <c r="L32" i="76" s="1"/>
  <c r="M9" i="79"/>
  <c r="O8" i="79"/>
  <c r="D21" i="1"/>
  <c r="E21" i="1" s="1"/>
  <c r="M10" i="79" l="1"/>
  <c r="O9" i="79"/>
  <c r="I8" i="79"/>
  <c r="Q3" i="2"/>
  <c r="M11" i="79" l="1"/>
  <c r="O10" i="79"/>
  <c r="I9" i="79"/>
  <c r="I10" i="79" l="1"/>
  <c r="M12" i="79"/>
  <c r="O11" i="79"/>
  <c r="K13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Q10" i="3" l="1"/>
  <c r="M13" i="79"/>
  <c r="O12" i="79"/>
  <c r="I11" i="79"/>
  <c r="D31" i="1"/>
  <c r="E31" i="1" s="1"/>
  <c r="M14" i="79" l="1"/>
  <c r="O13" i="79"/>
  <c r="I12" i="79"/>
  <c r="E24" i="3"/>
  <c r="M15" i="79" l="1"/>
  <c r="O14" i="79"/>
  <c r="I13" i="79"/>
  <c r="E25" i="3"/>
  <c r="M16" i="79" l="1"/>
  <c r="O15" i="79"/>
  <c r="I14" i="79"/>
  <c r="E26" i="3"/>
  <c r="I15" i="79" l="1"/>
  <c r="M17" i="79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J5" i="79"/>
  <c r="I16" i="79" l="1"/>
  <c r="M18" i="79"/>
  <c r="O17" i="79"/>
  <c r="W43" i="74"/>
  <c r="A10" i="3"/>
  <c r="A11" i="3"/>
  <c r="A12" i="3"/>
  <c r="A13" i="3"/>
  <c r="M19" i="79" l="1"/>
  <c r="O18" i="79"/>
  <c r="I17" i="79"/>
  <c r="A3" i="76"/>
  <c r="A5" i="7"/>
  <c r="M20" i="79" l="1"/>
  <c r="O19" i="79"/>
  <c r="I18" i="79"/>
  <c r="M21" i="79" l="1"/>
  <c r="O20" i="79"/>
  <c r="I19" i="79"/>
  <c r="M22" i="79" l="1"/>
  <c r="O21" i="79"/>
  <c r="I20" i="79"/>
  <c r="A2" i="3"/>
  <c r="A5" i="73"/>
  <c r="I21" i="79" l="1"/>
  <c r="M23" i="79"/>
  <c r="O22" i="79"/>
  <c r="I22" i="79" l="1"/>
  <c r="M24" i="79"/>
  <c r="O23" i="79"/>
  <c r="B6" i="7"/>
  <c r="F35" i="5"/>
  <c r="F36" i="5"/>
  <c r="B36" i="5"/>
  <c r="I23" i="79" l="1"/>
  <c r="M25" i="79"/>
  <c r="O24" i="79"/>
  <c r="D6" i="73"/>
  <c r="AM6" i="5" s="1"/>
  <c r="D7" i="73"/>
  <c r="D8" i="73"/>
  <c r="D9" i="73"/>
  <c r="D10" i="73"/>
  <c r="D11" i="73"/>
  <c r="D13" i="73"/>
  <c r="D15" i="73"/>
  <c r="D16" i="73"/>
  <c r="D17" i="73"/>
  <c r="D18" i="73"/>
  <c r="D19" i="73"/>
  <c r="D20" i="73"/>
  <c r="D21" i="73"/>
  <c r="D22" i="73"/>
  <c r="D23" i="73"/>
  <c r="BA23" i="7" s="1"/>
  <c r="BA24" i="7"/>
  <c r="D25" i="73"/>
  <c r="BA25" i="7" s="1"/>
  <c r="D26" i="73"/>
  <c r="BA26" i="7" s="1"/>
  <c r="D27" i="73"/>
  <c r="BA27" i="7" s="1"/>
  <c r="D28" i="73"/>
  <c r="BA28" i="7" s="1"/>
  <c r="D29" i="73"/>
  <c r="BA29" i="7" s="1"/>
  <c r="BA30" i="7"/>
  <c r="D31" i="73"/>
  <c r="BA31" i="7" s="1"/>
  <c r="D32" i="73"/>
  <c r="BA32" i="7" s="1"/>
  <c r="D33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A33" i="73"/>
  <c r="AO32" i="1"/>
  <c r="I24" i="79" l="1"/>
  <c r="M26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 i="73"/>
  <c r="AP14" i="5"/>
  <c r="Y11" i="5"/>
  <c r="AD7" i="1"/>
  <c r="AB21" i="74"/>
  <c r="AA21" i="74"/>
  <c r="I4" i="76"/>
  <c r="U3" i="3"/>
  <c r="S3" i="3"/>
  <c r="Q3" i="3"/>
  <c r="I3" i="3"/>
  <c r="E3" i="3"/>
  <c r="AD7" i="5"/>
  <c r="AJ6" i="5"/>
  <c r="J2" i="82"/>
  <c r="U6" i="5"/>
  <c r="H6" i="5"/>
  <c r="D5" i="75"/>
  <c r="E5" i="75" s="1"/>
  <c r="Y5" i="1"/>
  <c r="R5" i="1"/>
  <c r="G5" i="1"/>
  <c r="AD3" i="2"/>
  <c r="AB3" i="2"/>
  <c r="Z3" i="2"/>
  <c r="V3" i="2"/>
  <c r="T3" i="2"/>
  <c r="K3" i="2"/>
  <c r="G3" i="2"/>
  <c r="I2" i="82" s="1"/>
  <c r="I13" i="76"/>
  <c r="M13" i="76" s="1"/>
  <c r="K7" i="3"/>
  <c r="E4" i="3"/>
  <c r="AJ14" i="5"/>
  <c r="K10" i="82" s="1"/>
  <c r="H8" i="5"/>
  <c r="H10" i="5"/>
  <c r="AO9" i="1"/>
  <c r="AF13" i="1"/>
  <c r="AA6" i="1"/>
  <c r="Y6" i="1"/>
  <c r="Y15" i="1"/>
  <c r="AB15" i="1" s="1"/>
  <c r="R13" i="1"/>
  <c r="S10" i="1"/>
  <c r="T10" i="1" s="1"/>
  <c r="V4" i="2"/>
  <c r="F34" i="73"/>
  <c r="B17" i="77" s="1"/>
  <c r="J9" i="63"/>
  <c r="K9" i="73"/>
  <c r="G9" i="73"/>
  <c r="C6" i="76"/>
  <c r="K4" i="76"/>
  <c r="K3" i="3"/>
  <c r="AS33" i="1"/>
  <c r="AW35" i="1" s="1"/>
  <c r="AS5" i="1"/>
  <c r="AQ6" i="1"/>
  <c r="AO5" i="1"/>
  <c r="S6" i="1"/>
  <c r="T6" i="1" s="1"/>
  <c r="S5" i="1"/>
  <c r="B7" i="7"/>
  <c r="D7" i="7" s="1"/>
  <c r="K25" i="73"/>
  <c r="X3" i="2"/>
  <c r="M3" i="2"/>
  <c r="E2" i="82" s="1"/>
  <c r="I3" i="2"/>
  <c r="G2" i="82" s="1"/>
  <c r="J30" i="63"/>
  <c r="AP31" i="5"/>
  <c r="B8" i="77"/>
  <c r="J11" i="63"/>
  <c r="D7" i="77"/>
  <c r="F2" i="63"/>
  <c r="AV33" i="1"/>
  <c r="AV36" i="1" s="1"/>
  <c r="BA6" i="5"/>
  <c r="BA7" i="5"/>
  <c r="BA8" i="5"/>
  <c r="BA9" i="5"/>
  <c r="BA10" i="5"/>
  <c r="BA13" i="5"/>
  <c r="A34" i="65"/>
  <c r="G6" i="73"/>
  <c r="K6" i="73"/>
  <c r="G7" i="73"/>
  <c r="K7" i="73"/>
  <c r="G8" i="73"/>
  <c r="K8" i="73"/>
  <c r="G10" i="73"/>
  <c r="K10" i="73"/>
  <c r="G11" i="73"/>
  <c r="G12" i="73"/>
  <c r="K12" i="73"/>
  <c r="G13" i="73"/>
  <c r="G14" i="73"/>
  <c r="G16" i="73"/>
  <c r="K16" i="73"/>
  <c r="G17" i="73"/>
  <c r="K17" i="73"/>
  <c r="G18" i="73"/>
  <c r="K18" i="73"/>
  <c r="G20" i="73"/>
  <c r="K20" i="73"/>
  <c r="G21" i="73"/>
  <c r="K21" i="73"/>
  <c r="G22" i="73"/>
  <c r="K22" i="73"/>
  <c r="G23" i="73"/>
  <c r="K23" i="73"/>
  <c r="G24" i="73"/>
  <c r="K24" i="73"/>
  <c r="G25" i="73"/>
  <c r="G26" i="73"/>
  <c r="K26" i="73"/>
  <c r="AM27" i="5"/>
  <c r="G27" i="73"/>
  <c r="K27" i="73"/>
  <c r="AM28" i="5"/>
  <c r="G28" i="73"/>
  <c r="K28" i="73"/>
  <c r="AM29" i="5"/>
  <c r="G29" i="73"/>
  <c r="K29" i="73"/>
  <c r="AM30" i="5"/>
  <c r="K30" i="73"/>
  <c r="AM31" i="5"/>
  <c r="G31" i="73"/>
  <c r="AM32" i="5"/>
  <c r="G32" i="73"/>
  <c r="K32" i="73"/>
  <c r="AM33" i="5"/>
  <c r="G33" i="73"/>
  <c r="K33" i="73"/>
  <c r="A19" i="65"/>
  <c r="A14" i="5"/>
  <c r="AR14" i="5" s="1"/>
  <c r="AP18" i="5"/>
  <c r="AP17" i="5"/>
  <c r="AP13" i="5"/>
  <c r="I4" i="2"/>
  <c r="G3" i="82" s="1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D4" i="7" s="1"/>
  <c r="F4" i="7" s="1"/>
  <c r="H4" i="7" s="1"/>
  <c r="J4" i="7" s="1"/>
  <c r="L4" i="7" s="1"/>
  <c r="N4" i="7" s="1"/>
  <c r="P4" i="7" s="1"/>
  <c r="R4" i="7" s="1"/>
  <c r="T4" i="7" s="1"/>
  <c r="V4" i="7" s="1"/>
  <c r="A23" i="5"/>
  <c r="AR23" i="5" s="1"/>
  <c r="AH35" i="1"/>
  <c r="AH34" i="1"/>
  <c r="AP9" i="5"/>
  <c r="V4" i="76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11" i="5"/>
  <c r="AR11" i="5" s="1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4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E7" i="77"/>
  <c r="B32" i="63"/>
  <c r="A32" i="63"/>
  <c r="E32" i="63"/>
  <c r="C32" i="63"/>
  <c r="Z39" i="76"/>
  <c r="BA33" i="7"/>
  <c r="AJ7" i="5"/>
  <c r="AQ5" i="1"/>
  <c r="AS6" i="1"/>
  <c r="M4" i="2"/>
  <c r="E3" i="82" s="1"/>
  <c r="K4" i="2"/>
  <c r="F3" i="82" s="1"/>
  <c r="E5" i="2"/>
  <c r="H4" i="82" s="1"/>
  <c r="E4" i="2"/>
  <c r="I6" i="76"/>
  <c r="M6" i="76" s="1"/>
  <c r="I5" i="76"/>
  <c r="M5" i="76" s="1"/>
  <c r="G6" i="76"/>
  <c r="L6" i="76" s="1"/>
  <c r="G4" i="76"/>
  <c r="C5" i="76"/>
  <c r="S4" i="3"/>
  <c r="C4" i="3"/>
  <c r="C3" i="3"/>
  <c r="J4" i="82"/>
  <c r="J3" i="82"/>
  <c r="U7" i="5"/>
  <c r="R7" i="1"/>
  <c r="R6" i="1"/>
  <c r="D7" i="1"/>
  <c r="E7" i="1" s="1"/>
  <c r="Z7" i="7"/>
  <c r="AA7" i="7" s="1"/>
  <c r="D6" i="1"/>
  <c r="E6" i="1" s="1"/>
  <c r="D5" i="1"/>
  <c r="E5" i="1" s="1"/>
  <c r="Z6" i="7"/>
  <c r="AB6" i="7" s="1"/>
  <c r="AD6" i="7" s="1"/>
  <c r="AM26" i="5"/>
  <c r="AD5" i="2"/>
  <c r="AB5" i="2"/>
  <c r="Z5" i="2"/>
  <c r="Z4" i="2"/>
  <c r="T5" i="2"/>
  <c r="T4" i="2"/>
  <c r="Q5" i="2"/>
  <c r="Q4" i="2"/>
  <c r="I5" i="65"/>
  <c r="I5" i="2"/>
  <c r="G4" i="82" s="1"/>
  <c r="G5" i="2"/>
  <c r="I4" i="82" s="1"/>
  <c r="G4" i="2"/>
  <c r="E3" i="2"/>
  <c r="H2" i="82" s="1"/>
  <c r="A5" i="79"/>
  <c r="L5" i="79" s="1"/>
  <c r="J2" i="63"/>
  <c r="K31" i="73"/>
  <c r="AB4" i="2"/>
  <c r="AD6" i="1"/>
  <c r="H7" i="5"/>
  <c r="AD4" i="2"/>
  <c r="AF5" i="1"/>
  <c r="AA6" i="5"/>
  <c r="J4" i="63"/>
  <c r="AD8" i="5"/>
  <c r="U5" i="3"/>
  <c r="U4" i="3"/>
  <c r="K6" i="76"/>
  <c r="N6" i="76" s="1"/>
  <c r="K5" i="76"/>
  <c r="N5" i="76" s="1"/>
  <c r="K4" i="3"/>
  <c r="K5" i="3"/>
  <c r="N5" i="3" s="1"/>
  <c r="AA7" i="5"/>
  <c r="AO6" i="1"/>
  <c r="AS7" i="1"/>
  <c r="M5" i="2"/>
  <c r="E4" i="82" s="1"/>
  <c r="X4" i="2"/>
  <c r="K7" i="76"/>
  <c r="N7" i="76" s="1"/>
  <c r="I7" i="76"/>
  <c r="M7" i="76" s="1"/>
  <c r="G7" i="76"/>
  <c r="L7" i="76" s="1"/>
  <c r="C7" i="76"/>
  <c r="U6" i="3"/>
  <c r="K6" i="3"/>
  <c r="AD9" i="5"/>
  <c r="AA8" i="5"/>
  <c r="AJ8" i="5"/>
  <c r="K4" i="82" s="1"/>
  <c r="Y9" i="5"/>
  <c r="H9" i="5"/>
  <c r="AQ7" i="1"/>
  <c r="AD8" i="1"/>
  <c r="R8" i="1"/>
  <c r="S7" i="1"/>
  <c r="T7" i="1" s="1"/>
  <c r="Z8" i="7"/>
  <c r="B8" i="7"/>
  <c r="AD6" i="2"/>
  <c r="AB6" i="2"/>
  <c r="Z6" i="2"/>
  <c r="Q6" i="2"/>
  <c r="K5" i="2"/>
  <c r="F4" i="82" s="1"/>
  <c r="I6" i="2"/>
  <c r="G5" i="82" s="1"/>
  <c r="G6" i="2"/>
  <c r="G6" i="1"/>
  <c r="I6" i="1"/>
  <c r="G7" i="1"/>
  <c r="AF6" i="1"/>
  <c r="AO7" i="1"/>
  <c r="X5" i="2"/>
  <c r="E6" i="2"/>
  <c r="H5" i="82" s="1"/>
  <c r="K8" i="76"/>
  <c r="N8" i="76" s="1"/>
  <c r="I8" i="76"/>
  <c r="G8" i="76"/>
  <c r="L8" i="76" s="1"/>
  <c r="AD10" i="5"/>
  <c r="AA9" i="5"/>
  <c r="AJ9" i="5"/>
  <c r="K5" i="82" s="1"/>
  <c r="Y10" i="5"/>
  <c r="AS8" i="1"/>
  <c r="AQ8" i="1"/>
  <c r="R9" i="1"/>
  <c r="S8" i="1"/>
  <c r="T8" i="1" s="1"/>
  <c r="Z9" i="7"/>
  <c r="AB9" i="7" s="1"/>
  <c r="D8" i="1"/>
  <c r="E8" i="1" s="1"/>
  <c r="B9" i="7"/>
  <c r="C9" i="7" s="1"/>
  <c r="AD7" i="2"/>
  <c r="Z7" i="2"/>
  <c r="Q7" i="2"/>
  <c r="M6" i="2"/>
  <c r="E5" i="82" s="1"/>
  <c r="K6" i="2"/>
  <c r="F5" i="82" s="1"/>
  <c r="I7" i="2"/>
  <c r="G6" i="82" s="1"/>
  <c r="G7" i="2"/>
  <c r="I6" i="82" s="1"/>
  <c r="E7" i="2"/>
  <c r="H6" i="82" s="1"/>
  <c r="I7" i="1"/>
  <c r="AF7" i="1"/>
  <c r="G8" i="1"/>
  <c r="AO8" i="1"/>
  <c r="X6" i="2"/>
  <c r="AD11" i="5"/>
  <c r="AJ10" i="5"/>
  <c r="K6" i="82" s="1"/>
  <c r="AA10" i="5"/>
  <c r="AS9" i="1"/>
  <c r="AQ9" i="1"/>
  <c r="R10" i="1"/>
  <c r="Z10" i="7"/>
  <c r="AA10" i="7" s="1"/>
  <c r="B10" i="7"/>
  <c r="Z8" i="2"/>
  <c r="Q8" i="2"/>
  <c r="M7" i="2"/>
  <c r="E6" i="82" s="1"/>
  <c r="I8" i="1"/>
  <c r="G9" i="1"/>
  <c r="AF8" i="1"/>
  <c r="X7" i="2"/>
  <c r="AA11" i="5"/>
  <c r="AJ11" i="5"/>
  <c r="AS10" i="1"/>
  <c r="AQ10" i="1"/>
  <c r="AD11" i="1"/>
  <c r="R11" i="1"/>
  <c r="B11" i="7"/>
  <c r="Q9" i="2"/>
  <c r="M8" i="2"/>
  <c r="E7" i="82" s="1"/>
  <c r="I9" i="1"/>
  <c r="G10" i="1"/>
  <c r="X8" i="2"/>
  <c r="D12" i="1"/>
  <c r="E12" i="1" s="1"/>
  <c r="B12" i="7"/>
  <c r="D12" i="7" s="1"/>
  <c r="I11" i="1"/>
  <c r="I10" i="1"/>
  <c r="X9" i="2"/>
  <c r="D13" i="1"/>
  <c r="E13" i="1" s="1"/>
  <c r="M10" i="2"/>
  <c r="E9" i="82" s="1"/>
  <c r="E12" i="3"/>
  <c r="C12" i="3"/>
  <c r="Y14" i="1"/>
  <c r="AB14" i="1" s="1"/>
  <c r="M11" i="2"/>
  <c r="E10" i="82" s="1"/>
  <c r="E13" i="3"/>
  <c r="U13" i="5"/>
  <c r="AA13" i="5"/>
  <c r="AJ13" i="5"/>
  <c r="K9" i="82" s="1"/>
  <c r="AJ12" i="5"/>
  <c r="K8" i="82" s="1"/>
  <c r="AA14" i="5"/>
  <c r="AA12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Q10" i="2"/>
  <c r="M9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L11" i="76" s="1"/>
  <c r="G12" i="76"/>
  <c r="L12" i="76" s="1"/>
  <c r="G10" i="76"/>
  <c r="G9" i="76"/>
  <c r="L9" i="76" s="1"/>
  <c r="C9" i="76"/>
  <c r="C11" i="76"/>
  <c r="C10" i="76"/>
  <c r="C8" i="76"/>
  <c r="U9" i="3"/>
  <c r="V9" i="3" s="1"/>
  <c r="U8" i="3"/>
  <c r="U7" i="3"/>
  <c r="BA11" i="5"/>
  <c r="BA12" i="5"/>
  <c r="AD12" i="5"/>
  <c r="Y15" i="5"/>
  <c r="Y14" i="5"/>
  <c r="U15" i="5"/>
  <c r="U14" i="5"/>
  <c r="U12" i="5"/>
  <c r="U11" i="5"/>
  <c r="AS11" i="1"/>
  <c r="AF12" i="1"/>
  <c r="AF9" i="1"/>
  <c r="AF11" i="1"/>
  <c r="AF10" i="1"/>
  <c r="AD10" i="1"/>
  <c r="AD9" i="1"/>
  <c r="AG9" i="1" s="1"/>
  <c r="AD12" i="1"/>
  <c r="S9" i="1"/>
  <c r="T9" i="1" s="1"/>
  <c r="D10" i="1"/>
  <c r="E10" i="1" s="1"/>
  <c r="Z13" i="7"/>
  <c r="AA13" i="7" s="1"/>
  <c r="Z12" i="7"/>
  <c r="AA12" i="7" s="1"/>
  <c r="Z11" i="7"/>
  <c r="AA11" i="7" s="1"/>
  <c r="B14" i="7"/>
  <c r="B13" i="7"/>
  <c r="AD8" i="2"/>
  <c r="Z9" i="2"/>
  <c r="X10" i="2"/>
  <c r="K8" i="2"/>
  <c r="F7" i="82" s="1"/>
  <c r="K7" i="2"/>
  <c r="F6" i="82" s="1"/>
  <c r="I8" i="2"/>
  <c r="G7" i="82" s="1"/>
  <c r="G8" i="2"/>
  <c r="I7" i="82" s="1"/>
  <c r="J23" i="63"/>
  <c r="J17" i="63"/>
  <c r="A13" i="65"/>
  <c r="R14" i="1"/>
  <c r="R12" i="1"/>
  <c r="E8" i="2"/>
  <c r="H7" i="82" s="1"/>
  <c r="AM25" i="5"/>
  <c r="A30" i="65"/>
  <c r="I12" i="1"/>
  <c r="A24" i="65"/>
  <c r="J22" i="63"/>
  <c r="BA6" i="7"/>
  <c r="K8" i="3"/>
  <c r="N8" i="3" s="1"/>
  <c r="AD13" i="5"/>
  <c r="AD14" i="5"/>
  <c r="AD16" i="5"/>
  <c r="AD15" i="5"/>
  <c r="H11" i="5"/>
  <c r="AS12" i="1"/>
  <c r="AQ12" i="1"/>
  <c r="AO10" i="1"/>
  <c r="S11" i="1"/>
  <c r="T11" i="1" s="1"/>
  <c r="AD9" i="2"/>
  <c r="AB13" i="2"/>
  <c r="AB11" i="2"/>
  <c r="Z11" i="2"/>
  <c r="Z10" i="2"/>
  <c r="X11" i="2"/>
  <c r="K9" i="2"/>
  <c r="F8" i="82" s="1"/>
  <c r="I9" i="2"/>
  <c r="G8" i="82" s="1"/>
  <c r="G9" i="2"/>
  <c r="E9" i="2"/>
  <c r="H8" i="82" s="1"/>
  <c r="I14" i="1"/>
  <c r="I13" i="1"/>
  <c r="S10" i="3"/>
  <c r="V10" i="3" s="1"/>
  <c r="K9" i="3"/>
  <c r="N9" i="3" s="1"/>
  <c r="AD17" i="5"/>
  <c r="H12" i="5"/>
  <c r="AS13" i="1"/>
  <c r="AQ14" i="1"/>
  <c r="AQ13" i="1"/>
  <c r="AO11" i="1"/>
  <c r="S12" i="1"/>
  <c r="T12" i="1" s="1"/>
  <c r="AD10" i="2"/>
  <c r="AB12" i="2"/>
  <c r="X12" i="2"/>
  <c r="X13" i="2"/>
  <c r="K10" i="2"/>
  <c r="F9" i="82" s="1"/>
  <c r="I10" i="2"/>
  <c r="G9" i="82" s="1"/>
  <c r="G10" i="2"/>
  <c r="E11" i="2"/>
  <c r="E10" i="2"/>
  <c r="H9" i="82" s="1"/>
  <c r="S11" i="3"/>
  <c r="V11" i="3" s="1"/>
  <c r="K11" i="3"/>
  <c r="K10" i="3"/>
  <c r="AD18" i="5"/>
  <c r="H13" i="5"/>
  <c r="AS14" i="1"/>
  <c r="AO12" i="1"/>
  <c r="S14" i="1"/>
  <c r="T14" i="1" s="1"/>
  <c r="S13" i="1"/>
  <c r="AD12" i="2"/>
  <c r="AD11" i="2"/>
  <c r="K13" i="2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 i="5"/>
  <c r="AS15" i="1"/>
  <c r="AO13" i="1"/>
  <c r="K12" i="2"/>
  <c r="F11" i="82" s="1"/>
  <c r="I12" i="2"/>
  <c r="G11" i="82" s="1"/>
  <c r="I13" i="2"/>
  <c r="G12" i="82" s="1"/>
  <c r="V8" i="2"/>
  <c r="AD20" i="5"/>
  <c r="H16" i="5"/>
  <c r="H15" i="5"/>
  <c r="AO14" i="1"/>
  <c r="V9" i="2"/>
  <c r="AD21" i="5"/>
  <c r="T12" i="2"/>
  <c r="T14" i="2"/>
  <c r="V10" i="2"/>
  <c r="AD22" i="5"/>
  <c r="V12" i="2"/>
  <c r="V11" i="2"/>
  <c r="AD23" i="5"/>
  <c r="AD25" i="5"/>
  <c r="C14" i="7" l="1"/>
  <c r="F4" i="3"/>
  <c r="Z4" i="3"/>
  <c r="F4" i="63" s="1"/>
  <c r="A32" i="76"/>
  <c r="C32" i="76" s="1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AT5" i="1"/>
  <c r="N4" i="76"/>
  <c r="M4" i="76"/>
  <c r="AT6" i="1"/>
  <c r="J6" i="82"/>
  <c r="J9" i="82"/>
  <c r="J11" i="82"/>
  <c r="J8" i="82"/>
  <c r="J5" i="82"/>
  <c r="J7" i="82"/>
  <c r="J10" i="82"/>
  <c r="L4" i="76"/>
  <c r="D4" i="76"/>
  <c r="E4" i="76" s="1"/>
  <c r="AZ9" i="5"/>
  <c r="BC9" i="5" s="1"/>
  <c r="M27" i="79"/>
  <c r="O26" i="79"/>
  <c r="I25" i="79"/>
  <c r="H3" i="82"/>
  <c r="N4" i="2"/>
  <c r="S5" i="76" s="1"/>
  <c r="J11" i="1"/>
  <c r="V7" i="3"/>
  <c r="V5" i="3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i="3" s="1"/>
  <c r="E4" i="63"/>
  <c r="I7" i="65"/>
  <c r="P72" i="74"/>
  <c r="J6" i="1"/>
  <c r="P77" i="74"/>
  <c r="P68" i="74"/>
  <c r="F12" i="3"/>
  <c r="V8" i="3"/>
  <c r="J12" i="1"/>
  <c r="H48" i="74"/>
  <c r="H56" i="74"/>
  <c r="H64" i="74"/>
  <c r="H72" i="74"/>
  <c r="L58" i="74"/>
  <c r="L66" i="74"/>
  <c r="L53" i="74"/>
  <c r="L61" i="74"/>
  <c r="L69" i="74"/>
  <c r="L77" i="74"/>
  <c r="J7" i="1"/>
  <c r="F3" i="3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AG8" i="1"/>
  <c r="BE10" i="7"/>
  <c r="BG10" i="7" s="1"/>
  <c r="AH6" i="1"/>
  <c r="C6" i="65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AG11" i="1"/>
  <c r="H65" i="74"/>
  <c r="L64" i="74"/>
  <c r="D59" i="74"/>
  <c r="D67" i="74"/>
  <c r="D75" i="74"/>
  <c r="AG10" i="1"/>
  <c r="N7" i="3"/>
  <c r="J9" i="1"/>
  <c r="V6" i="3"/>
  <c r="N6" i="3"/>
  <c r="BD11" i="5"/>
  <c r="J8" i="1"/>
  <c r="AF9" i="2"/>
  <c r="B8" i="63" s="1"/>
  <c r="E5" i="63"/>
  <c r="D7" i="76"/>
  <c r="E7" i="76" s="1"/>
  <c r="AF8" i="2"/>
  <c r="H10" i="65" s="1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N4" i="3"/>
  <c r="BD8" i="5"/>
  <c r="BD10" i="5"/>
  <c r="BD13" i="5"/>
  <c r="AT9" i="1"/>
  <c r="V3" i="3"/>
  <c r="BD12" i="5"/>
  <c r="AT10" i="1"/>
  <c r="AF10" i="2"/>
  <c r="H12" i="65" s="1"/>
  <c r="AF7" i="2"/>
  <c r="H9" i="65" s="1"/>
  <c r="A11" i="63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D8" i="76"/>
  <c r="E8" i="76" s="1"/>
  <c r="M8" i="76"/>
  <c r="D6" i="76"/>
  <c r="E6" i="76" s="1"/>
  <c r="D5" i="76"/>
  <c r="E5" i="76" s="1"/>
  <c r="D10" i="76"/>
  <c r="E10" i="76" s="1"/>
  <c r="L10" i="76"/>
  <c r="D9" i="76"/>
  <c r="E9" i="76" s="1"/>
  <c r="L5" i="76"/>
  <c r="C5" i="3"/>
  <c r="Z5" i="3" s="1"/>
  <c r="BD7" i="5"/>
  <c r="AZ10" i="5"/>
  <c r="AU11" i="5"/>
  <c r="BD9" i="5"/>
  <c r="K7" i="82"/>
  <c r="BD6" i="5"/>
  <c r="K3" i="82"/>
  <c r="AT7" i="1"/>
  <c r="AT11" i="1"/>
  <c r="AT8" i="1"/>
  <c r="AB6" i="1"/>
  <c r="AM6" i="1"/>
  <c r="F7" i="75" s="1"/>
  <c r="G7" i="75" s="1"/>
  <c r="AF4" i="2"/>
  <c r="B3" i="63" s="1"/>
  <c r="A2" i="63"/>
  <c r="A4" i="63"/>
  <c r="AE4" i="2"/>
  <c r="A3" i="63"/>
  <c r="T7" i="2"/>
  <c r="AE5" i="2"/>
  <c r="T6" i="2"/>
  <c r="AD6" i="3"/>
  <c r="AD7" i="3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 i="74"/>
  <c r="S81" i="74"/>
  <c r="N8" i="2"/>
  <c r="S9" i="76" s="1"/>
  <c r="N7" i="2"/>
  <c r="I8" i="82"/>
  <c r="I5" i="82"/>
  <c r="I3" i="82"/>
  <c r="N5" i="2"/>
  <c r="AF3" i="2"/>
  <c r="H5" i="65" s="1"/>
  <c r="E2" i="63"/>
  <c r="J21" i="63"/>
  <c r="X76" i="74"/>
  <c r="AT35" i="7"/>
  <c r="X58" i="74"/>
  <c r="X51" i="74"/>
  <c r="A28" i="65"/>
  <c r="B25" i="2"/>
  <c r="L24" i="82" s="1"/>
  <c r="X72" i="74"/>
  <c r="X67" i="74"/>
  <c r="X60" i="74"/>
  <c r="X65" i="74"/>
  <c r="AB11" i="7"/>
  <c r="A17" i="65"/>
  <c r="P50" i="74"/>
  <c r="P54" i="74"/>
  <c r="X53" i="74"/>
  <c r="J19" i="63"/>
  <c r="B5" i="2"/>
  <c r="O4" i="81" s="1"/>
  <c r="A10" i="65"/>
  <c r="P52" i="74"/>
  <c r="AA6" i="7"/>
  <c r="J7" i="63"/>
  <c r="A32" i="65"/>
  <c r="P63" i="74"/>
  <c r="P75" i="74"/>
  <c r="A18" i="65"/>
  <c r="D32" i="63"/>
  <c r="P48" i="74"/>
  <c r="B13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4" i="2"/>
  <c r="A20" i="65"/>
  <c r="AB10" i="7"/>
  <c r="AC10" i="7" s="1"/>
  <c r="B30" i="2"/>
  <c r="O29" i="81" s="1"/>
  <c r="J27" i="63"/>
  <c r="A11" i="65"/>
  <c r="P49" i="74"/>
  <c r="P53" i="74"/>
  <c r="X55" i="74"/>
  <c r="B8" i="2"/>
  <c r="B4" i="2"/>
  <c r="AB12" i="7"/>
  <c r="AC12" i="7" s="1"/>
  <c r="B15" i="2"/>
  <c r="AA9" i="7"/>
  <c r="B7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N3" i="3"/>
  <c r="U5" i="1"/>
  <c r="AV35" i="1"/>
  <c r="X66" i="74"/>
  <c r="AM23" i="5"/>
  <c r="P64" i="74"/>
  <c r="X63" i="74"/>
  <c r="P62" i="74"/>
  <c r="X62" i="74"/>
  <c r="P61" i="74"/>
  <c r="X61" i="74"/>
  <c r="N3" i="2"/>
  <c r="F2" i="82"/>
  <c r="N5" i="1"/>
  <c r="AL5" i="1"/>
  <c r="D6" i="75" s="1"/>
  <c r="E6" i="75" s="1"/>
  <c r="AE3" i="2"/>
  <c r="AB5" i="1"/>
  <c r="Q4" i="3"/>
  <c r="AK6" i="5"/>
  <c r="K2" i="82"/>
  <c r="T5" i="1"/>
  <c r="Z3" i="3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C8" i="77"/>
  <c r="D8" i="77" s="1"/>
  <c r="AW33" i="1"/>
  <c r="G34" i="73"/>
  <c r="P58" i="74"/>
  <c r="AE12" i="2"/>
  <c r="T13" i="2"/>
  <c r="A12" i="63" s="1"/>
  <c r="AP15" i="5"/>
  <c r="P57" i="74"/>
  <c r="S13" i="3"/>
  <c r="V13" i="3" s="1"/>
  <c r="S14" i="3"/>
  <c r="V14" i="3" s="1"/>
  <c r="E14" i="3"/>
  <c r="C13" i="3"/>
  <c r="AQ15" i="1"/>
  <c r="AO15" i="1"/>
  <c r="AA14" i="1"/>
  <c r="AA15" i="1"/>
  <c r="S15" i="1"/>
  <c r="T15" i="1" s="1"/>
  <c r="T13" i="1"/>
  <c r="J13" i="1"/>
  <c r="V13" i="2"/>
  <c r="K14" i="73"/>
  <c r="P56" i="74"/>
  <c r="X56" i="74"/>
  <c r="K13" i="76"/>
  <c r="N13" i="76" s="1"/>
  <c r="D11" i="76"/>
  <c r="E11" i="76" s="1"/>
  <c r="M11" i="76"/>
  <c r="G13" i="76"/>
  <c r="D12" i="76"/>
  <c r="E12" i="76" s="1"/>
  <c r="N11" i="3"/>
  <c r="N10" i="3"/>
  <c r="BA15" i="5"/>
  <c r="BA14" i="5"/>
  <c r="BD14" i="5" s="1"/>
  <c r="AS16" i="1"/>
  <c r="AT12" i="1"/>
  <c r="AT14" i="1"/>
  <c r="AT13" i="1"/>
  <c r="AD14" i="1"/>
  <c r="AG12" i="1"/>
  <c r="AD13" i="1"/>
  <c r="I16" i="1"/>
  <c r="I15" i="1"/>
  <c r="AL14" i="1"/>
  <c r="D15" i="75" s="1"/>
  <c r="E15" i="75" s="1"/>
  <c r="U14" i="1"/>
  <c r="J14" i="1"/>
  <c r="AC14" i="7"/>
  <c r="AD14" i="7"/>
  <c r="D14" i="1"/>
  <c r="E14" i="1" s="1"/>
  <c r="Z15" i="7"/>
  <c r="AA14" i="7"/>
  <c r="B15" i="7"/>
  <c r="D15" i="7" s="1"/>
  <c r="D14" i="7"/>
  <c r="F14" i="7" s="1"/>
  <c r="H14" i="7" s="1"/>
  <c r="D13" i="7"/>
  <c r="AF11" i="2"/>
  <c r="H13" i="65" s="1"/>
  <c r="Q12" i="2"/>
  <c r="AD10" i="3"/>
  <c r="Q11" i="2"/>
  <c r="M12" i="2"/>
  <c r="E11" i="82" s="1"/>
  <c r="G14" i="2"/>
  <c r="I13" i="82" s="1"/>
  <c r="I9" i="82"/>
  <c r="N11" i="2"/>
  <c r="H10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B24" i="2"/>
  <c r="B17" i="2"/>
  <c r="X74" i="74"/>
  <c r="J14" i="63"/>
  <c r="D6" i="7"/>
  <c r="F12" i="7"/>
  <c r="J25" i="63"/>
  <c r="B20" i="2"/>
  <c r="D11" i="7"/>
  <c r="C11" i="7"/>
  <c r="B22" i="2"/>
  <c r="A31" i="65"/>
  <c r="J29" i="63"/>
  <c r="A7" i="65"/>
  <c r="J5" i="63"/>
  <c r="P67" i="74"/>
  <c r="D9" i="7"/>
  <c r="X64" i="74"/>
  <c r="X52" i="74"/>
  <c r="B28" i="2"/>
  <c r="A26" i="65"/>
  <c r="J24" i="63"/>
  <c r="B19" i="2"/>
  <c r="C12" i="7"/>
  <c r="B10" i="2"/>
  <c r="B9" i="2"/>
  <c r="P76" i="74"/>
  <c r="O6" i="81" l="1"/>
  <c r="O7" i="2"/>
  <c r="L20" i="82"/>
  <c r="O21" i="2"/>
  <c r="AI3" i="3"/>
  <c r="D5" i="65" s="1"/>
  <c r="AE3" i="3"/>
  <c r="AF3" i="3" s="1"/>
  <c r="AG3" i="3" s="1"/>
  <c r="K32" i="76"/>
  <c r="I32" i="76"/>
  <c r="G32" i="76"/>
  <c r="AU6" i="1"/>
  <c r="I3" i="81" s="1"/>
  <c r="O20" i="81"/>
  <c r="O17" i="81"/>
  <c r="L5" i="82"/>
  <c r="R11" i="2"/>
  <c r="BC10" i="5"/>
  <c r="I4" i="3"/>
  <c r="M28" i="79"/>
  <c r="O27" i="79"/>
  <c r="I26" i="79"/>
  <c r="AH14" i="1"/>
  <c r="U6" i="1"/>
  <c r="O25" i="81"/>
  <c r="L15" i="82"/>
  <c r="L26" i="82"/>
  <c r="L22" i="82"/>
  <c r="O11" i="81"/>
  <c r="O10" i="81"/>
  <c r="O11" i="2"/>
  <c r="AB4" i="3"/>
  <c r="F17" i="77"/>
  <c r="E17" i="77"/>
  <c r="C6" i="63"/>
  <c r="R7" i="2"/>
  <c r="O28" i="81"/>
  <c r="V81" i="74"/>
  <c r="AU7" i="1"/>
  <c r="I4" i="81" s="1"/>
  <c r="AG3" i="2"/>
  <c r="B7" i="63"/>
  <c r="H6" i="65"/>
  <c r="Q5" i="3"/>
  <c r="AB3" i="3"/>
  <c r="AG4" i="2"/>
  <c r="H11" i="65"/>
  <c r="D5" i="63"/>
  <c r="O6" i="2"/>
  <c r="AU9" i="1"/>
  <c r="I6" i="81" s="1"/>
  <c r="R9" i="2"/>
  <c r="AI9" i="2" s="1"/>
  <c r="J81" i="74"/>
  <c r="AU10" i="1"/>
  <c r="I7" i="81" s="1"/>
  <c r="AE4" i="3"/>
  <c r="AF4" i="3" s="1"/>
  <c r="AG4" i="3" s="1"/>
  <c r="AU11" i="1"/>
  <c r="I8" i="81" s="1"/>
  <c r="B6" i="63"/>
  <c r="B9" i="63"/>
  <c r="AI4" i="3"/>
  <c r="D6" i="65" s="1"/>
  <c r="R8" i="2"/>
  <c r="J10" i="65" s="1"/>
  <c r="F81" i="74"/>
  <c r="B81" i="74"/>
  <c r="E5" i="3"/>
  <c r="C6" i="3"/>
  <c r="Z6" i="3" s="1"/>
  <c r="AU12" i="5"/>
  <c r="AZ11" i="5"/>
  <c r="BC11" i="5" s="1"/>
  <c r="AU8" i="1"/>
  <c r="I5" i="81" s="1"/>
  <c r="AU12" i="1"/>
  <c r="I9" i="81" s="1"/>
  <c r="AH7" i="1"/>
  <c r="C7" i="65" s="1"/>
  <c r="Y7" i="1"/>
  <c r="V5" i="2"/>
  <c r="AF5" i="2" s="1"/>
  <c r="AG5" i="2" s="1"/>
  <c r="V6" i="2"/>
  <c r="AF6" i="2" s="1"/>
  <c r="T8" i="2"/>
  <c r="A6" i="63"/>
  <c r="AE7" i="2"/>
  <c r="AG7" i="2" s="1"/>
  <c r="AE6" i="2"/>
  <c r="A5" i="63"/>
  <c r="AI8" i="3"/>
  <c r="AI7" i="3"/>
  <c r="AI6" i="3"/>
  <c r="C7" i="63"/>
  <c r="D7" i="63" s="1"/>
  <c r="E7" i="81"/>
  <c r="E5" i="81"/>
  <c r="R6" i="2"/>
  <c r="J8" i="65" s="1"/>
  <c r="S7" i="76"/>
  <c r="C9" i="63"/>
  <c r="D9" i="63" s="1"/>
  <c r="C8" i="63"/>
  <c r="D8" i="63" s="1"/>
  <c r="R10" i="2"/>
  <c r="AI10" i="2" s="1"/>
  <c r="E9" i="81"/>
  <c r="E8" i="81"/>
  <c r="E3" i="81"/>
  <c r="C3" i="63"/>
  <c r="D3" i="63" s="1"/>
  <c r="R4" i="2"/>
  <c r="J6" i="65" s="1"/>
  <c r="O24" i="81"/>
  <c r="L12" i="82"/>
  <c r="L4" i="82"/>
  <c r="O5" i="2"/>
  <c r="AL6" i="1"/>
  <c r="D7" i="75" s="1"/>
  <c r="E7" i="75" s="1"/>
  <c r="S8" i="76"/>
  <c r="E6" i="81"/>
  <c r="E4" i="81"/>
  <c r="C4" i="63"/>
  <c r="D4" i="63" s="1"/>
  <c r="R5" i="2"/>
  <c r="S6" i="76"/>
  <c r="B2" i="63"/>
  <c r="AC11" i="7"/>
  <c r="AD11" i="7"/>
  <c r="D7" i="65"/>
  <c r="L2" i="82"/>
  <c r="AD13" i="7"/>
  <c r="AE13" i="7" s="1"/>
  <c r="AD7" i="7"/>
  <c r="AE7" i="7" s="1"/>
  <c r="AD10" i="7"/>
  <c r="AF10" i="7" s="1"/>
  <c r="C81" i="74"/>
  <c r="G81" i="74"/>
  <c r="K81" i="74"/>
  <c r="L13" i="82"/>
  <c r="O13" i="81"/>
  <c r="L3" i="82"/>
  <c r="O4" i="2"/>
  <c r="D11" i="65"/>
  <c r="AD12" i="7"/>
  <c r="AE12" i="7" s="1"/>
  <c r="L6" i="82"/>
  <c r="L7" i="82"/>
  <c r="O7" i="81"/>
  <c r="O8" i="2"/>
  <c r="O14" i="81"/>
  <c r="L14" i="82"/>
  <c r="O3" i="81"/>
  <c r="L29" i="82"/>
  <c r="W81" i="74"/>
  <c r="O81" i="74"/>
  <c r="H5" i="75"/>
  <c r="F3" i="63"/>
  <c r="C2" i="63"/>
  <c r="D2" i="63" s="1"/>
  <c r="S4" i="76"/>
  <c r="R3" i="2"/>
  <c r="J5" i="65" s="1"/>
  <c r="E2" i="81"/>
  <c r="H3" i="63"/>
  <c r="F6" i="65"/>
  <c r="V6" i="1"/>
  <c r="O3" i="2"/>
  <c r="W3" i="7"/>
  <c r="AO3" i="7" s="1"/>
  <c r="H17" i="5"/>
  <c r="AE13" i="2"/>
  <c r="E15" i="3"/>
  <c r="F13" i="3"/>
  <c r="C14" i="3"/>
  <c r="BD15" i="5"/>
  <c r="Y16" i="5"/>
  <c r="AT15" i="1"/>
  <c r="AU15" i="1" s="1"/>
  <c r="I12" i="81" s="1"/>
  <c r="AO16" i="1"/>
  <c r="AA16" i="1"/>
  <c r="Y16" i="1"/>
  <c r="AB16" i="1" s="1"/>
  <c r="T15" i="2"/>
  <c r="G13" i="2"/>
  <c r="I12" i="82" s="1"/>
  <c r="N81" i="74"/>
  <c r="L13" i="76"/>
  <c r="D13" i="76"/>
  <c r="E13" i="76" s="1"/>
  <c r="S15" i="3"/>
  <c r="V15" i="3" s="1"/>
  <c r="K12" i="3"/>
  <c r="Z12" i="3" s="1"/>
  <c r="BA16" i="5"/>
  <c r="BD16" i="5" s="1"/>
  <c r="AA15" i="5"/>
  <c r="AJ15" i="5"/>
  <c r="U16" i="5"/>
  <c r="AS17" i="1"/>
  <c r="AU14" i="1"/>
  <c r="I11" i="81" s="1"/>
  <c r="AQ16" i="1"/>
  <c r="AU13" i="1"/>
  <c r="I10" i="81" s="1"/>
  <c r="AF15" i="1"/>
  <c r="AH15" i="1" s="1"/>
  <c r="C15" i="65" s="1"/>
  <c r="AG13" i="1"/>
  <c r="AM14" i="1"/>
  <c r="F15" i="75" s="1"/>
  <c r="G15" i="75" s="1"/>
  <c r="AG14" i="1"/>
  <c r="AD15" i="1"/>
  <c r="R15" i="1"/>
  <c r="S16" i="1"/>
  <c r="T16" i="1" s="1"/>
  <c r="I17" i="1"/>
  <c r="G15" i="1"/>
  <c r="Z16" i="7"/>
  <c r="D16" i="1"/>
  <c r="E16" i="1" s="1"/>
  <c r="AE14" i="7"/>
  <c r="AF14" i="7"/>
  <c r="D15" i="1"/>
  <c r="E15" i="1" s="1"/>
  <c r="AA15" i="7"/>
  <c r="AB15" i="7"/>
  <c r="G14" i="7"/>
  <c r="E14" i="7"/>
  <c r="B16" i="7"/>
  <c r="F13" i="7"/>
  <c r="E13" i="7"/>
  <c r="C15" i="7"/>
  <c r="B10" i="63"/>
  <c r="AD13" i="2"/>
  <c r="AB14" i="2"/>
  <c r="Z12" i="2"/>
  <c r="AF12" i="2" s="1"/>
  <c r="AG12" i="2" s="1"/>
  <c r="X14" i="2"/>
  <c r="AD12" i="3"/>
  <c r="E11" i="63"/>
  <c r="I14" i="65"/>
  <c r="BE14" i="7"/>
  <c r="BG14" i="7" s="1"/>
  <c r="AD11" i="3"/>
  <c r="E10" i="63"/>
  <c r="BE13" i="7"/>
  <c r="BG13" i="7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i="2" s="1"/>
  <c r="S12" i="76"/>
  <c r="E10" i="81"/>
  <c r="C10" i="63"/>
  <c r="AE9" i="7"/>
  <c r="AF9" i="7"/>
  <c r="O27" i="81"/>
  <c r="L27" i="82"/>
  <c r="V43" i="74"/>
  <c r="O19" i="81"/>
  <c r="L19" i="82"/>
  <c r="G12" i="7"/>
  <c r="H12" i="7"/>
  <c r="F6" i="7"/>
  <c r="E6" i="7"/>
  <c r="AH6" i="7"/>
  <c r="AG6" i="7"/>
  <c r="E8" i="7"/>
  <c r="F8" i="7"/>
  <c r="O10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9" i="2"/>
  <c r="L8" i="82"/>
  <c r="O8" i="81"/>
  <c r="O18" i="81"/>
  <c r="L18" i="82"/>
  <c r="L16" i="82"/>
  <c r="O16" i="81"/>
  <c r="F14" i="3" l="1"/>
  <c r="AK3" i="3"/>
  <c r="J12" i="82"/>
  <c r="C14" i="65"/>
  <c r="I5" i="3"/>
  <c r="I27" i="79"/>
  <c r="M29" i="79"/>
  <c r="O28" i="79"/>
  <c r="F5" i="3"/>
  <c r="AB5" i="3" s="1"/>
  <c r="J11" i="65"/>
  <c r="AF7" i="7"/>
  <c r="AG7" i="7" s="1"/>
  <c r="Q6" i="3"/>
  <c r="D10" i="63"/>
  <c r="AK4" i="3"/>
  <c r="AI8" i="2"/>
  <c r="AI6" i="2"/>
  <c r="E6" i="3"/>
  <c r="F5" i="63"/>
  <c r="AE5" i="3"/>
  <c r="AF5" i="3" s="1"/>
  <c r="AG5" i="3" s="1"/>
  <c r="C7" i="3"/>
  <c r="Z7" i="3" s="1"/>
  <c r="AK5" i="3"/>
  <c r="AU13" i="5"/>
  <c r="AZ12" i="5"/>
  <c r="BC12" i="5" s="1"/>
  <c r="AH8" i="1"/>
  <c r="C8" i="65" s="1"/>
  <c r="AM7" i="1"/>
  <c r="F8" i="75" s="1"/>
  <c r="G8" i="75" s="1"/>
  <c r="AB7" i="1"/>
  <c r="Y8" i="1"/>
  <c r="AE10" i="7"/>
  <c r="B4" i="63"/>
  <c r="H7" i="65"/>
  <c r="AG6" i="2"/>
  <c r="B5" i="63"/>
  <c r="H8" i="65"/>
  <c r="T9" i="2"/>
  <c r="AE8" i="2"/>
  <c r="AG8" i="2" s="1"/>
  <c r="A7" i="63"/>
  <c r="D10" i="65"/>
  <c r="D9" i="65"/>
  <c r="D8" i="65"/>
  <c r="J12" i="65"/>
  <c r="AL7" i="1"/>
  <c r="D8" i="75" s="1"/>
  <c r="E8" i="75" s="1"/>
  <c r="J7" i="65"/>
  <c r="AI5" i="2"/>
  <c r="AE11" i="7"/>
  <c r="AF11" i="7"/>
  <c r="AF13" i="7"/>
  <c r="AH13" i="7" s="1"/>
  <c r="AF12" i="7"/>
  <c r="AH12" i="7" s="1"/>
  <c r="D12" i="65"/>
  <c r="AI11" i="3"/>
  <c r="AI12" i="3"/>
  <c r="D14" i="65" s="1"/>
  <c r="W6" i="1"/>
  <c r="AI6" i="1"/>
  <c r="AW7" i="7" s="1"/>
  <c r="B6" i="65"/>
  <c r="E6" i="65" s="1"/>
  <c r="V7" i="1"/>
  <c r="AG10" i="7"/>
  <c r="AH10" i="7"/>
  <c r="H18" i="5"/>
  <c r="E16" i="3"/>
  <c r="C15" i="3"/>
  <c r="Y17" i="5"/>
  <c r="AO17" i="1"/>
  <c r="AT16" i="1"/>
  <c r="AU16" i="1" s="1"/>
  <c r="I13" i="81" s="1"/>
  <c r="Y17" i="1"/>
  <c r="AB17" i="1" s="1"/>
  <c r="V14" i="2"/>
  <c r="V15" i="2"/>
  <c r="T16" i="2"/>
  <c r="K13" i="3"/>
  <c r="Z13" i="3" s="1"/>
  <c r="N12" i="3"/>
  <c r="BA17" i="5"/>
  <c r="BD17" i="5" s="1"/>
  <c r="K11" i="82"/>
  <c r="AA16" i="5"/>
  <c r="AJ16" i="5"/>
  <c r="K12" i="82" s="1"/>
  <c r="U17" i="5"/>
  <c r="AS18" i="1"/>
  <c r="AQ17" i="1"/>
  <c r="AF16" i="1"/>
  <c r="AH16" i="1" s="1"/>
  <c r="C16" i="65" s="1"/>
  <c r="AD16" i="1"/>
  <c r="AM15" i="1"/>
  <c r="F16" i="75" s="1"/>
  <c r="G16" i="75" s="1"/>
  <c r="AG15" i="1"/>
  <c r="R16" i="1"/>
  <c r="S17" i="1"/>
  <c r="T17" i="1" s="1"/>
  <c r="I18" i="1"/>
  <c r="J15" i="1"/>
  <c r="AL15" i="1"/>
  <c r="D16" i="75" s="1"/>
  <c r="E16" i="75" s="1"/>
  <c r="U15" i="1"/>
  <c r="G16" i="1"/>
  <c r="AC15" i="7"/>
  <c r="AD15" i="7"/>
  <c r="AB16" i="7"/>
  <c r="AA16" i="7"/>
  <c r="Z17" i="7"/>
  <c r="AH14" i="7"/>
  <c r="AG14" i="7"/>
  <c r="C16" i="7"/>
  <c r="D16" i="7"/>
  <c r="B17" i="7"/>
  <c r="G13" i="7"/>
  <c r="H13" i="7"/>
  <c r="AD14" i="2"/>
  <c r="AB15" i="2"/>
  <c r="H14" i="65"/>
  <c r="B11" i="63"/>
  <c r="Z13" i="2"/>
  <c r="AF13" i="2" s="1"/>
  <c r="AG13" i="2" s="1"/>
  <c r="AE14" i="2"/>
  <c r="A13" i="63"/>
  <c r="X15" i="2"/>
  <c r="BE15" i="7"/>
  <c r="BG15" i="7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E12" i="3" l="1"/>
  <c r="AF12" i="3" s="1"/>
  <c r="AG12" i="3" s="1"/>
  <c r="AK6" i="3"/>
  <c r="J13" i="82"/>
  <c r="I6" i="3"/>
  <c r="M30" i="79"/>
  <c r="O29" i="79"/>
  <c r="I28" i="79"/>
  <c r="F6" i="3"/>
  <c r="AB6" i="3" s="1"/>
  <c r="AH7" i="7"/>
  <c r="AI7" i="7" s="1"/>
  <c r="Q7" i="3"/>
  <c r="AB12" i="3"/>
  <c r="AG13" i="7"/>
  <c r="E7" i="3"/>
  <c r="C8" i="3"/>
  <c r="Z8" i="3" s="1"/>
  <c r="F6" i="63"/>
  <c r="AE6" i="3"/>
  <c r="AF6" i="3" s="1"/>
  <c r="AG6" i="3" s="1"/>
  <c r="AZ13" i="5"/>
  <c r="BC13" i="5" s="1"/>
  <c r="AU14" i="5"/>
  <c r="AA9" i="1"/>
  <c r="AH9" i="1" s="1"/>
  <c r="C9" i="65" s="1"/>
  <c r="AB8" i="1"/>
  <c r="AM8" i="1"/>
  <c r="F9" i="75" s="1"/>
  <c r="G9" i="75" s="1"/>
  <c r="Y9" i="1"/>
  <c r="A8" i="63"/>
  <c r="AE9" i="2"/>
  <c r="AG9" i="2" s="1"/>
  <c r="T11" i="2"/>
  <c r="T10" i="2"/>
  <c r="U7" i="1"/>
  <c r="W7" i="1" s="1"/>
  <c r="AG11" i="7"/>
  <c r="AH11" i="7"/>
  <c r="AG12" i="7"/>
  <c r="D13" i="65"/>
  <c r="V8" i="1"/>
  <c r="U8" i="1"/>
  <c r="AL8" i="1"/>
  <c r="D9" i="75" s="1"/>
  <c r="E9" i="75" s="1"/>
  <c r="G3" i="81"/>
  <c r="AJ6" i="1"/>
  <c r="AK6" i="1" s="1"/>
  <c r="B7" i="65"/>
  <c r="E7" i="65" s="1"/>
  <c r="AI7" i="1"/>
  <c r="AW8" i="7" s="1"/>
  <c r="AI13" i="7"/>
  <c r="AJ13" i="7"/>
  <c r="AJ10" i="7"/>
  <c r="AI10" i="7"/>
  <c r="H19" i="5"/>
  <c r="E17" i="3"/>
  <c r="C16" i="3"/>
  <c r="F15" i="3"/>
  <c r="Y18" i="5"/>
  <c r="AO18" i="1"/>
  <c r="AT17" i="1"/>
  <c r="AU17" i="1" s="1"/>
  <c r="I14" i="81" s="1"/>
  <c r="Y18" i="1"/>
  <c r="AB18" i="1" s="1"/>
  <c r="V16" i="2"/>
  <c r="T17" i="2"/>
  <c r="S17" i="3"/>
  <c r="V17" i="3" s="1"/>
  <c r="K14" i="3"/>
  <c r="Z14" i="3" s="1"/>
  <c r="N13" i="3"/>
  <c r="AK12" i="3"/>
  <c r="F12" i="63"/>
  <c r="BA18" i="5"/>
  <c r="BD19" i="5" s="1"/>
  <c r="AJ17" i="5"/>
  <c r="AA17" i="5"/>
  <c r="U18" i="5"/>
  <c r="AS19" i="1"/>
  <c r="AQ18" i="1"/>
  <c r="AF17" i="1"/>
  <c r="AG16" i="1"/>
  <c r="AM16" i="1"/>
  <c r="F17" i="75" s="1"/>
  <c r="G17" i="75" s="1"/>
  <c r="R17" i="1"/>
  <c r="S18" i="1"/>
  <c r="T18" i="1" s="1"/>
  <c r="I19" i="1"/>
  <c r="J16" i="1"/>
  <c r="U16" i="1"/>
  <c r="AL16" i="1"/>
  <c r="D17" i="75" s="1"/>
  <c r="E17" i="75" s="1"/>
  <c r="G17" i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B18" i="7"/>
  <c r="C17" i="7"/>
  <c r="D17" i="7"/>
  <c r="I13" i="7"/>
  <c r="J13" i="7"/>
  <c r="AD15" i="2"/>
  <c r="AB16" i="2"/>
  <c r="B12" i="63"/>
  <c r="H15" i="65"/>
  <c r="Z14" i="2"/>
  <c r="AF14" i="2" s="1"/>
  <c r="AG14" i="2" s="1"/>
  <c r="X16" i="2"/>
  <c r="A14" i="63"/>
  <c r="AE15" i="2"/>
  <c r="AI13" i="3"/>
  <c r="D15" i="65" s="1"/>
  <c r="I16" i="65"/>
  <c r="BE16" i="7"/>
  <c r="BG16" i="7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i="63" s="1"/>
  <c r="H12" i="82"/>
  <c r="N13" i="2"/>
  <c r="R13" i="2" s="1"/>
  <c r="E14" i="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F16" i="3" l="1"/>
  <c r="BD18" i="5"/>
  <c r="J14" i="82"/>
  <c r="O13" i="2"/>
  <c r="S14" i="76"/>
  <c r="I7" i="3"/>
  <c r="I29" i="79"/>
  <c r="M31" i="79"/>
  <c r="O30" i="79"/>
  <c r="AJ7" i="7"/>
  <c r="AK7" i="7" s="1"/>
  <c r="F7" i="3"/>
  <c r="AB7" i="3" s="1"/>
  <c r="AO6" i="7"/>
  <c r="Q8" i="3"/>
  <c r="E8" i="3"/>
  <c r="C9" i="3"/>
  <c r="Z9" i="3" s="1"/>
  <c r="F7" i="63"/>
  <c r="AE7" i="3"/>
  <c r="AF7" i="3" s="1"/>
  <c r="AK7" i="3"/>
  <c r="AZ14" i="5"/>
  <c r="BC14" i="5" s="1"/>
  <c r="AU15" i="5"/>
  <c r="AU16" i="5" s="1"/>
  <c r="AA10" i="1"/>
  <c r="AH10" i="1" s="1"/>
  <c r="C10" i="65" s="1"/>
  <c r="AB9" i="1"/>
  <c r="AM9" i="1"/>
  <c r="F10" i="75" s="1"/>
  <c r="G10" i="75" s="1"/>
  <c r="Y10" i="1"/>
  <c r="A10" i="63"/>
  <c r="AE11" i="2"/>
  <c r="AG11" i="2" s="1"/>
  <c r="A9" i="63"/>
  <c r="AE10" i="2"/>
  <c r="AG10" i="2" s="1"/>
  <c r="AI11" i="7"/>
  <c r="AJ11" i="7"/>
  <c r="AI8" i="1"/>
  <c r="AW9" i="7" s="1"/>
  <c r="W8" i="1"/>
  <c r="B8" i="65"/>
  <c r="E8" i="65" s="1"/>
  <c r="V9" i="1"/>
  <c r="U9" i="1"/>
  <c r="AL9" i="1"/>
  <c r="D10" i="75" s="1"/>
  <c r="E10" i="75" s="1"/>
  <c r="AJ7" i="1"/>
  <c r="AK7" i="1" s="1"/>
  <c r="G4" i="81"/>
  <c r="AK13" i="7"/>
  <c r="AL13" i="7"/>
  <c r="AM13" i="7" s="1"/>
  <c r="AL10" i="7"/>
  <c r="AM10" i="7" s="1"/>
  <c r="AK10" i="7"/>
  <c r="AB13" i="3"/>
  <c r="H20" i="5"/>
  <c r="C17" i="3"/>
  <c r="Y19" i="5"/>
  <c r="AO19" i="1"/>
  <c r="AT18" i="1"/>
  <c r="AU18" i="1" s="1"/>
  <c r="I15" i="81" s="1"/>
  <c r="Y19" i="1"/>
  <c r="AB19" i="1" s="1"/>
  <c r="V17" i="2"/>
  <c r="T18" i="2"/>
  <c r="S18" i="3"/>
  <c r="V18" i="3" s="1"/>
  <c r="K15" i="3"/>
  <c r="Z15" i="3" s="1"/>
  <c r="F13" i="63"/>
  <c r="AK13" i="3"/>
  <c r="N14" i="3"/>
  <c r="AE13" i="3"/>
  <c r="AF13" i="3" s="1"/>
  <c r="AG13" i="3" s="1"/>
  <c r="K13" i="82"/>
  <c r="AJ18" i="5"/>
  <c r="K14" i="82" s="1"/>
  <c r="AA18" i="5"/>
  <c r="U19" i="5"/>
  <c r="AS20" i="1"/>
  <c r="AQ19" i="1"/>
  <c r="AF18" i="1"/>
  <c r="R18" i="1"/>
  <c r="S19" i="1"/>
  <c r="T19" i="1" s="1"/>
  <c r="I20" i="1"/>
  <c r="J17" i="1"/>
  <c r="AL17" i="1"/>
  <c r="D18" i="75" s="1"/>
  <c r="E18" i="75" s="1"/>
  <c r="U17" i="1"/>
  <c r="G18" i="1"/>
  <c r="AL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B19" i="7"/>
  <c r="E17" i="7"/>
  <c r="F17" i="7"/>
  <c r="L13" i="7"/>
  <c r="K13" i="7"/>
  <c r="G16" i="7"/>
  <c r="H16" i="7"/>
  <c r="C18" i="7"/>
  <c r="D18" i="7"/>
  <c r="AD16" i="2"/>
  <c r="AB17" i="2"/>
  <c r="H16" i="65"/>
  <c r="B13" i="63"/>
  <c r="Z15" i="2"/>
  <c r="AF15" i="2" s="1"/>
  <c r="AG15" i="2" s="1"/>
  <c r="X17" i="2"/>
  <c r="A15" i="63"/>
  <c r="AE16" i="2"/>
  <c r="AI14" i="3"/>
  <c r="D16" i="65" s="1"/>
  <c r="I17" i="65"/>
  <c r="AD15" i="3"/>
  <c r="E14" i="63"/>
  <c r="BE17" i="7"/>
  <c r="BG17" i="7" s="1"/>
  <c r="M16" i="2"/>
  <c r="E15" i="82" s="1"/>
  <c r="K17" i="2"/>
  <c r="F16" i="82" s="1"/>
  <c r="I17" i="2"/>
  <c r="G18" i="2"/>
  <c r="I17" i="82" s="1"/>
  <c r="J14" i="65"/>
  <c r="AI12" i="2"/>
  <c r="C12" i="63"/>
  <c r="D12" i="63" s="1"/>
  <c r="E12" i="81"/>
  <c r="E15" i="2"/>
  <c r="H13" i="82"/>
  <c r="N14" i="2"/>
  <c r="R14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E14" i="3" l="1"/>
  <c r="AF14" i="3" s="1"/>
  <c r="AG14" i="3" s="1"/>
  <c r="G16" i="82"/>
  <c r="J15" i="82"/>
  <c r="AN6" i="7"/>
  <c r="O14" i="2"/>
  <c r="S15" i="76"/>
  <c r="I8" i="3"/>
  <c r="I30" i="79"/>
  <c r="M32" i="79"/>
  <c r="O31" i="79"/>
  <c r="AL7" i="7"/>
  <c r="AM7" i="7" s="1"/>
  <c r="AO7" i="7" s="1"/>
  <c r="F8" i="3"/>
  <c r="AB8" i="3" s="1"/>
  <c r="Q9" i="3"/>
  <c r="AO9" i="7"/>
  <c r="E9" i="3"/>
  <c r="F8" i="63"/>
  <c r="AE8" i="3"/>
  <c r="AF8" i="3" s="1"/>
  <c r="AG8" i="3" s="1"/>
  <c r="AK8" i="3"/>
  <c r="C11" i="3"/>
  <c r="Z11" i="3" s="1"/>
  <c r="C10" i="3"/>
  <c r="Z10" i="3" s="1"/>
  <c r="AZ15" i="5"/>
  <c r="BC15" i="5" s="1"/>
  <c r="AA11" i="1"/>
  <c r="AH11" i="1" s="1"/>
  <c r="C11" i="65" s="1"/>
  <c r="Y11" i="1"/>
  <c r="AB10" i="1"/>
  <c r="AM10" i="1"/>
  <c r="F11" i="75" s="1"/>
  <c r="G11" i="75" s="1"/>
  <c r="AL11" i="7"/>
  <c r="AM11" i="7" s="1"/>
  <c r="AK11" i="7"/>
  <c r="AO10" i="7"/>
  <c r="V10" i="1"/>
  <c r="U10" i="1"/>
  <c r="AL10" i="1"/>
  <c r="D11" i="75" s="1"/>
  <c r="E11" i="75" s="1"/>
  <c r="G5" i="81"/>
  <c r="AJ8" i="1"/>
  <c r="AK8" i="1" s="1"/>
  <c r="B9" i="65"/>
  <c r="E9" i="65" s="1"/>
  <c r="W9" i="1"/>
  <c r="AI9" i="1"/>
  <c r="AW10" i="7" s="1"/>
  <c r="AB14" i="3"/>
  <c r="AO12" i="7"/>
  <c r="AO13" i="7"/>
  <c r="H21" i="5"/>
  <c r="C18" i="3"/>
  <c r="F17" i="3"/>
  <c r="Y20" i="5"/>
  <c r="AO20" i="1"/>
  <c r="AT19" i="1"/>
  <c r="AU19" i="1" s="1"/>
  <c r="I16" i="81" s="1"/>
  <c r="Y20" i="1"/>
  <c r="AB20" i="1" s="1"/>
  <c r="V18" i="2"/>
  <c r="T19" i="2"/>
  <c r="S19" i="3"/>
  <c r="V19" i="3" s="1"/>
  <c r="N15" i="3"/>
  <c r="K16" i="3"/>
  <c r="Z16" i="3" s="1"/>
  <c r="AK14" i="3"/>
  <c r="F14" i="63"/>
  <c r="AA19" i="5"/>
  <c r="AJ19" i="5"/>
  <c r="U20" i="5"/>
  <c r="AS21" i="1"/>
  <c r="AQ20" i="1"/>
  <c r="AF19" i="1"/>
  <c r="R19" i="1"/>
  <c r="S20" i="1"/>
  <c r="I21" i="1"/>
  <c r="G19" i="1"/>
  <c r="AL19" i="1" s="1"/>
  <c r="J18" i="1"/>
  <c r="D19" i="75"/>
  <c r="E19" i="75" s="1"/>
  <c r="U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B20" i="7"/>
  <c r="H17" i="7"/>
  <c r="G17" i="7"/>
  <c r="N13" i="7"/>
  <c r="M13" i="7"/>
  <c r="J16" i="7"/>
  <c r="I16" i="7"/>
  <c r="C19" i="7"/>
  <c r="D19" i="7"/>
  <c r="AD17" i="2"/>
  <c r="AB18" i="2"/>
  <c r="B14" i="63"/>
  <c r="H17" i="65"/>
  <c r="Z16" i="2"/>
  <c r="AF16" i="2" s="1"/>
  <c r="AG16" i="2" s="1"/>
  <c r="AE17" i="2"/>
  <c r="A16" i="63"/>
  <c r="X18" i="2"/>
  <c r="AI15" i="3"/>
  <c r="D17" i="65" s="1"/>
  <c r="BE18" i="7"/>
  <c r="BG18" i="7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 i="82"/>
  <c r="N15" i="2"/>
  <c r="E13" i="81"/>
  <c r="C13" i="63"/>
  <c r="D13" i="63" s="1"/>
  <c r="E16" i="2"/>
  <c r="AI13" i="2"/>
  <c r="J15" i="65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F18" i="3" l="1"/>
  <c r="T20" i="1"/>
  <c r="J16" i="82"/>
  <c r="S16" i="76"/>
  <c r="R15" i="2"/>
  <c r="AN7" i="7"/>
  <c r="O15" i="2"/>
  <c r="F9" i="3"/>
  <c r="AB9" i="3" s="1"/>
  <c r="I9" i="3"/>
  <c r="M33" i="79"/>
  <c r="O32" i="79"/>
  <c r="I31" i="79"/>
  <c r="AN14" i="7"/>
  <c r="AN12" i="7"/>
  <c r="AN13" i="7"/>
  <c r="AN10" i="7"/>
  <c r="AN9" i="7"/>
  <c r="AO8" i="7"/>
  <c r="E10" i="3"/>
  <c r="E11" i="3"/>
  <c r="F9" i="63"/>
  <c r="AE9" i="3"/>
  <c r="AF9" i="3" s="1"/>
  <c r="AG9" i="3" s="1"/>
  <c r="AK9" i="3"/>
  <c r="AU17" i="5"/>
  <c r="AZ16" i="5"/>
  <c r="BC16" i="5" s="1"/>
  <c r="AA12" i="1"/>
  <c r="AH12" i="1" s="1"/>
  <c r="AA13" i="1"/>
  <c r="AH13" i="1" s="1"/>
  <c r="C13" i="65" s="1"/>
  <c r="Y12" i="1"/>
  <c r="Y13" i="1"/>
  <c r="AB11" i="1"/>
  <c r="AM11" i="1"/>
  <c r="F12" i="75" s="1"/>
  <c r="G12" i="75" s="1"/>
  <c r="AO11" i="7"/>
  <c r="V11" i="1"/>
  <c r="AL11" i="1"/>
  <c r="D12" i="75" s="1"/>
  <c r="E12" i="75" s="1"/>
  <c r="U11" i="1"/>
  <c r="W10" i="1"/>
  <c r="B10" i="65"/>
  <c r="E10" i="65" s="1"/>
  <c r="AI10" i="1"/>
  <c r="AW11" i="7" s="1"/>
  <c r="G6" i="81"/>
  <c r="AJ9" i="1"/>
  <c r="AK9" i="1" s="1"/>
  <c r="AB15" i="3"/>
  <c r="H22" i="5"/>
  <c r="C19" i="3"/>
  <c r="Y21" i="5"/>
  <c r="AT20" i="1"/>
  <c r="AU20" i="1" s="1"/>
  <c r="I17" i="81" s="1"/>
  <c r="Y21" i="1"/>
  <c r="AB21" i="1" s="1"/>
  <c r="V19" i="2"/>
  <c r="T20" i="2"/>
  <c r="S20" i="3"/>
  <c r="V20" i="3" s="1"/>
  <c r="AK15" i="3"/>
  <c r="F15" i="63"/>
  <c r="N16" i="3"/>
  <c r="K17" i="3"/>
  <c r="Z17" i="3" s="1"/>
  <c r="AE15" i="3"/>
  <c r="AF15" i="3" s="1"/>
  <c r="AG15" i="3" s="1"/>
  <c r="BD21" i="5"/>
  <c r="AA20" i="5"/>
  <c r="AJ20" i="5"/>
  <c r="K16" i="82" s="1"/>
  <c r="K15" i="82"/>
  <c r="U21" i="5"/>
  <c r="AS22" i="1"/>
  <c r="AQ21" i="1"/>
  <c r="AF20" i="1"/>
  <c r="R20" i="1"/>
  <c r="S21" i="1"/>
  <c r="D20" i="75"/>
  <c r="E20" i="75" s="1"/>
  <c r="J19" i="1"/>
  <c r="U19" i="1"/>
  <c r="G20" i="1"/>
  <c r="AL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B21" i="7"/>
  <c r="I17" i="7"/>
  <c r="J17" i="7"/>
  <c r="P13" i="7"/>
  <c r="O13" i="7"/>
  <c r="L16" i="7"/>
  <c r="K16" i="7"/>
  <c r="G18" i="7"/>
  <c r="H18" i="7"/>
  <c r="AD18" i="2"/>
  <c r="AB19" i="2"/>
  <c r="Z17" i="2"/>
  <c r="AF17" i="2" s="1"/>
  <c r="AG17" i="2" s="1"/>
  <c r="H18" i="65"/>
  <c r="B15" i="63"/>
  <c r="A17" i="63"/>
  <c r="AE18" i="2"/>
  <c r="X19" i="2"/>
  <c r="BE19" i="7"/>
  <c r="BG19" i="7" s="1"/>
  <c r="I19" i="65"/>
  <c r="E16" i="63"/>
  <c r="AD17" i="3"/>
  <c r="AI16" i="3"/>
  <c r="D18" i="65" s="1"/>
  <c r="M18" i="2"/>
  <c r="E17" i="82" s="1"/>
  <c r="K19" i="2"/>
  <c r="F18" i="82" s="1"/>
  <c r="I19" i="2"/>
  <c r="G18" i="82" s="1"/>
  <c r="G20" i="2"/>
  <c r="I19" i="82" s="1"/>
  <c r="C14" i="63"/>
  <c r="D14" i="63" s="1"/>
  <c r="E14" i="81"/>
  <c r="E17" i="2"/>
  <c r="N17" i="2" s="1"/>
  <c r="J16" i="65"/>
  <c r="AI14" i="2"/>
  <c r="N16" i="2"/>
  <c r="H15" i="82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AE16" i="3" l="1"/>
  <c r="AF16" i="3" s="1"/>
  <c r="AG16" i="3" s="1"/>
  <c r="T21" i="1"/>
  <c r="J17" i="82"/>
  <c r="S17" i="76"/>
  <c r="R16" i="2"/>
  <c r="C12" i="65"/>
  <c r="O16" i="2"/>
  <c r="F10" i="3"/>
  <c r="AB10" i="3" s="1"/>
  <c r="I10" i="3"/>
  <c r="O33" i="79"/>
  <c r="I32" i="79"/>
  <c r="AN11" i="7"/>
  <c r="AN8" i="7"/>
  <c r="F11" i="3"/>
  <c r="AB11" i="3" s="1"/>
  <c r="Q11" i="3"/>
  <c r="F10" i="63"/>
  <c r="AE10" i="3"/>
  <c r="AF10" i="3" s="1"/>
  <c r="AG10" i="3" s="1"/>
  <c r="AK10" i="3"/>
  <c r="F11" i="63"/>
  <c r="AE11" i="3"/>
  <c r="AF11" i="3" s="1"/>
  <c r="AG11" i="3" s="1"/>
  <c r="AK11" i="3"/>
  <c r="AU18" i="5"/>
  <c r="AZ17" i="5"/>
  <c r="BC17" i="5" s="1"/>
  <c r="AB13" i="1"/>
  <c r="AM13" i="1"/>
  <c r="F14" i="75" s="1"/>
  <c r="G14" i="75" s="1"/>
  <c r="AB12" i="1"/>
  <c r="AM12" i="1"/>
  <c r="AO15" i="7"/>
  <c r="AB16" i="3"/>
  <c r="AJ10" i="1"/>
  <c r="AK10" i="1" s="1"/>
  <c r="G7" i="81"/>
  <c r="B11" i="65"/>
  <c r="E11" i="65" s="1"/>
  <c r="W11" i="1"/>
  <c r="AI11" i="1"/>
  <c r="AW12" i="7" s="1"/>
  <c r="AL12" i="1"/>
  <c r="U12" i="1"/>
  <c r="V12" i="1"/>
  <c r="AL13" i="1"/>
  <c r="D14" i="75" s="1"/>
  <c r="E14" i="75" s="1"/>
  <c r="U13" i="1"/>
  <c r="H23" i="5"/>
  <c r="E21" i="3"/>
  <c r="F19" i="3"/>
  <c r="C20" i="3"/>
  <c r="Y22" i="5"/>
  <c r="AO22" i="1"/>
  <c r="AT21" i="1"/>
  <c r="AU21" i="1" s="1"/>
  <c r="I18" i="81" s="1"/>
  <c r="Y22" i="1"/>
  <c r="AB22" i="1" s="1"/>
  <c r="V20" i="2"/>
  <c r="S21" i="3"/>
  <c r="K18" i="3"/>
  <c r="Z18" i="3" s="1"/>
  <c r="N17" i="3"/>
  <c r="F16" i="63"/>
  <c r="AK16" i="3"/>
  <c r="BA22" i="5"/>
  <c r="BD22" i="5" s="1"/>
  <c r="AA21" i="5"/>
  <c r="AJ21" i="5"/>
  <c r="U22" i="5"/>
  <c r="AQ22" i="1"/>
  <c r="AF21" i="1"/>
  <c r="R21" i="1"/>
  <c r="S22" i="1"/>
  <c r="G21" i="1"/>
  <c r="AL21" i="1" s="1"/>
  <c r="U20" i="1"/>
  <c r="J20" i="1"/>
  <c r="D21" i="75"/>
  <c r="E21" i="75" s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B22" i="7"/>
  <c r="F20" i="7"/>
  <c r="E20" i="7"/>
  <c r="G19" i="7"/>
  <c r="H19" i="7"/>
  <c r="D21" i="7"/>
  <c r="C21" i="7"/>
  <c r="L17" i="7"/>
  <c r="K17" i="7"/>
  <c r="AD19" i="2"/>
  <c r="AB20" i="2"/>
  <c r="H19" i="65"/>
  <c r="B16" i="63"/>
  <c r="Z18" i="2"/>
  <c r="AF18" i="2" s="1"/>
  <c r="AG18" i="2" s="1"/>
  <c r="A18" i="63"/>
  <c r="AE19" i="2"/>
  <c r="I20" i="65"/>
  <c r="E17" i="63"/>
  <c r="BE20" i="7"/>
  <c r="BG20" i="7" s="1"/>
  <c r="AD18" i="3"/>
  <c r="AI17" i="3"/>
  <c r="D19" i="65" s="1"/>
  <c r="M19" i="2"/>
  <c r="E18" i="82" s="1"/>
  <c r="K20" i="2"/>
  <c r="F19" i="82" s="1"/>
  <c r="I20" i="2"/>
  <c r="G19" i="82" s="1"/>
  <c r="I20" i="82"/>
  <c r="AI15" i="2"/>
  <c r="J17" i="65"/>
  <c r="C15" i="63"/>
  <c r="D15" i="63" s="1"/>
  <c r="E15" i="81"/>
  <c r="R17" i="2"/>
  <c r="H16" i="82"/>
  <c r="E18" i="2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F20" i="3" l="1"/>
  <c r="T22" i="1"/>
  <c r="J18" i="82"/>
  <c r="F13" i="75"/>
  <c r="G13" i="75" s="1"/>
  <c r="D13" i="75"/>
  <c r="E13" i="75" s="1"/>
  <c r="O17" i="2"/>
  <c r="S18" i="76"/>
  <c r="I11" i="3"/>
  <c r="I33" i="79"/>
  <c r="AN15" i="7"/>
  <c r="Q12" i="3"/>
  <c r="AU19" i="5"/>
  <c r="AZ19" i="5" s="1"/>
  <c r="AZ18" i="5"/>
  <c r="AB17" i="3"/>
  <c r="AJ11" i="1"/>
  <c r="AK11" i="1" s="1"/>
  <c r="G8" i="81"/>
  <c r="W12" i="1"/>
  <c r="AI12" i="1"/>
  <c r="AW13" i="7" s="1"/>
  <c r="B12" i="65"/>
  <c r="E12" i="65" s="1"/>
  <c r="V13" i="1"/>
  <c r="Y23" i="5"/>
  <c r="AT22" i="1"/>
  <c r="AU23" i="1" s="1"/>
  <c r="Y14" i="7"/>
  <c r="AR14" i="7" s="1"/>
  <c r="T22" i="2"/>
  <c r="S22" i="3"/>
  <c r="N18" i="3"/>
  <c r="F17" i="63"/>
  <c r="AK17" i="3"/>
  <c r="K19" i="3"/>
  <c r="Z19" i="3" s="1"/>
  <c r="AE17" i="3"/>
  <c r="AF17" i="3" s="1"/>
  <c r="AG17" i="3" s="1"/>
  <c r="BA23" i="5"/>
  <c r="BD23" i="5" s="1"/>
  <c r="AA22" i="5"/>
  <c r="AJ22" i="5"/>
  <c r="K18" i="82" s="1"/>
  <c r="K17" i="82"/>
  <c r="U23" i="5"/>
  <c r="AS24" i="1"/>
  <c r="AF22" i="1"/>
  <c r="R22" i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B23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D20" i="2"/>
  <c r="Z19" i="2"/>
  <c r="AF19" i="2" s="1"/>
  <c r="AG19" i="2" s="1"/>
  <c r="H20" i="65"/>
  <c r="B17" i="63"/>
  <c r="AE20" i="2"/>
  <c r="A19" i="63"/>
  <c r="AI18" i="3"/>
  <c r="D20" i="65" s="1"/>
  <c r="BE21" i="7"/>
  <c r="BG21" i="7" s="1"/>
  <c r="AD19" i="3"/>
  <c r="I21" i="65"/>
  <c r="E18" i="63"/>
  <c r="M20" i="2"/>
  <c r="E19" i="82" s="1"/>
  <c r="F20" i="82"/>
  <c r="G20" i="82"/>
  <c r="G22" i="2"/>
  <c r="I21" i="82" s="1"/>
  <c r="N18" i="2"/>
  <c r="R18" i="2" s="1"/>
  <c r="H17" i="82"/>
  <c r="E19" i="2"/>
  <c r="J18" i="65"/>
  <c r="AI16" i="2"/>
  <c r="E16" i="81"/>
  <c r="C16" i="63"/>
  <c r="D16" i="63" s="1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BC19" i="5" l="1"/>
  <c r="AE18" i="3"/>
  <c r="AF18" i="3" s="1"/>
  <c r="AG18" i="3" s="1"/>
  <c r="BC18" i="5"/>
  <c r="J19" i="82"/>
  <c r="O18" i="2"/>
  <c r="S19" i="76"/>
  <c r="I12" i="3"/>
  <c r="AN16" i="7"/>
  <c r="Q13" i="3"/>
  <c r="AU20" i="5"/>
  <c r="AZ20" i="5" s="1"/>
  <c r="BC20" i="5" s="1"/>
  <c r="X14" i="7"/>
  <c r="AB18" i="3"/>
  <c r="G9" i="81"/>
  <c r="AJ12" i="1"/>
  <c r="AK12" i="1" s="1"/>
  <c r="V14" i="1"/>
  <c r="B13" i="65"/>
  <c r="E13" i="65" s="1"/>
  <c r="W13" i="1"/>
  <c r="AI13" i="1"/>
  <c r="AW14" i="7" s="1"/>
  <c r="Y7" i="7"/>
  <c r="AR7" i="7" s="1"/>
  <c r="H25" i="5"/>
  <c r="C22" i="3"/>
  <c r="E22" i="3" s="1"/>
  <c r="F21" i="3"/>
  <c r="AO24" i="1"/>
  <c r="AU22" i="1"/>
  <c r="I19" i="81" s="1"/>
  <c r="I20" i="81"/>
  <c r="Y24" i="1"/>
  <c r="AB24" i="1" s="1"/>
  <c r="V22" i="2"/>
  <c r="T23" i="2"/>
  <c r="S23" i="3"/>
  <c r="K20" i="3"/>
  <c r="Z20" i="3" s="1"/>
  <c r="F18" i="63"/>
  <c r="AK18" i="3"/>
  <c r="N19" i="3"/>
  <c r="BD24" i="5"/>
  <c r="AA23" i="5"/>
  <c r="AJ23" i="5"/>
  <c r="K19" i="82" s="1"/>
  <c r="AS25" i="1"/>
  <c r="AQ24" i="1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B24" i="7"/>
  <c r="E22" i="7"/>
  <c r="F22" i="7"/>
  <c r="D23" i="7"/>
  <c r="C23" i="7"/>
  <c r="U13" i="7"/>
  <c r="V13" i="7"/>
  <c r="W13" i="7" s="1"/>
  <c r="M18" i="7"/>
  <c r="N18" i="7"/>
  <c r="L19" i="7"/>
  <c r="K19" i="7"/>
  <c r="AB22" i="2"/>
  <c r="B18" i="63"/>
  <c r="H21" i="65"/>
  <c r="Z20" i="2"/>
  <c r="AF20" i="2" s="1"/>
  <c r="AG20" i="2" s="1"/>
  <c r="X22" i="2"/>
  <c r="A20" i="63"/>
  <c r="AD20" i="3"/>
  <c r="E19" i="63"/>
  <c r="I22" i="65"/>
  <c r="BE22" i="7"/>
  <c r="BG22" i="7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i="63" s="1"/>
  <c r="N19" i="2"/>
  <c r="R19" i="2" s="1"/>
  <c r="H18" i="82"/>
  <c r="E20" i="2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F22" i="3" l="1"/>
  <c r="AE19" i="3"/>
  <c r="AF19" i="3" s="1"/>
  <c r="AG19" i="3" s="1"/>
  <c r="T24" i="1"/>
  <c r="J20" i="82"/>
  <c r="AI14" i="1"/>
  <c r="AW15" i="7" s="1"/>
  <c r="O19" i="2"/>
  <c r="S20" i="76"/>
  <c r="I13" i="3"/>
  <c r="AN17" i="7"/>
  <c r="Y9" i="7"/>
  <c r="AR9" i="7" s="1"/>
  <c r="AU21" i="5"/>
  <c r="AZ21" i="5" s="1"/>
  <c r="Y11" i="7"/>
  <c r="AR11" i="7" s="1"/>
  <c r="AS12" i="7" s="1"/>
  <c r="AB19" i="3"/>
  <c r="V15" i="1"/>
  <c r="B14" i="65"/>
  <c r="E14" i="65" s="1"/>
  <c r="W14" i="1"/>
  <c r="G10" i="81"/>
  <c r="AJ13" i="1"/>
  <c r="AK13" i="1" s="1"/>
  <c r="AT24" i="1"/>
  <c r="AU24" i="1" s="1"/>
  <c r="I21" i="81" s="1"/>
  <c r="Y8" i="7"/>
  <c r="AR8" i="7" s="1"/>
  <c r="AS8" i="7" s="1"/>
  <c r="X7" i="7"/>
  <c r="Y13" i="7"/>
  <c r="AR13" i="7" s="1"/>
  <c r="AS14" i="7" s="1"/>
  <c r="Y10" i="7"/>
  <c r="AR10" i="7" s="1"/>
  <c r="H26" i="5"/>
  <c r="C23" i="3"/>
  <c r="E23" i="3" s="1"/>
  <c r="Y25" i="5"/>
  <c r="AO25" i="1"/>
  <c r="Y25" i="1"/>
  <c r="AB25" i="1" s="1"/>
  <c r="AO18" i="7"/>
  <c r="Y15" i="7"/>
  <c r="AR15" i="7" s="1"/>
  <c r="AS15" i="7" s="1"/>
  <c r="V23" i="2"/>
  <c r="T24" i="2"/>
  <c r="U21" i="3"/>
  <c r="S24" i="3"/>
  <c r="N20" i="3"/>
  <c r="AK19" i="3"/>
  <c r="F19" i="63"/>
  <c r="K21" i="3"/>
  <c r="Z21" i="3" s="1"/>
  <c r="BA25" i="5"/>
  <c r="BD25" i="5" s="1"/>
  <c r="K20" i="82"/>
  <c r="U25" i="5"/>
  <c r="AS26" i="1"/>
  <c r="AQ25" i="1"/>
  <c r="AF24" i="1"/>
  <c r="R24" i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B25" i="7"/>
  <c r="J21" i="7"/>
  <c r="I21" i="7"/>
  <c r="M19" i="7"/>
  <c r="N19" i="7"/>
  <c r="T16" i="7"/>
  <c r="S16" i="7"/>
  <c r="K20" i="7"/>
  <c r="L20" i="7"/>
  <c r="AD22" i="2"/>
  <c r="AB23" i="2"/>
  <c r="AG21" i="2"/>
  <c r="H22" i="65"/>
  <c r="B19" i="63"/>
  <c r="X23" i="2"/>
  <c r="A21" i="63"/>
  <c r="AE22" i="2"/>
  <c r="AD21" i="3"/>
  <c r="I23" i="65"/>
  <c r="BE23" i="7"/>
  <c r="BG23" i="7" s="1"/>
  <c r="E20" i="63"/>
  <c r="AI20" i="3"/>
  <c r="D22" i="65" s="1"/>
  <c r="M22" i="2"/>
  <c r="E21" i="82" s="1"/>
  <c r="K23" i="2"/>
  <c r="F22" i="82" s="1"/>
  <c r="I23" i="2"/>
  <c r="G22" i="82" s="1"/>
  <c r="I23" i="82"/>
  <c r="H19" i="82"/>
  <c r="N20" i="2"/>
  <c r="R20" i="2" s="1"/>
  <c r="AI18" i="2"/>
  <c r="J20" i="65"/>
  <c r="C18" i="63"/>
  <c r="D18" i="63" s="1"/>
  <c r="E18" i="81"/>
  <c r="AQ7" i="7"/>
  <c r="X12" i="7"/>
  <c r="Y6" i="7"/>
  <c r="AR6" i="7" s="1"/>
  <c r="AX15" i="7" l="1"/>
  <c r="Q13" i="76" s="1"/>
  <c r="F23" i="3"/>
  <c r="T25" i="1"/>
  <c r="J21" i="82"/>
  <c r="AS10" i="7"/>
  <c r="AS13" i="7"/>
  <c r="AX14" i="7"/>
  <c r="AS11" i="7"/>
  <c r="D24" i="75"/>
  <c r="E24" i="75" s="1"/>
  <c r="AS9" i="7"/>
  <c r="AS7" i="7"/>
  <c r="AX12" i="7"/>
  <c r="O20" i="2"/>
  <c r="S21" i="76"/>
  <c r="Q14" i="3"/>
  <c r="Q18" i="3"/>
  <c r="I14" i="3"/>
  <c r="X13" i="7"/>
  <c r="X10" i="7"/>
  <c r="BC10" i="7"/>
  <c r="AN18" i="7"/>
  <c r="BC8" i="7"/>
  <c r="Q15" i="3"/>
  <c r="X9" i="7"/>
  <c r="X15" i="7"/>
  <c r="AB20" i="3"/>
  <c r="AU22" i="5"/>
  <c r="BC21" i="5"/>
  <c r="X11" i="7"/>
  <c r="V21" i="3"/>
  <c r="B15" i="65"/>
  <c r="E15" i="65" s="1"/>
  <c r="AI15" i="1"/>
  <c r="AW16" i="7" s="1"/>
  <c r="W15" i="1"/>
  <c r="V16" i="1"/>
  <c r="AJ14" i="1"/>
  <c r="AK14" i="1" s="1"/>
  <c r="G11" i="81"/>
  <c r="X8" i="7"/>
  <c r="AO19" i="7"/>
  <c r="H27" i="5"/>
  <c r="C24" i="3"/>
  <c r="Y26" i="5"/>
  <c r="AT25" i="1"/>
  <c r="AU25" i="1" s="1"/>
  <c r="I22" i="81" s="1"/>
  <c r="AO26" i="1"/>
  <c r="Y26" i="1"/>
  <c r="AB26" i="1" s="1"/>
  <c r="V24" i="2"/>
  <c r="T25" i="2"/>
  <c r="U22" i="3"/>
  <c r="S25" i="3"/>
  <c r="K22" i="3"/>
  <c r="Z22" i="3" s="1"/>
  <c r="AK20" i="3"/>
  <c r="F20" i="63"/>
  <c r="AE20" i="3"/>
  <c r="AF20" i="3" s="1"/>
  <c r="AG20" i="3" s="1"/>
  <c r="N21" i="3"/>
  <c r="BA26" i="5"/>
  <c r="BD26" i="5" s="1"/>
  <c r="AA25" i="5"/>
  <c r="AJ25" i="5"/>
  <c r="K21" i="82" s="1"/>
  <c r="U26" i="5"/>
  <c r="AS27" i="1"/>
  <c r="AQ26" i="1"/>
  <c r="AF25" i="1"/>
  <c r="R25" i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B26" i="7"/>
  <c r="R18" i="7"/>
  <c r="Q18" i="7"/>
  <c r="L21" i="7"/>
  <c r="K21" i="7"/>
  <c r="AD23" i="2"/>
  <c r="AB24" i="2"/>
  <c r="H23" i="65"/>
  <c r="B20" i="63"/>
  <c r="Z22" i="2"/>
  <c r="AF22" i="2" s="1"/>
  <c r="AG22" i="2" s="1"/>
  <c r="X24" i="2"/>
  <c r="AE23" i="2"/>
  <c r="A22" i="63"/>
  <c r="AI21" i="3"/>
  <c r="D23" i="65" s="1"/>
  <c r="BE24" i="7"/>
  <c r="BG24" i="7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 i="82"/>
  <c r="J21" i="65"/>
  <c r="AI19" i="2"/>
  <c r="E22" i="2"/>
  <c r="C19" i="63"/>
  <c r="D19" i="63" s="1"/>
  <c r="E19" i="81"/>
  <c r="AQ15" i="7"/>
  <c r="BC15" i="7"/>
  <c r="X6" i="7"/>
  <c r="AQ6" i="7"/>
  <c r="AQ9" i="7"/>
  <c r="AQ12" i="7"/>
  <c r="AQ11" i="7"/>
  <c r="BC12" i="7"/>
  <c r="F24" i="3" l="1"/>
  <c r="T26" i="1"/>
  <c r="J22" i="82"/>
  <c r="S22" i="76"/>
  <c r="I15" i="3"/>
  <c r="AQ8" i="7"/>
  <c r="BC9" i="7"/>
  <c r="AX8" i="7"/>
  <c r="AY8" i="7" s="1"/>
  <c r="AX9" i="7"/>
  <c r="Q7" i="76" s="1"/>
  <c r="AN19" i="7"/>
  <c r="Q16" i="3"/>
  <c r="V22" i="3"/>
  <c r="AU23" i="5"/>
  <c r="AU24" i="5" s="1"/>
  <c r="AZ24" i="5" s="1"/>
  <c r="AZ22" i="5"/>
  <c r="BC22" i="5" s="1"/>
  <c r="AX10" i="7"/>
  <c r="Q8" i="76" s="1"/>
  <c r="AX13" i="7"/>
  <c r="Q11" i="76" s="1"/>
  <c r="AQ10" i="7"/>
  <c r="BC11" i="7"/>
  <c r="AX11" i="7"/>
  <c r="AY11" i="7" s="1"/>
  <c r="AQ13" i="7"/>
  <c r="BC14" i="7"/>
  <c r="BC13" i="7"/>
  <c r="AB21" i="3"/>
  <c r="G12" i="81"/>
  <c r="AJ15" i="1"/>
  <c r="AK15" i="1" s="1"/>
  <c r="B16" i="65"/>
  <c r="E16" i="65" s="1"/>
  <c r="AI16" i="1"/>
  <c r="AW17" i="7" s="1"/>
  <c r="W16" i="1"/>
  <c r="V17" i="1"/>
  <c r="H28" i="5"/>
  <c r="AT26" i="1"/>
  <c r="AU26" i="1" s="1"/>
  <c r="I23" i="81" s="1"/>
  <c r="AO20" i="7"/>
  <c r="Y16" i="7"/>
  <c r="AR16" i="7" s="1"/>
  <c r="C25" i="3"/>
  <c r="Y27" i="5"/>
  <c r="AO27" i="1"/>
  <c r="Y27" i="1"/>
  <c r="AB27" i="1" s="1"/>
  <c r="V25" i="2"/>
  <c r="T26" i="2"/>
  <c r="U23" i="3"/>
  <c r="S26" i="3"/>
  <c r="U26" i="3" s="1"/>
  <c r="T26" i="3" s="1"/>
  <c r="AK21" i="3"/>
  <c r="F21" i="63"/>
  <c r="K23" i="3"/>
  <c r="Z23" i="3" s="1"/>
  <c r="N22" i="3"/>
  <c r="AE21" i="3"/>
  <c r="AF21" i="3" s="1"/>
  <c r="AG21" i="3" s="1"/>
  <c r="BA27" i="5"/>
  <c r="BD27" i="5" s="1"/>
  <c r="AJ26" i="5"/>
  <c r="K22" i="82" s="1"/>
  <c r="AA26" i="5"/>
  <c r="U27" i="5"/>
  <c r="AS28" i="1"/>
  <c r="AQ27" i="1"/>
  <c r="AF26" i="1"/>
  <c r="R26" i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Q12" i="76"/>
  <c r="AY14" i="7"/>
  <c r="H24" i="7"/>
  <c r="G24" i="7"/>
  <c r="O20" i="7"/>
  <c r="P20" i="7"/>
  <c r="R19" i="7"/>
  <c r="Q19" i="7"/>
  <c r="B27" i="7"/>
  <c r="J23" i="7"/>
  <c r="I23" i="7"/>
  <c r="V17" i="7"/>
  <c r="W17" i="7" s="1"/>
  <c r="U17" i="7"/>
  <c r="D26" i="7"/>
  <c r="C26" i="7"/>
  <c r="E25" i="7"/>
  <c r="F25" i="7"/>
  <c r="S18" i="7"/>
  <c r="T18" i="7"/>
  <c r="AD24" i="2"/>
  <c r="AB25" i="2"/>
  <c r="H24" i="65"/>
  <c r="B21" i="63"/>
  <c r="Z23" i="2"/>
  <c r="AF23" i="2" s="1"/>
  <c r="AG23" i="2" s="1"/>
  <c r="X25" i="2"/>
  <c r="A23" i="63"/>
  <c r="AE24" i="2"/>
  <c r="I25" i="65"/>
  <c r="E22" i="63"/>
  <c r="BE25" i="7"/>
  <c r="BG25" i="7" s="1"/>
  <c r="AD23" i="3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i="63" s="1"/>
  <c r="N22" i="2"/>
  <c r="R22" i="2" s="1"/>
  <c r="H21" i="82"/>
  <c r="E23" i="2"/>
  <c r="J22" i="65"/>
  <c r="AI20" i="2"/>
  <c r="AY15" i="7"/>
  <c r="BC6" i="7"/>
  <c r="AX7" i="7"/>
  <c r="AY12" i="7"/>
  <c r="Q10" i="76"/>
  <c r="F25" i="3" l="1"/>
  <c r="AE22" i="3"/>
  <c r="AF22" i="3" s="1"/>
  <c r="AG22" i="3" s="1"/>
  <c r="T27" i="1"/>
  <c r="J23" i="82"/>
  <c r="O22" i="2"/>
  <c r="S23" i="76"/>
  <c r="I16" i="3"/>
  <c r="Q6" i="76"/>
  <c r="AY9" i="7"/>
  <c r="AN20" i="7"/>
  <c r="X16" i="7"/>
  <c r="Q17" i="3"/>
  <c r="Q9" i="76"/>
  <c r="AB22" i="3"/>
  <c r="AZ23" i="5"/>
  <c r="BC23" i="5" s="1"/>
  <c r="AY10" i="7"/>
  <c r="AY13" i="7"/>
  <c r="V23" i="3"/>
  <c r="B17" i="65"/>
  <c r="V18" i="1"/>
  <c r="AJ16" i="1"/>
  <c r="AK16" i="1" s="1"/>
  <c r="G13" i="81"/>
  <c r="AO21" i="7"/>
  <c r="Y17" i="7"/>
  <c r="AR17" i="7" s="1"/>
  <c r="H29" i="5"/>
  <c r="E27" i="3"/>
  <c r="C26" i="3"/>
  <c r="Y28" i="5"/>
  <c r="AO28" i="1"/>
  <c r="AT27" i="1"/>
  <c r="AU27" i="1" s="1"/>
  <c r="I24" i="81" s="1"/>
  <c r="Y28" i="1"/>
  <c r="AB28" i="1" s="1"/>
  <c r="V26" i="2"/>
  <c r="T27" i="2"/>
  <c r="S27" i="3"/>
  <c r="K24" i="3"/>
  <c r="Z24" i="3" s="1"/>
  <c r="N23" i="3"/>
  <c r="AK22" i="3"/>
  <c r="F22" i="63"/>
  <c r="BA28" i="5"/>
  <c r="BD28" i="5" s="1"/>
  <c r="AA27" i="5"/>
  <c r="AJ27" i="5"/>
  <c r="K23" i="82" s="1"/>
  <c r="U28" i="5"/>
  <c r="AQ28" i="1"/>
  <c r="AF27" i="1"/>
  <c r="R27" i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B28" i="7"/>
  <c r="AD25" i="2"/>
  <c r="AB26" i="2"/>
  <c r="H25" i="65"/>
  <c r="B22" i="63"/>
  <c r="Z24" i="2"/>
  <c r="AF24" i="2" s="1"/>
  <c r="AG24" i="2" s="1"/>
  <c r="A24" i="63"/>
  <c r="AE25" i="2"/>
  <c r="X26" i="2"/>
  <c r="AI23" i="3"/>
  <c r="D25" i="65" s="1"/>
  <c r="BE26" i="7"/>
  <c r="BG26" i="7" s="1"/>
  <c r="E6" i="63"/>
  <c r="D6" i="63" s="1"/>
  <c r="E23" i="6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i="63" s="1"/>
  <c r="E21" i="81"/>
  <c r="N23" i="2"/>
  <c r="R23" i="2" s="1"/>
  <c r="H22" i="82"/>
  <c r="E24" i="2"/>
  <c r="AY7" i="7"/>
  <c r="Q5" i="76"/>
  <c r="F26" i="3" l="1"/>
  <c r="AE23" i="3"/>
  <c r="AF23" i="3" s="1"/>
  <c r="AG23" i="3" s="1"/>
  <c r="T28" i="1"/>
  <c r="J24" i="82"/>
  <c r="D27" i="75"/>
  <c r="E27" i="75" s="1"/>
  <c r="O23" i="2"/>
  <c r="S24" i="76"/>
  <c r="I17" i="3"/>
  <c r="AN21" i="7"/>
  <c r="Q19" i="3"/>
  <c r="AU25" i="5"/>
  <c r="BC24" i="5"/>
  <c r="X17" i="7"/>
  <c r="AB23" i="3"/>
  <c r="B18" i="65"/>
  <c r="V19" i="1"/>
  <c r="H30" i="5"/>
  <c r="AO22" i="7"/>
  <c r="E28" i="3"/>
  <c r="C27" i="3"/>
  <c r="Y29" i="5"/>
  <c r="AO29" i="1"/>
  <c r="AT28" i="1"/>
  <c r="AU28" i="1" s="1"/>
  <c r="I25" i="81" s="1"/>
  <c r="Y29" i="1"/>
  <c r="AB29" i="1" s="1"/>
  <c r="Y18" i="7"/>
  <c r="AR18" i="7" s="1"/>
  <c r="V27" i="2"/>
  <c r="T28" i="2"/>
  <c r="S28" i="3"/>
  <c r="K25" i="3"/>
  <c r="Z25" i="3" s="1"/>
  <c r="N24" i="3"/>
  <c r="F23" i="63"/>
  <c r="AK23" i="3"/>
  <c r="BA29" i="5"/>
  <c r="BD29" i="5" s="1"/>
  <c r="AA28" i="5"/>
  <c r="AJ28" i="5"/>
  <c r="K24" i="82" s="1"/>
  <c r="U29" i="5"/>
  <c r="AS30" i="1"/>
  <c r="AQ29" i="1"/>
  <c r="AF28" i="1"/>
  <c r="R28" i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B29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D26" i="2"/>
  <c r="AB27" i="2"/>
  <c r="H26" i="65"/>
  <c r="B23" i="63"/>
  <c r="Z25" i="2"/>
  <c r="AF25" i="2" s="1"/>
  <c r="AG25" i="2" s="1"/>
  <c r="X27" i="2"/>
  <c r="AE26" i="2"/>
  <c r="A25" i="63"/>
  <c r="AI24" i="3"/>
  <c r="D26" i="65" s="1"/>
  <c r="I27" i="65"/>
  <c r="AD25" i="3"/>
  <c r="E24" i="63"/>
  <c r="BE27" i="7"/>
  <c r="BG27" i="7" s="1"/>
  <c r="J9" i="65"/>
  <c r="AI7" i="2"/>
  <c r="M26" i="2"/>
  <c r="E25" i="82" s="1"/>
  <c r="K27" i="2"/>
  <c r="F26" i="82" s="1"/>
  <c r="I27" i="2"/>
  <c r="G26" i="82" s="1"/>
  <c r="G28" i="2"/>
  <c r="I27" i="82" s="1"/>
  <c r="N24" i="2"/>
  <c r="R24" i="2" s="1"/>
  <c r="H23" i="82"/>
  <c r="E25" i="2"/>
  <c r="J24" i="65"/>
  <c r="AI22" i="2"/>
  <c r="E22" i="81"/>
  <c r="C22" i="63"/>
  <c r="D22" i="63" s="1"/>
  <c r="F27" i="3" l="1"/>
  <c r="AE24" i="3"/>
  <c r="AF24" i="3" s="1"/>
  <c r="AG24" i="3" s="1"/>
  <c r="T29" i="1"/>
  <c r="J25" i="82"/>
  <c r="O24" i="2"/>
  <c r="S25" i="76"/>
  <c r="I18" i="3"/>
  <c r="X18" i="7"/>
  <c r="AN22" i="7"/>
  <c r="Q20" i="3"/>
  <c r="AU26" i="5"/>
  <c r="AZ25" i="5"/>
  <c r="BC25" i="5" s="1"/>
  <c r="AB24" i="3"/>
  <c r="B19" i="65"/>
  <c r="V20" i="1"/>
  <c r="H31" i="5"/>
  <c r="E29" i="3"/>
  <c r="C28" i="3"/>
  <c r="Y30" i="5"/>
  <c r="AO30" i="1"/>
  <c r="AT29" i="1"/>
  <c r="AU29" i="1" s="1"/>
  <c r="I26" i="81" s="1"/>
  <c r="Y30" i="1"/>
  <c r="AB30" i="1" s="1"/>
  <c r="V28" i="2"/>
  <c r="T29" i="2"/>
  <c r="S29" i="3"/>
  <c r="K26" i="3"/>
  <c r="Z26" i="3" s="1"/>
  <c r="N25" i="3"/>
  <c r="F24" i="63"/>
  <c r="AK24" i="3"/>
  <c r="BA30" i="5"/>
  <c r="BD30" i="5" s="1"/>
  <c r="AA29" i="5"/>
  <c r="AJ29" i="5"/>
  <c r="K25" i="82" s="1"/>
  <c r="U30" i="5"/>
  <c r="AS31" i="1"/>
  <c r="AQ30" i="1"/>
  <c r="AF29" i="1"/>
  <c r="S30" i="1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B30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D27" i="2"/>
  <c r="AB28" i="2"/>
  <c r="H27" i="65"/>
  <c r="B24" i="63"/>
  <c r="Z26" i="2"/>
  <c r="AF26" i="2" s="1"/>
  <c r="AG26" i="2" s="1"/>
  <c r="X28" i="2"/>
  <c r="AE27" i="2"/>
  <c r="A26" i="63"/>
  <c r="AI25" i="3"/>
  <c r="D27" i="65" s="1"/>
  <c r="AD26" i="3"/>
  <c r="BE28" i="7"/>
  <c r="BG28" i="7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i="63" s="1"/>
  <c r="E23" i="81"/>
  <c r="H24" i="82"/>
  <c r="N25" i="2"/>
  <c r="R25" i="2" s="1"/>
  <c r="F28" i="3" l="1"/>
  <c r="T30" i="1"/>
  <c r="J26" i="82"/>
  <c r="S26" i="76"/>
  <c r="O25" i="2"/>
  <c r="I19" i="3"/>
  <c r="AN23" i="7"/>
  <c r="Q21" i="3"/>
  <c r="AU27" i="5"/>
  <c r="AZ26" i="5"/>
  <c r="BC26" i="5" s="1"/>
  <c r="AB25" i="3"/>
  <c r="V21" i="1"/>
  <c r="B20" i="65"/>
  <c r="AO24" i="7"/>
  <c r="H32" i="5"/>
  <c r="AT30" i="1"/>
  <c r="AU30" i="1" s="1"/>
  <c r="I27" i="81" s="1"/>
  <c r="E30" i="3"/>
  <c r="C29" i="3"/>
  <c r="Y31" i="5"/>
  <c r="AO31" i="1"/>
  <c r="Y31" i="1"/>
  <c r="AB31" i="1" s="1"/>
  <c r="V29" i="2"/>
  <c r="T30" i="2"/>
  <c r="U27" i="3"/>
  <c r="S30" i="3"/>
  <c r="N26" i="3"/>
  <c r="K27" i="3"/>
  <c r="Z27" i="3" s="1"/>
  <c r="F25" i="63"/>
  <c r="AK25" i="3"/>
  <c r="AE25" i="3"/>
  <c r="AF25" i="3" s="1"/>
  <c r="AG25" i="3" s="1"/>
  <c r="BA31" i="5"/>
  <c r="BD31" i="5" s="1"/>
  <c r="AJ30" i="5"/>
  <c r="K26" i="82" s="1"/>
  <c r="AA30" i="5"/>
  <c r="U31" i="5"/>
  <c r="AS32" i="1"/>
  <c r="AQ31" i="1"/>
  <c r="AF30" i="1"/>
  <c r="R30" i="1"/>
  <c r="S31" i="1"/>
  <c r="G30" i="1"/>
  <c r="AL30" i="1" s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B31" i="7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AD28" i="2"/>
  <c r="AB29" i="2"/>
  <c r="Z27" i="2"/>
  <c r="AF27" i="2" s="1"/>
  <c r="AG27" i="2" s="1"/>
  <c r="B25" i="63"/>
  <c r="H28" i="65"/>
  <c r="AE28" i="2"/>
  <c r="A27" i="63"/>
  <c r="X29" i="2"/>
  <c r="BE29" i="7"/>
  <c r="BG29" i="7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i="2" s="1"/>
  <c r="J26" i="65"/>
  <c r="AI24" i="2"/>
  <c r="E24" i="81"/>
  <c r="C24" i="63"/>
  <c r="D24" i="63" s="1"/>
  <c r="F29" i="3" l="1"/>
  <c r="AE26" i="3"/>
  <c r="AF26" i="3" s="1"/>
  <c r="AG26" i="3" s="1"/>
  <c r="T31" i="1"/>
  <c r="O26" i="2"/>
  <c r="S27" i="76"/>
  <c r="I20" i="3"/>
  <c r="J27" i="82"/>
  <c r="AN24" i="7"/>
  <c r="X20" i="7"/>
  <c r="Q22" i="3"/>
  <c r="AU28" i="5"/>
  <c r="AZ27" i="5"/>
  <c r="BC27" i="5" s="1"/>
  <c r="V27" i="3"/>
  <c r="AB26" i="3"/>
  <c r="B21" i="65"/>
  <c r="V22" i="1"/>
  <c r="AT31" i="1"/>
  <c r="AU31" i="1" s="1"/>
  <c r="H33" i="5"/>
  <c r="C30" i="3"/>
  <c r="Y32" i="5"/>
  <c r="Y32" i="1"/>
  <c r="AB32" i="1" s="1"/>
  <c r="V30" i="2"/>
  <c r="U28" i="3"/>
  <c r="F26" i="63"/>
  <c r="AK26" i="3"/>
  <c r="N27" i="3"/>
  <c r="K28" i="3"/>
  <c r="Z28" i="3" s="1"/>
  <c r="BA32" i="5"/>
  <c r="BD32" i="5" s="1"/>
  <c r="AJ31" i="5"/>
  <c r="K27" i="82" s="1"/>
  <c r="AA31" i="5"/>
  <c r="U32" i="5"/>
  <c r="AQ32" i="1"/>
  <c r="AF31" i="1"/>
  <c r="R31" i="1"/>
  <c r="S32" i="1"/>
  <c r="G31" i="1"/>
  <c r="AL31" i="1" s="1"/>
  <c r="U30" i="1"/>
  <c r="J30" i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B32" i="7"/>
  <c r="P25" i="7"/>
  <c r="O25" i="7"/>
  <c r="E30" i="7"/>
  <c r="F30" i="7"/>
  <c r="R24" i="7"/>
  <c r="Q24" i="7"/>
  <c r="C31" i="7"/>
  <c r="D31" i="7"/>
  <c r="V22" i="7"/>
  <c r="W22" i="7" s="1"/>
  <c r="U22" i="7"/>
  <c r="M26" i="7"/>
  <c r="N26" i="7"/>
  <c r="L27" i="7"/>
  <c r="K27" i="7"/>
  <c r="H29" i="7"/>
  <c r="G29" i="7"/>
  <c r="AD29" i="2"/>
  <c r="AB30" i="2"/>
  <c r="Z28" i="2"/>
  <c r="AF28" i="2" s="1"/>
  <c r="AG28" i="2" s="1"/>
  <c r="B26" i="63"/>
  <c r="H29" i="65"/>
  <c r="X30" i="2"/>
  <c r="A28" i="63"/>
  <c r="AE29" i="2"/>
  <c r="AI27" i="3"/>
  <c r="D29" i="65" s="1"/>
  <c r="I30" i="65"/>
  <c r="E27" i="63"/>
  <c r="AD28" i="3"/>
  <c r="BE30" i="7"/>
  <c r="BG30" i="7" s="1"/>
  <c r="M29" i="2"/>
  <c r="E28" i="82" s="1"/>
  <c r="K30" i="2"/>
  <c r="F29" i="82" s="1"/>
  <c r="I30" i="2"/>
  <c r="G29" i="82" s="1"/>
  <c r="E28" i="2"/>
  <c r="N27" i="2"/>
  <c r="R27" i="2" s="1"/>
  <c r="H26" i="82"/>
  <c r="E25" i="81"/>
  <c r="C25" i="63"/>
  <c r="D25" i="63" s="1"/>
  <c r="J27" i="65"/>
  <c r="AI25" i="2"/>
  <c r="F30" i="3" l="1"/>
  <c r="AE27" i="3"/>
  <c r="AF27" i="3" s="1"/>
  <c r="AG27" i="3" s="1"/>
  <c r="T32" i="1"/>
  <c r="O27" i="2"/>
  <c r="S28" i="76"/>
  <c r="I21" i="3"/>
  <c r="J28" i="82"/>
  <c r="AN25" i="7"/>
  <c r="AU29" i="5"/>
  <c r="AZ28" i="5"/>
  <c r="BC28" i="5" s="1"/>
  <c r="AB27" i="3"/>
  <c r="V28" i="3"/>
  <c r="B22" i="65"/>
  <c r="Y22" i="7"/>
  <c r="AR22" i="7" s="1"/>
  <c r="AT32" i="1"/>
  <c r="AU32" i="1" s="1"/>
  <c r="I29" i="81" s="1"/>
  <c r="Y33" i="5"/>
  <c r="X21" i="7"/>
  <c r="U29" i="3"/>
  <c r="S32" i="3"/>
  <c r="F27" i="63"/>
  <c r="AK27" i="3"/>
  <c r="N28" i="3"/>
  <c r="K29" i="3"/>
  <c r="Z29" i="3" s="1"/>
  <c r="BA33" i="5"/>
  <c r="BD33" i="5" s="1"/>
  <c r="AA32" i="5"/>
  <c r="AJ32" i="5"/>
  <c r="K28" i="82" s="1"/>
  <c r="U33" i="5"/>
  <c r="I28" i="81"/>
  <c r="AF32" i="1"/>
  <c r="R32" i="1"/>
  <c r="G32" i="1"/>
  <c r="U32" i="1" s="1"/>
  <c r="J31" i="1"/>
  <c r="U31" i="1"/>
  <c r="D32" i="75"/>
  <c r="E32" i="75" s="1"/>
  <c r="Z33" i="7"/>
  <c r="D32" i="1"/>
  <c r="E32" i="1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C32" i="7"/>
  <c r="D32" i="7"/>
  <c r="B33" i="7"/>
  <c r="P26" i="7"/>
  <c r="O26" i="7"/>
  <c r="F31" i="7"/>
  <c r="E31" i="7"/>
  <c r="U23" i="7"/>
  <c r="V23" i="7"/>
  <c r="W23" i="7" s="1"/>
  <c r="M27" i="7"/>
  <c r="N27" i="7"/>
  <c r="R25" i="7"/>
  <c r="Q25" i="7"/>
  <c r="K28" i="7"/>
  <c r="L28" i="7"/>
  <c r="AD30" i="2"/>
  <c r="Z29" i="2"/>
  <c r="AF29" i="2" s="1"/>
  <c r="AG29" i="2" s="1"/>
  <c r="B27" i="63"/>
  <c r="H30" i="65"/>
  <c r="AE30" i="2"/>
  <c r="A29" i="63"/>
  <c r="I31" i="65"/>
  <c r="E28" i="63"/>
  <c r="AD29" i="3"/>
  <c r="BE31" i="7"/>
  <c r="BG31" i="7" s="1"/>
  <c r="AI28" i="3"/>
  <c r="D30" i="65" s="1"/>
  <c r="M30" i="2"/>
  <c r="E29" i="82" s="1"/>
  <c r="E29" i="2"/>
  <c r="N28" i="2"/>
  <c r="R28" i="2" s="1"/>
  <c r="H27" i="82"/>
  <c r="C26" i="63"/>
  <c r="D26" i="63" s="1"/>
  <c r="E26" i="81"/>
  <c r="J28" i="65"/>
  <c r="AI26" i="2"/>
  <c r="AE28" i="3" l="1"/>
  <c r="AF28" i="3" s="1"/>
  <c r="AG28" i="3" s="1"/>
  <c r="AL32" i="1"/>
  <c r="D33" i="75" s="1"/>
  <c r="E33" i="75" s="1"/>
  <c r="O28" i="2"/>
  <c r="S29" i="76"/>
  <c r="Q24" i="3"/>
  <c r="Q23" i="3"/>
  <c r="I22" i="3"/>
  <c r="J29" i="82"/>
  <c r="AN26" i="7"/>
  <c r="V29" i="3"/>
  <c r="AB28" i="3"/>
  <c r="AU30" i="5"/>
  <c r="AZ29" i="5"/>
  <c r="BC29" i="5" s="1"/>
  <c r="B23" i="65"/>
  <c r="V24" i="1"/>
  <c r="X22" i="7"/>
  <c r="H34" i="5"/>
  <c r="D1" i="5"/>
  <c r="AO27" i="7"/>
  <c r="Y23" i="7"/>
  <c r="AR23" i="7" s="1"/>
  <c r="U30" i="3"/>
  <c r="K30" i="3"/>
  <c r="Z30" i="3" s="1"/>
  <c r="F28" i="63"/>
  <c r="AK28" i="3"/>
  <c r="N29" i="3"/>
  <c r="AA33" i="5"/>
  <c r="AJ33" i="5"/>
  <c r="K29" i="82" s="1"/>
  <c r="J32" i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D33" i="7"/>
  <c r="C33" i="7"/>
  <c r="F32" i="7"/>
  <c r="E32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H31" i="7"/>
  <c r="G31" i="7"/>
  <c r="K29" i="7"/>
  <c r="L29" i="7"/>
  <c r="H31" i="65"/>
  <c r="B28" i="63"/>
  <c r="Z30" i="2"/>
  <c r="AF30" i="2" s="1"/>
  <c r="AG30" i="2" s="1"/>
  <c r="A30" i="63"/>
  <c r="AI29" i="3"/>
  <c r="D31" i="65" s="1"/>
  <c r="AD30" i="3"/>
  <c r="I32" i="65"/>
  <c r="BE32" i="7"/>
  <c r="BG32" i="7" s="1"/>
  <c r="E29" i="63"/>
  <c r="J29" i="65"/>
  <c r="AI27" i="2"/>
  <c r="N29" i="2"/>
  <c r="R29" i="2" s="1"/>
  <c r="H28" i="82"/>
  <c r="E30" i="2"/>
  <c r="C27" i="63"/>
  <c r="D27" i="63" s="1"/>
  <c r="E27" i="81"/>
  <c r="AE29" i="3" l="1"/>
  <c r="AF29" i="3" s="1"/>
  <c r="AG29" i="3" s="1"/>
  <c r="C32" i="3"/>
  <c r="I25" i="3"/>
  <c r="D34" i="75"/>
  <c r="E34" i="75" s="1"/>
  <c r="O29" i="2"/>
  <c r="S30" i="76"/>
  <c r="I23" i="3"/>
  <c r="I24" i="3"/>
  <c r="AN27" i="7"/>
  <c r="Q25" i="3"/>
  <c r="AB29" i="3"/>
  <c r="B7" i="77"/>
  <c r="AU31" i="5"/>
  <c r="AZ30" i="5"/>
  <c r="BC30" i="5" s="1"/>
  <c r="V30" i="3"/>
  <c r="V25" i="1"/>
  <c r="B24" i="65"/>
  <c r="Y24" i="7"/>
  <c r="AR24" i="7" s="1"/>
  <c r="Y34" i="5"/>
  <c r="X23" i="7"/>
  <c r="N30" i="3"/>
  <c r="F29" i="63"/>
  <c r="AK29" i="3"/>
  <c r="U34" i="5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E33" i="7"/>
  <c r="F33" i="7"/>
  <c r="H32" i="7"/>
  <c r="G32" i="7"/>
  <c r="I31" i="7"/>
  <c r="J31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B29" i="63"/>
  <c r="H32" i="65"/>
  <c r="A31" i="63"/>
  <c r="AI30" i="3"/>
  <c r="D32" i="65" s="1"/>
  <c r="E30" i="63"/>
  <c r="I33" i="65"/>
  <c r="BE33" i="7"/>
  <c r="BG33" i="7" s="1"/>
  <c r="C28" i="63"/>
  <c r="D28" i="63" s="1"/>
  <c r="E28" i="81"/>
  <c r="N30" i="2"/>
  <c r="R30" i="2" s="1"/>
  <c r="H29" i="82"/>
  <c r="J30" i="65"/>
  <c r="AI28" i="2"/>
  <c r="AE30" i="3" l="1"/>
  <c r="AF30" i="3" s="1"/>
  <c r="AG30" i="3" s="1"/>
  <c r="I26" i="3"/>
  <c r="O30" i="2"/>
  <c r="S31" i="76"/>
  <c r="X24" i="7"/>
  <c r="AN28" i="7"/>
  <c r="AU32" i="5"/>
  <c r="AZ31" i="5"/>
  <c r="BC31" i="5" s="1"/>
  <c r="AB30" i="3"/>
  <c r="B25" i="65"/>
  <c r="V26" i="1"/>
  <c r="AO29" i="7"/>
  <c r="Y25" i="7"/>
  <c r="AR25" i="7" s="1"/>
  <c r="F30" i="63"/>
  <c r="AK30" i="3"/>
  <c r="J33" i="1"/>
  <c r="J1" i="1" s="1"/>
  <c r="AG32" i="7"/>
  <c r="AH32" i="7"/>
  <c r="AL30" i="7"/>
  <c r="AM30" i="7" s="1"/>
  <c r="AK30" i="7"/>
  <c r="AF33" i="7"/>
  <c r="AE33" i="7"/>
  <c r="AI31" i="7"/>
  <c r="AJ31" i="7"/>
  <c r="I32" i="7"/>
  <c r="J32" i="7"/>
  <c r="R28" i="7"/>
  <c r="Q28" i="7"/>
  <c r="H33" i="7"/>
  <c r="G33" i="7"/>
  <c r="V26" i="7"/>
  <c r="W26" i="7" s="1"/>
  <c r="U26" i="7"/>
  <c r="L31" i="7"/>
  <c r="K31" i="7"/>
  <c r="M30" i="7"/>
  <c r="N30" i="7"/>
  <c r="P29" i="7"/>
  <c r="O29" i="7"/>
  <c r="S27" i="7"/>
  <c r="T27" i="7"/>
  <c r="B31" i="63"/>
  <c r="H33" i="65"/>
  <c r="B30" i="63"/>
  <c r="D33" i="65"/>
  <c r="E31" i="63"/>
  <c r="AI29" i="2"/>
  <c r="J31" i="65"/>
  <c r="C29" i="63"/>
  <c r="D29" i="63" s="1"/>
  <c r="E29" i="81"/>
  <c r="Q26" i="3" l="1"/>
  <c r="Q27" i="3"/>
  <c r="K32" i="3"/>
  <c r="U31" i="3" s="1"/>
  <c r="AJ34" i="5"/>
  <c r="Z35" i="5" s="1"/>
  <c r="I27" i="3"/>
  <c r="D35" i="75"/>
  <c r="E35" i="75" s="1"/>
  <c r="AL33" i="1"/>
  <c r="AN29" i="7"/>
  <c r="F4" i="77"/>
  <c r="AU33" i="5"/>
  <c r="AZ32" i="5"/>
  <c r="BC32" i="5" s="1"/>
  <c r="X25" i="7"/>
  <c r="B26" i="65"/>
  <c r="V27" i="1"/>
  <c r="Y26" i="7"/>
  <c r="AR26" i="7" s="1"/>
  <c r="AO30" i="7"/>
  <c r="F31" i="63"/>
  <c r="AI32" i="7"/>
  <c r="AJ32" i="7"/>
  <c r="AK31" i="7"/>
  <c r="AL31" i="7"/>
  <c r="AM31" i="7" s="1"/>
  <c r="AH33" i="7"/>
  <c r="AG33" i="7"/>
  <c r="L32" i="7"/>
  <c r="K32" i="7"/>
  <c r="R29" i="7"/>
  <c r="Q29" i="7"/>
  <c r="P30" i="7"/>
  <c r="O30" i="7"/>
  <c r="I33" i="7"/>
  <c r="J33" i="7"/>
  <c r="N31" i="7"/>
  <c r="M31" i="7"/>
  <c r="V27" i="7"/>
  <c r="W27" i="7" s="1"/>
  <c r="U27" i="7"/>
  <c r="S28" i="7"/>
  <c r="T28" i="7"/>
  <c r="D34" i="65"/>
  <c r="AI30" i="2"/>
  <c r="J32" i="65"/>
  <c r="C30" i="63"/>
  <c r="D30" i="63" s="1"/>
  <c r="I28" i="3" l="1"/>
  <c r="X26" i="7"/>
  <c r="AN30" i="7"/>
  <c r="AZ33" i="5"/>
  <c r="BC33" i="5" s="1"/>
  <c r="D35" i="73"/>
  <c r="B16" i="77" s="1"/>
  <c r="E8" i="77"/>
  <c r="G8" i="77" s="1"/>
  <c r="K33" i="76"/>
  <c r="AO31" i="7"/>
  <c r="B27" i="65"/>
  <c r="V28" i="1"/>
  <c r="W31" i="76"/>
  <c r="AJ33" i="7"/>
  <c r="AI33" i="7"/>
  <c r="AK32" i="7"/>
  <c r="AL32" i="7"/>
  <c r="AM32" i="7" s="1"/>
  <c r="K33" i="7"/>
  <c r="L33" i="7"/>
  <c r="P31" i="7"/>
  <c r="O31" i="7"/>
  <c r="V28" i="7"/>
  <c r="W28" i="7" s="1"/>
  <c r="U28" i="7"/>
  <c r="N32" i="7"/>
  <c r="M32" i="7"/>
  <c r="Y27" i="7"/>
  <c r="AR27" i="7" s="1"/>
  <c r="S29" i="7"/>
  <c r="T29" i="7"/>
  <c r="R30" i="7"/>
  <c r="Q30" i="7"/>
  <c r="C31" i="63"/>
  <c r="D31" i="63" s="1"/>
  <c r="J33" i="65"/>
  <c r="I29" i="3" l="1"/>
  <c r="AN31" i="7"/>
  <c r="Q28" i="3"/>
  <c r="E16" i="77"/>
  <c r="X31" i="76"/>
  <c r="F7" i="77"/>
  <c r="G33" i="76"/>
  <c r="AD26" i="76"/>
  <c r="I33" i="76"/>
  <c r="AD27" i="76" s="1"/>
  <c r="E9" i="77"/>
  <c r="G9" i="77" s="1"/>
  <c r="V29" i="1"/>
  <c r="B28" i="65"/>
  <c r="F8" i="77"/>
  <c r="Z31" i="3"/>
  <c r="B18" i="77" s="1"/>
  <c r="AK33" i="7"/>
  <c r="AL33" i="7"/>
  <c r="AM33" i="7" s="1"/>
  <c r="AO32" i="7"/>
  <c r="Y28" i="7"/>
  <c r="AR28" i="7" s="1"/>
  <c r="X27" i="7"/>
  <c r="M33" i="7"/>
  <c r="N33" i="7"/>
  <c r="R31" i="7"/>
  <c r="Q31" i="7"/>
  <c r="P32" i="7"/>
  <c r="O32" i="7"/>
  <c r="V29" i="7"/>
  <c r="W29" i="7" s="1"/>
  <c r="U29" i="7"/>
  <c r="S30" i="7"/>
  <c r="T30" i="7"/>
  <c r="AD28" i="76" l="1"/>
  <c r="C33" i="76"/>
  <c r="I30" i="3"/>
  <c r="AN32" i="7"/>
  <c r="E18" i="77"/>
  <c r="Q29" i="3"/>
  <c r="Y31" i="76"/>
  <c r="F9" i="77"/>
  <c r="B29" i="65"/>
  <c r="V30" i="1"/>
  <c r="AO33" i="7"/>
  <c r="X28" i="7"/>
  <c r="U30" i="7"/>
  <c r="V30" i="7"/>
  <c r="W30" i="7" s="1"/>
  <c r="Y29" i="7"/>
  <c r="AR29" i="7" s="1"/>
  <c r="P33" i="7"/>
  <c r="O33" i="7"/>
  <c r="Q32" i="7"/>
  <c r="R32" i="7"/>
  <c r="S31" i="7"/>
  <c r="T31" i="7"/>
  <c r="AN33" i="7" l="1"/>
  <c r="F18" i="77"/>
  <c r="B19" i="77"/>
  <c r="Q30" i="3"/>
  <c r="V31" i="1"/>
  <c r="B30" i="65"/>
  <c r="Y30" i="7"/>
  <c r="AR30" i="7" s="1"/>
  <c r="Q33" i="7"/>
  <c r="R33" i="7"/>
  <c r="T32" i="7"/>
  <c r="S32" i="7"/>
  <c r="U31" i="7"/>
  <c r="V31" i="7"/>
  <c r="W31" i="7" s="1"/>
  <c r="X29" i="7"/>
  <c r="X30" i="7" l="1"/>
  <c r="V32" i="1"/>
  <c r="B31" i="65"/>
  <c r="Y31" i="7"/>
  <c r="AR31" i="7" s="1"/>
  <c r="T33" i="7"/>
  <c r="S33" i="7"/>
  <c r="V32" i="7"/>
  <c r="W32" i="7" s="1"/>
  <c r="U32" i="7"/>
  <c r="B32" i="65" l="1"/>
  <c r="Y32" i="7"/>
  <c r="AR32" i="7" s="1"/>
  <c r="X31" i="7"/>
  <c r="U33" i="7"/>
  <c r="V33" i="7"/>
  <c r="W33" i="7" s="1"/>
  <c r="X32" i="7" l="1"/>
  <c r="B33" i="65"/>
  <c r="Y33" i="7"/>
  <c r="AR33" i="7" s="1"/>
  <c r="B34" i="65" l="1"/>
  <c r="X33" i="7"/>
  <c r="L11" i="5" l="1"/>
  <c r="L16" i="5"/>
  <c r="AK16" i="5" s="1"/>
  <c r="L13" i="5"/>
  <c r="AK13" i="5" s="1"/>
  <c r="L15" i="5"/>
  <c r="AK15" i="5" s="1"/>
  <c r="L12" i="5"/>
  <c r="AK12" i="5" s="1"/>
  <c r="L19" i="5"/>
  <c r="AK19" i="5" s="1"/>
  <c r="H8" i="63" l="1"/>
  <c r="AK11" i="5"/>
  <c r="L31" i="5"/>
  <c r="AK31" i="5" s="1"/>
  <c r="L10" i="5"/>
  <c r="L8" i="5"/>
  <c r="L21" i="5"/>
  <c r="AK21" i="5" s="1"/>
  <c r="L25" i="5"/>
  <c r="H9" i="63"/>
  <c r="L14" i="5"/>
  <c r="AK14" i="5" s="1"/>
  <c r="L17" i="5"/>
  <c r="AK17" i="5" s="1"/>
  <c r="L23" i="5"/>
  <c r="AK23" i="5" s="1"/>
  <c r="L29" i="5"/>
  <c r="L30" i="5"/>
  <c r="AK30" i="5" s="1"/>
  <c r="L22" i="5"/>
  <c r="L32" i="5"/>
  <c r="AK32" i="5" s="1"/>
  <c r="L28" i="5"/>
  <c r="L27" i="5"/>
  <c r="AK27" i="5" s="1"/>
  <c r="F19" i="65"/>
  <c r="H16" i="63"/>
  <c r="F15" i="65"/>
  <c r="H12" i="63"/>
  <c r="L26" i="5"/>
  <c r="AK26" i="5" s="1"/>
  <c r="L9" i="5"/>
  <c r="AK9" i="5" s="1"/>
  <c r="L20" i="5"/>
  <c r="AK20" i="5" s="1"/>
  <c r="F12" i="65"/>
  <c r="L18" i="5"/>
  <c r="AK18" i="5" s="1"/>
  <c r="F16" i="65"/>
  <c r="H10" i="63"/>
  <c r="H13" i="63"/>
  <c r="F13" i="65"/>
  <c r="F11" i="65"/>
  <c r="L33" i="5"/>
  <c r="AK33" i="5" s="1"/>
  <c r="H7" i="63" l="1"/>
  <c r="AK10" i="5"/>
  <c r="F22" i="65"/>
  <c r="AK22" i="5"/>
  <c r="H22" i="63"/>
  <c r="AK25" i="5"/>
  <c r="F17" i="65"/>
  <c r="H25" i="63"/>
  <c r="AK28" i="5"/>
  <c r="H31" i="63"/>
  <c r="H5" i="63"/>
  <c r="AK8" i="5"/>
  <c r="H18" i="63"/>
  <c r="H26" i="63"/>
  <c r="AK29" i="5"/>
  <c r="F14" i="65"/>
  <c r="H28" i="63"/>
  <c r="H11" i="63"/>
  <c r="F31" i="65"/>
  <c r="H14" i="63"/>
  <c r="F21" i="65"/>
  <c r="F27" i="65"/>
  <c r="F8" i="65"/>
  <c r="F10" i="65"/>
  <c r="H19" i="63"/>
  <c r="H20" i="63"/>
  <c r="F23" i="65"/>
  <c r="F25" i="65"/>
  <c r="H27" i="63"/>
  <c r="F30" i="65"/>
  <c r="F29" i="65"/>
  <c r="F24" i="65"/>
  <c r="H21" i="63"/>
  <c r="H29" i="63"/>
  <c r="F34" i="65"/>
  <c r="H24" i="63"/>
  <c r="F28" i="65"/>
  <c r="F32" i="65"/>
  <c r="H30" i="63"/>
  <c r="F33" i="65"/>
  <c r="F26" i="65"/>
  <c r="H23" i="63"/>
  <c r="H6" i="63"/>
  <c r="F9" i="65"/>
  <c r="F20" i="65"/>
  <c r="H17" i="63"/>
  <c r="H15" i="63"/>
  <c r="F18" i="65"/>
  <c r="L7" i="5"/>
  <c r="AK7" i="5" l="1"/>
  <c r="L34" i="5"/>
  <c r="AK34" i="5" s="1"/>
  <c r="F7" i="65"/>
  <c r="H4" i="63"/>
  <c r="AA28" i="76" l="1"/>
  <c r="AB28" i="76" s="1"/>
  <c r="AE28" i="76" s="1"/>
  <c r="AF28" i="76" s="1"/>
  <c r="AA27" i="76"/>
  <c r="AB27" i="76" s="1"/>
  <c r="AA26" i="76"/>
  <c r="AB26" i="76" l="1"/>
  <c r="AB30" i="76" s="1"/>
  <c r="AA29" i="76"/>
  <c r="W36" i="76" l="1"/>
  <c r="W38" i="76"/>
  <c r="X16" i="76" l="1"/>
  <c r="R43" i="74" l="1"/>
  <c r="S43" i="74"/>
  <c r="G43" i="74" l="1"/>
  <c r="AB11" i="74" s="1"/>
  <c r="B14" i="77" s="1"/>
  <c r="E14" i="77" s="1"/>
  <c r="J43" i="74"/>
  <c r="K43" i="74"/>
  <c r="AB10" i="74"/>
  <c r="N43" i="74"/>
  <c r="O43" i="74"/>
  <c r="AA10" i="74"/>
  <c r="F43" i="74"/>
  <c r="AA11" i="74" s="1"/>
  <c r="B15" i="77" s="1"/>
  <c r="E15" i="77" s="1"/>
  <c r="O86" i="74" l="1"/>
  <c r="N86" i="74"/>
  <c r="F5" i="65" l="1"/>
  <c r="H2" i="63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AS24" i="7"/>
  <c r="BC25" i="7"/>
  <c r="AQ24" i="7"/>
  <c r="BC23" i="7"/>
  <c r="AQ22" i="7"/>
  <c r="AS23" i="7"/>
  <c r="AS28" i="7"/>
  <c r="AS22" i="7"/>
  <c r="AQ20" i="7"/>
  <c r="AS20" i="7"/>
  <c r="BC21" i="7"/>
  <c r="AS27" i="7"/>
  <c r="AS25" i="7"/>
  <c r="AS32" i="7"/>
  <c r="AS30" i="7"/>
  <c r="AS26" i="7"/>
  <c r="AS33" i="7"/>
  <c r="AS18" i="7"/>
  <c r="AS29" i="7"/>
  <c r="AS19" i="7"/>
  <c r="AS17" i="7"/>
  <c r="AX17" i="7" s="1"/>
  <c r="AS31" i="7"/>
  <c r="AS16" i="7"/>
  <c r="Q15" i="76" l="1"/>
  <c r="AY17" i="7"/>
  <c r="AX16" i="7"/>
  <c r="AY16" i="7" l="1"/>
  <c r="Q14" i="76"/>
  <c r="AS6" i="7" l="1"/>
  <c r="AS37" i="7" l="1"/>
  <c r="AD26" i="5" l="1"/>
  <c r="AD5" i="1"/>
  <c r="I5" i="1"/>
  <c r="V5" i="1" s="1"/>
  <c r="AA5" i="1"/>
  <c r="AH5" i="1" s="1"/>
  <c r="AD27" i="5" l="1"/>
  <c r="AD17" i="1"/>
  <c r="AA17" i="1"/>
  <c r="AH17" i="1" s="1"/>
  <c r="W5" i="1"/>
  <c r="B5" i="65"/>
  <c r="V33" i="1"/>
  <c r="AG5" i="1"/>
  <c r="AM5" i="1"/>
  <c r="C5" i="65"/>
  <c r="AI5" i="1"/>
  <c r="AD28" i="5" l="1"/>
  <c r="AD18" i="1"/>
  <c r="AM17" i="1"/>
  <c r="F18" i="75" s="1"/>
  <c r="G18" i="75" s="1"/>
  <c r="AG17" i="1"/>
  <c r="C17" i="65"/>
  <c r="E17" i="65" s="1"/>
  <c r="AI17" i="1"/>
  <c r="AW18" i="7" s="1"/>
  <c r="AA18" i="1"/>
  <c r="AH18" i="1" s="1"/>
  <c r="E5" i="65"/>
  <c r="AW6" i="7"/>
  <c r="F6" i="75"/>
  <c r="G6" i="75" s="1"/>
  <c r="AD29" i="5" l="1"/>
  <c r="AD19" i="1"/>
  <c r="AM18" i="1"/>
  <c r="F19" i="75" s="1"/>
  <c r="G19" i="75" s="1"/>
  <c r="AG18" i="1"/>
  <c r="AJ17" i="1"/>
  <c r="AK17" i="1" s="1"/>
  <c r="G14" i="81"/>
  <c r="AX18" i="7"/>
  <c r="AA19" i="1"/>
  <c r="AH19" i="1" s="1"/>
  <c r="C18" i="65"/>
  <c r="E18" i="65" s="1"/>
  <c r="AI18" i="1"/>
  <c r="AW19" i="7" s="1"/>
  <c r="G2" i="81"/>
  <c r="AJ5" i="1"/>
  <c r="AK5" i="1" s="1"/>
  <c r="AX6" i="7"/>
  <c r="AD30" i="5" l="1"/>
  <c r="AM19" i="1"/>
  <c r="F20" i="75" s="1"/>
  <c r="G20" i="75" s="1"/>
  <c r="AG19" i="1"/>
  <c r="AD20" i="1"/>
  <c r="AJ18" i="1"/>
  <c r="AK18" i="1" s="1"/>
  <c r="G15" i="81"/>
  <c r="AX19" i="7"/>
  <c r="Q16" i="76"/>
  <c r="AY18" i="7"/>
  <c r="AA20" i="1"/>
  <c r="AH20" i="1" s="1"/>
  <c r="C19" i="65"/>
  <c r="E19" i="65" s="1"/>
  <c r="AI19" i="1"/>
  <c r="AW20" i="7" s="1"/>
  <c r="Q4" i="76"/>
  <c r="AY6" i="7"/>
  <c r="AD31" i="5" l="1"/>
  <c r="AD21" i="1"/>
  <c r="AM20" i="1"/>
  <c r="F21" i="75" s="1"/>
  <c r="G21" i="75" s="1"/>
  <c r="AG20" i="1"/>
  <c r="C20" i="65"/>
  <c r="E20" i="65" s="1"/>
  <c r="AI20" i="1"/>
  <c r="AW21" i="7" s="1"/>
  <c r="AJ19" i="1"/>
  <c r="AK19" i="1" s="1"/>
  <c r="G16" i="81"/>
  <c r="AX20" i="7"/>
  <c r="Q17" i="76"/>
  <c r="AY19" i="7"/>
  <c r="AA21" i="1"/>
  <c r="AH21" i="1" s="1"/>
  <c r="AD32" i="5" l="1"/>
  <c r="AD22" i="1"/>
  <c r="AM21" i="1"/>
  <c r="F22" i="75" s="1"/>
  <c r="G22" i="75" s="1"/>
  <c r="AG21" i="1"/>
  <c r="AJ20" i="1"/>
  <c r="AK20" i="1" s="1"/>
  <c r="G17" i="81"/>
  <c r="AX21" i="7"/>
  <c r="AA22" i="1"/>
  <c r="AH22" i="1" s="1"/>
  <c r="C21" i="65"/>
  <c r="E21" i="65" s="1"/>
  <c r="AI21" i="1"/>
  <c r="AW22" i="7" s="1"/>
  <c r="Q18" i="76"/>
  <c r="AY20" i="7"/>
  <c r="AD33" i="5" l="1"/>
  <c r="AM22" i="1"/>
  <c r="F23" i="75" s="1"/>
  <c r="G23" i="75" s="1"/>
  <c r="AG22" i="1"/>
  <c r="AY21" i="7"/>
  <c r="Q19" i="76"/>
  <c r="C22" i="65"/>
  <c r="E22" i="65" s="1"/>
  <c r="AI22" i="1"/>
  <c r="AJ21" i="1"/>
  <c r="AK21" i="1" s="1"/>
  <c r="G18" i="81"/>
  <c r="AX22" i="7"/>
  <c r="AD24" i="1" l="1"/>
  <c r="F24" i="75"/>
  <c r="G24" i="75" s="1"/>
  <c r="AY22" i="7"/>
  <c r="Q20" i="76"/>
  <c r="AW23" i="7"/>
  <c r="AA24" i="1"/>
  <c r="AH24" i="1" s="1"/>
  <c r="C23" i="65"/>
  <c r="E23" i="65" s="1"/>
  <c r="AW24" i="7"/>
  <c r="AG24" i="1" l="1"/>
  <c r="AM24" i="1"/>
  <c r="F25" i="75" s="1"/>
  <c r="G25" i="75" s="1"/>
  <c r="AD25" i="1"/>
  <c r="AJ22" i="1"/>
  <c r="AK22" i="1" s="1"/>
  <c r="G19" i="81"/>
  <c r="AX23" i="7"/>
  <c r="AA25" i="1"/>
  <c r="AH25" i="1" s="1"/>
  <c r="C24" i="65"/>
  <c r="E24" i="65" s="1"/>
  <c r="AI24" i="1"/>
  <c r="AW25" i="7" s="1"/>
  <c r="G20" i="81"/>
  <c r="AX24" i="7"/>
  <c r="AD26" i="1" l="1"/>
  <c r="AM25" i="1"/>
  <c r="F26" i="75" s="1"/>
  <c r="G26" i="75" s="1"/>
  <c r="AG25" i="1"/>
  <c r="AJ24" i="1"/>
  <c r="AK24" i="1" s="1"/>
  <c r="G21" i="81"/>
  <c r="AX25" i="7"/>
  <c r="Q22" i="76"/>
  <c r="AY24" i="7"/>
  <c r="Q21" i="76"/>
  <c r="AY23" i="7"/>
  <c r="AA26" i="1"/>
  <c r="AH26" i="1" s="1"/>
  <c r="C25" i="65"/>
  <c r="E25" i="65" s="1"/>
  <c r="AI25" i="1"/>
  <c r="AW26" i="7" s="1"/>
  <c r="AM26" i="1" l="1"/>
  <c r="F27" i="75" s="1"/>
  <c r="G27" i="75" s="1"/>
  <c r="AG26" i="1"/>
  <c r="AD27" i="1"/>
  <c r="AY25" i="7"/>
  <c r="Q23" i="76"/>
  <c r="AA27" i="1"/>
  <c r="AH27" i="1" s="1"/>
  <c r="C26" i="65"/>
  <c r="E26" i="65" s="1"/>
  <c r="AI26" i="1"/>
  <c r="AW27" i="7" s="1"/>
  <c r="AJ25" i="1"/>
  <c r="AK25" i="1" s="1"/>
  <c r="G22" i="81"/>
  <c r="AX26" i="7"/>
  <c r="AD28" i="1" l="1"/>
  <c r="AG27" i="1"/>
  <c r="AM27" i="1"/>
  <c r="F28" i="75" s="1"/>
  <c r="G28" i="75" s="1"/>
  <c r="C27" i="65"/>
  <c r="E27" i="65" s="1"/>
  <c r="AI27" i="1"/>
  <c r="AW28" i="7" s="1"/>
  <c r="Q24" i="76"/>
  <c r="AY26" i="7"/>
  <c r="AA28" i="1"/>
  <c r="AH28" i="1" s="1"/>
  <c r="AJ26" i="1"/>
  <c r="AK26" i="1" s="1"/>
  <c r="G23" i="81"/>
  <c r="AX27" i="7"/>
  <c r="AD29" i="1" l="1"/>
  <c r="AG28" i="1"/>
  <c r="AM28" i="1"/>
  <c r="F29" i="75" s="1"/>
  <c r="G29" i="75" s="1"/>
  <c r="Q25" i="76"/>
  <c r="AY27" i="7"/>
  <c r="AJ27" i="1"/>
  <c r="AK27" i="1" s="1"/>
  <c r="G24" i="81"/>
  <c r="AX28" i="7"/>
  <c r="AA29" i="1"/>
  <c r="AH29" i="1" s="1"/>
  <c r="C28" i="65"/>
  <c r="E28" i="65" s="1"/>
  <c r="AI28" i="1"/>
  <c r="AW29" i="7" s="1"/>
  <c r="AD30" i="1" l="1"/>
  <c r="AM29" i="1"/>
  <c r="F30" i="75" s="1"/>
  <c r="G30" i="75" s="1"/>
  <c r="AG29" i="1"/>
  <c r="AJ28" i="1"/>
  <c r="AK28" i="1" s="1"/>
  <c r="G25" i="81"/>
  <c r="AX29" i="7"/>
  <c r="AA30" i="1"/>
  <c r="AH30" i="1" s="1"/>
  <c r="Q26" i="76"/>
  <c r="AY28" i="7"/>
  <c r="C29" i="65"/>
  <c r="E29" i="65" s="1"/>
  <c r="AI29" i="1"/>
  <c r="AW30" i="7" s="1"/>
  <c r="AG30" i="1" l="1"/>
  <c r="AM30" i="1"/>
  <c r="F31" i="75" s="1"/>
  <c r="G31" i="75" s="1"/>
  <c r="AD31" i="1"/>
  <c r="AA31" i="1"/>
  <c r="AH31" i="1" s="1"/>
  <c r="AJ29" i="1"/>
  <c r="AK29" i="1" s="1"/>
  <c r="G26" i="81"/>
  <c r="AX30" i="7"/>
  <c r="Q27" i="76"/>
  <c r="AY29" i="7"/>
  <c r="C30" i="65"/>
  <c r="E30" i="65" s="1"/>
  <c r="AI30" i="1"/>
  <c r="AW31" i="7" s="1"/>
  <c r="AD32" i="1" l="1"/>
  <c r="AM31" i="1"/>
  <c r="F32" i="75" s="1"/>
  <c r="G32" i="75" s="1"/>
  <c r="AG31" i="1"/>
  <c r="AA32" i="1"/>
  <c r="AH32" i="1" s="1"/>
  <c r="AJ30" i="1"/>
  <c r="AK30" i="1" s="1"/>
  <c r="G27" i="81"/>
  <c r="AX31" i="7"/>
  <c r="C31" i="65"/>
  <c r="E31" i="65" s="1"/>
  <c r="AI31" i="1"/>
  <c r="AW32" i="7" s="1"/>
  <c r="AY30" i="7"/>
  <c r="Q28" i="76"/>
  <c r="AG32" i="1" l="1"/>
  <c r="AM32" i="1"/>
  <c r="F33" i="75" s="1"/>
  <c r="G33" i="75" s="1"/>
  <c r="C32" i="65"/>
  <c r="E32" i="65" s="1"/>
  <c r="AI32" i="1"/>
  <c r="AW33" i="7" s="1"/>
  <c r="Q29" i="76"/>
  <c r="AY31" i="7"/>
  <c r="AJ31" i="1"/>
  <c r="AK31" i="1" s="1"/>
  <c r="G28" i="81"/>
  <c r="AX32" i="7"/>
  <c r="F34" i="75" l="1"/>
  <c r="G34" i="75" s="1"/>
  <c r="Q30" i="76"/>
  <c r="AY32" i="7"/>
  <c r="C33" i="65"/>
  <c r="E33" i="65" s="1"/>
  <c r="AJ32" i="1"/>
  <c r="AK32" i="1" s="1"/>
  <c r="G29" i="81"/>
  <c r="AX33" i="7"/>
  <c r="AM33" i="1" l="1"/>
  <c r="F35" i="75"/>
  <c r="G35" i="75" s="1"/>
  <c r="Q31" i="76"/>
  <c r="AY33" i="7"/>
  <c r="AH33" i="1"/>
  <c r="C34" i="65"/>
  <c r="E34" i="65" s="1"/>
  <c r="AI34" i="1" l="1"/>
  <c r="AY34" i="7" l="1"/>
  <c r="AX34" i="7"/>
  <c r="Z37" i="76" s="1"/>
  <c r="F5" i="75" l="1"/>
  <c r="G5" i="75" s="1"/>
  <c r="AU5" i="1"/>
  <c r="I2" i="81" l="1"/>
  <c r="AU33" i="1"/>
  <c r="AU35" i="1" s="1"/>
  <c r="O5" i="1" l="1"/>
  <c r="O6" i="1" s="1"/>
  <c r="O7" i="1" s="1"/>
  <c r="O8" i="1" s="1"/>
  <c r="O9" i="1" s="1"/>
  <c r="O10" i="1" s="1"/>
  <c r="O11" i="1" s="1"/>
  <c r="O12" i="1" l="1"/>
  <c r="O13" i="1" s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s="1"/>
  <c r="O26" i="1" s="1"/>
  <c r="O27" i="1" s="1"/>
  <c r="O28" i="1" s="1"/>
  <c r="O29" i="1" s="1"/>
  <c r="O30" i="1" s="1"/>
  <c r="O31" i="1" s="1"/>
  <c r="O32" i="1" s="1"/>
  <c r="AV6" i="7" l="1"/>
  <c r="AV7" i="7" l="1"/>
  <c r="H2" i="81"/>
  <c r="AV8" i="7" l="1"/>
  <c r="H3" i="81"/>
  <c r="AV9" i="7" l="1"/>
  <c r="H4" i="81"/>
  <c r="H5" i="81" l="1"/>
  <c r="AV10" i="7"/>
  <c r="AV11" i="7" l="1"/>
  <c r="H6" i="81"/>
  <c r="H7" i="81" l="1"/>
  <c r="AV12" i="7"/>
  <c r="H8" i="81" l="1"/>
  <c r="AV13" i="7"/>
  <c r="AV14" i="7" l="1"/>
  <c r="H9" i="81"/>
  <c r="H10" i="81" l="1"/>
  <c r="AV15" i="7"/>
  <c r="H11" i="81" l="1"/>
  <c r="AV16" i="7"/>
  <c r="AV17" i="7" l="1"/>
  <c r="H12" i="81"/>
  <c r="H13" i="81" l="1"/>
  <c r="AV18" i="7"/>
  <c r="AV19" i="7" l="1"/>
  <c r="H14" i="81"/>
  <c r="H15" i="81" l="1"/>
  <c r="AV20" i="7"/>
  <c r="AV21" i="7" l="1"/>
  <c r="H16" i="81"/>
  <c r="H17" i="81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i="7" l="1"/>
  <c r="H23" i="81"/>
  <c r="AV29" i="7" l="1"/>
  <c r="H24" i="81"/>
  <c r="AV30" i="7" l="1"/>
  <c r="H25" i="81"/>
  <c r="H26" i="81" l="1"/>
  <c r="AV31" i="7"/>
  <c r="AV32" i="7" l="1"/>
  <c r="H27" i="81"/>
  <c r="AV33" i="7" l="1"/>
  <c r="H28" i="81"/>
  <c r="H29" i="81" l="1"/>
  <c r="G34" i="65" l="1"/>
  <c r="I31" i="63" l="1"/>
  <c r="I12" i="77" l="1"/>
  <c r="H12" i="77"/>
  <c r="L2" i="3" l="1"/>
  <c r="L3" i="3" s="1"/>
  <c r="B6" i="5" l="1"/>
  <c r="AG6" i="5"/>
  <c r="M6" i="5"/>
  <c r="L4" i="3"/>
  <c r="M3" i="3"/>
  <c r="AA3" i="3" s="1"/>
  <c r="AC3" i="3" s="1"/>
  <c r="AH3" i="3" s="1"/>
  <c r="AE6" i="5"/>
  <c r="O6" i="5"/>
  <c r="AB6" i="5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E7" i="5" l="1"/>
  <c r="AF6" i="5"/>
  <c r="AG7" i="5"/>
  <c r="AH6" i="5"/>
  <c r="O7" i="5"/>
  <c r="P6" i="5"/>
  <c r="V7" i="5"/>
  <c r="AL6" i="5"/>
  <c r="L5" i="3"/>
  <c r="M4" i="3"/>
  <c r="AA4" i="3" s="1"/>
  <c r="AC4" i="3" s="1"/>
  <c r="AH4" i="3" s="1"/>
  <c r="B7" i="5"/>
  <c r="C6" i="5"/>
  <c r="M7" i="5"/>
  <c r="N6" i="5"/>
  <c r="AI6" i="5" l="1"/>
  <c r="AE8" i="5"/>
  <c r="AF7" i="5"/>
  <c r="M8" i="5"/>
  <c r="N7" i="5"/>
  <c r="O8" i="5"/>
  <c r="P7" i="5"/>
  <c r="W7" i="5"/>
  <c r="AL7" i="5" s="1"/>
  <c r="L6" i="3"/>
  <c r="M5" i="3"/>
  <c r="AA5" i="3" s="1"/>
  <c r="AC5" i="3" s="1"/>
  <c r="AH5" i="3" s="1"/>
  <c r="B8" i="5"/>
  <c r="C7" i="5"/>
  <c r="AG8" i="5"/>
  <c r="AH7" i="5"/>
  <c r="G3" i="63"/>
  <c r="I6" i="5"/>
  <c r="E6" i="5"/>
  <c r="D6" i="5"/>
  <c r="Q6" i="5"/>
  <c r="M2" i="81" s="1"/>
  <c r="AI7" i="5" l="1"/>
  <c r="J6" i="5"/>
  <c r="L2" i="81" s="1"/>
  <c r="K2" i="81"/>
  <c r="AE9" i="5"/>
  <c r="AF8" i="5"/>
  <c r="L7" i="3"/>
  <c r="M6" i="3"/>
  <c r="AA6" i="3" s="1"/>
  <c r="AC6" i="3" s="1"/>
  <c r="AH6" i="3" s="1"/>
  <c r="B9" i="5"/>
  <c r="C8" i="5"/>
  <c r="E7" i="5"/>
  <c r="I7" i="5"/>
  <c r="D7" i="5"/>
  <c r="G4" i="63"/>
  <c r="AG9" i="5"/>
  <c r="AH8" i="5"/>
  <c r="M9" i="5"/>
  <c r="N8" i="5"/>
  <c r="O9" i="5"/>
  <c r="P8" i="5"/>
  <c r="V9" i="5"/>
  <c r="W8" i="5"/>
  <c r="AL8" i="5" s="1"/>
  <c r="Q7" i="5"/>
  <c r="M3" i="81" s="1"/>
  <c r="M10" i="5" l="1"/>
  <c r="N9" i="5"/>
  <c r="B10" i="5"/>
  <c r="C9" i="5"/>
  <c r="E8" i="5"/>
  <c r="D8" i="5"/>
  <c r="G5" i="63"/>
  <c r="I8" i="5"/>
  <c r="K3" i="81"/>
  <c r="J7" i="5"/>
  <c r="L3" i="81" s="1"/>
  <c r="O10" i="5"/>
  <c r="P9" i="5"/>
  <c r="AE10" i="5"/>
  <c r="AF9" i="5"/>
  <c r="V10" i="5"/>
  <c r="W9" i="5"/>
  <c r="AL9" i="5" s="1"/>
  <c r="AG10" i="5"/>
  <c r="AH9" i="5"/>
  <c r="L8" i="3"/>
  <c r="M7" i="3"/>
  <c r="AA7" i="3" s="1"/>
  <c r="AC7" i="3" s="1"/>
  <c r="AH7" i="3" s="1"/>
  <c r="Q8" i="5"/>
  <c r="M4" i="81" s="1"/>
  <c r="AI8" i="5"/>
  <c r="V11" i="5" l="1"/>
  <c r="W10" i="5"/>
  <c r="AL10" i="5" s="1"/>
  <c r="M11" i="5"/>
  <c r="N10" i="5"/>
  <c r="B11" i="5"/>
  <c r="C10" i="5"/>
  <c r="E9" i="5"/>
  <c r="G6" i="63"/>
  <c r="I9" i="5"/>
  <c r="D9" i="5"/>
  <c r="L9" i="3"/>
  <c r="M8" i="3"/>
  <c r="AA8" i="3" s="1"/>
  <c r="AC8" i="3" s="1"/>
  <c r="AH8" i="3" s="1"/>
  <c r="O11" i="5"/>
  <c r="P10" i="5"/>
  <c r="AG11" i="5"/>
  <c r="AH10" i="5"/>
  <c r="AE11" i="5"/>
  <c r="AF10" i="5"/>
  <c r="Q9" i="5"/>
  <c r="M5" i="81" s="1"/>
  <c r="K4" i="81"/>
  <c r="J8" i="5"/>
  <c r="L4" i="81" s="1"/>
  <c r="AI9" i="5"/>
  <c r="AI10" i="5" l="1"/>
  <c r="O12" i="5"/>
  <c r="P11" i="5"/>
  <c r="B12" i="5"/>
  <c r="C11" i="5"/>
  <c r="E10" i="5"/>
  <c r="G7" i="63"/>
  <c r="D10" i="5"/>
  <c r="I10" i="5"/>
  <c r="Q10" i="5"/>
  <c r="M6" i="81" s="1"/>
  <c r="AE12" i="5"/>
  <c r="AF11" i="5"/>
  <c r="K5" i="81"/>
  <c r="J9" i="5"/>
  <c r="L5" i="81" s="1"/>
  <c r="V12" i="5"/>
  <c r="W11" i="5"/>
  <c r="AL11" i="5" s="1"/>
  <c r="L10" i="3"/>
  <c r="M9" i="3"/>
  <c r="AA9" i="3" s="1"/>
  <c r="AC9" i="3" s="1"/>
  <c r="AH9" i="3" s="1"/>
  <c r="M12" i="5"/>
  <c r="N11" i="5"/>
  <c r="AG12" i="5"/>
  <c r="AH11" i="5"/>
  <c r="AI11" i="5" l="1"/>
  <c r="Q11" i="5"/>
  <c r="M7" i="81" s="1"/>
  <c r="L11" i="3"/>
  <c r="M10" i="3"/>
  <c r="AA10" i="3" s="1"/>
  <c r="AC10" i="3" s="1"/>
  <c r="AH10" i="3" s="1"/>
  <c r="AG13" i="5"/>
  <c r="AH12" i="5"/>
  <c r="O13" i="5"/>
  <c r="P12" i="5"/>
  <c r="AE13" i="5"/>
  <c r="AF12" i="5"/>
  <c r="B13" i="5"/>
  <c r="C12" i="5"/>
  <c r="M13" i="5"/>
  <c r="N12" i="5"/>
  <c r="E11" i="5"/>
  <c r="D11" i="5"/>
  <c r="I11" i="5"/>
  <c r="G8" i="63"/>
  <c r="V13" i="5"/>
  <c r="W12" i="5"/>
  <c r="AL12" i="5" s="1"/>
  <c r="K6" i="81"/>
  <c r="J10" i="5"/>
  <c r="L6" i="81" s="1"/>
  <c r="Q12" i="5" l="1"/>
  <c r="M8" i="81" s="1"/>
  <c r="AI12" i="5"/>
  <c r="AE14" i="5"/>
  <c r="AF13" i="5"/>
  <c r="L12" i="3"/>
  <c r="M11" i="3"/>
  <c r="AA11" i="3" s="1"/>
  <c r="AC11" i="3" s="1"/>
  <c r="AH11" i="3" s="1"/>
  <c r="K7" i="81"/>
  <c r="J11" i="5"/>
  <c r="L7" i="81" s="1"/>
  <c r="AG14" i="5"/>
  <c r="AH13" i="5"/>
  <c r="V14" i="5"/>
  <c r="W13" i="5"/>
  <c r="AL13" i="5" s="1"/>
  <c r="I12" i="5"/>
  <c r="E12" i="5"/>
  <c r="D12" i="5"/>
  <c r="G9" i="63"/>
  <c r="B14" i="5"/>
  <c r="C13" i="5"/>
  <c r="M14" i="5"/>
  <c r="N13" i="5"/>
  <c r="O14" i="5"/>
  <c r="P13" i="5"/>
  <c r="Q13" i="5" l="1"/>
  <c r="M9" i="81" s="1"/>
  <c r="AG15" i="5"/>
  <c r="AH14" i="5"/>
  <c r="AE15" i="5"/>
  <c r="AF14" i="5"/>
  <c r="B15" i="5"/>
  <c r="C14" i="5"/>
  <c r="V15" i="5"/>
  <c r="W14" i="5"/>
  <c r="AL14" i="5" s="1"/>
  <c r="L13" i="3"/>
  <c r="M12" i="3"/>
  <c r="AA12" i="3" s="1"/>
  <c r="AC12" i="3" s="1"/>
  <c r="AH12" i="3" s="1"/>
  <c r="E13" i="5"/>
  <c r="D13" i="5"/>
  <c r="I13" i="5"/>
  <c r="G10" i="63"/>
  <c r="M15" i="5"/>
  <c r="N14" i="5"/>
  <c r="K8" i="81"/>
  <c r="J12" i="5"/>
  <c r="L8" i="81" s="1"/>
  <c r="AI13" i="5"/>
  <c r="O15" i="5"/>
  <c r="P14" i="5"/>
  <c r="AI14" i="5" l="1"/>
  <c r="AE16" i="5"/>
  <c r="AF15" i="5"/>
  <c r="B16" i="5"/>
  <c r="C15" i="5"/>
  <c r="L14" i="3"/>
  <c r="M13" i="3"/>
  <c r="AA13" i="3" s="1"/>
  <c r="AC13" i="3" s="1"/>
  <c r="AH13" i="3" s="1"/>
  <c r="AG16" i="5"/>
  <c r="AH15" i="5"/>
  <c r="O16" i="5"/>
  <c r="P15" i="5"/>
  <c r="K9" i="81"/>
  <c r="J13" i="5"/>
  <c r="L9" i="81" s="1"/>
  <c r="E14" i="5"/>
  <c r="I14" i="5"/>
  <c r="D14" i="5"/>
  <c r="G11" i="63"/>
  <c r="M16" i="5"/>
  <c r="N15" i="5"/>
  <c r="V16" i="5"/>
  <c r="W15" i="5"/>
  <c r="AL15" i="5" s="1"/>
  <c r="Q14" i="5"/>
  <c r="M10" i="81" s="1"/>
  <c r="Q15" i="5" l="1"/>
  <c r="M11" i="81" s="1"/>
  <c r="AE17" i="5"/>
  <c r="AF16" i="5"/>
  <c r="E15" i="5"/>
  <c r="G12" i="63"/>
  <c r="D15" i="5"/>
  <c r="I15" i="5"/>
  <c r="L15" i="3"/>
  <c r="M14" i="3"/>
  <c r="AA14" i="3" s="1"/>
  <c r="AC14" i="3" s="1"/>
  <c r="AH14" i="3" s="1"/>
  <c r="K10" i="81"/>
  <c r="J14" i="5"/>
  <c r="L10" i="81" s="1"/>
  <c r="O17" i="5"/>
  <c r="P16" i="5"/>
  <c r="B17" i="5"/>
  <c r="C16" i="5"/>
  <c r="M17" i="5"/>
  <c r="N16" i="5"/>
  <c r="V17" i="5"/>
  <c r="W16" i="5"/>
  <c r="AL16" i="5" s="1"/>
  <c r="AG17" i="5"/>
  <c r="AH16" i="5"/>
  <c r="AI15" i="5"/>
  <c r="AI16" i="5" l="1"/>
  <c r="AE18" i="5"/>
  <c r="AF17" i="5"/>
  <c r="AG18" i="5"/>
  <c r="AH17" i="5"/>
  <c r="E16" i="5"/>
  <c r="I16" i="5"/>
  <c r="D16" i="5"/>
  <c r="G13" i="63"/>
  <c r="L16" i="3"/>
  <c r="M15" i="3"/>
  <c r="AA15" i="3" s="1"/>
  <c r="AC15" i="3" s="1"/>
  <c r="AH15" i="3" s="1"/>
  <c r="V18" i="5"/>
  <c r="W17" i="5"/>
  <c r="AL17" i="5" s="1"/>
  <c r="O18" i="5"/>
  <c r="P17" i="5"/>
  <c r="B18" i="5"/>
  <c r="C17" i="5"/>
  <c r="J15" i="5"/>
  <c r="L11" i="81" s="1"/>
  <c r="K11" i="81"/>
  <c r="M18" i="5"/>
  <c r="N17" i="5"/>
  <c r="Q16" i="5"/>
  <c r="M12" i="81" s="1"/>
  <c r="AI17" i="5" l="1"/>
  <c r="AG19" i="5"/>
  <c r="AH18" i="5"/>
  <c r="L17" i="3"/>
  <c r="M16" i="3"/>
  <c r="AA16" i="3" s="1"/>
  <c r="AC16" i="3" s="1"/>
  <c r="AH16" i="3" s="1"/>
  <c r="V19" i="5"/>
  <c r="W18" i="5"/>
  <c r="AL18" i="5" s="1"/>
  <c r="M19" i="5"/>
  <c r="N18" i="5"/>
  <c r="O19" i="5"/>
  <c r="P18" i="5"/>
  <c r="AE19" i="5"/>
  <c r="AF18" i="5"/>
  <c r="K12" i="81"/>
  <c r="J16" i="5"/>
  <c r="L12" i="81" s="1"/>
  <c r="B19" i="5"/>
  <c r="C18" i="5"/>
  <c r="E17" i="5"/>
  <c r="D17" i="5"/>
  <c r="G14" i="63"/>
  <c r="I17" i="5"/>
  <c r="Q17" i="5"/>
  <c r="M13" i="81" s="1"/>
  <c r="Q18" i="5" l="1"/>
  <c r="M14" i="81" s="1"/>
  <c r="O20" i="5"/>
  <c r="P19" i="5"/>
  <c r="L18" i="3"/>
  <c r="M17" i="3"/>
  <c r="AA17" i="3" s="1"/>
  <c r="AC17" i="3" s="1"/>
  <c r="AH17" i="3" s="1"/>
  <c r="E18" i="5"/>
  <c r="D18" i="5"/>
  <c r="I18" i="5"/>
  <c r="G15" i="63"/>
  <c r="AG20" i="5"/>
  <c r="AH19" i="5"/>
  <c r="AE20" i="5"/>
  <c r="AF19" i="5"/>
  <c r="J17" i="5"/>
  <c r="L13" i="81" s="1"/>
  <c r="K13" i="81"/>
  <c r="V20" i="5"/>
  <c r="W19" i="5"/>
  <c r="AL19" i="5" s="1"/>
  <c r="M20" i="5"/>
  <c r="N19" i="5"/>
  <c r="B20" i="5"/>
  <c r="C19" i="5"/>
  <c r="AI18" i="5"/>
  <c r="Q19" i="5" l="1"/>
  <c r="M15" i="81" s="1"/>
  <c r="AG21" i="5"/>
  <c r="AH20" i="5"/>
  <c r="O21" i="5"/>
  <c r="P20" i="5"/>
  <c r="M21" i="5"/>
  <c r="N20" i="5"/>
  <c r="AI19" i="5"/>
  <c r="AE21" i="5"/>
  <c r="AF20" i="5"/>
  <c r="L19" i="3"/>
  <c r="M18" i="3"/>
  <c r="AA18" i="3" s="1"/>
  <c r="AC18" i="3" s="1"/>
  <c r="AH18" i="3" s="1"/>
  <c r="B21" i="5"/>
  <c r="C20" i="5"/>
  <c r="E19" i="5"/>
  <c r="G16" i="63"/>
  <c r="I19" i="5"/>
  <c r="D19" i="5"/>
  <c r="K14" i="81"/>
  <c r="J18" i="5"/>
  <c r="L14" i="81" s="1"/>
  <c r="V21" i="5"/>
  <c r="W20" i="5"/>
  <c r="AL20" i="5" s="1"/>
  <c r="Q20" i="5" l="1"/>
  <c r="M16" i="81" s="1"/>
  <c r="AI20" i="5"/>
  <c r="AG22" i="5"/>
  <c r="AH21" i="5"/>
  <c r="L20" i="3"/>
  <c r="M19" i="3"/>
  <c r="AA19" i="3" s="1"/>
  <c r="AC19" i="3" s="1"/>
  <c r="AH19" i="3" s="1"/>
  <c r="B22" i="5"/>
  <c r="C21" i="5"/>
  <c r="V22" i="5"/>
  <c r="W21" i="5"/>
  <c r="AL21" i="5" s="1"/>
  <c r="O22" i="5"/>
  <c r="P21" i="5"/>
  <c r="E20" i="5"/>
  <c r="D20" i="5"/>
  <c r="G17" i="63"/>
  <c r="I20" i="5"/>
  <c r="M22" i="5"/>
  <c r="N21" i="5"/>
  <c r="K15" i="81"/>
  <c r="J19" i="5"/>
  <c r="L15" i="81" s="1"/>
  <c r="AE22" i="5"/>
  <c r="AF21" i="5"/>
  <c r="Q21" i="5" l="1"/>
  <c r="M17" i="81" s="1"/>
  <c r="O23" i="5"/>
  <c r="P22" i="5"/>
  <c r="L21" i="3"/>
  <c r="M20" i="3"/>
  <c r="AA20" i="3" s="1"/>
  <c r="AC20" i="3" s="1"/>
  <c r="AH20" i="3" s="1"/>
  <c r="AE23" i="5"/>
  <c r="AF22" i="5"/>
  <c r="B23" i="5"/>
  <c r="C22" i="5"/>
  <c r="AG23" i="5"/>
  <c r="AH22" i="5"/>
  <c r="K16" i="81"/>
  <c r="J20" i="5"/>
  <c r="L16" i="81" s="1"/>
  <c r="E21" i="5"/>
  <c r="I21" i="5"/>
  <c r="G18" i="63"/>
  <c r="D21" i="5"/>
  <c r="M23" i="5"/>
  <c r="N22" i="5"/>
  <c r="V23" i="5"/>
  <c r="W22" i="5"/>
  <c r="AL22" i="5" s="1"/>
  <c r="AI21" i="5"/>
  <c r="Q22" i="5" l="1"/>
  <c r="M18" i="81" s="1"/>
  <c r="O24" i="5"/>
  <c r="P23" i="5"/>
  <c r="AE24" i="5"/>
  <c r="AF23" i="5"/>
  <c r="AI22" i="5"/>
  <c r="AG24" i="5"/>
  <c r="AH23" i="5"/>
  <c r="M24" i="5"/>
  <c r="N23" i="5"/>
  <c r="L22" i="3"/>
  <c r="M21" i="3"/>
  <c r="AA21" i="3" s="1"/>
  <c r="AC21" i="3" s="1"/>
  <c r="AH21" i="3" s="1"/>
  <c r="V24" i="5"/>
  <c r="W23" i="5"/>
  <c r="AL23" i="5" s="1"/>
  <c r="K17" i="81"/>
  <c r="J21" i="5"/>
  <c r="L17" i="81" s="1"/>
  <c r="B24" i="5"/>
  <c r="C23" i="5"/>
  <c r="E22" i="5"/>
  <c r="D22" i="5"/>
  <c r="G19" i="63"/>
  <c r="I22" i="5"/>
  <c r="AI23" i="5" l="1"/>
  <c r="V25" i="5"/>
  <c r="W24" i="5"/>
  <c r="AL24" i="5" s="1"/>
  <c r="AE25" i="5"/>
  <c r="AF24" i="5"/>
  <c r="J22" i="5"/>
  <c r="L18" i="81" s="1"/>
  <c r="K18" i="81"/>
  <c r="AG25" i="5"/>
  <c r="AH24" i="5"/>
  <c r="Q23" i="5"/>
  <c r="M19" i="81" s="1"/>
  <c r="C24" i="5"/>
  <c r="B25" i="5"/>
  <c r="P24" i="5"/>
  <c r="O25" i="5"/>
  <c r="E23" i="5"/>
  <c r="D23" i="5"/>
  <c r="G20" i="63"/>
  <c r="I23" i="5"/>
  <c r="L23" i="3"/>
  <c r="M22" i="3"/>
  <c r="AA22" i="3" s="1"/>
  <c r="AC22" i="3" s="1"/>
  <c r="AH22" i="3" s="1"/>
  <c r="M25" i="5"/>
  <c r="N24" i="5"/>
  <c r="Q24" i="5" l="1"/>
  <c r="M20" i="81" s="1"/>
  <c r="V26" i="5"/>
  <c r="W25" i="5"/>
  <c r="AL25" i="5" s="1"/>
  <c r="J23" i="5"/>
  <c r="L19" i="81" s="1"/>
  <c r="K19" i="81"/>
  <c r="AE26" i="5"/>
  <c r="AF25" i="5"/>
  <c r="O26" i="5"/>
  <c r="P25" i="5"/>
  <c r="E24" i="5"/>
  <c r="D24" i="5"/>
  <c r="I24" i="5"/>
  <c r="G21" i="63"/>
  <c r="B26" i="5"/>
  <c r="C25" i="5"/>
  <c r="L24" i="3"/>
  <c r="M23" i="3"/>
  <c r="AA23" i="3" s="1"/>
  <c r="AC23" i="3" s="1"/>
  <c r="AH23" i="3" s="1"/>
  <c r="M26" i="5"/>
  <c r="N25" i="5"/>
  <c r="AG26" i="5"/>
  <c r="AH25" i="5"/>
  <c r="AI24" i="5"/>
  <c r="Q25" i="5" l="1"/>
  <c r="M21" i="81" s="1"/>
  <c r="J24" i="5"/>
  <c r="L20" i="81" s="1"/>
  <c r="K20" i="81"/>
  <c r="AG27" i="5"/>
  <c r="AH26" i="5"/>
  <c r="B27" i="5"/>
  <c r="C26" i="5"/>
  <c r="AI25" i="5"/>
  <c r="V27" i="5"/>
  <c r="W26" i="5"/>
  <c r="AL26" i="5" s="1"/>
  <c r="M27" i="5"/>
  <c r="N26" i="5"/>
  <c r="AE27" i="5"/>
  <c r="AF26" i="5"/>
  <c r="E25" i="5"/>
  <c r="I25" i="5"/>
  <c r="G22" i="63"/>
  <c r="D25" i="5"/>
  <c r="L25" i="3"/>
  <c r="M24" i="3"/>
  <c r="AA24" i="3" s="1"/>
  <c r="AC24" i="3" s="1"/>
  <c r="AH24" i="3" s="1"/>
  <c r="O27" i="5"/>
  <c r="P26" i="5"/>
  <c r="V28" i="5" l="1"/>
  <c r="W27" i="5"/>
  <c r="AL27" i="5" s="1"/>
  <c r="AI26" i="5"/>
  <c r="O28" i="5"/>
  <c r="P27" i="5"/>
  <c r="AE28" i="5"/>
  <c r="AF27" i="5"/>
  <c r="B28" i="5"/>
  <c r="C27" i="5"/>
  <c r="Q26" i="5"/>
  <c r="M22" i="81" s="1"/>
  <c r="L26" i="3"/>
  <c r="M25" i="3"/>
  <c r="AA25" i="3" s="1"/>
  <c r="AC25" i="3" s="1"/>
  <c r="AH25" i="3" s="1"/>
  <c r="M28" i="5"/>
  <c r="N27" i="5"/>
  <c r="AG28" i="5"/>
  <c r="AH27" i="5"/>
  <c r="E26" i="5"/>
  <c r="D26" i="5"/>
  <c r="I26" i="5"/>
  <c r="G23" i="63"/>
  <c r="J25" i="5"/>
  <c r="L21" i="81" s="1"/>
  <c r="K21" i="81"/>
  <c r="Q27" i="5" l="1"/>
  <c r="M23" i="81" s="1"/>
  <c r="AI27" i="5"/>
  <c r="E27" i="5"/>
  <c r="G24" i="63"/>
  <c r="D27" i="5"/>
  <c r="I27" i="5"/>
  <c r="L27" i="3"/>
  <c r="M26" i="3"/>
  <c r="AA26" i="3" s="1"/>
  <c r="AC26" i="3" s="1"/>
  <c r="AH26" i="3" s="1"/>
  <c r="V29" i="5"/>
  <c r="W28" i="5"/>
  <c r="AL28" i="5" s="1"/>
  <c r="J26" i="5"/>
  <c r="L22" i="81" s="1"/>
  <c r="K22" i="81"/>
  <c r="AG29" i="5"/>
  <c r="AH28" i="5"/>
  <c r="O29" i="5"/>
  <c r="P28" i="5"/>
  <c r="M29" i="5"/>
  <c r="N28" i="5"/>
  <c r="AE29" i="5"/>
  <c r="AF28" i="5"/>
  <c r="B29" i="5"/>
  <c r="C28" i="5"/>
  <c r="AI28" i="5" l="1"/>
  <c r="AG30" i="5"/>
  <c r="AH29" i="5"/>
  <c r="AE30" i="5"/>
  <c r="AF29" i="5"/>
  <c r="B30" i="5"/>
  <c r="C29" i="5"/>
  <c r="K23" i="81"/>
  <c r="J27" i="5"/>
  <c r="L23" i="81" s="1"/>
  <c r="E28" i="5"/>
  <c r="D28" i="5"/>
  <c r="G25" i="63"/>
  <c r="I28" i="5"/>
  <c r="L28" i="3"/>
  <c r="M27" i="3"/>
  <c r="AA27" i="3" s="1"/>
  <c r="AC27" i="3" s="1"/>
  <c r="AH27" i="3" s="1"/>
  <c r="O30" i="5"/>
  <c r="P29" i="5"/>
  <c r="V30" i="5"/>
  <c r="W29" i="5"/>
  <c r="AL29" i="5" s="1"/>
  <c r="M30" i="5"/>
  <c r="N29" i="5"/>
  <c r="Q28" i="5"/>
  <c r="M24" i="81" s="1"/>
  <c r="Q29" i="5" l="1"/>
  <c r="M25" i="81" s="1"/>
  <c r="AG31" i="5"/>
  <c r="AH30" i="5"/>
  <c r="B31" i="5"/>
  <c r="C30" i="5"/>
  <c r="M31" i="5"/>
  <c r="N30" i="5"/>
  <c r="K24" i="81"/>
  <c r="J28" i="5"/>
  <c r="L24" i="81" s="1"/>
  <c r="L29" i="3"/>
  <c r="M28" i="3"/>
  <c r="AA28" i="3" s="1"/>
  <c r="AC28" i="3" s="1"/>
  <c r="AH28" i="3" s="1"/>
  <c r="E29" i="5"/>
  <c r="I29" i="5"/>
  <c r="G26" i="63"/>
  <c r="D29" i="5"/>
  <c r="AI29" i="5"/>
  <c r="V31" i="5"/>
  <c r="W30" i="5"/>
  <c r="AL30" i="5" s="1"/>
  <c r="AE31" i="5"/>
  <c r="AF30" i="5"/>
  <c r="O31" i="5"/>
  <c r="P30" i="5"/>
  <c r="Q30" i="5" l="1"/>
  <c r="M26" i="81" s="1"/>
  <c r="B32" i="5"/>
  <c r="C31" i="5"/>
  <c r="E30" i="5"/>
  <c r="G27" i="63"/>
  <c r="I30" i="5"/>
  <c r="D30" i="5"/>
  <c r="K25" i="81"/>
  <c r="J29" i="5"/>
  <c r="L25" i="81" s="1"/>
  <c r="M32" i="5"/>
  <c r="N31" i="5"/>
  <c r="AI30" i="5"/>
  <c r="V32" i="5"/>
  <c r="W31" i="5"/>
  <c r="AL31" i="5" s="1"/>
  <c r="AG32" i="5"/>
  <c r="AH31" i="5"/>
  <c r="AE32" i="5"/>
  <c r="AF31" i="5"/>
  <c r="L30" i="3"/>
  <c r="M30" i="3" s="1"/>
  <c r="AA30" i="3" s="1"/>
  <c r="AC30" i="3" s="1"/>
  <c r="AH30" i="3" s="1"/>
  <c r="M29" i="3"/>
  <c r="AA29" i="3" s="1"/>
  <c r="AC29" i="3" s="1"/>
  <c r="AH29" i="3" s="1"/>
  <c r="O32" i="5"/>
  <c r="P31" i="5"/>
  <c r="AI31" i="5" l="1"/>
  <c r="B33" i="5"/>
  <c r="C33" i="5" s="1"/>
  <c r="C32" i="5"/>
  <c r="V33" i="5"/>
  <c r="W33" i="5" s="1"/>
  <c r="AL33" i="5" s="1"/>
  <c r="AL34" i="5" s="1"/>
  <c r="W32" i="5"/>
  <c r="AL32" i="5" s="1"/>
  <c r="J30" i="5"/>
  <c r="L26" i="81" s="1"/>
  <c r="K26" i="81"/>
  <c r="O33" i="5"/>
  <c r="P33" i="5" s="1"/>
  <c r="P32" i="5"/>
  <c r="AH33" i="5"/>
  <c r="AH32" i="5"/>
  <c r="Q31" i="5"/>
  <c r="M27" i="81" s="1"/>
  <c r="AF33" i="5"/>
  <c r="AF32" i="5"/>
  <c r="M33" i="5"/>
  <c r="N33" i="5" s="1"/>
  <c r="N32" i="5"/>
  <c r="E31" i="5"/>
  <c r="G28" i="63"/>
  <c r="I31" i="5"/>
  <c r="D31" i="5"/>
  <c r="Q32" i="5" l="1"/>
  <c r="M28" i="81" s="1"/>
  <c r="E33" i="5"/>
  <c r="I33" i="5"/>
  <c r="D33" i="5"/>
  <c r="G30" i="63"/>
  <c r="I30" i="63" s="1"/>
  <c r="C34" i="5"/>
  <c r="E32" i="5"/>
  <c r="I32" i="5"/>
  <c r="G29" i="63"/>
  <c r="D32" i="5"/>
  <c r="K27" i="81"/>
  <c r="J31" i="5"/>
  <c r="L27" i="81" s="1"/>
  <c r="AI33" i="5"/>
  <c r="AI32" i="5"/>
  <c r="Q33" i="5"/>
  <c r="M29" i="81" s="1"/>
  <c r="V9" i="76"/>
  <c r="E35" i="5" l="1"/>
  <c r="C35" i="5"/>
  <c r="B6" i="77"/>
  <c r="D34" i="5"/>
  <c r="D36" i="5"/>
  <c r="J32" i="5"/>
  <c r="L28" i="81" s="1"/>
  <c r="K28" i="81"/>
  <c r="K29" i="81"/>
  <c r="J33" i="5"/>
  <c r="L29" i="81" s="1"/>
  <c r="I34" i="5"/>
  <c r="G6" i="77" l="1"/>
  <c r="D6" i="77"/>
  <c r="E6" i="77" s="1"/>
  <c r="H36" i="5"/>
  <c r="AJ36" i="5"/>
  <c r="AM36" i="5" s="1"/>
  <c r="I35" i="5"/>
  <c r="G36" i="5"/>
  <c r="K36" i="5" l="1"/>
  <c r="F6" i="77"/>
  <c r="V11" i="76" l="1"/>
  <c r="V10" i="76"/>
  <c r="N2" i="3" l="1"/>
  <c r="AB2" i="3" l="1"/>
  <c r="G2" i="63" l="1"/>
  <c r="AU6" i="5" l="1"/>
  <c r="AZ6" i="5" l="1"/>
  <c r="AU7" i="5"/>
  <c r="AZ7" i="5" s="1"/>
  <c r="BC6" i="5" l="1"/>
  <c r="BC7" i="5"/>
  <c r="BC8" i="5"/>
  <c r="AA9" i="76" l="1"/>
  <c r="AA11" i="76" l="1"/>
  <c r="AB10" i="76"/>
  <c r="AA10" i="76"/>
  <c r="AA12" i="76"/>
  <c r="AB11" i="76" l="1"/>
  <c r="AE11" i="76" s="1"/>
  <c r="AF11" i="76" s="1"/>
  <c r="AB13" i="76"/>
  <c r="AB9" i="76"/>
  <c r="M2" i="3" l="1"/>
  <c r="AA2" i="3" l="1"/>
  <c r="AH2" i="3" l="1"/>
  <c r="AC2" i="3"/>
  <c r="Y2" i="3" l="1"/>
  <c r="X3" i="3"/>
  <c r="X4" i="3" l="1"/>
  <c r="Y3" i="3"/>
  <c r="X5" i="3" l="1"/>
  <c r="Y4" i="3"/>
  <c r="X6" i="3" l="1"/>
  <c r="Y5" i="3"/>
  <c r="X7" i="3" l="1"/>
  <c r="Y6" i="3"/>
  <c r="X8" i="3" l="1"/>
  <c r="Y7" i="3"/>
  <c r="X9" i="3" l="1"/>
  <c r="Y8" i="3"/>
  <c r="X10" i="3" l="1"/>
  <c r="Y9" i="3"/>
  <c r="X11" i="3" l="1"/>
  <c r="Y10" i="3"/>
  <c r="X12" i="3" l="1"/>
  <c r="Y11" i="3"/>
  <c r="X13" i="3" l="1"/>
  <c r="Y12" i="3"/>
  <c r="X14" i="3" l="1"/>
  <c r="Y13" i="3"/>
  <c r="X15" i="3" l="1"/>
  <c r="Y14" i="3"/>
  <c r="X16" i="3" l="1"/>
  <c r="Y15" i="3"/>
  <c r="X17" i="3" l="1"/>
  <c r="Y16" i="3"/>
  <c r="X18" i="3" l="1"/>
  <c r="Y17" i="3"/>
  <c r="X19" i="3" l="1"/>
  <c r="Y18" i="3"/>
  <c r="X20" i="3" l="1"/>
  <c r="Y19" i="3"/>
  <c r="X21" i="3" l="1"/>
  <c r="X22" i="3" s="1"/>
  <c r="Y20" i="3"/>
  <c r="Y21" i="3" s="1"/>
  <c r="X23" i="3" l="1"/>
  <c r="Y22" i="3"/>
  <c r="X24" i="3" l="1"/>
  <c r="Y23" i="3"/>
  <c r="X25" i="3" l="1"/>
  <c r="Y24" i="3"/>
  <c r="X26" i="3" l="1"/>
  <c r="Y25" i="3"/>
  <c r="X27" i="3" l="1"/>
  <c r="Y26" i="3"/>
  <c r="X28" i="3" l="1"/>
  <c r="Y27" i="3"/>
  <c r="X29" i="3" l="1"/>
  <c r="Y28" i="3"/>
  <c r="X30" i="3" l="1"/>
  <c r="Y30" i="3" s="1"/>
  <c r="Y29" i="3"/>
  <c r="Q34" i="5" l="1"/>
  <c r="O35" i="5" s="1"/>
  <c r="AC11" i="76" l="1"/>
  <c r="AC28" i="76" s="1"/>
  <c r="AC10" i="76"/>
  <c r="AC27" i="76" s="1"/>
  <c r="AC9" i="76"/>
  <c r="AC26" i="76" s="1"/>
  <c r="AC30" i="76" l="1"/>
  <c r="W35" i="76" l="1"/>
  <c r="W37" i="76" s="1"/>
  <c r="W39" i="76" s="1"/>
  <c r="AC31" i="76"/>
  <c r="AC13" i="76"/>
  <c r="O28" i="76" l="1"/>
  <c r="P28" i="76" s="1"/>
  <c r="R28" i="76" s="1"/>
  <c r="T28" i="76" s="1"/>
  <c r="F26" i="81" s="1"/>
  <c r="O4" i="76"/>
  <c r="P4" i="76" s="1"/>
  <c r="R4" i="76" s="1"/>
  <c r="T4" i="76" s="1"/>
  <c r="F2" i="81" s="1"/>
  <c r="O12" i="76"/>
  <c r="P12" i="76" s="1"/>
  <c r="R12" i="76" s="1"/>
  <c r="T12" i="76" s="1"/>
  <c r="F10" i="81" s="1"/>
  <c r="O16" i="76"/>
  <c r="P16" i="76" s="1"/>
  <c r="R16" i="76" s="1"/>
  <c r="T16" i="76" s="1"/>
  <c r="F14" i="81" s="1"/>
  <c r="O21" i="76"/>
  <c r="P21" i="76" s="1"/>
  <c r="R21" i="76" s="1"/>
  <c r="T21" i="76" s="1"/>
  <c r="F19" i="81" s="1"/>
  <c r="O8" i="76"/>
  <c r="P8" i="76" s="1"/>
  <c r="R8" i="76" s="1"/>
  <c r="T8" i="76" s="1"/>
  <c r="F6" i="81" s="1"/>
  <c r="O29" i="76"/>
  <c r="P29" i="76" s="1"/>
  <c r="R29" i="76" s="1"/>
  <c r="T29" i="76" s="1"/>
  <c r="F27" i="81" s="1"/>
  <c r="O6" i="76"/>
  <c r="P6" i="76" s="1"/>
  <c r="R6" i="76" s="1"/>
  <c r="T6" i="76" s="1"/>
  <c r="F4" i="81" s="1"/>
  <c r="O19" i="76"/>
  <c r="P19" i="76" s="1"/>
  <c r="R19" i="76" s="1"/>
  <c r="T19" i="76" s="1"/>
  <c r="O10" i="76"/>
  <c r="P10" i="76" s="1"/>
  <c r="R10" i="76" s="1"/>
  <c r="T10" i="76" s="1"/>
  <c r="F8" i="81" s="1"/>
  <c r="O9" i="76"/>
  <c r="P9" i="76" s="1"/>
  <c r="R9" i="76" s="1"/>
  <c r="T9" i="76" s="1"/>
  <c r="F7" i="81" s="1"/>
  <c r="O25" i="76"/>
  <c r="P25" i="76" s="1"/>
  <c r="R25" i="76" s="1"/>
  <c r="T25" i="76" s="1"/>
  <c r="F23" i="81" s="1"/>
  <c r="O30" i="76"/>
  <c r="P30" i="76" s="1"/>
  <c r="R30" i="76" s="1"/>
  <c r="T30" i="76" s="1"/>
  <c r="F28" i="81" s="1"/>
  <c r="O31" i="76"/>
  <c r="O11" i="76"/>
  <c r="P11" i="76" s="1"/>
  <c r="R11" i="76" s="1"/>
  <c r="T11" i="76" s="1"/>
  <c r="F9" i="81" s="1"/>
  <c r="O14" i="76"/>
  <c r="P14" i="76" s="1"/>
  <c r="R14" i="76" s="1"/>
  <c r="T14" i="76" s="1"/>
  <c r="F12" i="81" s="1"/>
  <c r="O22" i="76"/>
  <c r="P22" i="76" s="1"/>
  <c r="R22" i="76" s="1"/>
  <c r="T22" i="76" s="1"/>
  <c r="F20" i="81" s="1"/>
  <c r="O18" i="76"/>
  <c r="P18" i="76" s="1"/>
  <c r="R18" i="76" s="1"/>
  <c r="T18" i="76" s="1"/>
  <c r="F16" i="81" s="1"/>
  <c r="O26" i="76"/>
  <c r="P26" i="76" s="1"/>
  <c r="R26" i="76" s="1"/>
  <c r="T26" i="76" s="1"/>
  <c r="F24" i="81" s="1"/>
  <c r="O5" i="76"/>
  <c r="P5" i="76" s="1"/>
  <c r="R5" i="76" s="1"/>
  <c r="T5" i="76" s="1"/>
  <c r="F3" i="81" s="1"/>
  <c r="O17" i="76"/>
  <c r="P17" i="76" s="1"/>
  <c r="R17" i="76" s="1"/>
  <c r="T17" i="76" s="1"/>
  <c r="F15" i="81" s="1"/>
  <c r="O20" i="76"/>
  <c r="P20" i="76" s="1"/>
  <c r="R20" i="76" s="1"/>
  <c r="T20" i="76" s="1"/>
  <c r="F18" i="81" s="1"/>
  <c r="AB31" i="76"/>
  <c r="O7" i="76"/>
  <c r="P7" i="76" s="1"/>
  <c r="R7" i="76" s="1"/>
  <c r="T7" i="76" s="1"/>
  <c r="F5" i="81" s="1"/>
  <c r="O13" i="76"/>
  <c r="P13" i="76" s="1"/>
  <c r="R13" i="76" s="1"/>
  <c r="T13" i="76" s="1"/>
  <c r="F11" i="81" s="1"/>
  <c r="O24" i="76"/>
  <c r="P24" i="76" s="1"/>
  <c r="R24" i="76" s="1"/>
  <c r="T24" i="76" s="1"/>
  <c r="F22" i="81" s="1"/>
  <c r="O27" i="76"/>
  <c r="P27" i="76" s="1"/>
  <c r="R27" i="76" s="1"/>
  <c r="T27" i="76" s="1"/>
  <c r="F25" i="81" s="1"/>
  <c r="O23" i="76"/>
  <c r="P23" i="76" s="1"/>
  <c r="R23" i="76" s="1"/>
  <c r="T23" i="76" s="1"/>
  <c r="F21" i="81" s="1"/>
  <c r="O15" i="76"/>
  <c r="P15" i="76" s="1"/>
  <c r="R15" i="76" s="1"/>
  <c r="T15" i="76" s="1"/>
  <c r="F13" i="81" s="1"/>
  <c r="AC14" i="76"/>
  <c r="P31" i="76" l="1"/>
  <c r="R31" i="76" s="1"/>
  <c r="T31" i="76" s="1"/>
  <c r="F29" i="81" s="1"/>
  <c r="O32" i="76"/>
  <c r="O3" i="76"/>
  <c r="AB14" i="76"/>
  <c r="AA37" i="76"/>
  <c r="AB33" i="76"/>
  <c r="AB35" i="76" s="1"/>
  <c r="Z36" i="76" s="1"/>
  <c r="Z38" i="76" s="1"/>
  <c r="Z40" i="76" s="1"/>
  <c r="D10" i="77"/>
  <c r="E10" i="77" s="1"/>
  <c r="E12" i="77" s="1"/>
  <c r="AB19" i="76" l="1"/>
  <c r="P3" i="76"/>
  <c r="AB18" i="76"/>
  <c r="AB17" i="76"/>
  <c r="AA38" i="76"/>
  <c r="AB37" i="76"/>
  <c r="AB38" i="76" s="1"/>
  <c r="F10" i="77"/>
  <c r="F12" i="77" s="1"/>
  <c r="G10" i="77"/>
  <c r="G12" i="77" s="1"/>
  <c r="R3" i="76" l="1"/>
  <c r="I14" i="77"/>
  <c r="H14" i="77"/>
  <c r="T3" i="76" l="1"/>
  <c r="AX4" i="1" l="1"/>
  <c r="AX5" i="1" s="1"/>
  <c r="AS6" i="5"/>
  <c r="J2" i="81" l="1"/>
  <c r="AX6" i="1"/>
  <c r="AY6" i="5"/>
  <c r="AS7" i="5"/>
  <c r="AX7" i="1" l="1"/>
  <c r="J3" i="81"/>
  <c r="AS8" i="5"/>
  <c r="AY7" i="5"/>
  <c r="BB7" i="5" s="1"/>
  <c r="BE7" i="5" s="1"/>
  <c r="BB6" i="5"/>
  <c r="BE6" i="5" s="1"/>
  <c r="BF6" i="5" l="1"/>
  <c r="BG6" i="5" s="1"/>
  <c r="G6" i="65" s="1"/>
  <c r="I2" i="63"/>
  <c r="AX8" i="1"/>
  <c r="J4" i="81"/>
  <c r="AY8" i="5"/>
  <c r="BB8" i="5" s="1"/>
  <c r="BE8" i="5" s="1"/>
  <c r="AS9" i="5"/>
  <c r="BF7" i="5"/>
  <c r="BG7" i="5" s="1"/>
  <c r="G7" i="65" s="1"/>
  <c r="I3" i="63"/>
  <c r="BF8" i="5" l="1"/>
  <c r="BG8" i="5" s="1"/>
  <c r="G8" i="65" s="1"/>
  <c r="I4" i="63"/>
  <c r="AS10" i="5"/>
  <c r="AY9" i="5"/>
  <c r="BB9" i="5" s="1"/>
  <c r="BE9" i="5" s="1"/>
  <c r="AX9" i="1"/>
  <c r="J5" i="81"/>
  <c r="AY10" i="5" l="1"/>
  <c r="BB10" i="5" s="1"/>
  <c r="BE10" i="5" s="1"/>
  <c r="AS11" i="5"/>
  <c r="BF9" i="5"/>
  <c r="BG9" i="5" s="1"/>
  <c r="G9" i="65" s="1"/>
  <c r="I5" i="63"/>
  <c r="J6" i="81"/>
  <c r="AX10" i="1"/>
  <c r="G5" i="65" l="1"/>
  <c r="I6" i="63"/>
  <c r="BF10" i="5"/>
  <c r="BG10" i="5" s="1"/>
  <c r="G10" i="65" s="1"/>
  <c r="AY11" i="5"/>
  <c r="BB11" i="5" s="1"/>
  <c r="BE11" i="5" s="1"/>
  <c r="AS12" i="5"/>
  <c r="AX11" i="1"/>
  <c r="J7" i="81"/>
  <c r="I7" i="63" l="1"/>
  <c r="BF11" i="5"/>
  <c r="BG11" i="5" s="1"/>
  <c r="G11" i="65" s="1"/>
  <c r="AS13" i="5"/>
  <c r="AY12" i="5"/>
  <c r="BB12" i="5" s="1"/>
  <c r="BE12" i="5" s="1"/>
  <c r="J8" i="81"/>
  <c r="AX12" i="1"/>
  <c r="AY13" i="5" l="1"/>
  <c r="BB13" i="5" s="1"/>
  <c r="BE13" i="5" s="1"/>
  <c r="AS14" i="5"/>
  <c r="I8" i="63"/>
  <c r="BF12" i="5"/>
  <c r="BG12" i="5" s="1"/>
  <c r="G12" i="65" s="1"/>
  <c r="J9" i="81"/>
  <c r="AX13" i="1"/>
  <c r="I9" i="63" l="1"/>
  <c r="BF13" i="5"/>
  <c r="BG13" i="5" s="1"/>
  <c r="G13" i="65" s="1"/>
  <c r="AY14" i="5"/>
  <c r="BB14" i="5" s="1"/>
  <c r="BE14" i="5" s="1"/>
  <c r="AS15" i="5"/>
  <c r="J10" i="81"/>
  <c r="AX14" i="1"/>
  <c r="I10" i="63" l="1"/>
  <c r="BF14" i="5"/>
  <c r="BG14" i="5" s="1"/>
  <c r="G14" i="65" s="1"/>
  <c r="AS16" i="5"/>
  <c r="AY15" i="5"/>
  <c r="BB15" i="5" s="1"/>
  <c r="BE15" i="5" s="1"/>
  <c r="AX15" i="1"/>
  <c r="J11" i="81"/>
  <c r="I11" i="63" l="1"/>
  <c r="BF15" i="5"/>
  <c r="BG15" i="5" s="1"/>
  <c r="G15" i="65" s="1"/>
  <c r="AY16" i="5"/>
  <c r="BB16" i="5" s="1"/>
  <c r="BE16" i="5" s="1"/>
  <c r="AS17" i="5"/>
  <c r="AX16" i="1"/>
  <c r="J12" i="81"/>
  <c r="AY17" i="5" l="1"/>
  <c r="BB17" i="5" s="1"/>
  <c r="BE17" i="5" s="1"/>
  <c r="AS18" i="5"/>
  <c r="I12" i="63"/>
  <c r="BF16" i="5"/>
  <c r="BG16" i="5" s="1"/>
  <c r="G16" i="65" s="1"/>
  <c r="J13" i="81"/>
  <c r="AX17" i="1"/>
  <c r="I13" i="63" l="1"/>
  <c r="BF17" i="5"/>
  <c r="BG17" i="5" s="1"/>
  <c r="G17" i="65" s="1"/>
  <c r="AS19" i="5"/>
  <c r="AY18" i="5"/>
  <c r="BB18" i="5" s="1"/>
  <c r="BE18" i="5" s="1"/>
  <c r="AX18" i="1"/>
  <c r="J14" i="81"/>
  <c r="I14" i="63" l="1"/>
  <c r="BF18" i="5"/>
  <c r="BG18" i="5" s="1"/>
  <c r="G18" i="65" s="1"/>
  <c r="AY19" i="5"/>
  <c r="BB19" i="5" s="1"/>
  <c r="BE19" i="5" s="1"/>
  <c r="AS20" i="5"/>
  <c r="AX19" i="1"/>
  <c r="J15" i="81"/>
  <c r="AS21" i="5" l="1"/>
  <c r="AY20" i="5"/>
  <c r="BB20" i="5" s="1"/>
  <c r="BE20" i="5" s="1"/>
  <c r="I15" i="63"/>
  <c r="BF19" i="5"/>
  <c r="BG19" i="5" s="1"/>
  <c r="G19" i="65" s="1"/>
  <c r="J16" i="81"/>
  <c r="AX20" i="1"/>
  <c r="AS22" i="5" l="1"/>
  <c r="AY21" i="5"/>
  <c r="BB21" i="5" s="1"/>
  <c r="BE21" i="5" s="1"/>
  <c r="I16" i="63"/>
  <c r="BF20" i="5"/>
  <c r="BG20" i="5" s="1"/>
  <c r="G20" i="65" s="1"/>
  <c r="AX21" i="1"/>
  <c r="J17" i="81"/>
  <c r="AS23" i="5" l="1"/>
  <c r="AY22" i="5"/>
  <c r="BB22" i="5" s="1"/>
  <c r="BE22" i="5" s="1"/>
  <c r="I17" i="63"/>
  <c r="BF21" i="5"/>
  <c r="BG21" i="5" s="1"/>
  <c r="G21" i="65" s="1"/>
  <c r="J18" i="81"/>
  <c r="AX22" i="1"/>
  <c r="AS24" i="5" l="1"/>
  <c r="AY23" i="5"/>
  <c r="BB23" i="5" s="1"/>
  <c r="BE23" i="5" s="1"/>
  <c r="I18" i="63"/>
  <c r="BF22" i="5"/>
  <c r="BG22" i="5" s="1"/>
  <c r="G22" i="65" s="1"/>
  <c r="J19" i="81"/>
  <c r="AX23" i="1"/>
  <c r="AY24" i="5" l="1"/>
  <c r="BB24" i="5" s="1"/>
  <c r="BE24" i="5" s="1"/>
  <c r="AS25" i="5"/>
  <c r="I19" i="63"/>
  <c r="BF23" i="5"/>
  <c r="BG23" i="5" s="1"/>
  <c r="G23" i="65" s="1"/>
  <c r="AX24" i="1"/>
  <c r="J20" i="81"/>
  <c r="I20" i="63" l="1"/>
  <c r="BF24" i="5"/>
  <c r="BG24" i="5" s="1"/>
  <c r="G24" i="65" s="1"/>
  <c r="AS26" i="5"/>
  <c r="AY25" i="5"/>
  <c r="BB25" i="5" s="1"/>
  <c r="BE25" i="5" s="1"/>
  <c r="AX25" i="1"/>
  <c r="J21" i="81"/>
  <c r="I21" i="63" l="1"/>
  <c r="BF25" i="5"/>
  <c r="BG25" i="5" s="1"/>
  <c r="G25" i="65" s="1"/>
  <c r="AS27" i="5"/>
  <c r="AY26" i="5"/>
  <c r="BB26" i="5" s="1"/>
  <c r="BE26" i="5" s="1"/>
  <c r="AX26" i="1"/>
  <c r="J22" i="81"/>
  <c r="I22" i="63" l="1"/>
  <c r="BF26" i="5"/>
  <c r="BG26" i="5" s="1"/>
  <c r="G26" i="65" s="1"/>
  <c r="AY27" i="5"/>
  <c r="BB27" i="5" s="1"/>
  <c r="BE27" i="5" s="1"/>
  <c r="AS28" i="5"/>
  <c r="AX27" i="1"/>
  <c r="J23" i="81"/>
  <c r="AS29" i="5" l="1"/>
  <c r="AY28" i="5"/>
  <c r="BB28" i="5" s="1"/>
  <c r="BE28" i="5" s="1"/>
  <c r="I23" i="63"/>
  <c r="BF27" i="5"/>
  <c r="BG27" i="5" s="1"/>
  <c r="G27" i="65" s="1"/>
  <c r="J24" i="81"/>
  <c r="AX28" i="1"/>
  <c r="I24" i="63" l="1"/>
  <c r="BF28" i="5"/>
  <c r="BG28" i="5" s="1"/>
  <c r="G28" i="65" s="1"/>
  <c r="AY29" i="5"/>
  <c r="BB29" i="5" s="1"/>
  <c r="BE29" i="5" s="1"/>
  <c r="AS30" i="5"/>
  <c r="J25" i="81"/>
  <c r="AX29" i="1"/>
  <c r="AS31" i="5" l="1"/>
  <c r="AY30" i="5"/>
  <c r="BB30" i="5" s="1"/>
  <c r="BE30" i="5" s="1"/>
  <c r="I25" i="63"/>
  <c r="BF29" i="5"/>
  <c r="BG29" i="5" s="1"/>
  <c r="G29" i="65" s="1"/>
  <c r="AX30" i="1"/>
  <c r="J26" i="81"/>
  <c r="AY31" i="5" l="1"/>
  <c r="BB31" i="5" s="1"/>
  <c r="BE31" i="5" s="1"/>
  <c r="AS32" i="5"/>
  <c r="I26" i="63"/>
  <c r="BF30" i="5"/>
  <c r="BG30" i="5" s="1"/>
  <c r="G30" i="65" s="1"/>
  <c r="J27" i="81"/>
  <c r="AX31" i="1"/>
  <c r="I27" i="63" l="1"/>
  <c r="BF31" i="5"/>
  <c r="BG31" i="5" s="1"/>
  <c r="G31" i="65" s="1"/>
  <c r="AS33" i="5"/>
  <c r="AY33" i="5" s="1"/>
  <c r="AY32" i="5"/>
  <c r="BB32" i="5" s="1"/>
  <c r="BE32" i="5" s="1"/>
  <c r="J28" i="81"/>
  <c r="AX32" i="1"/>
  <c r="J29" i="81" s="1"/>
  <c r="BB33" i="5" l="1"/>
  <c r="BE33" i="5" s="1"/>
  <c r="BF33" i="5" s="1"/>
  <c r="BG33" i="5" s="1"/>
  <c r="G33" i="65" s="1"/>
  <c r="I28" i="63"/>
  <c r="BF32" i="5"/>
  <c r="BG32" i="5" s="1"/>
  <c r="G32" i="65" s="1"/>
  <c r="I29" i="63" l="1"/>
</calcChain>
</file>

<file path=xl/comments1.xml><?xml version="1.0" encoding="utf-8"?>
<comments xmlns="http://schemas.openxmlformats.org/spreadsheetml/2006/main">
  <authors>
    <author>amjad.abouhassan</author>
  </authors>
  <commentList>
    <comment ref="E22" authorId="0" shape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filled manualy 
</t>
        </r>
      </text>
    </comment>
    <comment ref="S24" authorId="0" shape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with Avr 120L/h counter deffected 
</t>
        </r>
      </text>
    </comment>
    <comment ref="U25" authorId="0" shape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with Avr 120L/h counter deffected 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 shape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<sst xmlns="http://schemas.openxmlformats.org/spreadsheetml/2006/main" count="646" uniqueCount="418">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</sst>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18" fillId="0" borderId="1" xfId="4" applyNumberFormat="1" applyFont="1" applyBorder="1" applyAlignment="1">
      <alignment horizontal="left" wrapText="1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7192</c:v>
                </c:pt>
                <c:pt idx="19">
                  <c:v>7667</c:v>
                </c:pt>
                <c:pt idx="20">
                  <c:v>6433</c:v>
                </c:pt>
                <c:pt idx="21">
                  <c:v>6161</c:v>
                </c:pt>
                <c:pt idx="22">
                  <c:v>6895</c:v>
                </c:pt>
                <c:pt idx="23">
                  <c:v>7942</c:v>
                </c:pt>
                <c:pt idx="24">
                  <c:v>8471</c:v>
                </c:pt>
                <c:pt idx="25">
                  <c:v>8788</c:v>
                </c:pt>
                <c:pt idx="26">
                  <c:v>9599</c:v>
                </c:pt>
                <c:pt idx="27">
                  <c:v>7813</c:v>
                </c:pt>
                <c:pt idx="28">
                  <c:v>7721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69405360"/>
        <c:axId val="-669404816"/>
      </c:lineChart>
      <c:catAx>
        <c:axId val="-66940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69404816"/>
        <c:crosses val="autoZero"/>
        <c:auto val="1"/>
        <c:lblAlgn val="ctr"/>
        <c:lblOffset val="100"/>
        <c:noMultiLvlLbl val="0"/>
      </c:catAx>
      <c:valAx>
        <c:axId val="-6694048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6940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04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1677</c:v>
                </c:pt>
                <c:pt idx="24">
                  <c:v>1405</c:v>
                </c:pt>
                <c:pt idx="25">
                  <c:v>1697</c:v>
                </c:pt>
                <c:pt idx="26">
                  <c:v>1070</c:v>
                </c:pt>
                <c:pt idx="27">
                  <c:v>1006</c:v>
                </c:pt>
                <c:pt idx="28">
                  <c:v>1184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53674032"/>
        <c:axId val="-553682192"/>
      </c:lineChart>
      <c:catAx>
        <c:axId val="-55367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3682192"/>
        <c:crosses val="autoZero"/>
        <c:auto val="1"/>
        <c:lblAlgn val="ctr"/>
        <c:lblOffset val="100"/>
        <c:noMultiLvlLbl val="0"/>
      </c:catAx>
      <c:valAx>
        <c:axId val="-55368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367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9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53675120"/>
        <c:axId val="-553673488"/>
      </c:lineChart>
      <c:catAx>
        <c:axId val="-55367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3673488"/>
        <c:crosses val="autoZero"/>
        <c:auto val="1"/>
        <c:lblAlgn val="ctr"/>
        <c:lblOffset val="100"/>
        <c:noMultiLvlLbl val="0"/>
      </c:catAx>
      <c:valAx>
        <c:axId val="-55367348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367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49"/>
          <c:y val="0.62975887529635965"/>
          <c:w val="7.9124755870162669E-2"/>
          <c:h val="4.498269896195004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53684912"/>
        <c:axId val="-553678928"/>
      </c:lineChart>
      <c:catAx>
        <c:axId val="-55368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3678928"/>
        <c:crosses val="autoZero"/>
        <c:auto val="1"/>
        <c:lblAlgn val="ctr"/>
        <c:lblOffset val="100"/>
        <c:noMultiLvlLbl val="0"/>
      </c:catAx>
      <c:valAx>
        <c:axId val="-5536789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368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7952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129.6</c:v>
                </c:pt>
                <c:pt idx="18">
                  <c:v>164</c:v>
                </c:pt>
                <c:pt idx="19">
                  <c:v>141.66666666666666</c:v>
                </c:pt>
                <c:pt idx="20">
                  <c:v>153.5</c:v>
                </c:pt>
                <c:pt idx="21">
                  <c:v>146.66666666666666</c:v>
                </c:pt>
                <c:pt idx="22">
                  <c:v>147.33333333333334</c:v>
                </c:pt>
                <c:pt idx="23">
                  <c:v>140.5</c:v>
                </c:pt>
                <c:pt idx="24">
                  <c:v>142</c:v>
                </c:pt>
                <c:pt idx="25">
                  <c:v>151.71428571428572</c:v>
                </c:pt>
                <c:pt idx="26">
                  <c:v>171</c:v>
                </c:pt>
                <c:pt idx="27">
                  <c:v>136.5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53681104"/>
        <c:axId val="-553680016"/>
      </c:lineChart>
      <c:catAx>
        <c:axId val="-55368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3680016"/>
        <c:crosses val="autoZero"/>
        <c:auto val="1"/>
        <c:lblAlgn val="ctr"/>
        <c:lblOffset val="100"/>
        <c:noMultiLvlLbl val="0"/>
      </c:catAx>
      <c:valAx>
        <c:axId val="-5536800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368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691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53675664"/>
        <c:axId val="-673522448"/>
      </c:lineChart>
      <c:catAx>
        <c:axId val="-55367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73522448"/>
        <c:crosses val="autoZero"/>
        <c:auto val="1"/>
        <c:lblAlgn val="ctr"/>
        <c:lblOffset val="100"/>
        <c:noMultiLvlLbl val="0"/>
      </c:catAx>
      <c:valAx>
        <c:axId val="-673522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367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73515920"/>
        <c:axId val="-673517008"/>
      </c:lineChart>
      <c:catAx>
        <c:axId val="-67351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73517008"/>
        <c:crosses val="autoZero"/>
        <c:auto val="1"/>
        <c:lblAlgn val="ctr"/>
        <c:lblOffset val="100"/>
        <c:noMultiLvlLbl val="0"/>
      </c:catAx>
      <c:valAx>
        <c:axId val="-673517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7351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125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203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73514832"/>
        <c:axId val="-673521360"/>
      </c:lineChart>
      <c:catAx>
        <c:axId val="-67351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73521360"/>
        <c:crosses val="autoZero"/>
        <c:auto val="1"/>
        <c:lblAlgn val="ctr"/>
        <c:lblOffset val="100"/>
        <c:noMultiLvlLbl val="0"/>
      </c:catAx>
      <c:valAx>
        <c:axId val="-673521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7351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13.5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16</c:v>
                </c:pt>
                <c:pt idx="23">
                  <c:v>15.5</c:v>
                </c:pt>
                <c:pt idx="24">
                  <c:v>15.5</c:v>
                </c:pt>
                <c:pt idx="25">
                  <c:v>15.5</c:v>
                </c:pt>
                <c:pt idx="26">
                  <c:v>15.5</c:v>
                </c:pt>
                <c:pt idx="27">
                  <c:v>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73511568"/>
        <c:axId val="-673510480"/>
      </c:lineChart>
      <c:catAx>
        <c:axId val="-67351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73510480"/>
        <c:crosses val="autoZero"/>
        <c:auto val="1"/>
        <c:lblAlgn val="ctr"/>
        <c:lblOffset val="100"/>
        <c:noMultiLvlLbl val="0"/>
      </c:catAx>
      <c:valAx>
        <c:axId val="-6735104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7351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116"/>
          <c:w val="0.12724033151773897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73520816"/>
        <c:axId val="-673520272"/>
      </c:lineChart>
      <c:catAx>
        <c:axId val="-673520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73520272"/>
        <c:crosses val="autoZero"/>
        <c:auto val="1"/>
        <c:lblAlgn val="ctr"/>
        <c:lblOffset val="100"/>
        <c:noMultiLvlLbl val="0"/>
      </c:catAx>
      <c:valAx>
        <c:axId val="-673520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7352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234</c:v>
                </c:pt>
                <c:pt idx="3">
                  <c:v>289</c:v>
                </c:pt>
                <c:pt idx="4">
                  <c:v>314</c:v>
                </c:pt>
                <c:pt idx="5">
                  <c:v>391</c:v>
                </c:pt>
                <c:pt idx="6">
                  <c:v>311</c:v>
                </c:pt>
                <c:pt idx="7">
                  <c:v>279</c:v>
                </c:pt>
                <c:pt idx="8">
                  <c:v>333.39999999999418</c:v>
                </c:pt>
                <c:pt idx="9">
                  <c:v>236</c:v>
                </c:pt>
                <c:pt idx="10">
                  <c:v>236</c:v>
                </c:pt>
                <c:pt idx="11">
                  <c:v>253</c:v>
                </c:pt>
                <c:pt idx="12">
                  <c:v>234</c:v>
                </c:pt>
                <c:pt idx="13">
                  <c:v>281</c:v>
                </c:pt>
                <c:pt idx="14">
                  <c:v>267</c:v>
                </c:pt>
                <c:pt idx="15">
                  <c:v>217</c:v>
                </c:pt>
                <c:pt idx="16">
                  <c:v>228</c:v>
                </c:pt>
                <c:pt idx="17">
                  <c:v>288</c:v>
                </c:pt>
                <c:pt idx="18">
                  <c:v>380.89999999999418</c:v>
                </c:pt>
                <c:pt idx="19">
                  <c:v>297</c:v>
                </c:pt>
                <c:pt idx="20">
                  <c:v>284</c:v>
                </c:pt>
                <c:pt idx="21">
                  <c:v>267</c:v>
                </c:pt>
                <c:pt idx="22">
                  <c:v>362</c:v>
                </c:pt>
                <c:pt idx="23">
                  <c:v>318.79999999998836</c:v>
                </c:pt>
                <c:pt idx="24">
                  <c:v>367</c:v>
                </c:pt>
                <c:pt idx="25">
                  <c:v>161</c:v>
                </c:pt>
                <c:pt idx="26">
                  <c:v>299</c:v>
                </c:pt>
                <c:pt idx="27">
                  <c:v>195</c:v>
                </c:pt>
                <c:pt idx="28">
                  <c:v>224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84496880"/>
        <c:axId val="-684493072"/>
      </c:lineChart>
      <c:catAx>
        <c:axId val="-68449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84493072"/>
        <c:crosses val="autoZero"/>
        <c:auto val="1"/>
        <c:lblAlgn val="ctr"/>
        <c:lblOffset val="100"/>
        <c:noMultiLvlLbl val="0"/>
      </c:catAx>
      <c:valAx>
        <c:axId val="-684493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8449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116"/>
          <c:w val="0.135416885389355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84496336"/>
        <c:axId val="-684498512"/>
      </c:lineChart>
      <c:catAx>
        <c:axId val="-68449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84498512"/>
        <c:crosses val="autoZero"/>
        <c:auto val="1"/>
        <c:lblAlgn val="ctr"/>
        <c:lblOffset val="100"/>
        <c:noMultiLvlLbl val="0"/>
      </c:catAx>
      <c:valAx>
        <c:axId val="-6844985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8449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116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7192</c:v>
                </c:pt>
                <c:pt idx="19">
                  <c:v>7667</c:v>
                </c:pt>
                <c:pt idx="20">
                  <c:v>6433</c:v>
                </c:pt>
                <c:pt idx="21">
                  <c:v>6161</c:v>
                </c:pt>
                <c:pt idx="22">
                  <c:v>6895</c:v>
                </c:pt>
                <c:pt idx="23">
                  <c:v>7942</c:v>
                </c:pt>
                <c:pt idx="24">
                  <c:v>8471</c:v>
                </c:pt>
                <c:pt idx="25">
                  <c:v>8788</c:v>
                </c:pt>
                <c:pt idx="26">
                  <c:v>9599</c:v>
                </c:pt>
                <c:pt idx="27">
                  <c:v>7813</c:v>
                </c:pt>
                <c:pt idx="28">
                  <c:v>7721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84495248"/>
        <c:axId val="-684497968"/>
      </c:lineChart>
      <c:catAx>
        <c:axId val="-68449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84497968"/>
        <c:crosses val="autoZero"/>
        <c:auto val="1"/>
        <c:lblAlgn val="ctr"/>
        <c:lblOffset val="100"/>
        <c:noMultiLvlLbl val="0"/>
      </c:catAx>
      <c:valAx>
        <c:axId val="-6844979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68449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02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1677</c:v>
                </c:pt>
                <c:pt idx="24">
                  <c:v>1405</c:v>
                </c:pt>
                <c:pt idx="25">
                  <c:v>1697</c:v>
                </c:pt>
                <c:pt idx="26">
                  <c:v>1070</c:v>
                </c:pt>
                <c:pt idx="27">
                  <c:v>1006</c:v>
                </c:pt>
                <c:pt idx="28">
                  <c:v>1184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17536848"/>
        <c:axId val="-817528144"/>
      </c:lineChart>
      <c:catAx>
        <c:axId val="-817536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17528144"/>
        <c:crosses val="autoZero"/>
        <c:auto val="1"/>
        <c:lblAlgn val="ctr"/>
        <c:lblOffset val="100"/>
        <c:noMultiLvlLbl val="0"/>
      </c:catAx>
      <c:valAx>
        <c:axId val="-817528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1753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116"/>
          <c:w val="0.135416885389355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8</c:v>
                </c:pt>
                <c:pt idx="23">
                  <c:v>12</c:v>
                </c:pt>
                <c:pt idx="24">
                  <c:v>11</c:v>
                </c:pt>
                <c:pt idx="25">
                  <c:v>14</c:v>
                </c:pt>
                <c:pt idx="26">
                  <c:v>14</c:v>
                </c:pt>
                <c:pt idx="27">
                  <c:v>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17540656"/>
        <c:axId val="-817539568"/>
      </c:lineChart>
      <c:catAx>
        <c:axId val="-81754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17539568"/>
        <c:crosses val="autoZero"/>
        <c:auto val="1"/>
        <c:lblAlgn val="ctr"/>
        <c:lblOffset val="100"/>
        <c:noMultiLvlLbl val="0"/>
      </c:catAx>
      <c:valAx>
        <c:axId val="-81753956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1754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568"/>
          <c:y val="0.54325368498487869"/>
          <c:w val="0.11458355205599259"/>
          <c:h val="4.498269896194962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-1226.7096774193487</c:v>
                </c:pt>
                <c:pt idx="1">
                  <c:v>-920.03225806450064</c:v>
                </c:pt>
                <c:pt idx="2">
                  <c:v>-1226.7096774193778</c:v>
                </c:pt>
                <c:pt idx="3">
                  <c:v>-1226.7096774193633</c:v>
                </c:pt>
                <c:pt idx="4">
                  <c:v>53.612903225817718</c:v>
                </c:pt>
                <c:pt idx="5">
                  <c:v>-850.03225806448609</c:v>
                </c:pt>
                <c:pt idx="6">
                  <c:v>-1226.7096774193633</c:v>
                </c:pt>
                <c:pt idx="7">
                  <c:v>-920.03225806454429</c:v>
                </c:pt>
                <c:pt idx="8">
                  <c:v>-1226.7096774193342</c:v>
                </c:pt>
                <c:pt idx="9">
                  <c:v>-1840.0645161290304</c:v>
                </c:pt>
                <c:pt idx="10">
                  <c:v>-1533.3870967742114</c:v>
                </c:pt>
                <c:pt idx="11">
                  <c:v>-990.03225806451519</c:v>
                </c:pt>
                <c:pt idx="12">
                  <c:v>-1533.3870967741823</c:v>
                </c:pt>
                <c:pt idx="13">
                  <c:v>-1700.0645161290449</c:v>
                </c:pt>
                <c:pt idx="14">
                  <c:v>-1296.7096774193487</c:v>
                </c:pt>
                <c:pt idx="15">
                  <c:v>470.35483870966709</c:v>
                </c:pt>
                <c:pt idx="16">
                  <c:v>-2076.7419354838494</c:v>
                </c:pt>
                <c:pt idx="17">
                  <c:v>-1603.3870967742114</c:v>
                </c:pt>
                <c:pt idx="18">
                  <c:v>-1840.0645161290304</c:v>
                </c:pt>
                <c:pt idx="19">
                  <c:v>-1840.0645161290013</c:v>
                </c:pt>
                <c:pt idx="20">
                  <c:v>-1226.7096774193633</c:v>
                </c:pt>
                <c:pt idx="21">
                  <c:v>-217.09677419356012</c:v>
                </c:pt>
                <c:pt idx="22">
                  <c:v>-2076.7419354838785</c:v>
                </c:pt>
                <c:pt idx="23">
                  <c:v>-2103.419354838712</c:v>
                </c:pt>
                <c:pt idx="24">
                  <c:v>-2566.7419354838494</c:v>
                </c:pt>
                <c:pt idx="25">
                  <c:v>-1726.4193548387266</c:v>
                </c:pt>
                <c:pt idx="26">
                  <c:v>-2453.419354838712</c:v>
                </c:pt>
                <c:pt idx="27">
                  <c:v>-1840.0645161290304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17533584"/>
        <c:axId val="-817531952"/>
      </c:lineChart>
      <c:catAx>
        <c:axId val="-81753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17531952"/>
        <c:crosses val="autoZero"/>
        <c:auto val="1"/>
        <c:lblAlgn val="ctr"/>
        <c:lblOffset val="100"/>
        <c:noMultiLvlLbl val="0"/>
      </c:catAx>
      <c:valAx>
        <c:axId val="-8175319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1753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378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58835440"/>
        <c:axId val="-558839248"/>
      </c:lineChart>
      <c:catAx>
        <c:axId val="-55883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8839248"/>
        <c:crosses val="autoZero"/>
        <c:auto val="1"/>
        <c:lblAlgn val="ctr"/>
        <c:lblOffset val="100"/>
        <c:noMultiLvlLbl val="0"/>
      </c:catAx>
      <c:valAx>
        <c:axId val="-558839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883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617"/>
          <c:h val="4.498269896195002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58837616"/>
        <c:axId val="-558837072"/>
      </c:lineChart>
      <c:catAx>
        <c:axId val="-55883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8837072"/>
        <c:crosses val="autoZero"/>
        <c:auto val="1"/>
        <c:lblAlgn val="ctr"/>
        <c:lblOffset val="100"/>
        <c:noMultiLvlLbl val="0"/>
      </c:catAx>
      <c:valAx>
        <c:axId val="-55883707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883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02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29496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18766784"/>
        <c:axId val="-1118778752"/>
      </c:lineChart>
      <c:catAx>
        <c:axId val="-111876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118778752"/>
        <c:crosses val="autoZero"/>
        <c:auto val="1"/>
        <c:lblAlgn val="ctr"/>
        <c:lblOffset val="100"/>
        <c:noMultiLvlLbl val="0"/>
      </c:catAx>
      <c:valAx>
        <c:axId val="-111877875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11876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02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45504528"/>
        <c:axId val="-545498544"/>
      </c:lineChart>
      <c:catAx>
        <c:axId val="-54550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498544"/>
        <c:crosses val="autoZero"/>
        <c:auto val="1"/>
        <c:lblAlgn val="ctr"/>
        <c:lblOffset val="100"/>
        <c:noMultiLvlLbl val="0"/>
      </c:catAx>
      <c:valAx>
        <c:axId val="-545498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50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753"/>
          <c:y val="0.62975887529635965"/>
          <c:w val="0.13250539334757044"/>
          <c:h val="4.498269896195002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125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203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45507792"/>
        <c:axId val="-545506160"/>
      </c:lineChart>
      <c:catAx>
        <c:axId val="-54550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506160"/>
        <c:crosses val="autoZero"/>
        <c:auto val="1"/>
        <c:lblAlgn val="ctr"/>
        <c:lblOffset val="100"/>
        <c:noMultiLvlLbl val="0"/>
      </c:catAx>
      <c:valAx>
        <c:axId val="-54550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50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116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16</c:v>
                </c:pt>
                <c:pt idx="23">
                  <c:v>15.5</c:v>
                </c:pt>
                <c:pt idx="24">
                  <c:v>15.5</c:v>
                </c:pt>
                <c:pt idx="25">
                  <c:v>15.5</c:v>
                </c:pt>
                <c:pt idx="26">
                  <c:v>15.5</c:v>
                </c:pt>
                <c:pt idx="27">
                  <c:v>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45501808"/>
        <c:axId val="-545505616"/>
      </c:lineChart>
      <c:catAx>
        <c:axId val="-54550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505616"/>
        <c:crosses val="autoZero"/>
        <c:auto val="1"/>
        <c:lblAlgn val="ctr"/>
        <c:lblOffset val="100"/>
        <c:noMultiLvlLbl val="0"/>
      </c:catAx>
      <c:valAx>
        <c:axId val="-545505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50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7952"/>
          <c:w val="0.12343118198093109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11" formatCode="0.00_ ;[Red]\-0.00\ 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11" formatCode="0.00_ ;[Red]\-0.00\ 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45499632"/>
        <c:axId val="-545509968"/>
      </c:lineChart>
      <c:catAx>
        <c:axId val="-545499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509968"/>
        <c:crosses val="autoZero"/>
        <c:auto val="1"/>
        <c:lblAlgn val="ctr"/>
        <c:lblOffset val="100"/>
        <c:noMultiLvlLbl val="0"/>
      </c:catAx>
      <c:valAx>
        <c:axId val="-54550996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49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893"/>
          <c:w val="0.1569039853282200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129.6</c:v>
                </c:pt>
                <c:pt idx="18">
                  <c:v>164</c:v>
                </c:pt>
                <c:pt idx="19">
                  <c:v>141.66666666666666</c:v>
                </c:pt>
                <c:pt idx="20">
                  <c:v>153.5</c:v>
                </c:pt>
                <c:pt idx="21">
                  <c:v>146.66666666666666</c:v>
                </c:pt>
                <c:pt idx="22">
                  <c:v>147.33333333333334</c:v>
                </c:pt>
                <c:pt idx="23">
                  <c:v>140.5</c:v>
                </c:pt>
                <c:pt idx="24">
                  <c:v>142</c:v>
                </c:pt>
                <c:pt idx="25">
                  <c:v>151.71428571428572</c:v>
                </c:pt>
                <c:pt idx="26">
                  <c:v>171</c:v>
                </c:pt>
                <c:pt idx="27">
                  <c:v>136.5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45503440"/>
        <c:axId val="-545511056"/>
      </c:lineChart>
      <c:catAx>
        <c:axId val="-54550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511056"/>
        <c:crosses val="autoZero"/>
        <c:auto val="1"/>
        <c:lblAlgn val="ctr"/>
        <c:lblOffset val="100"/>
        <c:noMultiLvlLbl val="0"/>
      </c:catAx>
      <c:valAx>
        <c:axId val="-5455110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50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16</c:v>
                </c:pt>
                <c:pt idx="23">
                  <c:v>15.5</c:v>
                </c:pt>
                <c:pt idx="24">
                  <c:v>15.5</c:v>
                </c:pt>
                <c:pt idx="25">
                  <c:v>15.5</c:v>
                </c:pt>
                <c:pt idx="26">
                  <c:v>15.5</c:v>
                </c:pt>
                <c:pt idx="27">
                  <c:v>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45513232"/>
        <c:axId val="-545498000"/>
      </c:lineChart>
      <c:catAx>
        <c:axId val="-54551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498000"/>
        <c:crosses val="autoZero"/>
        <c:auto val="1"/>
        <c:lblAlgn val="ctr"/>
        <c:lblOffset val="100"/>
        <c:noMultiLvlLbl val="0"/>
      </c:catAx>
      <c:valAx>
        <c:axId val="-545498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51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23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8</c:v>
                </c:pt>
                <c:pt idx="23">
                  <c:v>12</c:v>
                </c:pt>
                <c:pt idx="24">
                  <c:v>11</c:v>
                </c:pt>
                <c:pt idx="25">
                  <c:v>14</c:v>
                </c:pt>
                <c:pt idx="26">
                  <c:v>14</c:v>
                </c:pt>
                <c:pt idx="27">
                  <c:v>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45512144"/>
        <c:axId val="-545511600"/>
      </c:lineChart>
      <c:catAx>
        <c:axId val="-54551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511600"/>
        <c:crosses val="autoZero"/>
        <c:auto val="1"/>
        <c:lblAlgn val="ctr"/>
        <c:lblOffset val="100"/>
        <c:noMultiLvlLbl val="0"/>
      </c:catAx>
      <c:valAx>
        <c:axId val="-5455116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512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1677</c:v>
                </c:pt>
                <c:pt idx="24">
                  <c:v>1405</c:v>
                </c:pt>
                <c:pt idx="25">
                  <c:v>1697</c:v>
                </c:pt>
                <c:pt idx="26">
                  <c:v>1070</c:v>
                </c:pt>
                <c:pt idx="27">
                  <c:v>1006</c:v>
                </c:pt>
                <c:pt idx="28">
                  <c:v>1184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45500720"/>
        <c:axId val="-432254368"/>
      </c:lineChart>
      <c:catAx>
        <c:axId val="-545500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432254368"/>
        <c:crosses val="autoZero"/>
        <c:auto val="1"/>
        <c:lblAlgn val="ctr"/>
        <c:lblOffset val="100"/>
        <c:noMultiLvlLbl val="0"/>
      </c:catAx>
      <c:valAx>
        <c:axId val="-432254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4550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19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11" formatCode="0.00_ ;[Red]\-0.00\ 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11" formatCode="0.00_ ;[Red]\-0.00\ 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32257632"/>
        <c:axId val="-432260896"/>
      </c:lineChart>
      <c:catAx>
        <c:axId val="-432257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432260896"/>
        <c:crosses val="autoZero"/>
        <c:auto val="1"/>
        <c:lblAlgn val="ctr"/>
        <c:lblOffset val="100"/>
        <c:noMultiLvlLbl val="0"/>
      </c:catAx>
      <c:valAx>
        <c:axId val="-43226089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43225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893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615374</v>
          </cell>
          <cell r="H36">
            <v>0</v>
          </cell>
          <cell r="I36">
            <v>0</v>
          </cell>
          <cell r="J36">
            <v>0</v>
          </cell>
          <cell r="K36">
            <v>6716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5164</v>
          </cell>
          <cell r="U36">
            <v>0</v>
          </cell>
          <cell r="V36">
            <v>460</v>
          </cell>
          <cell r="W36">
            <v>0</v>
          </cell>
          <cell r="X36">
            <v>150077</v>
          </cell>
          <cell r="Y36">
            <v>0</v>
          </cell>
          <cell r="Z36">
            <v>98262</v>
          </cell>
          <cell r="AA36">
            <v>1</v>
          </cell>
          <cell r="AB36">
            <v>256</v>
          </cell>
          <cell r="AC36">
            <v>731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P36">
            <v>0</v>
          </cell>
          <cell r="AR36">
            <v>44227</v>
          </cell>
          <cell r="AS36">
            <v>0.9</v>
          </cell>
          <cell r="AT36">
            <v>182</v>
          </cell>
          <cell r="AU36">
            <v>1.1000000000000001</v>
          </cell>
          <cell r="AV36">
            <v>150</v>
          </cell>
          <cell r="AW36">
            <v>2.9</v>
          </cell>
          <cell r="AX36">
            <v>166</v>
          </cell>
          <cell r="AY36">
            <v>163.80000000000001</v>
          </cell>
          <cell r="AZ36">
            <v>165</v>
          </cell>
          <cell r="BA36">
            <v>481.4</v>
          </cell>
          <cell r="BB36">
            <v>0</v>
          </cell>
          <cell r="BC36">
            <v>-2.2000000000000171</v>
          </cell>
          <cell r="BD36">
            <v>-2.9000000000000341</v>
          </cell>
          <cell r="BE36">
            <v>-5.1000000000000512</v>
          </cell>
          <cell r="BF36">
            <v>5.1000000000000512</v>
          </cell>
          <cell r="BG36">
            <v>-5.1000000000000512</v>
          </cell>
        </row>
      </sheetData>
      <sheetData sheetId="5" refreshError="1"/>
      <sheetData sheetId="6" refreshError="1"/>
      <sheetData sheetId="7">
        <row r="36"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242</v>
          </cell>
          <cell r="AA36">
            <v>2420</v>
          </cell>
          <cell r="AB36">
            <v>242</v>
          </cell>
          <cell r="AC36">
            <v>2420</v>
          </cell>
          <cell r="AD36">
            <v>242</v>
          </cell>
          <cell r="AE36">
            <v>2420</v>
          </cell>
          <cell r="AF36">
            <v>242</v>
          </cell>
          <cell r="AG36">
            <v>2420</v>
          </cell>
          <cell r="AH36">
            <v>242</v>
          </cell>
          <cell r="AI36">
            <v>2420</v>
          </cell>
          <cell r="AJ36">
            <v>242</v>
          </cell>
          <cell r="AK36">
            <v>2420</v>
          </cell>
          <cell r="AL36">
            <v>242</v>
          </cell>
          <cell r="AM36">
            <v>2420</v>
          </cell>
          <cell r="AN36">
            <v>0.86428571428571432</v>
          </cell>
          <cell r="AO36">
            <v>16940</v>
          </cell>
          <cell r="AQ36">
            <v>0.78300388262602905</v>
          </cell>
          <cell r="AR36">
            <v>72795.870967741925</v>
          </cell>
          <cell r="AS36">
            <v>-920.03225806451519</v>
          </cell>
          <cell r="AV36">
            <v>0.67</v>
          </cell>
          <cell r="AW36">
            <v>-267</v>
          </cell>
          <cell r="AX36">
            <v>-653.03225806451519</v>
          </cell>
          <cell r="AY36">
            <v>-920.03225806451519</v>
          </cell>
          <cell r="AZ36">
            <v>0</v>
          </cell>
          <cell r="BA36">
            <v>18.5</v>
          </cell>
          <cell r="BB36">
            <v>0.56000000000000005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B34">
            <v>853626</v>
          </cell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workbookViewId="0">
      <selection activeCell="C2" sqref="C2:C29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2</v>
      </c>
      <c r="D2">
        <v>2021</v>
      </c>
      <c r="E2" s="203">
        <f>ELEC!N3</f>
        <v>6404.3999999999069</v>
      </c>
      <c r="F2" s="330">
        <f>SUM('EDl log'!T4)</f>
        <v>0.14672030369117856</v>
      </c>
      <c r="G2" s="203">
        <f>-tanks!AW6</f>
        <v>467.60000000000582</v>
      </c>
      <c r="H2" s="330">
        <f>SUM(tanks!AV6)</f>
        <v>0.67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2</v>
      </c>
      <c r="D3">
        <v>2021</v>
      </c>
      <c r="E3" s="203">
        <f>ELEC!N4</f>
        <v>6622</v>
      </c>
      <c r="F3" s="330">
        <f>SUM('EDl log'!T5)</f>
        <v>0.1318863955998929</v>
      </c>
      <c r="G3" s="203">
        <f>-tanks!AW7</f>
        <v>234</v>
      </c>
      <c r="H3" s="330">
        <f>SUM(tanks!AV7)</f>
        <v>0.67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2</v>
      </c>
      <c r="D4">
        <v>2021</v>
      </c>
      <c r="E4" s="203">
        <f>ELEC!N5</f>
        <v>6753</v>
      </c>
      <c r="F4" s="330">
        <f>SUM('EDl log'!T6)</f>
        <v>0.14768050896727092</v>
      </c>
      <c r="G4" s="203">
        <f>-tanks!AW8</f>
        <v>289</v>
      </c>
      <c r="H4" s="330">
        <f>SUM(tanks!AV8)</f>
        <v>0.67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2</v>
      </c>
      <c r="D5">
        <v>2021</v>
      </c>
      <c r="E5" s="203">
        <f>ELEC!N6</f>
        <v>6587</v>
      </c>
      <c r="F5" s="330">
        <f>SUM('EDl log'!T7)</f>
        <v>0.15514609834153711</v>
      </c>
      <c r="G5" s="203">
        <f>-tanks!AW9</f>
        <v>314</v>
      </c>
      <c r="H5" s="330">
        <f>SUM(tanks!AV9)</f>
        <v>0.67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2</v>
      </c>
      <c r="D6">
        <v>2021</v>
      </c>
      <c r="E6" s="203">
        <f>ELEC!N7</f>
        <v>5932</v>
      </c>
      <c r="F6" s="330">
        <f>SUM('EDl log'!T8)</f>
        <v>9.9879277743111384E-3</v>
      </c>
      <c r="G6" s="203">
        <f>-tanks!AW10</f>
        <v>391</v>
      </c>
      <c r="H6" s="330">
        <f>SUM(tanks!AV10)</f>
        <v>0.67400000000000004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2</v>
      </c>
      <c r="D7">
        <v>2021</v>
      </c>
      <c r="E7" s="203">
        <f>ELEC!N8</f>
        <v>5977</v>
      </c>
      <c r="F7" s="330">
        <f>SUM('EDl log'!T9)</f>
        <v>0.12849075099725168</v>
      </c>
      <c r="G7" s="203">
        <f>-tanks!AW11</f>
        <v>311</v>
      </c>
      <c r="H7" s="330">
        <f>SUM(tanks!AV11)</f>
        <v>0.67400000000000004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2</v>
      </c>
      <c r="D8">
        <v>2021</v>
      </c>
      <c r="E8" s="203">
        <f>ELEC!N9</f>
        <v>6551.2000000001863</v>
      </c>
      <c r="F8" s="330">
        <f>SUM('EDl log'!T10)</f>
        <v>0.1599438450997982</v>
      </c>
      <c r="G8" s="203">
        <f>-tanks!AW12</f>
        <v>279</v>
      </c>
      <c r="H8" s="330">
        <f>SUM(tanks!AV12)</f>
        <v>0.67400000000000004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2</v>
      </c>
      <c r="D9">
        <v>2021</v>
      </c>
      <c r="E9" s="203">
        <f>ELEC!N10</f>
        <v>6289.7999999998137</v>
      </c>
      <c r="F9" s="330">
        <f>SUM('EDl log'!T11)</f>
        <v>0.12669045389144801</v>
      </c>
      <c r="G9" s="203">
        <f>-tanks!AW13</f>
        <v>333.39999999999418</v>
      </c>
      <c r="H9" s="330">
        <f>SUM(tanks!AV13)</f>
        <v>0.67400000000000004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2</v>
      </c>
      <c r="D10">
        <v>2021</v>
      </c>
      <c r="E10" s="203">
        <f>ELEC!N11</f>
        <v>7008</v>
      </c>
      <c r="F10" s="330">
        <f>SUM('EDl log'!T12)</f>
        <v>0.1462805153302025</v>
      </c>
      <c r="G10" s="203">
        <f>-tanks!AW14</f>
        <v>236</v>
      </c>
      <c r="H10" s="330">
        <f>SUM(tanks!AV14)</f>
        <v>0.67400000000000004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2</v>
      </c>
      <c r="D11">
        <v>2021</v>
      </c>
      <c r="E11" s="203">
        <f>ELEC!N12</f>
        <v>7276</v>
      </c>
      <c r="F11" s="330">
        <f>SUM('EDl log'!T13)</f>
        <v>0.1991206720610029</v>
      </c>
      <c r="G11" s="203">
        <f>-tanks!AW15</f>
        <v>236</v>
      </c>
      <c r="H11" s="330">
        <f>SUM(tanks!AV15)</f>
        <v>0.67400000000000004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2</v>
      </c>
      <c r="D12">
        <v>2021</v>
      </c>
      <c r="E12" s="203">
        <f>ELEC!N13</f>
        <v>7236</v>
      </c>
      <c r="F12" s="330">
        <f>SUM('EDl log'!T14)</f>
        <v>0.16820069691321632</v>
      </c>
      <c r="G12" s="203">
        <f>-tanks!AW16</f>
        <v>253</v>
      </c>
      <c r="H12" s="330">
        <f>SUM(tanks!AV16)</f>
        <v>0.67400000000000004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2</v>
      </c>
      <c r="D13">
        <v>2021</v>
      </c>
      <c r="E13" s="203">
        <f>ELEC!N14</f>
        <v>5643</v>
      </c>
      <c r="F13" s="330">
        <f>SUM('EDl log'!T15)</f>
        <v>0.15262904117033357</v>
      </c>
      <c r="G13" s="203">
        <f>-tanks!AW17</f>
        <v>234</v>
      </c>
      <c r="H13" s="330">
        <f>SUM(tanks!AV17)</f>
        <v>0.67400000000000004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2</v>
      </c>
      <c r="D14">
        <v>2021</v>
      </c>
      <c r="E14" s="203">
        <f>ELEC!N15</f>
        <v>6507</v>
      </c>
      <c r="F14" s="330">
        <f>SUM('EDl log'!T16)</f>
        <v>0.18542627609022144</v>
      </c>
      <c r="G14" s="203">
        <f>-tanks!AW18</f>
        <v>281</v>
      </c>
      <c r="H14" s="330">
        <f>SUM(tanks!AV18)</f>
        <v>0.67400000000000004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2</v>
      </c>
      <c r="D15">
        <v>2021</v>
      </c>
      <c r="E15" s="203">
        <f>ELEC!N16</f>
        <v>7439</v>
      </c>
      <c r="F15" s="330">
        <f>SUM('EDl log'!T17)</f>
        <v>0.18164386980482006</v>
      </c>
      <c r="G15" s="203">
        <f>-tanks!AW19</f>
        <v>267</v>
      </c>
      <c r="H15" s="330">
        <f>SUM(tanks!AV19)</f>
        <v>0.67400000000000004</v>
      </c>
      <c r="I15" s="10">
        <f>('B5'!AU18)*0.51</f>
        <v>0</v>
      </c>
      <c r="J15" s="309">
        <f>'B5'!AX18/0.51</f>
        <v>1.5686274509803921</v>
      </c>
      <c r="K15" s="203">
        <f>WATER!I19</f>
        <v>279</v>
      </c>
      <c r="L15" s="331">
        <f>SUM(WATER!J19)</f>
        <v>0.96006144393241155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2</v>
      </c>
      <c r="D16">
        <v>2021</v>
      </c>
      <c r="E16" s="203">
        <f>ELEC!N17</f>
        <v>7469</v>
      </c>
      <c r="F16" s="330">
        <f>SUM('EDl log'!T18)</f>
        <v>0.14511728192721043</v>
      </c>
      <c r="G16" s="203">
        <f>-tanks!AW20</f>
        <v>217</v>
      </c>
      <c r="H16" s="330">
        <f>SUM(tanks!AV20)</f>
        <v>0.67400000000000004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2</v>
      </c>
      <c r="D17">
        <v>2021</v>
      </c>
      <c r="E17" s="203">
        <f>ELEC!N18</f>
        <v>5934</v>
      </c>
      <c r="F17" s="330">
        <v>0.14511728192721043</v>
      </c>
      <c r="G17" s="203">
        <f>-tanks!AW21</f>
        <v>228</v>
      </c>
      <c r="H17" s="330">
        <f>SUM(tanks!AV21)</f>
        <v>0.68899999999999995</v>
      </c>
      <c r="I17" s="10">
        <f>('B5'!AU20)*0.51</f>
        <v>0</v>
      </c>
      <c r="J17" s="309">
        <f>'B5'!AX20/0.51</f>
        <v>1.5686274509803921</v>
      </c>
      <c r="K17" s="203">
        <f>WATER!I21</f>
        <v>167</v>
      </c>
      <c r="L17" s="331">
        <f>SUM(WATER!J21)</f>
        <v>1.60393498716852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2</v>
      </c>
      <c r="D18">
        <v>2021</v>
      </c>
      <c r="E18" s="203">
        <f>ELEC!N19</f>
        <v>7520</v>
      </c>
      <c r="F18" s="330">
        <f>SUM('EDl log'!T20)</f>
        <v>0.20333356979762346</v>
      </c>
      <c r="G18" s="203">
        <f>-tanks!AW22</f>
        <v>288</v>
      </c>
      <c r="H18" s="330">
        <f>SUM(tanks!AV22)</f>
        <v>0.68899999999999995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2</v>
      </c>
      <c r="D19">
        <v>2021</v>
      </c>
      <c r="E19" s="203">
        <f>ELEC!N20</f>
        <v>7192</v>
      </c>
      <c r="F19" s="330">
        <f>SUM('EDl log'!T21)</f>
        <v>0.16079372947138948</v>
      </c>
      <c r="G19" s="203">
        <f>-tanks!AW23</f>
        <v>380.89999999999418</v>
      </c>
      <c r="H19" s="330">
        <f>SUM(tanks!AV23)</f>
        <v>0.68899999999999995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2</v>
      </c>
      <c r="D20">
        <v>2021</v>
      </c>
      <c r="E20" s="203">
        <f>ELEC!N21</f>
        <v>7667</v>
      </c>
      <c r="F20" s="330">
        <f>SUM('EDl log'!T22)</f>
        <v>0.1816057677849745</v>
      </c>
      <c r="G20" s="203">
        <f>-tanks!AW24</f>
        <v>297</v>
      </c>
      <c r="H20" s="330">
        <f>SUM(tanks!AV24)</f>
        <v>0.68899999999999995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2</v>
      </c>
      <c r="D21">
        <v>2021</v>
      </c>
      <c r="E21" s="203">
        <f>ELEC!N22</f>
        <v>6433</v>
      </c>
      <c r="F21" s="330">
        <f>SUM('EDl log'!T23)</f>
        <v>0.22191357941090173</v>
      </c>
      <c r="G21" s="203">
        <f>-tanks!AW25</f>
        <v>284</v>
      </c>
      <c r="H21" s="330">
        <f>SUM(tanks!AV25)</f>
        <v>0.68899999999999995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2</v>
      </c>
      <c r="D22">
        <v>2021</v>
      </c>
      <c r="E22" s="203">
        <f>ELEC!N23</f>
        <v>6161</v>
      </c>
      <c r="F22" s="330">
        <f>SUM('EDl log'!T24)</f>
        <v>0.16166192253706041</v>
      </c>
      <c r="G22" s="203">
        <f>-tanks!AW26</f>
        <v>267</v>
      </c>
      <c r="H22" s="330">
        <f>SUM(tanks!AV26)</f>
        <v>0.68899999999999995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2</v>
      </c>
      <c r="D23">
        <v>2021</v>
      </c>
      <c r="E23" s="203">
        <f>ELEC!N24</f>
        <v>6895</v>
      </c>
      <c r="F23" s="330">
        <f>SUM('EDl log'!T25)</f>
        <v>3.9480236856818604E-2</v>
      </c>
      <c r="G23" s="203">
        <f>-tanks!AW27</f>
        <v>362</v>
      </c>
      <c r="H23" s="330">
        <f>SUM(tanks!AV27)</f>
        <v>0.71</v>
      </c>
      <c r="I23" s="10">
        <f>('B5'!AU26)*0.51</f>
        <v>0</v>
      </c>
      <c r="J23" s="309">
        <f>'B5'!AX26/0.51</f>
        <v>1.5686274509803921</v>
      </c>
      <c r="K23" s="203">
        <f>WATER!I27</f>
        <v>125</v>
      </c>
      <c r="L23" s="331">
        <f>SUM(WATER!J27)</f>
        <v>2.1428571428571428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2</v>
      </c>
      <c r="D24">
        <v>2021</v>
      </c>
      <c r="E24" s="203">
        <f>ELEC!N25</f>
        <v>7942</v>
      </c>
      <c r="F24" s="330">
        <f>SUM('EDl log'!T26)</f>
        <v>0.19618470059705853</v>
      </c>
      <c r="G24" s="203">
        <f>-tanks!AW28</f>
        <v>318.79999999998836</v>
      </c>
      <c r="H24" s="330">
        <f>SUM(tanks!AV28)</f>
        <v>0.71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2</v>
      </c>
      <c r="D25">
        <v>2021</v>
      </c>
      <c r="E25" s="203">
        <f>ELEC!N26</f>
        <v>8471</v>
      </c>
      <c r="F25" s="330">
        <f>SUM('EDl log'!T27)</f>
        <v>0.1776108971910956</v>
      </c>
      <c r="G25" s="203">
        <f>-tanks!AW29</f>
        <v>367</v>
      </c>
      <c r="H25" s="330">
        <f>SUM(tanks!AV29)</f>
        <v>0.71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2</v>
      </c>
      <c r="D26">
        <v>2021</v>
      </c>
      <c r="E26" s="203">
        <f>ELEC!N27</f>
        <v>8788</v>
      </c>
      <c r="F26" s="330">
        <f>SUM('EDl log'!T28)</f>
        <v>0.22953045763662183</v>
      </c>
      <c r="G26" s="203">
        <f>-tanks!AW30</f>
        <v>161</v>
      </c>
      <c r="H26" s="330">
        <f>SUM(tanks!AV30)</f>
        <v>0.71</v>
      </c>
      <c r="I26" s="10">
        <f>('B5'!AU29)*0.51</f>
        <v>0</v>
      </c>
      <c r="J26" s="309">
        <f>'B5'!AX29/0.51</f>
        <v>1.5686274509803921</v>
      </c>
      <c r="K26" s="203">
        <f>WATER!I30</f>
        <v>4</v>
      </c>
      <c r="L26" s="331">
        <f>SUM(WATER!J30)</f>
        <v>66.964285714285708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2</v>
      </c>
      <c r="D27">
        <v>2021</v>
      </c>
      <c r="E27" s="203">
        <f>ELEC!N28</f>
        <v>9599</v>
      </c>
      <c r="F27" s="330">
        <f>SUM('EDl log'!T29)</f>
        <v>0.13221490371592154</v>
      </c>
      <c r="G27" s="203">
        <f>-tanks!AW31</f>
        <v>299</v>
      </c>
      <c r="H27" s="330">
        <f>SUM(tanks!AV31)</f>
        <v>0.74</v>
      </c>
      <c r="I27" s="10">
        <f>('B5'!AU30)*0.51</f>
        <v>0</v>
      </c>
      <c r="J27" s="309">
        <f>'B5'!AX30/0.51</f>
        <v>1.5686274509803921</v>
      </c>
      <c r="K27" s="203">
        <f>WATER!I31</f>
        <v>203</v>
      </c>
      <c r="L27" s="331">
        <f>SUM(WATER!J31)</f>
        <v>1.3194933145672061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2</v>
      </c>
      <c r="D28">
        <v>2021</v>
      </c>
      <c r="E28" s="203">
        <f>ELEC!N29</f>
        <v>7813</v>
      </c>
      <c r="F28" s="330">
        <f>SUM('EDl log'!T30)</f>
        <v>0.23598844407888875</v>
      </c>
      <c r="G28" s="203">
        <f>-tanks!AW32</f>
        <v>195</v>
      </c>
      <c r="H28" s="330">
        <f>SUM(tanks!AV32)</f>
        <v>0.74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2</v>
      </c>
      <c r="D29">
        <v>2021</v>
      </c>
      <c r="E29" s="203">
        <f>ELEC!N30</f>
        <v>7721</v>
      </c>
      <c r="F29" s="330">
        <f>SUM('EDl log'!T31)</f>
        <v>0.17876569940936896</v>
      </c>
      <c r="G29" s="203">
        <f>-tanks!AW33</f>
        <v>224</v>
      </c>
      <c r="H29" s="330">
        <f>SUM(tanks!AV33)</f>
        <v>0.74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opLeftCell="A19" workbookViewId="0">
      <selection activeCell="A30" sqref="A30:XFD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2070</v>
      </c>
      <c r="F3" s="203">
        <f>ELEC!K4</f>
        <v>912</v>
      </c>
      <c r="G3" s="203">
        <f>ELEC!I4</f>
        <v>812</v>
      </c>
      <c r="H3" s="203">
        <f>ELEC!E4</f>
        <v>2192</v>
      </c>
      <c r="I3" s="203">
        <f>ELEC!G4</f>
        <v>636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1956</v>
      </c>
      <c r="F4" s="203">
        <f>ELEC!K5</f>
        <v>928</v>
      </c>
      <c r="G4" s="203">
        <f>ELEC!I5</f>
        <v>820</v>
      </c>
      <c r="H4" s="203">
        <f>ELEC!E5</f>
        <v>2410</v>
      </c>
      <c r="I4" s="203">
        <f>ELEC!G5</f>
        <v>639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1846</v>
      </c>
      <c r="F5" s="203">
        <f>ELEC!K6</f>
        <v>956</v>
      </c>
      <c r="G5" s="203">
        <f>ELEC!I6</f>
        <v>840</v>
      </c>
      <c r="H5" s="203">
        <f>ELEC!E6</f>
        <v>2294</v>
      </c>
      <c r="I5" s="203">
        <f>ELEC!G6</f>
        <v>651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1612</v>
      </c>
      <c r="F6" s="203">
        <f>ELEC!K7</f>
        <v>916</v>
      </c>
      <c r="G6" s="203">
        <f>ELEC!I7</f>
        <v>740</v>
      </c>
      <c r="H6" s="203">
        <f>ELEC!E7</f>
        <v>2056</v>
      </c>
      <c r="I6" s="203">
        <f>ELEC!G7</f>
        <v>608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1658</v>
      </c>
      <c r="F7" s="203">
        <f>ELEC!K8</f>
        <v>902</v>
      </c>
      <c r="G7" s="203">
        <f>ELEC!I8</f>
        <v>800</v>
      </c>
      <c r="H7" s="203">
        <f>ELEC!E8</f>
        <v>1952</v>
      </c>
      <c r="I7" s="203">
        <f>ELEC!G8</f>
        <v>665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1976</v>
      </c>
      <c r="F8" s="203">
        <f>ELEC!K9</f>
        <v>1446</v>
      </c>
      <c r="G8" s="203">
        <f>ELEC!I9</f>
        <v>816</v>
      </c>
      <c r="H8" s="203">
        <f>ELEC!E9</f>
        <v>1710</v>
      </c>
      <c r="I8" s="203">
        <f>ELEC!G9</f>
        <v>603.20000000018626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1758</v>
      </c>
      <c r="F9" s="203">
        <f>ELEC!K10</f>
        <v>1470</v>
      </c>
      <c r="G9" s="203">
        <f>ELEC!I10</f>
        <v>796</v>
      </c>
      <c r="H9" s="203">
        <f>ELEC!E10</f>
        <v>1662</v>
      </c>
      <c r="I9" s="203">
        <f>ELEC!G10</f>
        <v>603.79999999981374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1638</v>
      </c>
      <c r="F10" s="203">
        <f>ELEC!K11</f>
        <v>1918</v>
      </c>
      <c r="G10" s="203">
        <f>ELEC!I11</f>
        <v>876</v>
      </c>
      <c r="H10" s="203">
        <f>ELEC!E11</f>
        <v>1908</v>
      </c>
      <c r="I10" s="203">
        <f>ELEC!G11</f>
        <v>668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1680</v>
      </c>
      <c r="F11" s="203">
        <f>ELEC!K12</f>
        <v>2182</v>
      </c>
      <c r="G11" s="203">
        <f>ELEC!I12</f>
        <v>832</v>
      </c>
      <c r="H11" s="203">
        <f>ELEC!E12</f>
        <v>1948</v>
      </c>
      <c r="I11" s="203">
        <f>ELEC!G12</f>
        <v>634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1740</v>
      </c>
      <c r="F12" s="203">
        <f>ELEC!K13</f>
        <v>2034</v>
      </c>
      <c r="G12" s="203">
        <f>ELEC!I13</f>
        <v>888</v>
      </c>
      <c r="H12" s="203">
        <f>ELEC!E13</f>
        <v>1926</v>
      </c>
      <c r="I12" s="203">
        <f>ELEC!G13</f>
        <v>648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1352</v>
      </c>
      <c r="F13" s="203">
        <f>ELEC!K14</f>
        <v>1496</v>
      </c>
      <c r="G13" s="203">
        <f>ELEC!I14</f>
        <v>764</v>
      </c>
      <c r="H13" s="203">
        <f>ELEC!E14</f>
        <v>1422</v>
      </c>
      <c r="I13" s="203">
        <f>ELEC!G14</f>
        <v>609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1720</v>
      </c>
      <c r="F14" s="203">
        <f>ELEC!K15</f>
        <v>1536</v>
      </c>
      <c r="G14" s="203">
        <f>ELEC!I15</f>
        <v>888</v>
      </c>
      <c r="H14" s="203">
        <f>ELEC!E15</f>
        <v>1764</v>
      </c>
      <c r="I14" s="203">
        <f>ELEC!G15</f>
        <v>599</v>
      </c>
      <c r="J14" s="203">
        <f>WATER!Y18</f>
        <v>64</v>
      </c>
      <c r="K14" s="203">
        <f>WATER!AJ18</f>
        <v>61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2612</v>
      </c>
      <c r="F15" s="203">
        <f>ELEC!K16</f>
        <v>1084</v>
      </c>
      <c r="G15" s="203">
        <f>ELEC!I16</f>
        <v>838</v>
      </c>
      <c r="H15" s="203">
        <f>ELEC!E16</f>
        <v>2326</v>
      </c>
      <c r="I15" s="203">
        <f>ELEC!G16</f>
        <v>579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2664</v>
      </c>
      <c r="F16" s="203">
        <f>ELEC!K17</f>
        <v>1092</v>
      </c>
      <c r="G16" s="203">
        <f>ELEC!I17</f>
        <v>910</v>
      </c>
      <c r="H16" s="203">
        <f>ELEC!E17</f>
        <v>2194</v>
      </c>
      <c r="I16" s="203">
        <f>ELEC!G17</f>
        <v>609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1572</v>
      </c>
      <c r="F17" s="203">
        <f>ELEC!K18</f>
        <v>822</v>
      </c>
      <c r="G17" s="203">
        <f>ELEC!I18</f>
        <v>794</v>
      </c>
      <c r="H17" s="203">
        <f>ELEC!E18</f>
        <v>2176</v>
      </c>
      <c r="I17" s="203">
        <f>ELEC!G18</f>
        <v>570</v>
      </c>
      <c r="J17" s="203">
        <f>WATER!Y21</f>
        <v>140</v>
      </c>
      <c r="K17" s="203">
        <f>WATER!AJ21</f>
        <v>35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2014</v>
      </c>
      <c r="F18" s="203">
        <f>ELEC!K19</f>
        <v>1160</v>
      </c>
      <c r="G18" s="203">
        <f>ELEC!I19</f>
        <v>950</v>
      </c>
      <c r="H18" s="203">
        <f>ELEC!E19</f>
        <v>2788</v>
      </c>
      <c r="I18" s="203">
        <f>ELEC!G19</f>
        <v>608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2000</v>
      </c>
      <c r="F19" s="203">
        <f>ELEC!K20</f>
        <v>1798</v>
      </c>
      <c r="G19" s="203">
        <f>ELEC!I20</f>
        <v>820</v>
      </c>
      <c r="H19" s="203">
        <f>ELEC!E20</f>
        <v>1974</v>
      </c>
      <c r="I19" s="203">
        <f>ELEC!G20</f>
        <v>600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2222</v>
      </c>
      <c r="F20" s="203">
        <f>ELEC!K21</f>
        <v>1244</v>
      </c>
      <c r="G20" s="203">
        <f>ELEC!I21</f>
        <v>928</v>
      </c>
      <c r="H20" s="203">
        <f>ELEC!E21</f>
        <v>2654</v>
      </c>
      <c r="I20" s="203">
        <f>ELEC!G21</f>
        <v>619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2132</v>
      </c>
      <c r="F21" s="203">
        <f>ELEC!K22</f>
        <v>1147</v>
      </c>
      <c r="G21" s="203">
        <f>ELEC!I22</f>
        <v>920</v>
      </c>
      <c r="H21" s="203">
        <f>ELEC!E22</f>
        <v>1678</v>
      </c>
      <c r="I21" s="203">
        <f>ELEC!G22</f>
        <v>556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1840</v>
      </c>
      <c r="F22" s="203">
        <f>ELEC!K23</f>
        <v>1525</v>
      </c>
      <c r="G22" s="203">
        <f>ELEC!I23</f>
        <v>830</v>
      </c>
      <c r="H22" s="203">
        <f>ELEC!E23</f>
        <v>1402</v>
      </c>
      <c r="I22" s="203">
        <f>ELEC!G23</f>
        <v>564</v>
      </c>
      <c r="J22" s="203">
        <f>WATER!Y26</f>
        <v>0</v>
      </c>
      <c r="K22" s="203">
        <f>WATER!AJ26</f>
        <v>9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2080</v>
      </c>
      <c r="F23" s="203">
        <f>ELEC!K24</f>
        <v>1540</v>
      </c>
      <c r="G23" s="203">
        <f>ELEC!I24</f>
        <v>952</v>
      </c>
      <c r="H23" s="203">
        <f>ELEC!E24</f>
        <v>1692</v>
      </c>
      <c r="I23" s="203">
        <f>ELEC!G24</f>
        <v>631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2104</v>
      </c>
      <c r="F24" s="203">
        <f>ELEC!K25</f>
        <v>2186</v>
      </c>
      <c r="G24" s="203">
        <f>ELEC!I25</f>
        <v>938</v>
      </c>
      <c r="H24" s="203">
        <f>ELEC!E25</f>
        <v>2090</v>
      </c>
      <c r="I24" s="203">
        <f>ELEC!G25</f>
        <v>624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2366</v>
      </c>
      <c r="F25" s="203">
        <f>ELEC!K26</f>
        <v>2258</v>
      </c>
      <c r="G25" s="203">
        <f>ELEC!I26</f>
        <v>900</v>
      </c>
      <c r="H25" s="203">
        <f>ELEC!E26</f>
        <v>2278</v>
      </c>
      <c r="I25" s="203">
        <f>ELEC!G26</f>
        <v>669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2334</v>
      </c>
      <c r="F26" s="203">
        <f>ELEC!K27</f>
        <v>2480</v>
      </c>
      <c r="G26" s="203">
        <f>ELEC!I27</f>
        <v>844</v>
      </c>
      <c r="H26" s="203">
        <f>ELEC!E27</f>
        <v>2430</v>
      </c>
      <c r="I26" s="203">
        <f>ELEC!G27</f>
        <v>700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2460</v>
      </c>
      <c r="F27" s="203">
        <f>ELEC!K28</f>
        <v>2596</v>
      </c>
      <c r="G27" s="203">
        <f>ELEC!I28</f>
        <v>924</v>
      </c>
      <c r="H27" s="203">
        <f>ELEC!E28</f>
        <v>2922</v>
      </c>
      <c r="I27" s="203">
        <f>ELEC!G28</f>
        <v>697</v>
      </c>
      <c r="J27" s="203">
        <f>WATER!Y31</f>
        <v>14</v>
      </c>
      <c r="K27" s="203">
        <f>WATER!AJ31</f>
        <v>284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1948</v>
      </c>
      <c r="F28" s="203">
        <f>ELEC!K29</f>
        <v>2100</v>
      </c>
      <c r="G28" s="203">
        <f>ELEC!I29</f>
        <v>848</v>
      </c>
      <c r="H28" s="203">
        <f>ELEC!E29</f>
        <v>2276</v>
      </c>
      <c r="I28" s="203">
        <f>ELEC!G29</f>
        <v>641</v>
      </c>
      <c r="J28" s="203">
        <f>WATER!Y32</f>
        <v>65</v>
      </c>
      <c r="K28" s="203">
        <f>WATER!AJ32</f>
        <v>27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2332</v>
      </c>
      <c r="F29" s="203">
        <f>ELEC!K30</f>
        <v>1956</v>
      </c>
      <c r="G29" s="203">
        <f>ELEC!I30</f>
        <v>908</v>
      </c>
      <c r="H29" s="203">
        <f>ELEC!E30</f>
        <v>1904</v>
      </c>
      <c r="I29" s="203">
        <f>ELEC!G30</f>
        <v>621</v>
      </c>
      <c r="J29" s="203">
        <f>WATER!Y33</f>
        <v>5</v>
      </c>
      <c r="K29" s="203">
        <f>WATER!AJ33</f>
        <v>3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30"/>
  <sheetViews>
    <sheetView topLeftCell="J1" zoomScale="85" zoomScaleNormal="85" zoomScaleSheetLayoutView="100" workbookViewId="0">
      <pane ySplit="1" topLeftCell="A21" activePane="bottomLeft" state="frozen"/>
      <selection activeCell="C1" sqref="C1"/>
      <selection pane="bottomLeft" activeCell="Z30" sqref="Z30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603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604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v>32587390</v>
      </c>
      <c r="E4" s="311">
        <f>D4-D3</f>
        <v>2192</v>
      </c>
      <c r="F4" s="445">
        <v>3955265</v>
      </c>
      <c r="G4" s="312">
        <f t="shared" si="0"/>
        <v>636</v>
      </c>
      <c r="H4" s="445">
        <v>17781374</v>
      </c>
      <c r="I4" s="312">
        <f>H4-H3</f>
        <v>812</v>
      </c>
      <c r="J4" s="445">
        <v>28879434</v>
      </c>
      <c r="K4" s="312">
        <f>J4-J3</f>
        <v>912</v>
      </c>
      <c r="L4" s="445">
        <v>24001526</v>
      </c>
      <c r="M4" s="312">
        <f>L4-L3</f>
        <v>2070</v>
      </c>
      <c r="N4" s="310">
        <f>M4+K4+I4+G4+E4</f>
        <v>6622</v>
      </c>
      <c r="O4" s="467">
        <f t="shared" si="1"/>
        <v>0</v>
      </c>
      <c r="P4" s="604">
        <v>16579.849999999999</v>
      </c>
      <c r="Q4" s="468">
        <f t="shared" si="2"/>
        <v>2254.9999999973807</v>
      </c>
      <c r="R4" s="449">
        <f>N4-Q4</f>
        <v>4367.0000000026193</v>
      </c>
      <c r="S4" s="445">
        <f t="shared" ref="S4:AC30" si="7">S3</f>
        <v>10118</v>
      </c>
      <c r="T4" s="469">
        <f t="shared" si="3"/>
        <v>0</v>
      </c>
      <c r="U4" s="445">
        <f t="shared" si="7"/>
        <v>420722</v>
      </c>
      <c r="V4" s="449">
        <f>U4-U3</f>
        <v>0</v>
      </c>
      <c r="W4" s="445">
        <f t="shared" si="7"/>
        <v>32167</v>
      </c>
      <c r="X4" s="449">
        <f t="shared" si="4"/>
        <v>0</v>
      </c>
      <c r="Y4" s="445">
        <f t="shared" si="7"/>
        <v>696352</v>
      </c>
      <c r="Z4" s="449">
        <f>Y4-Y3</f>
        <v>0</v>
      </c>
      <c r="AA4" s="445">
        <v>35677</v>
      </c>
      <c r="AB4" s="470">
        <f>AA4-AA3</f>
        <v>4</v>
      </c>
      <c r="AC4" s="445">
        <v>913263</v>
      </c>
      <c r="AD4" s="471">
        <f>AC4-AC3</f>
        <v>514</v>
      </c>
      <c r="AE4" s="472">
        <f t="shared" ref="AE4:AE30" si="8">AB4+X4+T4</f>
        <v>4</v>
      </c>
      <c r="AF4" s="473">
        <f t="shared" ref="AF4:AF30" si="9">V4+Z4+AD4</f>
        <v>514</v>
      </c>
      <c r="AG4" s="465">
        <f t="shared" si="5"/>
        <v>128.5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v>32589800</v>
      </c>
      <c r="E5" s="311">
        <f t="shared" ref="E5:E30" si="10">D5-D4</f>
        <v>2410</v>
      </c>
      <c r="F5" s="445">
        <v>3955904</v>
      </c>
      <c r="G5" s="312">
        <f t="shared" si="0"/>
        <v>639</v>
      </c>
      <c r="H5" s="445">
        <v>17782194</v>
      </c>
      <c r="I5" s="312">
        <f t="shared" ref="I5:I30" si="11">H5-H4</f>
        <v>820</v>
      </c>
      <c r="J5" s="445">
        <v>28880362</v>
      </c>
      <c r="K5" s="312">
        <f t="shared" ref="K5:K30" si="12">J5-J4</f>
        <v>928</v>
      </c>
      <c r="L5" s="445">
        <v>24003482</v>
      </c>
      <c r="M5" s="312">
        <f t="shared" ref="M5:M30" si="13">L5-L4</f>
        <v>1956</v>
      </c>
      <c r="N5" s="310">
        <f t="shared" ref="N5:N30" si="14">M5+K5+I5+G5+E5</f>
        <v>6753</v>
      </c>
      <c r="O5" s="467">
        <f t="shared" si="1"/>
        <v>0</v>
      </c>
      <c r="P5" s="604">
        <v>16582.771000000001</v>
      </c>
      <c r="Q5" s="468">
        <f>(P5-P4)*1000</f>
        <v>2921.0000000020955</v>
      </c>
      <c r="R5" s="449">
        <f>N5-Q5</f>
        <v>3831.9999999979045</v>
      </c>
      <c r="S5" s="445">
        <f t="shared" si="7"/>
        <v>10118</v>
      </c>
      <c r="T5" s="469">
        <f t="shared" si="3"/>
        <v>0</v>
      </c>
      <c r="U5" s="445">
        <f t="shared" si="7"/>
        <v>420722</v>
      </c>
      <c r="V5" s="449">
        <f t="shared" ref="V5:V30" si="15">U5-U4</f>
        <v>0</v>
      </c>
      <c r="W5" s="445">
        <f t="shared" si="7"/>
        <v>32167</v>
      </c>
      <c r="X5" s="449">
        <f t="shared" si="4"/>
        <v>0</v>
      </c>
      <c r="Y5" s="445">
        <f t="shared" si="7"/>
        <v>696352</v>
      </c>
      <c r="Z5" s="449">
        <f>Y5-Y4</f>
        <v>0</v>
      </c>
      <c r="AA5" s="445">
        <v>35680</v>
      </c>
      <c r="AB5" s="449">
        <f t="shared" ref="AB5:AB30" si="16">AA5-AA4</f>
        <v>3</v>
      </c>
      <c r="AC5" s="445">
        <v>913951</v>
      </c>
      <c r="AD5" s="449">
        <f t="shared" ref="AD5:AD16" si="17">AC5-AC4</f>
        <v>688</v>
      </c>
      <c r="AE5" s="472">
        <f t="shared" si="8"/>
        <v>3</v>
      </c>
      <c r="AF5" s="473">
        <f t="shared" si="9"/>
        <v>688</v>
      </c>
      <c r="AG5" s="465">
        <f t="shared" si="5"/>
        <v>229.33333333333334</v>
      </c>
      <c r="AI5" s="466">
        <f>R5-'EDl log'!B3</f>
        <v>-849794.0000000021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v>32592094</v>
      </c>
      <c r="E6" s="311">
        <f t="shared" si="10"/>
        <v>2294</v>
      </c>
      <c r="F6" s="445">
        <v>3956555</v>
      </c>
      <c r="G6" s="312">
        <f t="shared" si="0"/>
        <v>651</v>
      </c>
      <c r="H6" s="445">
        <v>17783034</v>
      </c>
      <c r="I6" s="312">
        <f t="shared" si="11"/>
        <v>840</v>
      </c>
      <c r="J6" s="445">
        <v>28881318</v>
      </c>
      <c r="K6" s="312">
        <f t="shared" si="12"/>
        <v>956</v>
      </c>
      <c r="L6" s="445">
        <v>24005328</v>
      </c>
      <c r="M6" s="312">
        <f t="shared" si="13"/>
        <v>1846</v>
      </c>
      <c r="N6" s="310">
        <f t="shared" si="14"/>
        <v>6587</v>
      </c>
      <c r="O6" s="467">
        <f t="shared" si="1"/>
        <v>0</v>
      </c>
      <c r="P6" s="604">
        <v>16585.395</v>
      </c>
      <c r="Q6" s="449">
        <f t="shared" si="2"/>
        <v>2623.9999999997963</v>
      </c>
      <c r="R6" s="449">
        <f t="shared" ref="R6:R12" si="18">N6-Q6</f>
        <v>3963.0000000002037</v>
      </c>
      <c r="S6" s="445">
        <f t="shared" si="7"/>
        <v>10118</v>
      </c>
      <c r="T6" s="469">
        <f t="shared" si="3"/>
        <v>0</v>
      </c>
      <c r="U6" s="445">
        <f t="shared" si="7"/>
        <v>420722</v>
      </c>
      <c r="V6" s="449">
        <f t="shared" si="15"/>
        <v>0</v>
      </c>
      <c r="W6" s="445">
        <f t="shared" si="7"/>
        <v>32167</v>
      </c>
      <c r="X6" s="449">
        <f t="shared" si="4"/>
        <v>0</v>
      </c>
      <c r="Y6" s="445">
        <f t="shared" si="7"/>
        <v>696352</v>
      </c>
      <c r="Z6" s="449">
        <f t="shared" ref="Z6:Z30" si="19">Y6-Y5</f>
        <v>0</v>
      </c>
      <c r="AA6" s="445">
        <v>35684</v>
      </c>
      <c r="AB6" s="449">
        <f t="shared" si="16"/>
        <v>4</v>
      </c>
      <c r="AC6" s="445">
        <v>914499</v>
      </c>
      <c r="AD6" s="449">
        <f t="shared" si="17"/>
        <v>548</v>
      </c>
      <c r="AE6" s="472">
        <f t="shared" si="8"/>
        <v>4</v>
      </c>
      <c r="AF6" s="473">
        <f t="shared" si="9"/>
        <v>548</v>
      </c>
      <c r="AG6" s="465">
        <f t="shared" si="5"/>
        <v>137</v>
      </c>
      <c r="AI6" s="466">
        <f>R6-'EDl log'!B4</f>
        <v>-852162.99999999977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v>32594150</v>
      </c>
      <c r="E7" s="311">
        <f t="shared" si="10"/>
        <v>2056</v>
      </c>
      <c r="F7" s="445">
        <v>3957163</v>
      </c>
      <c r="G7" s="312">
        <f t="shared" si="0"/>
        <v>608</v>
      </c>
      <c r="H7" s="445">
        <v>17783774</v>
      </c>
      <c r="I7" s="312">
        <f t="shared" si="11"/>
        <v>740</v>
      </c>
      <c r="J7" s="445">
        <v>28882234</v>
      </c>
      <c r="K7" s="312">
        <f t="shared" si="12"/>
        <v>916</v>
      </c>
      <c r="L7" s="445">
        <v>24006940</v>
      </c>
      <c r="M7" s="312">
        <f t="shared" si="13"/>
        <v>1612</v>
      </c>
      <c r="N7" s="310">
        <f t="shared" si="14"/>
        <v>5932</v>
      </c>
      <c r="O7" s="467">
        <f t="shared" si="1"/>
        <v>0</v>
      </c>
      <c r="P7" s="604">
        <v>16587.36</v>
      </c>
      <c r="Q7" s="449">
        <f t="shared" si="2"/>
        <v>1965.0000000001455</v>
      </c>
      <c r="R7" s="449">
        <f t="shared" si="18"/>
        <v>3966.9999999998545</v>
      </c>
      <c r="S7" s="445">
        <f t="shared" si="7"/>
        <v>10118</v>
      </c>
      <c r="T7" s="469">
        <f t="shared" si="3"/>
        <v>0</v>
      </c>
      <c r="U7" s="445">
        <f t="shared" si="7"/>
        <v>420722</v>
      </c>
      <c r="V7" s="449">
        <f t="shared" si="15"/>
        <v>0</v>
      </c>
      <c r="W7" s="445">
        <f t="shared" si="7"/>
        <v>32167</v>
      </c>
      <c r="X7" s="449">
        <f t="shared" si="4"/>
        <v>0</v>
      </c>
      <c r="Y7" s="445">
        <f t="shared" si="7"/>
        <v>696352</v>
      </c>
      <c r="Z7" s="449">
        <f t="shared" si="19"/>
        <v>0</v>
      </c>
      <c r="AA7" s="445">
        <v>35687</v>
      </c>
      <c r="AB7" s="449">
        <f t="shared" si="16"/>
        <v>3</v>
      </c>
      <c r="AC7" s="445">
        <v>914939</v>
      </c>
      <c r="AD7" s="449">
        <f t="shared" si="17"/>
        <v>440</v>
      </c>
      <c r="AE7" s="472">
        <f t="shared" si="8"/>
        <v>3</v>
      </c>
      <c r="AF7" s="473">
        <f t="shared" si="9"/>
        <v>440</v>
      </c>
      <c r="AG7" s="465">
        <f t="shared" si="5"/>
        <v>146.66666666666666</v>
      </c>
      <c r="AI7" s="466">
        <f>R7-'EDl log'!B5</f>
        <v>-854387.00000000012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v>32596102</v>
      </c>
      <c r="E8" s="311">
        <f t="shared" si="10"/>
        <v>1952</v>
      </c>
      <c r="F8" s="445">
        <v>3957828</v>
      </c>
      <c r="G8" s="312">
        <f t="shared" si="0"/>
        <v>665</v>
      </c>
      <c r="H8" s="445">
        <v>17784574</v>
      </c>
      <c r="I8" s="312">
        <f t="shared" si="11"/>
        <v>800</v>
      </c>
      <c r="J8" s="445">
        <v>28883136</v>
      </c>
      <c r="K8" s="312">
        <f t="shared" si="12"/>
        <v>902</v>
      </c>
      <c r="L8" s="445">
        <v>24008598</v>
      </c>
      <c r="M8" s="312">
        <f t="shared" si="13"/>
        <v>1658</v>
      </c>
      <c r="N8" s="310">
        <f t="shared" si="14"/>
        <v>5977</v>
      </c>
      <c r="O8" s="467">
        <f t="shared" si="1"/>
        <v>0</v>
      </c>
      <c r="P8" s="604">
        <v>16589.054</v>
      </c>
      <c r="Q8" s="449">
        <f t="shared" si="2"/>
        <v>1693.9999999995052</v>
      </c>
      <c r="R8" s="449">
        <f t="shared" si="18"/>
        <v>4283.0000000004948</v>
      </c>
      <c r="S8" s="445">
        <f t="shared" si="7"/>
        <v>10118</v>
      </c>
      <c r="T8" s="469">
        <f t="shared" si="3"/>
        <v>0</v>
      </c>
      <c r="U8" s="445">
        <f t="shared" si="7"/>
        <v>420722</v>
      </c>
      <c r="V8" s="449">
        <f t="shared" si="15"/>
        <v>0</v>
      </c>
      <c r="W8" s="445">
        <f t="shared" si="7"/>
        <v>32167</v>
      </c>
      <c r="X8" s="449">
        <f t="shared" si="4"/>
        <v>0</v>
      </c>
      <c r="Y8" s="445">
        <f t="shared" si="7"/>
        <v>696352</v>
      </c>
      <c r="Z8" s="449">
        <f t="shared" si="19"/>
        <v>0</v>
      </c>
      <c r="AA8" s="445">
        <v>35689</v>
      </c>
      <c r="AB8" s="449">
        <f t="shared" si="16"/>
        <v>2</v>
      </c>
      <c r="AC8" s="445">
        <v>915313</v>
      </c>
      <c r="AD8" s="449">
        <f t="shared" si="17"/>
        <v>374</v>
      </c>
      <c r="AE8" s="472">
        <f t="shared" si="8"/>
        <v>2</v>
      </c>
      <c r="AF8" s="473">
        <f t="shared" si="9"/>
        <v>374</v>
      </c>
      <c r="AG8" s="465">
        <f t="shared" si="5"/>
        <v>187</v>
      </c>
      <c r="AI8" s="466">
        <f>R8-'EDl log'!B6</f>
        <v>-856157.99999999953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v>32597812</v>
      </c>
      <c r="E9" s="311">
        <f t="shared" si="10"/>
        <v>1710</v>
      </c>
      <c r="F9" s="445">
        <v>3958431.2</v>
      </c>
      <c r="G9" s="312">
        <f t="shared" si="0"/>
        <v>603.20000000018626</v>
      </c>
      <c r="H9" s="445">
        <v>17785390</v>
      </c>
      <c r="I9" s="312">
        <f t="shared" si="11"/>
        <v>816</v>
      </c>
      <c r="J9" s="445">
        <v>28884582</v>
      </c>
      <c r="K9" s="312">
        <f t="shared" si="12"/>
        <v>1446</v>
      </c>
      <c r="L9" s="445">
        <v>24010574</v>
      </c>
      <c r="M9" s="312">
        <f t="shared" si="13"/>
        <v>1976</v>
      </c>
      <c r="N9" s="310">
        <f t="shared" si="14"/>
        <v>6551.2000000001863</v>
      </c>
      <c r="O9" s="467">
        <f t="shared" si="1"/>
        <v>0</v>
      </c>
      <c r="P9" s="604">
        <v>16591.098000000002</v>
      </c>
      <c r="Q9" s="449">
        <f t="shared" si="2"/>
        <v>2044.000000001688</v>
      </c>
      <c r="R9" s="449">
        <f t="shared" si="18"/>
        <v>4507.1999999984982</v>
      </c>
      <c r="S9" s="445">
        <f t="shared" si="7"/>
        <v>10118</v>
      </c>
      <c r="T9" s="469">
        <f t="shared" si="3"/>
        <v>0</v>
      </c>
      <c r="U9" s="445">
        <f t="shared" si="7"/>
        <v>420722</v>
      </c>
      <c r="V9" s="449">
        <f t="shared" si="15"/>
        <v>0</v>
      </c>
      <c r="W9" s="445">
        <v>32169</v>
      </c>
      <c r="X9" s="449">
        <f t="shared" ref="X9:X30" si="20">W9-W8</f>
        <v>2</v>
      </c>
      <c r="Y9" s="445">
        <v>696833</v>
      </c>
      <c r="Z9" s="449">
        <f t="shared" si="19"/>
        <v>481</v>
      </c>
      <c r="AA9" s="445">
        <f t="shared" si="7"/>
        <v>35689</v>
      </c>
      <c r="AB9" s="449">
        <f t="shared" si="16"/>
        <v>0</v>
      </c>
      <c r="AC9" s="445">
        <v>915313</v>
      </c>
      <c r="AD9" s="449">
        <f t="shared" si="17"/>
        <v>0</v>
      </c>
      <c r="AE9" s="472">
        <f t="shared" si="8"/>
        <v>2</v>
      </c>
      <c r="AF9" s="473">
        <f t="shared" si="9"/>
        <v>481</v>
      </c>
      <c r="AG9" s="465">
        <f t="shared" si="5"/>
        <v>240.5</v>
      </c>
      <c r="AI9" s="466">
        <f>R9-'EDl log'!B7</f>
        <v>-858088.80000000144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v>32599474</v>
      </c>
      <c r="E10" s="311">
        <f t="shared" si="10"/>
        <v>1662</v>
      </c>
      <c r="F10" s="445">
        <v>3959035</v>
      </c>
      <c r="G10" s="312">
        <f t="shared" si="0"/>
        <v>603.79999999981374</v>
      </c>
      <c r="H10" s="445">
        <v>17786186</v>
      </c>
      <c r="I10" s="312">
        <f t="shared" si="11"/>
        <v>796</v>
      </c>
      <c r="J10" s="445">
        <v>28886052</v>
      </c>
      <c r="K10" s="312">
        <f t="shared" si="12"/>
        <v>1470</v>
      </c>
      <c r="L10" s="445">
        <v>24012332</v>
      </c>
      <c r="M10" s="312">
        <f t="shared" si="13"/>
        <v>1758</v>
      </c>
      <c r="N10" s="310">
        <f t="shared" si="14"/>
        <v>6289.7999999998137</v>
      </c>
      <c r="O10" s="467">
        <f t="shared" ref="O10:O30" si="21">IF(B10&gt;0,N10/B10,0)</f>
        <v>0</v>
      </c>
      <c r="P10" s="604">
        <v>16593.143</v>
      </c>
      <c r="Q10" s="449">
        <f t="shared" si="2"/>
        <v>2044.9999999982538</v>
      </c>
      <c r="R10" s="449">
        <f t="shared" si="18"/>
        <v>4244.80000000156</v>
      </c>
      <c r="S10" s="445">
        <f t="shared" si="7"/>
        <v>10118</v>
      </c>
      <c r="T10" s="469">
        <f t="shared" si="3"/>
        <v>0</v>
      </c>
      <c r="U10" s="445">
        <f t="shared" si="7"/>
        <v>420722</v>
      </c>
      <c r="V10" s="449">
        <f t="shared" si="15"/>
        <v>0</v>
      </c>
      <c r="W10" s="445">
        <v>32172</v>
      </c>
      <c r="X10" s="449">
        <f t="shared" si="20"/>
        <v>3</v>
      </c>
      <c r="Y10" s="445">
        <v>697351</v>
      </c>
      <c r="Z10" s="449">
        <f t="shared" si="19"/>
        <v>518</v>
      </c>
      <c r="AA10" s="445">
        <f t="shared" si="7"/>
        <v>35689</v>
      </c>
      <c r="AB10" s="449">
        <f t="shared" si="16"/>
        <v>0</v>
      </c>
      <c r="AC10" s="445">
        <f t="shared" si="7"/>
        <v>915313</v>
      </c>
      <c r="AD10" s="449">
        <f t="shared" si="17"/>
        <v>0</v>
      </c>
      <c r="AE10" s="472">
        <f t="shared" si="8"/>
        <v>3</v>
      </c>
      <c r="AF10" s="473">
        <f t="shared" si="9"/>
        <v>518</v>
      </c>
      <c r="AG10" s="465">
        <f t="shared" ref="AG10:AG30" si="22">IF(AE10&gt;0,AF10/AE10,0)</f>
        <v>172.66666666666666</v>
      </c>
      <c r="AI10" s="466">
        <f>R10-'EDl log'!B8</f>
        <v>-860497.19999999844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v>32601382</v>
      </c>
      <c r="E11" s="311">
        <f t="shared" si="10"/>
        <v>1908</v>
      </c>
      <c r="F11" s="445">
        <v>3959703</v>
      </c>
      <c r="G11" s="312">
        <f t="shared" si="0"/>
        <v>668</v>
      </c>
      <c r="H11" s="445">
        <v>17787062</v>
      </c>
      <c r="I11" s="312">
        <f t="shared" si="11"/>
        <v>876</v>
      </c>
      <c r="J11" s="445">
        <v>28887970</v>
      </c>
      <c r="K11" s="312">
        <f t="shared" si="12"/>
        <v>1918</v>
      </c>
      <c r="L11" s="445">
        <v>24013970</v>
      </c>
      <c r="M11" s="312">
        <f t="shared" si="13"/>
        <v>1638</v>
      </c>
      <c r="N11" s="310">
        <f>M11+K11+I11+G11+E11</f>
        <v>7008</v>
      </c>
      <c r="O11" s="467">
        <f t="shared" si="21"/>
        <v>0</v>
      </c>
      <c r="P11" s="604">
        <v>16596.579000000002</v>
      </c>
      <c r="Q11" s="449">
        <f t="shared" si="2"/>
        <v>3436.0000000015134</v>
      </c>
      <c r="R11" s="449">
        <f t="shared" si="18"/>
        <v>3571.9999999984866</v>
      </c>
      <c r="S11" s="445">
        <f t="shared" si="7"/>
        <v>10118</v>
      </c>
      <c r="T11" s="469">
        <f t="shared" si="3"/>
        <v>0</v>
      </c>
      <c r="U11" s="445">
        <f t="shared" si="7"/>
        <v>420722</v>
      </c>
      <c r="V11" s="449">
        <f t="shared" si="15"/>
        <v>0</v>
      </c>
      <c r="W11" s="445">
        <v>32176</v>
      </c>
      <c r="X11" s="449">
        <f t="shared" si="20"/>
        <v>4</v>
      </c>
      <c r="Y11" s="445">
        <v>698227</v>
      </c>
      <c r="Z11" s="449">
        <f t="shared" si="19"/>
        <v>876</v>
      </c>
      <c r="AA11" s="445">
        <f t="shared" si="7"/>
        <v>35689</v>
      </c>
      <c r="AB11" s="449">
        <f t="shared" si="16"/>
        <v>0</v>
      </c>
      <c r="AC11" s="445">
        <f t="shared" si="7"/>
        <v>915313</v>
      </c>
      <c r="AD11" s="449">
        <f t="shared" si="17"/>
        <v>0</v>
      </c>
      <c r="AE11" s="472">
        <f t="shared" si="8"/>
        <v>4</v>
      </c>
      <c r="AF11" s="473">
        <f t="shared" si="9"/>
        <v>876</v>
      </c>
      <c r="AG11" s="465">
        <f t="shared" si="22"/>
        <v>219</v>
      </c>
      <c r="AI11" s="466">
        <f>R11-'EDl log'!B9</f>
        <v>-863499.00000000151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v>32603330</v>
      </c>
      <c r="E12" s="311">
        <f t="shared" si="10"/>
        <v>1948</v>
      </c>
      <c r="F12" s="445">
        <v>3960337</v>
      </c>
      <c r="G12" s="312">
        <f t="shared" si="0"/>
        <v>634</v>
      </c>
      <c r="H12" s="445">
        <v>17787894</v>
      </c>
      <c r="I12" s="312">
        <f t="shared" si="11"/>
        <v>832</v>
      </c>
      <c r="J12" s="445">
        <v>28890152</v>
      </c>
      <c r="K12" s="312">
        <f t="shared" si="12"/>
        <v>2182</v>
      </c>
      <c r="L12" s="445">
        <v>24015650</v>
      </c>
      <c r="M12" s="312">
        <f t="shared" si="13"/>
        <v>1680</v>
      </c>
      <c r="N12" s="310">
        <f>M12+K12+I12+G12+E12</f>
        <v>7276</v>
      </c>
      <c r="O12" s="467">
        <f t="shared" si="21"/>
        <v>0</v>
      </c>
      <c r="P12" s="604">
        <v>16601.021000000001</v>
      </c>
      <c r="Q12" s="449">
        <f t="shared" si="2"/>
        <v>4441.9999999990978</v>
      </c>
      <c r="R12" s="449">
        <f t="shared" si="18"/>
        <v>2834.0000000009022</v>
      </c>
      <c r="S12" s="445">
        <f t="shared" si="7"/>
        <v>10118</v>
      </c>
      <c r="T12" s="469">
        <f t="shared" si="3"/>
        <v>0</v>
      </c>
      <c r="U12" s="445">
        <f t="shared" si="7"/>
        <v>420722</v>
      </c>
      <c r="V12" s="449">
        <f t="shared" si="15"/>
        <v>0</v>
      </c>
      <c r="W12" s="445">
        <v>32182</v>
      </c>
      <c r="X12" s="449">
        <f t="shared" si="20"/>
        <v>6</v>
      </c>
      <c r="Y12" s="445">
        <v>699173</v>
      </c>
      <c r="Z12" s="449">
        <f t="shared" si="19"/>
        <v>946</v>
      </c>
      <c r="AA12" s="445">
        <v>35689</v>
      </c>
      <c r="AB12" s="449">
        <f t="shared" si="16"/>
        <v>0</v>
      </c>
      <c r="AC12" s="445">
        <f t="shared" si="7"/>
        <v>915313</v>
      </c>
      <c r="AD12" s="449">
        <f t="shared" si="17"/>
        <v>0</v>
      </c>
      <c r="AE12" s="472">
        <f t="shared" si="8"/>
        <v>6</v>
      </c>
      <c r="AF12" s="473">
        <f t="shared" si="9"/>
        <v>946</v>
      </c>
      <c r="AG12" s="465">
        <f t="shared" si="22"/>
        <v>157.66666666666666</v>
      </c>
      <c r="AI12" s="466">
        <f>R12-'EDl log'!B10</f>
        <v>-866645.99999999907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v>32605256</v>
      </c>
      <c r="E13" s="311">
        <f t="shared" si="10"/>
        <v>1926</v>
      </c>
      <c r="F13" s="445">
        <v>3960985</v>
      </c>
      <c r="G13" s="312">
        <f t="shared" si="0"/>
        <v>648</v>
      </c>
      <c r="H13" s="445">
        <v>17788782</v>
      </c>
      <c r="I13" s="312">
        <f t="shared" si="11"/>
        <v>888</v>
      </c>
      <c r="J13" s="445">
        <v>28892186</v>
      </c>
      <c r="K13" s="312">
        <f t="shared" si="12"/>
        <v>2034</v>
      </c>
      <c r="L13" s="445">
        <v>24017390</v>
      </c>
      <c r="M13" s="312">
        <f t="shared" si="13"/>
        <v>1740</v>
      </c>
      <c r="N13" s="310">
        <f t="shared" si="14"/>
        <v>7236</v>
      </c>
      <c r="O13" s="467">
        <f t="shared" si="21"/>
        <v>0</v>
      </c>
      <c r="P13" s="604">
        <v>16605.02</v>
      </c>
      <c r="Q13" s="449">
        <f>(P13-P12)*1000</f>
        <v>3998.9999999997963</v>
      </c>
      <c r="R13" s="449">
        <f t="shared" ref="R13" si="23">N13-Q13</f>
        <v>3237.0000000002037</v>
      </c>
      <c r="S13" s="445">
        <f t="shared" si="7"/>
        <v>10118</v>
      </c>
      <c r="T13" s="469">
        <f t="shared" si="3"/>
        <v>0</v>
      </c>
      <c r="U13" s="445">
        <f t="shared" si="7"/>
        <v>420722</v>
      </c>
      <c r="V13" s="449">
        <f t="shared" si="15"/>
        <v>0</v>
      </c>
      <c r="W13" s="445">
        <v>32187</v>
      </c>
      <c r="X13" s="449">
        <f t="shared" si="20"/>
        <v>5</v>
      </c>
      <c r="Y13" s="445">
        <v>699988</v>
      </c>
      <c r="Z13" s="449">
        <f t="shared" si="19"/>
        <v>815</v>
      </c>
      <c r="AA13" s="445">
        <f t="shared" si="7"/>
        <v>35689</v>
      </c>
      <c r="AB13" s="449">
        <f t="shared" si="16"/>
        <v>0</v>
      </c>
      <c r="AC13" s="445">
        <f t="shared" si="7"/>
        <v>915313</v>
      </c>
      <c r="AD13" s="449">
        <f t="shared" si="17"/>
        <v>0</v>
      </c>
      <c r="AE13" s="472">
        <f t="shared" si="8"/>
        <v>5</v>
      </c>
      <c r="AF13" s="473">
        <f t="shared" si="9"/>
        <v>815</v>
      </c>
      <c r="AG13" s="465">
        <f t="shared" si="22"/>
        <v>163</v>
      </c>
      <c r="AI13" s="466">
        <f>R13-'EDl log'!B11</f>
        <v>-868525.99999999977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v>32606678</v>
      </c>
      <c r="E14" s="311">
        <f t="shared" si="10"/>
        <v>1422</v>
      </c>
      <c r="F14" s="445">
        <v>3961594</v>
      </c>
      <c r="G14" s="312">
        <f t="shared" si="0"/>
        <v>609</v>
      </c>
      <c r="H14" s="445">
        <v>17789546</v>
      </c>
      <c r="I14" s="312">
        <f t="shared" si="11"/>
        <v>764</v>
      </c>
      <c r="J14" s="445">
        <v>28893682</v>
      </c>
      <c r="K14" s="312">
        <f t="shared" si="12"/>
        <v>1496</v>
      </c>
      <c r="L14" s="445">
        <v>24018742</v>
      </c>
      <c r="M14" s="312">
        <f t="shared" si="13"/>
        <v>1352</v>
      </c>
      <c r="N14" s="310">
        <f t="shared" si="14"/>
        <v>5643</v>
      </c>
      <c r="O14" s="467">
        <f t="shared" si="21"/>
        <v>0</v>
      </c>
      <c r="P14" s="604">
        <v>16607.648000000001</v>
      </c>
      <c r="Q14" s="449">
        <f t="shared" ref="Q14:Q30" si="24">(P14-P13)*1000</f>
        <v>2628.0000000006112</v>
      </c>
      <c r="R14" s="449">
        <f t="shared" ref="R14:R30" si="25">N14-Q14</f>
        <v>3014.9999999993888</v>
      </c>
      <c r="S14" s="445">
        <f t="shared" si="7"/>
        <v>10118</v>
      </c>
      <c r="T14" s="469">
        <f t="shared" si="3"/>
        <v>0</v>
      </c>
      <c r="U14" s="445">
        <f t="shared" si="7"/>
        <v>420722</v>
      </c>
      <c r="V14" s="449">
        <f t="shared" si="15"/>
        <v>0</v>
      </c>
      <c r="W14" s="445">
        <v>32191</v>
      </c>
      <c r="X14" s="449">
        <f t="shared" si="20"/>
        <v>4</v>
      </c>
      <c r="Y14" s="445">
        <v>700543</v>
      </c>
      <c r="Z14" s="449">
        <f t="shared" si="19"/>
        <v>555</v>
      </c>
      <c r="AA14" s="445">
        <f t="shared" si="7"/>
        <v>35689</v>
      </c>
      <c r="AB14" s="449">
        <f t="shared" si="16"/>
        <v>0</v>
      </c>
      <c r="AC14" s="445">
        <f t="shared" si="7"/>
        <v>915313</v>
      </c>
      <c r="AD14" s="449">
        <f t="shared" si="17"/>
        <v>0</v>
      </c>
      <c r="AE14" s="472">
        <f t="shared" si="8"/>
        <v>4</v>
      </c>
      <c r="AF14" s="473">
        <f t="shared" si="9"/>
        <v>555</v>
      </c>
      <c r="AG14" s="465">
        <f t="shared" si="22"/>
        <v>138.75</v>
      </c>
      <c r="AI14" s="466">
        <f>R14-'EDl log'!B12</f>
        <v>-870707.00000000058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v>32608442</v>
      </c>
      <c r="E15" s="311">
        <f t="shared" si="10"/>
        <v>1764</v>
      </c>
      <c r="F15" s="445">
        <v>3962193</v>
      </c>
      <c r="G15" s="312">
        <f t="shared" si="0"/>
        <v>599</v>
      </c>
      <c r="H15" s="445">
        <v>17790434</v>
      </c>
      <c r="I15" s="312">
        <f t="shared" si="11"/>
        <v>888</v>
      </c>
      <c r="J15" s="445">
        <v>28895218</v>
      </c>
      <c r="K15" s="312">
        <f t="shared" si="12"/>
        <v>1536</v>
      </c>
      <c r="L15" s="445">
        <v>24020462</v>
      </c>
      <c r="M15" s="312">
        <f t="shared" si="13"/>
        <v>1720</v>
      </c>
      <c r="N15" s="310">
        <f t="shared" si="14"/>
        <v>6507</v>
      </c>
      <c r="O15" s="467">
        <f t="shared" si="21"/>
        <v>0</v>
      </c>
      <c r="P15" s="604">
        <v>16610.886999999999</v>
      </c>
      <c r="Q15" s="449">
        <f t="shared" si="24"/>
        <v>3238.999999997759</v>
      </c>
      <c r="R15" s="449">
        <f t="shared" si="25"/>
        <v>3268.000000002241</v>
      </c>
      <c r="S15" s="445">
        <f t="shared" si="7"/>
        <v>10118</v>
      </c>
      <c r="T15" s="469">
        <f t="shared" si="3"/>
        <v>0</v>
      </c>
      <c r="U15" s="445">
        <f t="shared" si="7"/>
        <v>420722</v>
      </c>
      <c r="V15" s="449">
        <f t="shared" si="15"/>
        <v>0</v>
      </c>
      <c r="W15" s="445">
        <v>32194</v>
      </c>
      <c r="X15" s="449">
        <f t="shared" si="20"/>
        <v>3</v>
      </c>
      <c r="Y15" s="445">
        <v>700970</v>
      </c>
      <c r="Z15" s="449">
        <f t="shared" si="19"/>
        <v>427</v>
      </c>
      <c r="AA15" s="445">
        <f t="shared" si="7"/>
        <v>35689</v>
      </c>
      <c r="AB15" s="449">
        <f t="shared" si="16"/>
        <v>0</v>
      </c>
      <c r="AC15" s="445">
        <f t="shared" si="7"/>
        <v>915313</v>
      </c>
      <c r="AD15" s="449">
        <f t="shared" si="17"/>
        <v>0</v>
      </c>
      <c r="AE15" s="472">
        <f t="shared" si="8"/>
        <v>3</v>
      </c>
      <c r="AF15" s="473">
        <f t="shared" si="9"/>
        <v>427</v>
      </c>
      <c r="AG15" s="465">
        <f t="shared" si="22"/>
        <v>142.33333333333334</v>
      </c>
      <c r="AI15" s="466">
        <f>R15-'EDl log'!B13</f>
        <v>-872027.99999999779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v>32610768</v>
      </c>
      <c r="E16" s="311">
        <f t="shared" si="10"/>
        <v>2326</v>
      </c>
      <c r="F16" s="445">
        <v>3962772</v>
      </c>
      <c r="G16" s="312">
        <f t="shared" si="0"/>
        <v>579</v>
      </c>
      <c r="H16" s="445">
        <v>17791272</v>
      </c>
      <c r="I16" s="312">
        <f t="shared" si="11"/>
        <v>838</v>
      </c>
      <c r="J16" s="445">
        <v>28896302</v>
      </c>
      <c r="K16" s="312">
        <f t="shared" si="12"/>
        <v>1084</v>
      </c>
      <c r="L16" s="445">
        <v>24023074</v>
      </c>
      <c r="M16" s="312">
        <f t="shared" si="13"/>
        <v>2612</v>
      </c>
      <c r="N16" s="310">
        <f t="shared" si="14"/>
        <v>7439</v>
      </c>
      <c r="O16" s="467">
        <f t="shared" si="21"/>
        <v>0</v>
      </c>
      <c r="P16" s="604">
        <v>16614.541000000001</v>
      </c>
      <c r="Q16" s="449">
        <f t="shared" si="24"/>
        <v>3654.0000000022701</v>
      </c>
      <c r="R16" s="449">
        <f t="shared" si="25"/>
        <v>3784.9999999977299</v>
      </c>
      <c r="S16" s="445">
        <v>10123</v>
      </c>
      <c r="T16" s="469">
        <f t="shared" si="3"/>
        <v>5</v>
      </c>
      <c r="U16" s="445">
        <v>421599</v>
      </c>
      <c r="V16" s="449">
        <f t="shared" si="15"/>
        <v>877</v>
      </c>
      <c r="W16" s="445">
        <f t="shared" si="7"/>
        <v>32194</v>
      </c>
      <c r="X16" s="449">
        <f>W16-W15</f>
        <v>0</v>
      </c>
      <c r="Y16" s="445">
        <f t="shared" si="7"/>
        <v>700970</v>
      </c>
      <c r="Z16" s="449">
        <f>Y16-Y15</f>
        <v>0</v>
      </c>
      <c r="AA16" s="445">
        <f t="shared" si="7"/>
        <v>35689</v>
      </c>
      <c r="AB16" s="449">
        <f>AA16-AA15</f>
        <v>0</v>
      </c>
      <c r="AC16" s="445">
        <f t="shared" si="7"/>
        <v>915313</v>
      </c>
      <c r="AD16" s="449">
        <f t="shared" si="17"/>
        <v>0</v>
      </c>
      <c r="AE16" s="472">
        <f t="shared" si="8"/>
        <v>5</v>
      </c>
      <c r="AF16" s="473">
        <f t="shared" si="9"/>
        <v>877</v>
      </c>
      <c r="AG16" s="465">
        <f t="shared" si="22"/>
        <v>175.4</v>
      </c>
      <c r="AI16" s="466">
        <f>R16-'EDl log'!B14</f>
        <v>-873291.00000000233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v>32612962</v>
      </c>
      <c r="E17" s="311">
        <f t="shared" si="10"/>
        <v>2194</v>
      </c>
      <c r="F17" s="445">
        <v>3963381</v>
      </c>
      <c r="G17" s="312">
        <f t="shared" si="0"/>
        <v>609</v>
      </c>
      <c r="H17" s="445">
        <v>17792182</v>
      </c>
      <c r="I17" s="312">
        <f t="shared" si="11"/>
        <v>910</v>
      </c>
      <c r="J17" s="445">
        <v>28897394</v>
      </c>
      <c r="K17" s="312">
        <f t="shared" si="12"/>
        <v>1092</v>
      </c>
      <c r="L17" s="445">
        <v>24025738</v>
      </c>
      <c r="M17" s="312">
        <f t="shared" si="13"/>
        <v>2664</v>
      </c>
      <c r="N17" s="310">
        <f t="shared" si="14"/>
        <v>7469</v>
      </c>
      <c r="O17" s="467">
        <f t="shared" si="21"/>
        <v>0</v>
      </c>
      <c r="P17" s="604">
        <v>16618.522000000001</v>
      </c>
      <c r="Q17" s="449">
        <f t="shared" si="24"/>
        <v>3980.9999999997672</v>
      </c>
      <c r="R17" s="449">
        <f t="shared" si="25"/>
        <v>3488.0000000002328</v>
      </c>
      <c r="S17" s="445">
        <v>10128</v>
      </c>
      <c r="T17" s="469">
        <f t="shared" si="3"/>
        <v>5</v>
      </c>
      <c r="U17" s="445">
        <v>422437</v>
      </c>
      <c r="V17" s="449">
        <f t="shared" si="15"/>
        <v>838</v>
      </c>
      <c r="W17" s="445">
        <f t="shared" si="7"/>
        <v>32194</v>
      </c>
      <c r="X17" s="449">
        <f t="shared" si="20"/>
        <v>0</v>
      </c>
      <c r="Y17" s="445">
        <f t="shared" si="7"/>
        <v>700970</v>
      </c>
      <c r="Z17" s="449">
        <f t="shared" si="19"/>
        <v>0</v>
      </c>
      <c r="AA17" s="445">
        <f t="shared" si="7"/>
        <v>35689</v>
      </c>
      <c r="AB17" s="449">
        <f t="shared" si="16"/>
        <v>0</v>
      </c>
      <c r="AC17" s="445">
        <f t="shared" si="7"/>
        <v>915313</v>
      </c>
      <c r="AD17" s="449">
        <f t="shared" ref="AD17:AD30" si="26">AC17-AC16</f>
        <v>0</v>
      </c>
      <c r="AE17" s="472">
        <f t="shared" si="8"/>
        <v>5</v>
      </c>
      <c r="AF17" s="473">
        <f t="shared" si="9"/>
        <v>838</v>
      </c>
      <c r="AG17" s="465">
        <f t="shared" si="22"/>
        <v>167.6</v>
      </c>
      <c r="AI17" s="466">
        <f>R17-'EDl log'!B15</f>
        <v>-875254.99999999977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v>32615138</v>
      </c>
      <c r="E18" s="311">
        <f t="shared" si="10"/>
        <v>2176</v>
      </c>
      <c r="F18" s="445">
        <v>3963951</v>
      </c>
      <c r="G18" s="312">
        <f t="shared" si="0"/>
        <v>570</v>
      </c>
      <c r="H18" s="445">
        <v>17792976</v>
      </c>
      <c r="I18" s="312">
        <f t="shared" si="11"/>
        <v>794</v>
      </c>
      <c r="J18" s="445">
        <v>28898216</v>
      </c>
      <c r="K18" s="312">
        <f t="shared" si="12"/>
        <v>822</v>
      </c>
      <c r="L18" s="445">
        <v>24027310</v>
      </c>
      <c r="M18" s="312">
        <f t="shared" si="13"/>
        <v>1572</v>
      </c>
      <c r="N18" s="310">
        <f t="shared" si="14"/>
        <v>5934</v>
      </c>
      <c r="O18" s="467">
        <f t="shared" si="21"/>
        <v>0</v>
      </c>
      <c r="P18" s="604">
        <v>16620.830000000002</v>
      </c>
      <c r="Q18" s="449">
        <f t="shared" si="24"/>
        <v>2308.0000000009022</v>
      </c>
      <c r="R18" s="449">
        <f t="shared" si="25"/>
        <v>3625.9999999990978</v>
      </c>
      <c r="S18" s="445">
        <f t="shared" si="7"/>
        <v>10128</v>
      </c>
      <c r="T18" s="469">
        <f t="shared" si="3"/>
        <v>0</v>
      </c>
      <c r="U18" s="445">
        <f t="shared" si="7"/>
        <v>422437</v>
      </c>
      <c r="V18" s="449">
        <f t="shared" si="15"/>
        <v>0</v>
      </c>
      <c r="W18" s="445">
        <f t="shared" si="7"/>
        <v>32194</v>
      </c>
      <c r="X18" s="449">
        <f t="shared" si="20"/>
        <v>0</v>
      </c>
      <c r="Y18" s="445">
        <f t="shared" si="7"/>
        <v>700970</v>
      </c>
      <c r="Z18" s="449">
        <f t="shared" si="19"/>
        <v>0</v>
      </c>
      <c r="AA18" s="445">
        <v>35691</v>
      </c>
      <c r="AB18" s="449">
        <f t="shared" si="16"/>
        <v>2</v>
      </c>
      <c r="AC18" s="445">
        <v>915780</v>
      </c>
      <c r="AD18" s="449">
        <f t="shared" si="26"/>
        <v>467</v>
      </c>
      <c r="AE18" s="472">
        <f t="shared" si="8"/>
        <v>2</v>
      </c>
      <c r="AF18" s="473">
        <f t="shared" si="9"/>
        <v>467</v>
      </c>
      <c r="AG18" s="465">
        <f t="shared" si="22"/>
        <v>233.5</v>
      </c>
      <c r="AI18" s="466">
        <f>R18-'EDl log'!B16</f>
        <v>-876925.00000000093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v>32617926</v>
      </c>
      <c r="E19" s="311">
        <f t="shared" si="10"/>
        <v>2788</v>
      </c>
      <c r="F19" s="445">
        <v>3964559</v>
      </c>
      <c r="G19" s="312">
        <f t="shared" si="0"/>
        <v>608</v>
      </c>
      <c r="H19" s="445">
        <v>17793926</v>
      </c>
      <c r="I19" s="312">
        <f t="shared" si="11"/>
        <v>950</v>
      </c>
      <c r="J19" s="445">
        <v>28899376</v>
      </c>
      <c r="K19" s="312">
        <f t="shared" si="12"/>
        <v>1160</v>
      </c>
      <c r="L19" s="445">
        <v>24029324</v>
      </c>
      <c r="M19" s="312">
        <f t="shared" si="13"/>
        <v>2014</v>
      </c>
      <c r="N19" s="310">
        <f t="shared" si="14"/>
        <v>7520</v>
      </c>
      <c r="O19" s="467">
        <f t="shared" si="21"/>
        <v>0</v>
      </c>
      <c r="P19" s="604">
        <v>16625.476999999999</v>
      </c>
      <c r="Q19" s="449">
        <f t="shared" si="24"/>
        <v>4646.999999997206</v>
      </c>
      <c r="R19" s="449">
        <f t="shared" si="25"/>
        <v>2873.000000002794</v>
      </c>
      <c r="S19" s="445">
        <f t="shared" si="7"/>
        <v>10128</v>
      </c>
      <c r="T19" s="469">
        <f t="shared" si="3"/>
        <v>0</v>
      </c>
      <c r="U19" s="445">
        <f t="shared" si="7"/>
        <v>422437</v>
      </c>
      <c r="V19" s="449">
        <f t="shared" si="15"/>
        <v>0</v>
      </c>
      <c r="W19" s="445">
        <v>32195</v>
      </c>
      <c r="X19" s="449">
        <f t="shared" si="20"/>
        <v>1</v>
      </c>
      <c r="Y19" s="445">
        <v>701041</v>
      </c>
      <c r="Z19" s="449">
        <f t="shared" si="19"/>
        <v>71</v>
      </c>
      <c r="AA19" s="445">
        <v>35694</v>
      </c>
      <c r="AB19" s="449">
        <f t="shared" si="16"/>
        <v>3</v>
      </c>
      <c r="AC19" s="445">
        <v>916096</v>
      </c>
      <c r="AD19" s="449">
        <f t="shared" si="26"/>
        <v>316</v>
      </c>
      <c r="AE19" s="472">
        <f t="shared" si="8"/>
        <v>4</v>
      </c>
      <c r="AF19" s="473">
        <f t="shared" si="9"/>
        <v>387</v>
      </c>
      <c r="AG19" s="465">
        <f t="shared" si="22"/>
        <v>96.75</v>
      </c>
      <c r="AI19" s="466">
        <f>R19-'EDl log'!B17</f>
        <v>-879726.99999999721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v>32619900</v>
      </c>
      <c r="E20" s="311">
        <f t="shared" si="10"/>
        <v>1974</v>
      </c>
      <c r="F20" s="445">
        <v>3965159</v>
      </c>
      <c r="G20" s="312">
        <f t="shared" si="0"/>
        <v>600</v>
      </c>
      <c r="H20" s="445">
        <v>17794746</v>
      </c>
      <c r="I20" s="312">
        <f t="shared" si="11"/>
        <v>820</v>
      </c>
      <c r="J20" s="445">
        <v>28901174</v>
      </c>
      <c r="K20" s="312">
        <f t="shared" si="12"/>
        <v>1798</v>
      </c>
      <c r="L20" s="445">
        <v>24031324</v>
      </c>
      <c r="M20" s="312">
        <f t="shared" si="13"/>
        <v>2000</v>
      </c>
      <c r="N20" s="310">
        <f t="shared" si="14"/>
        <v>7192</v>
      </c>
      <c r="O20" s="467">
        <f t="shared" si="21"/>
        <v>0</v>
      </c>
      <c r="P20" s="604">
        <v>16629.766</v>
      </c>
      <c r="Q20" s="449">
        <f t="shared" si="24"/>
        <v>4289.0000000006694</v>
      </c>
      <c r="R20" s="449">
        <f t="shared" si="25"/>
        <v>2902.9999999993306</v>
      </c>
      <c r="S20" s="445">
        <f t="shared" si="7"/>
        <v>10128</v>
      </c>
      <c r="T20" s="469">
        <f t="shared" si="3"/>
        <v>0</v>
      </c>
      <c r="U20" s="445">
        <f t="shared" si="7"/>
        <v>422437</v>
      </c>
      <c r="V20" s="449">
        <f t="shared" si="15"/>
        <v>0</v>
      </c>
      <c r="W20" s="445">
        <v>32200</v>
      </c>
      <c r="X20" s="449">
        <f t="shared" si="20"/>
        <v>5</v>
      </c>
      <c r="Y20" s="445">
        <v>701688</v>
      </c>
      <c r="Z20" s="449">
        <f t="shared" si="19"/>
        <v>647</v>
      </c>
      <c r="AA20" s="445">
        <v>35694</v>
      </c>
      <c r="AB20" s="449">
        <f t="shared" si="16"/>
        <v>0</v>
      </c>
      <c r="AC20" s="445">
        <v>916097</v>
      </c>
      <c r="AD20" s="449">
        <f t="shared" si="26"/>
        <v>1</v>
      </c>
      <c r="AE20" s="472">
        <f t="shared" si="8"/>
        <v>5</v>
      </c>
      <c r="AF20" s="473">
        <f t="shared" si="9"/>
        <v>648</v>
      </c>
      <c r="AG20" s="465">
        <f t="shared" si="22"/>
        <v>129.6</v>
      </c>
      <c r="AI20" s="466">
        <f>R20-'EDl log'!B18</f>
        <v>-881615.0000000007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v>32622554</v>
      </c>
      <c r="E21" s="311">
        <f t="shared" si="10"/>
        <v>2654</v>
      </c>
      <c r="F21" s="445">
        <v>3965778</v>
      </c>
      <c r="G21" s="312">
        <f t="shared" si="0"/>
        <v>619</v>
      </c>
      <c r="H21" s="445">
        <v>17795674</v>
      </c>
      <c r="I21" s="312">
        <f t="shared" si="11"/>
        <v>928</v>
      </c>
      <c r="J21" s="445">
        <v>28902418</v>
      </c>
      <c r="K21" s="312">
        <f t="shared" si="12"/>
        <v>1244</v>
      </c>
      <c r="L21" s="445">
        <v>24033546</v>
      </c>
      <c r="M21" s="312">
        <f t="shared" si="13"/>
        <v>2222</v>
      </c>
      <c r="N21" s="310">
        <f t="shared" si="14"/>
        <v>7667</v>
      </c>
      <c r="O21" s="467">
        <f t="shared" si="21"/>
        <v>0</v>
      </c>
      <c r="P21" s="604">
        <v>16634.52</v>
      </c>
      <c r="Q21" s="449">
        <f t="shared" si="24"/>
        <v>4754.0000000008149</v>
      </c>
      <c r="R21" s="449">
        <f t="shared" si="25"/>
        <v>2912.9999999991851</v>
      </c>
      <c r="S21" s="445">
        <f t="shared" si="7"/>
        <v>10128</v>
      </c>
      <c r="T21" s="469">
        <f t="shared" si="3"/>
        <v>0</v>
      </c>
      <c r="U21" s="445">
        <f t="shared" si="7"/>
        <v>422437</v>
      </c>
      <c r="V21" s="449">
        <f t="shared" si="15"/>
        <v>0</v>
      </c>
      <c r="W21" s="445">
        <v>32201</v>
      </c>
      <c r="X21" s="449">
        <f t="shared" si="20"/>
        <v>1</v>
      </c>
      <c r="Y21" s="445">
        <v>701785</v>
      </c>
      <c r="Z21" s="449">
        <f t="shared" si="19"/>
        <v>97</v>
      </c>
      <c r="AA21" s="445">
        <v>35697</v>
      </c>
      <c r="AB21" s="449">
        <f t="shared" si="16"/>
        <v>3</v>
      </c>
      <c r="AC21" s="445">
        <v>916656</v>
      </c>
      <c r="AD21" s="449">
        <f t="shared" si="26"/>
        <v>559</v>
      </c>
      <c r="AE21" s="472">
        <f t="shared" si="8"/>
        <v>4</v>
      </c>
      <c r="AF21" s="473">
        <f t="shared" si="9"/>
        <v>656</v>
      </c>
      <c r="AG21" s="465">
        <f t="shared" si="22"/>
        <v>164</v>
      </c>
      <c r="AI21" s="466">
        <f>R21-'EDl log'!B19</f>
        <v>-883572.00000000081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v>32624232</v>
      </c>
      <c r="E22" s="311">
        <f t="shared" si="10"/>
        <v>1678</v>
      </c>
      <c r="F22" s="445">
        <v>3966334</v>
      </c>
      <c r="G22" s="312">
        <f t="shared" si="0"/>
        <v>556</v>
      </c>
      <c r="H22" s="445">
        <v>17796594</v>
      </c>
      <c r="I22" s="312">
        <f t="shared" si="11"/>
        <v>920</v>
      </c>
      <c r="J22" s="445">
        <v>28903565</v>
      </c>
      <c r="K22" s="312">
        <f t="shared" si="12"/>
        <v>1147</v>
      </c>
      <c r="L22" s="445">
        <v>24035678</v>
      </c>
      <c r="M22" s="312">
        <f t="shared" si="13"/>
        <v>2132</v>
      </c>
      <c r="N22" s="310">
        <f t="shared" si="14"/>
        <v>6433</v>
      </c>
      <c r="O22" s="467">
        <f t="shared" si="21"/>
        <v>0</v>
      </c>
      <c r="P22" s="604">
        <v>16637.68</v>
      </c>
      <c r="Q22" s="449">
        <f t="shared" si="24"/>
        <v>3159.9999999998545</v>
      </c>
      <c r="R22" s="449">
        <f t="shared" si="25"/>
        <v>3273.0000000001455</v>
      </c>
      <c r="S22" s="445">
        <f t="shared" si="7"/>
        <v>10128</v>
      </c>
      <c r="T22" s="469">
        <f t="shared" si="3"/>
        <v>0</v>
      </c>
      <c r="U22" s="445">
        <f t="shared" si="7"/>
        <v>422437</v>
      </c>
      <c r="V22" s="449">
        <f t="shared" si="15"/>
        <v>0</v>
      </c>
      <c r="W22" s="445">
        <v>32204</v>
      </c>
      <c r="X22" s="449">
        <f t="shared" si="20"/>
        <v>3</v>
      </c>
      <c r="Y22" s="445">
        <v>702210</v>
      </c>
      <c r="Z22" s="449">
        <f t="shared" si="19"/>
        <v>425</v>
      </c>
      <c r="AA22" s="445">
        <f t="shared" si="7"/>
        <v>35697</v>
      </c>
      <c r="AB22" s="449">
        <f t="shared" si="16"/>
        <v>0</v>
      </c>
      <c r="AC22" s="445">
        <f t="shared" si="7"/>
        <v>916656</v>
      </c>
      <c r="AD22" s="449">
        <f t="shared" si="26"/>
        <v>0</v>
      </c>
      <c r="AE22" s="472">
        <f t="shared" si="8"/>
        <v>3</v>
      </c>
      <c r="AF22" s="473">
        <f t="shared" si="9"/>
        <v>425</v>
      </c>
      <c r="AG22" s="465">
        <f t="shared" si="22"/>
        <v>141.66666666666666</v>
      </c>
      <c r="AI22" s="466">
        <f>R22-'EDl log'!B20</f>
        <v>-884797.99999999988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v>32625634</v>
      </c>
      <c r="E23" s="311">
        <f t="shared" si="10"/>
        <v>1402</v>
      </c>
      <c r="F23" s="445">
        <v>3966898</v>
      </c>
      <c r="G23" s="312">
        <f t="shared" si="0"/>
        <v>564</v>
      </c>
      <c r="H23" s="445">
        <v>17797424</v>
      </c>
      <c r="I23" s="438">
        <f t="shared" si="11"/>
        <v>830</v>
      </c>
      <c r="J23" s="445">
        <v>28905090</v>
      </c>
      <c r="K23" s="312">
        <f t="shared" si="12"/>
        <v>1525</v>
      </c>
      <c r="L23" s="445">
        <v>24037518</v>
      </c>
      <c r="M23" s="312">
        <f t="shared" si="13"/>
        <v>1840</v>
      </c>
      <c r="N23" s="310">
        <f t="shared" si="14"/>
        <v>6161</v>
      </c>
      <c r="O23" s="467">
        <f t="shared" si="21"/>
        <v>0</v>
      </c>
      <c r="P23" s="604">
        <v>16640.482</v>
      </c>
      <c r="Q23" s="449">
        <f t="shared" si="24"/>
        <v>2801.9999999996799</v>
      </c>
      <c r="R23" s="449">
        <f t="shared" si="25"/>
        <v>3359.0000000003201</v>
      </c>
      <c r="S23" s="445">
        <f t="shared" si="7"/>
        <v>10128</v>
      </c>
      <c r="T23" s="469">
        <f t="shared" si="3"/>
        <v>0</v>
      </c>
      <c r="U23" s="445">
        <f t="shared" si="7"/>
        <v>422437</v>
      </c>
      <c r="V23" s="449">
        <f t="shared" si="15"/>
        <v>0</v>
      </c>
      <c r="W23" s="445">
        <v>32206</v>
      </c>
      <c r="X23" s="449">
        <f t="shared" si="20"/>
        <v>2</v>
      </c>
      <c r="Y23" s="445">
        <v>702517</v>
      </c>
      <c r="Z23" s="449">
        <f t="shared" si="19"/>
        <v>307</v>
      </c>
      <c r="AA23" s="445">
        <f t="shared" si="7"/>
        <v>35697</v>
      </c>
      <c r="AB23" s="449">
        <f t="shared" si="16"/>
        <v>0</v>
      </c>
      <c r="AC23" s="445">
        <f t="shared" si="7"/>
        <v>916656</v>
      </c>
      <c r="AD23" s="449">
        <f t="shared" si="26"/>
        <v>0</v>
      </c>
      <c r="AE23" s="472">
        <f t="shared" si="8"/>
        <v>2</v>
      </c>
      <c r="AF23" s="473">
        <f t="shared" si="9"/>
        <v>307</v>
      </c>
      <c r="AG23" s="465">
        <f t="shared" si="22"/>
        <v>153.5</v>
      </c>
      <c r="AI23" s="466">
        <f>R23-'EDl log'!B21</f>
        <v>-886311.99999999965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v>32627326</v>
      </c>
      <c r="E24" s="311">
        <f t="shared" si="10"/>
        <v>1692</v>
      </c>
      <c r="F24" s="445">
        <v>3967529</v>
      </c>
      <c r="G24" s="312">
        <f t="shared" si="0"/>
        <v>631</v>
      </c>
      <c r="H24" s="445">
        <v>17798376</v>
      </c>
      <c r="I24" s="312">
        <f t="shared" si="11"/>
        <v>952</v>
      </c>
      <c r="J24" s="445">
        <v>28906630</v>
      </c>
      <c r="K24" s="312">
        <f t="shared" si="12"/>
        <v>1540</v>
      </c>
      <c r="L24" s="445">
        <v>24039598</v>
      </c>
      <c r="M24" s="312">
        <f t="shared" si="13"/>
        <v>2080</v>
      </c>
      <c r="N24" s="310">
        <f t="shared" si="14"/>
        <v>6895</v>
      </c>
      <c r="O24" s="467">
        <f t="shared" si="21"/>
        <v>0</v>
      </c>
      <c r="P24" s="604">
        <v>16643.612000000001</v>
      </c>
      <c r="Q24" s="449">
        <f t="shared" si="24"/>
        <v>3130.0000000010186</v>
      </c>
      <c r="R24" s="449">
        <f t="shared" si="25"/>
        <v>3764.9999999989814</v>
      </c>
      <c r="S24" s="445">
        <f t="shared" si="7"/>
        <v>10128</v>
      </c>
      <c r="T24" s="469">
        <f t="shared" si="3"/>
        <v>0</v>
      </c>
      <c r="U24" s="445">
        <f t="shared" si="7"/>
        <v>422437</v>
      </c>
      <c r="V24" s="449">
        <f t="shared" si="15"/>
        <v>0</v>
      </c>
      <c r="W24" s="445">
        <v>32209</v>
      </c>
      <c r="X24" s="449">
        <f t="shared" si="20"/>
        <v>3</v>
      </c>
      <c r="Y24" s="445">
        <v>702957</v>
      </c>
      <c r="Z24" s="449">
        <f t="shared" si="19"/>
        <v>440</v>
      </c>
      <c r="AA24" s="445">
        <f t="shared" si="7"/>
        <v>35697</v>
      </c>
      <c r="AB24" s="449">
        <f t="shared" si="16"/>
        <v>0</v>
      </c>
      <c r="AC24" s="445">
        <f t="shared" si="7"/>
        <v>916656</v>
      </c>
      <c r="AD24" s="449">
        <f t="shared" si="26"/>
        <v>0</v>
      </c>
      <c r="AE24" s="472">
        <f t="shared" si="8"/>
        <v>3</v>
      </c>
      <c r="AF24" s="473">
        <f t="shared" si="9"/>
        <v>440</v>
      </c>
      <c r="AG24" s="465">
        <f t="shared" si="22"/>
        <v>146.66666666666666</v>
      </c>
      <c r="AI24" s="466">
        <f>R24-'EDl log'!B22</f>
        <v>-887515.00000000105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v>32629416</v>
      </c>
      <c r="E25" s="311">
        <f t="shared" si="10"/>
        <v>2090</v>
      </c>
      <c r="F25" s="445">
        <v>3968153</v>
      </c>
      <c r="G25" s="312">
        <f t="shared" si="0"/>
        <v>624</v>
      </c>
      <c r="H25" s="445">
        <v>17799314</v>
      </c>
      <c r="I25" s="312">
        <f t="shared" si="11"/>
        <v>938</v>
      </c>
      <c r="J25" s="445">
        <v>28908816</v>
      </c>
      <c r="K25" s="312">
        <f t="shared" si="12"/>
        <v>2186</v>
      </c>
      <c r="L25" s="445">
        <v>24041702</v>
      </c>
      <c r="M25" s="312">
        <f t="shared" si="13"/>
        <v>2104</v>
      </c>
      <c r="N25" s="310">
        <f t="shared" si="14"/>
        <v>7942</v>
      </c>
      <c r="O25" s="467">
        <f t="shared" si="21"/>
        <v>0</v>
      </c>
      <c r="P25" s="604">
        <v>16648.475999999999</v>
      </c>
      <c r="Q25" s="449">
        <f t="shared" si="24"/>
        <v>4863.999999997759</v>
      </c>
      <c r="R25" s="449">
        <f t="shared" si="25"/>
        <v>3078.000000002241</v>
      </c>
      <c r="S25" s="445">
        <f t="shared" si="7"/>
        <v>10128</v>
      </c>
      <c r="T25" s="469">
        <f t="shared" si="3"/>
        <v>0</v>
      </c>
      <c r="U25" s="445">
        <f t="shared" si="7"/>
        <v>422437</v>
      </c>
      <c r="V25" s="449">
        <f t="shared" si="15"/>
        <v>0</v>
      </c>
      <c r="W25" s="445">
        <v>32215</v>
      </c>
      <c r="X25" s="449">
        <f t="shared" si="20"/>
        <v>6</v>
      </c>
      <c r="Y25" s="445">
        <v>703841</v>
      </c>
      <c r="Z25" s="449">
        <f t="shared" si="19"/>
        <v>884</v>
      </c>
      <c r="AA25" s="445">
        <f t="shared" si="7"/>
        <v>35697</v>
      </c>
      <c r="AB25" s="449">
        <f t="shared" si="16"/>
        <v>0</v>
      </c>
      <c r="AC25" s="445">
        <f t="shared" si="7"/>
        <v>916656</v>
      </c>
      <c r="AD25" s="449">
        <f t="shared" si="26"/>
        <v>0</v>
      </c>
      <c r="AE25" s="472">
        <f t="shared" si="8"/>
        <v>6</v>
      </c>
      <c r="AF25" s="473">
        <f t="shared" si="9"/>
        <v>884</v>
      </c>
      <c r="AG25" s="465">
        <f t="shared" si="22"/>
        <v>147.33333333333334</v>
      </c>
      <c r="AI25" s="466">
        <f>R25-'EDl log'!B23</f>
        <v>-890159.99999999779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v>32631694</v>
      </c>
      <c r="E26" s="311">
        <f t="shared" si="10"/>
        <v>2278</v>
      </c>
      <c r="F26" s="445">
        <v>3968822</v>
      </c>
      <c r="G26" s="312">
        <f t="shared" si="0"/>
        <v>669</v>
      </c>
      <c r="H26" s="445">
        <v>17800214</v>
      </c>
      <c r="I26" s="312">
        <f t="shared" si="11"/>
        <v>900</v>
      </c>
      <c r="J26" s="445">
        <v>28911074</v>
      </c>
      <c r="K26" s="312">
        <f t="shared" si="12"/>
        <v>2258</v>
      </c>
      <c r="L26" s="445">
        <v>24044068</v>
      </c>
      <c r="M26" s="312">
        <f t="shared" si="13"/>
        <v>2366</v>
      </c>
      <c r="N26" s="310">
        <f t="shared" si="14"/>
        <v>8471</v>
      </c>
      <c r="O26" s="467">
        <f t="shared" si="21"/>
        <v>0</v>
      </c>
      <c r="P26" s="604">
        <v>16654.37</v>
      </c>
      <c r="Q26" s="449">
        <f t="shared" si="24"/>
        <v>5894.0000000002328</v>
      </c>
      <c r="R26" s="449">
        <f t="shared" si="25"/>
        <v>2576.9999999997672</v>
      </c>
      <c r="S26" s="445">
        <f t="shared" si="7"/>
        <v>10128</v>
      </c>
      <c r="T26" s="469">
        <f t="shared" si="3"/>
        <v>0</v>
      </c>
      <c r="U26" s="445">
        <f t="shared" si="7"/>
        <v>422437</v>
      </c>
      <c r="V26" s="449">
        <f t="shared" si="15"/>
        <v>0</v>
      </c>
      <c r="W26" s="445">
        <v>32221</v>
      </c>
      <c r="X26" s="449">
        <f t="shared" si="20"/>
        <v>6</v>
      </c>
      <c r="Y26" s="445">
        <v>704684</v>
      </c>
      <c r="Z26" s="449">
        <f t="shared" si="19"/>
        <v>843</v>
      </c>
      <c r="AA26" s="445">
        <f t="shared" si="7"/>
        <v>35697</v>
      </c>
      <c r="AB26" s="449">
        <f t="shared" si="16"/>
        <v>0</v>
      </c>
      <c r="AC26" s="445">
        <f t="shared" si="7"/>
        <v>916656</v>
      </c>
      <c r="AD26" s="449">
        <f t="shared" si="26"/>
        <v>0</v>
      </c>
      <c r="AE26" s="472">
        <f t="shared" si="8"/>
        <v>6</v>
      </c>
      <c r="AF26" s="473">
        <f t="shared" si="9"/>
        <v>843</v>
      </c>
      <c r="AG26" s="465">
        <f t="shared" si="22"/>
        <v>140.5</v>
      </c>
      <c r="AI26" s="466">
        <f>R26-'EDl log'!B24</f>
        <v>-892332.00000000023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v>32634124</v>
      </c>
      <c r="E27" s="311">
        <f t="shared" si="10"/>
        <v>2430</v>
      </c>
      <c r="F27" s="445">
        <v>3969522</v>
      </c>
      <c r="G27" s="312">
        <f>F27-F26</f>
        <v>700</v>
      </c>
      <c r="H27" s="445">
        <v>17801058</v>
      </c>
      <c r="I27" s="312">
        <f t="shared" si="11"/>
        <v>844</v>
      </c>
      <c r="J27" s="445">
        <v>28913554</v>
      </c>
      <c r="K27" s="312">
        <f t="shared" si="12"/>
        <v>2480</v>
      </c>
      <c r="L27" s="445">
        <v>24046402</v>
      </c>
      <c r="M27" s="312">
        <f t="shared" si="13"/>
        <v>2334</v>
      </c>
      <c r="N27" s="310">
        <f t="shared" si="14"/>
        <v>8788</v>
      </c>
      <c r="O27" s="467">
        <f t="shared" si="21"/>
        <v>0</v>
      </c>
      <c r="P27" s="604">
        <v>16660.044000000002</v>
      </c>
      <c r="Q27" s="449">
        <f t="shared" si="24"/>
        <v>5674.0000000027067</v>
      </c>
      <c r="R27" s="449">
        <f t="shared" si="25"/>
        <v>3113.9999999972933</v>
      </c>
      <c r="S27" s="445">
        <f t="shared" si="7"/>
        <v>10128</v>
      </c>
      <c r="T27" s="469">
        <f t="shared" si="3"/>
        <v>0</v>
      </c>
      <c r="U27" s="445">
        <f t="shared" si="7"/>
        <v>422437</v>
      </c>
      <c r="V27" s="449">
        <f t="shared" si="15"/>
        <v>0</v>
      </c>
      <c r="W27" s="445">
        <v>32228</v>
      </c>
      <c r="X27" s="449">
        <f t="shared" si="20"/>
        <v>7</v>
      </c>
      <c r="Y27" s="445">
        <v>705678</v>
      </c>
      <c r="Z27" s="449">
        <f t="shared" si="19"/>
        <v>994</v>
      </c>
      <c r="AA27" s="445">
        <f t="shared" si="7"/>
        <v>35697</v>
      </c>
      <c r="AB27" s="449">
        <f t="shared" si="16"/>
        <v>0</v>
      </c>
      <c r="AC27" s="445">
        <f t="shared" si="7"/>
        <v>916656</v>
      </c>
      <c r="AD27" s="449">
        <f t="shared" si="26"/>
        <v>0</v>
      </c>
      <c r="AE27" s="472">
        <f t="shared" si="8"/>
        <v>7</v>
      </c>
      <c r="AF27" s="473">
        <f t="shared" si="9"/>
        <v>994</v>
      </c>
      <c r="AG27" s="465">
        <f t="shared" si="22"/>
        <v>142</v>
      </c>
      <c r="AI27" s="466">
        <f>R27-'EDl log'!B25</f>
        <v>-893825.00000000268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v>32637046</v>
      </c>
      <c r="E28" s="311">
        <f t="shared" si="10"/>
        <v>2922</v>
      </c>
      <c r="F28" s="445">
        <v>3970219</v>
      </c>
      <c r="G28" s="312">
        <f t="shared" si="0"/>
        <v>697</v>
      </c>
      <c r="H28" s="445">
        <v>17801982</v>
      </c>
      <c r="I28" s="312">
        <f t="shared" si="11"/>
        <v>924</v>
      </c>
      <c r="J28" s="445">
        <v>28916150</v>
      </c>
      <c r="K28" s="312">
        <f t="shared" si="12"/>
        <v>2596</v>
      </c>
      <c r="L28" s="445">
        <v>24048862</v>
      </c>
      <c r="M28" s="312">
        <f t="shared" si="13"/>
        <v>2460</v>
      </c>
      <c r="N28" s="310">
        <f t="shared" si="14"/>
        <v>9599</v>
      </c>
      <c r="O28" s="467">
        <f t="shared" si="21"/>
        <v>0</v>
      </c>
      <c r="P28" s="604">
        <v>16667.73</v>
      </c>
      <c r="Q28" s="449">
        <f t="shared" si="24"/>
        <v>7685.9999999978754</v>
      </c>
      <c r="R28" s="449">
        <f t="shared" si="25"/>
        <v>1913.0000000021246</v>
      </c>
      <c r="S28" s="445">
        <f t="shared" si="7"/>
        <v>10128</v>
      </c>
      <c r="T28" s="469">
        <f t="shared" si="3"/>
        <v>0</v>
      </c>
      <c r="U28" s="445">
        <f t="shared" si="7"/>
        <v>422437</v>
      </c>
      <c r="V28" s="449">
        <f t="shared" si="15"/>
        <v>0</v>
      </c>
      <c r="W28" s="445">
        <v>32235</v>
      </c>
      <c r="X28" s="449">
        <f t="shared" si="20"/>
        <v>7</v>
      </c>
      <c r="Y28" s="445">
        <v>706740</v>
      </c>
      <c r="Z28" s="449">
        <f t="shared" si="19"/>
        <v>1062</v>
      </c>
      <c r="AA28" s="445">
        <f t="shared" si="7"/>
        <v>35697</v>
      </c>
      <c r="AB28" s="449">
        <f t="shared" si="16"/>
        <v>0</v>
      </c>
      <c r="AC28" s="445">
        <f t="shared" si="7"/>
        <v>916656</v>
      </c>
      <c r="AD28" s="449">
        <f t="shared" si="26"/>
        <v>0</v>
      </c>
      <c r="AE28" s="472">
        <f t="shared" si="8"/>
        <v>7</v>
      </c>
      <c r="AF28" s="473">
        <f t="shared" si="9"/>
        <v>1062</v>
      </c>
      <c r="AG28" s="465">
        <f t="shared" si="22"/>
        <v>151.71428571428572</v>
      </c>
      <c r="AI28" s="466">
        <f>R28-'EDl log'!B26</f>
        <v>-896702.9999999979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v>32639322</v>
      </c>
      <c r="E29" s="311">
        <f t="shared" si="10"/>
        <v>2276</v>
      </c>
      <c r="F29" s="445">
        <v>3970860</v>
      </c>
      <c r="G29" s="312">
        <f t="shared" si="0"/>
        <v>641</v>
      </c>
      <c r="H29" s="445">
        <v>17802830</v>
      </c>
      <c r="I29" s="312">
        <f t="shared" si="11"/>
        <v>848</v>
      </c>
      <c r="J29" s="445">
        <v>28918250</v>
      </c>
      <c r="K29" s="312">
        <f t="shared" si="12"/>
        <v>2100</v>
      </c>
      <c r="L29" s="445">
        <v>24050810</v>
      </c>
      <c r="M29" s="312">
        <f t="shared" si="13"/>
        <v>1948</v>
      </c>
      <c r="N29" s="310">
        <f t="shared" si="14"/>
        <v>7813</v>
      </c>
      <c r="O29" s="467">
        <f t="shared" si="21"/>
        <v>0</v>
      </c>
      <c r="P29" s="604">
        <v>16673.776999999998</v>
      </c>
      <c r="Q29" s="449">
        <f t="shared" si="24"/>
        <v>6046.9999999986612</v>
      </c>
      <c r="R29" s="449">
        <f t="shared" si="25"/>
        <v>1766.0000000013388</v>
      </c>
      <c r="S29" s="445">
        <f t="shared" si="7"/>
        <v>10128</v>
      </c>
      <c r="T29" s="469">
        <f t="shared" si="3"/>
        <v>0</v>
      </c>
      <c r="U29" s="445">
        <f t="shared" si="7"/>
        <v>422437</v>
      </c>
      <c r="V29" s="449">
        <f t="shared" si="15"/>
        <v>0</v>
      </c>
      <c r="W29" s="445">
        <v>32240</v>
      </c>
      <c r="X29" s="449">
        <f t="shared" si="20"/>
        <v>5</v>
      </c>
      <c r="Y29" s="445">
        <v>707595</v>
      </c>
      <c r="Z29" s="449">
        <f t="shared" si="19"/>
        <v>855</v>
      </c>
      <c r="AA29" s="445">
        <f t="shared" si="7"/>
        <v>35697</v>
      </c>
      <c r="AB29" s="449">
        <f t="shared" si="16"/>
        <v>0</v>
      </c>
      <c r="AC29" s="445">
        <f t="shared" si="7"/>
        <v>916656</v>
      </c>
      <c r="AD29" s="449">
        <f t="shared" si="26"/>
        <v>0</v>
      </c>
      <c r="AE29" s="472">
        <f t="shared" si="8"/>
        <v>5</v>
      </c>
      <c r="AF29" s="473">
        <f t="shared" si="9"/>
        <v>855</v>
      </c>
      <c r="AG29" s="465">
        <f t="shared" si="22"/>
        <v>171</v>
      </c>
      <c r="AI29" s="466">
        <f>R29-'EDl log'!B27</f>
        <v>-898254.9999999986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v>32641226</v>
      </c>
      <c r="E30" s="311">
        <f t="shared" si="10"/>
        <v>1904</v>
      </c>
      <c r="F30" s="445">
        <v>3971481</v>
      </c>
      <c r="G30" s="312">
        <f t="shared" si="0"/>
        <v>621</v>
      </c>
      <c r="H30" s="445">
        <v>17803738</v>
      </c>
      <c r="I30" s="312">
        <f t="shared" si="11"/>
        <v>908</v>
      </c>
      <c r="J30" s="445">
        <v>28920206</v>
      </c>
      <c r="K30" s="312">
        <f t="shared" si="12"/>
        <v>1956</v>
      </c>
      <c r="L30" s="445">
        <v>24053142</v>
      </c>
      <c r="M30" s="312">
        <f t="shared" si="13"/>
        <v>2332</v>
      </c>
      <c r="N30" s="310">
        <f t="shared" si="14"/>
        <v>7721</v>
      </c>
      <c r="O30" s="467">
        <f t="shared" si="21"/>
        <v>0</v>
      </c>
      <c r="P30" s="604">
        <v>16679.337</v>
      </c>
      <c r="Q30" s="449">
        <f t="shared" si="24"/>
        <v>5560.0000000013097</v>
      </c>
      <c r="R30" s="449">
        <f t="shared" si="25"/>
        <v>2160.9999999986903</v>
      </c>
      <c r="S30" s="445">
        <v>10128</v>
      </c>
      <c r="T30" s="469">
        <f t="shared" si="3"/>
        <v>0</v>
      </c>
      <c r="U30" s="445">
        <f t="shared" si="7"/>
        <v>422437</v>
      </c>
      <c r="V30" s="449">
        <f t="shared" si="15"/>
        <v>0</v>
      </c>
      <c r="W30" s="445">
        <v>32244</v>
      </c>
      <c r="X30" s="470">
        <f t="shared" si="20"/>
        <v>4</v>
      </c>
      <c r="Y30" s="445">
        <v>708141</v>
      </c>
      <c r="Z30" s="449">
        <f t="shared" si="19"/>
        <v>546</v>
      </c>
      <c r="AA30" s="445">
        <f t="shared" si="7"/>
        <v>35697</v>
      </c>
      <c r="AB30" s="449">
        <f t="shared" si="16"/>
        <v>0</v>
      </c>
      <c r="AC30" s="445">
        <f t="shared" si="7"/>
        <v>916656</v>
      </c>
      <c r="AD30" s="449">
        <f t="shared" si="26"/>
        <v>0</v>
      </c>
      <c r="AE30" s="472">
        <f t="shared" si="8"/>
        <v>4</v>
      </c>
      <c r="AF30" s="473">
        <f t="shared" si="9"/>
        <v>546</v>
      </c>
      <c r="AG30" s="465">
        <f t="shared" si="22"/>
        <v>136.5</v>
      </c>
      <c r="AI30" s="466">
        <f>R30-'EDl log'!B28</f>
        <v>-899557.00000000128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0"/>
  <sheetViews>
    <sheetView topLeftCell="H1" zoomScale="90" zoomScaleNormal="90" workbookViewId="0">
      <pane ySplit="1" topLeftCell="A14" activePane="bottomLeft" state="frozen"/>
      <selection activeCell="K1" sqref="K1"/>
      <selection pane="bottomLeft" activeCell="AH32" sqref="AH32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14" t="s">
        <v>2</v>
      </c>
      <c r="G1" s="615"/>
      <c r="H1" s="615"/>
      <c r="I1" s="616"/>
      <c r="J1" s="282">
        <f>J33</f>
        <v>71.32352941176471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397"/>
      <c r="V1" s="27" t="s">
        <v>104</v>
      </c>
      <c r="W1" s="398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v>0.1</v>
      </c>
      <c r="AW4" s="395">
        <v>0.1</v>
      </c>
      <c r="AX4" s="395">
        <f>[2]B5!AX35</f>
        <v>0.8</v>
      </c>
    </row>
    <row r="5" spans="1:52">
      <c r="A5" s="63">
        <f>ELEC!C3</f>
        <v>44228</v>
      </c>
      <c r="B5" s="588">
        <v>232</v>
      </c>
      <c r="C5" s="588">
        <v>238</v>
      </c>
      <c r="D5" s="45">
        <f>C4-C5</f>
        <v>4</v>
      </c>
      <c r="E5" s="45">
        <f>D5*8.38</f>
        <v>33.520000000000003</v>
      </c>
      <c r="F5" s="588">
        <v>1717</v>
      </c>
      <c r="G5" s="52">
        <f t="shared" ref="G5:G32" si="0">F5-F4</f>
        <v>2</v>
      </c>
      <c r="H5" s="588">
        <v>4147</v>
      </c>
      <c r="I5" s="396">
        <f t="shared" ref="I5:I32" si="1">SUM(H5-H4)</f>
        <v>156</v>
      </c>
      <c r="J5" s="66">
        <v>1</v>
      </c>
      <c r="K5" s="588">
        <f>K4</f>
        <v>2216</v>
      </c>
      <c r="L5" s="52">
        <f>K5-K4</f>
        <v>0</v>
      </c>
      <c r="M5" s="588">
        <f>M4</f>
        <v>162924</v>
      </c>
      <c r="N5" s="396">
        <f t="shared" ref="N5:N32" si="2">M5-M4</f>
        <v>0</v>
      </c>
      <c r="O5" s="64">
        <f>O4</f>
        <v>1869</v>
      </c>
      <c r="P5" s="588">
        <v>1966</v>
      </c>
      <c r="Q5" s="588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8">
        <v>2453</v>
      </c>
      <c r="Y5" s="52">
        <f>X5-X4</f>
        <v>1</v>
      </c>
      <c r="Z5" s="588">
        <v>137950.70000000001</v>
      </c>
      <c r="AA5" s="65">
        <f t="shared" ref="AA5:AA32" si="5">Z5-Z4</f>
        <v>119.60000000000582</v>
      </c>
      <c r="AB5" s="284">
        <f>SUM(Y5*$AB$2)</f>
        <v>0</v>
      </c>
      <c r="AC5" s="588">
        <f>AC4</f>
        <v>1934</v>
      </c>
      <c r="AD5" s="45">
        <f t="shared" ref="AD5:AD32" si="6">AC5-AC4</f>
        <v>0</v>
      </c>
      <c r="AE5" s="588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8">
        <f>AN4</f>
        <v>67</v>
      </c>
      <c r="AO5" s="320">
        <f>(AN5/100)*3000</f>
        <v>2010.0000000000002</v>
      </c>
      <c r="AP5" s="588">
        <f>AP4</f>
        <v>55</v>
      </c>
      <c r="AQ5" s="320">
        <f>(AP5/100)*3000</f>
        <v>1650.0000000000002</v>
      </c>
      <c r="AR5" s="588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8">
        <v>229</v>
      </c>
      <c r="C6" s="588">
        <v>235</v>
      </c>
      <c r="D6" s="45">
        <f>C5-C6</f>
        <v>3</v>
      </c>
      <c r="E6" s="45">
        <f t="shared" ref="E6:E31" si="8">D6*8.38</f>
        <v>25.14</v>
      </c>
      <c r="F6" s="588">
        <v>1719</v>
      </c>
      <c r="G6" s="52">
        <f t="shared" si="0"/>
        <v>2</v>
      </c>
      <c r="H6" s="588">
        <v>4287</v>
      </c>
      <c r="I6" s="396">
        <f t="shared" si="1"/>
        <v>140</v>
      </c>
      <c r="J6" s="66">
        <f t="shared" ref="J6:J32" si="9">IF(G6&gt;0,I6/G6,0)</f>
        <v>70</v>
      </c>
      <c r="K6" s="588">
        <v>2218</v>
      </c>
      <c r="L6" s="52">
        <f t="shared" ref="L6:L32" si="10">K6-K5</f>
        <v>2</v>
      </c>
      <c r="M6" s="588">
        <v>163018</v>
      </c>
      <c r="N6" s="396">
        <f t="shared" si="2"/>
        <v>94</v>
      </c>
      <c r="O6" s="64">
        <f t="shared" ref="O6:P32" si="11">O5</f>
        <v>1869</v>
      </c>
      <c r="P6" s="588">
        <f t="shared" si="11"/>
        <v>1966</v>
      </c>
      <c r="Q6" s="588">
        <f t="shared" ref="Q6" si="12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3">SUM(G6+L6+S6)</f>
        <v>4</v>
      </c>
      <c r="V6" s="62">
        <f t="shared" ref="V6:V32" si="14">R6+N6+I6:I6</f>
        <v>234</v>
      </c>
      <c r="W6" s="400">
        <f t="shared" ref="W6:W16" si="15">SUM(V6/U6)</f>
        <v>58.5</v>
      </c>
      <c r="X6" s="588">
        <f t="shared" ref="X6:Z32" si="16">X5</f>
        <v>2453</v>
      </c>
      <c r="Y6" s="52">
        <f t="shared" ref="Y6:Y32" si="17">X6-X5</f>
        <v>0</v>
      </c>
      <c r="Z6" s="588">
        <f t="shared" si="16"/>
        <v>137950.70000000001</v>
      </c>
      <c r="AA6" s="65">
        <f t="shared" si="5"/>
        <v>0</v>
      </c>
      <c r="AB6" s="284">
        <f>SUM(Y6*$AB$2)</f>
        <v>0</v>
      </c>
      <c r="AC6" s="588">
        <f t="shared" ref="AC6:AE6" si="18">AC5</f>
        <v>1934</v>
      </c>
      <c r="AD6" s="45">
        <f t="shared" si="6"/>
        <v>0</v>
      </c>
      <c r="AE6" s="588">
        <f t="shared" si="18"/>
        <v>365317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234</v>
      </c>
      <c r="AJ6" s="318">
        <f>-tanks!AW7</f>
        <v>234</v>
      </c>
      <c r="AK6" s="318">
        <f t="shared" ref="AK6:AK32" si="21">SUM(AJ6-AI6)</f>
        <v>0</v>
      </c>
      <c r="AL6" s="318">
        <f t="shared" si="7"/>
        <v>4</v>
      </c>
      <c r="AM6" s="318">
        <f t="shared" ref="AM6:AM32" si="22">Y6+AD6</f>
        <v>0</v>
      </c>
      <c r="AN6" s="588">
        <f t="shared" ref="AN6:AP6" si="23">AN5</f>
        <v>67</v>
      </c>
      <c r="AO6" s="320">
        <f t="shared" ref="AO6:AO26" si="24">(AN6/100)*3000</f>
        <v>2010.0000000000002</v>
      </c>
      <c r="AP6" s="588">
        <f t="shared" si="23"/>
        <v>55</v>
      </c>
      <c r="AQ6" s="320">
        <f t="shared" ref="AQ6:AQ24" si="25">(AP6/100)*3000</f>
        <v>1650.0000000000002</v>
      </c>
      <c r="AR6" s="588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44230</v>
      </c>
      <c r="B7" s="588">
        <v>225</v>
      </c>
      <c r="C7" s="588">
        <v>231</v>
      </c>
      <c r="D7" s="45">
        <f t="shared" ref="D7:D32" si="28">C6-C7</f>
        <v>4</v>
      </c>
      <c r="E7" s="45">
        <f t="shared" si="8"/>
        <v>33.520000000000003</v>
      </c>
      <c r="F7" s="588">
        <f t="shared" ref="F7:H31" si="29">F6</f>
        <v>1719</v>
      </c>
      <c r="G7" s="52">
        <f t="shared" si="0"/>
        <v>0</v>
      </c>
      <c r="H7" s="588">
        <f t="shared" si="29"/>
        <v>4287</v>
      </c>
      <c r="I7" s="396">
        <f t="shared" si="1"/>
        <v>0</v>
      </c>
      <c r="J7" s="66">
        <f t="shared" si="9"/>
        <v>0</v>
      </c>
      <c r="K7" s="588">
        <v>2220</v>
      </c>
      <c r="L7" s="52">
        <f t="shared" si="10"/>
        <v>2</v>
      </c>
      <c r="M7" s="588">
        <v>163181</v>
      </c>
      <c r="N7" s="396">
        <f t="shared" si="2"/>
        <v>163</v>
      </c>
      <c r="O7" s="64">
        <f t="shared" si="11"/>
        <v>1869</v>
      </c>
      <c r="P7" s="588">
        <v>1968</v>
      </c>
      <c r="Q7" s="588">
        <v>166462</v>
      </c>
      <c r="R7" s="395">
        <f t="shared" si="3"/>
        <v>91</v>
      </c>
      <c r="S7" s="52">
        <f t="shared" si="4"/>
        <v>2</v>
      </c>
      <c r="T7" s="67">
        <f t="shared" ref="T7:T32" si="30">SUM(S7*$T$2)</f>
        <v>0</v>
      </c>
      <c r="U7" s="402">
        <f t="shared" si="13"/>
        <v>4</v>
      </c>
      <c r="V7" s="62">
        <f t="shared" si="14"/>
        <v>254</v>
      </c>
      <c r="W7" s="400">
        <f t="shared" si="15"/>
        <v>63.5</v>
      </c>
      <c r="X7" s="588">
        <f t="shared" si="16"/>
        <v>2453</v>
      </c>
      <c r="Y7" s="52">
        <f t="shared" si="17"/>
        <v>0</v>
      </c>
      <c r="Z7" s="588">
        <f t="shared" si="16"/>
        <v>137950.70000000001</v>
      </c>
      <c r="AA7" s="65">
        <f t="shared" si="5"/>
        <v>0</v>
      </c>
      <c r="AB7" s="284">
        <f t="shared" ref="AB7:AB17" si="31">SUM(Y7*$AB$2)</f>
        <v>0</v>
      </c>
      <c r="AC7" s="588">
        <f t="shared" ref="AC7" si="32">AC6</f>
        <v>1934</v>
      </c>
      <c r="AD7" s="45">
        <f t="shared" si="6"/>
        <v>0</v>
      </c>
      <c r="AE7" s="588">
        <v>365352</v>
      </c>
      <c r="AF7" s="306">
        <f t="shared" si="19"/>
        <v>35</v>
      </c>
      <c r="AG7" s="209">
        <f t="shared" ref="AG7:AG32" si="33">IF(AD7&gt;0,AF7/AD7,0)</f>
        <v>0</v>
      </c>
      <c r="AH7" s="62">
        <f t="shared" ref="AH7:AH32" si="34">AF7+AA7</f>
        <v>35</v>
      </c>
      <c r="AI7" s="318">
        <f t="shared" si="20"/>
        <v>289</v>
      </c>
      <c r="AJ7" s="318">
        <f>-tanks!AW8</f>
        <v>289</v>
      </c>
      <c r="AK7" s="318">
        <f t="shared" si="21"/>
        <v>0</v>
      </c>
      <c r="AL7" s="318">
        <f t="shared" si="7"/>
        <v>4</v>
      </c>
      <c r="AM7" s="318">
        <f t="shared" si="22"/>
        <v>0</v>
      </c>
      <c r="AN7" s="588">
        <f t="shared" ref="AN7:AP7" si="35">AN6</f>
        <v>67</v>
      </c>
      <c r="AO7" s="320">
        <f t="shared" si="24"/>
        <v>2010.0000000000002</v>
      </c>
      <c r="AP7" s="588">
        <f t="shared" si="35"/>
        <v>55</v>
      </c>
      <c r="AQ7" s="320">
        <f t="shared" si="25"/>
        <v>1650.0000000000002</v>
      </c>
      <c r="AR7" s="588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44231</v>
      </c>
      <c r="B8" s="588">
        <v>221</v>
      </c>
      <c r="C8" s="588">
        <v>227</v>
      </c>
      <c r="D8" s="45">
        <f t="shared" si="28"/>
        <v>4</v>
      </c>
      <c r="E8" s="45">
        <f t="shared" si="8"/>
        <v>33.520000000000003</v>
      </c>
      <c r="F8" s="588">
        <v>1721</v>
      </c>
      <c r="G8" s="52">
        <f t="shared" si="0"/>
        <v>2</v>
      </c>
      <c r="H8" s="588">
        <v>4416</v>
      </c>
      <c r="I8" s="396">
        <f t="shared" si="1"/>
        <v>129</v>
      </c>
      <c r="J8" s="66">
        <f t="shared" si="9"/>
        <v>64.5</v>
      </c>
      <c r="K8" s="588">
        <f t="shared" ref="K8:M30" si="40">K7</f>
        <v>2220</v>
      </c>
      <c r="L8" s="52">
        <f t="shared" si="10"/>
        <v>0</v>
      </c>
      <c r="M8" s="588">
        <f t="shared" si="40"/>
        <v>163181</v>
      </c>
      <c r="N8" s="396">
        <f t="shared" si="2"/>
        <v>0</v>
      </c>
      <c r="O8" s="64">
        <f t="shared" si="11"/>
        <v>1869</v>
      </c>
      <c r="P8" s="588">
        <v>1970</v>
      </c>
      <c r="Q8" s="588">
        <v>166647</v>
      </c>
      <c r="R8" s="395">
        <f t="shared" si="3"/>
        <v>185</v>
      </c>
      <c r="S8" s="52">
        <f t="shared" si="4"/>
        <v>2</v>
      </c>
      <c r="T8" s="67">
        <f t="shared" si="30"/>
        <v>0</v>
      </c>
      <c r="U8" s="402">
        <f t="shared" si="13"/>
        <v>4</v>
      </c>
      <c r="V8" s="62">
        <f t="shared" si="14"/>
        <v>314</v>
      </c>
      <c r="W8" s="400">
        <f t="shared" si="15"/>
        <v>78.5</v>
      </c>
      <c r="X8" s="588">
        <f t="shared" si="16"/>
        <v>2453</v>
      </c>
      <c r="Y8" s="52">
        <f t="shared" si="17"/>
        <v>0</v>
      </c>
      <c r="Z8" s="588">
        <f t="shared" si="16"/>
        <v>137950.70000000001</v>
      </c>
      <c r="AA8" s="65">
        <f t="shared" si="5"/>
        <v>0</v>
      </c>
      <c r="AB8" s="284">
        <f t="shared" si="31"/>
        <v>0</v>
      </c>
      <c r="AC8" s="588">
        <f t="shared" ref="AC8:AE8" si="41">AC7</f>
        <v>1934</v>
      </c>
      <c r="AD8" s="45">
        <f t="shared" si="6"/>
        <v>0</v>
      </c>
      <c r="AE8" s="588">
        <f t="shared" si="41"/>
        <v>365352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314</v>
      </c>
      <c r="AJ8" s="318">
        <f>-tanks!AW9</f>
        <v>314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88">
        <f t="shared" ref="AN8:AP8" si="42">AN7</f>
        <v>67</v>
      </c>
      <c r="AO8" s="320">
        <f t="shared" si="24"/>
        <v>2010.0000000000002</v>
      </c>
      <c r="AP8" s="588">
        <f t="shared" si="42"/>
        <v>55</v>
      </c>
      <c r="AQ8" s="320">
        <f t="shared" si="25"/>
        <v>1650.0000000000002</v>
      </c>
      <c r="AR8" s="588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44232</v>
      </c>
      <c r="B9" s="588">
        <v>247</v>
      </c>
      <c r="C9" s="588">
        <v>252</v>
      </c>
      <c r="D9" s="45">
        <f t="shared" si="28"/>
        <v>-25</v>
      </c>
      <c r="E9" s="45">
        <f t="shared" si="8"/>
        <v>-209.50000000000003</v>
      </c>
      <c r="F9" s="588">
        <v>1724</v>
      </c>
      <c r="G9" s="52">
        <f t="shared" si="0"/>
        <v>3</v>
      </c>
      <c r="H9" s="588">
        <v>4626</v>
      </c>
      <c r="I9" s="396">
        <f t="shared" si="1"/>
        <v>210</v>
      </c>
      <c r="J9" s="66">
        <f t="shared" si="9"/>
        <v>70</v>
      </c>
      <c r="K9" s="588">
        <v>2222</v>
      </c>
      <c r="L9" s="52">
        <f t="shared" si="10"/>
        <v>2</v>
      </c>
      <c r="M9" s="588">
        <v>163362</v>
      </c>
      <c r="N9" s="396">
        <f t="shared" si="2"/>
        <v>181</v>
      </c>
      <c r="O9" s="64">
        <f t="shared" si="11"/>
        <v>1869</v>
      </c>
      <c r="P9" s="588">
        <f t="shared" si="11"/>
        <v>1970</v>
      </c>
      <c r="Q9" s="588">
        <f t="shared" ref="Q9" si="44">Q8</f>
        <v>166647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5</v>
      </c>
      <c r="V9" s="62">
        <f t="shared" si="14"/>
        <v>391</v>
      </c>
      <c r="W9" s="400">
        <f t="shared" si="15"/>
        <v>78.2</v>
      </c>
      <c r="X9" s="588">
        <f t="shared" si="16"/>
        <v>2453</v>
      </c>
      <c r="Y9" s="52">
        <f t="shared" si="17"/>
        <v>0</v>
      </c>
      <c r="Z9" s="588">
        <f t="shared" si="16"/>
        <v>137950.70000000001</v>
      </c>
      <c r="AA9" s="65">
        <f t="shared" si="5"/>
        <v>0</v>
      </c>
      <c r="AB9" s="284">
        <f t="shared" si="31"/>
        <v>0</v>
      </c>
      <c r="AC9" s="588">
        <v>1934</v>
      </c>
      <c r="AD9" s="45">
        <f t="shared" si="6"/>
        <v>0</v>
      </c>
      <c r="AE9" s="588">
        <f t="shared" ref="AE9" si="45">AE8</f>
        <v>365352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391</v>
      </c>
      <c r="AJ9" s="318">
        <f>-tanks!AW10</f>
        <v>391</v>
      </c>
      <c r="AK9" s="318">
        <f t="shared" si="21"/>
        <v>0</v>
      </c>
      <c r="AL9" s="318">
        <f t="shared" si="7"/>
        <v>5</v>
      </c>
      <c r="AM9" s="318">
        <f t="shared" si="22"/>
        <v>0</v>
      </c>
      <c r="AN9" s="588">
        <f t="shared" ref="AN9:AP9" si="46">AN8</f>
        <v>67</v>
      </c>
      <c r="AO9" s="320">
        <f t="shared" si="24"/>
        <v>2010.0000000000002</v>
      </c>
      <c r="AP9" s="588">
        <f t="shared" si="46"/>
        <v>55</v>
      </c>
      <c r="AQ9" s="320">
        <f t="shared" si="25"/>
        <v>1650.0000000000002</v>
      </c>
      <c r="AR9" s="588">
        <f t="shared" ref="AR9" si="47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44233</v>
      </c>
      <c r="B10" s="588">
        <v>244</v>
      </c>
      <c r="C10" s="588">
        <v>250</v>
      </c>
      <c r="D10" s="45">
        <f t="shared" si="28"/>
        <v>2</v>
      </c>
      <c r="E10" s="45">
        <f t="shared" si="8"/>
        <v>16.760000000000002</v>
      </c>
      <c r="F10" s="588">
        <f t="shared" si="29"/>
        <v>1724</v>
      </c>
      <c r="G10" s="52">
        <f t="shared" si="0"/>
        <v>0</v>
      </c>
      <c r="H10" s="588">
        <f t="shared" si="29"/>
        <v>4626</v>
      </c>
      <c r="I10" s="396">
        <f t="shared" si="1"/>
        <v>0</v>
      </c>
      <c r="J10" s="66">
        <f t="shared" si="9"/>
        <v>0</v>
      </c>
      <c r="K10" s="588">
        <v>2224</v>
      </c>
      <c r="L10" s="52">
        <f t="shared" si="10"/>
        <v>2</v>
      </c>
      <c r="M10" s="588">
        <v>163480</v>
      </c>
      <c r="N10" s="396">
        <f t="shared" si="2"/>
        <v>118</v>
      </c>
      <c r="O10" s="64">
        <f t="shared" si="11"/>
        <v>1869</v>
      </c>
      <c r="P10" s="588">
        <v>1973</v>
      </c>
      <c r="Q10" s="588">
        <v>166840</v>
      </c>
      <c r="R10" s="395">
        <f t="shared" si="3"/>
        <v>193</v>
      </c>
      <c r="S10" s="52">
        <f t="shared" si="4"/>
        <v>3</v>
      </c>
      <c r="T10" s="67">
        <f t="shared" si="30"/>
        <v>0</v>
      </c>
      <c r="U10" s="402">
        <f t="shared" si="13"/>
        <v>5</v>
      </c>
      <c r="V10" s="62">
        <f t="shared" si="14"/>
        <v>311</v>
      </c>
      <c r="W10" s="400">
        <f t="shared" si="15"/>
        <v>62.2</v>
      </c>
      <c r="X10" s="588">
        <f t="shared" si="16"/>
        <v>2453</v>
      </c>
      <c r="Y10" s="52">
        <f t="shared" si="17"/>
        <v>0</v>
      </c>
      <c r="Z10" s="588">
        <f t="shared" si="16"/>
        <v>137950.70000000001</v>
      </c>
      <c r="AA10" s="65">
        <f t="shared" si="5"/>
        <v>0</v>
      </c>
      <c r="AB10" s="284">
        <f t="shared" si="31"/>
        <v>0</v>
      </c>
      <c r="AC10" s="588">
        <f t="shared" ref="AC10:AE10" si="48">AC9</f>
        <v>1934</v>
      </c>
      <c r="AD10" s="45">
        <f t="shared" si="6"/>
        <v>0</v>
      </c>
      <c r="AE10" s="588">
        <f t="shared" si="48"/>
        <v>365352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311</v>
      </c>
      <c r="AJ10" s="318">
        <f>-tanks!AW11</f>
        <v>311</v>
      </c>
      <c r="AK10" s="318">
        <f t="shared" si="21"/>
        <v>0</v>
      </c>
      <c r="AL10" s="318">
        <f t="shared" si="7"/>
        <v>5</v>
      </c>
      <c r="AM10" s="318">
        <f t="shared" si="22"/>
        <v>0</v>
      </c>
      <c r="AN10" s="588">
        <f t="shared" ref="AN10:AP10" si="49">AN9</f>
        <v>67</v>
      </c>
      <c r="AO10" s="320">
        <f t="shared" si="24"/>
        <v>2010.0000000000002</v>
      </c>
      <c r="AP10" s="588">
        <f t="shared" si="49"/>
        <v>55</v>
      </c>
      <c r="AQ10" s="320">
        <f t="shared" si="25"/>
        <v>1650.0000000000002</v>
      </c>
      <c r="AR10" s="588">
        <f t="shared" ref="AR10" si="50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44234</v>
      </c>
      <c r="B11" s="588">
        <v>240</v>
      </c>
      <c r="C11" s="588">
        <v>246</v>
      </c>
      <c r="D11" s="45">
        <f t="shared" si="28"/>
        <v>4</v>
      </c>
      <c r="E11" s="45">
        <f t="shared" si="8"/>
        <v>33.520000000000003</v>
      </c>
      <c r="F11" s="588">
        <v>1725</v>
      </c>
      <c r="G11" s="52">
        <f t="shared" si="0"/>
        <v>1</v>
      </c>
      <c r="H11" s="588">
        <v>4721</v>
      </c>
      <c r="I11" s="396">
        <f t="shared" si="1"/>
        <v>95</v>
      </c>
      <c r="J11" s="66">
        <f t="shared" si="9"/>
        <v>95</v>
      </c>
      <c r="K11" s="588">
        <f t="shared" si="40"/>
        <v>2224</v>
      </c>
      <c r="L11" s="52">
        <f t="shared" si="10"/>
        <v>0</v>
      </c>
      <c r="M11" s="588">
        <f t="shared" si="40"/>
        <v>163480</v>
      </c>
      <c r="N11" s="396">
        <f t="shared" si="2"/>
        <v>0</v>
      </c>
      <c r="O11" s="64">
        <f t="shared" si="11"/>
        <v>1869</v>
      </c>
      <c r="P11" s="588">
        <v>1975</v>
      </c>
      <c r="Q11" s="588">
        <v>167024</v>
      </c>
      <c r="R11" s="395">
        <f t="shared" ref="R11:R32" si="51">Q11-Q10</f>
        <v>184</v>
      </c>
      <c r="S11" s="52">
        <f t="shared" si="4"/>
        <v>2</v>
      </c>
      <c r="T11" s="67">
        <f t="shared" si="30"/>
        <v>0</v>
      </c>
      <c r="U11" s="402">
        <f t="shared" si="13"/>
        <v>3</v>
      </c>
      <c r="V11" s="62">
        <f t="shared" si="14"/>
        <v>279</v>
      </c>
      <c r="W11" s="400">
        <f t="shared" si="15"/>
        <v>93</v>
      </c>
      <c r="X11" s="588">
        <f t="shared" si="16"/>
        <v>2453</v>
      </c>
      <c r="Y11" s="52">
        <f t="shared" si="17"/>
        <v>0</v>
      </c>
      <c r="Z11" s="588">
        <f t="shared" si="16"/>
        <v>137950.70000000001</v>
      </c>
      <c r="AA11" s="65">
        <f t="shared" si="5"/>
        <v>0</v>
      </c>
      <c r="AB11" s="284">
        <f t="shared" si="31"/>
        <v>0</v>
      </c>
      <c r="AC11" s="588">
        <f t="shared" ref="AC11:AE11" si="52">AC10</f>
        <v>1934</v>
      </c>
      <c r="AD11" s="45">
        <f t="shared" si="6"/>
        <v>0</v>
      </c>
      <c r="AE11" s="588">
        <f t="shared" si="52"/>
        <v>365352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279</v>
      </c>
      <c r="AJ11" s="318">
        <f>-tanks!AW12</f>
        <v>279</v>
      </c>
      <c r="AK11" s="318">
        <f t="shared" si="21"/>
        <v>0</v>
      </c>
      <c r="AL11" s="318">
        <f t="shared" si="7"/>
        <v>3</v>
      </c>
      <c r="AM11" s="318">
        <f t="shared" si="22"/>
        <v>0</v>
      </c>
      <c r="AN11" s="588">
        <f t="shared" ref="AN11:AP11" si="53">AN10</f>
        <v>67</v>
      </c>
      <c r="AO11" s="320">
        <f t="shared" si="24"/>
        <v>2010.0000000000002</v>
      </c>
      <c r="AP11" s="588">
        <f t="shared" si="53"/>
        <v>55</v>
      </c>
      <c r="AQ11" s="320">
        <f t="shared" si="25"/>
        <v>1650.0000000000002</v>
      </c>
      <c r="AR11" s="588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44235</v>
      </c>
      <c r="B12" s="588">
        <v>237</v>
      </c>
      <c r="C12" s="588">
        <v>243</v>
      </c>
      <c r="D12" s="45">
        <f t="shared" si="28"/>
        <v>3</v>
      </c>
      <c r="E12" s="45">
        <f t="shared" si="8"/>
        <v>25.14</v>
      </c>
      <c r="F12" s="588">
        <v>1727</v>
      </c>
      <c r="G12" s="52">
        <f t="shared" si="0"/>
        <v>2</v>
      </c>
      <c r="H12" s="588">
        <v>4872</v>
      </c>
      <c r="I12" s="396">
        <f t="shared" si="1"/>
        <v>151</v>
      </c>
      <c r="J12" s="66">
        <f t="shared" si="9"/>
        <v>75.5</v>
      </c>
      <c r="K12" s="588">
        <v>2225</v>
      </c>
      <c r="L12" s="52">
        <f t="shared" si="10"/>
        <v>1</v>
      </c>
      <c r="M12" s="588">
        <v>163585</v>
      </c>
      <c r="N12" s="396">
        <f t="shared" si="2"/>
        <v>105</v>
      </c>
      <c r="O12" s="64">
        <f t="shared" si="11"/>
        <v>1869</v>
      </c>
      <c r="P12" s="588">
        <f t="shared" si="11"/>
        <v>1975</v>
      </c>
      <c r="Q12" s="588">
        <f t="shared" ref="Q12" si="55">Q11</f>
        <v>167024</v>
      </c>
      <c r="R12" s="395">
        <f t="shared" si="51"/>
        <v>0</v>
      </c>
      <c r="S12" s="52">
        <f t="shared" si="4"/>
        <v>0</v>
      </c>
      <c r="T12" s="67">
        <f t="shared" si="30"/>
        <v>0</v>
      </c>
      <c r="U12" s="402">
        <f t="shared" si="13"/>
        <v>3</v>
      </c>
      <c r="V12" s="62">
        <f t="shared" si="14"/>
        <v>256</v>
      </c>
      <c r="W12" s="400">
        <f t="shared" si="15"/>
        <v>85.333333333333329</v>
      </c>
      <c r="X12" s="588">
        <v>2454</v>
      </c>
      <c r="Y12" s="52">
        <f t="shared" si="17"/>
        <v>1</v>
      </c>
      <c r="Z12" s="588">
        <v>138028.1</v>
      </c>
      <c r="AA12" s="65">
        <f t="shared" si="5"/>
        <v>77.399999999994179</v>
      </c>
      <c r="AB12" s="284">
        <f t="shared" si="31"/>
        <v>0</v>
      </c>
      <c r="AC12" s="588">
        <f t="shared" ref="AC12:AE12" si="56">AC11</f>
        <v>1934</v>
      </c>
      <c r="AD12" s="45">
        <f t="shared" si="6"/>
        <v>0</v>
      </c>
      <c r="AE12" s="588">
        <f t="shared" si="56"/>
        <v>365352</v>
      </c>
      <c r="AF12" s="306">
        <f t="shared" si="19"/>
        <v>0</v>
      </c>
      <c r="AG12" s="209">
        <f t="shared" si="33"/>
        <v>0</v>
      </c>
      <c r="AH12" s="62">
        <f t="shared" si="34"/>
        <v>77.399999999994179</v>
      </c>
      <c r="AI12" s="318">
        <f t="shared" si="20"/>
        <v>333.39999999999418</v>
      </c>
      <c r="AJ12" s="318">
        <f>-tanks!AW13</f>
        <v>333.39999999999418</v>
      </c>
      <c r="AK12" s="318">
        <f t="shared" si="21"/>
        <v>0</v>
      </c>
      <c r="AL12" s="318">
        <f t="shared" si="7"/>
        <v>3</v>
      </c>
      <c r="AM12" s="318">
        <f t="shared" si="22"/>
        <v>1</v>
      </c>
      <c r="AN12" s="588">
        <f t="shared" ref="AN12:AP12" si="57">AN11</f>
        <v>67</v>
      </c>
      <c r="AO12" s="320">
        <f t="shared" si="24"/>
        <v>2010.0000000000002</v>
      </c>
      <c r="AP12" s="588">
        <f t="shared" si="57"/>
        <v>55</v>
      </c>
      <c r="AQ12" s="320">
        <f t="shared" si="25"/>
        <v>1650.0000000000002</v>
      </c>
      <c r="AR12" s="588">
        <f t="shared" ref="AR12" si="58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44236</v>
      </c>
      <c r="B13" s="588">
        <v>233</v>
      </c>
      <c r="C13" s="588">
        <v>239</v>
      </c>
      <c r="D13" s="45">
        <f t="shared" si="28"/>
        <v>4</v>
      </c>
      <c r="E13" s="45">
        <f t="shared" si="8"/>
        <v>33.520000000000003</v>
      </c>
      <c r="F13" s="588">
        <f t="shared" si="29"/>
        <v>1727</v>
      </c>
      <c r="G13" s="52">
        <f t="shared" si="0"/>
        <v>0</v>
      </c>
      <c r="H13" s="588">
        <f t="shared" si="29"/>
        <v>4872</v>
      </c>
      <c r="I13" s="396">
        <f t="shared" si="1"/>
        <v>0</v>
      </c>
      <c r="J13" s="66">
        <f t="shared" si="9"/>
        <v>0</v>
      </c>
      <c r="K13" s="588">
        <v>2227</v>
      </c>
      <c r="L13" s="52">
        <f t="shared" si="10"/>
        <v>2</v>
      </c>
      <c r="M13" s="588">
        <v>163735</v>
      </c>
      <c r="N13" s="396">
        <f t="shared" si="2"/>
        <v>150</v>
      </c>
      <c r="O13" s="64">
        <f t="shared" si="11"/>
        <v>1869</v>
      </c>
      <c r="P13" s="588">
        <v>1976</v>
      </c>
      <c r="Q13" s="588">
        <v>167110</v>
      </c>
      <c r="R13" s="395">
        <f t="shared" si="51"/>
        <v>86</v>
      </c>
      <c r="S13" s="52">
        <f t="shared" si="4"/>
        <v>1</v>
      </c>
      <c r="T13" s="67">
        <f t="shared" si="30"/>
        <v>0</v>
      </c>
      <c r="U13" s="402">
        <f t="shared" si="13"/>
        <v>3</v>
      </c>
      <c r="V13" s="62">
        <f>R13+N13+I13:I13</f>
        <v>236</v>
      </c>
      <c r="W13" s="400">
        <f t="shared" si="15"/>
        <v>78.666666666666671</v>
      </c>
      <c r="X13" s="588">
        <f t="shared" si="16"/>
        <v>2454</v>
      </c>
      <c r="Y13" s="52">
        <f t="shared" si="17"/>
        <v>0</v>
      </c>
      <c r="Z13" s="588">
        <f t="shared" si="16"/>
        <v>138028.1</v>
      </c>
      <c r="AA13" s="284">
        <f t="shared" si="5"/>
        <v>0</v>
      </c>
      <c r="AB13" s="284">
        <f t="shared" si="31"/>
        <v>0</v>
      </c>
      <c r="AC13" s="588">
        <f t="shared" ref="AC13:AE13" si="59">AC12</f>
        <v>1934</v>
      </c>
      <c r="AD13" s="45">
        <f t="shared" si="6"/>
        <v>0</v>
      </c>
      <c r="AE13" s="588">
        <f t="shared" si="59"/>
        <v>365352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236</v>
      </c>
      <c r="AJ13" s="318">
        <f>-tanks!AW14</f>
        <v>236</v>
      </c>
      <c r="AK13" s="318">
        <f t="shared" si="21"/>
        <v>0</v>
      </c>
      <c r="AL13" s="318">
        <f t="shared" si="7"/>
        <v>3</v>
      </c>
      <c r="AM13" s="318">
        <f t="shared" si="22"/>
        <v>0</v>
      </c>
      <c r="AN13" s="588">
        <f t="shared" ref="AN13:AP13" si="60">AN12</f>
        <v>67</v>
      </c>
      <c r="AO13" s="320">
        <f t="shared" si="24"/>
        <v>2010.0000000000002</v>
      </c>
      <c r="AP13" s="588">
        <f t="shared" si="60"/>
        <v>55</v>
      </c>
      <c r="AQ13" s="320">
        <f t="shared" si="25"/>
        <v>1650.0000000000002</v>
      </c>
      <c r="AR13" s="588">
        <f t="shared" ref="AR13" si="61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44237</v>
      </c>
      <c r="B14" s="588">
        <v>227</v>
      </c>
      <c r="C14" s="588">
        <v>233</v>
      </c>
      <c r="D14" s="45">
        <f t="shared" si="28"/>
        <v>6</v>
      </c>
      <c r="E14" s="45">
        <f t="shared" si="8"/>
        <v>50.28</v>
      </c>
      <c r="F14" s="588">
        <v>1728</v>
      </c>
      <c r="G14" s="52">
        <f t="shared" si="0"/>
        <v>1</v>
      </c>
      <c r="H14" s="588">
        <v>4957</v>
      </c>
      <c r="I14" s="396">
        <f t="shared" si="1"/>
        <v>85</v>
      </c>
      <c r="J14" s="66">
        <f t="shared" si="9"/>
        <v>85</v>
      </c>
      <c r="K14" s="588">
        <f t="shared" si="40"/>
        <v>2227</v>
      </c>
      <c r="L14" s="52">
        <f t="shared" si="10"/>
        <v>0</v>
      </c>
      <c r="M14" s="588">
        <f t="shared" si="40"/>
        <v>163735</v>
      </c>
      <c r="N14" s="396">
        <f t="shared" si="2"/>
        <v>0</v>
      </c>
      <c r="O14" s="64">
        <f t="shared" si="11"/>
        <v>1869</v>
      </c>
      <c r="P14" s="588">
        <v>1978</v>
      </c>
      <c r="Q14" s="588">
        <v>167261</v>
      </c>
      <c r="R14" s="395">
        <f t="shared" si="51"/>
        <v>151</v>
      </c>
      <c r="S14" s="52">
        <f t="shared" si="4"/>
        <v>2</v>
      </c>
      <c r="T14" s="67">
        <f t="shared" si="30"/>
        <v>0</v>
      </c>
      <c r="U14" s="402">
        <f t="shared" si="13"/>
        <v>3</v>
      </c>
      <c r="V14" s="62">
        <f t="shared" si="14"/>
        <v>236</v>
      </c>
      <c r="W14" s="400">
        <f t="shared" si="15"/>
        <v>78.666666666666671</v>
      </c>
      <c r="X14" s="588">
        <f t="shared" si="16"/>
        <v>2454</v>
      </c>
      <c r="Y14" s="52">
        <f t="shared" si="17"/>
        <v>0</v>
      </c>
      <c r="Z14" s="588">
        <f t="shared" si="16"/>
        <v>138028.1</v>
      </c>
      <c r="AA14" s="65">
        <f t="shared" si="5"/>
        <v>0</v>
      </c>
      <c r="AB14" s="284">
        <f t="shared" si="31"/>
        <v>0</v>
      </c>
      <c r="AC14" s="588">
        <f t="shared" ref="AC14:AE14" si="62">AC13</f>
        <v>1934</v>
      </c>
      <c r="AD14" s="45">
        <f t="shared" si="6"/>
        <v>0</v>
      </c>
      <c r="AE14" s="588">
        <f t="shared" si="62"/>
        <v>365352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236</v>
      </c>
      <c r="AJ14" s="318">
        <f>-tanks!AW15</f>
        <v>236</v>
      </c>
      <c r="AK14" s="318">
        <f t="shared" si="21"/>
        <v>0</v>
      </c>
      <c r="AL14" s="318">
        <f t="shared" si="7"/>
        <v>3</v>
      </c>
      <c r="AM14" s="318">
        <f t="shared" si="22"/>
        <v>0</v>
      </c>
      <c r="AN14" s="588">
        <f t="shared" ref="AN14:AP14" si="63">AN13</f>
        <v>67</v>
      </c>
      <c r="AO14" s="320">
        <f t="shared" si="24"/>
        <v>2010.0000000000002</v>
      </c>
      <c r="AP14" s="588">
        <f t="shared" si="63"/>
        <v>55</v>
      </c>
      <c r="AQ14" s="320">
        <f t="shared" si="25"/>
        <v>1650.0000000000002</v>
      </c>
      <c r="AR14" s="588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44238</v>
      </c>
      <c r="B15" s="588">
        <v>222</v>
      </c>
      <c r="C15" s="588">
        <v>228</v>
      </c>
      <c r="D15" s="45">
        <f t="shared" si="28"/>
        <v>5</v>
      </c>
      <c r="E15" s="45">
        <f t="shared" si="8"/>
        <v>41.900000000000006</v>
      </c>
      <c r="F15" s="588">
        <v>1731</v>
      </c>
      <c r="G15" s="52">
        <f t="shared" si="0"/>
        <v>3</v>
      </c>
      <c r="H15" s="588">
        <v>5125</v>
      </c>
      <c r="I15" s="396">
        <f t="shared" si="1"/>
        <v>168</v>
      </c>
      <c r="J15" s="66">
        <f t="shared" si="9"/>
        <v>56</v>
      </c>
      <c r="K15" s="588">
        <v>2228</v>
      </c>
      <c r="L15" s="52">
        <f t="shared" si="10"/>
        <v>1</v>
      </c>
      <c r="M15" s="588">
        <v>163820</v>
      </c>
      <c r="N15" s="396">
        <f t="shared" si="2"/>
        <v>85</v>
      </c>
      <c r="O15" s="64">
        <f t="shared" si="11"/>
        <v>1869</v>
      </c>
      <c r="P15" s="588">
        <f t="shared" si="11"/>
        <v>1978</v>
      </c>
      <c r="Q15" s="588">
        <f t="shared" ref="Q15" si="65">Q14</f>
        <v>167261</v>
      </c>
      <c r="R15" s="395">
        <f t="shared" si="51"/>
        <v>0</v>
      </c>
      <c r="S15" s="52">
        <f t="shared" si="4"/>
        <v>0</v>
      </c>
      <c r="T15" s="67">
        <f t="shared" si="30"/>
        <v>0</v>
      </c>
      <c r="U15" s="402">
        <f t="shared" si="13"/>
        <v>4</v>
      </c>
      <c r="V15" s="62">
        <f t="shared" si="14"/>
        <v>253</v>
      </c>
      <c r="W15" s="400">
        <f t="shared" si="15"/>
        <v>63.25</v>
      </c>
      <c r="X15" s="588">
        <f t="shared" si="16"/>
        <v>2454</v>
      </c>
      <c r="Y15" s="52">
        <f t="shared" si="17"/>
        <v>0</v>
      </c>
      <c r="Z15" s="588">
        <f t="shared" si="16"/>
        <v>138028.1</v>
      </c>
      <c r="AA15" s="65">
        <f t="shared" si="5"/>
        <v>0</v>
      </c>
      <c r="AB15" s="284">
        <f t="shared" si="31"/>
        <v>0</v>
      </c>
      <c r="AC15" s="588">
        <f t="shared" ref="AC15:AE15" si="66">AC14</f>
        <v>1934</v>
      </c>
      <c r="AD15" s="45">
        <f t="shared" si="6"/>
        <v>0</v>
      </c>
      <c r="AE15" s="588">
        <f t="shared" si="66"/>
        <v>365352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253</v>
      </c>
      <c r="AJ15" s="318">
        <f>-tanks!AW16</f>
        <v>253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88">
        <f t="shared" ref="AN15:AP15" si="67">AN14</f>
        <v>67</v>
      </c>
      <c r="AO15" s="320">
        <f t="shared" si="24"/>
        <v>2010.0000000000002</v>
      </c>
      <c r="AP15" s="588">
        <f t="shared" si="67"/>
        <v>55</v>
      </c>
      <c r="AQ15" s="320">
        <f t="shared" si="25"/>
        <v>1650.0000000000002</v>
      </c>
      <c r="AR15" s="588">
        <f t="shared" ref="AR15" si="68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44239</v>
      </c>
      <c r="B16" s="588">
        <v>219</v>
      </c>
      <c r="C16" s="588">
        <v>224</v>
      </c>
      <c r="D16" s="45">
        <f t="shared" si="28"/>
        <v>4</v>
      </c>
      <c r="E16" s="45">
        <f t="shared" si="8"/>
        <v>33.520000000000003</v>
      </c>
      <c r="F16" s="588">
        <v>1731</v>
      </c>
      <c r="G16" s="52">
        <f t="shared" si="0"/>
        <v>0</v>
      </c>
      <c r="H16" s="588">
        <f t="shared" si="29"/>
        <v>5125</v>
      </c>
      <c r="I16" s="396">
        <f t="shared" si="1"/>
        <v>0</v>
      </c>
      <c r="J16" s="66">
        <f t="shared" si="9"/>
        <v>0</v>
      </c>
      <c r="K16" s="588">
        <v>2230</v>
      </c>
      <c r="L16" s="52">
        <f t="shared" si="10"/>
        <v>2</v>
      </c>
      <c r="M16" s="588">
        <v>163965</v>
      </c>
      <c r="N16" s="396">
        <f t="shared" si="2"/>
        <v>145</v>
      </c>
      <c r="O16" s="64">
        <f t="shared" si="11"/>
        <v>1869</v>
      </c>
      <c r="P16" s="588">
        <v>1979</v>
      </c>
      <c r="Q16" s="588">
        <v>167350</v>
      </c>
      <c r="R16" s="395">
        <f t="shared" si="51"/>
        <v>89</v>
      </c>
      <c r="S16" s="52">
        <f t="shared" si="4"/>
        <v>1</v>
      </c>
      <c r="T16" s="67">
        <f t="shared" si="30"/>
        <v>0</v>
      </c>
      <c r="U16" s="402">
        <f t="shared" si="13"/>
        <v>3</v>
      </c>
      <c r="V16" s="62">
        <f t="shared" si="14"/>
        <v>234</v>
      </c>
      <c r="W16" s="400">
        <f t="shared" si="15"/>
        <v>78</v>
      </c>
      <c r="X16" s="588">
        <f t="shared" si="16"/>
        <v>2454</v>
      </c>
      <c r="Y16" s="52">
        <f t="shared" si="17"/>
        <v>0</v>
      </c>
      <c r="Z16" s="588">
        <f t="shared" si="16"/>
        <v>138028.1</v>
      </c>
      <c r="AA16" s="65">
        <f t="shared" si="5"/>
        <v>0</v>
      </c>
      <c r="AB16" s="284">
        <f t="shared" si="31"/>
        <v>0</v>
      </c>
      <c r="AC16" s="588">
        <f t="shared" ref="AC16:AE16" si="69">AC15</f>
        <v>1934</v>
      </c>
      <c r="AD16" s="45">
        <f t="shared" si="6"/>
        <v>0</v>
      </c>
      <c r="AE16" s="588">
        <f t="shared" si="69"/>
        <v>365352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234</v>
      </c>
      <c r="AJ16" s="318">
        <f>-tanks!AW17</f>
        <v>234</v>
      </c>
      <c r="AK16" s="318">
        <f t="shared" si="21"/>
        <v>0</v>
      </c>
      <c r="AL16" s="318">
        <f t="shared" si="7"/>
        <v>3</v>
      </c>
      <c r="AM16" s="318">
        <f t="shared" si="22"/>
        <v>0</v>
      </c>
      <c r="AN16" s="588">
        <f t="shared" ref="AN16:AP16" si="70">AN15</f>
        <v>67</v>
      </c>
      <c r="AO16" s="320">
        <f t="shared" si="24"/>
        <v>2010.0000000000002</v>
      </c>
      <c r="AP16" s="588">
        <f t="shared" si="70"/>
        <v>55</v>
      </c>
      <c r="AQ16" s="320">
        <f t="shared" si="25"/>
        <v>1650.0000000000002</v>
      </c>
      <c r="AR16" s="588">
        <f t="shared" ref="AR16" si="71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44240</v>
      </c>
      <c r="B17" s="588">
        <v>214</v>
      </c>
      <c r="C17" s="588">
        <v>219</v>
      </c>
      <c r="D17" s="45">
        <f t="shared" si="28"/>
        <v>5</v>
      </c>
      <c r="E17" s="45">
        <f t="shared" si="8"/>
        <v>41.900000000000006</v>
      </c>
      <c r="F17" s="588">
        <v>1732</v>
      </c>
      <c r="G17" s="52">
        <f t="shared" si="0"/>
        <v>1</v>
      </c>
      <c r="H17" s="588">
        <v>5194</v>
      </c>
      <c r="I17" s="396">
        <f t="shared" si="1"/>
        <v>69</v>
      </c>
      <c r="J17" s="66">
        <f t="shared" si="9"/>
        <v>69</v>
      </c>
      <c r="K17" s="588">
        <f t="shared" si="40"/>
        <v>2230</v>
      </c>
      <c r="L17" s="52">
        <f t="shared" si="10"/>
        <v>0</v>
      </c>
      <c r="M17" s="588">
        <f t="shared" si="40"/>
        <v>163965</v>
      </c>
      <c r="N17" s="396">
        <f t="shared" si="2"/>
        <v>0</v>
      </c>
      <c r="O17" s="64">
        <f t="shared" si="11"/>
        <v>1869</v>
      </c>
      <c r="P17" s="588">
        <v>1982</v>
      </c>
      <c r="Q17" s="588">
        <v>167562</v>
      </c>
      <c r="R17" s="395">
        <f t="shared" si="51"/>
        <v>212</v>
      </c>
      <c r="S17" s="52">
        <f t="shared" si="4"/>
        <v>3</v>
      </c>
      <c r="T17" s="67">
        <f t="shared" si="30"/>
        <v>0</v>
      </c>
      <c r="U17" s="402">
        <f t="shared" si="13"/>
        <v>4</v>
      </c>
      <c r="V17" s="62">
        <f t="shared" si="14"/>
        <v>281</v>
      </c>
      <c r="W17" s="400"/>
      <c r="X17" s="588">
        <v>2454</v>
      </c>
      <c r="Y17" s="52">
        <f t="shared" si="17"/>
        <v>0</v>
      </c>
      <c r="Z17" s="588">
        <f t="shared" si="16"/>
        <v>138028.1</v>
      </c>
      <c r="AA17" s="65">
        <f t="shared" si="5"/>
        <v>0</v>
      </c>
      <c r="AB17" s="284">
        <f t="shared" si="31"/>
        <v>0</v>
      </c>
      <c r="AC17" s="588">
        <f t="shared" ref="AC17:AE17" si="72">AC16</f>
        <v>1934</v>
      </c>
      <c r="AD17" s="45">
        <f t="shared" si="6"/>
        <v>0</v>
      </c>
      <c r="AE17" s="588">
        <f t="shared" si="72"/>
        <v>365352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281</v>
      </c>
      <c r="AJ17" s="318">
        <f>-tanks!AW18</f>
        <v>281</v>
      </c>
      <c r="AK17" s="318">
        <f t="shared" si="21"/>
        <v>0</v>
      </c>
      <c r="AL17" s="318">
        <f t="shared" si="7"/>
        <v>4</v>
      </c>
      <c r="AM17" s="318">
        <f t="shared" si="22"/>
        <v>0</v>
      </c>
      <c r="AN17" s="588">
        <f t="shared" ref="AN17:AP17" si="73">AN16</f>
        <v>67</v>
      </c>
      <c r="AO17" s="320">
        <f t="shared" si="24"/>
        <v>2010.0000000000002</v>
      </c>
      <c r="AP17" s="588">
        <f t="shared" si="73"/>
        <v>55</v>
      </c>
      <c r="AQ17" s="320">
        <f t="shared" si="25"/>
        <v>1650.0000000000002</v>
      </c>
      <c r="AR17" s="588">
        <f t="shared" ref="AR17" si="74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44241</v>
      </c>
      <c r="B18" s="588">
        <v>208</v>
      </c>
      <c r="C18" s="588">
        <v>215</v>
      </c>
      <c r="D18" s="45">
        <f t="shared" si="28"/>
        <v>4</v>
      </c>
      <c r="E18" s="45">
        <f t="shared" si="8"/>
        <v>33.520000000000003</v>
      </c>
      <c r="F18" s="588">
        <v>1734</v>
      </c>
      <c r="G18" s="52">
        <f t="shared" si="0"/>
        <v>2</v>
      </c>
      <c r="H18" s="588">
        <v>5345</v>
      </c>
      <c r="I18" s="396">
        <f t="shared" si="1"/>
        <v>151</v>
      </c>
      <c r="J18" s="66">
        <f t="shared" si="9"/>
        <v>75.5</v>
      </c>
      <c r="K18" s="588">
        <v>2231</v>
      </c>
      <c r="L18" s="52">
        <f t="shared" si="10"/>
        <v>1</v>
      </c>
      <c r="M18" s="588">
        <v>164081</v>
      </c>
      <c r="N18" s="396">
        <f t="shared" si="2"/>
        <v>116</v>
      </c>
      <c r="O18" s="64">
        <v>1869</v>
      </c>
      <c r="P18" s="588">
        <f t="shared" si="11"/>
        <v>1982</v>
      </c>
      <c r="Q18" s="588">
        <f t="shared" ref="Q18" si="75">Q17</f>
        <v>167562</v>
      </c>
      <c r="R18" s="395">
        <f t="shared" si="51"/>
        <v>0</v>
      </c>
      <c r="S18" s="52">
        <f t="shared" si="4"/>
        <v>0</v>
      </c>
      <c r="T18" s="67">
        <f t="shared" si="30"/>
        <v>0</v>
      </c>
      <c r="U18" s="402">
        <f t="shared" si="13"/>
        <v>3</v>
      </c>
      <c r="V18" s="62">
        <f t="shared" si="14"/>
        <v>267</v>
      </c>
      <c r="W18" s="400"/>
      <c r="X18" s="588">
        <f t="shared" si="16"/>
        <v>2454</v>
      </c>
      <c r="Y18" s="52">
        <f t="shared" si="17"/>
        <v>0</v>
      </c>
      <c r="Z18" s="588">
        <f t="shared" si="16"/>
        <v>138028.1</v>
      </c>
      <c r="AA18" s="65">
        <f t="shared" si="5"/>
        <v>0</v>
      </c>
      <c r="AB18" s="284">
        <f t="shared" ref="AB18:AB23" si="76">SUM(Y18*$AB$2)</f>
        <v>0</v>
      </c>
      <c r="AC18" s="588">
        <f t="shared" ref="AC18:AE18" si="77">AC17</f>
        <v>1934</v>
      </c>
      <c r="AD18" s="45">
        <f t="shared" si="6"/>
        <v>0</v>
      </c>
      <c r="AE18" s="588">
        <f t="shared" si="77"/>
        <v>365352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267</v>
      </c>
      <c r="AJ18" s="318">
        <f>-tanks!AW19</f>
        <v>267</v>
      </c>
      <c r="AK18" s="318">
        <f t="shared" si="21"/>
        <v>0</v>
      </c>
      <c r="AL18" s="318">
        <f t="shared" si="7"/>
        <v>3</v>
      </c>
      <c r="AM18" s="318">
        <f t="shared" si="22"/>
        <v>0</v>
      </c>
      <c r="AN18" s="588">
        <f t="shared" ref="AN18:AP18" si="78">AN17</f>
        <v>67</v>
      </c>
      <c r="AO18" s="320">
        <f t="shared" si="24"/>
        <v>2010.0000000000002</v>
      </c>
      <c r="AP18" s="588">
        <f t="shared" si="78"/>
        <v>55</v>
      </c>
      <c r="AQ18" s="320">
        <f t="shared" si="25"/>
        <v>1650.0000000000002</v>
      </c>
      <c r="AR18" s="588">
        <f t="shared" ref="AR18" si="79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44242</v>
      </c>
      <c r="B19" s="588">
        <v>204</v>
      </c>
      <c r="C19" s="588">
        <v>210</v>
      </c>
      <c r="D19" s="45">
        <f t="shared" si="28"/>
        <v>5</v>
      </c>
      <c r="E19" s="45">
        <f t="shared" si="8"/>
        <v>41.900000000000006</v>
      </c>
      <c r="F19" s="588">
        <f t="shared" si="29"/>
        <v>1734</v>
      </c>
      <c r="G19" s="52">
        <f t="shared" si="0"/>
        <v>0</v>
      </c>
      <c r="H19" s="588">
        <f t="shared" si="29"/>
        <v>5345</v>
      </c>
      <c r="I19" s="396">
        <f t="shared" si="1"/>
        <v>0</v>
      </c>
      <c r="J19" s="66">
        <f t="shared" si="9"/>
        <v>0</v>
      </c>
      <c r="K19" s="588">
        <v>2233</v>
      </c>
      <c r="L19" s="52">
        <f t="shared" si="10"/>
        <v>2</v>
      </c>
      <c r="M19" s="588">
        <v>164223</v>
      </c>
      <c r="N19" s="396">
        <f t="shared" si="2"/>
        <v>142</v>
      </c>
      <c r="O19" s="64">
        <f t="shared" si="11"/>
        <v>1869</v>
      </c>
      <c r="P19" s="588">
        <v>1983</v>
      </c>
      <c r="Q19" s="588">
        <v>167637</v>
      </c>
      <c r="R19" s="395">
        <f t="shared" si="51"/>
        <v>75</v>
      </c>
      <c r="S19" s="52">
        <f t="shared" si="4"/>
        <v>1</v>
      </c>
      <c r="T19" s="67">
        <f t="shared" si="30"/>
        <v>0</v>
      </c>
      <c r="U19" s="402">
        <f t="shared" si="13"/>
        <v>3</v>
      </c>
      <c r="V19" s="62">
        <f t="shared" si="14"/>
        <v>217</v>
      </c>
      <c r="W19" s="400"/>
      <c r="X19" s="588">
        <f t="shared" si="16"/>
        <v>2454</v>
      </c>
      <c r="Y19" s="52">
        <f t="shared" si="17"/>
        <v>0</v>
      </c>
      <c r="Z19" s="588">
        <f t="shared" si="16"/>
        <v>138028.1</v>
      </c>
      <c r="AA19" s="65">
        <f t="shared" si="5"/>
        <v>0</v>
      </c>
      <c r="AB19" s="284">
        <f t="shared" si="76"/>
        <v>0</v>
      </c>
      <c r="AC19" s="588">
        <f t="shared" ref="AC19:AE19" si="80">AC18</f>
        <v>1934</v>
      </c>
      <c r="AD19" s="45">
        <f t="shared" si="6"/>
        <v>0</v>
      </c>
      <c r="AE19" s="588">
        <f t="shared" si="80"/>
        <v>365352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217</v>
      </c>
      <c r="AJ19" s="318">
        <f>-tanks!AW20</f>
        <v>217</v>
      </c>
      <c r="AK19" s="318">
        <f t="shared" si="21"/>
        <v>0</v>
      </c>
      <c r="AL19" s="318">
        <f t="shared" si="7"/>
        <v>3</v>
      </c>
      <c r="AM19" s="318">
        <f t="shared" si="22"/>
        <v>0</v>
      </c>
      <c r="AN19" s="588">
        <f t="shared" ref="AN19:AP19" si="81">AN18</f>
        <v>67</v>
      </c>
      <c r="AO19" s="320">
        <f t="shared" si="24"/>
        <v>2010.0000000000002</v>
      </c>
      <c r="AP19" s="588">
        <f t="shared" si="81"/>
        <v>55</v>
      </c>
      <c r="AQ19" s="320">
        <f t="shared" si="25"/>
        <v>1650.0000000000002</v>
      </c>
      <c r="AR19" s="588">
        <f t="shared" ref="AR19" si="82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44243</v>
      </c>
      <c r="B20" s="588">
        <v>237</v>
      </c>
      <c r="C20" s="588">
        <v>243</v>
      </c>
      <c r="D20" s="45">
        <f>C19-C20</f>
        <v>-33</v>
      </c>
      <c r="E20" s="45">
        <f t="shared" si="8"/>
        <v>-276.54000000000002</v>
      </c>
      <c r="F20" s="588">
        <f t="shared" si="29"/>
        <v>1734</v>
      </c>
      <c r="G20" s="52">
        <f t="shared" si="0"/>
        <v>0</v>
      </c>
      <c r="H20" s="588">
        <f t="shared" si="29"/>
        <v>5345</v>
      </c>
      <c r="I20" s="396">
        <f t="shared" si="1"/>
        <v>0</v>
      </c>
      <c r="J20" s="66">
        <f t="shared" si="9"/>
        <v>0</v>
      </c>
      <c r="K20" s="588">
        <f t="shared" si="40"/>
        <v>2233</v>
      </c>
      <c r="L20" s="52">
        <f t="shared" si="10"/>
        <v>0</v>
      </c>
      <c r="M20" s="588">
        <f t="shared" si="40"/>
        <v>164223</v>
      </c>
      <c r="N20" s="396">
        <f t="shared" si="2"/>
        <v>0</v>
      </c>
      <c r="O20" s="64">
        <f t="shared" si="11"/>
        <v>1869</v>
      </c>
      <c r="P20" s="588">
        <v>1986</v>
      </c>
      <c r="Q20" s="588">
        <v>167865</v>
      </c>
      <c r="R20" s="395">
        <f t="shared" si="51"/>
        <v>228</v>
      </c>
      <c r="S20" s="52">
        <f t="shared" si="4"/>
        <v>3</v>
      </c>
      <c r="T20" s="67">
        <f t="shared" si="30"/>
        <v>0</v>
      </c>
      <c r="U20" s="402">
        <f t="shared" si="13"/>
        <v>3</v>
      </c>
      <c r="V20" s="62">
        <f t="shared" si="14"/>
        <v>228</v>
      </c>
      <c r="W20" s="400"/>
      <c r="X20" s="588">
        <f t="shared" si="16"/>
        <v>2454</v>
      </c>
      <c r="Y20" s="52">
        <f t="shared" si="17"/>
        <v>0</v>
      </c>
      <c r="Z20" s="588">
        <f t="shared" si="16"/>
        <v>138028.1</v>
      </c>
      <c r="AA20" s="65">
        <f t="shared" si="5"/>
        <v>0</v>
      </c>
      <c r="AB20" s="284">
        <f t="shared" si="76"/>
        <v>0</v>
      </c>
      <c r="AC20" s="588">
        <f t="shared" ref="AC20:AE20" si="83">AC19</f>
        <v>1934</v>
      </c>
      <c r="AD20" s="45">
        <f t="shared" si="6"/>
        <v>0</v>
      </c>
      <c r="AE20" s="588">
        <f t="shared" si="83"/>
        <v>365352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228</v>
      </c>
      <c r="AJ20" s="318">
        <f>-tanks!AW21</f>
        <v>228</v>
      </c>
      <c r="AK20" s="318">
        <f t="shared" si="21"/>
        <v>0</v>
      </c>
      <c r="AL20" s="318">
        <f t="shared" si="7"/>
        <v>3</v>
      </c>
      <c r="AM20" s="318">
        <f t="shared" si="22"/>
        <v>0</v>
      </c>
      <c r="AN20" s="588">
        <f t="shared" ref="AN20:AP20" si="84">AN19</f>
        <v>67</v>
      </c>
      <c r="AO20" s="320">
        <f t="shared" si="24"/>
        <v>2010.0000000000002</v>
      </c>
      <c r="AP20" s="588">
        <f t="shared" si="84"/>
        <v>55</v>
      </c>
      <c r="AQ20" s="320">
        <f t="shared" si="25"/>
        <v>1650.0000000000002</v>
      </c>
      <c r="AR20" s="588">
        <f t="shared" ref="AR20" si="85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44244</v>
      </c>
      <c r="B21" s="588">
        <v>230</v>
      </c>
      <c r="C21" s="588">
        <v>237</v>
      </c>
      <c r="D21" s="45">
        <f t="shared" ref="D21:D31" si="86">C20-C21</f>
        <v>6</v>
      </c>
      <c r="E21" s="45">
        <f t="shared" si="8"/>
        <v>50.28</v>
      </c>
      <c r="F21" s="588">
        <v>1736</v>
      </c>
      <c r="G21" s="52">
        <f t="shared" si="0"/>
        <v>2</v>
      </c>
      <c r="H21" s="588">
        <v>5528</v>
      </c>
      <c r="I21" s="396">
        <f t="shared" si="1"/>
        <v>183</v>
      </c>
      <c r="J21" s="66">
        <f t="shared" si="9"/>
        <v>91.5</v>
      </c>
      <c r="K21" s="588">
        <f t="shared" si="40"/>
        <v>2233</v>
      </c>
      <c r="L21" s="52">
        <f t="shared" si="10"/>
        <v>0</v>
      </c>
      <c r="M21" s="588">
        <f t="shared" si="40"/>
        <v>164223</v>
      </c>
      <c r="N21" s="396">
        <f t="shared" si="2"/>
        <v>0</v>
      </c>
      <c r="O21" s="64">
        <f t="shared" si="11"/>
        <v>1869</v>
      </c>
      <c r="P21" s="588">
        <v>1988</v>
      </c>
      <c r="Q21" s="588">
        <v>167970</v>
      </c>
      <c r="R21" s="395">
        <f t="shared" si="51"/>
        <v>105</v>
      </c>
      <c r="S21" s="52">
        <f t="shared" si="4"/>
        <v>2</v>
      </c>
      <c r="T21" s="67">
        <f t="shared" si="30"/>
        <v>0</v>
      </c>
      <c r="U21" s="402">
        <f t="shared" si="13"/>
        <v>4</v>
      </c>
      <c r="V21" s="62">
        <f t="shared" si="14"/>
        <v>288</v>
      </c>
      <c r="W21" s="400"/>
      <c r="X21" s="588">
        <f t="shared" si="16"/>
        <v>2454</v>
      </c>
      <c r="Y21" s="52">
        <f t="shared" si="17"/>
        <v>0</v>
      </c>
      <c r="Z21" s="588">
        <f t="shared" si="16"/>
        <v>138028.1</v>
      </c>
      <c r="AA21" s="65">
        <f t="shared" si="5"/>
        <v>0</v>
      </c>
      <c r="AB21" s="284">
        <f t="shared" si="76"/>
        <v>0</v>
      </c>
      <c r="AC21" s="588">
        <f t="shared" ref="AC21:AE21" si="87">AC20</f>
        <v>1934</v>
      </c>
      <c r="AD21" s="45">
        <f t="shared" si="6"/>
        <v>0</v>
      </c>
      <c r="AE21" s="588">
        <f t="shared" si="87"/>
        <v>365352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288</v>
      </c>
      <c r="AJ21" s="318">
        <f>-tanks!AW22</f>
        <v>288</v>
      </c>
      <c r="AK21" s="318">
        <f t="shared" si="21"/>
        <v>0</v>
      </c>
      <c r="AL21" s="318">
        <f t="shared" si="7"/>
        <v>4</v>
      </c>
      <c r="AM21" s="318">
        <f t="shared" si="22"/>
        <v>0</v>
      </c>
      <c r="AN21" s="588">
        <f t="shared" ref="AN21:AP21" si="88">AN20</f>
        <v>67</v>
      </c>
      <c r="AO21" s="320">
        <f t="shared" si="24"/>
        <v>2010.0000000000002</v>
      </c>
      <c r="AP21" s="588">
        <f t="shared" si="88"/>
        <v>55</v>
      </c>
      <c r="AQ21" s="320">
        <f t="shared" si="25"/>
        <v>1650.0000000000002</v>
      </c>
      <c r="AR21" s="588">
        <f t="shared" ref="AR21" si="89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44245</v>
      </c>
      <c r="B22" s="588">
        <v>225</v>
      </c>
      <c r="C22" s="588">
        <v>231</v>
      </c>
      <c r="D22" s="45">
        <f t="shared" si="86"/>
        <v>6</v>
      </c>
      <c r="E22" s="45">
        <f t="shared" si="8"/>
        <v>50.28</v>
      </c>
      <c r="F22" s="588">
        <v>1738</v>
      </c>
      <c r="G22" s="52">
        <f t="shared" si="0"/>
        <v>2</v>
      </c>
      <c r="H22" s="588">
        <v>5669</v>
      </c>
      <c r="I22" s="396">
        <f t="shared" si="1"/>
        <v>141</v>
      </c>
      <c r="J22" s="66">
        <f t="shared" si="9"/>
        <v>70.5</v>
      </c>
      <c r="K22" s="588">
        <v>2236</v>
      </c>
      <c r="L22" s="52">
        <f t="shared" si="10"/>
        <v>3</v>
      </c>
      <c r="M22" s="588">
        <v>164402</v>
      </c>
      <c r="N22" s="396">
        <f t="shared" si="2"/>
        <v>179</v>
      </c>
      <c r="O22" s="64">
        <f t="shared" si="11"/>
        <v>1869</v>
      </c>
      <c r="P22" s="588">
        <f t="shared" si="11"/>
        <v>1988</v>
      </c>
      <c r="Q22" s="588">
        <f t="shared" ref="Q22" si="90">Q21</f>
        <v>167970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5</v>
      </c>
      <c r="V22" s="62">
        <f t="shared" si="14"/>
        <v>320</v>
      </c>
      <c r="W22" s="400"/>
      <c r="X22" s="588">
        <v>2455</v>
      </c>
      <c r="Y22" s="52">
        <f t="shared" si="17"/>
        <v>1</v>
      </c>
      <c r="Z22" s="588">
        <v>138089</v>
      </c>
      <c r="AA22" s="65">
        <f t="shared" si="5"/>
        <v>60.899999999994179</v>
      </c>
      <c r="AB22" s="284">
        <f t="shared" si="76"/>
        <v>0</v>
      </c>
      <c r="AC22" s="588">
        <f t="shared" ref="AC22:AE22" si="91">AC21</f>
        <v>1934</v>
      </c>
      <c r="AD22" s="45">
        <f t="shared" si="6"/>
        <v>0</v>
      </c>
      <c r="AE22" s="588">
        <f t="shared" si="91"/>
        <v>365352</v>
      </c>
      <c r="AF22" s="306">
        <f t="shared" si="19"/>
        <v>0</v>
      </c>
      <c r="AG22" s="209">
        <f t="shared" si="33"/>
        <v>0</v>
      </c>
      <c r="AH22" s="62">
        <f t="shared" si="34"/>
        <v>60.899999999994179</v>
      </c>
      <c r="AI22" s="318">
        <f t="shared" si="20"/>
        <v>380.89999999999418</v>
      </c>
      <c r="AJ22" s="318">
        <f>-tanks!AW23</f>
        <v>380.89999999999418</v>
      </c>
      <c r="AK22" s="318">
        <f t="shared" si="21"/>
        <v>0</v>
      </c>
      <c r="AL22" s="318">
        <f t="shared" si="7"/>
        <v>5</v>
      </c>
      <c r="AM22" s="318">
        <f t="shared" si="22"/>
        <v>1</v>
      </c>
      <c r="AN22" s="588">
        <f t="shared" ref="AN22:AP22" si="92">AN21</f>
        <v>67</v>
      </c>
      <c r="AO22" s="320">
        <f t="shared" si="24"/>
        <v>2010.0000000000002</v>
      </c>
      <c r="AP22" s="588">
        <f t="shared" si="92"/>
        <v>55</v>
      </c>
      <c r="AQ22" s="320">
        <f t="shared" si="25"/>
        <v>1650.0000000000002</v>
      </c>
      <c r="AR22" s="588">
        <f t="shared" ref="AR22" si="93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[3]ELEC!C21</f>
        <v>44215</v>
      </c>
      <c r="B23" s="588">
        <v>219</v>
      </c>
      <c r="C23" s="588">
        <v>225</v>
      </c>
      <c r="D23" s="45">
        <f t="shared" si="86"/>
        <v>6</v>
      </c>
      <c r="E23" s="45">
        <f t="shared" si="8"/>
        <v>50.28</v>
      </c>
      <c r="F23" s="588">
        <f t="shared" si="29"/>
        <v>1738</v>
      </c>
      <c r="G23" s="52">
        <f t="shared" si="0"/>
        <v>0</v>
      </c>
      <c r="H23" s="588">
        <f t="shared" si="29"/>
        <v>5669</v>
      </c>
      <c r="I23" s="396">
        <f t="shared" si="1"/>
        <v>0</v>
      </c>
      <c r="J23" s="66">
        <f t="shared" si="9"/>
        <v>0</v>
      </c>
      <c r="K23" s="588">
        <v>2237</v>
      </c>
      <c r="L23" s="52">
        <f t="shared" si="10"/>
        <v>1</v>
      </c>
      <c r="M23" s="588">
        <v>164489</v>
      </c>
      <c r="N23" s="396">
        <f t="shared" si="2"/>
        <v>87</v>
      </c>
      <c r="O23" s="64">
        <f t="shared" si="11"/>
        <v>1869</v>
      </c>
      <c r="P23" s="588">
        <v>1990</v>
      </c>
      <c r="Q23" s="588">
        <v>168180</v>
      </c>
      <c r="R23" s="395">
        <f t="shared" si="51"/>
        <v>210</v>
      </c>
      <c r="S23" s="52">
        <f t="shared" si="4"/>
        <v>2</v>
      </c>
      <c r="T23" s="67">
        <f t="shared" si="30"/>
        <v>0</v>
      </c>
      <c r="U23" s="402">
        <f t="shared" si="13"/>
        <v>3</v>
      </c>
      <c r="V23" s="62">
        <f t="shared" si="14"/>
        <v>297</v>
      </c>
      <c r="W23" s="400"/>
      <c r="X23" s="588">
        <f t="shared" si="16"/>
        <v>2455</v>
      </c>
      <c r="Y23" s="52">
        <f t="shared" si="17"/>
        <v>0</v>
      </c>
      <c r="Z23" s="588">
        <f t="shared" si="16"/>
        <v>138089</v>
      </c>
      <c r="AA23" s="65">
        <f t="shared" si="5"/>
        <v>0</v>
      </c>
      <c r="AB23" s="284">
        <f t="shared" si="76"/>
        <v>0</v>
      </c>
      <c r="AC23" s="588">
        <f t="shared" ref="AC23:AE23" si="94">AC22</f>
        <v>1934</v>
      </c>
      <c r="AD23" s="45">
        <f t="shared" si="6"/>
        <v>0</v>
      </c>
      <c r="AE23" s="588">
        <f t="shared" si="94"/>
        <v>365352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si="20"/>
        <v>297</v>
      </c>
      <c r="AJ23" s="318">
        <f>-[3]tanks!AW24</f>
        <v>231</v>
      </c>
      <c r="AK23" s="318">
        <f t="shared" si="21"/>
        <v>-66</v>
      </c>
      <c r="AL23" s="318">
        <f t="shared" si="7"/>
        <v>3</v>
      </c>
      <c r="AM23" s="318">
        <f t="shared" si="22"/>
        <v>0</v>
      </c>
      <c r="AN23" s="588">
        <f t="shared" ref="AN23:AP23" si="95">AN22</f>
        <v>67</v>
      </c>
      <c r="AO23" s="320">
        <f t="shared" si="24"/>
        <v>2010.0000000000002</v>
      </c>
      <c r="AP23" s="588">
        <f t="shared" si="95"/>
        <v>55</v>
      </c>
      <c r="AQ23" s="320">
        <f t="shared" si="25"/>
        <v>1650.0000000000002</v>
      </c>
      <c r="AR23" s="588">
        <f t="shared" ref="AR23" si="96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44247</v>
      </c>
      <c r="B24" s="588">
        <v>213</v>
      </c>
      <c r="C24" s="588">
        <v>219</v>
      </c>
      <c r="D24" s="45">
        <f t="shared" si="86"/>
        <v>6</v>
      </c>
      <c r="E24" s="45">
        <f t="shared" si="8"/>
        <v>50.28</v>
      </c>
      <c r="F24" s="588">
        <v>1741</v>
      </c>
      <c r="G24" s="52">
        <f t="shared" si="0"/>
        <v>3</v>
      </c>
      <c r="H24" s="588">
        <v>5843</v>
      </c>
      <c r="I24" s="396">
        <f t="shared" si="1"/>
        <v>174</v>
      </c>
      <c r="J24" s="66">
        <f t="shared" si="9"/>
        <v>58</v>
      </c>
      <c r="K24" s="588">
        <f t="shared" si="40"/>
        <v>2237</v>
      </c>
      <c r="L24" s="52">
        <f t="shared" si="10"/>
        <v>0</v>
      </c>
      <c r="M24" s="588">
        <f t="shared" si="40"/>
        <v>164489</v>
      </c>
      <c r="N24" s="396">
        <f t="shared" si="2"/>
        <v>0</v>
      </c>
      <c r="O24" s="64">
        <f t="shared" si="11"/>
        <v>1869</v>
      </c>
      <c r="P24" s="588">
        <v>1992</v>
      </c>
      <c r="Q24" s="588">
        <v>168290</v>
      </c>
      <c r="R24" s="395">
        <f t="shared" si="51"/>
        <v>110</v>
      </c>
      <c r="S24" s="52">
        <f t="shared" si="4"/>
        <v>2</v>
      </c>
      <c r="T24" s="67">
        <f t="shared" si="30"/>
        <v>0</v>
      </c>
      <c r="U24" s="402">
        <f t="shared" si="13"/>
        <v>5</v>
      </c>
      <c r="V24" s="62">
        <f t="shared" si="14"/>
        <v>284</v>
      </c>
      <c r="W24" s="400"/>
      <c r="X24" s="588">
        <f t="shared" si="16"/>
        <v>2455</v>
      </c>
      <c r="Y24" s="52">
        <f t="shared" si="17"/>
        <v>0</v>
      </c>
      <c r="Z24" s="588">
        <f t="shared" si="16"/>
        <v>138089</v>
      </c>
      <c r="AA24" s="65">
        <f t="shared" si="5"/>
        <v>0</v>
      </c>
      <c r="AB24" s="284">
        <f t="shared" ref="AB24:AB32" si="97">SUM(Y24*$AB$2)</f>
        <v>0</v>
      </c>
      <c r="AC24" s="588">
        <f t="shared" ref="AC24:AE24" si="98">AC23</f>
        <v>1934</v>
      </c>
      <c r="AD24" s="45">
        <f t="shared" si="6"/>
        <v>0</v>
      </c>
      <c r="AE24" s="588">
        <f t="shared" si="98"/>
        <v>365352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284</v>
      </c>
      <c r="AJ24" s="318">
        <f>-tanks!AW25</f>
        <v>284</v>
      </c>
      <c r="AK24" s="318">
        <f t="shared" si="21"/>
        <v>0</v>
      </c>
      <c r="AL24" s="318">
        <f t="shared" si="7"/>
        <v>5</v>
      </c>
      <c r="AM24" s="318">
        <f t="shared" si="22"/>
        <v>0</v>
      </c>
      <c r="AN24" s="588">
        <f t="shared" ref="AN24:AP24" si="99">AN23</f>
        <v>67</v>
      </c>
      <c r="AO24" s="320">
        <f t="shared" si="24"/>
        <v>2010.0000000000002</v>
      </c>
      <c r="AP24" s="588">
        <f t="shared" si="99"/>
        <v>55</v>
      </c>
      <c r="AQ24" s="320">
        <f t="shared" si="25"/>
        <v>1650.0000000000002</v>
      </c>
      <c r="AR24" s="588">
        <f t="shared" ref="AR24" si="100">AR23</f>
        <v>61</v>
      </c>
      <c r="AS24" s="320">
        <f t="shared" si="37"/>
        <v>1830</v>
      </c>
      <c r="AT24" s="320">
        <f t="shared" ref="AT24:AT32" si="101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44248</v>
      </c>
      <c r="B25" s="588">
        <v>209</v>
      </c>
      <c r="C25" s="588">
        <v>215</v>
      </c>
      <c r="D25" s="45">
        <f t="shared" si="86"/>
        <v>4</v>
      </c>
      <c r="E25" s="45">
        <f t="shared" si="8"/>
        <v>33.520000000000003</v>
      </c>
      <c r="F25" s="588">
        <v>1742</v>
      </c>
      <c r="G25" s="52">
        <f t="shared" si="0"/>
        <v>1</v>
      </c>
      <c r="H25" s="588">
        <v>5953</v>
      </c>
      <c r="I25" s="396">
        <f t="shared" si="1"/>
        <v>110</v>
      </c>
      <c r="J25" s="66">
        <f t="shared" si="9"/>
        <v>110</v>
      </c>
      <c r="K25" s="588">
        <v>2239</v>
      </c>
      <c r="L25" s="52">
        <f t="shared" si="10"/>
        <v>2</v>
      </c>
      <c r="M25" s="588">
        <v>164646</v>
      </c>
      <c r="N25" s="396">
        <f t="shared" si="2"/>
        <v>157</v>
      </c>
      <c r="O25" s="64">
        <f t="shared" si="11"/>
        <v>1869</v>
      </c>
      <c r="P25" s="588">
        <f t="shared" si="11"/>
        <v>1992</v>
      </c>
      <c r="Q25" s="588">
        <f t="shared" ref="Q25" si="102">Q24</f>
        <v>168290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3</v>
      </c>
      <c r="V25" s="62">
        <f t="shared" si="14"/>
        <v>267</v>
      </c>
      <c r="W25" s="400"/>
      <c r="X25" s="588">
        <f t="shared" si="16"/>
        <v>2455</v>
      </c>
      <c r="Y25" s="52">
        <f t="shared" si="17"/>
        <v>0</v>
      </c>
      <c r="Z25" s="588">
        <f t="shared" si="16"/>
        <v>138089</v>
      </c>
      <c r="AA25" s="65">
        <f t="shared" si="5"/>
        <v>0</v>
      </c>
      <c r="AB25" s="284">
        <f t="shared" si="97"/>
        <v>0</v>
      </c>
      <c r="AC25" s="588">
        <f t="shared" ref="AC25:AE25" si="103">AC24</f>
        <v>1934</v>
      </c>
      <c r="AD25" s="45">
        <f t="shared" si="6"/>
        <v>0</v>
      </c>
      <c r="AE25" s="588">
        <f t="shared" si="103"/>
        <v>365352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267</v>
      </c>
      <c r="AJ25" s="318">
        <f>-tanks!AW26</f>
        <v>267</v>
      </c>
      <c r="AK25" s="318">
        <f t="shared" si="21"/>
        <v>0</v>
      </c>
      <c r="AL25" s="318">
        <f t="shared" si="7"/>
        <v>3</v>
      </c>
      <c r="AM25" s="318">
        <f t="shared" si="22"/>
        <v>0</v>
      </c>
      <c r="AN25" s="588">
        <f t="shared" ref="AN25:AP25" si="104">AN24</f>
        <v>67</v>
      </c>
      <c r="AO25" s="320">
        <f t="shared" si="24"/>
        <v>2010.0000000000002</v>
      </c>
      <c r="AP25" s="588">
        <f t="shared" si="104"/>
        <v>55</v>
      </c>
      <c r="AQ25" s="320">
        <f t="shared" ref="AQ25:AQ32" si="105">(AP25/100)*3000</f>
        <v>1650.0000000000002</v>
      </c>
      <c r="AR25" s="588">
        <f t="shared" ref="AR25" si="106">AR24</f>
        <v>61</v>
      </c>
      <c r="AS25" s="320">
        <f t="shared" si="37"/>
        <v>1830</v>
      </c>
      <c r="AT25" s="320">
        <f t="shared" si="101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44249</v>
      </c>
      <c r="B26" s="588">
        <v>231</v>
      </c>
      <c r="C26" s="588">
        <v>237</v>
      </c>
      <c r="D26" s="45">
        <f t="shared" si="86"/>
        <v>-22</v>
      </c>
      <c r="E26" s="45">
        <f t="shared" si="8"/>
        <v>-184.36</v>
      </c>
      <c r="F26" s="588">
        <f t="shared" si="29"/>
        <v>1742</v>
      </c>
      <c r="G26" s="52">
        <f t="shared" si="0"/>
        <v>0</v>
      </c>
      <c r="H26" s="588">
        <f t="shared" si="29"/>
        <v>5953</v>
      </c>
      <c r="I26" s="396">
        <f t="shared" si="1"/>
        <v>0</v>
      </c>
      <c r="J26" s="66">
        <f t="shared" si="9"/>
        <v>0</v>
      </c>
      <c r="K26" s="588">
        <v>2240</v>
      </c>
      <c r="L26" s="52">
        <f t="shared" si="10"/>
        <v>1</v>
      </c>
      <c r="M26" s="588">
        <v>164745</v>
      </c>
      <c r="N26" s="396">
        <f t="shared" si="2"/>
        <v>99</v>
      </c>
      <c r="O26" s="64">
        <f t="shared" si="11"/>
        <v>1869</v>
      </c>
      <c r="P26" s="588">
        <v>1995</v>
      </c>
      <c r="Q26" s="588">
        <v>168553</v>
      </c>
      <c r="R26" s="395">
        <f t="shared" si="51"/>
        <v>263</v>
      </c>
      <c r="S26" s="52">
        <f t="shared" si="4"/>
        <v>3</v>
      </c>
      <c r="T26" s="67">
        <f t="shared" si="30"/>
        <v>0</v>
      </c>
      <c r="U26" s="402">
        <f t="shared" si="13"/>
        <v>4</v>
      </c>
      <c r="V26" s="62">
        <f t="shared" si="14"/>
        <v>362</v>
      </c>
      <c r="W26" s="400"/>
      <c r="X26" s="588">
        <f t="shared" si="16"/>
        <v>2455</v>
      </c>
      <c r="Y26" s="52">
        <f t="shared" si="17"/>
        <v>0</v>
      </c>
      <c r="Z26" s="588">
        <f t="shared" si="16"/>
        <v>138089</v>
      </c>
      <c r="AA26" s="65">
        <f t="shared" si="5"/>
        <v>0</v>
      </c>
      <c r="AB26" s="284">
        <f t="shared" si="97"/>
        <v>0</v>
      </c>
      <c r="AC26" s="588">
        <f t="shared" ref="AC26:AE26" si="107">AC25</f>
        <v>1934</v>
      </c>
      <c r="AD26" s="45">
        <f t="shared" si="6"/>
        <v>0</v>
      </c>
      <c r="AE26" s="588">
        <f t="shared" si="107"/>
        <v>365352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362</v>
      </c>
      <c r="AJ26" s="318">
        <f>-tanks!AW27</f>
        <v>362</v>
      </c>
      <c r="AK26" s="318">
        <f t="shared" si="21"/>
        <v>0</v>
      </c>
      <c r="AL26" s="318">
        <f t="shared" si="7"/>
        <v>4</v>
      </c>
      <c r="AM26" s="318">
        <f t="shared" si="22"/>
        <v>0</v>
      </c>
      <c r="AN26" s="588">
        <f t="shared" ref="AN26:AP26" si="108">AN25</f>
        <v>67</v>
      </c>
      <c r="AO26" s="320">
        <f t="shared" si="24"/>
        <v>2010.0000000000002</v>
      </c>
      <c r="AP26" s="588">
        <f t="shared" si="108"/>
        <v>55</v>
      </c>
      <c r="AQ26" s="320">
        <f t="shared" si="105"/>
        <v>1650.0000000000002</v>
      </c>
      <c r="AR26" s="588">
        <f t="shared" ref="AR26" si="109">AR25</f>
        <v>61</v>
      </c>
      <c r="AS26" s="320">
        <f t="shared" si="37"/>
        <v>1830</v>
      </c>
      <c r="AT26" s="320">
        <f t="shared" si="101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44250</v>
      </c>
      <c r="B27" s="588">
        <v>224</v>
      </c>
      <c r="C27" s="588">
        <v>231</v>
      </c>
      <c r="D27" s="45">
        <f t="shared" si="86"/>
        <v>6</v>
      </c>
      <c r="E27" s="45">
        <f t="shared" si="8"/>
        <v>50.28</v>
      </c>
      <c r="F27" s="588">
        <v>1745</v>
      </c>
      <c r="G27" s="52">
        <f t="shared" si="0"/>
        <v>3</v>
      </c>
      <c r="H27" s="588">
        <v>6160</v>
      </c>
      <c r="I27" s="396">
        <f t="shared" si="1"/>
        <v>207</v>
      </c>
      <c r="J27" s="66">
        <f t="shared" si="9"/>
        <v>69</v>
      </c>
      <c r="K27" s="588">
        <f t="shared" si="40"/>
        <v>2240</v>
      </c>
      <c r="L27" s="52">
        <f t="shared" si="10"/>
        <v>0</v>
      </c>
      <c r="M27" s="588">
        <f t="shared" si="40"/>
        <v>164745</v>
      </c>
      <c r="N27" s="396">
        <f t="shared" si="2"/>
        <v>0</v>
      </c>
      <c r="O27" s="64">
        <f t="shared" si="11"/>
        <v>1869</v>
      </c>
      <c r="P27" s="588">
        <v>1996</v>
      </c>
      <c r="Q27" s="588">
        <v>168615</v>
      </c>
      <c r="R27" s="395">
        <f t="shared" si="51"/>
        <v>62</v>
      </c>
      <c r="S27" s="52">
        <f t="shared" si="4"/>
        <v>1</v>
      </c>
      <c r="T27" s="67">
        <f t="shared" si="30"/>
        <v>0</v>
      </c>
      <c r="U27" s="402">
        <f t="shared" si="13"/>
        <v>4</v>
      </c>
      <c r="V27" s="62">
        <f t="shared" si="14"/>
        <v>269</v>
      </c>
      <c r="W27" s="400"/>
      <c r="X27" s="588">
        <v>2456</v>
      </c>
      <c r="Y27" s="52">
        <f t="shared" si="17"/>
        <v>1</v>
      </c>
      <c r="Z27" s="588">
        <v>138138.79999999999</v>
      </c>
      <c r="AA27" s="65">
        <f t="shared" si="5"/>
        <v>49.799999999988358</v>
      </c>
      <c r="AB27" s="284">
        <f t="shared" si="97"/>
        <v>0</v>
      </c>
      <c r="AC27" s="588">
        <f t="shared" ref="AC27:AE27" si="110">AC26</f>
        <v>1934</v>
      </c>
      <c r="AD27" s="45">
        <f t="shared" si="6"/>
        <v>0</v>
      </c>
      <c r="AE27" s="588">
        <f t="shared" si="110"/>
        <v>365352</v>
      </c>
      <c r="AF27" s="306">
        <f t="shared" si="19"/>
        <v>0</v>
      </c>
      <c r="AG27" s="209">
        <f t="shared" si="33"/>
        <v>0</v>
      </c>
      <c r="AH27" s="62">
        <f t="shared" si="34"/>
        <v>49.799999999988358</v>
      </c>
      <c r="AI27" s="318">
        <f t="shared" si="20"/>
        <v>318.79999999998836</v>
      </c>
      <c r="AJ27" s="318">
        <f>-tanks!AW28</f>
        <v>318.79999999998836</v>
      </c>
      <c r="AK27" s="318">
        <f t="shared" si="21"/>
        <v>0</v>
      </c>
      <c r="AL27" s="318">
        <f t="shared" si="7"/>
        <v>4</v>
      </c>
      <c r="AM27" s="318">
        <f t="shared" si="22"/>
        <v>1</v>
      </c>
      <c r="AN27" s="588">
        <f t="shared" ref="AN27:AP27" si="111">AN26</f>
        <v>67</v>
      </c>
      <c r="AO27" s="320">
        <f>(AN27/100)*3000</f>
        <v>2010.0000000000002</v>
      </c>
      <c r="AP27" s="588">
        <f t="shared" si="111"/>
        <v>55</v>
      </c>
      <c r="AQ27" s="320">
        <f t="shared" si="105"/>
        <v>1650.0000000000002</v>
      </c>
      <c r="AR27" s="588">
        <f t="shared" ref="AR27" si="112">AR26</f>
        <v>61</v>
      </c>
      <c r="AS27" s="320">
        <f t="shared" si="37"/>
        <v>1830</v>
      </c>
      <c r="AT27" s="320">
        <f t="shared" si="101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44251</v>
      </c>
      <c r="B28" s="588">
        <v>216</v>
      </c>
      <c r="C28" s="588">
        <v>228</v>
      </c>
      <c r="D28" s="45">
        <f t="shared" si="86"/>
        <v>3</v>
      </c>
      <c r="E28" s="45">
        <f t="shared" si="8"/>
        <v>25.14</v>
      </c>
      <c r="F28" s="588">
        <v>1746</v>
      </c>
      <c r="G28" s="52">
        <f t="shared" si="0"/>
        <v>1</v>
      </c>
      <c r="H28" s="588">
        <v>6237</v>
      </c>
      <c r="I28" s="396">
        <f t="shared" si="1"/>
        <v>77</v>
      </c>
      <c r="J28" s="66">
        <f t="shared" si="9"/>
        <v>77</v>
      </c>
      <c r="K28" s="588">
        <v>2243</v>
      </c>
      <c r="L28" s="52">
        <f t="shared" si="10"/>
        <v>3</v>
      </c>
      <c r="M28" s="588">
        <v>164958</v>
      </c>
      <c r="N28" s="396">
        <f t="shared" si="2"/>
        <v>213</v>
      </c>
      <c r="O28" s="64">
        <f t="shared" si="11"/>
        <v>1869</v>
      </c>
      <c r="P28" s="588">
        <f t="shared" si="11"/>
        <v>1996</v>
      </c>
      <c r="Q28" s="588">
        <f t="shared" ref="Q28" si="113">Q27</f>
        <v>168615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4</v>
      </c>
      <c r="V28" s="62">
        <f t="shared" si="14"/>
        <v>290</v>
      </c>
      <c r="W28" s="400"/>
      <c r="X28" s="588">
        <f t="shared" si="16"/>
        <v>2456</v>
      </c>
      <c r="Y28" s="52">
        <f t="shared" si="17"/>
        <v>0</v>
      </c>
      <c r="Z28" s="588">
        <f t="shared" si="16"/>
        <v>138138.79999999999</v>
      </c>
      <c r="AA28" s="65">
        <f t="shared" si="5"/>
        <v>0</v>
      </c>
      <c r="AB28" s="284">
        <f t="shared" si="97"/>
        <v>0</v>
      </c>
      <c r="AC28" s="588">
        <v>1935</v>
      </c>
      <c r="AD28" s="45">
        <f t="shared" si="6"/>
        <v>1</v>
      </c>
      <c r="AE28" s="588">
        <v>365429</v>
      </c>
      <c r="AF28" s="306">
        <f t="shared" si="19"/>
        <v>77</v>
      </c>
      <c r="AG28" s="209">
        <f t="shared" si="33"/>
        <v>77</v>
      </c>
      <c r="AH28" s="62">
        <f t="shared" si="34"/>
        <v>77</v>
      </c>
      <c r="AI28" s="318">
        <f t="shared" si="20"/>
        <v>367</v>
      </c>
      <c r="AJ28" s="318">
        <f>-tanks!AW29</f>
        <v>367</v>
      </c>
      <c r="AK28" s="318">
        <f t="shared" si="21"/>
        <v>0</v>
      </c>
      <c r="AL28" s="318">
        <f t="shared" si="7"/>
        <v>4</v>
      </c>
      <c r="AM28" s="318">
        <f t="shared" si="22"/>
        <v>1</v>
      </c>
      <c r="AN28" s="588">
        <f t="shared" ref="AN28:AP28" si="114">AN27</f>
        <v>67</v>
      </c>
      <c r="AO28" s="320">
        <f t="shared" ref="AO28:AO32" si="115">(AN28/100)*3000</f>
        <v>2010.0000000000002</v>
      </c>
      <c r="AP28" s="588">
        <f t="shared" si="114"/>
        <v>55</v>
      </c>
      <c r="AQ28" s="320">
        <f t="shared" si="105"/>
        <v>1650.0000000000002</v>
      </c>
      <c r="AR28" s="588">
        <f t="shared" ref="AR28" si="116">AR27</f>
        <v>61</v>
      </c>
      <c r="AS28" s="320">
        <f t="shared" si="37"/>
        <v>1830</v>
      </c>
      <c r="AT28" s="320">
        <f t="shared" si="101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44252</v>
      </c>
      <c r="B29" s="588">
        <v>209</v>
      </c>
      <c r="C29" s="588">
        <v>215</v>
      </c>
      <c r="D29" s="45">
        <f t="shared" si="86"/>
        <v>13</v>
      </c>
      <c r="E29" s="45">
        <f t="shared" si="8"/>
        <v>108.94000000000001</v>
      </c>
      <c r="F29" s="588">
        <f t="shared" si="29"/>
        <v>1746</v>
      </c>
      <c r="G29" s="52">
        <f t="shared" si="0"/>
        <v>0</v>
      </c>
      <c r="H29" s="588">
        <f t="shared" si="29"/>
        <v>6237</v>
      </c>
      <c r="I29" s="396">
        <f t="shared" si="1"/>
        <v>0</v>
      </c>
      <c r="J29" s="66">
        <f t="shared" si="9"/>
        <v>0</v>
      </c>
      <c r="K29" s="588">
        <f t="shared" si="40"/>
        <v>2243</v>
      </c>
      <c r="L29" s="52">
        <f t="shared" si="10"/>
        <v>0</v>
      </c>
      <c r="M29" s="588">
        <f t="shared" si="40"/>
        <v>164958</v>
      </c>
      <c r="N29" s="396">
        <f t="shared" si="2"/>
        <v>0</v>
      </c>
      <c r="O29" s="64">
        <f t="shared" si="11"/>
        <v>1869</v>
      </c>
      <c r="P29" s="588">
        <v>1998</v>
      </c>
      <c r="Q29" s="588">
        <v>168776</v>
      </c>
      <c r="R29" s="395">
        <f t="shared" si="51"/>
        <v>161</v>
      </c>
      <c r="S29" s="52">
        <f t="shared" si="4"/>
        <v>2</v>
      </c>
      <c r="T29" s="67">
        <f t="shared" si="30"/>
        <v>0</v>
      </c>
      <c r="U29" s="402">
        <f t="shared" si="13"/>
        <v>2</v>
      </c>
      <c r="V29" s="62">
        <f t="shared" si="14"/>
        <v>161</v>
      </c>
      <c r="W29" s="400"/>
      <c r="X29" s="588">
        <f t="shared" si="16"/>
        <v>2456</v>
      </c>
      <c r="Y29" s="52">
        <f t="shared" si="17"/>
        <v>0</v>
      </c>
      <c r="Z29" s="588">
        <f t="shared" si="16"/>
        <v>138138.79999999999</v>
      </c>
      <c r="AA29" s="65">
        <f t="shared" si="5"/>
        <v>0</v>
      </c>
      <c r="AB29" s="284">
        <f t="shared" si="97"/>
        <v>0</v>
      </c>
      <c r="AC29" s="588">
        <f t="shared" ref="AC29:AE29" si="117">AC28</f>
        <v>1935</v>
      </c>
      <c r="AD29" s="45">
        <f t="shared" si="6"/>
        <v>0</v>
      </c>
      <c r="AE29" s="588">
        <f t="shared" si="117"/>
        <v>365429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161</v>
      </c>
      <c r="AJ29" s="318">
        <f>-tanks!AW30</f>
        <v>161</v>
      </c>
      <c r="AK29" s="318">
        <f t="shared" si="21"/>
        <v>0</v>
      </c>
      <c r="AL29" s="318">
        <f t="shared" si="7"/>
        <v>2</v>
      </c>
      <c r="AM29" s="318">
        <f t="shared" si="22"/>
        <v>0</v>
      </c>
      <c r="AN29" s="588">
        <f t="shared" ref="AN29:AP29" si="118">AN28</f>
        <v>67</v>
      </c>
      <c r="AO29" s="320">
        <f t="shared" si="115"/>
        <v>2010.0000000000002</v>
      </c>
      <c r="AP29" s="588">
        <f t="shared" si="118"/>
        <v>55</v>
      </c>
      <c r="AQ29" s="320">
        <f t="shared" si="105"/>
        <v>1650.0000000000002</v>
      </c>
      <c r="AR29" s="588">
        <f t="shared" ref="AR29" si="119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44253</v>
      </c>
      <c r="B30" s="588">
        <v>232</v>
      </c>
      <c r="C30" s="588">
        <v>239</v>
      </c>
      <c r="D30" s="45">
        <f t="shared" si="86"/>
        <v>-24</v>
      </c>
      <c r="E30" s="45">
        <f t="shared" si="8"/>
        <v>-201.12</v>
      </c>
      <c r="F30" s="588">
        <v>1749</v>
      </c>
      <c r="G30" s="52">
        <f t="shared" si="0"/>
        <v>3</v>
      </c>
      <c r="H30" s="588">
        <v>6462</v>
      </c>
      <c r="I30" s="396">
        <f t="shared" si="1"/>
        <v>225</v>
      </c>
      <c r="J30" s="66">
        <f t="shared" si="9"/>
        <v>75</v>
      </c>
      <c r="K30" s="588">
        <f t="shared" si="40"/>
        <v>2243</v>
      </c>
      <c r="L30" s="52">
        <f t="shared" si="10"/>
        <v>0</v>
      </c>
      <c r="M30" s="588">
        <f t="shared" si="40"/>
        <v>164958</v>
      </c>
      <c r="N30" s="396">
        <f t="shared" si="2"/>
        <v>0</v>
      </c>
      <c r="O30" s="64">
        <f t="shared" si="11"/>
        <v>1869</v>
      </c>
      <c r="P30" s="588">
        <v>1999</v>
      </c>
      <c r="Q30" s="588">
        <v>168850</v>
      </c>
      <c r="R30" s="395">
        <f t="shared" si="51"/>
        <v>74</v>
      </c>
      <c r="S30" s="52">
        <f t="shared" si="4"/>
        <v>1</v>
      </c>
      <c r="T30" s="67">
        <f t="shared" si="30"/>
        <v>0</v>
      </c>
      <c r="U30" s="402">
        <f t="shared" si="13"/>
        <v>4</v>
      </c>
      <c r="V30" s="62">
        <f t="shared" si="14"/>
        <v>299</v>
      </c>
      <c r="W30" s="400"/>
      <c r="X30" s="588">
        <f t="shared" si="16"/>
        <v>2456</v>
      </c>
      <c r="Y30" s="52">
        <f t="shared" si="17"/>
        <v>0</v>
      </c>
      <c r="Z30" s="588">
        <f t="shared" si="16"/>
        <v>138138.79999999999</v>
      </c>
      <c r="AA30" s="65">
        <f t="shared" si="5"/>
        <v>0</v>
      </c>
      <c r="AB30" s="284">
        <f t="shared" si="97"/>
        <v>0</v>
      </c>
      <c r="AC30" s="588">
        <f t="shared" ref="AC30:AE30" si="120">AC29</f>
        <v>1935</v>
      </c>
      <c r="AD30" s="45">
        <f t="shared" si="6"/>
        <v>0</v>
      </c>
      <c r="AE30" s="588">
        <f t="shared" si="120"/>
        <v>365429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299</v>
      </c>
      <c r="AJ30" s="318">
        <f>-tanks!AW31</f>
        <v>299</v>
      </c>
      <c r="AK30" s="318">
        <f t="shared" si="21"/>
        <v>0</v>
      </c>
      <c r="AL30" s="318">
        <f t="shared" si="7"/>
        <v>4</v>
      </c>
      <c r="AM30" s="318">
        <f t="shared" si="22"/>
        <v>0</v>
      </c>
      <c r="AN30" s="588">
        <f t="shared" ref="AN30:AP30" si="121">AN29</f>
        <v>67</v>
      </c>
      <c r="AO30" s="320">
        <f t="shared" si="115"/>
        <v>2010.0000000000002</v>
      </c>
      <c r="AP30" s="588">
        <f t="shared" si="121"/>
        <v>55</v>
      </c>
      <c r="AQ30" s="320">
        <f t="shared" si="105"/>
        <v>1650.0000000000002</v>
      </c>
      <c r="AR30" s="588">
        <f t="shared" ref="AR30" si="122">AR29</f>
        <v>61</v>
      </c>
      <c r="AS30" s="320">
        <f t="shared" si="37"/>
        <v>1830</v>
      </c>
      <c r="AT30" s="320">
        <f t="shared" si="101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44254</v>
      </c>
      <c r="B31" s="588">
        <v>224</v>
      </c>
      <c r="C31" s="588">
        <v>231</v>
      </c>
      <c r="D31" s="45">
        <f t="shared" si="86"/>
        <v>8</v>
      </c>
      <c r="E31" s="45">
        <f t="shared" si="8"/>
        <v>67.040000000000006</v>
      </c>
      <c r="F31" s="588">
        <f t="shared" si="29"/>
        <v>1749</v>
      </c>
      <c r="G31" s="52">
        <f t="shared" si="0"/>
        <v>0</v>
      </c>
      <c r="H31" s="588">
        <f t="shared" si="29"/>
        <v>6462</v>
      </c>
      <c r="I31" s="396">
        <f t="shared" si="1"/>
        <v>0</v>
      </c>
      <c r="J31" s="66">
        <f t="shared" si="9"/>
        <v>0</v>
      </c>
      <c r="K31" s="588">
        <v>2245</v>
      </c>
      <c r="L31" s="52">
        <f t="shared" si="10"/>
        <v>2</v>
      </c>
      <c r="M31" s="588">
        <v>165153</v>
      </c>
      <c r="N31" s="396">
        <f t="shared" si="2"/>
        <v>195</v>
      </c>
      <c r="O31" s="64">
        <f t="shared" si="11"/>
        <v>1869</v>
      </c>
      <c r="P31" s="588">
        <f t="shared" si="11"/>
        <v>1999</v>
      </c>
      <c r="Q31" s="588">
        <f t="shared" ref="Q31" si="123">Q30</f>
        <v>168850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2</v>
      </c>
      <c r="V31" s="62">
        <f t="shared" si="14"/>
        <v>195</v>
      </c>
      <c r="W31" s="400"/>
      <c r="X31" s="588">
        <f t="shared" si="16"/>
        <v>2456</v>
      </c>
      <c r="Y31" s="52">
        <f t="shared" si="17"/>
        <v>0</v>
      </c>
      <c r="Z31" s="588">
        <f t="shared" si="16"/>
        <v>138138.79999999999</v>
      </c>
      <c r="AA31" s="65">
        <f t="shared" si="5"/>
        <v>0</v>
      </c>
      <c r="AB31" s="284">
        <f t="shared" si="97"/>
        <v>0</v>
      </c>
      <c r="AC31" s="588">
        <f t="shared" ref="AC31:AE31" si="124">AC30</f>
        <v>1935</v>
      </c>
      <c r="AD31" s="269">
        <f t="shared" si="6"/>
        <v>0</v>
      </c>
      <c r="AE31" s="588">
        <f t="shared" si="124"/>
        <v>365429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195</v>
      </c>
      <c r="AJ31" s="318">
        <f>-tanks!AW32</f>
        <v>195</v>
      </c>
      <c r="AK31" s="318">
        <f t="shared" si="21"/>
        <v>0</v>
      </c>
      <c r="AL31" s="318">
        <f t="shared" si="7"/>
        <v>2</v>
      </c>
      <c r="AM31" s="318">
        <f t="shared" si="22"/>
        <v>0</v>
      </c>
      <c r="AN31" s="588">
        <f t="shared" ref="AN31:AP31" si="125">AN30</f>
        <v>67</v>
      </c>
      <c r="AO31" s="320">
        <f t="shared" si="115"/>
        <v>2010.0000000000002</v>
      </c>
      <c r="AP31" s="588">
        <f t="shared" si="125"/>
        <v>55</v>
      </c>
      <c r="AQ31" s="320">
        <f t="shared" si="105"/>
        <v>1650.0000000000002</v>
      </c>
      <c r="AR31" s="588">
        <f t="shared" ref="AR31" si="126">AR30</f>
        <v>61</v>
      </c>
      <c r="AS31" s="320">
        <f t="shared" si="37"/>
        <v>1830</v>
      </c>
      <c r="AT31" s="320">
        <f t="shared" si="101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44255</v>
      </c>
      <c r="B32" s="588">
        <v>218</v>
      </c>
      <c r="C32" s="588">
        <v>225</v>
      </c>
      <c r="D32" s="45">
        <f t="shared" si="28"/>
        <v>6</v>
      </c>
      <c r="E32" s="45">
        <f t="shared" ref="E32" si="127">D32*8.38</f>
        <v>50.28</v>
      </c>
      <c r="F32" s="588">
        <v>1749</v>
      </c>
      <c r="G32" s="52">
        <f t="shared" si="0"/>
        <v>0</v>
      </c>
      <c r="H32" s="588">
        <v>6488</v>
      </c>
      <c r="I32" s="396">
        <f t="shared" si="1"/>
        <v>26</v>
      </c>
      <c r="J32" s="66">
        <f t="shared" si="9"/>
        <v>0</v>
      </c>
      <c r="K32" s="588">
        <v>2246</v>
      </c>
      <c r="L32" s="52">
        <f t="shared" si="10"/>
        <v>1</v>
      </c>
      <c r="M32" s="588">
        <v>165218</v>
      </c>
      <c r="N32" s="396">
        <f t="shared" si="2"/>
        <v>65</v>
      </c>
      <c r="O32" s="64">
        <f t="shared" si="11"/>
        <v>1869</v>
      </c>
      <c r="P32" s="588">
        <v>2001</v>
      </c>
      <c r="Q32" s="588">
        <v>168983</v>
      </c>
      <c r="R32" s="395">
        <f t="shared" si="51"/>
        <v>133</v>
      </c>
      <c r="S32" s="52">
        <f t="shared" si="4"/>
        <v>2</v>
      </c>
      <c r="T32" s="67">
        <f t="shared" si="30"/>
        <v>0</v>
      </c>
      <c r="U32" s="402">
        <f t="shared" si="13"/>
        <v>3</v>
      </c>
      <c r="V32" s="62">
        <f t="shared" si="14"/>
        <v>224</v>
      </c>
      <c r="W32" s="400"/>
      <c r="X32" s="588">
        <f t="shared" si="16"/>
        <v>2456</v>
      </c>
      <c r="Y32" s="52">
        <f t="shared" si="17"/>
        <v>0</v>
      </c>
      <c r="Z32" s="588">
        <f t="shared" si="16"/>
        <v>138138.79999999999</v>
      </c>
      <c r="AA32" s="65">
        <f t="shared" si="5"/>
        <v>0</v>
      </c>
      <c r="AB32" s="284">
        <f t="shared" si="97"/>
        <v>0</v>
      </c>
      <c r="AC32" s="588">
        <f t="shared" ref="AC32" si="128">AC31</f>
        <v>1935</v>
      </c>
      <c r="AD32" s="269">
        <f t="shared" si="6"/>
        <v>0</v>
      </c>
      <c r="AE32" s="588">
        <v>365429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224</v>
      </c>
      <c r="AJ32" s="318">
        <f>-tanks!AW33</f>
        <v>224</v>
      </c>
      <c r="AK32" s="318">
        <f t="shared" si="21"/>
        <v>0</v>
      </c>
      <c r="AL32" s="318">
        <f t="shared" si="7"/>
        <v>3</v>
      </c>
      <c r="AM32" s="318">
        <f t="shared" si="22"/>
        <v>0</v>
      </c>
      <c r="AN32" s="588">
        <f t="shared" ref="AN32:AP32" si="129">AN31</f>
        <v>67</v>
      </c>
      <c r="AO32" s="320">
        <f t="shared" si="115"/>
        <v>2010.0000000000002</v>
      </c>
      <c r="AP32" s="588">
        <f t="shared" si="129"/>
        <v>55</v>
      </c>
      <c r="AQ32" s="320">
        <f t="shared" si="105"/>
        <v>1650.0000000000002</v>
      </c>
      <c r="AR32" s="588">
        <f t="shared" ref="AR32" si="130">AR31</f>
        <v>61</v>
      </c>
      <c r="AS32" s="320">
        <f t="shared" si="37"/>
        <v>1830</v>
      </c>
      <c r="AT32" s="320">
        <f t="shared" si="101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0:49">
      <c r="J33" s="283">
        <f>SUM(J5:J32)/(COUNT(J5:J32)-COUNTIF(J5:J32,0))</f>
        <v>71.32352941176471</v>
      </c>
      <c r="V33" s="62">
        <f>SUM(V5:V32)</f>
        <v>7595</v>
      </c>
      <c r="AE33" s="71" t="s">
        <v>383</v>
      </c>
      <c r="AG33" s="344"/>
      <c r="AH33" s="62">
        <f>SUM(AH5:AH32)</f>
        <v>419.69999999998254</v>
      </c>
      <c r="AL33" s="62">
        <f>SUM(AL5:AL32)</f>
        <v>101</v>
      </c>
      <c r="AM33" s="62">
        <f>SUM(AM5:AM32)</f>
        <v>5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8014.6999999999825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2"/>
  <sheetViews>
    <sheetView topLeftCell="Y1" zoomScaleNormal="100" workbookViewId="0">
      <pane ySplit="3" topLeftCell="A20" activePane="bottomLeft" state="frozen"/>
      <selection pane="bottomLeft" activeCell="AA33" sqref="AA3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8007160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0" t="s">
        <v>126</v>
      </c>
      <c r="AO3" s="621"/>
      <c r="AP3" s="622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[2]WATER!B36</f>
        <v>109443</v>
      </c>
      <c r="C5" s="410">
        <f>[2]WATER!C36</f>
        <v>0</v>
      </c>
      <c r="D5" s="410">
        <f>[2]WATER!D36</f>
        <v>0</v>
      </c>
      <c r="E5" s="410">
        <f>[2]WATER!E36</f>
        <v>241.93548387096774</v>
      </c>
      <c r="F5" s="410">
        <f>[2]WATER!F36</f>
        <v>0</v>
      </c>
      <c r="G5" s="410">
        <f>[2]WATER!G36</f>
        <v>615374</v>
      </c>
      <c r="H5" s="410">
        <f>[2]WATER!H36</f>
        <v>0</v>
      </c>
      <c r="I5" s="410">
        <f>[2]WATER!I36</f>
        <v>0</v>
      </c>
      <c r="J5" s="410">
        <f>[2]WATER!J36</f>
        <v>0</v>
      </c>
      <c r="K5" s="410">
        <f>[2]WATER!K36</f>
        <v>6716</v>
      </c>
      <c r="L5" s="410">
        <f>[2]WATER!L36</f>
        <v>0</v>
      </c>
      <c r="M5" s="410">
        <f>[2]WATER!M36</f>
        <v>457.44</v>
      </c>
      <c r="N5" s="410">
        <f>[2]WATER!N36</f>
        <v>0</v>
      </c>
      <c r="O5" s="410">
        <f>[2]WATER!O36</f>
        <v>529.52</v>
      </c>
      <c r="P5" s="410">
        <f>[2]WATER!P36</f>
        <v>0</v>
      </c>
      <c r="Q5" s="410">
        <f>[2]WATER!Q36</f>
        <v>0</v>
      </c>
      <c r="R5" s="410">
        <f>[2]WATER!R36</f>
        <v>0</v>
      </c>
      <c r="S5" s="410">
        <f>[2]WATER!S36</f>
        <v>0</v>
      </c>
      <c r="T5" s="410">
        <f>[2]WATER!T36</f>
        <v>5164</v>
      </c>
      <c r="U5" s="410">
        <f>[2]WATER!U36</f>
        <v>0</v>
      </c>
      <c r="V5" s="410">
        <f>[2]WATER!V36</f>
        <v>460</v>
      </c>
      <c r="W5" s="410">
        <f>[2]WATER!W36</f>
        <v>0</v>
      </c>
      <c r="X5" s="410">
        <f>[2]WATER!X36</f>
        <v>150077</v>
      </c>
      <c r="Y5" s="410">
        <f>[2]WATER!Y36</f>
        <v>0</v>
      </c>
      <c r="Z5" s="410">
        <f>[2]WATER!Z36</f>
        <v>98262</v>
      </c>
      <c r="AA5" s="410">
        <f>[2]WATER!AA36</f>
        <v>1</v>
      </c>
      <c r="AB5" s="410">
        <f>[2]WATER!AB36</f>
        <v>256</v>
      </c>
      <c r="AC5" s="410">
        <f>[2]WATER!AC36</f>
        <v>731</v>
      </c>
      <c r="AD5" s="410">
        <f>[2]WATER!AD36</f>
        <v>0</v>
      </c>
      <c r="AE5" s="410">
        <f>[2]WATER!AE36</f>
        <v>227.8</v>
      </c>
      <c r="AF5" s="410">
        <f>[2]WATER!AF36</f>
        <v>0</v>
      </c>
      <c r="AG5" s="410">
        <f>[2]WATER!AG36</f>
        <v>2181.5700000000002</v>
      </c>
      <c r="AH5" s="410">
        <f>[2]WATER!AH36</f>
        <v>0</v>
      </c>
      <c r="AI5" s="410">
        <f>[2]WATER!AI36</f>
        <v>0</v>
      </c>
      <c r="AJ5" s="410">
        <f>[2]WATER!AJ36</f>
        <v>1</v>
      </c>
      <c r="AK5" s="410">
        <f>[2]WATER!AK36</f>
        <v>0</v>
      </c>
      <c r="AL5" s="410">
        <f>[2]WATER!AL36</f>
        <v>1</v>
      </c>
      <c r="AM5" s="410">
        <f>[2]WATER!AM36</f>
        <v>0</v>
      </c>
      <c r="AN5" s="410">
        <f>[2]WATER!AN36</f>
        <v>0</v>
      </c>
      <c r="AO5" s="410">
        <f>[2]WATER!AO36</f>
        <v>0</v>
      </c>
      <c r="AP5" s="410">
        <f>[2]WATER!AP36</f>
        <v>0</v>
      </c>
      <c r="AQ5" s="410">
        <f>[2]WATER!AQ36</f>
        <v>0</v>
      </c>
      <c r="AR5" s="410">
        <f>[2]WATER!AR36</f>
        <v>44227</v>
      </c>
      <c r="AS5" s="410">
        <f>[2]WATER!AS36</f>
        <v>0.9</v>
      </c>
      <c r="AT5" s="410">
        <f>[2]WATER!AT36</f>
        <v>182</v>
      </c>
      <c r="AU5" s="410">
        <f>[2]WATER!AU36</f>
        <v>1.1000000000000001</v>
      </c>
      <c r="AV5" s="410">
        <f>[2]WATER!AV36</f>
        <v>150</v>
      </c>
      <c r="AW5" s="410">
        <f>[2]WATER!AW36</f>
        <v>2.9</v>
      </c>
      <c r="AX5" s="410">
        <f>[2]WATER!AX36</f>
        <v>166</v>
      </c>
      <c r="AY5" s="410">
        <f>[2]WATER!AY36</f>
        <v>163.80000000000001</v>
      </c>
      <c r="AZ5" s="410">
        <f>[2]WATER!AZ36</f>
        <v>165</v>
      </c>
      <c r="BA5" s="410">
        <f>[2]WATER!BA36</f>
        <v>481.4</v>
      </c>
      <c r="BB5" s="410">
        <f>[2]WATER!BB36</f>
        <v>0</v>
      </c>
      <c r="BC5" s="410">
        <f>[2]WATER!BC36</f>
        <v>-2.2000000000000171</v>
      </c>
      <c r="BD5" s="410">
        <f>[2]WATER!BD36</f>
        <v>-2.9000000000000341</v>
      </c>
      <c r="BE5" s="410">
        <f>[2]WATER!BE36</f>
        <v>-5.1000000000000512</v>
      </c>
      <c r="BF5" s="410">
        <f>[2]WATER!BF36</f>
        <v>5.1000000000000512</v>
      </c>
      <c r="BG5" s="410">
        <f>[2]WATER!BG36</f>
        <v>-5.1000000000000512</v>
      </c>
    </row>
    <row r="6" spans="1:65" ht="15.7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1</v>
      </c>
      <c r="V6" s="5">
        <v>460</v>
      </c>
      <c r="W6" s="324">
        <f>+V6-V5</f>
        <v>0</v>
      </c>
      <c r="X6" s="5">
        <v>150077</v>
      </c>
      <c r="Y6" s="324">
        <f>SUM(X6-X5)</f>
        <v>0</v>
      </c>
      <c r="Z6" s="5">
        <f>Z5</f>
        <v>98262</v>
      </c>
      <c r="AA6" s="83">
        <f>Z6-Z5</f>
        <v>0</v>
      </c>
      <c r="AB6" s="5">
        <f>AB5</f>
        <v>256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18.5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-28.800000000000011</v>
      </c>
      <c r="BC6" s="21">
        <f>AZ6-AZ5</f>
        <v>-2.1999999999999886</v>
      </c>
      <c r="BD6" s="21">
        <f>BA6-BA5</f>
        <v>-2.8999999999999773</v>
      </c>
      <c r="BE6" s="24">
        <f>SUM(BB6:BD6)</f>
        <v>-33.899999999999977</v>
      </c>
      <c r="BF6" s="96">
        <f t="shared" ref="BF6:BF33" si="8">SUM(I6-BE6)</f>
        <v>33.899999999999977</v>
      </c>
      <c r="BG6" s="82">
        <f t="shared" ref="BG6:BG33" si="9">SUM(I6-BF6)</f>
        <v>-33.899999999999977</v>
      </c>
      <c r="BI6" s="17"/>
      <c r="BJ6" s="17"/>
      <c r="BK6" s="17"/>
      <c r="BL6" s="17"/>
      <c r="BM6" s="17"/>
    </row>
    <row r="7" spans="1:65" ht="15.7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150077</v>
      </c>
      <c r="Y7" s="324">
        <f>SUM(X7-X6)</f>
        <v>0</v>
      </c>
      <c r="Z7" s="5">
        <f t="shared" si="17"/>
        <v>98262</v>
      </c>
      <c r="AA7" s="83">
        <f t="shared" ref="AA7:AA33" si="19">Z7-Z6</f>
        <v>0</v>
      </c>
      <c r="AB7" s="5">
        <f t="shared" si="17"/>
        <v>256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20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v>150</v>
      </c>
      <c r="AU7" s="425">
        <f>AU6</f>
        <v>1.1000000000000001</v>
      </c>
      <c r="AV7" s="201">
        <v>143</v>
      </c>
      <c r="AW7" s="5">
        <v>2.9</v>
      </c>
      <c r="AX7" s="201">
        <v>163</v>
      </c>
      <c r="AY7" s="426">
        <f t="shared" si="7"/>
        <v>135</v>
      </c>
      <c r="AZ7" s="426">
        <f t="shared" ref="AZ7:AZ33" si="26">AU7*AV7</f>
        <v>157.30000000000001</v>
      </c>
      <c r="BA7" s="426">
        <f t="shared" ref="BA7:BA33" si="27">AW7*AX7</f>
        <v>472.7</v>
      </c>
      <c r="BB7" s="21">
        <f t="shared" ref="BB7:BD33" si="28">AY7-AY6</f>
        <v>0</v>
      </c>
      <c r="BC7" s="21">
        <f t="shared" ref="BC7:BD21" si="29">AZ7-AZ6</f>
        <v>-5.5</v>
      </c>
      <c r="BD7" s="21">
        <f t="shared" si="29"/>
        <v>-5.8000000000000114</v>
      </c>
      <c r="BE7" s="24">
        <f t="shared" ref="BE7:BE33" si="30">SUM(BB7:BD7)</f>
        <v>-11.300000000000011</v>
      </c>
      <c r="BF7" s="96">
        <f t="shared" si="8"/>
        <v>11.300000000000011</v>
      </c>
      <c r="BG7" s="82">
        <f t="shared" si="9"/>
        <v>-11.300000000000011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v>461</v>
      </c>
      <c r="W8" s="324">
        <f t="shared" si="18"/>
        <v>1</v>
      </c>
      <c r="X8" s="5">
        <f t="shared" si="17"/>
        <v>150077</v>
      </c>
      <c r="Y8" s="324">
        <f>SUM(X8-X7)</f>
        <v>0</v>
      </c>
      <c r="Z8" s="5">
        <f t="shared" si="17"/>
        <v>98262</v>
      </c>
      <c r="AA8" s="83">
        <f t="shared" si="19"/>
        <v>0</v>
      </c>
      <c r="AB8" s="5">
        <f t="shared" si="17"/>
        <v>256</v>
      </c>
      <c r="AC8" s="5">
        <f t="shared" si="17"/>
        <v>731</v>
      </c>
      <c r="AD8" s="83">
        <f t="shared" ref="AD8:AD33" si="31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2">SUM(Y8-L8)</f>
        <v>0</v>
      </c>
      <c r="AL8" s="327">
        <f t="shared" si="24"/>
        <v>-1</v>
      </c>
      <c r="AM8" s="327">
        <f>'General information '!D8</f>
        <v>17.5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v>146</v>
      </c>
      <c r="AU8" s="425">
        <v>1.1000000000000001</v>
      </c>
      <c r="AV8" s="201">
        <v>140</v>
      </c>
      <c r="AW8" s="5">
        <v>2.9</v>
      </c>
      <c r="AX8" s="201">
        <v>162</v>
      </c>
      <c r="AY8" s="426">
        <f t="shared" si="7"/>
        <v>131.4</v>
      </c>
      <c r="AZ8" s="426">
        <f t="shared" si="26"/>
        <v>154</v>
      </c>
      <c r="BA8" s="426">
        <f t="shared" si="27"/>
        <v>469.8</v>
      </c>
      <c r="BB8" s="21">
        <f t="shared" si="28"/>
        <v>-3.5999999999999943</v>
      </c>
      <c r="BC8" s="21">
        <f t="shared" si="29"/>
        <v>-3.3000000000000114</v>
      </c>
      <c r="BD8" s="21">
        <f t="shared" si="29"/>
        <v>-2.8999999999999773</v>
      </c>
      <c r="BE8" s="24">
        <f t="shared" si="30"/>
        <v>-9.7999999999999829</v>
      </c>
      <c r="BF8" s="96">
        <f t="shared" si="8"/>
        <v>9.7999999999999829</v>
      </c>
      <c r="BG8" s="82">
        <f t="shared" si="9"/>
        <v>-9.7999999999999829</v>
      </c>
      <c r="BI8" s="86"/>
      <c r="BJ8" s="17"/>
      <c r="BK8" s="17"/>
    </row>
    <row r="9" spans="1:65" ht="15.7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3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461</v>
      </c>
      <c r="W9" s="324">
        <f t="shared" si="18"/>
        <v>0</v>
      </c>
      <c r="X9" s="5">
        <f t="shared" si="17"/>
        <v>150077</v>
      </c>
      <c r="Y9" s="324">
        <f t="shared" ref="Y9:Y33" si="34">SUM(X9-X8)</f>
        <v>0</v>
      </c>
      <c r="Z9" s="5">
        <f t="shared" si="17"/>
        <v>98262</v>
      </c>
      <c r="AA9" s="83">
        <f t="shared" si="19"/>
        <v>0</v>
      </c>
      <c r="AB9" s="5">
        <f t="shared" si="17"/>
        <v>256</v>
      </c>
      <c r="AC9" s="5">
        <f t="shared" si="17"/>
        <v>731</v>
      </c>
      <c r="AD9" s="83">
        <f t="shared" si="31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2"/>
        <v>0</v>
      </c>
      <c r="AL9" s="327">
        <f t="shared" si="24"/>
        <v>0</v>
      </c>
      <c r="AM9" s="327">
        <f>'General information '!D9</f>
        <v>17.5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146</v>
      </c>
      <c r="AU9" s="425">
        <f t="shared" ref="AU9:AV33" si="35">AU8</f>
        <v>1.1000000000000001</v>
      </c>
      <c r="AV9" s="201">
        <v>136</v>
      </c>
      <c r="AW9" s="5">
        <v>2.9</v>
      </c>
      <c r="AX9" s="201">
        <v>157</v>
      </c>
      <c r="AY9" s="426">
        <f t="shared" si="7"/>
        <v>131.4</v>
      </c>
      <c r="AZ9" s="426">
        <f t="shared" si="26"/>
        <v>149.60000000000002</v>
      </c>
      <c r="BA9" s="426">
        <f t="shared" si="27"/>
        <v>455.3</v>
      </c>
      <c r="BB9" s="21">
        <f t="shared" si="28"/>
        <v>0</v>
      </c>
      <c r="BC9" s="21">
        <f t="shared" si="29"/>
        <v>-4.3999999999999773</v>
      </c>
      <c r="BD9" s="21">
        <f t="shared" si="29"/>
        <v>-14.5</v>
      </c>
      <c r="BE9" s="24">
        <f t="shared" si="30"/>
        <v>-18.899999999999977</v>
      </c>
      <c r="BF9" s="345">
        <f t="shared" si="8"/>
        <v>18.899999999999977</v>
      </c>
      <c r="BG9" s="82">
        <f t="shared" si="9"/>
        <v>-18.899999999999977</v>
      </c>
    </row>
    <row r="10" spans="1:65" ht="15.7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6715</v>
      </c>
      <c r="L10" s="83">
        <f>K10-K9</f>
        <v>-1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461</v>
      </c>
      <c r="W10" s="324">
        <f t="shared" si="18"/>
        <v>0</v>
      </c>
      <c r="X10" s="5">
        <f t="shared" si="17"/>
        <v>150077</v>
      </c>
      <c r="Y10" s="324">
        <f t="shared" si="34"/>
        <v>0</v>
      </c>
      <c r="Z10" s="5">
        <f t="shared" si="17"/>
        <v>98262</v>
      </c>
      <c r="AA10" s="83">
        <f t="shared" si="19"/>
        <v>0</v>
      </c>
      <c r="AB10" s="5">
        <f t="shared" si="17"/>
        <v>256</v>
      </c>
      <c r="AC10" s="5">
        <f t="shared" si="17"/>
        <v>731</v>
      </c>
      <c r="AD10" s="83">
        <f t="shared" si="31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2"/>
        <v>1</v>
      </c>
      <c r="AL10" s="327">
        <f t="shared" si="24"/>
        <v>0</v>
      </c>
      <c r="AM10" s="327">
        <f>'General information '!D10</f>
        <v>17.5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v>146</v>
      </c>
      <c r="AU10" s="425">
        <f t="shared" si="35"/>
        <v>1.1000000000000001</v>
      </c>
      <c r="AV10" s="201">
        <v>133</v>
      </c>
      <c r="AW10" s="5">
        <v>2.9</v>
      </c>
      <c r="AX10" s="201">
        <v>151</v>
      </c>
      <c r="AY10" s="426">
        <f t="shared" si="7"/>
        <v>131.4</v>
      </c>
      <c r="AZ10" s="426">
        <f t="shared" si="26"/>
        <v>146.30000000000001</v>
      </c>
      <c r="BA10" s="426">
        <f t="shared" si="27"/>
        <v>437.9</v>
      </c>
      <c r="BB10" s="21">
        <f t="shared" si="28"/>
        <v>0</v>
      </c>
      <c r="BC10" s="21">
        <f t="shared" si="29"/>
        <v>-3.3000000000000114</v>
      </c>
      <c r="BD10" s="21">
        <f t="shared" si="29"/>
        <v>-17.400000000000034</v>
      </c>
      <c r="BE10" s="24">
        <f t="shared" si="30"/>
        <v>-20.700000000000045</v>
      </c>
      <c r="BF10" s="96">
        <f t="shared" si="8"/>
        <v>20.700000000000045</v>
      </c>
      <c r="BG10" s="82">
        <f t="shared" si="9"/>
        <v>-20.700000000000045</v>
      </c>
    </row>
    <row r="11" spans="1:65" ht="15.7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6715.5</v>
      </c>
      <c r="L11" s="83">
        <f t="shared" si="33"/>
        <v>0.5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461</v>
      </c>
      <c r="W11" s="324">
        <f t="shared" si="18"/>
        <v>0</v>
      </c>
      <c r="X11" s="5">
        <f t="shared" si="17"/>
        <v>150077</v>
      </c>
      <c r="Y11" s="324">
        <f t="shared" si="34"/>
        <v>0</v>
      </c>
      <c r="Z11" s="5">
        <f t="shared" si="17"/>
        <v>98262</v>
      </c>
      <c r="AA11" s="83">
        <f t="shared" si="19"/>
        <v>0</v>
      </c>
      <c r="AB11" s="5">
        <f t="shared" si="17"/>
        <v>256</v>
      </c>
      <c r="AC11" s="5">
        <f t="shared" si="17"/>
        <v>731</v>
      </c>
      <c r="AD11" s="83">
        <f t="shared" si="31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2"/>
        <v>-0.5</v>
      </c>
      <c r="AL11" s="327">
        <f t="shared" si="24"/>
        <v>0</v>
      </c>
      <c r="AM11" s="327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146</v>
      </c>
      <c r="AU11" s="425">
        <f t="shared" si="35"/>
        <v>1.1000000000000001</v>
      </c>
      <c r="AV11" s="201">
        <v>130</v>
      </c>
      <c r="AW11" s="5">
        <v>2.9</v>
      </c>
      <c r="AX11" s="201">
        <v>147</v>
      </c>
      <c r="AY11" s="426">
        <f t="shared" si="7"/>
        <v>131.4</v>
      </c>
      <c r="AZ11" s="426">
        <f t="shared" si="26"/>
        <v>143</v>
      </c>
      <c r="BA11" s="426">
        <f t="shared" si="27"/>
        <v>426.3</v>
      </c>
      <c r="BB11" s="21">
        <f t="shared" si="28"/>
        <v>0</v>
      </c>
      <c r="BC11" s="21">
        <f t="shared" si="29"/>
        <v>-3.3000000000000114</v>
      </c>
      <c r="BD11" s="21">
        <f t="shared" si="29"/>
        <v>-11.599999999999966</v>
      </c>
      <c r="BE11" s="24">
        <f t="shared" si="30"/>
        <v>-14.899999999999977</v>
      </c>
      <c r="BF11" s="96">
        <f t="shared" si="8"/>
        <v>14.899999999999977</v>
      </c>
      <c r="BG11" s="82">
        <f t="shared" si="9"/>
        <v>-14.899999999999977</v>
      </c>
    </row>
    <row r="12" spans="1:65" ht="15.7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3"/>
        <v>0.5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461</v>
      </c>
      <c r="W12" s="324">
        <f t="shared" si="18"/>
        <v>0</v>
      </c>
      <c r="X12" s="5">
        <f t="shared" si="17"/>
        <v>150077</v>
      </c>
      <c r="Y12" s="324">
        <f t="shared" si="34"/>
        <v>0</v>
      </c>
      <c r="Z12" s="5">
        <f t="shared" si="17"/>
        <v>98262</v>
      </c>
      <c r="AA12" s="83">
        <f t="shared" si="19"/>
        <v>0</v>
      </c>
      <c r="AB12" s="5">
        <f t="shared" si="17"/>
        <v>256</v>
      </c>
      <c r="AC12" s="5">
        <f t="shared" si="17"/>
        <v>731</v>
      </c>
      <c r="AD12" s="83">
        <f t="shared" si="31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2"/>
        <v>-0.5</v>
      </c>
      <c r="AL12" s="327">
        <f t="shared" si="24"/>
        <v>0</v>
      </c>
      <c r="AM12" s="327">
        <f>'General information '!D12</f>
        <v>19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v>146</v>
      </c>
      <c r="AU12" s="425">
        <f t="shared" si="35"/>
        <v>1.1000000000000001</v>
      </c>
      <c r="AV12" s="201">
        <v>128</v>
      </c>
      <c r="AW12" s="5">
        <v>2.9</v>
      </c>
      <c r="AX12" s="201">
        <v>143</v>
      </c>
      <c r="AY12" s="426">
        <f t="shared" si="7"/>
        <v>131.4</v>
      </c>
      <c r="AZ12" s="426">
        <f t="shared" si="26"/>
        <v>140.80000000000001</v>
      </c>
      <c r="BA12" s="426">
        <f t="shared" si="27"/>
        <v>414.7</v>
      </c>
      <c r="BB12" s="21">
        <f t="shared" si="28"/>
        <v>0</v>
      </c>
      <c r="BC12" s="21">
        <f t="shared" si="29"/>
        <v>-2.1999999999999886</v>
      </c>
      <c r="BD12" s="21">
        <f t="shared" si="29"/>
        <v>-11.600000000000023</v>
      </c>
      <c r="BE12" s="24">
        <f t="shared" si="30"/>
        <v>-13.800000000000011</v>
      </c>
      <c r="BF12" s="96">
        <f t="shared" si="8"/>
        <v>13.800000000000011</v>
      </c>
      <c r="BG12" s="82">
        <f t="shared" si="9"/>
        <v>-13.800000000000011</v>
      </c>
    </row>
    <row r="13" spans="1:65" ht="15.7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6717</v>
      </c>
      <c r="L13" s="83">
        <f t="shared" si="33"/>
        <v>1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461</v>
      </c>
      <c r="W13" s="324">
        <f t="shared" si="18"/>
        <v>0</v>
      </c>
      <c r="X13" s="5">
        <f t="shared" si="17"/>
        <v>150077</v>
      </c>
      <c r="Y13" s="324">
        <f t="shared" si="34"/>
        <v>0</v>
      </c>
      <c r="Z13" s="5">
        <f t="shared" si="17"/>
        <v>98262</v>
      </c>
      <c r="AA13" s="83">
        <f t="shared" si="19"/>
        <v>0</v>
      </c>
      <c r="AB13" s="5">
        <f t="shared" si="17"/>
        <v>256</v>
      </c>
      <c r="AC13" s="5">
        <f t="shared" si="17"/>
        <v>731</v>
      </c>
      <c r="AD13" s="83">
        <f t="shared" si="31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2"/>
        <v>-1</v>
      </c>
      <c r="AL13" s="327">
        <f t="shared" si="24"/>
        <v>0</v>
      </c>
      <c r="AM13" s="327">
        <f>'General information '!D13</f>
        <v>21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146</v>
      </c>
      <c r="AU13" s="425">
        <f t="shared" si="35"/>
        <v>1.1000000000000001</v>
      </c>
      <c r="AV13" s="201">
        <v>126</v>
      </c>
      <c r="AW13" s="5">
        <v>2.9</v>
      </c>
      <c r="AX13" s="201">
        <v>140</v>
      </c>
      <c r="AY13" s="426">
        <f t="shared" si="7"/>
        <v>131.4</v>
      </c>
      <c r="AZ13" s="426">
        <f t="shared" si="26"/>
        <v>138.60000000000002</v>
      </c>
      <c r="BA13" s="426">
        <f t="shared" si="27"/>
        <v>406</v>
      </c>
      <c r="BB13" s="21">
        <f t="shared" si="28"/>
        <v>0</v>
      </c>
      <c r="BC13" s="21">
        <f t="shared" si="29"/>
        <v>-2.1999999999999886</v>
      </c>
      <c r="BD13" s="21">
        <f t="shared" si="29"/>
        <v>-8.6999999999999886</v>
      </c>
      <c r="BE13" s="24">
        <f t="shared" si="30"/>
        <v>-10.899999999999977</v>
      </c>
      <c r="BF13" s="96">
        <f t="shared" si="8"/>
        <v>10.899999999999977</v>
      </c>
      <c r="BG13" s="82">
        <f t="shared" si="9"/>
        <v>-10.899999999999977</v>
      </c>
    </row>
    <row r="14" spans="1:65" ht="15.7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6718</v>
      </c>
      <c r="L14" s="83">
        <f t="shared" si="33"/>
        <v>1</v>
      </c>
      <c r="M14" s="410">
        <f t="shared" si="15"/>
        <v>457.44</v>
      </c>
      <c r="N14" s="514">
        <f t="shared" ref="N14:N33" si="36">SUM(M14-M13)</f>
        <v>0</v>
      </c>
      <c r="O14" s="410">
        <f t="shared" si="16"/>
        <v>529.52</v>
      </c>
      <c r="P14" s="514">
        <f t="shared" ref="P14:P33" si="37">SUM(O14-O13)</f>
        <v>0</v>
      </c>
      <c r="Q14" s="514">
        <f t="shared" ref="Q14:Q33" si="38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461</v>
      </c>
      <c r="W14" s="324">
        <f t="shared" si="18"/>
        <v>0</v>
      </c>
      <c r="X14" s="5">
        <f t="shared" si="17"/>
        <v>150077</v>
      </c>
      <c r="Y14" s="324">
        <f t="shared" si="34"/>
        <v>0</v>
      </c>
      <c r="Z14" s="5">
        <f t="shared" si="17"/>
        <v>98262</v>
      </c>
      <c r="AA14" s="83">
        <f t="shared" si="19"/>
        <v>0</v>
      </c>
      <c r="AB14" s="5">
        <f t="shared" si="17"/>
        <v>256</v>
      </c>
      <c r="AC14" s="5">
        <f t="shared" si="17"/>
        <v>731</v>
      </c>
      <c r="AD14" s="83">
        <f t="shared" si="31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2"/>
        <v>-1</v>
      </c>
      <c r="AL14" s="327">
        <f t="shared" si="24"/>
        <v>0</v>
      </c>
      <c r="AM14" s="327">
        <f>'General information '!D14</f>
        <v>19.5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146</v>
      </c>
      <c r="AU14" s="425">
        <f t="shared" si="35"/>
        <v>1.1000000000000001</v>
      </c>
      <c r="AV14" s="201">
        <v>122</v>
      </c>
      <c r="AW14" s="5">
        <v>2.9</v>
      </c>
      <c r="AX14" s="201">
        <v>137</v>
      </c>
      <c r="AY14" s="426">
        <f t="shared" si="7"/>
        <v>131.4</v>
      </c>
      <c r="AZ14" s="426">
        <f t="shared" si="26"/>
        <v>134.20000000000002</v>
      </c>
      <c r="BA14" s="426">
        <f t="shared" si="27"/>
        <v>397.3</v>
      </c>
      <c r="BB14" s="21">
        <f t="shared" si="28"/>
        <v>0</v>
      </c>
      <c r="BC14" s="21">
        <f t="shared" si="29"/>
        <v>-4.4000000000000057</v>
      </c>
      <c r="BD14" s="21">
        <f t="shared" si="29"/>
        <v>-8.6999999999999886</v>
      </c>
      <c r="BE14" s="24">
        <f t="shared" si="30"/>
        <v>-13.099999999999994</v>
      </c>
      <c r="BF14" s="96">
        <f t="shared" si="8"/>
        <v>13.099999999999994</v>
      </c>
      <c r="BG14" s="82">
        <f t="shared" si="9"/>
        <v>-13.099999999999994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6718</v>
      </c>
      <c r="L15" s="83">
        <f t="shared" si="33"/>
        <v>0</v>
      </c>
      <c r="M15" s="410">
        <f t="shared" si="15"/>
        <v>457.44</v>
      </c>
      <c r="N15" s="514">
        <f t="shared" si="36"/>
        <v>0</v>
      </c>
      <c r="O15" s="410">
        <f t="shared" si="16"/>
        <v>529.52</v>
      </c>
      <c r="P15" s="514">
        <f t="shared" si="37"/>
        <v>0</v>
      </c>
      <c r="Q15" s="514">
        <f t="shared" si="38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461</v>
      </c>
      <c r="W15" s="324">
        <f t="shared" si="18"/>
        <v>0</v>
      </c>
      <c r="X15" s="5">
        <f t="shared" si="17"/>
        <v>150077</v>
      </c>
      <c r="Y15" s="324">
        <f t="shared" si="34"/>
        <v>0</v>
      </c>
      <c r="Z15" s="5">
        <f t="shared" si="17"/>
        <v>98262</v>
      </c>
      <c r="AA15" s="83">
        <f t="shared" si="19"/>
        <v>0</v>
      </c>
      <c r="AB15" s="5">
        <f t="shared" si="17"/>
        <v>256</v>
      </c>
      <c r="AC15" s="5">
        <f t="shared" si="17"/>
        <v>731</v>
      </c>
      <c r="AD15" s="83">
        <f t="shared" si="31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2"/>
        <v>0</v>
      </c>
      <c r="AL15" s="327">
        <f t="shared" si="24"/>
        <v>0</v>
      </c>
      <c r="AM15" s="327">
        <f>'General information '!D15</f>
        <v>16.5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146</v>
      </c>
      <c r="AU15" s="425">
        <f t="shared" si="35"/>
        <v>1.1000000000000001</v>
      </c>
      <c r="AV15" s="201">
        <v>119</v>
      </c>
      <c r="AW15" s="5">
        <v>2.9</v>
      </c>
      <c r="AX15" s="201">
        <v>135</v>
      </c>
      <c r="AY15" s="426">
        <f t="shared" si="7"/>
        <v>131.4</v>
      </c>
      <c r="AZ15" s="426">
        <f t="shared" si="26"/>
        <v>130.9</v>
      </c>
      <c r="BA15" s="426">
        <f t="shared" si="27"/>
        <v>391.5</v>
      </c>
      <c r="BB15" s="21">
        <f t="shared" si="28"/>
        <v>0</v>
      </c>
      <c r="BC15" s="21">
        <f t="shared" si="29"/>
        <v>-3.3000000000000114</v>
      </c>
      <c r="BD15" s="21">
        <f t="shared" si="29"/>
        <v>-5.8000000000000114</v>
      </c>
      <c r="BE15" s="24">
        <f t="shared" si="30"/>
        <v>-9.1000000000000227</v>
      </c>
      <c r="BF15" s="96">
        <f t="shared" si="8"/>
        <v>9.1000000000000227</v>
      </c>
      <c r="BG15" s="82">
        <f t="shared" si="9"/>
        <v>-9.1000000000000227</v>
      </c>
    </row>
    <row r="16" spans="1:65" ht="15.7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6718</v>
      </c>
      <c r="L16" s="274">
        <f t="shared" si="33"/>
        <v>0</v>
      </c>
      <c r="M16" s="410">
        <f t="shared" si="15"/>
        <v>457.44</v>
      </c>
      <c r="N16" s="514">
        <f t="shared" si="36"/>
        <v>0</v>
      </c>
      <c r="O16" s="410">
        <f t="shared" si="16"/>
        <v>529.52</v>
      </c>
      <c r="P16" s="514">
        <f t="shared" si="37"/>
        <v>0</v>
      </c>
      <c r="Q16" s="514">
        <f t="shared" si="38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461</v>
      </c>
      <c r="W16" s="324">
        <f t="shared" si="18"/>
        <v>0</v>
      </c>
      <c r="X16" s="5">
        <f t="shared" si="17"/>
        <v>150077</v>
      </c>
      <c r="Y16" s="324">
        <f t="shared" si="34"/>
        <v>0</v>
      </c>
      <c r="Z16" s="5">
        <f t="shared" si="17"/>
        <v>98262</v>
      </c>
      <c r="AA16" s="83">
        <f t="shared" si="19"/>
        <v>0</v>
      </c>
      <c r="AB16" s="5">
        <f t="shared" si="17"/>
        <v>256</v>
      </c>
      <c r="AC16" s="5">
        <f t="shared" si="17"/>
        <v>731</v>
      </c>
      <c r="AD16" s="83">
        <f t="shared" si="31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2"/>
        <v>0</v>
      </c>
      <c r="AL16" s="327">
        <f t="shared" si="24"/>
        <v>0</v>
      </c>
      <c r="AM16" s="327">
        <f>'General information '!D16</f>
        <v>15.5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146</v>
      </c>
      <c r="AU16" s="425">
        <f t="shared" si="35"/>
        <v>1.1000000000000001</v>
      </c>
      <c r="AV16" s="201">
        <v>114</v>
      </c>
      <c r="AW16" s="5">
        <v>2.9</v>
      </c>
      <c r="AX16" s="201">
        <v>133</v>
      </c>
      <c r="AY16" s="426">
        <f t="shared" si="7"/>
        <v>131.4</v>
      </c>
      <c r="AZ16" s="426">
        <f t="shared" si="26"/>
        <v>125.4</v>
      </c>
      <c r="BA16" s="426">
        <f t="shared" si="27"/>
        <v>385.7</v>
      </c>
      <c r="BB16" s="21">
        <f t="shared" si="28"/>
        <v>0</v>
      </c>
      <c r="BC16" s="21">
        <f t="shared" si="29"/>
        <v>-5.5</v>
      </c>
      <c r="BD16" s="21">
        <f t="shared" si="29"/>
        <v>-5.8000000000000114</v>
      </c>
      <c r="BE16" s="24">
        <f t="shared" si="30"/>
        <v>-11.300000000000011</v>
      </c>
      <c r="BF16" s="96">
        <f t="shared" si="8"/>
        <v>11.300000000000011</v>
      </c>
      <c r="BG16" s="82">
        <f t="shared" si="9"/>
        <v>-11.300000000000011</v>
      </c>
    </row>
    <row r="17" spans="1:61" ht="15.7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6718</v>
      </c>
      <c r="L17" s="83">
        <f t="shared" si="33"/>
        <v>0</v>
      </c>
      <c r="M17" s="410">
        <f t="shared" si="15"/>
        <v>457.44</v>
      </c>
      <c r="N17" s="514">
        <f t="shared" si="36"/>
        <v>0</v>
      </c>
      <c r="O17" s="410">
        <f t="shared" si="16"/>
        <v>529.52</v>
      </c>
      <c r="P17" s="514">
        <f t="shared" si="37"/>
        <v>0</v>
      </c>
      <c r="Q17" s="514">
        <f t="shared" si="38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461</v>
      </c>
      <c r="W17" s="324">
        <f t="shared" si="18"/>
        <v>0</v>
      </c>
      <c r="X17" s="5">
        <f t="shared" si="17"/>
        <v>150077</v>
      </c>
      <c r="Y17" s="324">
        <f t="shared" si="34"/>
        <v>0</v>
      </c>
      <c r="Z17" s="5">
        <f t="shared" si="17"/>
        <v>98262</v>
      </c>
      <c r="AA17" s="83">
        <f t="shared" si="19"/>
        <v>0</v>
      </c>
      <c r="AB17" s="5">
        <f t="shared" si="17"/>
        <v>256</v>
      </c>
      <c r="AC17" s="5">
        <f t="shared" si="17"/>
        <v>731</v>
      </c>
      <c r="AD17" s="83">
        <f t="shared" si="31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146</v>
      </c>
      <c r="AU17" s="425">
        <f t="shared" si="35"/>
        <v>1.1000000000000001</v>
      </c>
      <c r="AV17" s="201">
        <v>110</v>
      </c>
      <c r="AW17" s="5">
        <v>2.9</v>
      </c>
      <c r="AX17" s="201">
        <v>130</v>
      </c>
      <c r="AY17" s="426">
        <f t="shared" si="7"/>
        <v>131.4</v>
      </c>
      <c r="AZ17" s="426">
        <f t="shared" si="26"/>
        <v>121.00000000000001</v>
      </c>
      <c r="BA17" s="426">
        <f t="shared" si="27"/>
        <v>377</v>
      </c>
      <c r="BB17" s="21">
        <f t="shared" si="28"/>
        <v>0</v>
      </c>
      <c r="BC17" s="21">
        <f t="shared" si="29"/>
        <v>-4.3999999999999915</v>
      </c>
      <c r="BD17" s="21">
        <f t="shared" si="29"/>
        <v>-8.6999999999999886</v>
      </c>
      <c r="BE17" s="24">
        <f t="shared" si="30"/>
        <v>-13.09999999999998</v>
      </c>
      <c r="BF17" s="96">
        <f t="shared" si="8"/>
        <v>13.09999999999998</v>
      </c>
      <c r="BG17" s="82">
        <f t="shared" si="9"/>
        <v>-13.09999999999998</v>
      </c>
    </row>
    <row r="18" spans="1:61" ht="15.7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6718</v>
      </c>
      <c r="L18" s="83">
        <f t="shared" si="33"/>
        <v>0</v>
      </c>
      <c r="M18" s="410">
        <f t="shared" si="15"/>
        <v>457.44</v>
      </c>
      <c r="N18" s="514">
        <f t="shared" si="36"/>
        <v>0</v>
      </c>
      <c r="O18" s="410">
        <f t="shared" si="16"/>
        <v>529.52</v>
      </c>
      <c r="P18" s="514">
        <f t="shared" si="37"/>
        <v>0</v>
      </c>
      <c r="Q18" s="514">
        <f t="shared" si="38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461</v>
      </c>
      <c r="W18" s="324">
        <f t="shared" si="18"/>
        <v>0</v>
      </c>
      <c r="X18" s="5">
        <v>150141</v>
      </c>
      <c r="Y18" s="324">
        <f t="shared" si="34"/>
        <v>64</v>
      </c>
      <c r="Z18" s="5">
        <v>98323</v>
      </c>
      <c r="AA18" s="83">
        <f t="shared" si="19"/>
        <v>61</v>
      </c>
      <c r="AB18" s="5">
        <f t="shared" si="17"/>
        <v>256</v>
      </c>
      <c r="AC18" s="5">
        <f t="shared" si="17"/>
        <v>731</v>
      </c>
      <c r="AD18" s="83">
        <f t="shared" si="31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61</v>
      </c>
      <c r="AK18" s="327">
        <f>SUM(Y18-L18)</f>
        <v>64</v>
      </c>
      <c r="AL18" s="327">
        <f t="shared" si="24"/>
        <v>61</v>
      </c>
      <c r="AM18" s="327">
        <f>'General information '!D18</f>
        <v>16.5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v>0</v>
      </c>
      <c r="AU18" s="425">
        <f t="shared" si="35"/>
        <v>1.1000000000000001</v>
      </c>
      <c r="AV18" s="201">
        <v>152</v>
      </c>
      <c r="AW18" s="5">
        <v>2.9</v>
      </c>
      <c r="AX18" s="201">
        <v>144</v>
      </c>
      <c r="AY18" s="426">
        <f t="shared" si="7"/>
        <v>0</v>
      </c>
      <c r="AZ18" s="426">
        <f t="shared" si="26"/>
        <v>167.20000000000002</v>
      </c>
      <c r="BA18" s="426">
        <f t="shared" si="27"/>
        <v>417.59999999999997</v>
      </c>
      <c r="BB18" s="21">
        <f t="shared" si="28"/>
        <v>-131.4</v>
      </c>
      <c r="BC18" s="21">
        <f t="shared" si="29"/>
        <v>46.2</v>
      </c>
      <c r="BD18" s="21">
        <f t="shared" si="29"/>
        <v>40.599999999999966</v>
      </c>
      <c r="BE18" s="24">
        <f t="shared" si="30"/>
        <v>-44.600000000000037</v>
      </c>
      <c r="BF18" s="96">
        <f t="shared" si="8"/>
        <v>44.600000000000037</v>
      </c>
      <c r="BG18" s="82">
        <f t="shared" si="9"/>
        <v>-44.600000000000037</v>
      </c>
    </row>
    <row r="19" spans="1:61" ht="15.7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v>615653</v>
      </c>
      <c r="H19" s="5">
        <f t="shared" si="14"/>
        <v>279</v>
      </c>
      <c r="I19" s="5">
        <f t="shared" si="0"/>
        <v>279</v>
      </c>
      <c r="J19" s="334">
        <f t="shared" si="1"/>
        <v>0.96006144393241155</v>
      </c>
      <c r="K19" s="5">
        <f>'Swimming Pool quality check '!H19</f>
        <v>6718</v>
      </c>
      <c r="L19" s="83">
        <f t="shared" si="33"/>
        <v>0</v>
      </c>
      <c r="M19" s="410">
        <f t="shared" si="15"/>
        <v>457.44</v>
      </c>
      <c r="N19" s="514">
        <f t="shared" si="36"/>
        <v>0</v>
      </c>
      <c r="O19" s="410">
        <f t="shared" si="16"/>
        <v>529.52</v>
      </c>
      <c r="P19" s="514">
        <f t="shared" si="37"/>
        <v>0</v>
      </c>
      <c r="Q19" s="514">
        <f t="shared" si="38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461</v>
      </c>
      <c r="W19" s="324">
        <f t="shared" si="18"/>
        <v>0</v>
      </c>
      <c r="X19" s="5">
        <f t="shared" si="17"/>
        <v>150141</v>
      </c>
      <c r="Y19" s="324">
        <f t="shared" si="34"/>
        <v>0</v>
      </c>
      <c r="Z19" s="5">
        <f t="shared" si="17"/>
        <v>98323</v>
      </c>
      <c r="AA19" s="83">
        <f t="shared" si="19"/>
        <v>0</v>
      </c>
      <c r="AB19" s="5">
        <f t="shared" si="17"/>
        <v>256</v>
      </c>
      <c r="AC19" s="5">
        <f t="shared" si="17"/>
        <v>731</v>
      </c>
      <c r="AD19" s="83">
        <f t="shared" si="31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2"/>
        <v>0</v>
      </c>
      <c r="AL19" s="327">
        <f t="shared" si="24"/>
        <v>0</v>
      </c>
      <c r="AM19" s="327">
        <f>'General information '!D19</f>
        <v>15.5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v>158</v>
      </c>
      <c r="AU19" s="425">
        <f t="shared" si="35"/>
        <v>1.1000000000000001</v>
      </c>
      <c r="AV19" s="201">
        <v>148</v>
      </c>
      <c r="AW19" s="5">
        <v>2.9</v>
      </c>
      <c r="AX19" s="201">
        <v>142</v>
      </c>
      <c r="AY19" s="426">
        <f t="shared" ref="AY19:AY21" si="39">AS19*AT19</f>
        <v>142.20000000000002</v>
      </c>
      <c r="AZ19" s="426">
        <f t="shared" ref="AZ19:AZ21" si="40">AU19*AV19</f>
        <v>162.80000000000001</v>
      </c>
      <c r="BA19" s="426">
        <f t="shared" ref="BA19:BA21" si="41">AW19*AX19</f>
        <v>411.8</v>
      </c>
      <c r="BB19" s="21">
        <f t="shared" ref="BB19:BB20" si="42">AY19-AY18</f>
        <v>142.20000000000002</v>
      </c>
      <c r="BC19" s="21">
        <f t="shared" ref="BC19:BC20" si="43">AZ19-AZ18</f>
        <v>-4.4000000000000057</v>
      </c>
      <c r="BD19" s="21">
        <f t="shared" ref="BD19:BD20" si="44">BA19-BA18</f>
        <v>-5.7999999999999545</v>
      </c>
      <c r="BE19" s="24">
        <f t="shared" ref="BE19:BE20" si="45">SUM(BB19:BD19)</f>
        <v>132.00000000000006</v>
      </c>
      <c r="BF19" s="96">
        <f t="shared" si="8"/>
        <v>146.99999999999994</v>
      </c>
      <c r="BG19" s="82">
        <f t="shared" si="9"/>
        <v>132.00000000000006</v>
      </c>
    </row>
    <row r="20" spans="1:61" ht="15.7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615653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6720</v>
      </c>
      <c r="L20" s="83">
        <f t="shared" si="33"/>
        <v>2</v>
      </c>
      <c r="M20" s="410">
        <f t="shared" si="15"/>
        <v>457.44</v>
      </c>
      <c r="N20" s="514">
        <f t="shared" si="36"/>
        <v>0</v>
      </c>
      <c r="O20" s="410">
        <f t="shared" si="16"/>
        <v>529.52</v>
      </c>
      <c r="P20" s="514">
        <f t="shared" si="37"/>
        <v>0</v>
      </c>
      <c r="Q20" s="514">
        <f t="shared" si="38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461</v>
      </c>
      <c r="W20" s="324">
        <f t="shared" si="18"/>
        <v>0</v>
      </c>
      <c r="X20" s="5">
        <f t="shared" si="17"/>
        <v>150141</v>
      </c>
      <c r="Y20" s="324">
        <f t="shared" si="34"/>
        <v>0</v>
      </c>
      <c r="Z20" s="5">
        <f t="shared" si="17"/>
        <v>98323</v>
      </c>
      <c r="AA20" s="83">
        <f t="shared" si="19"/>
        <v>0</v>
      </c>
      <c r="AB20" s="5">
        <f t="shared" si="17"/>
        <v>256</v>
      </c>
      <c r="AC20" s="5">
        <f t="shared" si="17"/>
        <v>731</v>
      </c>
      <c r="AD20" s="83">
        <f t="shared" si="31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2"/>
        <v>-2</v>
      </c>
      <c r="AL20" s="327">
        <f t="shared" si="24"/>
        <v>0</v>
      </c>
      <c r="AM20" s="327">
        <f>'General information '!D20</f>
        <v>15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158</v>
      </c>
      <c r="AU20" s="425">
        <f t="shared" si="35"/>
        <v>1.1000000000000001</v>
      </c>
      <c r="AV20" s="201">
        <v>146</v>
      </c>
      <c r="AW20" s="5">
        <v>2.9</v>
      </c>
      <c r="AX20" s="201">
        <v>138</v>
      </c>
      <c r="AY20" s="426">
        <f t="shared" si="39"/>
        <v>142.20000000000002</v>
      </c>
      <c r="AZ20" s="426">
        <f t="shared" si="40"/>
        <v>160.60000000000002</v>
      </c>
      <c r="BA20" s="426">
        <f t="shared" si="41"/>
        <v>400.2</v>
      </c>
      <c r="BB20" s="21">
        <f t="shared" si="42"/>
        <v>0</v>
      </c>
      <c r="BC20" s="21">
        <f t="shared" si="43"/>
        <v>-2.1999999999999886</v>
      </c>
      <c r="BD20" s="21">
        <f t="shared" si="44"/>
        <v>-11.600000000000023</v>
      </c>
      <c r="BE20" s="24">
        <f t="shared" si="45"/>
        <v>-13.800000000000011</v>
      </c>
      <c r="BF20" s="96">
        <f t="shared" si="8"/>
        <v>13.800000000000011</v>
      </c>
      <c r="BG20" s="82">
        <f t="shared" si="9"/>
        <v>-13.800000000000011</v>
      </c>
    </row>
    <row r="21" spans="1:61" ht="15.7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v>615820</v>
      </c>
      <c r="H21" s="5">
        <f t="shared" si="14"/>
        <v>167</v>
      </c>
      <c r="I21" s="5">
        <f t="shared" si="0"/>
        <v>167</v>
      </c>
      <c r="J21" s="334">
        <f t="shared" si="1"/>
        <v>1.60393498716852</v>
      </c>
      <c r="K21" s="5">
        <f>'Swimming Pool quality check '!H21</f>
        <v>6720</v>
      </c>
      <c r="L21" s="83">
        <f t="shared" si="33"/>
        <v>0</v>
      </c>
      <c r="M21" s="410">
        <f t="shared" si="15"/>
        <v>457.44</v>
      </c>
      <c r="N21" s="514">
        <f t="shared" si="36"/>
        <v>0</v>
      </c>
      <c r="O21" s="410">
        <f t="shared" si="16"/>
        <v>529.52</v>
      </c>
      <c r="P21" s="514">
        <f t="shared" si="37"/>
        <v>0</v>
      </c>
      <c r="Q21" s="514">
        <f t="shared" si="38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461</v>
      </c>
      <c r="W21" s="324">
        <f t="shared" si="18"/>
        <v>0</v>
      </c>
      <c r="X21" s="5">
        <v>150281</v>
      </c>
      <c r="Y21" s="324">
        <f>SUM(X21-X20)</f>
        <v>140</v>
      </c>
      <c r="Z21" s="5">
        <v>98358</v>
      </c>
      <c r="AA21" s="83">
        <f t="shared" si="19"/>
        <v>35</v>
      </c>
      <c r="AB21" s="5">
        <f t="shared" si="17"/>
        <v>256</v>
      </c>
      <c r="AC21" s="5">
        <f t="shared" si="17"/>
        <v>731</v>
      </c>
      <c r="AD21" s="83">
        <f t="shared" si="31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35</v>
      </c>
      <c r="AK21" s="327">
        <f>SUM(Y21-L21)</f>
        <v>140</v>
      </c>
      <c r="AL21" s="327">
        <f t="shared" si="24"/>
        <v>35</v>
      </c>
      <c r="AM21" s="327">
        <f>'General information '!D21</f>
        <v>9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158</v>
      </c>
      <c r="AU21" s="425">
        <f t="shared" si="35"/>
        <v>1.1000000000000001</v>
      </c>
      <c r="AV21" s="201">
        <v>169</v>
      </c>
      <c r="AW21" s="5">
        <v>2.9</v>
      </c>
      <c r="AX21" s="201">
        <v>171</v>
      </c>
      <c r="AY21" s="426">
        <f t="shared" si="39"/>
        <v>142.20000000000002</v>
      </c>
      <c r="AZ21" s="426">
        <f t="shared" si="40"/>
        <v>185.9</v>
      </c>
      <c r="BA21" s="426">
        <f t="shared" si="41"/>
        <v>495.9</v>
      </c>
      <c r="BB21" s="21">
        <f t="shared" si="28"/>
        <v>0</v>
      </c>
      <c r="BC21" s="21">
        <f t="shared" si="29"/>
        <v>25.299999999999983</v>
      </c>
      <c r="BD21" s="21">
        <f t="shared" si="29"/>
        <v>95.699999999999989</v>
      </c>
      <c r="BE21" s="24">
        <f t="shared" si="30"/>
        <v>120.99999999999997</v>
      </c>
      <c r="BF21" s="96">
        <f t="shared" si="8"/>
        <v>46.000000000000028</v>
      </c>
      <c r="BG21" s="82">
        <f t="shared" si="9"/>
        <v>120.99999999999997</v>
      </c>
    </row>
    <row r="22" spans="1:61" ht="15.7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615820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6720</v>
      </c>
      <c r="L22" s="83">
        <f t="shared" si="33"/>
        <v>0</v>
      </c>
      <c r="M22" s="410">
        <f t="shared" si="15"/>
        <v>457.44</v>
      </c>
      <c r="N22" s="514">
        <f t="shared" si="36"/>
        <v>0</v>
      </c>
      <c r="O22" s="410">
        <f t="shared" si="16"/>
        <v>529.52</v>
      </c>
      <c r="P22" s="514">
        <f t="shared" si="37"/>
        <v>0</v>
      </c>
      <c r="Q22" s="514">
        <f t="shared" si="38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461</v>
      </c>
      <c r="W22" s="324">
        <f t="shared" si="18"/>
        <v>0</v>
      </c>
      <c r="X22" s="5">
        <f t="shared" si="17"/>
        <v>150281</v>
      </c>
      <c r="Y22" s="324">
        <f t="shared" si="34"/>
        <v>0</v>
      </c>
      <c r="Z22" s="5">
        <f t="shared" si="17"/>
        <v>98358</v>
      </c>
      <c r="AA22" s="83">
        <f t="shared" si="19"/>
        <v>0</v>
      </c>
      <c r="AB22" s="5">
        <f t="shared" si="17"/>
        <v>256</v>
      </c>
      <c r="AC22" s="5">
        <f t="shared" si="17"/>
        <v>731</v>
      </c>
      <c r="AD22" s="83">
        <f t="shared" si="31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2"/>
        <v>0</v>
      </c>
      <c r="AL22" s="327">
        <f t="shared" si="24"/>
        <v>0</v>
      </c>
      <c r="AM22" s="327">
        <f>'General information '!D22</f>
        <v>10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46">AS21</f>
        <v>0.9</v>
      </c>
      <c r="AT22" s="201">
        <v>158</v>
      </c>
      <c r="AU22" s="425">
        <f t="shared" si="35"/>
        <v>1.1000000000000001</v>
      </c>
      <c r="AV22" s="201">
        <v>165</v>
      </c>
      <c r="AW22" s="5">
        <v>2.9</v>
      </c>
      <c r="AX22" s="201">
        <v>169</v>
      </c>
      <c r="AY22" s="426">
        <f t="shared" si="7"/>
        <v>142.20000000000002</v>
      </c>
      <c r="AZ22" s="426">
        <f t="shared" si="26"/>
        <v>181.50000000000003</v>
      </c>
      <c r="BA22" s="426">
        <f t="shared" si="27"/>
        <v>490.09999999999997</v>
      </c>
      <c r="BB22" s="21">
        <f>AY22-AY21</f>
        <v>0</v>
      </c>
      <c r="BC22" s="21">
        <f t="shared" si="28"/>
        <v>-4.3999999999999773</v>
      </c>
      <c r="BD22" s="21">
        <f t="shared" si="28"/>
        <v>-5.8000000000000114</v>
      </c>
      <c r="BE22" s="24">
        <f t="shared" si="30"/>
        <v>-10.199999999999989</v>
      </c>
      <c r="BF22" s="96">
        <f t="shared" si="8"/>
        <v>10.199999999999989</v>
      </c>
      <c r="BG22" s="82">
        <f t="shared" si="9"/>
        <v>-10.199999999999989</v>
      </c>
    </row>
    <row r="23" spans="1:61" ht="15.7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615820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6720</v>
      </c>
      <c r="L23" s="274">
        <f t="shared" si="33"/>
        <v>0</v>
      </c>
      <c r="M23" s="410">
        <f t="shared" si="15"/>
        <v>457.44</v>
      </c>
      <c r="N23" s="514">
        <f t="shared" si="36"/>
        <v>0</v>
      </c>
      <c r="O23" s="410">
        <f t="shared" si="16"/>
        <v>529.52</v>
      </c>
      <c r="P23" s="514">
        <f t="shared" si="37"/>
        <v>0</v>
      </c>
      <c r="Q23" s="514">
        <f t="shared" si="38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461</v>
      </c>
      <c r="W23" s="324">
        <f t="shared" si="18"/>
        <v>0</v>
      </c>
      <c r="X23" s="5">
        <f t="shared" si="17"/>
        <v>150281</v>
      </c>
      <c r="Y23" s="324">
        <f t="shared" si="34"/>
        <v>0</v>
      </c>
      <c r="Z23" s="5">
        <f t="shared" si="17"/>
        <v>98358</v>
      </c>
      <c r="AA23" s="83">
        <f t="shared" si="19"/>
        <v>0</v>
      </c>
      <c r="AB23" s="5">
        <f t="shared" si="17"/>
        <v>256</v>
      </c>
      <c r="AC23" s="5">
        <f t="shared" si="17"/>
        <v>731</v>
      </c>
      <c r="AD23" s="83">
        <f t="shared" si="31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2"/>
        <v>0</v>
      </c>
      <c r="AL23" s="327">
        <f t="shared" si="24"/>
        <v>0</v>
      </c>
      <c r="AM23" s="327">
        <f>'General information '!D23</f>
        <v>10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46"/>
        <v>0.9</v>
      </c>
      <c r="AT23" s="201">
        <v>158</v>
      </c>
      <c r="AU23" s="425">
        <f t="shared" si="35"/>
        <v>1.1000000000000001</v>
      </c>
      <c r="AV23" s="201">
        <v>148</v>
      </c>
      <c r="AW23" s="5">
        <v>2.9</v>
      </c>
      <c r="AX23" s="201">
        <v>167</v>
      </c>
      <c r="AY23" s="426">
        <f t="shared" si="7"/>
        <v>142.20000000000002</v>
      </c>
      <c r="AZ23" s="426">
        <f t="shared" si="26"/>
        <v>162.80000000000001</v>
      </c>
      <c r="BA23" s="426">
        <f t="shared" si="27"/>
        <v>484.3</v>
      </c>
      <c r="BB23" s="21">
        <f t="shared" si="28"/>
        <v>0</v>
      </c>
      <c r="BC23" s="21">
        <f t="shared" si="28"/>
        <v>-18.700000000000017</v>
      </c>
      <c r="BD23" s="21">
        <f t="shared" si="28"/>
        <v>-5.7999999999999545</v>
      </c>
      <c r="BE23" s="24">
        <f t="shared" si="30"/>
        <v>-24.499999999999972</v>
      </c>
      <c r="BF23" s="96">
        <f t="shared" si="8"/>
        <v>24.499999999999972</v>
      </c>
      <c r="BG23" s="82">
        <f t="shared" si="9"/>
        <v>-24.499999999999972</v>
      </c>
    </row>
    <row r="24" spans="1:61" ht="15.7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615820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3"/>
        <v>-7</v>
      </c>
      <c r="M24" s="410">
        <f t="shared" si="15"/>
        <v>457.44</v>
      </c>
      <c r="N24" s="514">
        <f t="shared" si="36"/>
        <v>0</v>
      </c>
      <c r="O24" s="410">
        <f t="shared" si="16"/>
        <v>529.52</v>
      </c>
      <c r="P24" s="514">
        <f t="shared" si="37"/>
        <v>0</v>
      </c>
      <c r="Q24" s="514">
        <f t="shared" si="38"/>
        <v>0</v>
      </c>
      <c r="R24" s="516"/>
      <c r="S24" s="516"/>
      <c r="T24" s="5">
        <v>5166</v>
      </c>
      <c r="U24" s="5">
        <f t="shared" si="4"/>
        <v>1</v>
      </c>
      <c r="V24" s="5">
        <f t="shared" si="17"/>
        <v>461</v>
      </c>
      <c r="W24" s="324">
        <f t="shared" si="18"/>
        <v>0</v>
      </c>
      <c r="X24" s="5">
        <f t="shared" si="17"/>
        <v>150281</v>
      </c>
      <c r="Y24" s="324">
        <f t="shared" si="34"/>
        <v>0</v>
      </c>
      <c r="Z24" s="5">
        <f t="shared" si="17"/>
        <v>98358</v>
      </c>
      <c r="AA24" s="83">
        <f t="shared" si="19"/>
        <v>0</v>
      </c>
      <c r="AB24" s="5">
        <f t="shared" si="17"/>
        <v>256</v>
      </c>
      <c r="AC24" s="5">
        <f t="shared" si="17"/>
        <v>731</v>
      </c>
      <c r="AD24" s="83">
        <f t="shared" si="31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2"/>
        <v>7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46"/>
        <v>0.9</v>
      </c>
      <c r="AT24" s="201">
        <v>158</v>
      </c>
      <c r="AU24" s="425">
        <f t="shared" si="35"/>
        <v>1.1000000000000001</v>
      </c>
      <c r="AV24" s="201">
        <v>146</v>
      </c>
      <c r="AW24" s="5">
        <v>2.9</v>
      </c>
      <c r="AX24" s="201">
        <v>164</v>
      </c>
      <c r="AY24" s="426">
        <f t="shared" si="7"/>
        <v>142.20000000000002</v>
      </c>
      <c r="AZ24" s="426">
        <f t="shared" si="26"/>
        <v>160.60000000000002</v>
      </c>
      <c r="BA24" s="426">
        <f t="shared" si="27"/>
        <v>475.59999999999997</v>
      </c>
      <c r="BB24" s="21">
        <f t="shared" si="28"/>
        <v>0</v>
      </c>
      <c r="BC24" s="21">
        <f t="shared" si="28"/>
        <v>-2.1999999999999886</v>
      </c>
      <c r="BD24" s="21">
        <f t="shared" si="28"/>
        <v>-8.7000000000000455</v>
      </c>
      <c r="BE24" s="24">
        <f t="shared" si="30"/>
        <v>-10.900000000000034</v>
      </c>
      <c r="BF24" s="96">
        <f t="shared" si="8"/>
        <v>10.900000000000034</v>
      </c>
      <c r="BG24" s="82">
        <f t="shared" si="9"/>
        <v>-10.900000000000034</v>
      </c>
      <c r="BI24" s="82"/>
    </row>
    <row r="25" spans="1:61" ht="15.7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615820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6720</v>
      </c>
      <c r="L25" s="274">
        <f t="shared" si="33"/>
        <v>7</v>
      </c>
      <c r="M25" s="410">
        <f t="shared" si="15"/>
        <v>457.44</v>
      </c>
      <c r="N25" s="514">
        <f t="shared" si="36"/>
        <v>0</v>
      </c>
      <c r="O25" s="410">
        <f t="shared" si="16"/>
        <v>529.52</v>
      </c>
      <c r="P25" s="514">
        <f t="shared" si="37"/>
        <v>0</v>
      </c>
      <c r="Q25" s="514">
        <f t="shared" si="38"/>
        <v>0</v>
      </c>
      <c r="R25" s="516"/>
      <c r="S25" s="516"/>
      <c r="T25" s="5">
        <v>5167</v>
      </c>
      <c r="U25" s="5">
        <f t="shared" si="4"/>
        <v>1</v>
      </c>
      <c r="V25" s="5">
        <f t="shared" si="17"/>
        <v>461</v>
      </c>
      <c r="W25" s="324">
        <f t="shared" si="18"/>
        <v>0</v>
      </c>
      <c r="X25" s="5">
        <f t="shared" si="17"/>
        <v>150281</v>
      </c>
      <c r="Y25" s="324">
        <f t="shared" si="34"/>
        <v>0</v>
      </c>
      <c r="Z25" s="5">
        <f t="shared" si="17"/>
        <v>98358</v>
      </c>
      <c r="AA25" s="83">
        <f t="shared" si="19"/>
        <v>0</v>
      </c>
      <c r="AB25" s="5">
        <f t="shared" si="17"/>
        <v>256</v>
      </c>
      <c r="AC25" s="5">
        <f t="shared" si="17"/>
        <v>731</v>
      </c>
      <c r="AD25" s="83">
        <f t="shared" si="31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2"/>
        <v>-7</v>
      </c>
      <c r="AL25" s="327">
        <f t="shared" si="24"/>
        <v>0</v>
      </c>
      <c r="AM25" s="327">
        <f>'General information '!D25</f>
        <v>16.5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46"/>
        <v>0.9</v>
      </c>
      <c r="AT25" s="201">
        <v>160</v>
      </c>
      <c r="AU25" s="425">
        <f t="shared" si="35"/>
        <v>1.1000000000000001</v>
      </c>
      <c r="AV25" s="201">
        <f t="shared" si="35"/>
        <v>146</v>
      </c>
      <c r="AW25" s="5">
        <v>2.9</v>
      </c>
      <c r="AX25" s="201">
        <v>162</v>
      </c>
      <c r="AY25" s="426">
        <f t="shared" si="7"/>
        <v>144</v>
      </c>
      <c r="AZ25" s="426">
        <f t="shared" si="26"/>
        <v>160.60000000000002</v>
      </c>
      <c r="BA25" s="426">
        <f t="shared" si="27"/>
        <v>469.8</v>
      </c>
      <c r="BB25" s="21">
        <f t="shared" si="28"/>
        <v>1.7999999999999829</v>
      </c>
      <c r="BC25" s="21">
        <f t="shared" si="28"/>
        <v>0</v>
      </c>
      <c r="BD25" s="21">
        <f t="shared" si="28"/>
        <v>-5.7999999999999545</v>
      </c>
      <c r="BE25" s="24">
        <f t="shared" si="30"/>
        <v>-3.9999999999999716</v>
      </c>
      <c r="BF25" s="96">
        <f t="shared" si="8"/>
        <v>3.9999999999999716</v>
      </c>
      <c r="BG25" s="82">
        <f t="shared" si="9"/>
        <v>-3.9999999999999716</v>
      </c>
    </row>
    <row r="26" spans="1:61" ht="15.7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615820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6720</v>
      </c>
      <c r="L26" s="274">
        <f t="shared" si="33"/>
        <v>0</v>
      </c>
      <c r="M26" s="410">
        <f t="shared" si="15"/>
        <v>457.44</v>
      </c>
      <c r="N26" s="514">
        <f t="shared" si="36"/>
        <v>0</v>
      </c>
      <c r="O26" s="410">
        <f t="shared" si="16"/>
        <v>529.52</v>
      </c>
      <c r="P26" s="514">
        <f t="shared" si="37"/>
        <v>0</v>
      </c>
      <c r="Q26" s="514">
        <f t="shared" si="38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7"/>
        <v>461</v>
      </c>
      <c r="W26" s="324">
        <f t="shared" si="18"/>
        <v>0</v>
      </c>
      <c r="X26" s="5">
        <f t="shared" si="17"/>
        <v>150281</v>
      </c>
      <c r="Y26" s="324">
        <f t="shared" si="34"/>
        <v>0</v>
      </c>
      <c r="Z26" s="5">
        <v>98367</v>
      </c>
      <c r="AA26" s="83">
        <f t="shared" si="19"/>
        <v>9</v>
      </c>
      <c r="AB26" s="5">
        <f t="shared" si="17"/>
        <v>256</v>
      </c>
      <c r="AC26" s="5">
        <f t="shared" si="17"/>
        <v>731</v>
      </c>
      <c r="AD26" s="83">
        <f t="shared" si="31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9</v>
      </c>
      <c r="AK26" s="327">
        <f>SUM(Y26-L26)</f>
        <v>0</v>
      </c>
      <c r="AL26" s="327">
        <f>SUM(AJ26-W26)</f>
        <v>9</v>
      </c>
      <c r="AM26" s="327">
        <f>'General information '!D26</f>
        <v>15.5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46"/>
        <v>0.9</v>
      </c>
      <c r="AT26" s="201">
        <v>157</v>
      </c>
      <c r="AU26" s="425">
        <f t="shared" si="35"/>
        <v>1.1000000000000001</v>
      </c>
      <c r="AV26" s="201">
        <f t="shared" si="35"/>
        <v>146</v>
      </c>
      <c r="AW26" s="5">
        <v>2.9</v>
      </c>
      <c r="AX26" s="201">
        <v>161</v>
      </c>
      <c r="AY26" s="426">
        <f t="shared" si="7"/>
        <v>141.30000000000001</v>
      </c>
      <c r="AZ26" s="426">
        <f t="shared" si="26"/>
        <v>160.60000000000002</v>
      </c>
      <c r="BA26" s="426">
        <f t="shared" si="27"/>
        <v>466.9</v>
      </c>
      <c r="BB26" s="21">
        <f t="shared" si="28"/>
        <v>-2.6999999999999886</v>
      </c>
      <c r="BC26" s="21">
        <f t="shared" si="28"/>
        <v>0</v>
      </c>
      <c r="BD26" s="21">
        <f t="shared" si="28"/>
        <v>-2.9000000000000341</v>
      </c>
      <c r="BE26" s="24">
        <f t="shared" si="30"/>
        <v>-5.6000000000000227</v>
      </c>
      <c r="BF26" s="96">
        <f t="shared" si="8"/>
        <v>5.6000000000000227</v>
      </c>
      <c r="BG26" s="82">
        <f t="shared" si="9"/>
        <v>-5.6000000000000227</v>
      </c>
    </row>
    <row r="27" spans="1:61" ht="15.7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v>615945</v>
      </c>
      <c r="H27" s="5">
        <f t="shared" si="14"/>
        <v>125</v>
      </c>
      <c r="I27" s="5">
        <f t="shared" si="0"/>
        <v>125</v>
      </c>
      <c r="J27" s="334">
        <f t="shared" si="1"/>
        <v>2.1428571428571428</v>
      </c>
      <c r="K27" s="5">
        <f>'Swimming Pool quality check '!H27</f>
        <v>6720</v>
      </c>
      <c r="L27" s="274">
        <f t="shared" si="33"/>
        <v>0</v>
      </c>
      <c r="M27" s="410">
        <f t="shared" si="15"/>
        <v>457.44</v>
      </c>
      <c r="N27" s="514">
        <f t="shared" si="36"/>
        <v>0</v>
      </c>
      <c r="O27" s="410">
        <f t="shared" si="16"/>
        <v>529.52</v>
      </c>
      <c r="P27" s="514">
        <f t="shared" si="37"/>
        <v>0</v>
      </c>
      <c r="Q27" s="514">
        <f t="shared" si="38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7"/>
        <v>461</v>
      </c>
      <c r="W27" s="324">
        <f t="shared" si="18"/>
        <v>0</v>
      </c>
      <c r="X27" s="5">
        <f t="shared" si="17"/>
        <v>150281</v>
      </c>
      <c r="Y27" s="324">
        <f>SUM(X27-X26)</f>
        <v>0</v>
      </c>
      <c r="Z27" s="5">
        <f t="shared" si="17"/>
        <v>98367</v>
      </c>
      <c r="AA27" s="83">
        <f t="shared" si="19"/>
        <v>0</v>
      </c>
      <c r="AB27" s="5">
        <f t="shared" si="17"/>
        <v>256</v>
      </c>
      <c r="AC27" s="5">
        <f t="shared" si="17"/>
        <v>731</v>
      </c>
      <c r="AD27" s="83">
        <f t="shared" si="31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2"/>
        <v>0</v>
      </c>
      <c r="AL27" s="327">
        <f t="shared" si="24"/>
        <v>0</v>
      </c>
      <c r="AM27" s="327">
        <f>'General information '!D27</f>
        <v>16.5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46"/>
        <v>0.9</v>
      </c>
      <c r="AT27" s="201">
        <f t="shared" si="46"/>
        <v>157</v>
      </c>
      <c r="AU27" s="425">
        <f t="shared" si="35"/>
        <v>1.1000000000000001</v>
      </c>
      <c r="AV27" s="201">
        <v>133</v>
      </c>
      <c r="AW27" s="5">
        <v>2.9</v>
      </c>
      <c r="AX27" s="201">
        <v>160</v>
      </c>
      <c r="AY27" s="426">
        <f t="shared" si="7"/>
        <v>141.30000000000001</v>
      </c>
      <c r="AZ27" s="426">
        <f t="shared" si="26"/>
        <v>146.30000000000001</v>
      </c>
      <c r="BA27" s="426">
        <f t="shared" si="27"/>
        <v>464</v>
      </c>
      <c r="BB27" s="21">
        <f t="shared" si="28"/>
        <v>0</v>
      </c>
      <c r="BC27" s="21">
        <f t="shared" si="28"/>
        <v>-14.300000000000011</v>
      </c>
      <c r="BD27" s="21">
        <f t="shared" si="28"/>
        <v>-2.8999999999999773</v>
      </c>
      <c r="BE27" s="24">
        <f t="shared" si="30"/>
        <v>-17.199999999999989</v>
      </c>
      <c r="BF27" s="96">
        <f t="shared" si="8"/>
        <v>142.19999999999999</v>
      </c>
      <c r="BG27" s="82">
        <f t="shared" si="9"/>
        <v>-17.199999999999989</v>
      </c>
    </row>
    <row r="28" spans="1:61" ht="15.7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615945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6720</v>
      </c>
      <c r="L28" s="274">
        <f t="shared" si="33"/>
        <v>0</v>
      </c>
      <c r="M28" s="410">
        <f t="shared" si="15"/>
        <v>457.44</v>
      </c>
      <c r="N28" s="514">
        <f t="shared" si="36"/>
        <v>0</v>
      </c>
      <c r="O28" s="410">
        <f t="shared" si="16"/>
        <v>529.52</v>
      </c>
      <c r="P28" s="514">
        <f t="shared" si="37"/>
        <v>0</v>
      </c>
      <c r="Q28" s="514">
        <f t="shared" si="38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7"/>
        <v>461</v>
      </c>
      <c r="W28" s="324">
        <f t="shared" si="18"/>
        <v>0</v>
      </c>
      <c r="X28" s="5">
        <f t="shared" si="17"/>
        <v>150281</v>
      </c>
      <c r="Y28" s="324">
        <f t="shared" si="34"/>
        <v>0</v>
      </c>
      <c r="Z28" s="5">
        <v>98367</v>
      </c>
      <c r="AA28" s="83">
        <f t="shared" si="19"/>
        <v>0</v>
      </c>
      <c r="AB28" s="5">
        <f t="shared" si="17"/>
        <v>256</v>
      </c>
      <c r="AC28" s="5">
        <f t="shared" si="17"/>
        <v>731</v>
      </c>
      <c r="AD28" s="83">
        <f t="shared" si="31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2"/>
        <v>0</v>
      </c>
      <c r="AL28" s="327">
        <f t="shared" si="24"/>
        <v>0</v>
      </c>
      <c r="AM28" s="327">
        <f>'General information '!D28</f>
        <v>16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46"/>
        <v>0.9</v>
      </c>
      <c r="AT28" s="201">
        <f t="shared" si="46"/>
        <v>157</v>
      </c>
      <c r="AU28" s="425">
        <f t="shared" si="35"/>
        <v>1.1000000000000001</v>
      </c>
      <c r="AV28" s="201">
        <v>112</v>
      </c>
      <c r="AW28" s="5">
        <v>2.9</v>
      </c>
      <c r="AX28" s="201">
        <f t="shared" ref="AX28" si="47">AX27</f>
        <v>160</v>
      </c>
      <c r="AY28" s="426">
        <f t="shared" si="7"/>
        <v>141.30000000000001</v>
      </c>
      <c r="AZ28" s="426">
        <f t="shared" si="26"/>
        <v>123.20000000000002</v>
      </c>
      <c r="BA28" s="426">
        <f t="shared" si="27"/>
        <v>464</v>
      </c>
      <c r="BB28" s="21">
        <f t="shared" si="28"/>
        <v>0</v>
      </c>
      <c r="BC28" s="21">
        <f t="shared" si="28"/>
        <v>-23.099999999999994</v>
      </c>
      <c r="BD28" s="21">
        <f t="shared" si="28"/>
        <v>0</v>
      </c>
      <c r="BE28" s="24">
        <f t="shared" si="30"/>
        <v>-23.099999999999994</v>
      </c>
      <c r="BF28" s="96">
        <f t="shared" si="8"/>
        <v>23.099999999999994</v>
      </c>
      <c r="BG28" s="82">
        <f t="shared" si="9"/>
        <v>-23.099999999999994</v>
      </c>
    </row>
    <row r="29" spans="1:61" ht="15.7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615945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6720</v>
      </c>
      <c r="L29" s="274">
        <f t="shared" si="33"/>
        <v>0</v>
      </c>
      <c r="M29" s="410">
        <f t="shared" si="15"/>
        <v>457.44</v>
      </c>
      <c r="N29" s="514">
        <f t="shared" si="36"/>
        <v>0</v>
      </c>
      <c r="O29" s="410">
        <f t="shared" si="16"/>
        <v>529.52</v>
      </c>
      <c r="P29" s="514">
        <f t="shared" si="37"/>
        <v>0</v>
      </c>
      <c r="Q29" s="514">
        <f t="shared" si="38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7"/>
        <v>461</v>
      </c>
      <c r="W29" s="324">
        <f t="shared" si="18"/>
        <v>0</v>
      </c>
      <c r="X29" s="5">
        <f t="shared" si="17"/>
        <v>150281</v>
      </c>
      <c r="Y29" s="324">
        <f t="shared" si="34"/>
        <v>0</v>
      </c>
      <c r="Z29" s="5">
        <f t="shared" si="17"/>
        <v>98367</v>
      </c>
      <c r="AA29" s="83">
        <f t="shared" si="19"/>
        <v>0</v>
      </c>
      <c r="AB29" s="5">
        <f t="shared" si="17"/>
        <v>256</v>
      </c>
      <c r="AC29" s="5">
        <f t="shared" si="17"/>
        <v>731</v>
      </c>
      <c r="AD29" s="83">
        <f t="shared" si="31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2"/>
        <v>0</v>
      </c>
      <c r="AL29" s="327">
        <f t="shared" si="24"/>
        <v>0</v>
      </c>
      <c r="AM29" s="327">
        <f>'General information '!D29</f>
        <v>15.5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46"/>
        <v>0.9</v>
      </c>
      <c r="AT29" s="201">
        <v>157</v>
      </c>
      <c r="AU29" s="425">
        <f t="shared" si="35"/>
        <v>1.1000000000000001</v>
      </c>
      <c r="AV29" s="201">
        <f t="shared" si="35"/>
        <v>112</v>
      </c>
      <c r="AW29" s="5">
        <v>2.9</v>
      </c>
      <c r="AX29" s="201">
        <v>154</v>
      </c>
      <c r="AY29" s="426">
        <f t="shared" si="7"/>
        <v>141.30000000000001</v>
      </c>
      <c r="AZ29" s="426">
        <f t="shared" si="26"/>
        <v>123.20000000000002</v>
      </c>
      <c r="BA29" s="426">
        <f t="shared" si="27"/>
        <v>446.59999999999997</v>
      </c>
      <c r="BB29" s="21">
        <f t="shared" si="28"/>
        <v>0</v>
      </c>
      <c r="BC29" s="21">
        <f t="shared" si="28"/>
        <v>0</v>
      </c>
      <c r="BD29" s="21">
        <f t="shared" si="28"/>
        <v>-17.400000000000034</v>
      </c>
      <c r="BE29" s="24">
        <f t="shared" si="30"/>
        <v>-17.400000000000034</v>
      </c>
      <c r="BF29" s="96">
        <f t="shared" si="8"/>
        <v>17.400000000000034</v>
      </c>
      <c r="BG29" s="82">
        <f t="shared" si="9"/>
        <v>-17.400000000000034</v>
      </c>
    </row>
    <row r="30" spans="1:61" ht="15.7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v>615949</v>
      </c>
      <c r="H30" s="5">
        <f t="shared" si="14"/>
        <v>4</v>
      </c>
      <c r="I30" s="5">
        <f t="shared" si="0"/>
        <v>4</v>
      </c>
      <c r="J30" s="334">
        <f t="shared" si="1"/>
        <v>66.964285714285708</v>
      </c>
      <c r="K30" s="5">
        <f>'Swimming Pool quality check '!H30</f>
        <v>6720</v>
      </c>
      <c r="L30" s="274">
        <f t="shared" si="33"/>
        <v>0</v>
      </c>
      <c r="M30" s="410">
        <f t="shared" si="15"/>
        <v>457.44</v>
      </c>
      <c r="N30" s="514">
        <f t="shared" si="36"/>
        <v>0</v>
      </c>
      <c r="O30" s="410">
        <f t="shared" si="16"/>
        <v>529.52</v>
      </c>
      <c r="P30" s="514">
        <f t="shared" si="37"/>
        <v>0</v>
      </c>
      <c r="Q30" s="514">
        <f t="shared" si="38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7"/>
        <v>461</v>
      </c>
      <c r="W30" s="324">
        <f t="shared" si="18"/>
        <v>0</v>
      </c>
      <c r="X30" s="5">
        <f t="shared" si="17"/>
        <v>150281</v>
      </c>
      <c r="Y30" s="324">
        <f t="shared" si="34"/>
        <v>0</v>
      </c>
      <c r="Z30" s="5">
        <f t="shared" si="17"/>
        <v>98367</v>
      </c>
      <c r="AA30" s="83">
        <f t="shared" si="19"/>
        <v>0</v>
      </c>
      <c r="AB30" s="5">
        <f t="shared" si="17"/>
        <v>256</v>
      </c>
      <c r="AC30" s="5">
        <f t="shared" si="17"/>
        <v>731</v>
      </c>
      <c r="AD30" s="83">
        <f t="shared" si="31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2"/>
        <v>0</v>
      </c>
      <c r="AL30" s="327">
        <f t="shared" si="24"/>
        <v>0</v>
      </c>
      <c r="AM30" s="327">
        <f>'General information '!D30</f>
        <v>15.5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46"/>
        <v>0.9</v>
      </c>
      <c r="AT30" s="201">
        <v>160</v>
      </c>
      <c r="AU30" s="425">
        <f t="shared" si="35"/>
        <v>1.1000000000000001</v>
      </c>
      <c r="AV30" s="201">
        <v>105</v>
      </c>
      <c r="AW30" s="5">
        <v>2.9</v>
      </c>
      <c r="AX30" s="201">
        <v>152</v>
      </c>
      <c r="AY30" s="426">
        <f t="shared" si="7"/>
        <v>144</v>
      </c>
      <c r="AZ30" s="426">
        <f t="shared" si="26"/>
        <v>115.50000000000001</v>
      </c>
      <c r="BA30" s="426">
        <f t="shared" si="27"/>
        <v>440.8</v>
      </c>
      <c r="BB30" s="21">
        <f t="shared" si="28"/>
        <v>2.6999999999999886</v>
      </c>
      <c r="BC30" s="21">
        <f t="shared" si="28"/>
        <v>-7.7000000000000028</v>
      </c>
      <c r="BD30" s="21">
        <f t="shared" si="28"/>
        <v>-5.7999999999999545</v>
      </c>
      <c r="BE30" s="24">
        <f t="shared" si="30"/>
        <v>-10.799999999999969</v>
      </c>
      <c r="BF30" s="96">
        <f t="shared" si="8"/>
        <v>14.799999999999969</v>
      </c>
      <c r="BG30" s="82">
        <f t="shared" si="9"/>
        <v>-10.799999999999969</v>
      </c>
    </row>
    <row r="31" spans="1:61" ht="15.7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v>616152</v>
      </c>
      <c r="H31" s="5">
        <f t="shared" si="14"/>
        <v>203</v>
      </c>
      <c r="I31" s="5">
        <f t="shared" si="0"/>
        <v>203</v>
      </c>
      <c r="J31" s="334">
        <f t="shared" si="1"/>
        <v>1.3194933145672061</v>
      </c>
      <c r="K31" s="5">
        <f>'Swimming Pool quality check '!H31</f>
        <v>6721</v>
      </c>
      <c r="L31" s="274">
        <f t="shared" si="33"/>
        <v>1</v>
      </c>
      <c r="M31" s="410">
        <f t="shared" si="15"/>
        <v>457.44</v>
      </c>
      <c r="N31" s="514">
        <f t="shared" si="36"/>
        <v>0</v>
      </c>
      <c r="O31" s="410">
        <f t="shared" si="16"/>
        <v>529.52</v>
      </c>
      <c r="P31" s="514">
        <f t="shared" si="37"/>
        <v>0</v>
      </c>
      <c r="Q31" s="514">
        <f t="shared" si="38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7"/>
        <v>461</v>
      </c>
      <c r="W31" s="324">
        <f t="shared" si="18"/>
        <v>0</v>
      </c>
      <c r="X31" s="5">
        <v>150295</v>
      </c>
      <c r="Y31" s="324">
        <f t="shared" si="34"/>
        <v>14</v>
      </c>
      <c r="Z31" s="5">
        <v>98651</v>
      </c>
      <c r="AA31" s="83">
        <f t="shared" si="19"/>
        <v>284</v>
      </c>
      <c r="AB31" s="5">
        <f t="shared" si="17"/>
        <v>256</v>
      </c>
      <c r="AC31" s="5">
        <f t="shared" si="17"/>
        <v>731</v>
      </c>
      <c r="AD31" s="83">
        <f t="shared" si="31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284</v>
      </c>
      <c r="AK31" s="327">
        <f t="shared" si="32"/>
        <v>13</v>
      </c>
      <c r="AL31" s="327">
        <f t="shared" si="24"/>
        <v>284</v>
      </c>
      <c r="AM31" s="327">
        <f>'General information '!D31</f>
        <v>15.5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46"/>
        <v>0.9</v>
      </c>
      <c r="AT31" s="201">
        <v>180</v>
      </c>
      <c r="AU31" s="425">
        <f t="shared" si="35"/>
        <v>1.1000000000000001</v>
      </c>
      <c r="AV31" s="201">
        <v>156</v>
      </c>
      <c r="AW31" s="5">
        <v>2.9</v>
      </c>
      <c r="AX31" s="201">
        <v>154</v>
      </c>
      <c r="AY31" s="426">
        <f t="shared" si="7"/>
        <v>162</v>
      </c>
      <c r="AZ31" s="426">
        <f t="shared" si="26"/>
        <v>171.60000000000002</v>
      </c>
      <c r="BA31" s="426">
        <f t="shared" si="27"/>
        <v>446.59999999999997</v>
      </c>
      <c r="BB31" s="21">
        <f t="shared" si="28"/>
        <v>18</v>
      </c>
      <c r="BC31" s="21">
        <f t="shared" si="28"/>
        <v>56.100000000000009</v>
      </c>
      <c r="BD31" s="21">
        <f t="shared" si="28"/>
        <v>5.7999999999999545</v>
      </c>
      <c r="BE31" s="24">
        <f t="shared" si="30"/>
        <v>79.899999999999963</v>
      </c>
      <c r="BF31" s="96">
        <f t="shared" si="8"/>
        <v>123.10000000000004</v>
      </c>
      <c r="BG31" s="82">
        <f t="shared" si="9"/>
        <v>79.899999999999963</v>
      </c>
    </row>
    <row r="32" spans="1:61" ht="15.7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616152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6721</v>
      </c>
      <c r="L32" s="274">
        <f t="shared" si="33"/>
        <v>0</v>
      </c>
      <c r="M32" s="410">
        <f t="shared" si="15"/>
        <v>457.44</v>
      </c>
      <c r="N32" s="514">
        <f t="shared" si="36"/>
        <v>0</v>
      </c>
      <c r="O32" s="410">
        <f t="shared" si="16"/>
        <v>529.52</v>
      </c>
      <c r="P32" s="514">
        <f t="shared" si="37"/>
        <v>0</v>
      </c>
      <c r="Q32" s="514">
        <f t="shared" si="38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7"/>
        <v>461</v>
      </c>
      <c r="W32" s="324">
        <f t="shared" si="18"/>
        <v>0</v>
      </c>
      <c r="X32" s="5">
        <v>150360</v>
      </c>
      <c r="Y32" s="324">
        <f t="shared" si="34"/>
        <v>65</v>
      </c>
      <c r="Z32" s="5">
        <v>98678</v>
      </c>
      <c r="AA32" s="83">
        <f t="shared" si="19"/>
        <v>27</v>
      </c>
      <c r="AB32" s="5">
        <f t="shared" si="17"/>
        <v>256</v>
      </c>
      <c r="AC32" s="5">
        <f t="shared" si="17"/>
        <v>731</v>
      </c>
      <c r="AD32" s="83">
        <f t="shared" si="31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27</v>
      </c>
      <c r="AK32" s="327">
        <f t="shared" si="32"/>
        <v>65</v>
      </c>
      <c r="AL32" s="327">
        <f t="shared" si="24"/>
        <v>27</v>
      </c>
      <c r="AM32" s="327">
        <f>'General information '!D32</f>
        <v>15.5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46"/>
        <v>0.9</v>
      </c>
      <c r="AT32" s="201">
        <v>87</v>
      </c>
      <c r="AU32" s="425">
        <f t="shared" si="35"/>
        <v>1.1000000000000001</v>
      </c>
      <c r="AV32" s="201">
        <v>173</v>
      </c>
      <c r="AW32" s="5">
        <v>2.9</v>
      </c>
      <c r="AX32" s="201">
        <v>167</v>
      </c>
      <c r="AY32" s="426">
        <f t="shared" si="7"/>
        <v>78.3</v>
      </c>
      <c r="AZ32" s="426">
        <f t="shared" si="26"/>
        <v>190.3</v>
      </c>
      <c r="BA32" s="426">
        <f t="shared" si="27"/>
        <v>484.3</v>
      </c>
      <c r="BB32" s="21">
        <f t="shared" si="28"/>
        <v>-83.7</v>
      </c>
      <c r="BC32" s="21">
        <f t="shared" si="28"/>
        <v>18.699999999999989</v>
      </c>
      <c r="BD32" s="21">
        <f t="shared" si="28"/>
        <v>37.700000000000045</v>
      </c>
      <c r="BE32" s="24">
        <f t="shared" si="30"/>
        <v>-27.299999999999969</v>
      </c>
      <c r="BF32" s="96">
        <f t="shared" si="8"/>
        <v>27.299999999999969</v>
      </c>
      <c r="BG32" s="82">
        <f t="shared" si="9"/>
        <v>-27.299999999999969</v>
      </c>
    </row>
    <row r="33" spans="1:59" ht="15.7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616152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6721</v>
      </c>
      <c r="L33" s="274">
        <f t="shared" si="33"/>
        <v>0</v>
      </c>
      <c r="M33" s="410">
        <f t="shared" si="15"/>
        <v>457.44</v>
      </c>
      <c r="N33" s="514">
        <f t="shared" si="36"/>
        <v>0</v>
      </c>
      <c r="O33" s="410">
        <f t="shared" si="16"/>
        <v>529.52</v>
      </c>
      <c r="P33" s="514">
        <f t="shared" si="37"/>
        <v>0</v>
      </c>
      <c r="Q33" s="514">
        <f t="shared" si="38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7"/>
        <v>461</v>
      </c>
      <c r="W33" s="324">
        <f t="shared" si="18"/>
        <v>0</v>
      </c>
      <c r="X33" s="5">
        <v>150365</v>
      </c>
      <c r="Y33" s="324">
        <f t="shared" si="34"/>
        <v>5</v>
      </c>
      <c r="Z33" s="5">
        <v>98681</v>
      </c>
      <c r="AA33" s="83">
        <f t="shared" si="19"/>
        <v>3</v>
      </c>
      <c r="AB33" s="5">
        <f t="shared" si="17"/>
        <v>256</v>
      </c>
      <c r="AC33" s="5">
        <f t="shared" si="17"/>
        <v>731</v>
      </c>
      <c r="AD33" s="83">
        <f t="shared" si="31"/>
        <v>0</v>
      </c>
      <c r="AE33" s="5">
        <v>228.16</v>
      </c>
      <c r="AF33" s="83">
        <f>AE33-AE32</f>
        <v>0.35999999999998522</v>
      </c>
      <c r="AG33" s="5">
        <v>2182.1999999999998</v>
      </c>
      <c r="AH33" s="83">
        <f t="shared" si="21"/>
        <v>0.62999999999965439</v>
      </c>
      <c r="AI33" s="83">
        <f t="shared" si="22"/>
        <v>0.98999999999963961</v>
      </c>
      <c r="AJ33" s="326">
        <f t="shared" si="23"/>
        <v>3</v>
      </c>
      <c r="AK33" s="327">
        <f t="shared" si="32"/>
        <v>5</v>
      </c>
      <c r="AL33" s="327">
        <f t="shared" si="24"/>
        <v>3</v>
      </c>
      <c r="AM33" s="327">
        <f>'General information '!D33</f>
        <v>15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46"/>
        <v>0.9</v>
      </c>
      <c r="AT33" s="201">
        <v>83</v>
      </c>
      <c r="AU33" s="425">
        <f t="shared" si="35"/>
        <v>1.1000000000000001</v>
      </c>
      <c r="AV33" s="201">
        <v>171</v>
      </c>
      <c r="AW33" s="5">
        <v>2.9</v>
      </c>
      <c r="AX33" s="201">
        <v>165</v>
      </c>
      <c r="AY33" s="426">
        <f t="shared" si="7"/>
        <v>74.7</v>
      </c>
      <c r="AZ33" s="426">
        <f t="shared" si="26"/>
        <v>188.10000000000002</v>
      </c>
      <c r="BA33" s="426">
        <f t="shared" si="27"/>
        <v>478.5</v>
      </c>
      <c r="BB33" s="21">
        <f t="shared" si="28"/>
        <v>-3.5999999999999943</v>
      </c>
      <c r="BC33" s="21">
        <f t="shared" si="28"/>
        <v>-2.1999999999999886</v>
      </c>
      <c r="BD33" s="21">
        <f t="shared" si="28"/>
        <v>-5.8000000000000114</v>
      </c>
      <c r="BE33" s="24">
        <f t="shared" si="30"/>
        <v>-11.599999999999994</v>
      </c>
      <c r="BF33" s="96">
        <f t="shared" si="8"/>
        <v>11.599999999999994</v>
      </c>
      <c r="BG33" s="82">
        <f t="shared" si="9"/>
        <v>-11.599999999999994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778</v>
      </c>
      <c r="I34" s="412">
        <f>SUM(I6:I33)</f>
        <v>778</v>
      </c>
      <c r="L34" s="268">
        <f>SUM(L7:L33)</f>
        <v>5</v>
      </c>
      <c r="Q34" s="495">
        <f>SUM(Q5:Q33)</f>
        <v>0</v>
      </c>
      <c r="U34" s="409">
        <f>SUM(U6:U33)</f>
        <v>3</v>
      </c>
      <c r="X34" s="323"/>
      <c r="Y34" s="322" t="e">
        <f>SUM(#REF!,Y33,Y31,Y29,Y27,Y25,Y23,Y21,Y19,Y17,Y15,Y13,Y11,Y9,Y7,#REF!)</f>
        <v>#REF!</v>
      </c>
      <c r="AJ34" s="322">
        <f>SUM(AJ6:AJ33)</f>
        <v>419</v>
      </c>
      <c r="AK34" s="327" t="e">
        <f>SUM(Y34-L34)</f>
        <v>#REF!</v>
      </c>
      <c r="AL34" s="322">
        <f>SUM(AL6:AL33)</f>
        <v>418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>
        <f>SUM('General information '!G34/WATER!I34)</f>
        <v>0</v>
      </c>
      <c r="L35" s="157"/>
      <c r="O35" s="492">
        <f>SUM(Q34+I34)</f>
        <v>778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778</v>
      </c>
      <c r="H36" s="1">
        <f>SUM(H35+C35)</f>
        <v>7500</v>
      </c>
      <c r="K36" s="1">
        <f>SUM(H36/G36)</f>
        <v>9.6401028277634957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7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8"/>
  <sheetViews>
    <sheetView zoomScaleNormal="100" workbookViewId="0">
      <pane ySplit="4" topLeftCell="A17" activePane="bottomLeft" state="frozen"/>
      <selection pane="bottomLeft" activeCell="G33" sqref="G33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6" t="s">
        <v>193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5" ht="15.75" customHeight="1" thickBo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1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7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>
        <v>21</v>
      </c>
      <c r="C6" s="37">
        <v>16</v>
      </c>
      <c r="D6" s="26">
        <f t="shared" ref="D6:D12" si="0">(C6+B6)/2</f>
        <v>18.5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>
        <v>23</v>
      </c>
      <c r="C7" s="37">
        <v>17</v>
      </c>
      <c r="D7" s="26">
        <f t="shared" si="0"/>
        <v>20</v>
      </c>
      <c r="E7" s="340">
        <v>0.56000000000000005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>
        <v>20</v>
      </c>
      <c r="C8" s="37">
        <v>15</v>
      </c>
      <c r="D8" s="26">
        <f t="shared" si="0"/>
        <v>17.5</v>
      </c>
      <c r="E8" s="340">
        <v>0.69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>
        <v>20</v>
      </c>
      <c r="C9" s="37">
        <v>15</v>
      </c>
      <c r="D9" s="26">
        <f>(C9+B9)/2</f>
        <v>17.5</v>
      </c>
      <c r="E9" s="394">
        <v>0.73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>
        <v>20</v>
      </c>
      <c r="C10" s="37">
        <v>15</v>
      </c>
      <c r="D10" s="26">
        <f t="shared" si="0"/>
        <v>17.5</v>
      </c>
      <c r="E10" s="354">
        <v>0.6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>
        <v>19</v>
      </c>
      <c r="C11" s="37">
        <v>15</v>
      </c>
      <c r="D11" s="26">
        <f t="shared" si="0"/>
        <v>17</v>
      </c>
      <c r="E11" s="394">
        <v>0.7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>
        <v>21</v>
      </c>
      <c r="C12" s="37">
        <v>17</v>
      </c>
      <c r="D12" s="26">
        <f t="shared" si="0"/>
        <v>19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>
        <v>23</v>
      </c>
      <c r="C13" s="37">
        <v>19</v>
      </c>
      <c r="D13" s="26">
        <f>(C13+B13)/2</f>
        <v>21</v>
      </c>
      <c r="E13" s="354">
        <v>0.55000000000000004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>
        <v>21</v>
      </c>
      <c r="C14" s="37">
        <v>18</v>
      </c>
      <c r="D14" s="26">
        <f t="shared" ref="D14:D33" si="3">(C14+B14)/2</f>
        <v>19.5</v>
      </c>
      <c r="E14" s="340">
        <v>0.63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>
        <v>19</v>
      </c>
      <c r="C15" s="37">
        <v>14</v>
      </c>
      <c r="D15" s="26">
        <f t="shared" si="3"/>
        <v>16.5</v>
      </c>
      <c r="E15" s="340">
        <v>0.61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>
        <v>18</v>
      </c>
      <c r="C16" s="37">
        <v>13</v>
      </c>
      <c r="D16" s="26">
        <f t="shared" si="3"/>
        <v>15.5</v>
      </c>
      <c r="E16" s="340">
        <v>0.72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>
        <v>18</v>
      </c>
      <c r="C17" s="37">
        <v>13</v>
      </c>
      <c r="D17" s="26">
        <f t="shared" si="3"/>
        <v>15.5</v>
      </c>
      <c r="E17" s="340">
        <v>0.51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>
        <v>19</v>
      </c>
      <c r="C18" s="37">
        <v>14</v>
      </c>
      <c r="D18" s="26">
        <f t="shared" si="3"/>
        <v>16.5</v>
      </c>
      <c r="E18" s="427">
        <v>0.61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>
        <v>18</v>
      </c>
      <c r="C19" s="37">
        <v>13</v>
      </c>
      <c r="D19" s="26">
        <f t="shared" si="3"/>
        <v>15.5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>
        <v>18</v>
      </c>
      <c r="C20" s="37">
        <v>12</v>
      </c>
      <c r="D20" s="26">
        <f t="shared" si="3"/>
        <v>15</v>
      </c>
      <c r="E20" s="340">
        <v>0.73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>
        <v>11</v>
      </c>
      <c r="C21" s="37">
        <v>7</v>
      </c>
      <c r="D21" s="26">
        <f>(C21+B21)/2</f>
        <v>9</v>
      </c>
      <c r="E21" s="340">
        <v>0.82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>
        <v>13</v>
      </c>
      <c r="C22" s="37">
        <v>7</v>
      </c>
      <c r="D22" s="26">
        <f t="shared" si="3"/>
        <v>10</v>
      </c>
      <c r="E22" s="340">
        <v>0.56000000000000005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>
        <v>13</v>
      </c>
      <c r="C23" s="37">
        <v>7</v>
      </c>
      <c r="D23" s="26">
        <f>(C23+B23)/2</f>
        <v>10</v>
      </c>
      <c r="E23" s="340">
        <v>0.72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>
        <v>14</v>
      </c>
      <c r="C24" s="37">
        <v>7</v>
      </c>
      <c r="D24" s="26">
        <f t="shared" ref="D24" si="5">(C24+B24)/2</f>
        <v>10.5</v>
      </c>
      <c r="E24" s="394">
        <v>0.53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>
        <v>19</v>
      </c>
      <c r="C25" s="37">
        <v>14</v>
      </c>
      <c r="D25" s="26">
        <f t="shared" si="3"/>
        <v>16.5</v>
      </c>
      <c r="E25" s="340">
        <v>0.68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>
        <v>18</v>
      </c>
      <c r="C26" s="37">
        <v>13</v>
      </c>
      <c r="D26" s="26">
        <f>(C26+B26)/2</f>
        <v>15.5</v>
      </c>
      <c r="E26" s="340">
        <v>0.41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>
        <v>21</v>
      </c>
      <c r="C27" s="37">
        <v>12</v>
      </c>
      <c r="D27" s="26">
        <f t="shared" si="3"/>
        <v>16.5</v>
      </c>
      <c r="E27" s="340">
        <v>0.32</v>
      </c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>
        <v>19</v>
      </c>
      <c r="C28" s="37">
        <v>13</v>
      </c>
      <c r="D28" s="26">
        <f t="shared" si="3"/>
        <v>16</v>
      </c>
      <c r="E28" s="394">
        <v>0.47</v>
      </c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>
        <v>19</v>
      </c>
      <c r="C29" s="37">
        <v>12</v>
      </c>
      <c r="D29" s="26">
        <f t="shared" si="3"/>
        <v>15.5</v>
      </c>
      <c r="E29" s="340">
        <v>0.47</v>
      </c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>
        <v>18</v>
      </c>
      <c r="C30" s="37">
        <v>13</v>
      </c>
      <c r="D30" s="26">
        <f t="shared" si="3"/>
        <v>15.5</v>
      </c>
      <c r="E30" s="340">
        <v>0.54</v>
      </c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>
        <v>18</v>
      </c>
      <c r="C31" s="37">
        <v>13</v>
      </c>
      <c r="D31" s="3">
        <f t="shared" si="3"/>
        <v>15.5</v>
      </c>
      <c r="E31" s="341">
        <v>0.51</v>
      </c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>
        <v>18</v>
      </c>
      <c r="C32" s="37">
        <v>13</v>
      </c>
      <c r="D32" s="279">
        <f>(C32+B32)/2</f>
        <v>15.5</v>
      </c>
      <c r="E32" s="341">
        <v>0.55000000000000004</v>
      </c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>
        <v>17</v>
      </c>
      <c r="C33" s="37">
        <v>13</v>
      </c>
      <c r="D33" s="26">
        <f t="shared" si="3"/>
        <v>15</v>
      </c>
      <c r="E33" s="340">
        <v>0.68</v>
      </c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>
        <f>AVERAGE(F6:F33)</f>
        <v>0</v>
      </c>
      <c r="G34" s="203">
        <f>SUM(G6:G33)</f>
        <v>0</v>
      </c>
    </row>
    <row r="35" spans="1:15">
      <c r="D35" s="261">
        <f>SUM(D6:D33)/'EDl log'!A32</f>
        <v>15.821428571428571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9"/>
  <sheetViews>
    <sheetView zoomScale="90" zoomScaleNormal="90" workbookViewId="0">
      <pane xSplit="1" topLeftCell="AF1" activePane="topRight" state="frozen"/>
      <selection pane="topRight" activeCell="AP25" sqref="AP2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4" t="s">
        <v>108</v>
      </c>
      <c r="AS3" s="634" t="s">
        <v>233</v>
      </c>
      <c r="AT3" s="632" t="s">
        <v>301</v>
      </c>
      <c r="AU3" s="633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5"/>
      <c r="AS4" s="635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[2]tanks!B36</f>
        <v>236</v>
      </c>
      <c r="C5" s="532">
        <f>[2]tanks!C36</f>
        <v>5077.8064516129034</v>
      </c>
      <c r="D5" s="532">
        <f>[2]tanks!D36</f>
        <v>236</v>
      </c>
      <c r="E5" s="532">
        <f>[2]tanks!E36</f>
        <v>5077.8064516129034</v>
      </c>
      <c r="F5" s="532">
        <f>[2]tanks!F36</f>
        <v>236</v>
      </c>
      <c r="G5" s="532">
        <f>[2]tanks!G36</f>
        <v>5077.8064516129034</v>
      </c>
      <c r="H5" s="532">
        <f>[2]tanks!H36</f>
        <v>236</v>
      </c>
      <c r="I5" s="532">
        <f>[2]tanks!I36</f>
        <v>5077.8064516129034</v>
      </c>
      <c r="J5" s="532">
        <f>[2]tanks!J36</f>
        <v>236</v>
      </c>
      <c r="K5" s="532">
        <f>[2]tanks!K36</f>
        <v>5077.8064516129034</v>
      </c>
      <c r="L5" s="532">
        <f>[2]tanks!L36</f>
        <v>236</v>
      </c>
      <c r="M5" s="532">
        <f>[2]tanks!M36</f>
        <v>5077.8064516129034</v>
      </c>
      <c r="N5" s="532">
        <f>[2]tanks!N36</f>
        <v>236</v>
      </c>
      <c r="O5" s="532">
        <f>[2]tanks!O36</f>
        <v>5077.8064516129034</v>
      </c>
      <c r="P5" s="532">
        <f>[2]tanks!P36</f>
        <v>236</v>
      </c>
      <c r="Q5" s="532">
        <f>[2]tanks!Q36</f>
        <v>5077.8064516129034</v>
      </c>
      <c r="R5" s="532">
        <f>[2]tanks!R36</f>
        <v>236</v>
      </c>
      <c r="S5" s="532">
        <f>[2]tanks!S36</f>
        <v>5077.8064516129034</v>
      </c>
      <c r="T5" s="532">
        <f>[2]tanks!T36</f>
        <v>236</v>
      </c>
      <c r="U5" s="532">
        <f>[2]tanks!U36</f>
        <v>5077.8064516129034</v>
      </c>
      <c r="V5" s="532">
        <f>[2]tanks!V36</f>
        <v>236</v>
      </c>
      <c r="W5" s="532">
        <f>[2]tanks!W36</f>
        <v>5077.8064516129034</v>
      </c>
      <c r="X5" s="505">
        <f>[2]tanks!X36</f>
        <v>0.761290322580645</v>
      </c>
      <c r="Y5" s="532">
        <f>[2]tanks!Y36</f>
        <v>55855.870967741925</v>
      </c>
      <c r="Z5" s="532">
        <f>[2]tanks!Z36</f>
        <v>242</v>
      </c>
      <c r="AA5" s="532">
        <f>[2]tanks!AA36</f>
        <v>2420</v>
      </c>
      <c r="AB5" s="532">
        <f>[2]tanks!AB36</f>
        <v>242</v>
      </c>
      <c r="AC5" s="532">
        <f>[2]tanks!AC36</f>
        <v>2420</v>
      </c>
      <c r="AD5" s="532">
        <f>[2]tanks!AD36</f>
        <v>242</v>
      </c>
      <c r="AE5" s="532">
        <f>[2]tanks!AE36</f>
        <v>2420</v>
      </c>
      <c r="AF5" s="532">
        <f>[2]tanks!AF36</f>
        <v>242</v>
      </c>
      <c r="AG5" s="532">
        <f>[2]tanks!AG36</f>
        <v>2420</v>
      </c>
      <c r="AH5" s="532">
        <f>[2]tanks!AH36</f>
        <v>242</v>
      </c>
      <c r="AI5" s="532">
        <f>[2]tanks!AI36</f>
        <v>2420</v>
      </c>
      <c r="AJ5" s="532">
        <f>[2]tanks!AJ36</f>
        <v>242</v>
      </c>
      <c r="AK5" s="532">
        <f>[2]tanks!AK36</f>
        <v>2420</v>
      </c>
      <c r="AL5" s="532">
        <f>[2]tanks!AL36</f>
        <v>242</v>
      </c>
      <c r="AM5" s="532">
        <f>[2]tanks!AM36</f>
        <v>2420</v>
      </c>
      <c r="AN5" s="532">
        <f>[2]tanks!AN36</f>
        <v>0.86428571428571432</v>
      </c>
      <c r="AO5" s="532">
        <f>[2]tanks!AO36</f>
        <v>16940</v>
      </c>
      <c r="AP5" s="532">
        <f>[1]tanks!AP36</f>
        <v>0</v>
      </c>
      <c r="AQ5" s="532">
        <f>[2]tanks!AQ36</f>
        <v>0.78300388262602905</v>
      </c>
      <c r="AR5" s="532">
        <f>[2]tanks!AR36</f>
        <v>72795.870967741925</v>
      </c>
      <c r="AS5" s="532">
        <f>[2]tanks!AS36</f>
        <v>-920.03225806451519</v>
      </c>
      <c r="AT5" s="532">
        <f>[2]tanks!AT36</f>
        <v>0</v>
      </c>
      <c r="AU5" s="532">
        <f>[2]tanks!AU36</f>
        <v>0</v>
      </c>
      <c r="AV5" s="532">
        <f>[2]tanks!AV36</f>
        <v>0.67</v>
      </c>
      <c r="AW5" s="532">
        <f>[2]tanks!AW36</f>
        <v>-267</v>
      </c>
      <c r="AX5" s="532">
        <f>[2]tanks!AX36</f>
        <v>-653.03225806451519</v>
      </c>
      <c r="AY5" s="532">
        <f>[2]tanks!AY36</f>
        <v>-920.03225806451519</v>
      </c>
      <c r="AZ5" s="532">
        <f>[2]tanks!AZ36</f>
        <v>0</v>
      </c>
      <c r="BA5" s="532">
        <f>[2]tanks!BA36</f>
        <v>18.5</v>
      </c>
      <c r="BB5" s="505">
        <f>[2]tanks!BB36</f>
        <v>0.56000000000000005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-1226.7096774193487</v>
      </c>
      <c r="AT6" s="355"/>
      <c r="AU6" s="436"/>
      <c r="AV6" s="518">
        <f>IF(AT6&gt;0,AU6,AV5)</f>
        <v>0.67</v>
      </c>
      <c r="AW6" s="290">
        <f>-SUM('B5'!AI5)</f>
        <v>-467.60000000000582</v>
      </c>
      <c r="AX6" s="290">
        <f>-SUM(AW6-AS6)</f>
        <v>-759.10967741934292</v>
      </c>
      <c r="AY6" s="37">
        <f>SUM(AX6+AW6)</f>
        <v>-1226.7096774193487</v>
      </c>
      <c r="AZ6" s="100">
        <f>ELEC!A3</f>
        <v>0</v>
      </c>
      <c r="BA6" s="118">
        <f>'General information '!D6</f>
        <v>18.5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580.40084388118237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229</v>
      </c>
      <c r="C7" s="203">
        <f t="shared" ref="C7:E33" si="18">B7*$B$4</f>
        <v>4927.1935483870966</v>
      </c>
      <c r="D7">
        <f t="shared" ref="D7:D29" si="19">SUM(B7)</f>
        <v>229</v>
      </c>
      <c r="E7" s="203">
        <f t="shared" si="18"/>
        <v>4927.1935483870966</v>
      </c>
      <c r="F7">
        <f t="shared" ref="F7:F29" si="20">SUM(D7)</f>
        <v>229</v>
      </c>
      <c r="G7" s="203">
        <f t="shared" si="1"/>
        <v>4927.1935483870966</v>
      </c>
      <c r="H7" s="203">
        <f t="shared" ref="H7:H29" si="21">SUM(F7)</f>
        <v>229</v>
      </c>
      <c r="I7" s="203">
        <f t="shared" si="2"/>
        <v>4927.1935483870966</v>
      </c>
      <c r="J7" s="203">
        <f t="shared" ref="J7:J29" si="22">SUM(H7)</f>
        <v>229</v>
      </c>
      <c r="K7" s="203">
        <f t="shared" si="3"/>
        <v>4927.1935483870966</v>
      </c>
      <c r="L7" s="203">
        <f t="shared" ref="L7:L29" si="23">SUM(J7)</f>
        <v>229</v>
      </c>
      <c r="M7" s="203">
        <f t="shared" si="4"/>
        <v>4927.1935483870966</v>
      </c>
      <c r="N7" s="203">
        <f t="shared" ref="N7:N29" si="24">SUM(L7)</f>
        <v>229</v>
      </c>
      <c r="O7" s="203">
        <f t="shared" si="5"/>
        <v>4927.1935483870966</v>
      </c>
      <c r="P7" s="203">
        <f t="shared" ref="P7:P29" si="25">SUM(N7)</f>
        <v>229</v>
      </c>
      <c r="Q7" s="203">
        <f t="shared" si="6"/>
        <v>4927.1935483870966</v>
      </c>
      <c r="R7" s="203">
        <f t="shared" ref="R7:R29" si="26">SUM(P7)</f>
        <v>229</v>
      </c>
      <c r="S7" s="203">
        <f t="shared" si="7"/>
        <v>4927.1935483870966</v>
      </c>
      <c r="T7" s="203">
        <f t="shared" ref="T7:T29" si="27">SUM(R7)</f>
        <v>229</v>
      </c>
      <c r="U7" s="203">
        <f t="shared" si="8"/>
        <v>4927.1935483870966</v>
      </c>
      <c r="V7" s="203">
        <f t="shared" ref="V7:V29" si="28">SUM(T7)</f>
        <v>229</v>
      </c>
      <c r="W7" s="203">
        <f t="shared" si="9"/>
        <v>4927.1935483870966</v>
      </c>
      <c r="X7" s="35">
        <f t="shared" si="10"/>
        <v>0.738709677419355</v>
      </c>
      <c r="Y7" s="36">
        <f t="shared" ref="Y7:Y29" si="29">SUM(C7+E7+G7+I7+K7+M7+O7+Q7+S7+U7+W7)</f>
        <v>54199.129032258075</v>
      </c>
      <c r="Z7" s="203">
        <f>'B5'!C6</f>
        <v>235</v>
      </c>
      <c r="AA7" s="203">
        <f t="shared" ref="AA7:AC33" si="30">SUM(Z7*$Z$4)</f>
        <v>2350</v>
      </c>
      <c r="AB7" s="203">
        <f t="shared" ref="AB7:AB29" si="31">SUM(Z7)</f>
        <v>235</v>
      </c>
      <c r="AC7" s="203">
        <f t="shared" si="30"/>
        <v>2350</v>
      </c>
      <c r="AD7" s="203">
        <f t="shared" ref="AD7:AD29" si="32">SUM(AB7)</f>
        <v>235</v>
      </c>
      <c r="AE7" s="203">
        <f t="shared" si="11"/>
        <v>2350</v>
      </c>
      <c r="AF7" s="203">
        <f t="shared" ref="AF7:AF29" si="33">SUM(AD7)</f>
        <v>235</v>
      </c>
      <c r="AG7" s="203">
        <f t="shared" si="12"/>
        <v>2350</v>
      </c>
      <c r="AH7" s="203">
        <f t="shared" ref="AH7:AH29" si="34">SUM(AF7)</f>
        <v>235</v>
      </c>
      <c r="AI7" s="203">
        <f t="shared" si="13"/>
        <v>2350</v>
      </c>
      <c r="AJ7" s="203">
        <f t="shared" ref="AJ7:AJ29" si="35">SUM(AH7)</f>
        <v>235</v>
      </c>
      <c r="AK7" s="203">
        <f t="shared" si="14"/>
        <v>2350</v>
      </c>
      <c r="AL7" s="203">
        <f t="shared" ref="AL7:AL29" si="36">SUM(AJ7)</f>
        <v>235</v>
      </c>
      <c r="AM7" s="203">
        <f t="shared" si="15"/>
        <v>2350</v>
      </c>
      <c r="AN7" s="35">
        <f t="shared" si="16"/>
        <v>0.8392857142857143</v>
      </c>
      <c r="AO7" s="36">
        <f t="shared" si="17"/>
        <v>16450</v>
      </c>
      <c r="AQ7" s="223">
        <f t="shared" ref="AQ7:AQ33" si="37">SUM(AR7/92970)</f>
        <v>0.75991318739655889</v>
      </c>
      <c r="AR7" s="38">
        <f>SUM(AO7+Y7)</f>
        <v>70649.129032258075</v>
      </c>
      <c r="AS7" s="197">
        <f t="shared" ref="AS7:AS33" si="38">SUM(AR7-AR6-AT7)</f>
        <v>-920.03225806450064</v>
      </c>
      <c r="AT7" s="271"/>
      <c r="AU7" s="491"/>
      <c r="AV7" s="518">
        <f>IF(AT7&gt;0,AU7,AV6)</f>
        <v>0.67</v>
      </c>
      <c r="AW7" s="290">
        <f>-SUM('B5'!AI6)</f>
        <v>-234</v>
      </c>
      <c r="AX7" s="290">
        <f t="shared" ref="AX7:AX33" si="39">-SUM(AW7-AS7)</f>
        <v>-686.03225806450064</v>
      </c>
      <c r="AY7" s="37">
        <f t="shared" ref="AY7:AY33" si="40">SUM(AX7+AW7)</f>
        <v>-920.03225806450064</v>
      </c>
      <c r="AZ7" s="100">
        <f>ELEC!A4</f>
        <v>0</v>
      </c>
      <c r="BA7" s="118">
        <f>'General information '!D7</f>
        <v>20</v>
      </c>
      <c r="BB7" s="394">
        <f>SUM('General information '!E7)</f>
        <v>0.56000000000000005</v>
      </c>
      <c r="BC7" s="3">
        <v>0</v>
      </c>
      <c r="BD7" s="102">
        <v>19222</v>
      </c>
      <c r="BE7" s="14">
        <f>(305/1185)*ELEC!Q5</f>
        <v>751.81856540138324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225</v>
      </c>
      <c r="C8" s="203">
        <f t="shared" si="18"/>
        <v>4841.1290322580644</v>
      </c>
      <c r="D8">
        <f t="shared" si="19"/>
        <v>225</v>
      </c>
      <c r="E8" s="203">
        <f t="shared" si="18"/>
        <v>4841.1290322580644</v>
      </c>
      <c r="F8">
        <f t="shared" si="20"/>
        <v>225</v>
      </c>
      <c r="G8" s="203">
        <f t="shared" si="1"/>
        <v>4841.1290322580644</v>
      </c>
      <c r="H8" s="203">
        <f t="shared" si="21"/>
        <v>225</v>
      </c>
      <c r="I8" s="203">
        <f t="shared" si="2"/>
        <v>4841.1290322580644</v>
      </c>
      <c r="J8" s="203">
        <f t="shared" si="22"/>
        <v>225</v>
      </c>
      <c r="K8" s="203">
        <f t="shared" si="3"/>
        <v>4841.1290322580644</v>
      </c>
      <c r="L8" s="203">
        <f t="shared" si="23"/>
        <v>225</v>
      </c>
      <c r="M8" s="203">
        <f t="shared" si="4"/>
        <v>4841.1290322580644</v>
      </c>
      <c r="N8" s="203">
        <f t="shared" si="24"/>
        <v>225</v>
      </c>
      <c r="O8" s="203">
        <f t="shared" si="5"/>
        <v>4841.1290322580644</v>
      </c>
      <c r="P8" s="203">
        <f t="shared" si="25"/>
        <v>225</v>
      </c>
      <c r="Q8" s="203">
        <f t="shared" si="6"/>
        <v>4841.1290322580644</v>
      </c>
      <c r="R8" s="203">
        <f t="shared" si="26"/>
        <v>225</v>
      </c>
      <c r="S8" s="203">
        <f t="shared" si="7"/>
        <v>4841.1290322580644</v>
      </c>
      <c r="T8" s="203">
        <f t="shared" si="27"/>
        <v>225</v>
      </c>
      <c r="U8" s="203">
        <f t="shared" si="8"/>
        <v>4841.1290322580644</v>
      </c>
      <c r="V8" s="203">
        <f t="shared" si="28"/>
        <v>225</v>
      </c>
      <c r="W8" s="203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3">
        <f t="shared" si="37"/>
        <v>0.7467185044082898</v>
      </c>
      <c r="AR8" s="38">
        <f t="shared" ref="AR8:AR33" si="41">SUM(AO8+Y8)</f>
        <v>69422.419354838697</v>
      </c>
      <c r="AS8" s="197">
        <f t="shared" si="38"/>
        <v>-1226.7096774193778</v>
      </c>
      <c r="AT8" s="355"/>
      <c r="AU8" s="436"/>
      <c r="AV8" s="518">
        <f t="shared" ref="AV8:AV31" si="42">IF(AT8&gt;0,AU8,AV7)</f>
        <v>0.67</v>
      </c>
      <c r="AW8" s="290">
        <f>-SUM('B5'!AI7)</f>
        <v>-289</v>
      </c>
      <c r="AX8" s="290">
        <f t="shared" si="39"/>
        <v>-937.70967741937784</v>
      </c>
      <c r="AY8" s="37">
        <f t="shared" si="40"/>
        <v>-1226.7096774193778</v>
      </c>
      <c r="AZ8" s="100">
        <f>ELEC!A5</f>
        <v>0</v>
      </c>
      <c r="BA8" s="118">
        <f>'General information '!D8</f>
        <v>17.5</v>
      </c>
      <c r="BB8" s="394">
        <f>SUM('General information '!E8)</f>
        <v>0.69</v>
      </c>
      <c r="BC8" s="3">
        <f t="shared" ref="BC8:BC33" si="43">IF(AR7&gt;=AR8,0,1)</f>
        <v>0</v>
      </c>
      <c r="BD8" s="102">
        <v>19222</v>
      </c>
      <c r="BE8" s="14">
        <f>(305/1185)*ELEC!Q6</f>
        <v>675.37552742610796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221</v>
      </c>
      <c r="C9" s="203">
        <f t="shared" si="18"/>
        <v>4755.0645161290322</v>
      </c>
      <c r="D9">
        <f t="shared" si="19"/>
        <v>221</v>
      </c>
      <c r="E9" s="203">
        <f t="shared" si="18"/>
        <v>4755.0645161290322</v>
      </c>
      <c r="F9">
        <f t="shared" si="20"/>
        <v>221</v>
      </c>
      <c r="G9" s="203">
        <f t="shared" si="1"/>
        <v>4755.0645161290322</v>
      </c>
      <c r="H9" s="203">
        <f t="shared" si="21"/>
        <v>221</v>
      </c>
      <c r="I9" s="203">
        <f t="shared" si="2"/>
        <v>4755.0645161290322</v>
      </c>
      <c r="J9" s="203">
        <f t="shared" si="22"/>
        <v>221</v>
      </c>
      <c r="K9" s="203">
        <f t="shared" si="3"/>
        <v>4755.0645161290322</v>
      </c>
      <c r="L9" s="203">
        <f t="shared" si="23"/>
        <v>221</v>
      </c>
      <c r="M9" s="203">
        <f t="shared" si="4"/>
        <v>4755.0645161290322</v>
      </c>
      <c r="N9" s="203">
        <f t="shared" si="24"/>
        <v>221</v>
      </c>
      <c r="O9" s="203">
        <f t="shared" si="5"/>
        <v>4755.0645161290322</v>
      </c>
      <c r="P9" s="203">
        <f t="shared" si="25"/>
        <v>221</v>
      </c>
      <c r="Q9" s="203">
        <f t="shared" si="6"/>
        <v>4755.0645161290322</v>
      </c>
      <c r="R9" s="203">
        <f t="shared" si="26"/>
        <v>221</v>
      </c>
      <c r="S9" s="203">
        <f t="shared" si="7"/>
        <v>4755.0645161290322</v>
      </c>
      <c r="T9" s="203">
        <f t="shared" si="27"/>
        <v>221</v>
      </c>
      <c r="U9" s="203">
        <f t="shared" si="8"/>
        <v>4755.0645161290322</v>
      </c>
      <c r="V9" s="203">
        <f t="shared" si="28"/>
        <v>221</v>
      </c>
      <c r="W9" s="203">
        <f t="shared" si="9"/>
        <v>4755.0645161290322</v>
      </c>
      <c r="X9" s="35">
        <f t="shared" si="10"/>
        <v>0.71290322580645138</v>
      </c>
      <c r="Y9" s="36">
        <f t="shared" si="29"/>
        <v>52305.709677419341</v>
      </c>
      <c r="Z9" s="203">
        <f>'B5'!C8</f>
        <v>227</v>
      </c>
      <c r="AA9" s="203">
        <f t="shared" si="30"/>
        <v>2270</v>
      </c>
      <c r="AB9" s="203">
        <f t="shared" si="31"/>
        <v>227</v>
      </c>
      <c r="AC9" s="203">
        <f t="shared" si="30"/>
        <v>2270</v>
      </c>
      <c r="AD9" s="203">
        <f t="shared" si="32"/>
        <v>227</v>
      </c>
      <c r="AE9" s="203">
        <f t="shared" si="11"/>
        <v>2270</v>
      </c>
      <c r="AF9" s="203">
        <f t="shared" si="33"/>
        <v>227</v>
      </c>
      <c r="AG9" s="203">
        <f t="shared" si="12"/>
        <v>2270</v>
      </c>
      <c r="AH9" s="203">
        <f t="shared" si="34"/>
        <v>227</v>
      </c>
      <c r="AI9" s="203">
        <f t="shared" si="13"/>
        <v>2270</v>
      </c>
      <c r="AJ9" s="203">
        <f t="shared" si="35"/>
        <v>227</v>
      </c>
      <c r="AK9" s="203">
        <f t="shared" si="14"/>
        <v>2270</v>
      </c>
      <c r="AL9" s="203">
        <f t="shared" si="36"/>
        <v>227</v>
      </c>
      <c r="AM9" s="203">
        <f t="shared" si="15"/>
        <v>2270</v>
      </c>
      <c r="AN9" s="35">
        <f t="shared" si="16"/>
        <v>0.81071428571428572</v>
      </c>
      <c r="AO9" s="36">
        <f>SUM(AA9+AC9+AE9+AG9+AI9+AK9+AM9)</f>
        <v>15890</v>
      </c>
      <c r="AQ9" s="223">
        <f t="shared" si="37"/>
        <v>0.73352382142002082</v>
      </c>
      <c r="AR9" s="38">
        <f t="shared" si="41"/>
        <v>68195.709677419334</v>
      </c>
      <c r="AS9" s="197">
        <f t="shared" si="38"/>
        <v>-1226.7096774193633</v>
      </c>
      <c r="AT9" s="355"/>
      <c r="AU9" s="436"/>
      <c r="AV9" s="518">
        <f t="shared" si="42"/>
        <v>0.67</v>
      </c>
      <c r="AW9" s="290">
        <f>-SUM('B5'!AI8)</f>
        <v>-314</v>
      </c>
      <c r="AX9" s="290">
        <f>-SUM(AW9-AS9)</f>
        <v>-912.70967741936329</v>
      </c>
      <c r="AY9" s="37">
        <f t="shared" si="40"/>
        <v>-1226.7096774193633</v>
      </c>
      <c r="AZ9" s="100">
        <f>ELEC!A6</f>
        <v>0</v>
      </c>
      <c r="BA9" s="118">
        <f>'General information '!D9</f>
        <v>17.5</v>
      </c>
      <c r="BB9" s="394">
        <f>SUM('General information '!E9)</f>
        <v>0.73</v>
      </c>
      <c r="BC9" s="3">
        <f t="shared" si="43"/>
        <v>0</v>
      </c>
      <c r="BD9" s="102">
        <v>19222</v>
      </c>
      <c r="BE9" s="14">
        <f>(305/1185)*ELEC!Q7</f>
        <v>505.75949367092358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247</v>
      </c>
      <c r="C10" s="203">
        <f t="shared" si="18"/>
        <v>5314.4838709677415</v>
      </c>
      <c r="D10">
        <f t="shared" si="19"/>
        <v>247</v>
      </c>
      <c r="E10" s="203">
        <f t="shared" si="18"/>
        <v>5314.4838709677415</v>
      </c>
      <c r="F10">
        <f t="shared" si="20"/>
        <v>247</v>
      </c>
      <c r="G10" s="203">
        <f t="shared" si="1"/>
        <v>5314.4838709677415</v>
      </c>
      <c r="H10" s="203">
        <f t="shared" si="21"/>
        <v>247</v>
      </c>
      <c r="I10" s="203">
        <f t="shared" si="2"/>
        <v>5314.4838709677415</v>
      </c>
      <c r="J10" s="203">
        <f t="shared" si="22"/>
        <v>247</v>
      </c>
      <c r="K10" s="203">
        <f t="shared" si="3"/>
        <v>5314.4838709677415</v>
      </c>
      <c r="L10" s="203">
        <f t="shared" si="23"/>
        <v>247</v>
      </c>
      <c r="M10" s="203">
        <f t="shared" si="4"/>
        <v>5314.4838709677415</v>
      </c>
      <c r="N10" s="203">
        <f t="shared" si="24"/>
        <v>247</v>
      </c>
      <c r="O10" s="203">
        <f t="shared" si="5"/>
        <v>5314.4838709677415</v>
      </c>
      <c r="P10" s="203">
        <f t="shared" si="25"/>
        <v>247</v>
      </c>
      <c r="Q10" s="203">
        <f t="shared" si="6"/>
        <v>5314.4838709677415</v>
      </c>
      <c r="R10" s="203">
        <f t="shared" si="26"/>
        <v>247</v>
      </c>
      <c r="S10" s="203">
        <f t="shared" si="7"/>
        <v>5314.4838709677415</v>
      </c>
      <c r="T10" s="203">
        <f t="shared" si="27"/>
        <v>247</v>
      </c>
      <c r="U10" s="203">
        <f t="shared" si="8"/>
        <v>5314.4838709677415</v>
      </c>
      <c r="V10" s="203">
        <f t="shared" si="28"/>
        <v>247</v>
      </c>
      <c r="W10" s="203">
        <f t="shared" si="9"/>
        <v>5314.4838709677415</v>
      </c>
      <c r="X10" s="35">
        <f t="shared" si="10"/>
        <v>0.79677419354838708</v>
      </c>
      <c r="Y10" s="36">
        <f t="shared" si="29"/>
        <v>58459.322580645159</v>
      </c>
      <c r="Z10" s="203">
        <f>'B5'!C9</f>
        <v>252</v>
      </c>
      <c r="AA10" s="203">
        <f t="shared" si="30"/>
        <v>2520</v>
      </c>
      <c r="AB10" s="203">
        <f t="shared" si="31"/>
        <v>252</v>
      </c>
      <c r="AC10" s="203">
        <f t="shared" si="30"/>
        <v>2520</v>
      </c>
      <c r="AD10" s="203">
        <f t="shared" si="32"/>
        <v>252</v>
      </c>
      <c r="AE10" s="203">
        <f t="shared" si="11"/>
        <v>2520</v>
      </c>
      <c r="AF10" s="203">
        <f t="shared" si="33"/>
        <v>252</v>
      </c>
      <c r="AG10" s="203">
        <f t="shared" si="12"/>
        <v>2520</v>
      </c>
      <c r="AH10" s="203">
        <f t="shared" si="34"/>
        <v>252</v>
      </c>
      <c r="AI10" s="203">
        <f t="shared" si="13"/>
        <v>2520</v>
      </c>
      <c r="AJ10" s="203">
        <f t="shared" si="35"/>
        <v>252</v>
      </c>
      <c r="AK10" s="203">
        <f t="shared" si="14"/>
        <v>2520</v>
      </c>
      <c r="AL10" s="203">
        <f t="shared" si="36"/>
        <v>252</v>
      </c>
      <c r="AM10" s="203">
        <f t="shared" si="15"/>
        <v>2520</v>
      </c>
      <c r="AN10" s="35">
        <f t="shared" si="16"/>
        <v>0.9</v>
      </c>
      <c r="AO10" s="36">
        <f t="shared" si="17"/>
        <v>17640</v>
      </c>
      <c r="AQ10" s="223">
        <f t="shared" si="37"/>
        <v>0.81853632979074054</v>
      </c>
      <c r="AR10" s="38">
        <f t="shared" si="41"/>
        <v>76099.322580645152</v>
      </c>
      <c r="AS10" s="197">
        <f t="shared" si="38"/>
        <v>53.612903225817718</v>
      </c>
      <c r="AT10" s="355">
        <v>7850</v>
      </c>
      <c r="AU10" s="436">
        <v>0.67400000000000004</v>
      </c>
      <c r="AV10" s="518">
        <f>IF(AT10&gt;0,AU10,AV9)</f>
        <v>0.67400000000000004</v>
      </c>
      <c r="AW10" s="290">
        <f>-SUM('B5'!AI9)</f>
        <v>-391</v>
      </c>
      <c r="AX10" s="290">
        <f>-SUM(AW10-AS10)</f>
        <v>444.61290322581772</v>
      </c>
      <c r="AY10" s="37">
        <f t="shared" si="40"/>
        <v>53.612903225817718</v>
      </c>
      <c r="AZ10" s="100">
        <f>ELEC!A7</f>
        <v>0</v>
      </c>
      <c r="BA10" s="118">
        <f>'General information '!D10</f>
        <v>17.5</v>
      </c>
      <c r="BB10" s="394">
        <f>SUM('General information '!E10)</f>
        <v>0.6</v>
      </c>
      <c r="BC10" s="3">
        <f t="shared" si="43"/>
        <v>1</v>
      </c>
      <c r="BD10" s="102">
        <v>19222</v>
      </c>
      <c r="BE10" s="14">
        <f>(305/1185)*ELEC!Q8</f>
        <v>436.00843881843809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244</v>
      </c>
      <c r="C11" s="203">
        <f t="shared" si="18"/>
        <v>5249.9354838709678</v>
      </c>
      <c r="D11">
        <f>SUM(B11)</f>
        <v>244</v>
      </c>
      <c r="E11" s="203">
        <f t="shared" si="18"/>
        <v>5249.9354838709678</v>
      </c>
      <c r="F11">
        <f>SUM(D11)</f>
        <v>244</v>
      </c>
      <c r="G11" s="203">
        <f t="shared" si="1"/>
        <v>5249.9354838709678</v>
      </c>
      <c r="H11" s="203">
        <f>SUM(F11)</f>
        <v>244</v>
      </c>
      <c r="I11" s="203">
        <f t="shared" si="2"/>
        <v>5249.9354838709678</v>
      </c>
      <c r="J11" s="203">
        <f>SUM(H11)</f>
        <v>244</v>
      </c>
      <c r="K11" s="203">
        <f t="shared" si="3"/>
        <v>5249.9354838709678</v>
      </c>
      <c r="L11" s="203">
        <f>SUM(J11)</f>
        <v>244</v>
      </c>
      <c r="M11" s="203">
        <f t="shared" si="4"/>
        <v>5249.9354838709678</v>
      </c>
      <c r="N11" s="203">
        <f>SUM(L11)</f>
        <v>244</v>
      </c>
      <c r="O11" s="203">
        <f t="shared" si="5"/>
        <v>5249.9354838709678</v>
      </c>
      <c r="P11" s="203">
        <f>SUM(N11)</f>
        <v>244</v>
      </c>
      <c r="Q11" s="203">
        <f t="shared" si="6"/>
        <v>5249.9354838709678</v>
      </c>
      <c r="R11" s="203">
        <f>SUM(P11)</f>
        <v>244</v>
      </c>
      <c r="S11" s="203">
        <f t="shared" si="7"/>
        <v>5249.9354838709678</v>
      </c>
      <c r="T11" s="203">
        <f>SUM(R11)</f>
        <v>244</v>
      </c>
      <c r="U11" s="203">
        <f t="shared" si="8"/>
        <v>5249.9354838709678</v>
      </c>
      <c r="V11" s="203">
        <f>SUM(T11)</f>
        <v>244</v>
      </c>
      <c r="W11" s="203">
        <f t="shared" si="9"/>
        <v>5249.9354838709678</v>
      </c>
      <c r="X11" s="35">
        <f>SUM(Y11/73370)</f>
        <v>0.78709677419354862</v>
      </c>
      <c r="Y11" s="36">
        <f>SUM(C11+E11+G11+I11+K11+M11+O11+Q11+S11+U11+W11)</f>
        <v>57749.290322580659</v>
      </c>
      <c r="Z11" s="203">
        <f>'B5'!C10</f>
        <v>250</v>
      </c>
      <c r="AA11" s="203">
        <f t="shared" si="30"/>
        <v>2500</v>
      </c>
      <c r="AB11" s="203">
        <f>SUM(Z11)</f>
        <v>250</v>
      </c>
      <c r="AC11" s="203">
        <f t="shared" si="30"/>
        <v>2500</v>
      </c>
      <c r="AD11" s="203">
        <f>SUM(AB11)</f>
        <v>250</v>
      </c>
      <c r="AE11" s="203">
        <f t="shared" si="11"/>
        <v>2500</v>
      </c>
      <c r="AF11" s="203">
        <f>SUM(AD11)</f>
        <v>250</v>
      </c>
      <c r="AG11" s="203">
        <f t="shared" si="12"/>
        <v>2500</v>
      </c>
      <c r="AH11" s="203">
        <f>SUM(AF11)</f>
        <v>250</v>
      </c>
      <c r="AI11" s="203">
        <f t="shared" si="13"/>
        <v>2500</v>
      </c>
      <c r="AJ11" s="203">
        <f>SUM(AH11)</f>
        <v>250</v>
      </c>
      <c r="AK11" s="203">
        <f t="shared" si="14"/>
        <v>2500</v>
      </c>
      <c r="AL11" s="203">
        <f>SUM(AJ11)</f>
        <v>250</v>
      </c>
      <c r="AM11" s="203">
        <f t="shared" si="15"/>
        <v>2500</v>
      </c>
      <c r="AN11" s="35">
        <f>SUM(AO11/19600)</f>
        <v>0.8928571428571429</v>
      </c>
      <c r="AO11" s="36">
        <f t="shared" si="17"/>
        <v>17500</v>
      </c>
      <c r="AP11" s="565"/>
      <c r="AQ11" s="223">
        <f t="shared" si="37"/>
        <v>0.80939324860256712</v>
      </c>
      <c r="AR11" s="38">
        <f t="shared" si="41"/>
        <v>75249.290322580666</v>
      </c>
      <c r="AS11" s="197">
        <f>SUM(AR11-AR10-AT11)</f>
        <v>-850.03225806448609</v>
      </c>
      <c r="AT11" s="355"/>
      <c r="AU11" s="436"/>
      <c r="AV11" s="518">
        <f>IF(AT11&gt;0,AU11,AV10)</f>
        <v>0.67400000000000004</v>
      </c>
      <c r="AW11" s="290">
        <f>-SUM('B5'!AI10)</f>
        <v>-311</v>
      </c>
      <c r="AX11" s="290">
        <f>-SUM(AW11-AS11)</f>
        <v>-539.03225806448609</v>
      </c>
      <c r="AY11" s="37">
        <f t="shared" si="40"/>
        <v>-850.03225806448609</v>
      </c>
      <c r="AZ11" s="100">
        <f>ELEC!A8</f>
        <v>0</v>
      </c>
      <c r="BA11" s="118">
        <f>'General information '!D11</f>
        <v>17</v>
      </c>
      <c r="BB11" s="394">
        <f>SUM('General information '!E11)</f>
        <v>0.7</v>
      </c>
      <c r="BC11" s="3">
        <f t="shared" si="43"/>
        <v>0</v>
      </c>
      <c r="BD11" s="102">
        <v>19222</v>
      </c>
      <c r="BE11" s="14">
        <f>(305/1185)*ELEC!Q9</f>
        <v>526.09282700465394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240</v>
      </c>
      <c r="C12" s="203">
        <f t="shared" si="18"/>
        <v>5163.8709677419356</v>
      </c>
      <c r="D12">
        <f t="shared" si="19"/>
        <v>240</v>
      </c>
      <c r="E12" s="203">
        <f t="shared" si="18"/>
        <v>5163.8709677419356</v>
      </c>
      <c r="F12">
        <f t="shared" si="20"/>
        <v>240</v>
      </c>
      <c r="G12" s="203">
        <f t="shared" si="1"/>
        <v>5163.8709677419356</v>
      </c>
      <c r="H12" s="203">
        <f t="shared" si="21"/>
        <v>240</v>
      </c>
      <c r="I12" s="203">
        <f t="shared" si="2"/>
        <v>5163.8709677419356</v>
      </c>
      <c r="J12" s="203">
        <f t="shared" si="22"/>
        <v>240</v>
      </c>
      <c r="K12" s="203">
        <f t="shared" si="3"/>
        <v>5163.8709677419356</v>
      </c>
      <c r="L12" s="203">
        <f t="shared" si="23"/>
        <v>240</v>
      </c>
      <c r="M12" s="203">
        <f t="shared" si="4"/>
        <v>5163.8709677419356</v>
      </c>
      <c r="N12" s="203">
        <f t="shared" si="24"/>
        <v>240</v>
      </c>
      <c r="O12" s="203">
        <f t="shared" si="5"/>
        <v>5163.8709677419356</v>
      </c>
      <c r="P12" s="203">
        <f t="shared" si="25"/>
        <v>240</v>
      </c>
      <c r="Q12" s="203">
        <f t="shared" si="6"/>
        <v>5163.8709677419356</v>
      </c>
      <c r="R12" s="203">
        <f t="shared" si="26"/>
        <v>240</v>
      </c>
      <c r="S12" s="203">
        <f t="shared" si="7"/>
        <v>5163.8709677419356</v>
      </c>
      <c r="T12" s="203">
        <f t="shared" si="27"/>
        <v>240</v>
      </c>
      <c r="U12" s="203">
        <f t="shared" si="8"/>
        <v>5163.8709677419356</v>
      </c>
      <c r="V12" s="203">
        <f t="shared" si="28"/>
        <v>240</v>
      </c>
      <c r="W12" s="203">
        <f t="shared" si="9"/>
        <v>5163.8709677419356</v>
      </c>
      <c r="X12" s="35">
        <f t="shared" si="10"/>
        <v>0.77419354838709697</v>
      </c>
      <c r="Y12" s="36">
        <f t="shared" si="29"/>
        <v>56802.580645161303</v>
      </c>
      <c r="Z12" s="203">
        <f>'B5'!C11</f>
        <v>246</v>
      </c>
      <c r="AA12" s="203">
        <f t="shared" si="30"/>
        <v>2460</v>
      </c>
      <c r="AB12" s="203">
        <f t="shared" si="31"/>
        <v>246</v>
      </c>
      <c r="AC12" s="203">
        <f t="shared" si="30"/>
        <v>2460</v>
      </c>
      <c r="AD12" s="203">
        <f t="shared" si="32"/>
        <v>246</v>
      </c>
      <c r="AE12" s="203">
        <f t="shared" si="11"/>
        <v>2460</v>
      </c>
      <c r="AF12" s="203">
        <f t="shared" si="33"/>
        <v>246</v>
      </c>
      <c r="AG12" s="203">
        <f t="shared" si="12"/>
        <v>2460</v>
      </c>
      <c r="AH12" s="203">
        <f t="shared" si="34"/>
        <v>246</v>
      </c>
      <c r="AI12" s="203">
        <f t="shared" si="13"/>
        <v>2460</v>
      </c>
      <c r="AJ12" s="203">
        <f t="shared" si="35"/>
        <v>246</v>
      </c>
      <c r="AK12" s="203">
        <f t="shared" si="14"/>
        <v>2460</v>
      </c>
      <c r="AL12" s="203">
        <f t="shared" si="36"/>
        <v>246</v>
      </c>
      <c r="AM12" s="203">
        <f t="shared" si="15"/>
        <v>2460</v>
      </c>
      <c r="AN12" s="35">
        <f t="shared" si="16"/>
        <v>0.87857142857142856</v>
      </c>
      <c r="AO12" s="36">
        <f t="shared" si="17"/>
        <v>17220</v>
      </c>
      <c r="AP12" s="565"/>
      <c r="AQ12" s="223">
        <f t="shared" si="37"/>
        <v>0.79619856561429814</v>
      </c>
      <c r="AR12" s="38">
        <f t="shared" si="41"/>
        <v>74022.580645161303</v>
      </c>
      <c r="AS12" s="197">
        <f>SUM(AR12-AR11-AT12)</f>
        <v>-1226.7096774193633</v>
      </c>
      <c r="AT12" s="271"/>
      <c r="AU12" s="478"/>
      <c r="AV12" s="518">
        <f t="shared" si="42"/>
        <v>0.67400000000000004</v>
      </c>
      <c r="AW12" s="290">
        <f>-SUM('B5'!AI11)</f>
        <v>-279</v>
      </c>
      <c r="AX12" s="290">
        <f t="shared" si="39"/>
        <v>-947.70967741936329</v>
      </c>
      <c r="AY12" s="37">
        <f t="shared" si="40"/>
        <v>-1226.7096774193633</v>
      </c>
      <c r="AZ12" s="100">
        <f>ELEC!A9</f>
        <v>0</v>
      </c>
      <c r="BA12" s="118">
        <f>'General information '!D12</f>
        <v>19</v>
      </c>
      <c r="BB12" s="394">
        <f>SUM('General information '!E12)</f>
        <v>0.63</v>
      </c>
      <c r="BC12" s="3">
        <f t="shared" si="43"/>
        <v>0</v>
      </c>
      <c r="BD12" s="102">
        <v>19222</v>
      </c>
      <c r="BE12" s="14">
        <f>(305/1185)*ELEC!Q10</f>
        <v>526.3502109700147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237</v>
      </c>
      <c r="C13" s="203">
        <f t="shared" si="18"/>
        <v>5099.322580645161</v>
      </c>
      <c r="D13">
        <f t="shared" si="19"/>
        <v>237</v>
      </c>
      <c r="E13" s="203">
        <f t="shared" si="18"/>
        <v>5099.322580645161</v>
      </c>
      <c r="F13">
        <f t="shared" si="20"/>
        <v>237</v>
      </c>
      <c r="G13" s="203">
        <f t="shared" si="1"/>
        <v>5099.322580645161</v>
      </c>
      <c r="H13" s="203">
        <f t="shared" si="21"/>
        <v>237</v>
      </c>
      <c r="I13" s="203">
        <f t="shared" si="2"/>
        <v>5099.322580645161</v>
      </c>
      <c r="J13" s="203">
        <f t="shared" si="22"/>
        <v>237</v>
      </c>
      <c r="K13" s="203">
        <f t="shared" si="3"/>
        <v>5099.322580645161</v>
      </c>
      <c r="L13" s="203">
        <f t="shared" si="23"/>
        <v>237</v>
      </c>
      <c r="M13" s="203">
        <f t="shared" si="4"/>
        <v>5099.322580645161</v>
      </c>
      <c r="N13" s="203">
        <f t="shared" si="24"/>
        <v>237</v>
      </c>
      <c r="O13" s="203">
        <f t="shared" si="5"/>
        <v>5099.322580645161</v>
      </c>
      <c r="P13" s="203">
        <f t="shared" si="25"/>
        <v>237</v>
      </c>
      <c r="Q13" s="203">
        <f t="shared" si="6"/>
        <v>5099.322580645161</v>
      </c>
      <c r="R13" s="203">
        <f t="shared" si="26"/>
        <v>237</v>
      </c>
      <c r="S13" s="203">
        <f t="shared" si="7"/>
        <v>5099.322580645161</v>
      </c>
      <c r="T13" s="203">
        <f t="shared" si="27"/>
        <v>237</v>
      </c>
      <c r="U13" s="203">
        <f t="shared" si="8"/>
        <v>5099.322580645161</v>
      </c>
      <c r="V13" s="203">
        <f t="shared" si="28"/>
        <v>237</v>
      </c>
      <c r="W13" s="203">
        <f t="shared" si="9"/>
        <v>5099.322580645161</v>
      </c>
      <c r="X13" s="35">
        <f t="shared" si="10"/>
        <v>0.76451612903225785</v>
      </c>
      <c r="Y13" s="36">
        <f t="shared" si="29"/>
        <v>56092.548387096758</v>
      </c>
      <c r="Z13" s="203">
        <f>'B5'!C12</f>
        <v>243</v>
      </c>
      <c r="AA13" s="203">
        <f t="shared" si="30"/>
        <v>2430</v>
      </c>
      <c r="AB13" s="203">
        <f t="shared" si="31"/>
        <v>243</v>
      </c>
      <c r="AC13" s="203">
        <f t="shared" si="30"/>
        <v>2430</v>
      </c>
      <c r="AD13" s="203">
        <f t="shared" si="32"/>
        <v>243</v>
      </c>
      <c r="AE13" s="203">
        <f t="shared" si="11"/>
        <v>2430</v>
      </c>
      <c r="AF13" s="203">
        <f t="shared" si="33"/>
        <v>243</v>
      </c>
      <c r="AG13" s="203">
        <f t="shared" si="12"/>
        <v>2430</v>
      </c>
      <c r="AH13" s="203">
        <f t="shared" si="34"/>
        <v>243</v>
      </c>
      <c r="AI13" s="203">
        <f t="shared" si="13"/>
        <v>2430</v>
      </c>
      <c r="AJ13" s="203">
        <f t="shared" si="35"/>
        <v>243</v>
      </c>
      <c r="AK13" s="203">
        <f t="shared" si="14"/>
        <v>2430</v>
      </c>
      <c r="AL13" s="203">
        <f t="shared" si="36"/>
        <v>243</v>
      </c>
      <c r="AM13" s="203">
        <f t="shared" si="15"/>
        <v>2430</v>
      </c>
      <c r="AN13" s="35">
        <f t="shared" si="16"/>
        <v>0.86785714285714288</v>
      </c>
      <c r="AO13" s="36">
        <f t="shared" si="17"/>
        <v>17010</v>
      </c>
      <c r="AP13" s="565"/>
      <c r="AQ13" s="223">
        <f t="shared" si="37"/>
        <v>0.78630255337309629</v>
      </c>
      <c r="AR13" s="38">
        <f t="shared" si="41"/>
        <v>73102.548387096758</v>
      </c>
      <c r="AS13" s="197">
        <f t="shared" si="38"/>
        <v>-920.03225806454429</v>
      </c>
      <c r="AT13" s="271"/>
      <c r="AU13" s="436"/>
      <c r="AV13" s="518">
        <f t="shared" si="42"/>
        <v>0.67400000000000004</v>
      </c>
      <c r="AW13" s="290">
        <f>-SUM('B5'!AI12)</f>
        <v>-333.39999999999418</v>
      </c>
      <c r="AX13" s="290">
        <f t="shared" si="39"/>
        <v>-586.63225806455011</v>
      </c>
      <c r="AY13" s="37">
        <f t="shared" si="40"/>
        <v>-920.03225806454429</v>
      </c>
      <c r="AZ13" s="100">
        <f>ELEC!A10</f>
        <v>0</v>
      </c>
      <c r="BA13" s="118">
        <f>'General information '!D13</f>
        <v>21</v>
      </c>
      <c r="BB13" s="394">
        <f>SUM('General information '!E13)</f>
        <v>0.55000000000000004</v>
      </c>
      <c r="BC13" s="3">
        <f t="shared" si="43"/>
        <v>0</v>
      </c>
      <c r="BD13" s="102">
        <v>19222</v>
      </c>
      <c r="BE13" s="14">
        <f>(305/1185)*ELEC!Q11</f>
        <v>884.37130801726721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233</v>
      </c>
      <c r="C14" s="203">
        <f t="shared" si="18"/>
        <v>5013.2580645161288</v>
      </c>
      <c r="D14">
        <f t="shared" si="19"/>
        <v>233</v>
      </c>
      <c r="E14" s="203">
        <f t="shared" si="18"/>
        <v>5013.2580645161288</v>
      </c>
      <c r="F14">
        <f t="shared" si="20"/>
        <v>233</v>
      </c>
      <c r="G14" s="203">
        <f t="shared" si="1"/>
        <v>5013.2580645161288</v>
      </c>
      <c r="H14" s="203">
        <f t="shared" si="21"/>
        <v>233</v>
      </c>
      <c r="I14" s="203">
        <f t="shared" si="2"/>
        <v>5013.2580645161288</v>
      </c>
      <c r="J14" s="203">
        <f t="shared" si="22"/>
        <v>233</v>
      </c>
      <c r="K14" s="203">
        <f t="shared" si="3"/>
        <v>5013.2580645161288</v>
      </c>
      <c r="L14" s="203">
        <f t="shared" si="23"/>
        <v>233</v>
      </c>
      <c r="M14" s="203">
        <f t="shared" si="4"/>
        <v>5013.2580645161288</v>
      </c>
      <c r="N14" s="203">
        <f t="shared" si="24"/>
        <v>233</v>
      </c>
      <c r="O14" s="203">
        <f t="shared" si="5"/>
        <v>5013.2580645161288</v>
      </c>
      <c r="P14" s="203">
        <f t="shared" si="25"/>
        <v>233</v>
      </c>
      <c r="Q14" s="203">
        <f t="shared" si="6"/>
        <v>5013.2580645161288</v>
      </c>
      <c r="R14" s="203">
        <f t="shared" si="26"/>
        <v>233</v>
      </c>
      <c r="S14" s="203">
        <f t="shared" si="7"/>
        <v>5013.2580645161288</v>
      </c>
      <c r="T14" s="203">
        <f t="shared" si="27"/>
        <v>233</v>
      </c>
      <c r="U14" s="203">
        <f t="shared" si="8"/>
        <v>5013.2580645161288</v>
      </c>
      <c r="V14" s="203">
        <f t="shared" si="28"/>
        <v>233</v>
      </c>
      <c r="W14" s="203">
        <f t="shared" si="9"/>
        <v>5013.2580645161288</v>
      </c>
      <c r="X14" s="35">
        <f t="shared" si="10"/>
        <v>0.75161290322580643</v>
      </c>
      <c r="Y14" s="36">
        <f t="shared" si="29"/>
        <v>55145.838709677417</v>
      </c>
      <c r="Z14" s="203">
        <f>'B5'!C13</f>
        <v>239</v>
      </c>
      <c r="AA14" s="203">
        <f t="shared" si="30"/>
        <v>2390</v>
      </c>
      <c r="AB14" s="203">
        <f t="shared" si="31"/>
        <v>239</v>
      </c>
      <c r="AC14" s="203">
        <f t="shared" si="30"/>
        <v>2390</v>
      </c>
      <c r="AD14" s="203">
        <f t="shared" si="32"/>
        <v>239</v>
      </c>
      <c r="AE14" s="203">
        <f t="shared" si="11"/>
        <v>2390</v>
      </c>
      <c r="AF14" s="203">
        <f t="shared" si="33"/>
        <v>239</v>
      </c>
      <c r="AG14" s="203">
        <f t="shared" si="12"/>
        <v>2390</v>
      </c>
      <c r="AH14" s="203">
        <f t="shared" si="34"/>
        <v>239</v>
      </c>
      <c r="AI14" s="203">
        <f t="shared" si="13"/>
        <v>2390</v>
      </c>
      <c r="AJ14" s="203">
        <f t="shared" si="35"/>
        <v>239</v>
      </c>
      <c r="AK14" s="203">
        <f t="shared" si="14"/>
        <v>2390</v>
      </c>
      <c r="AL14" s="203">
        <f t="shared" si="36"/>
        <v>239</v>
      </c>
      <c r="AM14" s="203">
        <f t="shared" si="15"/>
        <v>2390</v>
      </c>
      <c r="AN14" s="35">
        <f t="shared" si="16"/>
        <v>0.85357142857142854</v>
      </c>
      <c r="AO14" s="36">
        <f t="shared" si="17"/>
        <v>16730</v>
      </c>
      <c r="AQ14" s="223">
        <f t="shared" si="37"/>
        <v>0.77310787038482764</v>
      </c>
      <c r="AR14" s="38">
        <f t="shared" si="41"/>
        <v>71875.838709677424</v>
      </c>
      <c r="AS14" s="197">
        <f>SUM(AR14-AR13-AT14)</f>
        <v>-1226.7096774193342</v>
      </c>
      <c r="AT14" s="271"/>
      <c r="AU14" s="478"/>
      <c r="AV14" s="518">
        <f t="shared" si="42"/>
        <v>0.67400000000000004</v>
      </c>
      <c r="AW14" s="290">
        <f>-SUM('B5'!AI13)</f>
        <v>-236</v>
      </c>
      <c r="AX14" s="290">
        <f t="shared" si="39"/>
        <v>-990.70967741933418</v>
      </c>
      <c r="AY14" s="37">
        <f t="shared" si="40"/>
        <v>-1226.7096774193342</v>
      </c>
      <c r="AZ14" s="100">
        <f>ELEC!A11</f>
        <v>0</v>
      </c>
      <c r="BA14" s="118">
        <f>'General information '!D14</f>
        <v>19.5</v>
      </c>
      <c r="BB14" s="394">
        <f>SUM('General information '!E14)</f>
        <v>0.63</v>
      </c>
      <c r="BC14" s="3">
        <f t="shared" si="43"/>
        <v>0</v>
      </c>
      <c r="BD14" s="102">
        <v>19222</v>
      </c>
      <c r="BE14" s="14">
        <f>(305/1185)*ELEC!Q12</f>
        <v>1143.2995780588396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227</v>
      </c>
      <c r="C15" s="203">
        <f t="shared" si="18"/>
        <v>4884.1612903225805</v>
      </c>
      <c r="D15">
        <f t="shared" si="19"/>
        <v>227</v>
      </c>
      <c r="E15" s="203">
        <f t="shared" si="18"/>
        <v>4884.1612903225805</v>
      </c>
      <c r="F15">
        <f t="shared" si="20"/>
        <v>227</v>
      </c>
      <c r="G15" s="203">
        <f t="shared" si="1"/>
        <v>4884.1612903225805</v>
      </c>
      <c r="H15" s="203">
        <f t="shared" si="21"/>
        <v>227</v>
      </c>
      <c r="I15" s="203">
        <f t="shared" si="2"/>
        <v>4884.1612903225805</v>
      </c>
      <c r="J15" s="203">
        <f t="shared" si="22"/>
        <v>227</v>
      </c>
      <c r="K15" s="203">
        <f t="shared" si="3"/>
        <v>4884.1612903225805</v>
      </c>
      <c r="L15" s="203">
        <f t="shared" si="23"/>
        <v>227</v>
      </c>
      <c r="M15" s="203">
        <f t="shared" si="4"/>
        <v>4884.1612903225805</v>
      </c>
      <c r="N15" s="203">
        <f t="shared" si="24"/>
        <v>227</v>
      </c>
      <c r="O15" s="203">
        <f t="shared" si="5"/>
        <v>4884.1612903225805</v>
      </c>
      <c r="P15" s="203">
        <f t="shared" si="25"/>
        <v>227</v>
      </c>
      <c r="Q15" s="203">
        <f t="shared" si="6"/>
        <v>4884.1612903225805</v>
      </c>
      <c r="R15" s="203">
        <f t="shared" si="26"/>
        <v>227</v>
      </c>
      <c r="S15" s="203">
        <f t="shared" si="7"/>
        <v>4884.1612903225805</v>
      </c>
      <c r="T15" s="203">
        <f t="shared" si="27"/>
        <v>227</v>
      </c>
      <c r="U15" s="203">
        <f t="shared" si="8"/>
        <v>4884.1612903225805</v>
      </c>
      <c r="V15" s="203">
        <f t="shared" si="28"/>
        <v>227</v>
      </c>
      <c r="W15" s="203">
        <f t="shared" si="9"/>
        <v>4884.1612903225805</v>
      </c>
      <c r="X15" s="35">
        <f t="shared" si="10"/>
        <v>0.73225806451612907</v>
      </c>
      <c r="Y15" s="36">
        <f t="shared" si="29"/>
        <v>53725.774193548394</v>
      </c>
      <c r="Z15" s="203">
        <f>'B5'!C14</f>
        <v>233</v>
      </c>
      <c r="AA15" s="203">
        <f t="shared" si="30"/>
        <v>2330</v>
      </c>
      <c r="AB15" s="203">
        <f t="shared" si="31"/>
        <v>233</v>
      </c>
      <c r="AC15" s="203">
        <f t="shared" si="30"/>
        <v>2330</v>
      </c>
      <c r="AD15" s="203">
        <f t="shared" si="32"/>
        <v>233</v>
      </c>
      <c r="AE15" s="203">
        <f t="shared" si="11"/>
        <v>2330</v>
      </c>
      <c r="AF15" s="203">
        <f t="shared" si="33"/>
        <v>233</v>
      </c>
      <c r="AG15" s="203">
        <f t="shared" si="12"/>
        <v>2330</v>
      </c>
      <c r="AH15" s="203">
        <f t="shared" si="34"/>
        <v>233</v>
      </c>
      <c r="AI15" s="203">
        <f t="shared" si="13"/>
        <v>2330</v>
      </c>
      <c r="AJ15" s="203">
        <f t="shared" si="35"/>
        <v>233</v>
      </c>
      <c r="AK15" s="203">
        <f t="shared" si="14"/>
        <v>2330</v>
      </c>
      <c r="AL15" s="203">
        <f t="shared" si="36"/>
        <v>233</v>
      </c>
      <c r="AM15" s="203">
        <f t="shared" si="15"/>
        <v>2330</v>
      </c>
      <c r="AN15" s="35">
        <f t="shared" si="16"/>
        <v>0.83214285714285718</v>
      </c>
      <c r="AO15" s="36">
        <f t="shared" si="17"/>
        <v>16310</v>
      </c>
      <c r="AQ15" s="223">
        <f t="shared" si="37"/>
        <v>0.7533158459024244</v>
      </c>
      <c r="AR15" s="38">
        <f t="shared" si="41"/>
        <v>70035.774193548394</v>
      </c>
      <c r="AS15" s="197">
        <f>SUM(AR15-AR14-AT15)</f>
        <v>-1840.0645161290304</v>
      </c>
      <c r="AT15" s="271"/>
      <c r="AU15" s="436"/>
      <c r="AV15" s="518">
        <f>IF(AT15&gt;0,AU15,AV14)</f>
        <v>0.67400000000000004</v>
      </c>
      <c r="AW15" s="290">
        <f>-SUM('B5'!AI14)</f>
        <v>-236</v>
      </c>
      <c r="AX15" s="290">
        <f>-SUM(AW15-AS15)</f>
        <v>-1604.0645161290304</v>
      </c>
      <c r="AY15" s="37">
        <f t="shared" si="40"/>
        <v>-1840.0645161290304</v>
      </c>
      <c r="AZ15" s="100">
        <f>ELEC!A12</f>
        <v>0</v>
      </c>
      <c r="BA15" s="118">
        <f>'General information '!D15</f>
        <v>16.5</v>
      </c>
      <c r="BB15" s="394">
        <f>SUM('General information '!E15)</f>
        <v>0.61</v>
      </c>
      <c r="BC15" s="3">
        <f t="shared" si="43"/>
        <v>0</v>
      </c>
      <c r="BD15" s="102">
        <v>19222</v>
      </c>
      <c r="BE15" s="14">
        <f>(305/1185)*ELEC!Q13</f>
        <v>1029.2784810126059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222</v>
      </c>
      <c r="C16" s="203">
        <f t="shared" si="18"/>
        <v>4776.5806451612898</v>
      </c>
      <c r="D16">
        <f t="shared" si="19"/>
        <v>222</v>
      </c>
      <c r="E16" s="203">
        <f t="shared" si="18"/>
        <v>4776.5806451612898</v>
      </c>
      <c r="F16">
        <f t="shared" si="20"/>
        <v>222</v>
      </c>
      <c r="G16" s="203">
        <f t="shared" si="1"/>
        <v>4776.5806451612898</v>
      </c>
      <c r="H16" s="203">
        <f t="shared" si="21"/>
        <v>222</v>
      </c>
      <c r="I16" s="203">
        <f t="shared" si="2"/>
        <v>4776.5806451612898</v>
      </c>
      <c r="J16" s="203">
        <f t="shared" si="22"/>
        <v>222</v>
      </c>
      <c r="K16" s="203">
        <f t="shared" si="3"/>
        <v>4776.5806451612898</v>
      </c>
      <c r="L16" s="203">
        <f t="shared" si="23"/>
        <v>222</v>
      </c>
      <c r="M16" s="203">
        <f t="shared" si="4"/>
        <v>4776.5806451612898</v>
      </c>
      <c r="N16" s="203">
        <f t="shared" si="24"/>
        <v>222</v>
      </c>
      <c r="O16" s="203">
        <f t="shared" si="5"/>
        <v>4776.5806451612898</v>
      </c>
      <c r="P16" s="203">
        <f t="shared" si="25"/>
        <v>222</v>
      </c>
      <c r="Q16" s="203">
        <f t="shared" si="6"/>
        <v>4776.5806451612898</v>
      </c>
      <c r="R16" s="203">
        <f t="shared" si="26"/>
        <v>222</v>
      </c>
      <c r="S16" s="203">
        <f t="shared" si="7"/>
        <v>4776.5806451612898</v>
      </c>
      <c r="T16" s="203">
        <f t="shared" si="27"/>
        <v>222</v>
      </c>
      <c r="U16" s="203">
        <f t="shared" si="8"/>
        <v>4776.5806451612898</v>
      </c>
      <c r="V16" s="203">
        <f t="shared" si="28"/>
        <v>222</v>
      </c>
      <c r="W16" s="203">
        <f t="shared" si="9"/>
        <v>4776.5806451612898</v>
      </c>
      <c r="X16" s="35">
        <f t="shared" si="10"/>
        <v>0.71612903225806424</v>
      </c>
      <c r="Y16" s="36">
        <f t="shared" si="29"/>
        <v>52542.387096774175</v>
      </c>
      <c r="Z16" s="203">
        <f>'B5'!C15</f>
        <v>228</v>
      </c>
      <c r="AA16" s="203">
        <f t="shared" si="30"/>
        <v>2280</v>
      </c>
      <c r="AB16" s="203">
        <f t="shared" si="31"/>
        <v>228</v>
      </c>
      <c r="AC16" s="203">
        <f t="shared" si="30"/>
        <v>2280</v>
      </c>
      <c r="AD16" s="203">
        <f t="shared" si="32"/>
        <v>228</v>
      </c>
      <c r="AE16" s="203">
        <f t="shared" si="11"/>
        <v>2280</v>
      </c>
      <c r="AF16" s="203">
        <f t="shared" si="33"/>
        <v>228</v>
      </c>
      <c r="AG16" s="203">
        <f t="shared" si="12"/>
        <v>2280</v>
      </c>
      <c r="AH16" s="203">
        <f t="shared" si="34"/>
        <v>228</v>
      </c>
      <c r="AI16" s="203">
        <f t="shared" si="13"/>
        <v>2280</v>
      </c>
      <c r="AJ16" s="203">
        <f t="shared" si="35"/>
        <v>228</v>
      </c>
      <c r="AK16" s="203">
        <f t="shared" si="14"/>
        <v>2280</v>
      </c>
      <c r="AL16" s="203">
        <f t="shared" si="36"/>
        <v>228</v>
      </c>
      <c r="AM16" s="203">
        <f t="shared" si="15"/>
        <v>2280</v>
      </c>
      <c r="AN16" s="35">
        <f t="shared" si="16"/>
        <v>0.81428571428571428</v>
      </c>
      <c r="AO16" s="36">
        <f t="shared" si="17"/>
        <v>15960</v>
      </c>
      <c r="AQ16" s="223">
        <f t="shared" si="37"/>
        <v>0.73682249216708817</v>
      </c>
      <c r="AR16" s="38">
        <f t="shared" si="41"/>
        <v>68502.387096774182</v>
      </c>
      <c r="AS16" s="197">
        <f>SUM(AR16-AR15-AT16)</f>
        <v>-1533.3870967742114</v>
      </c>
      <c r="AT16" s="355"/>
      <c r="AU16" s="436"/>
      <c r="AV16" s="518">
        <f>IF(AT16&gt;0,AU16,AV15)</f>
        <v>0.67400000000000004</v>
      </c>
      <c r="AW16" s="290">
        <f>-SUM('B5'!AI15)</f>
        <v>-253</v>
      </c>
      <c r="AX16" s="290">
        <f>-SUM(AW16-AS16)</f>
        <v>-1280.3870967742114</v>
      </c>
      <c r="AY16" s="37">
        <f t="shared" si="40"/>
        <v>-1533.3870967742114</v>
      </c>
      <c r="AZ16" s="100">
        <f>ELEC!A13</f>
        <v>0</v>
      </c>
      <c r="BA16" s="118">
        <f>'General information '!D16</f>
        <v>15.5</v>
      </c>
      <c r="BB16" s="394">
        <f>SUM('General information '!E16)</f>
        <v>0.72</v>
      </c>
      <c r="BC16" s="3">
        <f t="shared" si="43"/>
        <v>0</v>
      </c>
      <c r="BD16" s="102">
        <v>19222</v>
      </c>
      <c r="BE16" s="14">
        <f>(305/1185)*ELEC!Q14</f>
        <v>676.40506329129664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219</v>
      </c>
      <c r="C17" s="203">
        <f t="shared" si="18"/>
        <v>4712.0322580645161</v>
      </c>
      <c r="D17">
        <f t="shared" si="19"/>
        <v>219</v>
      </c>
      <c r="E17" s="203">
        <f t="shared" si="18"/>
        <v>4712.0322580645161</v>
      </c>
      <c r="F17">
        <f t="shared" si="20"/>
        <v>219</v>
      </c>
      <c r="G17" s="203">
        <f t="shared" si="1"/>
        <v>4712.0322580645161</v>
      </c>
      <c r="H17" s="203">
        <f t="shared" si="21"/>
        <v>219</v>
      </c>
      <c r="I17" s="203">
        <f t="shared" si="2"/>
        <v>4712.0322580645161</v>
      </c>
      <c r="J17" s="203">
        <f t="shared" si="22"/>
        <v>219</v>
      </c>
      <c r="K17" s="203">
        <f t="shared" si="3"/>
        <v>4712.0322580645161</v>
      </c>
      <c r="L17" s="203">
        <f t="shared" si="23"/>
        <v>219</v>
      </c>
      <c r="M17" s="203">
        <f t="shared" si="4"/>
        <v>4712.0322580645161</v>
      </c>
      <c r="N17" s="203">
        <f t="shared" si="24"/>
        <v>219</v>
      </c>
      <c r="O17" s="203">
        <f t="shared" si="5"/>
        <v>4712.0322580645161</v>
      </c>
      <c r="P17" s="203">
        <f t="shared" si="25"/>
        <v>219</v>
      </c>
      <c r="Q17" s="203">
        <f t="shared" si="6"/>
        <v>4712.0322580645161</v>
      </c>
      <c r="R17" s="203">
        <f t="shared" si="26"/>
        <v>219</v>
      </c>
      <c r="S17" s="203">
        <f t="shared" si="7"/>
        <v>4712.0322580645161</v>
      </c>
      <c r="T17" s="203">
        <f t="shared" si="27"/>
        <v>219</v>
      </c>
      <c r="U17" s="203">
        <f t="shared" si="8"/>
        <v>4712.0322580645161</v>
      </c>
      <c r="V17" s="203">
        <f t="shared" si="28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29"/>
        <v>51832.354838709674</v>
      </c>
      <c r="Z17" s="203">
        <f>'B5'!C16</f>
        <v>224</v>
      </c>
      <c r="AA17" s="203">
        <f t="shared" si="30"/>
        <v>2240</v>
      </c>
      <c r="AB17" s="203">
        <f t="shared" si="31"/>
        <v>224</v>
      </c>
      <c r="AC17" s="203">
        <f t="shared" si="30"/>
        <v>2240</v>
      </c>
      <c r="AD17" s="203">
        <f t="shared" si="32"/>
        <v>224</v>
      </c>
      <c r="AE17" s="203">
        <f t="shared" si="11"/>
        <v>2240</v>
      </c>
      <c r="AF17" s="203">
        <f t="shared" si="33"/>
        <v>224</v>
      </c>
      <c r="AG17" s="203">
        <f t="shared" si="12"/>
        <v>2240</v>
      </c>
      <c r="AH17" s="203">
        <f t="shared" si="34"/>
        <v>224</v>
      </c>
      <c r="AI17" s="203">
        <f t="shared" si="13"/>
        <v>2240</v>
      </c>
      <c r="AJ17" s="203">
        <f t="shared" si="35"/>
        <v>224</v>
      </c>
      <c r="AK17" s="203">
        <f t="shared" si="14"/>
        <v>2240</v>
      </c>
      <c r="AL17" s="203">
        <f t="shared" si="36"/>
        <v>224</v>
      </c>
      <c r="AM17" s="203">
        <f t="shared" si="15"/>
        <v>2240</v>
      </c>
      <c r="AN17" s="35">
        <f t="shared" si="16"/>
        <v>0.8</v>
      </c>
      <c r="AO17" s="36">
        <f>SUM(AA17+AC17+AE17+AG17+AI17+AK17+AM17)</f>
        <v>15680</v>
      </c>
      <c r="AQ17" s="223">
        <f t="shared" si="37"/>
        <v>0.72617354887285868</v>
      </c>
      <c r="AR17" s="38">
        <f t="shared" si="41"/>
        <v>67512.354838709667</v>
      </c>
      <c r="AS17" s="197">
        <f t="shared" si="38"/>
        <v>-990.03225806451519</v>
      </c>
      <c r="AT17" s="355"/>
      <c r="AU17" s="478"/>
      <c r="AV17" s="518">
        <f t="shared" si="42"/>
        <v>0.67400000000000004</v>
      </c>
      <c r="AW17" s="290">
        <f>-SUM('B5'!AI16)</f>
        <v>-234</v>
      </c>
      <c r="AX17" s="290">
        <f t="shared" si="39"/>
        <v>-756.03225806451519</v>
      </c>
      <c r="AY17" s="37">
        <f t="shared" si="40"/>
        <v>-990.03225806451519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0.51</v>
      </c>
      <c r="BC17" s="3">
        <f t="shared" si="43"/>
        <v>0</v>
      </c>
      <c r="BD17" s="102">
        <v>19222</v>
      </c>
      <c r="BE17" s="14">
        <f>(305/1185)*ELEC!Q15</f>
        <v>833.6666666660899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214</v>
      </c>
      <c r="C18" s="203">
        <f t="shared" si="18"/>
        <v>4604.4516129032254</v>
      </c>
      <c r="D18">
        <f t="shared" si="19"/>
        <v>214</v>
      </c>
      <c r="E18" s="203">
        <f t="shared" si="18"/>
        <v>4604.4516129032254</v>
      </c>
      <c r="F18">
        <f t="shared" si="20"/>
        <v>214</v>
      </c>
      <c r="G18" s="203">
        <f t="shared" si="1"/>
        <v>4604.4516129032254</v>
      </c>
      <c r="H18" s="203">
        <f t="shared" si="21"/>
        <v>214</v>
      </c>
      <c r="I18" s="203">
        <f t="shared" si="2"/>
        <v>4604.4516129032254</v>
      </c>
      <c r="J18" s="203">
        <f t="shared" si="22"/>
        <v>214</v>
      </c>
      <c r="K18" s="203">
        <f t="shared" si="3"/>
        <v>4604.4516129032254</v>
      </c>
      <c r="L18" s="203">
        <f t="shared" si="23"/>
        <v>214</v>
      </c>
      <c r="M18" s="203">
        <f t="shared" si="4"/>
        <v>4604.4516129032254</v>
      </c>
      <c r="N18" s="203">
        <f t="shared" si="24"/>
        <v>214</v>
      </c>
      <c r="O18" s="203">
        <f t="shared" si="5"/>
        <v>4604.4516129032254</v>
      </c>
      <c r="P18" s="203">
        <f t="shared" si="25"/>
        <v>214</v>
      </c>
      <c r="Q18" s="203">
        <f t="shared" si="6"/>
        <v>4604.4516129032254</v>
      </c>
      <c r="R18" s="203">
        <f t="shared" si="26"/>
        <v>214</v>
      </c>
      <c r="S18" s="203">
        <f t="shared" si="7"/>
        <v>4604.4516129032254</v>
      </c>
      <c r="T18" s="203">
        <f t="shared" si="27"/>
        <v>214</v>
      </c>
      <c r="U18" s="203">
        <f t="shared" si="8"/>
        <v>4604.4516129032254</v>
      </c>
      <c r="V18" s="203">
        <f t="shared" si="28"/>
        <v>214</v>
      </c>
      <c r="W18" s="203">
        <f t="shared" si="9"/>
        <v>4604.4516129032254</v>
      </c>
      <c r="X18" s="35">
        <f t="shared" si="10"/>
        <v>0.69032258064516139</v>
      </c>
      <c r="Y18" s="36">
        <f t="shared" si="29"/>
        <v>50648.967741935492</v>
      </c>
      <c r="Z18" s="203">
        <f>'B5'!C17</f>
        <v>219</v>
      </c>
      <c r="AA18" s="203">
        <f t="shared" si="30"/>
        <v>2190</v>
      </c>
      <c r="AB18" s="203">
        <f t="shared" si="31"/>
        <v>219</v>
      </c>
      <c r="AC18" s="203">
        <f t="shared" si="30"/>
        <v>2190</v>
      </c>
      <c r="AD18" s="203">
        <f t="shared" si="32"/>
        <v>219</v>
      </c>
      <c r="AE18" s="203">
        <f t="shared" si="11"/>
        <v>2190</v>
      </c>
      <c r="AF18" s="203">
        <f t="shared" si="33"/>
        <v>219</v>
      </c>
      <c r="AG18" s="203">
        <f t="shared" si="12"/>
        <v>2190</v>
      </c>
      <c r="AH18" s="203">
        <f t="shared" si="34"/>
        <v>219</v>
      </c>
      <c r="AI18" s="203">
        <f t="shared" si="13"/>
        <v>2190</v>
      </c>
      <c r="AJ18" s="203">
        <f t="shared" si="35"/>
        <v>219</v>
      </c>
      <c r="AK18" s="203">
        <f t="shared" si="14"/>
        <v>2190</v>
      </c>
      <c r="AL18" s="203">
        <f t="shared" si="36"/>
        <v>219</v>
      </c>
      <c r="AM18" s="203">
        <f t="shared" si="15"/>
        <v>2190</v>
      </c>
      <c r="AN18" s="35">
        <f t="shared" si="16"/>
        <v>0.78214285714285714</v>
      </c>
      <c r="AO18" s="36">
        <f t="shared" si="17"/>
        <v>15330</v>
      </c>
      <c r="AQ18" s="223">
        <f t="shared" si="37"/>
        <v>0.70968019513752267</v>
      </c>
      <c r="AR18" s="38">
        <f t="shared" si="41"/>
        <v>65978.967741935485</v>
      </c>
      <c r="AS18" s="197">
        <f t="shared" si="38"/>
        <v>-1533.3870967741823</v>
      </c>
      <c r="AT18" s="271"/>
      <c r="AU18" s="436"/>
      <c r="AV18" s="518">
        <f>IF(AT18&gt;0,AU18,AV17)</f>
        <v>0.67400000000000004</v>
      </c>
      <c r="AW18" s="290">
        <f>-SUM('B5'!AI17)</f>
        <v>-281</v>
      </c>
      <c r="AX18" s="290">
        <f t="shared" si="39"/>
        <v>-1252.3870967741823</v>
      </c>
      <c r="AY18" s="37">
        <f t="shared" si="40"/>
        <v>-1533.3870967741823</v>
      </c>
      <c r="AZ18" s="100">
        <f>ELEC!A15</f>
        <v>0</v>
      </c>
      <c r="BA18" s="118">
        <f>'General information '!D18</f>
        <v>16.5</v>
      </c>
      <c r="BB18" s="394">
        <f>SUM('General information '!E18)</f>
        <v>0.61</v>
      </c>
      <c r="BC18" s="3">
        <f t="shared" si="43"/>
        <v>0</v>
      </c>
      <c r="BD18" s="102">
        <v>19222</v>
      </c>
      <c r="BE18" s="14">
        <f>(305/1185)*ELEC!Q16</f>
        <v>940.48101265881223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208</v>
      </c>
      <c r="C19" s="203">
        <f t="shared" si="18"/>
        <v>4475.3548387096771</v>
      </c>
      <c r="D19">
        <f t="shared" si="19"/>
        <v>208</v>
      </c>
      <c r="E19" s="203">
        <f t="shared" si="18"/>
        <v>4475.3548387096771</v>
      </c>
      <c r="F19">
        <f t="shared" si="20"/>
        <v>208</v>
      </c>
      <c r="G19" s="203">
        <f t="shared" si="1"/>
        <v>4475.3548387096771</v>
      </c>
      <c r="H19" s="203">
        <f t="shared" si="21"/>
        <v>208</v>
      </c>
      <c r="I19" s="203">
        <f t="shared" si="2"/>
        <v>4475.3548387096771</v>
      </c>
      <c r="J19" s="203">
        <f t="shared" si="22"/>
        <v>208</v>
      </c>
      <c r="K19" s="203">
        <f t="shared" si="3"/>
        <v>4475.3548387096771</v>
      </c>
      <c r="L19" s="203">
        <f t="shared" si="23"/>
        <v>208</v>
      </c>
      <c r="M19" s="203">
        <f t="shared" si="4"/>
        <v>4475.3548387096771</v>
      </c>
      <c r="N19" s="203">
        <f t="shared" si="24"/>
        <v>208</v>
      </c>
      <c r="O19" s="203">
        <f t="shared" si="5"/>
        <v>4475.3548387096771</v>
      </c>
      <c r="P19" s="203">
        <f t="shared" si="25"/>
        <v>208</v>
      </c>
      <c r="Q19" s="203">
        <f t="shared" si="6"/>
        <v>4475.3548387096771</v>
      </c>
      <c r="R19" s="203">
        <f t="shared" si="26"/>
        <v>208</v>
      </c>
      <c r="S19" s="203">
        <f t="shared" si="7"/>
        <v>4475.3548387096771</v>
      </c>
      <c r="T19" s="203">
        <f t="shared" si="27"/>
        <v>208</v>
      </c>
      <c r="U19" s="203">
        <f t="shared" si="8"/>
        <v>4475.3548387096771</v>
      </c>
      <c r="V19" s="203">
        <f t="shared" si="28"/>
        <v>208</v>
      </c>
      <c r="W19" s="203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3">
        <f>'B5'!C18</f>
        <v>215</v>
      </c>
      <c r="AA19" s="203">
        <f t="shared" si="30"/>
        <v>2150</v>
      </c>
      <c r="AB19" s="203">
        <f t="shared" si="31"/>
        <v>215</v>
      </c>
      <c r="AC19" s="203">
        <f t="shared" si="30"/>
        <v>2150</v>
      </c>
      <c r="AD19" s="203">
        <f t="shared" si="32"/>
        <v>215</v>
      </c>
      <c r="AE19" s="203">
        <f t="shared" si="11"/>
        <v>2150</v>
      </c>
      <c r="AF19" s="203">
        <f t="shared" si="33"/>
        <v>215</v>
      </c>
      <c r="AG19" s="203">
        <f t="shared" si="12"/>
        <v>2150</v>
      </c>
      <c r="AH19" s="203">
        <f t="shared" si="34"/>
        <v>215</v>
      </c>
      <c r="AI19" s="203">
        <f t="shared" si="13"/>
        <v>2150</v>
      </c>
      <c r="AJ19" s="203">
        <f t="shared" si="35"/>
        <v>215</v>
      </c>
      <c r="AK19" s="203">
        <f t="shared" si="14"/>
        <v>2150</v>
      </c>
      <c r="AL19" s="203">
        <f t="shared" si="36"/>
        <v>215</v>
      </c>
      <c r="AM19" s="203">
        <f t="shared" si="15"/>
        <v>2150</v>
      </c>
      <c r="AN19" s="35">
        <f t="shared" si="16"/>
        <v>0.7678571428571429</v>
      </c>
      <c r="AO19" s="36">
        <f t="shared" si="17"/>
        <v>15050</v>
      </c>
      <c r="AQ19" s="223">
        <f t="shared" si="37"/>
        <v>0.69139403276117495</v>
      </c>
      <c r="AR19" s="38">
        <f t="shared" si="41"/>
        <v>64278.90322580644</v>
      </c>
      <c r="AS19" s="197">
        <f t="shared" si="38"/>
        <v>-1700.0645161290449</v>
      </c>
      <c r="AT19" s="271"/>
      <c r="AU19" s="436"/>
      <c r="AV19" s="518">
        <f t="shared" si="42"/>
        <v>0.67400000000000004</v>
      </c>
      <c r="AW19" s="290">
        <f>-SUM('B5'!AI18)</f>
        <v>-267</v>
      </c>
      <c r="AX19" s="290">
        <f t="shared" si="39"/>
        <v>-1433.0645161290449</v>
      </c>
      <c r="AY19" s="37">
        <f t="shared" si="40"/>
        <v>-1700.0645161290449</v>
      </c>
      <c r="AZ19" s="100">
        <f>ELEC!A16</f>
        <v>0</v>
      </c>
      <c r="BA19" s="118">
        <f>'General information '!D19</f>
        <v>15.5</v>
      </c>
      <c r="BB19" s="394">
        <f>SUM('General information '!E19)</f>
        <v>0.63</v>
      </c>
      <c r="BC19" s="3">
        <f t="shared" si="43"/>
        <v>0</v>
      </c>
      <c r="BD19" s="102">
        <v>19222</v>
      </c>
      <c r="BE19" s="14">
        <f>(305/1185)*ELEC!Q17</f>
        <v>1024.6455696201933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204</v>
      </c>
      <c r="C20" s="203">
        <f t="shared" si="18"/>
        <v>4389.2903225806449</v>
      </c>
      <c r="D20">
        <f t="shared" si="19"/>
        <v>204</v>
      </c>
      <c r="E20" s="203">
        <f t="shared" si="18"/>
        <v>4389.2903225806449</v>
      </c>
      <c r="F20">
        <f t="shared" si="20"/>
        <v>204</v>
      </c>
      <c r="G20" s="203">
        <f t="shared" si="1"/>
        <v>4389.2903225806449</v>
      </c>
      <c r="H20" s="203">
        <f t="shared" si="21"/>
        <v>204</v>
      </c>
      <c r="I20" s="203">
        <f t="shared" si="2"/>
        <v>4389.2903225806449</v>
      </c>
      <c r="J20" s="203">
        <f t="shared" si="22"/>
        <v>204</v>
      </c>
      <c r="K20" s="203">
        <f t="shared" si="3"/>
        <v>4389.2903225806449</v>
      </c>
      <c r="L20" s="203">
        <f t="shared" si="23"/>
        <v>204</v>
      </c>
      <c r="M20" s="203">
        <f t="shared" si="4"/>
        <v>4389.2903225806449</v>
      </c>
      <c r="N20" s="203">
        <f t="shared" si="24"/>
        <v>204</v>
      </c>
      <c r="O20" s="203">
        <f t="shared" si="5"/>
        <v>4389.2903225806449</v>
      </c>
      <c r="P20" s="203">
        <f t="shared" si="25"/>
        <v>204</v>
      </c>
      <c r="Q20" s="203">
        <f t="shared" si="6"/>
        <v>4389.2903225806449</v>
      </c>
      <c r="R20" s="203">
        <f t="shared" si="26"/>
        <v>204</v>
      </c>
      <c r="S20" s="203">
        <f t="shared" si="7"/>
        <v>4389.2903225806449</v>
      </c>
      <c r="T20" s="203">
        <f t="shared" si="27"/>
        <v>204</v>
      </c>
      <c r="U20" s="203">
        <f t="shared" si="8"/>
        <v>4389.2903225806449</v>
      </c>
      <c r="V20" s="203">
        <f t="shared" si="28"/>
        <v>204</v>
      </c>
      <c r="W20" s="203">
        <f t="shared" si="9"/>
        <v>4389.2903225806449</v>
      </c>
      <c r="X20" s="35">
        <f t="shared" si="10"/>
        <v>0.65806451612903216</v>
      </c>
      <c r="Y20" s="36">
        <f t="shared" si="29"/>
        <v>48282.193548387091</v>
      </c>
      <c r="Z20" s="203">
        <f>'B5'!C19</f>
        <v>210</v>
      </c>
      <c r="AA20" s="203">
        <f t="shared" si="30"/>
        <v>2100</v>
      </c>
      <c r="AB20" s="203">
        <f t="shared" si="31"/>
        <v>210</v>
      </c>
      <c r="AC20" s="203">
        <f t="shared" si="30"/>
        <v>2100</v>
      </c>
      <c r="AD20" s="203">
        <f t="shared" si="32"/>
        <v>210</v>
      </c>
      <c r="AE20" s="203">
        <f t="shared" si="11"/>
        <v>2100</v>
      </c>
      <c r="AF20" s="203">
        <f t="shared" si="33"/>
        <v>210</v>
      </c>
      <c r="AG20" s="203">
        <f t="shared" si="12"/>
        <v>2100</v>
      </c>
      <c r="AH20" s="203">
        <f t="shared" si="34"/>
        <v>210</v>
      </c>
      <c r="AI20" s="203">
        <f t="shared" si="13"/>
        <v>2100</v>
      </c>
      <c r="AJ20" s="203">
        <f t="shared" si="35"/>
        <v>210</v>
      </c>
      <c r="AK20" s="203">
        <f t="shared" si="14"/>
        <v>2100</v>
      </c>
      <c r="AL20" s="203">
        <f t="shared" si="36"/>
        <v>210</v>
      </c>
      <c r="AM20" s="203">
        <f t="shared" si="15"/>
        <v>2100</v>
      </c>
      <c r="AN20" s="35">
        <f t="shared" si="16"/>
        <v>0.75</v>
      </c>
      <c r="AO20" s="36">
        <f t="shared" si="17"/>
        <v>14700</v>
      </c>
      <c r="AQ20" s="223">
        <f t="shared" si="37"/>
        <v>0.67744641871987832</v>
      </c>
      <c r="AR20" s="38">
        <f t="shared" si="41"/>
        <v>62982.193548387091</v>
      </c>
      <c r="AS20" s="197">
        <f t="shared" si="38"/>
        <v>-1296.7096774193487</v>
      </c>
      <c r="AT20" s="271"/>
      <c r="AU20" s="436"/>
      <c r="AV20" s="518">
        <f t="shared" si="42"/>
        <v>0.67400000000000004</v>
      </c>
      <c r="AW20" s="290">
        <f>-SUM('B5'!AI19)</f>
        <v>-217</v>
      </c>
      <c r="AX20" s="290">
        <f t="shared" si="39"/>
        <v>-1079.7096774193487</v>
      </c>
      <c r="AY20" s="37">
        <f t="shared" si="40"/>
        <v>-1296.7096774193487</v>
      </c>
      <c r="AZ20" s="100">
        <f>ELEC!A17</f>
        <v>0</v>
      </c>
      <c r="BA20" s="118">
        <f>'General information '!D20</f>
        <v>15</v>
      </c>
      <c r="BB20" s="394">
        <f>SUM('General information '!E20)</f>
        <v>0.73</v>
      </c>
      <c r="BC20" s="3">
        <f t="shared" si="43"/>
        <v>0</v>
      </c>
      <c r="BD20" s="102">
        <v>19222</v>
      </c>
      <c r="BE20" s="14">
        <f>(305/1185)*ELEC!Q18</f>
        <v>594.04219409305927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237</v>
      </c>
      <c r="C21" s="203">
        <f t="shared" si="18"/>
        <v>5099.322580645161</v>
      </c>
      <c r="D21">
        <f t="shared" si="19"/>
        <v>237</v>
      </c>
      <c r="E21" s="203">
        <f t="shared" si="18"/>
        <v>5099.322580645161</v>
      </c>
      <c r="F21">
        <f t="shared" si="20"/>
        <v>237</v>
      </c>
      <c r="G21" s="203">
        <f t="shared" si="1"/>
        <v>5099.322580645161</v>
      </c>
      <c r="H21" s="203">
        <f t="shared" si="21"/>
        <v>237</v>
      </c>
      <c r="I21" s="203">
        <f t="shared" si="2"/>
        <v>5099.322580645161</v>
      </c>
      <c r="J21" s="203">
        <f t="shared" si="22"/>
        <v>237</v>
      </c>
      <c r="K21" s="203">
        <f t="shared" si="3"/>
        <v>5099.322580645161</v>
      </c>
      <c r="L21" s="203">
        <f t="shared" si="23"/>
        <v>237</v>
      </c>
      <c r="M21" s="203">
        <f t="shared" si="4"/>
        <v>5099.322580645161</v>
      </c>
      <c r="N21" s="203">
        <f t="shared" si="24"/>
        <v>237</v>
      </c>
      <c r="O21" s="203">
        <f t="shared" si="5"/>
        <v>5099.322580645161</v>
      </c>
      <c r="P21" s="203">
        <f t="shared" si="25"/>
        <v>237</v>
      </c>
      <c r="Q21" s="203">
        <f t="shared" si="6"/>
        <v>5099.322580645161</v>
      </c>
      <c r="R21" s="203">
        <f t="shared" si="26"/>
        <v>237</v>
      </c>
      <c r="S21" s="203">
        <f t="shared" si="7"/>
        <v>5099.322580645161</v>
      </c>
      <c r="T21" s="203">
        <f t="shared" si="27"/>
        <v>237</v>
      </c>
      <c r="U21" s="203">
        <f t="shared" si="8"/>
        <v>5099.322580645161</v>
      </c>
      <c r="V21" s="203">
        <f t="shared" si="28"/>
        <v>237</v>
      </c>
      <c r="W21" s="203">
        <f t="shared" si="9"/>
        <v>5099.322580645161</v>
      </c>
      <c r="X21" s="35">
        <f t="shared" si="10"/>
        <v>0.76451612903225785</v>
      </c>
      <c r="Y21" s="36">
        <f t="shared" si="29"/>
        <v>56092.548387096758</v>
      </c>
      <c r="Z21" s="203">
        <f>'B5'!C20</f>
        <v>243</v>
      </c>
      <c r="AA21" s="203">
        <f t="shared" si="30"/>
        <v>2430</v>
      </c>
      <c r="AB21" s="203">
        <f t="shared" si="31"/>
        <v>243</v>
      </c>
      <c r="AC21" s="203">
        <f t="shared" si="30"/>
        <v>2430</v>
      </c>
      <c r="AD21" s="203">
        <f t="shared" si="32"/>
        <v>243</v>
      </c>
      <c r="AE21" s="203">
        <f t="shared" si="11"/>
        <v>2430</v>
      </c>
      <c r="AF21" s="203">
        <f t="shared" si="33"/>
        <v>243</v>
      </c>
      <c r="AG21" s="203">
        <f t="shared" si="12"/>
        <v>2430</v>
      </c>
      <c r="AH21" s="203">
        <f t="shared" si="34"/>
        <v>243</v>
      </c>
      <c r="AI21" s="203">
        <f t="shared" si="13"/>
        <v>2430</v>
      </c>
      <c r="AJ21" s="203">
        <f t="shared" si="35"/>
        <v>243</v>
      </c>
      <c r="AK21" s="203">
        <f t="shared" si="14"/>
        <v>2430</v>
      </c>
      <c r="AL21" s="203">
        <f t="shared" si="36"/>
        <v>243</v>
      </c>
      <c r="AM21" s="203">
        <f t="shared" si="15"/>
        <v>2430</v>
      </c>
      <c r="AN21" s="35">
        <f t="shared" si="16"/>
        <v>0.86785714285714288</v>
      </c>
      <c r="AO21" s="36">
        <f t="shared" si="17"/>
        <v>17010</v>
      </c>
      <c r="AQ21" s="223">
        <f t="shared" si="37"/>
        <v>0.78630255337309629</v>
      </c>
      <c r="AR21" s="38">
        <f t="shared" si="41"/>
        <v>73102.548387096758</v>
      </c>
      <c r="AS21" s="197">
        <f t="shared" si="38"/>
        <v>470.35483870966709</v>
      </c>
      <c r="AT21" s="271">
        <v>9650</v>
      </c>
      <c r="AU21" s="436">
        <v>0.68899999999999995</v>
      </c>
      <c r="AV21" s="518">
        <f t="shared" si="42"/>
        <v>0.68899999999999995</v>
      </c>
      <c r="AW21" s="290">
        <f>-SUM('B5'!AI20)</f>
        <v>-228</v>
      </c>
      <c r="AX21" s="290">
        <f t="shared" si="39"/>
        <v>698.35483870966709</v>
      </c>
      <c r="AY21" s="37">
        <f t="shared" si="40"/>
        <v>470.35483870966709</v>
      </c>
      <c r="AZ21" s="100">
        <f>ELEC!A18</f>
        <v>0</v>
      </c>
      <c r="BA21" s="118">
        <f>'General information '!D21</f>
        <v>9</v>
      </c>
      <c r="BB21" s="394">
        <f>SUM('General information '!E21)</f>
        <v>0.82</v>
      </c>
      <c r="BC21" s="3">
        <f t="shared" si="43"/>
        <v>1</v>
      </c>
      <c r="BD21" s="102">
        <v>19222</v>
      </c>
      <c r="BE21" s="14">
        <f>(305/1185)*ELEC!Q19</f>
        <v>1196.0632911385214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230</v>
      </c>
      <c r="C22" s="203">
        <f t="shared" si="18"/>
        <v>4948.7096774193551</v>
      </c>
      <c r="D22">
        <f t="shared" si="19"/>
        <v>230</v>
      </c>
      <c r="E22" s="203">
        <f t="shared" si="18"/>
        <v>4948.7096774193551</v>
      </c>
      <c r="F22">
        <f t="shared" si="20"/>
        <v>230</v>
      </c>
      <c r="G22" s="203">
        <f t="shared" si="1"/>
        <v>4948.7096774193551</v>
      </c>
      <c r="H22" s="203">
        <f t="shared" si="21"/>
        <v>230</v>
      </c>
      <c r="I22" s="203">
        <f t="shared" si="2"/>
        <v>4948.7096774193551</v>
      </c>
      <c r="J22" s="203">
        <f t="shared" si="22"/>
        <v>230</v>
      </c>
      <c r="K22" s="203">
        <f t="shared" si="3"/>
        <v>4948.7096774193551</v>
      </c>
      <c r="L22" s="203">
        <f t="shared" si="23"/>
        <v>230</v>
      </c>
      <c r="M22" s="203">
        <f t="shared" si="4"/>
        <v>4948.7096774193551</v>
      </c>
      <c r="N22" s="203">
        <f t="shared" si="24"/>
        <v>230</v>
      </c>
      <c r="O22" s="203">
        <f t="shared" si="5"/>
        <v>4948.7096774193551</v>
      </c>
      <c r="P22" s="203">
        <f t="shared" si="25"/>
        <v>230</v>
      </c>
      <c r="Q22" s="203">
        <f t="shared" si="6"/>
        <v>4948.7096774193551</v>
      </c>
      <c r="R22" s="203">
        <f t="shared" si="26"/>
        <v>230</v>
      </c>
      <c r="S22" s="203">
        <f t="shared" si="7"/>
        <v>4948.7096774193551</v>
      </c>
      <c r="T22" s="203">
        <f t="shared" si="27"/>
        <v>230</v>
      </c>
      <c r="U22" s="203">
        <f t="shared" si="8"/>
        <v>4948.7096774193551</v>
      </c>
      <c r="V22" s="203">
        <f t="shared" si="28"/>
        <v>230</v>
      </c>
      <c r="W22" s="203">
        <f t="shared" si="9"/>
        <v>4948.7096774193551</v>
      </c>
      <c r="X22" s="35">
        <f t="shared" si="10"/>
        <v>0.74193548387096786</v>
      </c>
      <c r="Y22" s="36">
        <f t="shared" si="29"/>
        <v>54435.806451612909</v>
      </c>
      <c r="Z22" s="203">
        <f>'B5'!C21</f>
        <v>237</v>
      </c>
      <c r="AA22" s="203">
        <f t="shared" si="30"/>
        <v>2370</v>
      </c>
      <c r="AB22" s="203">
        <f t="shared" si="31"/>
        <v>237</v>
      </c>
      <c r="AC22" s="203">
        <f t="shared" si="30"/>
        <v>2370</v>
      </c>
      <c r="AD22" s="203">
        <f t="shared" si="32"/>
        <v>237</v>
      </c>
      <c r="AE22" s="203">
        <f t="shared" si="11"/>
        <v>2370</v>
      </c>
      <c r="AF22" s="203">
        <f t="shared" si="33"/>
        <v>237</v>
      </c>
      <c r="AG22" s="203">
        <f t="shared" si="12"/>
        <v>2370</v>
      </c>
      <c r="AH22" s="203">
        <f t="shared" si="34"/>
        <v>237</v>
      </c>
      <c r="AI22" s="203">
        <f t="shared" si="13"/>
        <v>2370</v>
      </c>
      <c r="AJ22" s="203">
        <f t="shared" si="35"/>
        <v>237</v>
      </c>
      <c r="AK22" s="203">
        <f t="shared" si="14"/>
        <v>2370</v>
      </c>
      <c r="AL22" s="203">
        <f t="shared" si="36"/>
        <v>237</v>
      </c>
      <c r="AM22" s="203">
        <f t="shared" si="15"/>
        <v>2370</v>
      </c>
      <c r="AN22" s="35">
        <f t="shared" si="16"/>
        <v>0.84642857142857142</v>
      </c>
      <c r="AO22" s="36">
        <f t="shared" si="17"/>
        <v>16590</v>
      </c>
      <c r="AQ22" s="223">
        <f t="shared" si="37"/>
        <v>0.76396478919665389</v>
      </c>
      <c r="AR22" s="38">
        <f t="shared" si="41"/>
        <v>71025.806451612909</v>
      </c>
      <c r="AS22" s="197">
        <f t="shared" si="38"/>
        <v>-2076.7419354838494</v>
      </c>
      <c r="AT22" s="271"/>
      <c r="AU22" s="436"/>
      <c r="AV22" s="518">
        <f t="shared" si="42"/>
        <v>0.68899999999999995</v>
      </c>
      <c r="AW22" s="290">
        <f>-SUM('B5'!AI21)</f>
        <v>-288</v>
      </c>
      <c r="AX22" s="290">
        <f t="shared" si="39"/>
        <v>-1788.7419354838494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10</v>
      </c>
      <c r="BB22" s="394">
        <f>SUM('General information '!E22)</f>
        <v>0.56000000000000005</v>
      </c>
      <c r="BC22" s="3">
        <f t="shared" si="43"/>
        <v>0</v>
      </c>
      <c r="BD22" s="102">
        <v>19222</v>
      </c>
      <c r="BE22" s="14">
        <f>(305/1185)*ELEC!Q20</f>
        <v>1103.9198312238011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203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17"/>
        <v>16170</v>
      </c>
      <c r="AQ23" s="223">
        <f t="shared" si="37"/>
        <v>0.7467185044082898</v>
      </c>
      <c r="AR23" s="38">
        <f t="shared" si="41"/>
        <v>69422.419354838697</v>
      </c>
      <c r="AS23" s="197">
        <f t="shared" si="38"/>
        <v>-1603.3870967742114</v>
      </c>
      <c r="AT23" s="271"/>
      <c r="AU23" s="436"/>
      <c r="AV23" s="518">
        <f t="shared" si="42"/>
        <v>0.68899999999999995</v>
      </c>
      <c r="AW23" s="290">
        <f>-SUM('B5'!AI22)</f>
        <v>-380.89999999999418</v>
      </c>
      <c r="AX23" s="290">
        <f t="shared" si="39"/>
        <v>-1222.4870967742172</v>
      </c>
      <c r="AY23" s="37">
        <f t="shared" si="40"/>
        <v>-1603.3870967742114</v>
      </c>
      <c r="AZ23" s="100">
        <f>ELEC!A20</f>
        <v>0</v>
      </c>
      <c r="BA23" s="118">
        <f>'General information '!D23</f>
        <v>10</v>
      </c>
      <c r="BB23" s="394">
        <f>SUM('General information '!E23)</f>
        <v>0.72</v>
      </c>
      <c r="BC23" s="3">
        <f t="shared" si="43"/>
        <v>0</v>
      </c>
      <c r="BD23" s="102">
        <v>19222</v>
      </c>
      <c r="BE23" s="14">
        <f>(305/1185)*ELEC!Q21</f>
        <v>1223.603375527636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219</v>
      </c>
      <c r="C24" s="203">
        <f t="shared" si="18"/>
        <v>4712.0322580645161</v>
      </c>
      <c r="D24">
        <f t="shared" si="19"/>
        <v>219</v>
      </c>
      <c r="E24" s="203">
        <f t="shared" si="18"/>
        <v>4712.0322580645161</v>
      </c>
      <c r="F24">
        <f t="shared" si="20"/>
        <v>219</v>
      </c>
      <c r="G24" s="203">
        <f t="shared" si="1"/>
        <v>4712.0322580645161</v>
      </c>
      <c r="H24" s="203">
        <f t="shared" si="21"/>
        <v>219</v>
      </c>
      <c r="I24" s="203">
        <f t="shared" si="2"/>
        <v>4712.0322580645161</v>
      </c>
      <c r="J24" s="203">
        <f t="shared" si="22"/>
        <v>219</v>
      </c>
      <c r="K24" s="203">
        <f t="shared" si="3"/>
        <v>4712.0322580645161</v>
      </c>
      <c r="L24" s="203">
        <f t="shared" si="23"/>
        <v>219</v>
      </c>
      <c r="M24" s="203">
        <f t="shared" si="4"/>
        <v>4712.0322580645161</v>
      </c>
      <c r="N24" s="203">
        <f t="shared" si="24"/>
        <v>219</v>
      </c>
      <c r="O24" s="203">
        <f t="shared" si="5"/>
        <v>4712.0322580645161</v>
      </c>
      <c r="P24" s="203">
        <f t="shared" si="25"/>
        <v>219</v>
      </c>
      <c r="Q24" s="203">
        <f t="shared" si="6"/>
        <v>4712.0322580645161</v>
      </c>
      <c r="R24" s="203">
        <f t="shared" si="26"/>
        <v>219</v>
      </c>
      <c r="S24" s="203">
        <f t="shared" si="7"/>
        <v>4712.0322580645161</v>
      </c>
      <c r="T24" s="203">
        <f t="shared" si="27"/>
        <v>219</v>
      </c>
      <c r="U24" s="203">
        <f t="shared" si="8"/>
        <v>4712.0322580645161</v>
      </c>
      <c r="V24" s="203">
        <f t="shared" si="28"/>
        <v>219</v>
      </c>
      <c r="W24" s="203">
        <f t="shared" si="9"/>
        <v>4712.0322580645161</v>
      </c>
      <c r="X24" s="35">
        <f t="shared" si="10"/>
        <v>0.70645161290322578</v>
      </c>
      <c r="Y24" s="36">
        <f t="shared" si="29"/>
        <v>51832.354838709674</v>
      </c>
      <c r="Z24" s="203">
        <f>'B5'!C23</f>
        <v>225</v>
      </c>
      <c r="AA24" s="203">
        <f t="shared" si="30"/>
        <v>2250</v>
      </c>
      <c r="AB24" s="203">
        <f t="shared" si="31"/>
        <v>225</v>
      </c>
      <c r="AC24" s="203">
        <f t="shared" si="30"/>
        <v>2250</v>
      </c>
      <c r="AD24" s="203">
        <f t="shared" si="32"/>
        <v>225</v>
      </c>
      <c r="AE24" s="203">
        <f t="shared" si="11"/>
        <v>2250</v>
      </c>
      <c r="AF24" s="203">
        <f t="shared" si="33"/>
        <v>225</v>
      </c>
      <c r="AG24" s="203">
        <f t="shared" si="12"/>
        <v>2250</v>
      </c>
      <c r="AH24" s="203">
        <f t="shared" si="34"/>
        <v>225</v>
      </c>
      <c r="AI24" s="203">
        <f t="shared" si="13"/>
        <v>2250</v>
      </c>
      <c r="AJ24" s="203">
        <f t="shared" si="35"/>
        <v>225</v>
      </c>
      <c r="AK24" s="203">
        <f t="shared" si="14"/>
        <v>2250</v>
      </c>
      <c r="AL24" s="203">
        <f t="shared" si="36"/>
        <v>225</v>
      </c>
      <c r="AM24" s="203">
        <f t="shared" si="15"/>
        <v>2250</v>
      </c>
      <c r="AN24" s="35">
        <f t="shared" si="16"/>
        <v>0.8035714285714286</v>
      </c>
      <c r="AO24" s="36">
        <f t="shared" si="17"/>
        <v>15750</v>
      </c>
      <c r="AQ24" s="223">
        <f t="shared" si="37"/>
        <v>0.72692647992588644</v>
      </c>
      <c r="AR24" s="38">
        <f t="shared" si="41"/>
        <v>67582.354838709667</v>
      </c>
      <c r="AS24" s="197">
        <f t="shared" si="38"/>
        <v>-1840.0645161290304</v>
      </c>
      <c r="AT24" s="271"/>
      <c r="AU24" s="436"/>
      <c r="AV24" s="518">
        <f t="shared" si="42"/>
        <v>0.68899999999999995</v>
      </c>
      <c r="AW24" s="290">
        <f>-SUM('B5'!AI23)</f>
        <v>-297</v>
      </c>
      <c r="AX24" s="290">
        <f t="shared" si="39"/>
        <v>-1543.0645161290304</v>
      </c>
      <c r="AY24" s="37">
        <f t="shared" si="40"/>
        <v>-1840.0645161290304</v>
      </c>
      <c r="AZ24" s="100">
        <f>ELEC!A21</f>
        <v>0</v>
      </c>
      <c r="BA24" s="118">
        <f>'General information '!D24</f>
        <v>10.5</v>
      </c>
      <c r="BB24" s="394">
        <f>SUM('General information '!E24)</f>
        <v>0.53</v>
      </c>
      <c r="BC24" s="3">
        <f t="shared" si="43"/>
        <v>0</v>
      </c>
      <c r="BD24" s="102">
        <v>19222</v>
      </c>
      <c r="BE24" s="14">
        <f>(305/1185)*ELEC!Q22</f>
        <v>813.33333333329597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213</v>
      </c>
      <c r="C25" s="203">
        <f t="shared" si="18"/>
        <v>4582.9354838709678</v>
      </c>
      <c r="D25">
        <f t="shared" si="19"/>
        <v>213</v>
      </c>
      <c r="E25" s="203">
        <f t="shared" si="18"/>
        <v>4582.9354838709678</v>
      </c>
      <c r="F25">
        <f t="shared" si="20"/>
        <v>213</v>
      </c>
      <c r="G25" s="203">
        <f t="shared" si="1"/>
        <v>4582.9354838709678</v>
      </c>
      <c r="H25" s="203">
        <f t="shared" si="21"/>
        <v>213</v>
      </c>
      <c r="I25" s="203">
        <f t="shared" si="2"/>
        <v>4582.9354838709678</v>
      </c>
      <c r="J25" s="203">
        <f t="shared" si="22"/>
        <v>213</v>
      </c>
      <c r="K25" s="203">
        <f t="shared" si="3"/>
        <v>4582.9354838709678</v>
      </c>
      <c r="L25" s="203">
        <f t="shared" si="23"/>
        <v>213</v>
      </c>
      <c r="M25" s="203">
        <f t="shared" si="4"/>
        <v>4582.9354838709678</v>
      </c>
      <c r="N25" s="203">
        <f t="shared" si="24"/>
        <v>213</v>
      </c>
      <c r="O25" s="203">
        <f t="shared" si="5"/>
        <v>4582.9354838709678</v>
      </c>
      <c r="P25" s="203">
        <f t="shared" si="25"/>
        <v>213</v>
      </c>
      <c r="Q25" s="203">
        <f t="shared" si="6"/>
        <v>4582.9354838709678</v>
      </c>
      <c r="R25" s="203">
        <f t="shared" si="26"/>
        <v>213</v>
      </c>
      <c r="S25" s="203">
        <f t="shared" si="7"/>
        <v>4582.9354838709678</v>
      </c>
      <c r="T25" s="203">
        <f t="shared" si="27"/>
        <v>213</v>
      </c>
      <c r="U25" s="203">
        <f t="shared" si="8"/>
        <v>4582.9354838709678</v>
      </c>
      <c r="V25" s="203">
        <f t="shared" si="28"/>
        <v>213</v>
      </c>
      <c r="W25" s="203">
        <f t="shared" si="9"/>
        <v>4582.9354838709678</v>
      </c>
      <c r="X25" s="35">
        <f t="shared" si="10"/>
        <v>0.68709677419354853</v>
      </c>
      <c r="Y25" s="36">
        <f t="shared" si="29"/>
        <v>50412.290322580659</v>
      </c>
      <c r="Z25" s="203">
        <f>'B5'!C24</f>
        <v>219</v>
      </c>
      <c r="AA25" s="203">
        <f t="shared" si="30"/>
        <v>2190</v>
      </c>
      <c r="AB25" s="203">
        <f t="shared" si="31"/>
        <v>219</v>
      </c>
      <c r="AC25" s="203">
        <f t="shared" si="30"/>
        <v>2190</v>
      </c>
      <c r="AD25" s="203">
        <f t="shared" si="32"/>
        <v>219</v>
      </c>
      <c r="AE25" s="203">
        <f t="shared" si="11"/>
        <v>2190</v>
      </c>
      <c r="AF25" s="203">
        <f t="shared" si="33"/>
        <v>219</v>
      </c>
      <c r="AG25" s="203">
        <f t="shared" si="12"/>
        <v>2190</v>
      </c>
      <c r="AH25" s="203">
        <f t="shared" si="34"/>
        <v>219</v>
      </c>
      <c r="AI25" s="203">
        <f t="shared" si="13"/>
        <v>2190</v>
      </c>
      <c r="AJ25" s="203">
        <f t="shared" si="35"/>
        <v>219</v>
      </c>
      <c r="AK25" s="203">
        <f t="shared" si="14"/>
        <v>2190</v>
      </c>
      <c r="AL25" s="203">
        <f t="shared" si="36"/>
        <v>219</v>
      </c>
      <c r="AM25" s="203">
        <f t="shared" si="15"/>
        <v>2190</v>
      </c>
      <c r="AN25" s="35">
        <f t="shared" si="16"/>
        <v>0.78214285714285714</v>
      </c>
      <c r="AO25" s="36">
        <f t="shared" si="17"/>
        <v>15330</v>
      </c>
      <c r="AQ25" s="223">
        <f t="shared" si="37"/>
        <v>0.70713445544348352</v>
      </c>
      <c r="AR25" s="38">
        <f t="shared" si="41"/>
        <v>65742.290322580666</v>
      </c>
      <c r="AS25" s="197">
        <f t="shared" si="38"/>
        <v>-1840.0645161290013</v>
      </c>
      <c r="AT25" s="271"/>
      <c r="AU25" s="436"/>
      <c r="AV25" s="518">
        <f t="shared" si="42"/>
        <v>0.68899999999999995</v>
      </c>
      <c r="AW25" s="290">
        <f>-SUM('B5'!AI24)</f>
        <v>-284</v>
      </c>
      <c r="AX25" s="290">
        <f t="shared" si="39"/>
        <v>-1556.0645161290013</v>
      </c>
      <c r="AY25" s="37">
        <f t="shared" si="40"/>
        <v>-1840.0645161290013</v>
      </c>
      <c r="AZ25" s="100">
        <f>ELEC!A22</f>
        <v>0</v>
      </c>
      <c r="BA25" s="118">
        <f>'General information '!D25</f>
        <v>16.5</v>
      </c>
      <c r="BB25" s="394">
        <f>SUM('General information '!E25)</f>
        <v>0.68</v>
      </c>
      <c r="BC25" s="3">
        <f t="shared" si="43"/>
        <v>0</v>
      </c>
      <c r="BD25" s="102">
        <v>19222</v>
      </c>
      <c r="BE25" s="14">
        <f>(305/1185)*ELEC!Q23</f>
        <v>721.18987341763921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209</v>
      </c>
      <c r="C26" s="203">
        <f t="shared" si="18"/>
        <v>4496.8709677419356</v>
      </c>
      <c r="D26">
        <f t="shared" si="19"/>
        <v>209</v>
      </c>
      <c r="E26" s="203">
        <f t="shared" si="18"/>
        <v>4496.8709677419356</v>
      </c>
      <c r="F26">
        <f t="shared" si="20"/>
        <v>209</v>
      </c>
      <c r="G26" s="203">
        <f t="shared" si="1"/>
        <v>4496.8709677419356</v>
      </c>
      <c r="H26" s="203">
        <f t="shared" si="21"/>
        <v>209</v>
      </c>
      <c r="I26" s="203">
        <f t="shared" si="2"/>
        <v>4496.8709677419356</v>
      </c>
      <c r="J26" s="203">
        <f t="shared" si="22"/>
        <v>209</v>
      </c>
      <c r="K26" s="203">
        <f t="shared" si="3"/>
        <v>4496.8709677419356</v>
      </c>
      <c r="L26" s="203">
        <f t="shared" si="23"/>
        <v>209</v>
      </c>
      <c r="M26" s="203">
        <f t="shared" si="4"/>
        <v>4496.8709677419356</v>
      </c>
      <c r="N26" s="203">
        <f t="shared" si="24"/>
        <v>209</v>
      </c>
      <c r="O26" s="203">
        <f t="shared" si="5"/>
        <v>4496.8709677419356</v>
      </c>
      <c r="P26" s="203">
        <f t="shared" si="25"/>
        <v>209</v>
      </c>
      <c r="Q26" s="203">
        <f t="shared" si="6"/>
        <v>4496.8709677419356</v>
      </c>
      <c r="R26" s="203">
        <f t="shared" si="26"/>
        <v>209</v>
      </c>
      <c r="S26" s="203">
        <f t="shared" si="7"/>
        <v>4496.8709677419356</v>
      </c>
      <c r="T26" s="203">
        <f t="shared" si="27"/>
        <v>209</v>
      </c>
      <c r="U26" s="203">
        <f t="shared" si="8"/>
        <v>4496.8709677419356</v>
      </c>
      <c r="V26" s="203">
        <f t="shared" si="28"/>
        <v>209</v>
      </c>
      <c r="W26" s="203">
        <f t="shared" si="9"/>
        <v>4496.8709677419356</v>
      </c>
      <c r="X26" s="35">
        <f t="shared" si="10"/>
        <v>0.67419354838709689</v>
      </c>
      <c r="Y26" s="36">
        <f t="shared" si="29"/>
        <v>49465.580645161303</v>
      </c>
      <c r="Z26" s="203">
        <f>'B5'!C25</f>
        <v>215</v>
      </c>
      <c r="AA26" s="203">
        <f t="shared" si="30"/>
        <v>2150</v>
      </c>
      <c r="AB26" s="203">
        <f t="shared" si="31"/>
        <v>215</v>
      </c>
      <c r="AC26" s="203">
        <f t="shared" si="30"/>
        <v>2150</v>
      </c>
      <c r="AD26" s="203">
        <f t="shared" si="32"/>
        <v>215</v>
      </c>
      <c r="AE26" s="203">
        <f t="shared" si="11"/>
        <v>2150</v>
      </c>
      <c r="AF26" s="203">
        <f t="shared" si="33"/>
        <v>215</v>
      </c>
      <c r="AG26" s="203">
        <f t="shared" si="12"/>
        <v>2150</v>
      </c>
      <c r="AH26" s="203">
        <f t="shared" si="34"/>
        <v>215</v>
      </c>
      <c r="AI26" s="203">
        <f t="shared" si="13"/>
        <v>2150</v>
      </c>
      <c r="AJ26" s="203">
        <f t="shared" si="35"/>
        <v>215</v>
      </c>
      <c r="AK26" s="203">
        <f t="shared" si="14"/>
        <v>2150</v>
      </c>
      <c r="AL26" s="203">
        <f t="shared" si="36"/>
        <v>215</v>
      </c>
      <c r="AM26" s="203">
        <f t="shared" si="15"/>
        <v>2150</v>
      </c>
      <c r="AN26" s="35">
        <f t="shared" si="16"/>
        <v>0.7678571428571429</v>
      </c>
      <c r="AO26" s="36">
        <f t="shared" si="17"/>
        <v>15050</v>
      </c>
      <c r="AQ26" s="223">
        <f t="shared" si="37"/>
        <v>0.69393977245521465</v>
      </c>
      <c r="AR26" s="38">
        <f t="shared" si="41"/>
        <v>64515.580645161303</v>
      </c>
      <c r="AS26" s="197">
        <f t="shared" si="38"/>
        <v>-1226.7096774193633</v>
      </c>
      <c r="AT26" s="271"/>
      <c r="AU26" s="491"/>
      <c r="AV26" s="518">
        <f t="shared" si="42"/>
        <v>0.68899999999999995</v>
      </c>
      <c r="AW26" s="290">
        <f>-SUM('B5'!AI25)</f>
        <v>-267</v>
      </c>
      <c r="AX26" s="290">
        <f t="shared" si="39"/>
        <v>-959.70967741936329</v>
      </c>
      <c r="AY26" s="37">
        <f t="shared" si="40"/>
        <v>-1226.7096774193633</v>
      </c>
      <c r="AZ26" s="100">
        <f>ELEC!A23</f>
        <v>0</v>
      </c>
      <c r="BA26" s="118">
        <f>'General information '!D26</f>
        <v>15.5</v>
      </c>
      <c r="BB26" s="394">
        <f>SUM('General information '!E26)</f>
        <v>0.41</v>
      </c>
      <c r="BC26" s="3">
        <f t="shared" si="43"/>
        <v>0</v>
      </c>
      <c r="BD26" s="102">
        <v>19222</v>
      </c>
      <c r="BE26" s="14">
        <f>(305/1185)*ELEC!Q24</f>
        <v>805.61181434625382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231</v>
      </c>
      <c r="C27" s="203">
        <f t="shared" si="18"/>
        <v>4970.2258064516127</v>
      </c>
      <c r="D27">
        <f t="shared" si="19"/>
        <v>231</v>
      </c>
      <c r="E27" s="203">
        <f t="shared" si="18"/>
        <v>4970.2258064516127</v>
      </c>
      <c r="F27">
        <f t="shared" si="20"/>
        <v>231</v>
      </c>
      <c r="G27" s="203">
        <f t="shared" si="1"/>
        <v>4970.2258064516127</v>
      </c>
      <c r="H27" s="203">
        <f t="shared" si="21"/>
        <v>231</v>
      </c>
      <c r="I27" s="203">
        <f t="shared" si="2"/>
        <v>4970.2258064516127</v>
      </c>
      <c r="J27" s="203">
        <f t="shared" si="22"/>
        <v>231</v>
      </c>
      <c r="K27" s="203">
        <f t="shared" si="3"/>
        <v>4970.2258064516127</v>
      </c>
      <c r="L27" s="203">
        <f t="shared" si="23"/>
        <v>231</v>
      </c>
      <c r="M27" s="203">
        <f t="shared" si="4"/>
        <v>4970.2258064516127</v>
      </c>
      <c r="N27" s="203">
        <f t="shared" si="24"/>
        <v>231</v>
      </c>
      <c r="O27" s="203">
        <f t="shared" si="5"/>
        <v>4970.2258064516127</v>
      </c>
      <c r="P27" s="203">
        <f t="shared" si="25"/>
        <v>231</v>
      </c>
      <c r="Q27" s="203">
        <f t="shared" si="6"/>
        <v>4970.2258064516127</v>
      </c>
      <c r="R27" s="203">
        <f t="shared" si="26"/>
        <v>231</v>
      </c>
      <c r="S27" s="203">
        <f t="shared" si="7"/>
        <v>4970.2258064516127</v>
      </c>
      <c r="T27" s="203">
        <f t="shared" si="27"/>
        <v>231</v>
      </c>
      <c r="U27" s="203">
        <f t="shared" si="8"/>
        <v>4970.2258064516127</v>
      </c>
      <c r="V27" s="203">
        <f t="shared" si="28"/>
        <v>231</v>
      </c>
      <c r="W27" s="203">
        <f t="shared" si="9"/>
        <v>4970.2258064516127</v>
      </c>
      <c r="X27" s="35">
        <f t="shared" si="10"/>
        <v>0.74516129032258061</v>
      </c>
      <c r="Y27" s="36">
        <f t="shared" si="29"/>
        <v>54672.483870967742</v>
      </c>
      <c r="Z27" s="203">
        <f>'B5'!C26</f>
        <v>237</v>
      </c>
      <c r="AA27" s="203">
        <f t="shared" si="30"/>
        <v>2370</v>
      </c>
      <c r="AB27" s="203">
        <f t="shared" si="31"/>
        <v>237</v>
      </c>
      <c r="AC27" s="203">
        <f t="shared" si="30"/>
        <v>2370</v>
      </c>
      <c r="AD27" s="203">
        <f t="shared" si="32"/>
        <v>237</v>
      </c>
      <c r="AE27" s="203">
        <f t="shared" si="11"/>
        <v>2370</v>
      </c>
      <c r="AF27" s="203">
        <f t="shared" si="33"/>
        <v>237</v>
      </c>
      <c r="AG27" s="203">
        <f t="shared" si="12"/>
        <v>2370</v>
      </c>
      <c r="AH27" s="203">
        <f t="shared" si="34"/>
        <v>237</v>
      </c>
      <c r="AI27" s="203">
        <f t="shared" si="13"/>
        <v>2370</v>
      </c>
      <c r="AJ27" s="203">
        <f t="shared" si="35"/>
        <v>237</v>
      </c>
      <c r="AK27" s="203">
        <f t="shared" si="14"/>
        <v>2370</v>
      </c>
      <c r="AL27" s="203">
        <f t="shared" si="36"/>
        <v>237</v>
      </c>
      <c r="AM27" s="203">
        <f t="shared" si="15"/>
        <v>2370</v>
      </c>
      <c r="AN27" s="35">
        <f t="shared" si="16"/>
        <v>0.84642857142857142</v>
      </c>
      <c r="AO27" s="36">
        <f t="shared" si="17"/>
        <v>16590</v>
      </c>
      <c r="AQ27" s="223">
        <f t="shared" si="37"/>
        <v>0.76651052889069315</v>
      </c>
      <c r="AR27" s="38">
        <f t="shared" si="41"/>
        <v>71262.483870967742</v>
      </c>
      <c r="AS27" s="197">
        <f t="shared" si="38"/>
        <v>-217.09677419356012</v>
      </c>
      <c r="AT27" s="271">
        <v>6964</v>
      </c>
      <c r="AU27" s="436">
        <v>0.71</v>
      </c>
      <c r="AV27" s="518">
        <f t="shared" si="42"/>
        <v>0.71</v>
      </c>
      <c r="AW27" s="290">
        <f>-SUM('B5'!AI26)</f>
        <v>-362</v>
      </c>
      <c r="AX27" s="290">
        <f t="shared" si="39"/>
        <v>144.90322580643988</v>
      </c>
      <c r="AY27" s="37">
        <f t="shared" si="40"/>
        <v>-217.09677419356012</v>
      </c>
      <c r="AZ27" s="100">
        <f>ELEC!A24</f>
        <v>0</v>
      </c>
      <c r="BA27" s="118">
        <f>'General information '!D27</f>
        <v>16.5</v>
      </c>
      <c r="BB27" s="394">
        <f>SUM('General information '!E27)</f>
        <v>0.32</v>
      </c>
      <c r="BC27" s="3">
        <f t="shared" si="43"/>
        <v>1</v>
      </c>
      <c r="BD27" s="102">
        <v>19222</v>
      </c>
      <c r="BE27" s="14">
        <f>(305/1185)*ELEC!Q25</f>
        <v>1251.9156118137694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224</v>
      </c>
      <c r="C28" s="203">
        <f t="shared" si="18"/>
        <v>4819.6129032258068</v>
      </c>
      <c r="D28">
        <f t="shared" si="19"/>
        <v>224</v>
      </c>
      <c r="E28" s="203">
        <f t="shared" si="18"/>
        <v>4819.6129032258068</v>
      </c>
      <c r="F28">
        <f t="shared" si="20"/>
        <v>224</v>
      </c>
      <c r="G28" s="203">
        <f t="shared" si="1"/>
        <v>4819.6129032258068</v>
      </c>
      <c r="H28" s="203">
        <f t="shared" si="21"/>
        <v>224</v>
      </c>
      <c r="I28" s="203">
        <f t="shared" si="2"/>
        <v>4819.6129032258068</v>
      </c>
      <c r="J28" s="203">
        <f t="shared" si="22"/>
        <v>224</v>
      </c>
      <c r="K28" s="203">
        <f t="shared" si="3"/>
        <v>4819.6129032258068</v>
      </c>
      <c r="L28" s="203">
        <f t="shared" si="23"/>
        <v>224</v>
      </c>
      <c r="M28" s="203">
        <f t="shared" si="4"/>
        <v>4819.6129032258068</v>
      </c>
      <c r="N28" s="203">
        <f t="shared" si="24"/>
        <v>224</v>
      </c>
      <c r="O28" s="203">
        <f t="shared" si="5"/>
        <v>4819.6129032258068</v>
      </c>
      <c r="P28" s="203">
        <f t="shared" si="25"/>
        <v>224</v>
      </c>
      <c r="Q28" s="203">
        <f t="shared" si="6"/>
        <v>4819.6129032258068</v>
      </c>
      <c r="R28" s="203">
        <f t="shared" si="26"/>
        <v>224</v>
      </c>
      <c r="S28" s="203">
        <f t="shared" si="7"/>
        <v>4819.6129032258068</v>
      </c>
      <c r="T28" s="203">
        <f t="shared" si="27"/>
        <v>224</v>
      </c>
      <c r="U28" s="203">
        <f t="shared" si="8"/>
        <v>4819.6129032258068</v>
      </c>
      <c r="V28" s="203">
        <f t="shared" si="28"/>
        <v>224</v>
      </c>
      <c r="W28" s="203">
        <f t="shared" si="9"/>
        <v>4819.6129032258068</v>
      </c>
      <c r="X28" s="35">
        <f t="shared" si="10"/>
        <v>0.72258064516129028</v>
      </c>
      <c r="Y28" s="36">
        <f t="shared" si="29"/>
        <v>53015.741935483864</v>
      </c>
      <c r="Z28" s="203">
        <f>'B5'!C27</f>
        <v>231</v>
      </c>
      <c r="AA28" s="203">
        <f t="shared" si="30"/>
        <v>2310</v>
      </c>
      <c r="AB28" s="203">
        <f t="shared" si="31"/>
        <v>231</v>
      </c>
      <c r="AC28" s="203">
        <f t="shared" si="30"/>
        <v>2310</v>
      </c>
      <c r="AD28" s="203">
        <f t="shared" si="32"/>
        <v>231</v>
      </c>
      <c r="AE28" s="203">
        <f t="shared" si="11"/>
        <v>2310</v>
      </c>
      <c r="AF28" s="203">
        <f t="shared" si="33"/>
        <v>231</v>
      </c>
      <c r="AG28" s="203">
        <f t="shared" si="12"/>
        <v>2310</v>
      </c>
      <c r="AH28" s="203">
        <f t="shared" si="34"/>
        <v>231</v>
      </c>
      <c r="AI28" s="203">
        <f t="shared" si="13"/>
        <v>2310</v>
      </c>
      <c r="AJ28" s="203">
        <f t="shared" si="35"/>
        <v>231</v>
      </c>
      <c r="AK28" s="203">
        <f t="shared" si="14"/>
        <v>2310</v>
      </c>
      <c r="AL28" s="203">
        <f t="shared" si="36"/>
        <v>231</v>
      </c>
      <c r="AM28" s="203">
        <f t="shared" si="15"/>
        <v>2310</v>
      </c>
      <c r="AN28" s="35">
        <f t="shared" si="16"/>
        <v>0.82499999999999996</v>
      </c>
      <c r="AO28" s="36">
        <f t="shared" si="17"/>
        <v>16170</v>
      </c>
      <c r="AQ28" s="223">
        <f t="shared" si="37"/>
        <v>0.74417276471425042</v>
      </c>
      <c r="AR28" s="38">
        <f t="shared" si="41"/>
        <v>69185.741935483864</v>
      </c>
      <c r="AS28" s="197">
        <f t="shared" si="38"/>
        <v>-2076.7419354838785</v>
      </c>
      <c r="AT28" s="355"/>
      <c r="AU28" s="436"/>
      <c r="AV28" s="518">
        <f t="shared" si="42"/>
        <v>0.71</v>
      </c>
      <c r="AW28" s="290">
        <f>-SUM('B5'!AI27)</f>
        <v>-318.79999999998836</v>
      </c>
      <c r="AX28" s="290">
        <f t="shared" si="39"/>
        <v>-1757.9419354838901</v>
      </c>
      <c r="AY28" s="37">
        <f t="shared" si="40"/>
        <v>-2076.7419354838785</v>
      </c>
      <c r="AZ28" s="100">
        <f>ELEC!A25</f>
        <v>0</v>
      </c>
      <c r="BA28" s="118">
        <f>'General information '!D28</f>
        <v>16</v>
      </c>
      <c r="BB28" s="394">
        <f>SUM('General information '!E28)</f>
        <v>0.47</v>
      </c>
      <c r="BC28" s="3">
        <f t="shared" si="43"/>
        <v>0</v>
      </c>
      <c r="BD28" s="102">
        <v>19222</v>
      </c>
      <c r="BE28" s="14">
        <f>(305/1185)*ELEC!Q26</f>
        <v>1517.0210970464736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216</v>
      </c>
      <c r="C29" s="203">
        <f t="shared" si="18"/>
        <v>4647.4838709677415</v>
      </c>
      <c r="D29">
        <f t="shared" si="19"/>
        <v>216</v>
      </c>
      <c r="E29" s="203">
        <f t="shared" si="18"/>
        <v>4647.4838709677415</v>
      </c>
      <c r="F29">
        <f t="shared" si="20"/>
        <v>216</v>
      </c>
      <c r="G29" s="203">
        <f t="shared" si="1"/>
        <v>4647.4838709677415</v>
      </c>
      <c r="H29" s="203">
        <f t="shared" si="21"/>
        <v>216</v>
      </c>
      <c r="I29" s="203">
        <f t="shared" si="2"/>
        <v>4647.4838709677415</v>
      </c>
      <c r="J29" s="203">
        <f t="shared" si="22"/>
        <v>216</v>
      </c>
      <c r="K29" s="203">
        <f t="shared" si="3"/>
        <v>4647.4838709677415</v>
      </c>
      <c r="L29" s="203">
        <f t="shared" si="23"/>
        <v>216</v>
      </c>
      <c r="M29" s="203">
        <f t="shared" si="4"/>
        <v>4647.4838709677415</v>
      </c>
      <c r="N29" s="203">
        <f t="shared" si="24"/>
        <v>216</v>
      </c>
      <c r="O29" s="203">
        <f t="shared" si="5"/>
        <v>4647.4838709677415</v>
      </c>
      <c r="P29" s="203">
        <f t="shared" si="25"/>
        <v>216</v>
      </c>
      <c r="Q29" s="203">
        <f t="shared" si="6"/>
        <v>4647.4838709677415</v>
      </c>
      <c r="R29" s="203">
        <f t="shared" si="26"/>
        <v>216</v>
      </c>
      <c r="S29" s="203">
        <f t="shared" si="7"/>
        <v>4647.4838709677415</v>
      </c>
      <c r="T29" s="203">
        <f t="shared" si="27"/>
        <v>216</v>
      </c>
      <c r="U29" s="203">
        <f t="shared" si="8"/>
        <v>4647.4838709677415</v>
      </c>
      <c r="V29" s="203">
        <f t="shared" si="28"/>
        <v>216</v>
      </c>
      <c r="W29" s="203">
        <f t="shared" si="9"/>
        <v>4647.4838709677415</v>
      </c>
      <c r="X29" s="35">
        <f t="shared" si="10"/>
        <v>0.6967741935483871</v>
      </c>
      <c r="Y29" s="36">
        <f t="shared" si="29"/>
        <v>51122.322580645159</v>
      </c>
      <c r="Z29" s="203">
        <f>'B5'!C28</f>
        <v>228</v>
      </c>
      <c r="AA29" s="203">
        <f t="shared" si="30"/>
        <v>2280</v>
      </c>
      <c r="AB29" s="203">
        <f t="shared" si="31"/>
        <v>228</v>
      </c>
      <c r="AC29" s="203">
        <f t="shared" si="30"/>
        <v>2280</v>
      </c>
      <c r="AD29" s="203">
        <f t="shared" si="32"/>
        <v>228</v>
      </c>
      <c r="AE29" s="203">
        <f t="shared" si="11"/>
        <v>2280</v>
      </c>
      <c r="AF29" s="203">
        <f t="shared" si="33"/>
        <v>228</v>
      </c>
      <c r="AG29" s="203">
        <f t="shared" si="12"/>
        <v>2280</v>
      </c>
      <c r="AH29" s="203">
        <f t="shared" si="34"/>
        <v>228</v>
      </c>
      <c r="AI29" s="203">
        <f t="shared" si="13"/>
        <v>2280</v>
      </c>
      <c r="AJ29" s="203">
        <f t="shared" si="35"/>
        <v>228</v>
      </c>
      <c r="AK29" s="203">
        <f t="shared" si="14"/>
        <v>2280</v>
      </c>
      <c r="AL29" s="203">
        <f t="shared" si="36"/>
        <v>228</v>
      </c>
      <c r="AM29" s="203">
        <f t="shared" si="15"/>
        <v>2280</v>
      </c>
      <c r="AN29" s="35">
        <f t="shared" si="16"/>
        <v>0.81428571428571428</v>
      </c>
      <c r="AO29" s="36">
        <f t="shared" si="17"/>
        <v>15960</v>
      </c>
      <c r="AQ29" s="223">
        <f t="shared" si="37"/>
        <v>0.72154805400285205</v>
      </c>
      <c r="AR29" s="38">
        <f t="shared" si="41"/>
        <v>67082.322580645152</v>
      </c>
      <c r="AS29" s="197">
        <f t="shared" si="38"/>
        <v>-2103.419354838712</v>
      </c>
      <c r="AT29" s="355"/>
      <c r="AU29" s="436"/>
      <c r="AV29" s="518">
        <f t="shared" si="42"/>
        <v>0.71</v>
      </c>
      <c r="AW29" s="290">
        <f>-SUM('B5'!AI28)</f>
        <v>-367</v>
      </c>
      <c r="AX29" s="290">
        <f>-SUM(AW29-AS29)</f>
        <v>-1736.419354838712</v>
      </c>
      <c r="AY29" s="37">
        <f t="shared" si="40"/>
        <v>-2103.419354838712</v>
      </c>
      <c r="AZ29" s="100">
        <f>ELEC!A26</f>
        <v>0</v>
      </c>
      <c r="BA29" s="118">
        <f>'General information '!D29</f>
        <v>15.5</v>
      </c>
      <c r="BB29" s="394">
        <f>SUM('General information '!E29)</f>
        <v>0.47</v>
      </c>
      <c r="BC29" s="3">
        <f t="shared" si="43"/>
        <v>0</v>
      </c>
      <c r="BD29" s="102">
        <v>19222</v>
      </c>
      <c r="BE29" s="14">
        <f>(305/1185)*ELEC!Q27</f>
        <v>1460.3966244732705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209</v>
      </c>
      <c r="C30" s="203">
        <f t="shared" si="18"/>
        <v>4496.8709677419356</v>
      </c>
      <c r="D30">
        <f t="shared" ref="D30:D33" si="44">SUM(B30)</f>
        <v>209</v>
      </c>
      <c r="E30" s="203">
        <f t="shared" si="18"/>
        <v>4496.8709677419356</v>
      </c>
      <c r="F30">
        <f t="shared" ref="F30:F33" si="45">SUM(D30)</f>
        <v>209</v>
      </c>
      <c r="G30" s="203">
        <f t="shared" si="1"/>
        <v>4496.8709677419356</v>
      </c>
      <c r="H30" s="203">
        <f t="shared" ref="H30:H33" si="46">SUM(F30)</f>
        <v>209</v>
      </c>
      <c r="I30" s="203">
        <f t="shared" si="2"/>
        <v>4496.8709677419356</v>
      </c>
      <c r="J30" s="203">
        <f t="shared" ref="J30:J33" si="47">SUM(H30)</f>
        <v>209</v>
      </c>
      <c r="K30" s="203">
        <f t="shared" si="3"/>
        <v>4496.8709677419356</v>
      </c>
      <c r="L30" s="203">
        <f t="shared" ref="L30:L33" si="48">SUM(J30)</f>
        <v>209</v>
      </c>
      <c r="M30" s="203">
        <f t="shared" si="4"/>
        <v>4496.8709677419356</v>
      </c>
      <c r="N30" s="203">
        <f t="shared" ref="N30:N33" si="49">SUM(L30)</f>
        <v>209</v>
      </c>
      <c r="O30" s="203">
        <f t="shared" si="5"/>
        <v>4496.8709677419356</v>
      </c>
      <c r="P30" s="203">
        <f t="shared" ref="P30:P33" si="50">SUM(N30)</f>
        <v>209</v>
      </c>
      <c r="Q30" s="203">
        <f t="shared" si="6"/>
        <v>4496.8709677419356</v>
      </c>
      <c r="R30" s="203">
        <f t="shared" ref="R30:R33" si="51">SUM(P30)</f>
        <v>209</v>
      </c>
      <c r="S30" s="203">
        <f t="shared" si="7"/>
        <v>4496.8709677419356</v>
      </c>
      <c r="T30" s="203">
        <f t="shared" ref="T30:T33" si="52">SUM(R30)</f>
        <v>209</v>
      </c>
      <c r="U30" s="203">
        <f t="shared" si="8"/>
        <v>4496.8709677419356</v>
      </c>
      <c r="V30" s="203">
        <f t="shared" ref="V30:V33" si="53">SUM(T30)</f>
        <v>209</v>
      </c>
      <c r="W30" s="203">
        <f t="shared" si="9"/>
        <v>4496.8709677419356</v>
      </c>
      <c r="X30" s="35">
        <f t="shared" ref="X30:X33" si="54">SUM(Y30/73370)</f>
        <v>0.67419354838709689</v>
      </c>
      <c r="Y30" s="36">
        <f t="shared" ref="Y30:Y33" si="55">SUM(C30+E30+G30+I30+K30+M30+O30+Q30+S30+U30+W30)</f>
        <v>49465.580645161303</v>
      </c>
      <c r="Z30" s="203">
        <f>'B5'!C29</f>
        <v>215</v>
      </c>
      <c r="AA30" s="203">
        <f t="shared" si="30"/>
        <v>2150</v>
      </c>
      <c r="AB30" s="203">
        <f t="shared" ref="AB30:AB33" si="56">SUM(Z30)</f>
        <v>215</v>
      </c>
      <c r="AC30" s="203">
        <f t="shared" si="30"/>
        <v>2150</v>
      </c>
      <c r="AD30" s="203">
        <f t="shared" ref="AD30:AD33" si="57">SUM(AB30)</f>
        <v>215</v>
      </c>
      <c r="AE30" s="203">
        <f t="shared" si="11"/>
        <v>2150</v>
      </c>
      <c r="AF30" s="203">
        <f t="shared" ref="AF30:AF33" si="58">SUM(AD30)</f>
        <v>215</v>
      </c>
      <c r="AG30" s="203">
        <f t="shared" si="12"/>
        <v>2150</v>
      </c>
      <c r="AH30" s="203">
        <f t="shared" ref="AH30:AH33" si="59">SUM(AF30)</f>
        <v>215</v>
      </c>
      <c r="AI30" s="203">
        <f t="shared" si="13"/>
        <v>2150</v>
      </c>
      <c r="AJ30" s="203">
        <f t="shared" ref="AJ30:AJ33" si="60">SUM(AH30)</f>
        <v>215</v>
      </c>
      <c r="AK30" s="203">
        <f t="shared" si="14"/>
        <v>2150</v>
      </c>
      <c r="AL30" s="203">
        <f t="shared" ref="AL30:AL33" si="61">SUM(AJ30)</f>
        <v>215</v>
      </c>
      <c r="AM30" s="203">
        <f t="shared" si="15"/>
        <v>2150</v>
      </c>
      <c r="AN30" s="35">
        <f t="shared" ref="AN30:AN33" si="62">SUM(AO30/19600)</f>
        <v>0.7678571428571429</v>
      </c>
      <c r="AO30" s="36">
        <f t="shared" ref="AO30:AO33" si="63">SUM(AA30+AC30+AE30+AG30+AI30+AK30+AM30)</f>
        <v>15050</v>
      </c>
      <c r="AQ30" s="223">
        <f t="shared" si="37"/>
        <v>0.69393977245521465</v>
      </c>
      <c r="AR30" s="38">
        <f t="shared" si="41"/>
        <v>64515.580645161303</v>
      </c>
      <c r="AS30" s="197">
        <f t="shared" si="38"/>
        <v>-2566.7419354838494</v>
      </c>
      <c r="AT30" s="355"/>
      <c r="AU30" s="436"/>
      <c r="AV30" s="518">
        <f t="shared" si="42"/>
        <v>0.71</v>
      </c>
      <c r="AW30" s="290">
        <f>-SUM('B5'!AI29)</f>
        <v>-161</v>
      </c>
      <c r="AX30" s="290">
        <f>-SUM(AW30-AS30)</f>
        <v>-2405.7419354838494</v>
      </c>
      <c r="AY30" s="37">
        <f t="shared" si="40"/>
        <v>-2566.7419354838494</v>
      </c>
      <c r="AZ30" s="100">
        <f>ELEC!A27</f>
        <v>0</v>
      </c>
      <c r="BA30" s="118">
        <f>'General information '!D30</f>
        <v>15.5</v>
      </c>
      <c r="BB30" s="394">
        <f>SUM('General information '!E30)</f>
        <v>0.54</v>
      </c>
      <c r="BC30" s="3">
        <f t="shared" si="43"/>
        <v>0</v>
      </c>
      <c r="BD30" s="102">
        <v>19222</v>
      </c>
      <c r="BE30" s="14">
        <f>(305/1185)*ELEC!Q28</f>
        <v>1978.2531645564154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232</v>
      </c>
      <c r="C31" s="203">
        <f t="shared" si="18"/>
        <v>4991.7419354838712</v>
      </c>
      <c r="D31">
        <f t="shared" si="44"/>
        <v>232</v>
      </c>
      <c r="E31" s="203">
        <f t="shared" si="18"/>
        <v>4991.7419354838712</v>
      </c>
      <c r="F31">
        <f t="shared" si="45"/>
        <v>232</v>
      </c>
      <c r="G31" s="203">
        <f t="shared" si="1"/>
        <v>4991.7419354838712</v>
      </c>
      <c r="H31" s="203">
        <f t="shared" si="46"/>
        <v>232</v>
      </c>
      <c r="I31" s="203">
        <f t="shared" si="2"/>
        <v>4991.7419354838712</v>
      </c>
      <c r="J31" s="203">
        <f t="shared" si="47"/>
        <v>232</v>
      </c>
      <c r="K31" s="203">
        <f t="shared" si="3"/>
        <v>4991.7419354838712</v>
      </c>
      <c r="L31" s="203">
        <f t="shared" si="48"/>
        <v>232</v>
      </c>
      <c r="M31" s="203">
        <f t="shared" si="4"/>
        <v>4991.7419354838712</v>
      </c>
      <c r="N31" s="203">
        <f t="shared" si="49"/>
        <v>232</v>
      </c>
      <c r="O31" s="203">
        <f t="shared" si="5"/>
        <v>4991.7419354838712</v>
      </c>
      <c r="P31" s="203">
        <f t="shared" si="50"/>
        <v>232</v>
      </c>
      <c r="Q31" s="203">
        <f t="shared" si="6"/>
        <v>4991.7419354838712</v>
      </c>
      <c r="R31" s="203">
        <f t="shared" si="51"/>
        <v>232</v>
      </c>
      <c r="S31" s="203">
        <f t="shared" si="7"/>
        <v>4991.7419354838712</v>
      </c>
      <c r="T31" s="203">
        <f t="shared" si="52"/>
        <v>232</v>
      </c>
      <c r="U31" s="203">
        <f t="shared" si="8"/>
        <v>4991.7419354838712</v>
      </c>
      <c r="V31" s="203">
        <f t="shared" si="53"/>
        <v>232</v>
      </c>
      <c r="W31" s="203">
        <f t="shared" si="9"/>
        <v>4991.7419354838712</v>
      </c>
      <c r="X31" s="35">
        <f t="shared" si="54"/>
        <v>0.74838709677419357</v>
      </c>
      <c r="Y31" s="36">
        <f t="shared" si="55"/>
        <v>54909.161290322583</v>
      </c>
      <c r="Z31" s="203">
        <f>'B5'!C30</f>
        <v>239</v>
      </c>
      <c r="AA31" s="203">
        <f t="shared" si="30"/>
        <v>2390</v>
      </c>
      <c r="AB31" s="203">
        <f t="shared" si="56"/>
        <v>239</v>
      </c>
      <c r="AC31" s="203">
        <f t="shared" si="30"/>
        <v>2390</v>
      </c>
      <c r="AD31" s="203">
        <f t="shared" si="57"/>
        <v>239</v>
      </c>
      <c r="AE31" s="203">
        <f t="shared" si="11"/>
        <v>2390</v>
      </c>
      <c r="AF31" s="203">
        <f t="shared" si="58"/>
        <v>239</v>
      </c>
      <c r="AG31" s="203">
        <f t="shared" si="12"/>
        <v>2390</v>
      </c>
      <c r="AH31" s="203">
        <f t="shared" si="59"/>
        <v>239</v>
      </c>
      <c r="AI31" s="203">
        <f t="shared" si="13"/>
        <v>2390</v>
      </c>
      <c r="AJ31" s="203">
        <f t="shared" si="60"/>
        <v>239</v>
      </c>
      <c r="AK31" s="203">
        <f t="shared" si="14"/>
        <v>2390</v>
      </c>
      <c r="AL31" s="203">
        <f t="shared" si="61"/>
        <v>239</v>
      </c>
      <c r="AM31" s="203">
        <f t="shared" si="15"/>
        <v>2390</v>
      </c>
      <c r="AN31" s="35">
        <f t="shared" si="62"/>
        <v>0.85357142857142854</v>
      </c>
      <c r="AO31" s="36">
        <f t="shared" si="63"/>
        <v>16730</v>
      </c>
      <c r="AQ31" s="223">
        <f t="shared" si="37"/>
        <v>0.77056213069078816</v>
      </c>
      <c r="AR31" s="38">
        <f t="shared" si="41"/>
        <v>71639.161290322576</v>
      </c>
      <c r="AS31" s="197">
        <f>SUM(AR31-AR30-AT31)</f>
        <v>-1726.4193548387266</v>
      </c>
      <c r="AT31" s="355">
        <v>8850</v>
      </c>
      <c r="AU31" s="436">
        <v>0.74</v>
      </c>
      <c r="AV31" s="518">
        <f t="shared" si="42"/>
        <v>0.74</v>
      </c>
      <c r="AW31" s="290">
        <f>-SUM('B5'!AI30)</f>
        <v>-299</v>
      </c>
      <c r="AX31" s="290">
        <f t="shared" si="39"/>
        <v>-1427.4193548387266</v>
      </c>
      <c r="AY31" s="37">
        <f t="shared" si="40"/>
        <v>-1726.4193548387266</v>
      </c>
      <c r="AZ31" s="100">
        <f>ELEC!A28</f>
        <v>0</v>
      </c>
      <c r="BA31" s="118">
        <f>'General information '!D31</f>
        <v>15.5</v>
      </c>
      <c r="BB31" s="394">
        <f>SUM('General information '!E31)</f>
        <v>0.51</v>
      </c>
      <c r="BC31" s="3">
        <f t="shared" si="43"/>
        <v>1</v>
      </c>
      <c r="BD31" s="102">
        <v>19222</v>
      </c>
      <c r="BE31" s="14">
        <f>(305/1185)*ELEC!Q29</f>
        <v>1556.4008438815122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224</v>
      </c>
      <c r="C32" s="203">
        <f t="shared" si="18"/>
        <v>4819.6129032258068</v>
      </c>
      <c r="D32">
        <f t="shared" si="44"/>
        <v>224</v>
      </c>
      <c r="E32" s="203">
        <f t="shared" si="18"/>
        <v>4819.6129032258068</v>
      </c>
      <c r="F32">
        <f t="shared" si="45"/>
        <v>224</v>
      </c>
      <c r="G32" s="203">
        <f t="shared" si="1"/>
        <v>4819.6129032258068</v>
      </c>
      <c r="H32" s="203">
        <f t="shared" si="46"/>
        <v>224</v>
      </c>
      <c r="I32" s="203">
        <f t="shared" si="2"/>
        <v>4819.6129032258068</v>
      </c>
      <c r="J32" s="203">
        <f t="shared" si="47"/>
        <v>224</v>
      </c>
      <c r="K32" s="203">
        <f t="shared" si="3"/>
        <v>4819.6129032258068</v>
      </c>
      <c r="L32" s="203">
        <f t="shared" si="48"/>
        <v>224</v>
      </c>
      <c r="M32" s="203">
        <f t="shared" si="4"/>
        <v>4819.6129032258068</v>
      </c>
      <c r="N32" s="203">
        <f t="shared" si="49"/>
        <v>224</v>
      </c>
      <c r="O32" s="203">
        <f t="shared" si="5"/>
        <v>4819.6129032258068</v>
      </c>
      <c r="P32" s="203">
        <f t="shared" si="50"/>
        <v>224</v>
      </c>
      <c r="Q32" s="203">
        <f t="shared" si="6"/>
        <v>4819.6129032258068</v>
      </c>
      <c r="R32" s="203">
        <f t="shared" si="51"/>
        <v>224</v>
      </c>
      <c r="S32" s="203">
        <f t="shared" si="7"/>
        <v>4819.6129032258068</v>
      </c>
      <c r="T32" s="203">
        <f t="shared" si="52"/>
        <v>224</v>
      </c>
      <c r="U32" s="203">
        <f t="shared" si="8"/>
        <v>4819.6129032258068</v>
      </c>
      <c r="V32" s="203">
        <f t="shared" si="53"/>
        <v>224</v>
      </c>
      <c r="W32" s="203">
        <f t="shared" si="9"/>
        <v>4819.6129032258068</v>
      </c>
      <c r="X32" s="35">
        <f t="shared" si="54"/>
        <v>0.72258064516129028</v>
      </c>
      <c r="Y32" s="36">
        <f t="shared" si="55"/>
        <v>53015.741935483864</v>
      </c>
      <c r="Z32" s="203">
        <f>'B5'!C31</f>
        <v>231</v>
      </c>
      <c r="AA32" s="203">
        <f t="shared" si="30"/>
        <v>2310</v>
      </c>
      <c r="AB32" s="203">
        <f t="shared" si="56"/>
        <v>231</v>
      </c>
      <c r="AC32" s="203">
        <f t="shared" si="30"/>
        <v>2310</v>
      </c>
      <c r="AD32" s="203">
        <f t="shared" si="57"/>
        <v>231</v>
      </c>
      <c r="AE32" s="203">
        <f t="shared" si="11"/>
        <v>2310</v>
      </c>
      <c r="AF32" s="203">
        <f t="shared" si="58"/>
        <v>231</v>
      </c>
      <c r="AG32" s="203">
        <f t="shared" si="12"/>
        <v>2310</v>
      </c>
      <c r="AH32" s="203">
        <f t="shared" si="59"/>
        <v>231</v>
      </c>
      <c r="AI32" s="203">
        <f t="shared" si="13"/>
        <v>2310</v>
      </c>
      <c r="AJ32" s="203">
        <f t="shared" si="60"/>
        <v>231</v>
      </c>
      <c r="AK32" s="203">
        <f t="shared" si="14"/>
        <v>2310</v>
      </c>
      <c r="AL32" s="203">
        <f t="shared" si="61"/>
        <v>231</v>
      </c>
      <c r="AM32" s="203">
        <f t="shared" si="15"/>
        <v>2310</v>
      </c>
      <c r="AN32" s="35">
        <f t="shared" si="62"/>
        <v>0.82499999999999996</v>
      </c>
      <c r="AO32" s="36">
        <f t="shared" si="63"/>
        <v>16170</v>
      </c>
      <c r="AQ32" s="223">
        <f t="shared" si="37"/>
        <v>0.74417276471425042</v>
      </c>
      <c r="AR32" s="38">
        <f t="shared" si="41"/>
        <v>69185.741935483864</v>
      </c>
      <c r="AS32" s="197">
        <f t="shared" si="38"/>
        <v>-2453.419354838712</v>
      </c>
      <c r="AT32" s="355"/>
      <c r="AU32" s="436"/>
      <c r="AV32" s="518">
        <f>IF(AT32&gt;0,AU32,AV31)</f>
        <v>0.74</v>
      </c>
      <c r="AW32" s="290">
        <f>-SUM('B5'!AI31)</f>
        <v>-195</v>
      </c>
      <c r="AX32" s="290">
        <f t="shared" si="39"/>
        <v>-2258.419354838712</v>
      </c>
      <c r="AY32" s="37">
        <f t="shared" si="40"/>
        <v>-2453.419354838712</v>
      </c>
      <c r="AZ32" s="100">
        <f>ELEC!A29</f>
        <v>0</v>
      </c>
      <c r="BA32" s="118">
        <f>'General information '!D32</f>
        <v>15.5</v>
      </c>
      <c r="BB32" s="394">
        <f>SUM('General information '!E32)</f>
        <v>0.55000000000000004</v>
      </c>
      <c r="BC32" s="3">
        <f t="shared" si="43"/>
        <v>0</v>
      </c>
      <c r="BD32" s="102">
        <v>19222</v>
      </c>
      <c r="BE32" s="14">
        <f>(305/1185)*ELEC!Q30</f>
        <v>1431.0548523210123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218</v>
      </c>
      <c r="C33" s="203">
        <f t="shared" si="18"/>
        <v>4690.5161290322576</v>
      </c>
      <c r="D33">
        <f t="shared" si="44"/>
        <v>218</v>
      </c>
      <c r="E33" s="203">
        <f t="shared" si="18"/>
        <v>4690.5161290322576</v>
      </c>
      <c r="F33">
        <f t="shared" si="45"/>
        <v>218</v>
      </c>
      <c r="G33" s="203">
        <f t="shared" si="1"/>
        <v>4690.5161290322576</v>
      </c>
      <c r="H33" s="203">
        <f t="shared" si="46"/>
        <v>218</v>
      </c>
      <c r="I33" s="203">
        <f t="shared" si="2"/>
        <v>4690.5161290322576</v>
      </c>
      <c r="J33" s="203">
        <f t="shared" si="47"/>
        <v>218</v>
      </c>
      <c r="K33" s="203">
        <f t="shared" si="3"/>
        <v>4690.5161290322576</v>
      </c>
      <c r="L33" s="203">
        <f t="shared" si="48"/>
        <v>218</v>
      </c>
      <c r="M33" s="203">
        <f t="shared" si="4"/>
        <v>4690.5161290322576</v>
      </c>
      <c r="N33" s="203">
        <f t="shared" si="49"/>
        <v>218</v>
      </c>
      <c r="O33" s="203">
        <f t="shared" si="5"/>
        <v>4690.5161290322576</v>
      </c>
      <c r="P33" s="203">
        <f t="shared" si="50"/>
        <v>218</v>
      </c>
      <c r="Q33" s="203">
        <f t="shared" si="6"/>
        <v>4690.5161290322576</v>
      </c>
      <c r="R33" s="203">
        <f t="shared" si="51"/>
        <v>218</v>
      </c>
      <c r="S33" s="203">
        <f t="shared" si="7"/>
        <v>4690.5161290322576</v>
      </c>
      <c r="T33" s="203">
        <f t="shared" si="52"/>
        <v>218</v>
      </c>
      <c r="U33" s="203">
        <f t="shared" si="8"/>
        <v>4690.5161290322576</v>
      </c>
      <c r="V33" s="203">
        <f t="shared" si="53"/>
        <v>218</v>
      </c>
      <c r="W33" s="203">
        <f t="shared" si="9"/>
        <v>4690.5161290322576</v>
      </c>
      <c r="X33" s="35">
        <f t="shared" si="54"/>
        <v>0.70322580645161281</v>
      </c>
      <c r="Y33" s="36">
        <f t="shared" si="55"/>
        <v>51595.677419354834</v>
      </c>
      <c r="Z33" s="203">
        <f>'B5'!C32</f>
        <v>225</v>
      </c>
      <c r="AA33" s="203">
        <f t="shared" si="30"/>
        <v>2250</v>
      </c>
      <c r="AB33" s="203">
        <f t="shared" si="56"/>
        <v>225</v>
      </c>
      <c r="AC33" s="203">
        <f t="shared" si="30"/>
        <v>2250</v>
      </c>
      <c r="AD33" s="203">
        <f t="shared" si="57"/>
        <v>225</v>
      </c>
      <c r="AE33" s="203">
        <f t="shared" si="11"/>
        <v>2250</v>
      </c>
      <c r="AF33" s="203">
        <f t="shared" si="58"/>
        <v>225</v>
      </c>
      <c r="AG33" s="203">
        <f t="shared" si="12"/>
        <v>2250</v>
      </c>
      <c r="AH33" s="203">
        <f t="shared" si="59"/>
        <v>225</v>
      </c>
      <c r="AI33" s="203">
        <f t="shared" si="13"/>
        <v>2250</v>
      </c>
      <c r="AJ33" s="203">
        <f t="shared" si="60"/>
        <v>225</v>
      </c>
      <c r="AK33" s="203">
        <f t="shared" si="14"/>
        <v>2250</v>
      </c>
      <c r="AL33" s="203">
        <f t="shared" si="61"/>
        <v>225</v>
      </c>
      <c r="AM33" s="203">
        <f t="shared" si="15"/>
        <v>2250</v>
      </c>
      <c r="AN33" s="35">
        <f t="shared" si="62"/>
        <v>0.8035714285714286</v>
      </c>
      <c r="AO33" s="36">
        <f t="shared" si="63"/>
        <v>15750</v>
      </c>
      <c r="AQ33" s="223">
        <f t="shared" si="37"/>
        <v>0.72438074023184718</v>
      </c>
      <c r="AR33" s="38">
        <f t="shared" si="41"/>
        <v>67345.677419354834</v>
      </c>
      <c r="AS33" s="197">
        <f t="shared" si="38"/>
        <v>-1840.0645161290304</v>
      </c>
      <c r="AT33" s="355"/>
      <c r="AU33" s="436"/>
      <c r="AV33" s="518">
        <f>IF(AT33&gt;0,AU33,AV32)</f>
        <v>0.74</v>
      </c>
      <c r="AW33" s="290">
        <f>-SUM('B5'!AI32)</f>
        <v>-224</v>
      </c>
      <c r="AX33" s="290">
        <f t="shared" si="39"/>
        <v>-1616.0645161290304</v>
      </c>
      <c r="AY33" s="37">
        <f t="shared" si="40"/>
        <v>-1840.0645161290304</v>
      </c>
      <c r="AZ33" s="100">
        <f>ELEC!A30</f>
        <v>0</v>
      </c>
      <c r="BA33" s="118">
        <f>'General information '!D33</f>
        <v>15</v>
      </c>
      <c r="BB33" s="204">
        <f>SUM('General information '!E33)</f>
        <v>0.68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4</v>
      </c>
      <c r="AT34" s="203">
        <f>SUM(AT6:AT33)</f>
        <v>33314</v>
      </c>
      <c r="AU34">
        <f>SUM(AU6:AU33)/AS34</f>
        <v>0.70324999999999993</v>
      </c>
      <c r="AX34" s="203">
        <f>SUM(AX6:AX33)</f>
        <v>-30749.493548387109</v>
      </c>
      <c r="AY34" s="203">
        <f>SUM(AY6:AY33)</f>
        <v>-38764.193548387091</v>
      </c>
    </row>
    <row r="35" spans="1:60">
      <c r="AS35" s="206"/>
      <c r="AT35">
        <f>+AT34*AU34</f>
        <v>23428.070499999998</v>
      </c>
    </row>
    <row r="37" spans="1:60">
      <c r="AS37" s="165">
        <f>SUM(AS6:AS33)/'EDl log'!A32</f>
        <v>-1384.4354838709676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6" priority="5" stopIfTrue="1" operator="greaterThan">
      <formula>0</formula>
    </cfRule>
  </conditionalFormatting>
  <conditionalFormatting sqref="AT6:AU33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-39.000000000000028</v>
      </c>
      <c r="J2" s="9">
        <f>'B5'!A4</f>
        <v>44227</v>
      </c>
    </row>
    <row r="3" spans="1:10">
      <c r="A3" s="3">
        <f>ELEC!T4+ELEC!X2+ELEC!AB4</f>
        <v>4</v>
      </c>
      <c r="B3" s="3">
        <f>ELEC!AF4</f>
        <v>514</v>
      </c>
      <c r="C3" s="3">
        <f>ELEC!N4</f>
        <v>6622</v>
      </c>
      <c r="D3" s="3">
        <f t="shared" ref="D3:D30" si="0">C3-E3</f>
        <v>4367.0000000026193</v>
      </c>
      <c r="E3" s="3">
        <f>ELEC!Q4</f>
        <v>2254.9999999973807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-16.399999999999977</v>
      </c>
      <c r="J3" s="9">
        <f>'B5'!A5</f>
        <v>44228</v>
      </c>
    </row>
    <row r="4" spans="1:10">
      <c r="A4" s="3">
        <f>ELEC!T5+ELEC!X5+ELEC!AB5</f>
        <v>3</v>
      </c>
      <c r="B4" s="3">
        <f>ELEC!AF5</f>
        <v>688</v>
      </c>
      <c r="C4" s="3">
        <f>ELEC!N5</f>
        <v>6753</v>
      </c>
      <c r="D4" s="3">
        <f t="shared" si="0"/>
        <v>3831.9999999979045</v>
      </c>
      <c r="E4" s="3">
        <f>ELEC!Q5</f>
        <v>2921.0000000020955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-21.099999999999994</v>
      </c>
      <c r="J4" s="9">
        <f>'B5'!A6</f>
        <v>44229</v>
      </c>
    </row>
    <row r="5" spans="1:10">
      <c r="A5" s="3">
        <f>ELEC!T6+ELEC!X6+ELEC!AB6</f>
        <v>4</v>
      </c>
      <c r="B5" s="3">
        <f>ELEC!AF6</f>
        <v>548</v>
      </c>
      <c r="C5" s="3">
        <f>ELEC!N6</f>
        <v>6587</v>
      </c>
      <c r="D5" s="3">
        <f t="shared" si="0"/>
        <v>3963.0000000002037</v>
      </c>
      <c r="E5" s="3">
        <f>ELEC!Q6</f>
        <v>2623.9999999997963</v>
      </c>
      <c r="F5" s="3">
        <f>GEN!Z5</f>
        <v>4</v>
      </c>
      <c r="G5" s="3">
        <f>WATER!C8+WATER!H8</f>
        <v>0</v>
      </c>
      <c r="H5" s="3">
        <f>WATER!L8</f>
        <v>0</v>
      </c>
      <c r="I5" s="15">
        <f>WATER!BC8+WATER!BD8+WATER!BE9-Sheet1!G5</f>
        <v>-25.099999999999966</v>
      </c>
      <c r="J5" s="9">
        <f>'B5'!A7</f>
        <v>44230</v>
      </c>
    </row>
    <row r="6" spans="1:10">
      <c r="A6" s="3">
        <f>ELEC!T7+ELEC!X7+ELEC!AB7</f>
        <v>3</v>
      </c>
      <c r="B6" s="3">
        <f>ELEC!AF7</f>
        <v>440</v>
      </c>
      <c r="C6" s="3">
        <f>ELEC!N7</f>
        <v>5932</v>
      </c>
      <c r="D6" s="3">
        <f t="shared" si="0"/>
        <v>2801.9999999989814</v>
      </c>
      <c r="E6" s="3">
        <f>ELEC!Q24</f>
        <v>3130.0000000010186</v>
      </c>
      <c r="F6" s="3">
        <f>GEN!Z6</f>
        <v>4</v>
      </c>
      <c r="G6" s="3">
        <f>WATER!C9+WATER!H9</f>
        <v>0</v>
      </c>
      <c r="H6" s="3">
        <f>WATER!L9</f>
        <v>0</v>
      </c>
      <c r="I6" s="15">
        <f>WATER!BC9+WATER!BD9+WATER!BE10-Sheet1!G6</f>
        <v>-39.600000000000023</v>
      </c>
      <c r="J6" s="9">
        <f>'B5'!A8</f>
        <v>44231</v>
      </c>
    </row>
    <row r="7" spans="1:10">
      <c r="A7" s="3">
        <f>ELEC!T8+ELEC!X8+ELEC!AB8</f>
        <v>2</v>
      </c>
      <c r="B7" s="3">
        <f>ELEC!AF8</f>
        <v>374</v>
      </c>
      <c r="C7" s="3">
        <f>ELEC!N8</f>
        <v>5977</v>
      </c>
      <c r="D7" s="3">
        <f t="shared" si="0"/>
        <v>4283.0000000004948</v>
      </c>
      <c r="E7" s="3">
        <f>ELEC!Q8</f>
        <v>1693.9999999995052</v>
      </c>
      <c r="F7" s="3">
        <f>GEN!Z7</f>
        <v>3</v>
      </c>
      <c r="G7" s="3">
        <f>WATER!C10+WATER!H10</f>
        <v>0</v>
      </c>
      <c r="H7" s="3">
        <f>WATER!L10</f>
        <v>-1</v>
      </c>
      <c r="I7" s="15">
        <f>WATER!BC10+WATER!BD10+WATER!BE11-Sheet1!G7</f>
        <v>-35.600000000000023</v>
      </c>
      <c r="J7" s="9">
        <f>'B5'!A9</f>
        <v>44232</v>
      </c>
    </row>
    <row r="8" spans="1:10">
      <c r="A8" s="3">
        <f>ELEC!T9+ELEC!X9+ELEC!AB9</f>
        <v>2</v>
      </c>
      <c r="B8" s="3">
        <f>ELEC!AF9</f>
        <v>481</v>
      </c>
      <c r="C8" s="3">
        <f>ELEC!N9</f>
        <v>6551.2000000001863</v>
      </c>
      <c r="D8" s="3">
        <f t="shared" si="0"/>
        <v>4507.1999999984982</v>
      </c>
      <c r="E8" s="3">
        <f>ELEC!Q9</f>
        <v>2044.000000001688</v>
      </c>
      <c r="F8" s="3">
        <f>GEN!Z8</f>
        <v>3</v>
      </c>
      <c r="G8" s="3">
        <f>WATER!C11+WATER!H11</f>
        <v>0</v>
      </c>
      <c r="H8" s="3">
        <f>WATER!L11</f>
        <v>0.5</v>
      </c>
      <c r="I8" s="15">
        <f>WATER!BC11+WATER!BD11+WATER!BE12-Sheet1!G8</f>
        <v>-28.699999999999989</v>
      </c>
      <c r="J8" s="9">
        <f>'B5'!A10</f>
        <v>44233</v>
      </c>
    </row>
    <row r="9" spans="1:10">
      <c r="A9" s="3">
        <f>ELEC!T10+ELEC!X10+ELEC!AB10</f>
        <v>3</v>
      </c>
      <c r="B9" s="3">
        <f>ELEC!AF10</f>
        <v>518</v>
      </c>
      <c r="C9" s="3">
        <f>ELEC!N10</f>
        <v>6289.7999999998137</v>
      </c>
      <c r="D9" s="3">
        <f t="shared" si="0"/>
        <v>4244.80000000156</v>
      </c>
      <c r="E9" s="3">
        <f>ELEC!Q10</f>
        <v>2044.9999999982538</v>
      </c>
      <c r="F9" s="3">
        <f>GEN!Z9</f>
        <v>3</v>
      </c>
      <c r="G9" s="3">
        <f>WATER!C12+WATER!H12</f>
        <v>0</v>
      </c>
      <c r="H9" s="3">
        <f>WATER!L12</f>
        <v>0.5</v>
      </c>
      <c r="I9" s="15">
        <f>WATER!BC12+WATER!BD12+WATER!BE13-Sheet1!G9</f>
        <v>-24.699999999999989</v>
      </c>
      <c r="J9" s="9">
        <f>'B5'!A11</f>
        <v>44234</v>
      </c>
    </row>
    <row r="10" spans="1:10">
      <c r="A10" s="3">
        <f>ELEC!T11+ELEC!X11+ELEC!AB11</f>
        <v>4</v>
      </c>
      <c r="B10" s="3">
        <f>ELEC!AF11</f>
        <v>876</v>
      </c>
      <c r="C10" s="3">
        <f>ELEC!N11</f>
        <v>7008</v>
      </c>
      <c r="D10" s="3">
        <f t="shared" si="0"/>
        <v>3571.9999999984866</v>
      </c>
      <c r="E10" s="3">
        <f>ELEC!Q11</f>
        <v>3436.0000000015134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-23.999999999999972</v>
      </c>
      <c r="J10" s="9">
        <f>'B5'!A12</f>
        <v>44235</v>
      </c>
    </row>
    <row r="11" spans="1:10">
      <c r="A11" s="3">
        <f>ELEC!T12+ELEC!X12+ELEC!AB12</f>
        <v>6</v>
      </c>
      <c r="B11" s="3">
        <f>ELEC!AF12</f>
        <v>946</v>
      </c>
      <c r="C11" s="3">
        <f>ELEC!N12</f>
        <v>7276</v>
      </c>
      <c r="D11" s="3">
        <f t="shared" si="0"/>
        <v>2834.0000000009022</v>
      </c>
      <c r="E11" s="3">
        <f>ELEC!Q12</f>
        <v>4441.9999999990978</v>
      </c>
      <c r="F11" s="3">
        <f>GEN!Z11</f>
        <v>5</v>
      </c>
      <c r="G11" s="3">
        <f>WATER!C14+WATER!H14</f>
        <v>0</v>
      </c>
      <c r="H11" s="3">
        <f>WATER!L14</f>
        <v>1</v>
      </c>
      <c r="I11" s="15">
        <f>WATER!BC14+WATER!BD14+WATER!BE15-Sheet1!G11</f>
        <v>-22.200000000000017</v>
      </c>
      <c r="J11" s="9">
        <f>'B5'!A13</f>
        <v>44236</v>
      </c>
    </row>
    <row r="12" spans="1:10">
      <c r="A12" s="3">
        <f>ELEC!T13+ELEC!X13+ELEC!AB13</f>
        <v>5</v>
      </c>
      <c r="B12" s="3">
        <f>ELEC!AF13</f>
        <v>815</v>
      </c>
      <c r="C12" s="3">
        <f>ELEC!N13</f>
        <v>7236</v>
      </c>
      <c r="D12" s="3">
        <f t="shared" si="0"/>
        <v>3237.0000000002037</v>
      </c>
      <c r="E12" s="3">
        <f>ELEC!Q13</f>
        <v>3998.9999999997963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-20.400000000000034</v>
      </c>
      <c r="J12" s="9">
        <f>'B5'!A14</f>
        <v>44237</v>
      </c>
    </row>
    <row r="13" spans="1:10">
      <c r="A13" s="3">
        <f>ELEC!T14+ELEC!X14+ELEC!AB14</f>
        <v>4</v>
      </c>
      <c r="B13" s="3">
        <f>ELEC!AF14</f>
        <v>555</v>
      </c>
      <c r="C13" s="3">
        <f>ELEC!N14</f>
        <v>5643</v>
      </c>
      <c r="D13" s="3">
        <f t="shared" si="0"/>
        <v>3014.9999999993888</v>
      </c>
      <c r="E13" s="3">
        <f>ELEC!Q14</f>
        <v>2628.0000000006112</v>
      </c>
      <c r="F13" s="3">
        <f>GEN!Z13</f>
        <v>6</v>
      </c>
      <c r="G13" s="3">
        <f>WATER!C16+WATER!H16</f>
        <v>0</v>
      </c>
      <c r="H13" s="3">
        <f>WATER!L16</f>
        <v>0</v>
      </c>
      <c r="I13" s="15">
        <f>WATER!BC16+WATER!BD16+WATER!BE17-Sheet1!G13</f>
        <v>-24.399999999999991</v>
      </c>
      <c r="J13" s="9">
        <f>'B5'!A15</f>
        <v>44238</v>
      </c>
    </row>
    <row r="14" spans="1:10">
      <c r="A14" s="3">
        <f>ELEC!T15+ELEC!X15+ELEC!AB15</f>
        <v>3</v>
      </c>
      <c r="B14" s="3">
        <f>ELEC!AF15</f>
        <v>427</v>
      </c>
      <c r="C14" s="3">
        <f>ELEC!N15</f>
        <v>6507</v>
      </c>
      <c r="D14" s="3">
        <f t="shared" si="0"/>
        <v>3268.000000002241</v>
      </c>
      <c r="E14" s="3">
        <f>ELEC!Q15</f>
        <v>3238.999999997759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-57.700000000000017</v>
      </c>
      <c r="J14" s="9">
        <f>'B5'!A16</f>
        <v>44239</v>
      </c>
    </row>
    <row r="15" spans="1:10">
      <c r="A15" s="3">
        <f>ELEC!T16+ELEC!X16+ELEC!AB16</f>
        <v>5</v>
      </c>
      <c r="B15" s="3">
        <f>ELEC!AF16</f>
        <v>877</v>
      </c>
      <c r="C15" s="3">
        <f>ELEC!N16</f>
        <v>7439</v>
      </c>
      <c r="D15" s="3">
        <f t="shared" si="0"/>
        <v>3784.9999999977299</v>
      </c>
      <c r="E15" s="3">
        <f>ELEC!Q16</f>
        <v>3654.0000000022701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218.8</v>
      </c>
      <c r="J15" s="9">
        <f>'B5'!A17</f>
        <v>44240</v>
      </c>
    </row>
    <row r="16" spans="1:10">
      <c r="A16" s="3">
        <f>ELEC!T17+ELEC!X17+ELEC!AB17</f>
        <v>5</v>
      </c>
      <c r="B16" s="3">
        <f>ELEC!AF17</f>
        <v>838</v>
      </c>
      <c r="C16" s="3">
        <f>ELEC!N17</f>
        <v>7469</v>
      </c>
      <c r="D16" s="3">
        <f t="shared" si="0"/>
        <v>3488.0000000002328</v>
      </c>
      <c r="E16" s="3">
        <f>ELEC!Q17</f>
        <v>3980.9999999997672</v>
      </c>
      <c r="F16" s="3">
        <f>GEN!Z16</f>
        <v>6</v>
      </c>
      <c r="G16" s="3">
        <f>WATER!C19+WATER!H19</f>
        <v>279</v>
      </c>
      <c r="H16" s="3">
        <f>WATER!L19</f>
        <v>0</v>
      </c>
      <c r="I16" s="15">
        <f>WATER!BC19+WATER!BD19+WATER!BE20-Sheet1!G16</f>
        <v>-303</v>
      </c>
      <c r="J16" s="9">
        <f>'B5'!A18</f>
        <v>44241</v>
      </c>
    </row>
    <row r="17" spans="1:10">
      <c r="A17" s="3">
        <f>ELEC!T18+ELEC!X18+ELEC!AB18</f>
        <v>2</v>
      </c>
      <c r="B17" s="3">
        <f>ELEC!AF18</f>
        <v>467</v>
      </c>
      <c r="C17" s="3">
        <f>ELEC!N18</f>
        <v>5934</v>
      </c>
      <c r="D17" s="3">
        <f t="shared" si="0"/>
        <v>3625.9999999990978</v>
      </c>
      <c r="E17" s="3">
        <f>ELEC!Q18</f>
        <v>2308.0000000009022</v>
      </c>
      <c r="F17" s="3">
        <f>GEN!Z17</f>
        <v>6</v>
      </c>
      <c r="G17" s="3">
        <f>WATER!C20+WATER!H20</f>
        <v>0</v>
      </c>
      <c r="H17" s="3">
        <f>WATER!L20</f>
        <v>2</v>
      </c>
      <c r="I17" s="15">
        <f>WATER!BC20+WATER!BD20+WATER!BE21-Sheet1!G17</f>
        <v>107.19999999999996</v>
      </c>
      <c r="J17" s="9">
        <f>'B5'!A19</f>
        <v>44242</v>
      </c>
    </row>
    <row r="18" spans="1:10">
      <c r="A18" s="3">
        <f>ELEC!T19+ELEC!X19+ELEC!AB19</f>
        <v>4</v>
      </c>
      <c r="B18" s="3">
        <f>ELEC!AF19</f>
        <v>387</v>
      </c>
      <c r="C18" s="3">
        <f>ELEC!N19</f>
        <v>7520</v>
      </c>
      <c r="D18" s="3">
        <f t="shared" si="0"/>
        <v>2873.000000002794</v>
      </c>
      <c r="E18" s="3">
        <f>ELEC!Q19</f>
        <v>4646.999999997206</v>
      </c>
      <c r="F18" s="3">
        <f>GEN!Z18</f>
        <v>4</v>
      </c>
      <c r="G18" s="3">
        <f>WATER!C21+WATER!H21</f>
        <v>167</v>
      </c>
      <c r="H18" s="3">
        <f>WATER!L21</f>
        <v>0</v>
      </c>
      <c r="I18" s="15">
        <f>WATER!BC21+WATER!BD21+WATER!BE22-Sheet1!G18</f>
        <v>-56.200000000000017</v>
      </c>
      <c r="J18" s="9">
        <f>'B5'!A20</f>
        <v>44243</v>
      </c>
    </row>
    <row r="19" spans="1:10">
      <c r="A19" s="3">
        <f>ELEC!T20+ELEC!X20+ELEC!AB20</f>
        <v>5</v>
      </c>
      <c r="B19" s="3">
        <f>ELEC!AF20</f>
        <v>648</v>
      </c>
      <c r="C19" s="3">
        <f>ELEC!N20</f>
        <v>7192</v>
      </c>
      <c r="D19" s="3">
        <f t="shared" si="0"/>
        <v>2902.9999999993306</v>
      </c>
      <c r="E19" s="3">
        <f>ELEC!Q20</f>
        <v>4289.0000000006694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-34.69999999999996</v>
      </c>
      <c r="J19" s="9">
        <f>'B5'!A21</f>
        <v>44244</v>
      </c>
    </row>
    <row r="20" spans="1:10">
      <c r="A20" s="3">
        <f>ELEC!T21+ELEC!X21+ELEC!AB21</f>
        <v>4</v>
      </c>
      <c r="B20" s="3">
        <f>ELEC!AF21</f>
        <v>656</v>
      </c>
      <c r="C20" s="3">
        <f>ELEC!N21</f>
        <v>7667</v>
      </c>
      <c r="D20" s="3">
        <f t="shared" si="0"/>
        <v>2912.9999999991851</v>
      </c>
      <c r="E20" s="3">
        <f>ELEC!Q21</f>
        <v>4754.0000000008149</v>
      </c>
      <c r="F20" s="3">
        <f>GEN!Z20</f>
        <v>8</v>
      </c>
      <c r="G20" s="3">
        <f>WATER!C23+WATER!H23</f>
        <v>0</v>
      </c>
      <c r="H20" s="3">
        <f>WATER!L23</f>
        <v>0</v>
      </c>
      <c r="I20" s="15">
        <f>WATER!BC23+WATER!BD23+WATER!BE24-Sheet1!G20</f>
        <v>-35.400000000000006</v>
      </c>
      <c r="J20" s="9">
        <f>'B5'!A22</f>
        <v>44245</v>
      </c>
    </row>
    <row r="21" spans="1:10">
      <c r="A21" s="3">
        <f>ELEC!T22+ELEC!X22+ELEC!AB22</f>
        <v>3</v>
      </c>
      <c r="B21" s="3">
        <f>ELEC!AF22</f>
        <v>425</v>
      </c>
      <c r="C21" s="3">
        <f>ELEC!N22</f>
        <v>6433</v>
      </c>
      <c r="D21" s="3">
        <f t="shared" si="0"/>
        <v>3273.0000000001455</v>
      </c>
      <c r="E21" s="3">
        <f>ELEC!Q22</f>
        <v>3159.9999999998545</v>
      </c>
      <c r="F21" s="3">
        <f>GEN!Z21</f>
        <v>9</v>
      </c>
      <c r="G21" s="3">
        <f>WATER!C24+WATER!H24</f>
        <v>0</v>
      </c>
      <c r="H21" s="3">
        <f>WATER!L24</f>
        <v>-7</v>
      </c>
      <c r="I21" s="15">
        <f>WATER!BC24+WATER!BD24+WATER!BE25-Sheet1!G21</f>
        <v>-14.900000000000006</v>
      </c>
      <c r="J21" s="9">
        <f>'B5'!A23</f>
        <v>44215</v>
      </c>
    </row>
    <row r="22" spans="1:10">
      <c r="A22" s="3">
        <f>ELEC!T23+ELEC!X23+ELEC!AB23</f>
        <v>2</v>
      </c>
      <c r="B22" s="3">
        <f>ELEC!AF23</f>
        <v>307</v>
      </c>
      <c r="C22" s="3">
        <f>ELEC!N23</f>
        <v>6161</v>
      </c>
      <c r="D22" s="3">
        <f t="shared" si="0"/>
        <v>3359.0000000003201</v>
      </c>
      <c r="E22" s="3">
        <f>ELEC!Q23</f>
        <v>2801.9999999996799</v>
      </c>
      <c r="F22" s="3">
        <f>GEN!Z22</f>
        <v>6</v>
      </c>
      <c r="G22" s="3">
        <f>WATER!C25+WATER!H25</f>
        <v>0</v>
      </c>
      <c r="H22" s="3">
        <f>WATER!L25</f>
        <v>7</v>
      </c>
      <c r="I22" s="15">
        <f>WATER!BC25+WATER!BD25+WATER!BE26-Sheet1!G22</f>
        <v>-11.399999999999977</v>
      </c>
      <c r="J22" s="9">
        <f>'B5'!A24</f>
        <v>44247</v>
      </c>
    </row>
    <row r="23" spans="1:10">
      <c r="A23" s="3">
        <f>ELEC!T24+ELEC!X24+ELEC!AB24</f>
        <v>3</v>
      </c>
      <c r="B23" s="3">
        <f>ELEC!AF24</f>
        <v>440</v>
      </c>
      <c r="C23" s="3">
        <f>ELEC!N24</f>
        <v>6895</v>
      </c>
      <c r="D23" s="3">
        <f t="shared" si="0"/>
        <v>3764.9999999989814</v>
      </c>
      <c r="E23" s="3">
        <f>ELEC!Q24</f>
        <v>3130.0000000010186</v>
      </c>
      <c r="F23" s="3">
        <f>GEN!Z23</f>
        <v>7</v>
      </c>
      <c r="G23" s="3">
        <f>WATER!C26+WATER!H26</f>
        <v>0</v>
      </c>
      <c r="H23" s="3">
        <f>WATER!L26</f>
        <v>0</v>
      </c>
      <c r="I23" s="15">
        <f>WATER!BC26+WATER!BD26+WATER!BE27-Sheet1!G23</f>
        <v>-20.100000000000023</v>
      </c>
      <c r="J23" s="9">
        <f>'B5'!A25</f>
        <v>44248</v>
      </c>
    </row>
    <row r="24" spans="1:10">
      <c r="A24" s="3">
        <f>ELEC!T25+ELEC!X25+ELEC!AB25</f>
        <v>6</v>
      </c>
      <c r="B24" s="3">
        <f>ELEC!AF25</f>
        <v>884</v>
      </c>
      <c r="C24" s="3">
        <f>ELEC!N25</f>
        <v>7942</v>
      </c>
      <c r="D24" s="3">
        <f t="shared" si="0"/>
        <v>3078.000000002241</v>
      </c>
      <c r="E24" s="3">
        <f>ELEC!Q25</f>
        <v>4863.999999997759</v>
      </c>
      <c r="F24" s="3">
        <f>GEN!Z24</f>
        <v>6</v>
      </c>
      <c r="G24" s="3">
        <f>WATER!C27+WATER!H27</f>
        <v>125</v>
      </c>
      <c r="H24" s="3">
        <f>WATER!L27</f>
        <v>0</v>
      </c>
      <c r="I24" s="15">
        <f>WATER!BC27+WATER!BD27+WATER!BE28-Sheet1!G24</f>
        <v>-165.29999999999998</v>
      </c>
      <c r="J24" s="9">
        <f>'B5'!A26</f>
        <v>44249</v>
      </c>
    </row>
    <row r="25" spans="1:10">
      <c r="A25" s="3">
        <f>ELEC!T26+ELEC!X26+ELEC!AB26</f>
        <v>6</v>
      </c>
      <c r="B25" s="3">
        <f>ELEC!AF26</f>
        <v>843</v>
      </c>
      <c r="C25" s="3">
        <f>ELEC!N26</f>
        <v>8471</v>
      </c>
      <c r="D25" s="3">
        <f t="shared" si="0"/>
        <v>2576.9999999997672</v>
      </c>
      <c r="E25" s="3">
        <f>ELEC!Q26</f>
        <v>5894.0000000002328</v>
      </c>
      <c r="F25" s="3">
        <f>GEN!Z25</f>
        <v>8</v>
      </c>
      <c r="G25" s="3">
        <f>WATER!C28+WATER!H28</f>
        <v>0</v>
      </c>
      <c r="H25" s="3">
        <f>WATER!L28</f>
        <v>0</v>
      </c>
      <c r="I25" s="15">
        <f>WATER!BC28+WATER!BD28+WATER!BE29-Sheet1!G25</f>
        <v>-40.500000000000028</v>
      </c>
      <c r="J25" s="9">
        <f>'B5'!A27</f>
        <v>44250</v>
      </c>
    </row>
    <row r="26" spans="1:10">
      <c r="A26" s="3">
        <f>ELEC!T27+ELEC!X27+ELEC!AB27</f>
        <v>7</v>
      </c>
      <c r="B26" s="3">
        <f>ELEC!AF27</f>
        <v>994</v>
      </c>
      <c r="C26" s="3">
        <f>ELEC!N27</f>
        <v>8788</v>
      </c>
      <c r="D26" s="3">
        <f t="shared" si="0"/>
        <v>3113.9999999972933</v>
      </c>
      <c r="E26" s="3">
        <f>ELEC!Q27</f>
        <v>5674.0000000027067</v>
      </c>
      <c r="F26" s="3">
        <f>GEN!Z26</f>
        <v>12</v>
      </c>
      <c r="G26" s="3">
        <f>WATER!C29+WATER!H29</f>
        <v>0</v>
      </c>
      <c r="H26" s="3">
        <f>WATER!L29</f>
        <v>0</v>
      </c>
      <c r="I26" s="15">
        <f>WATER!BC29+WATER!BD29+WATER!BE30-Sheet1!G26</f>
        <v>-28.200000000000003</v>
      </c>
      <c r="J26" s="9">
        <f>'B5'!A28</f>
        <v>44251</v>
      </c>
    </row>
    <row r="27" spans="1:10">
      <c r="A27" s="3">
        <f>ELEC!T28+ELEC!X28+ELEC!AB28</f>
        <v>7</v>
      </c>
      <c r="B27" s="3">
        <f>ELEC!AF28</f>
        <v>1062</v>
      </c>
      <c r="C27" s="3">
        <f>ELEC!N28</f>
        <v>9599</v>
      </c>
      <c r="D27" s="3">
        <f t="shared" si="0"/>
        <v>1913.0000000021246</v>
      </c>
      <c r="E27" s="3">
        <f>ELEC!Q28</f>
        <v>7685.9999999978754</v>
      </c>
      <c r="F27" s="3">
        <f>GEN!Z27</f>
        <v>11</v>
      </c>
      <c r="G27" s="3">
        <f>WATER!C30+WATER!H30</f>
        <v>4</v>
      </c>
      <c r="H27" s="3">
        <f>WATER!L30</f>
        <v>0</v>
      </c>
      <c r="I27" s="15">
        <f>WATER!BC30+WATER!BD30+WATER!BE31-Sheet1!G27</f>
        <v>62.400000000000006</v>
      </c>
      <c r="J27" s="9">
        <f>'B5'!A29</f>
        <v>44252</v>
      </c>
    </row>
    <row r="28" spans="1:10">
      <c r="A28" s="3">
        <f>ELEC!T29+ELEC!X29+ELEC!AB29</f>
        <v>5</v>
      </c>
      <c r="B28" s="3">
        <f>ELEC!AF29</f>
        <v>855</v>
      </c>
      <c r="C28" s="3">
        <f>ELEC!N29</f>
        <v>7813</v>
      </c>
      <c r="D28" s="3">
        <f t="shared" si="0"/>
        <v>1766.0000000013388</v>
      </c>
      <c r="E28" s="3">
        <f>ELEC!Q29</f>
        <v>6046.9999999986612</v>
      </c>
      <c r="F28" s="3">
        <f>GEN!Z28</f>
        <v>14</v>
      </c>
      <c r="G28" s="3">
        <f>WATER!C31+WATER!H31</f>
        <v>203</v>
      </c>
      <c r="H28" s="3">
        <f>WATER!L31</f>
        <v>1</v>
      </c>
      <c r="I28" s="15">
        <f>WATER!BC31+WATER!BD31+WATER!BE32-Sheet1!G28</f>
        <v>-168.4</v>
      </c>
      <c r="J28" s="9">
        <f>'B5'!A30</f>
        <v>44253</v>
      </c>
    </row>
    <row r="29" spans="1:10">
      <c r="A29" s="3">
        <f>ELEC!T30+ELEC!X30+ELEC!AB30</f>
        <v>4</v>
      </c>
      <c r="B29" s="3">
        <f>ELEC!AF30</f>
        <v>546</v>
      </c>
      <c r="C29" s="3">
        <f>ELEC!N30</f>
        <v>7721</v>
      </c>
      <c r="D29" s="3">
        <f t="shared" si="0"/>
        <v>2160.9999999986903</v>
      </c>
      <c r="E29" s="3">
        <f>ELEC!Q30</f>
        <v>5560.0000000013097</v>
      </c>
      <c r="F29" s="3">
        <f>GEN!Z29</f>
        <v>14</v>
      </c>
      <c r="G29" s="3">
        <f>WATER!C32+WATER!H32</f>
        <v>0</v>
      </c>
      <c r="H29" s="3">
        <f>WATER!L32</f>
        <v>0</v>
      </c>
      <c r="I29" s="15">
        <f>WATER!BC32+WATER!BD32+WATER!BE33-Sheet1!G29</f>
        <v>44.80000000000004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13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2"/>
      <c r="B1" s="640" t="s">
        <v>119</v>
      </c>
      <c r="C1" s="640" t="s">
        <v>118</v>
      </c>
      <c r="D1" s="644" t="s">
        <v>113</v>
      </c>
      <c r="E1" s="644" t="s">
        <v>114</v>
      </c>
      <c r="F1" s="645" t="s">
        <v>120</v>
      </c>
      <c r="G1" s="646" t="s">
        <v>75</v>
      </c>
      <c r="H1" s="637" t="s">
        <v>115</v>
      </c>
      <c r="I1" s="638" t="s">
        <v>116</v>
      </c>
      <c r="J1" s="637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43"/>
      <c r="B2" s="641"/>
      <c r="C2" s="641"/>
      <c r="D2" s="644"/>
      <c r="E2" s="644"/>
      <c r="F2" s="645"/>
      <c r="G2" s="646"/>
      <c r="H2" s="637"/>
      <c r="I2" s="639"/>
      <c r="J2" s="637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-5.1000000000000512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234</v>
      </c>
      <c r="C6" s="76">
        <f>'B5'!AH6</f>
        <v>0</v>
      </c>
      <c r="D6" s="76">
        <f>GEN!AI4</f>
        <v>580.40084388118237</v>
      </c>
      <c r="E6" s="242">
        <f t="shared" si="0"/>
        <v>814.40084388118237</v>
      </c>
      <c r="F6" s="75">
        <f>WATER!L6</f>
        <v>0</v>
      </c>
      <c r="G6" s="78">
        <f>WATER!BG6</f>
        <v>-33.899999999999977</v>
      </c>
      <c r="H6" s="79">
        <f>ELEC!AF4</f>
        <v>514</v>
      </c>
      <c r="I6" s="79">
        <f>ELEC!Q4</f>
        <v>2254.9999999973807</v>
      </c>
      <c r="J6" s="79">
        <f>ELEC!R4</f>
        <v>4367.0000000026193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254</v>
      </c>
      <c r="C7" s="76">
        <f>'B5'!AH7</f>
        <v>35</v>
      </c>
      <c r="D7" s="76">
        <f>GEN!AI5</f>
        <v>751.81856540138324</v>
      </c>
      <c r="E7" s="242">
        <f t="shared" si="0"/>
        <v>1040.8185654013832</v>
      </c>
      <c r="F7" s="75">
        <f>WATER!L7</f>
        <v>0</v>
      </c>
      <c r="G7" s="78">
        <f>WATER!BG7</f>
        <v>-11.300000000000011</v>
      </c>
      <c r="H7" s="79">
        <f>ELEC!AF5</f>
        <v>688</v>
      </c>
      <c r="I7" s="79">
        <f>ELEC!Q5</f>
        <v>2921.0000000020955</v>
      </c>
      <c r="J7" s="79">
        <f>ELEC!R5</f>
        <v>3831.9999999979045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314</v>
      </c>
      <c r="C8" s="76">
        <f>'B5'!AH8</f>
        <v>0</v>
      </c>
      <c r="D8" s="76">
        <f>GEN!AI6</f>
        <v>675.37552742610796</v>
      </c>
      <c r="E8" s="242">
        <f t="shared" si="0"/>
        <v>989.37552742610796</v>
      </c>
      <c r="F8" s="75">
        <f>WATER!L8</f>
        <v>0</v>
      </c>
      <c r="G8" s="78">
        <f>WATER!BG8</f>
        <v>-9.7999999999999829</v>
      </c>
      <c r="H8" s="79">
        <f>ELEC!AF6</f>
        <v>548</v>
      </c>
      <c r="I8" s="79">
        <f>ELEC!Q6</f>
        <v>2623.9999999997963</v>
      </c>
      <c r="J8" s="79">
        <f>ELEC!R6</f>
        <v>3963.0000000002037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391</v>
      </c>
      <c r="C9" s="76">
        <f>'B5'!AH9</f>
        <v>0</v>
      </c>
      <c r="D9" s="76">
        <f>GEN!AI7</f>
        <v>505.75949367092358</v>
      </c>
      <c r="E9" s="242">
        <f t="shared" si="0"/>
        <v>896.75949367092358</v>
      </c>
      <c r="F9" s="75">
        <f>WATER!L9</f>
        <v>0</v>
      </c>
      <c r="G9" s="78">
        <f>WATER!BG9</f>
        <v>-18.899999999999977</v>
      </c>
      <c r="H9" s="79">
        <f>ELEC!AF7</f>
        <v>440</v>
      </c>
      <c r="I9" s="79">
        <f>ELEC!Q7</f>
        <v>1965.0000000001455</v>
      </c>
      <c r="J9" s="79">
        <f>ELEC!R7</f>
        <v>3966.9999999998545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311</v>
      </c>
      <c r="C10" s="76">
        <f>'B5'!AH10</f>
        <v>0</v>
      </c>
      <c r="D10" s="76">
        <f>GEN!AI8</f>
        <v>436.00843881843809</v>
      </c>
      <c r="E10" s="242">
        <f t="shared" si="0"/>
        <v>747.00843881843809</v>
      </c>
      <c r="F10" s="75">
        <f>WATER!L10</f>
        <v>-1</v>
      </c>
      <c r="G10" s="78">
        <f>WATER!BG10</f>
        <v>-20.700000000000045</v>
      </c>
      <c r="H10" s="79">
        <f>ELEC!AF8</f>
        <v>374</v>
      </c>
      <c r="I10" s="79">
        <f>ELEC!Q8</f>
        <v>1693.9999999995052</v>
      </c>
      <c r="J10" s="79">
        <f>ELEC!R8</f>
        <v>4283.0000000004948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279</v>
      </c>
      <c r="C11" s="76">
        <f>'B5'!AH11</f>
        <v>0</v>
      </c>
      <c r="D11" s="76">
        <f>GEN!AI9</f>
        <v>526.09282700465394</v>
      </c>
      <c r="E11" s="242">
        <f t="shared" si="0"/>
        <v>805.09282700465394</v>
      </c>
      <c r="F11" s="75">
        <f>WATER!L11</f>
        <v>0.5</v>
      </c>
      <c r="G11" s="78">
        <f>WATER!BG11</f>
        <v>-14.899999999999977</v>
      </c>
      <c r="H11" s="79">
        <f>ELEC!AF9</f>
        <v>481</v>
      </c>
      <c r="I11" s="79">
        <f>ELEC!Q9</f>
        <v>2044.000000001688</v>
      </c>
      <c r="J11" s="79">
        <f>ELEC!R9</f>
        <v>4507.1999999984982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256</v>
      </c>
      <c r="C12" s="76">
        <f>'B5'!AH12</f>
        <v>77.399999999994179</v>
      </c>
      <c r="D12" s="76">
        <f>GEN!AI10</f>
        <v>526.3502109700147</v>
      </c>
      <c r="E12" s="242">
        <f t="shared" si="0"/>
        <v>859.75021097000888</v>
      </c>
      <c r="F12" s="75">
        <f>WATER!L12</f>
        <v>0.5</v>
      </c>
      <c r="G12" s="78">
        <f>WATER!BG12</f>
        <v>-13.800000000000011</v>
      </c>
      <c r="H12" s="79">
        <f>ELEC!AF10</f>
        <v>518</v>
      </c>
      <c r="I12" s="79">
        <f>ELEC!Q10</f>
        <v>2044.9999999982538</v>
      </c>
      <c r="J12" s="79">
        <f>ELEC!R10</f>
        <v>4244.80000000156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236</v>
      </c>
      <c r="C13" s="76">
        <f>'B5'!AH13</f>
        <v>0</v>
      </c>
      <c r="D13" s="76">
        <f>GEN!AI11</f>
        <v>884.37130801726721</v>
      </c>
      <c r="E13" s="242">
        <f t="shared" si="0"/>
        <v>1120.3713080172672</v>
      </c>
      <c r="F13" s="75">
        <f>WATER!L13</f>
        <v>1</v>
      </c>
      <c r="G13" s="78">
        <f>WATER!BG13</f>
        <v>-10.899999999999977</v>
      </c>
      <c r="H13" s="79">
        <f>ELEC!AF11</f>
        <v>876</v>
      </c>
      <c r="I13" s="79">
        <f>ELEC!Q11</f>
        <v>3436.0000000015134</v>
      </c>
      <c r="J13" s="79">
        <f>ELEC!R11</f>
        <v>3571.9999999984866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236</v>
      </c>
      <c r="C14" s="76">
        <f>'B5'!AH14</f>
        <v>0</v>
      </c>
      <c r="D14" s="76">
        <f>GEN!AI12</f>
        <v>1143.2995780588396</v>
      </c>
      <c r="E14" s="242">
        <f t="shared" si="0"/>
        <v>1379.2995780588396</v>
      </c>
      <c r="F14" s="75">
        <f>WATER!L14</f>
        <v>1</v>
      </c>
      <c r="G14" s="78">
        <f>WATER!BG14</f>
        <v>-13.099999999999994</v>
      </c>
      <c r="H14" s="79">
        <f>ELEC!AF12</f>
        <v>946</v>
      </c>
      <c r="I14" s="79">
        <f>ELEC!Q12</f>
        <v>4441.9999999990978</v>
      </c>
      <c r="J14" s="79">
        <f>ELEC!R12</f>
        <v>2834.0000000009022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253</v>
      </c>
      <c r="C15" s="76">
        <f>'B5'!AH15</f>
        <v>0</v>
      </c>
      <c r="D15" s="76">
        <f>GEN!AI13</f>
        <v>1029.2784810126059</v>
      </c>
      <c r="E15" s="242">
        <f t="shared" si="0"/>
        <v>1282.2784810126059</v>
      </c>
      <c r="F15" s="75">
        <f>WATER!L15</f>
        <v>0</v>
      </c>
      <c r="G15" s="78">
        <f>WATER!BG15</f>
        <v>-9.1000000000000227</v>
      </c>
      <c r="H15" s="79">
        <f>ELEC!AF13</f>
        <v>815</v>
      </c>
      <c r="I15" s="79">
        <f>ELEC!Q13</f>
        <v>3998.9999999997963</v>
      </c>
      <c r="J15" s="79">
        <f>ELEC!R13</f>
        <v>3237.0000000002037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234</v>
      </c>
      <c r="C16" s="76">
        <f>'B5'!AH16</f>
        <v>0</v>
      </c>
      <c r="D16" s="76">
        <f>GEN!AI14</f>
        <v>676.40506329129664</v>
      </c>
      <c r="E16" s="242">
        <f t="shared" si="0"/>
        <v>910.40506329129664</v>
      </c>
      <c r="F16" s="75">
        <f>WATER!L16</f>
        <v>0</v>
      </c>
      <c r="G16" s="78">
        <f>WATER!BG16</f>
        <v>-11.300000000000011</v>
      </c>
      <c r="H16" s="79">
        <f>ELEC!AF14</f>
        <v>555</v>
      </c>
      <c r="I16" s="79">
        <f>ELEC!Q14</f>
        <v>2628.0000000006112</v>
      </c>
      <c r="J16" s="79">
        <f>ELEC!R14</f>
        <v>3014.9999999993888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281</v>
      </c>
      <c r="C17" s="76">
        <f>'B5'!AH17</f>
        <v>0</v>
      </c>
      <c r="D17" s="76">
        <f>GEN!AI15</f>
        <v>833.6666666660899</v>
      </c>
      <c r="E17" s="242">
        <f t="shared" si="0"/>
        <v>1114.6666666660899</v>
      </c>
      <c r="F17" s="75">
        <f>WATER!L17</f>
        <v>0</v>
      </c>
      <c r="G17" s="78">
        <f>WATER!BG17</f>
        <v>-13.09999999999998</v>
      </c>
      <c r="H17" s="79">
        <f>ELEC!AF15</f>
        <v>427</v>
      </c>
      <c r="I17" s="79">
        <f>ELEC!Q15</f>
        <v>3238.999999997759</v>
      </c>
      <c r="J17" s="79">
        <f>ELEC!R15</f>
        <v>3268.000000002241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267</v>
      </c>
      <c r="C18" s="76">
        <f>'B5'!AH18</f>
        <v>0</v>
      </c>
      <c r="D18" s="76">
        <f>GEN!AI16</f>
        <v>940.48101265881223</v>
      </c>
      <c r="E18" s="242">
        <f t="shared" si="0"/>
        <v>1207.4810126588122</v>
      </c>
      <c r="F18" s="75">
        <f>WATER!L18</f>
        <v>0</v>
      </c>
      <c r="G18" s="78">
        <f>WATER!BG18</f>
        <v>-44.600000000000037</v>
      </c>
      <c r="H18" s="79">
        <f>ELEC!AF16</f>
        <v>877</v>
      </c>
      <c r="I18" s="79">
        <f>ELEC!Q16</f>
        <v>3654.0000000022701</v>
      </c>
      <c r="J18" s="79">
        <f>ELEC!R16</f>
        <v>3784.9999999977299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217</v>
      </c>
      <c r="C19" s="76">
        <f>'B5'!AH19</f>
        <v>0</v>
      </c>
      <c r="D19" s="76">
        <f>GEN!AI17</f>
        <v>1024.6455696201933</v>
      </c>
      <c r="E19" s="242">
        <f t="shared" si="0"/>
        <v>1241.6455696201933</v>
      </c>
      <c r="F19" s="75">
        <f>WATER!L19</f>
        <v>0</v>
      </c>
      <c r="G19" s="78">
        <f>WATER!BG19</f>
        <v>132.00000000000006</v>
      </c>
      <c r="H19" s="79">
        <f>ELEC!AF17</f>
        <v>838</v>
      </c>
      <c r="I19" s="79">
        <f>ELEC!Q17</f>
        <v>3980.9999999997672</v>
      </c>
      <c r="J19" s="79">
        <f>ELEC!R17</f>
        <v>3488.0000000002328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228</v>
      </c>
      <c r="C20" s="76">
        <f>'B5'!AH20</f>
        <v>0</v>
      </c>
      <c r="D20" s="76">
        <f>GEN!AI18</f>
        <v>594.04219409305927</v>
      </c>
      <c r="E20" s="242">
        <f t="shared" si="0"/>
        <v>822.04219409305927</v>
      </c>
      <c r="F20" s="75">
        <f>WATER!L20</f>
        <v>2</v>
      </c>
      <c r="G20" s="78">
        <f>WATER!BG20</f>
        <v>-13.800000000000011</v>
      </c>
      <c r="H20" s="79">
        <f>ELEC!AF18</f>
        <v>467</v>
      </c>
      <c r="I20" s="79">
        <f>ELEC!Q18</f>
        <v>2308.0000000009022</v>
      </c>
      <c r="J20" s="79">
        <f>ELEC!R18</f>
        <v>3625.9999999990978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288</v>
      </c>
      <c r="C21" s="76">
        <f>'B5'!AH21</f>
        <v>0</v>
      </c>
      <c r="D21" s="76">
        <f>GEN!AI19</f>
        <v>1196.0632911385214</v>
      </c>
      <c r="E21" s="242">
        <f t="shared" si="0"/>
        <v>1484.0632911385214</v>
      </c>
      <c r="F21" s="75">
        <f>WATER!L21</f>
        <v>0</v>
      </c>
      <c r="G21" s="78">
        <f>WATER!BG21</f>
        <v>120.99999999999997</v>
      </c>
      <c r="H21" s="79">
        <f>ELEC!AF19</f>
        <v>387</v>
      </c>
      <c r="I21" s="79">
        <f>ELEC!Q19</f>
        <v>4646.999999997206</v>
      </c>
      <c r="J21" s="79">
        <f>ELEC!R19</f>
        <v>2873.000000002794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320</v>
      </c>
      <c r="C22" s="76">
        <f>'B5'!AH22</f>
        <v>60.899999999994179</v>
      </c>
      <c r="D22" s="76">
        <f>GEN!AI20</f>
        <v>1103.9198312238011</v>
      </c>
      <c r="E22" s="242">
        <f t="shared" si="0"/>
        <v>1484.8198312237953</v>
      </c>
      <c r="F22" s="75">
        <f>WATER!L22</f>
        <v>0</v>
      </c>
      <c r="G22" s="78">
        <f>WATER!BG22</f>
        <v>-10.199999999999989</v>
      </c>
      <c r="H22" s="79">
        <f>ELEC!AF20</f>
        <v>648</v>
      </c>
      <c r="I22" s="79">
        <f>ELEC!Q20</f>
        <v>4289.0000000006694</v>
      </c>
      <c r="J22" s="79">
        <f>ELEC!R20</f>
        <v>2902.9999999993306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297</v>
      </c>
      <c r="C23" s="76">
        <f>'B5'!AH23</f>
        <v>0</v>
      </c>
      <c r="D23" s="76">
        <f>GEN!AI21</f>
        <v>1223.603375527636</v>
      </c>
      <c r="E23" s="242">
        <f t="shared" si="0"/>
        <v>1520.603375527636</v>
      </c>
      <c r="F23" s="75">
        <f>WATER!L23</f>
        <v>0</v>
      </c>
      <c r="G23" s="78">
        <f>WATER!BG23</f>
        <v>-24.499999999999972</v>
      </c>
      <c r="H23" s="79">
        <f>ELEC!AF21</f>
        <v>656</v>
      </c>
      <c r="I23" s="79">
        <f>ELEC!Q21</f>
        <v>4754.0000000008149</v>
      </c>
      <c r="J23" s="79">
        <f>ELEC!R21</f>
        <v>2912.9999999991851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284</v>
      </c>
      <c r="C24" s="76">
        <f>'B5'!AH24</f>
        <v>0</v>
      </c>
      <c r="D24" s="76">
        <f>GEN!AI22</f>
        <v>813.33333333329597</v>
      </c>
      <c r="E24" s="242">
        <f t="shared" si="0"/>
        <v>1097.333333333296</v>
      </c>
      <c r="F24" s="75">
        <f>WATER!L24</f>
        <v>-7</v>
      </c>
      <c r="G24" s="78">
        <f>WATER!BG24</f>
        <v>-10.900000000000034</v>
      </c>
      <c r="H24" s="79">
        <f>ELEC!AF22</f>
        <v>425</v>
      </c>
      <c r="I24" s="79">
        <f>ELEC!Q22</f>
        <v>3159.9999999998545</v>
      </c>
      <c r="J24" s="79">
        <f>ELEC!R22</f>
        <v>3273.0000000001455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267</v>
      </c>
      <c r="C25" s="76">
        <f>'B5'!AH25</f>
        <v>0</v>
      </c>
      <c r="D25" s="76">
        <f>GEN!AI23</f>
        <v>721.18987341763921</v>
      </c>
      <c r="E25" s="242">
        <f t="shared" si="0"/>
        <v>988.18987341763921</v>
      </c>
      <c r="F25" s="75">
        <f>WATER!L25</f>
        <v>7</v>
      </c>
      <c r="G25" s="78">
        <f>WATER!BG25</f>
        <v>-3.9999999999999716</v>
      </c>
      <c r="H25" s="79">
        <f>ELEC!AF23</f>
        <v>307</v>
      </c>
      <c r="I25" s="79">
        <f>ELEC!Q23</f>
        <v>2801.9999999996799</v>
      </c>
      <c r="J25" s="79">
        <f>ELEC!R23</f>
        <v>3359.0000000003201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362</v>
      </c>
      <c r="C26" s="76">
        <f>'B5'!AH26</f>
        <v>0</v>
      </c>
      <c r="D26" s="76">
        <f>GEN!AI24</f>
        <v>805.61181434625382</v>
      </c>
      <c r="E26" s="242">
        <f t="shared" si="0"/>
        <v>1167.6118143462538</v>
      </c>
      <c r="F26" s="75">
        <f>WATER!L26</f>
        <v>0</v>
      </c>
      <c r="G26" s="78">
        <f>WATER!BG26</f>
        <v>-5.6000000000000227</v>
      </c>
      <c r="H26" s="79">
        <f>ELEC!AF24</f>
        <v>440</v>
      </c>
      <c r="I26" s="79">
        <f>ELEC!Q24</f>
        <v>3130.0000000010186</v>
      </c>
      <c r="J26" s="79">
        <f>ELEC!R24</f>
        <v>3764.9999999989814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269</v>
      </c>
      <c r="C27" s="76">
        <f>'B5'!AH27</f>
        <v>49.799999999988358</v>
      </c>
      <c r="D27" s="76">
        <f>GEN!AI25</f>
        <v>1251.9156118137694</v>
      </c>
      <c r="E27" s="242">
        <f t="shared" si="0"/>
        <v>1570.7156118137577</v>
      </c>
      <c r="F27" s="75">
        <f>WATER!L27</f>
        <v>0</v>
      </c>
      <c r="G27" s="78">
        <f>WATER!BG27</f>
        <v>-17.199999999999989</v>
      </c>
      <c r="H27" s="79">
        <f>ELEC!AF25</f>
        <v>884</v>
      </c>
      <c r="I27" s="79">
        <f>ELEC!Q25</f>
        <v>4863.999999997759</v>
      </c>
      <c r="J27" s="79">
        <f>ELEC!R25</f>
        <v>3078.000000002241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290</v>
      </c>
      <c r="C28" s="76">
        <f>'B5'!AH28</f>
        <v>77</v>
      </c>
      <c r="D28" s="76">
        <f>GEN!AI26</f>
        <v>1517.0210970464736</v>
      </c>
      <c r="E28" s="242">
        <f t="shared" si="0"/>
        <v>1884.0210970464736</v>
      </c>
      <c r="F28" s="75">
        <f>WATER!L28</f>
        <v>0</v>
      </c>
      <c r="G28" s="78">
        <f>WATER!BG28</f>
        <v>-23.099999999999994</v>
      </c>
      <c r="H28" s="79">
        <f>ELEC!AF26</f>
        <v>843</v>
      </c>
      <c r="I28" s="79">
        <f>ELEC!Q26</f>
        <v>5894.0000000002328</v>
      </c>
      <c r="J28" s="79">
        <f>ELEC!R26</f>
        <v>2576.9999999997672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161</v>
      </c>
      <c r="C29" s="76">
        <f>'B5'!AH29</f>
        <v>0</v>
      </c>
      <c r="D29" s="76">
        <f>GEN!AI27</f>
        <v>1460.3966244732705</v>
      </c>
      <c r="E29" s="77">
        <f t="shared" si="0"/>
        <v>1621.3966244732705</v>
      </c>
      <c r="F29" s="75">
        <f>WATER!L29</f>
        <v>0</v>
      </c>
      <c r="G29" s="78">
        <f>WATER!BG29</f>
        <v>-17.400000000000034</v>
      </c>
      <c r="H29" s="79">
        <f>ELEC!AF27</f>
        <v>994</v>
      </c>
      <c r="I29" s="79">
        <f>ELEC!Q27</f>
        <v>5674.0000000027067</v>
      </c>
      <c r="J29" s="79">
        <f>ELEC!R27</f>
        <v>3113.9999999972933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299</v>
      </c>
      <c r="C30" s="76">
        <f>'B5'!AH30</f>
        <v>0</v>
      </c>
      <c r="D30" s="76">
        <f>GEN!AI28</f>
        <v>1978.2531645564154</v>
      </c>
      <c r="E30" s="77">
        <f t="shared" si="0"/>
        <v>2277.2531645564154</v>
      </c>
      <c r="F30" s="75">
        <f>WATER!L30</f>
        <v>0</v>
      </c>
      <c r="G30" s="78">
        <f>WATER!BG30</f>
        <v>-10.799999999999969</v>
      </c>
      <c r="H30" s="79">
        <f>ELEC!AF28</f>
        <v>1062</v>
      </c>
      <c r="I30" s="79">
        <f>ELEC!Q28</f>
        <v>7685.9999999978754</v>
      </c>
      <c r="J30" s="79">
        <f>ELEC!R28</f>
        <v>1913.0000000021246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195</v>
      </c>
      <c r="C31" s="76">
        <f>'B5'!AH31</f>
        <v>0</v>
      </c>
      <c r="D31" s="76">
        <f>GEN!AI29</f>
        <v>1556.4008438815122</v>
      </c>
      <c r="E31" s="77">
        <f t="shared" si="0"/>
        <v>1751.4008438815122</v>
      </c>
      <c r="F31" s="75">
        <f>WATER!L31</f>
        <v>1</v>
      </c>
      <c r="G31" s="78">
        <f>WATER!BG31</f>
        <v>79.899999999999963</v>
      </c>
      <c r="H31" s="79">
        <f>ELEC!AF29</f>
        <v>855</v>
      </c>
      <c r="I31" s="79">
        <f>ELEC!Q29</f>
        <v>6046.9999999986612</v>
      </c>
      <c r="J31" s="79">
        <f>ELEC!R29</f>
        <v>1766.0000000013388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224</v>
      </c>
      <c r="C32" s="76">
        <f>'B5'!AH32</f>
        <v>0</v>
      </c>
      <c r="D32" s="76">
        <f>GEN!AI30</f>
        <v>1431.0548523210123</v>
      </c>
      <c r="E32" s="77">
        <f t="shared" si="0"/>
        <v>1655.0548523210123</v>
      </c>
      <c r="F32" s="75">
        <f>WATER!L32</f>
        <v>0</v>
      </c>
      <c r="G32" s="78">
        <f>WATER!BG32</f>
        <v>-27.299999999999969</v>
      </c>
      <c r="H32" s="79">
        <f>ELEC!AF30</f>
        <v>546</v>
      </c>
      <c r="I32" s="79">
        <f>ELEC!Q30</f>
        <v>5560.0000000013097</v>
      </c>
      <c r="J32" s="79">
        <f>ELEC!R30</f>
        <v>2160.9999999986903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-11.599999999999994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7" t="s">
        <v>151</v>
      </c>
      <c r="U3" s="64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5</v>
      </c>
      <c r="E11">
        <f t="shared" si="0"/>
        <v>450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5</v>
      </c>
      <c r="E23">
        <f t="shared" si="0"/>
        <v>450</v>
      </c>
      <c r="F23">
        <f>'B5'!AM22</f>
        <v>1</v>
      </c>
      <c r="G23">
        <f t="shared" si="1"/>
        <v>107</v>
      </c>
    </row>
    <row r="24" spans="3:7">
      <c r="C24" s="99">
        <v>42448</v>
      </c>
      <c r="D24">
        <f>'B5'!AL23</f>
        <v>3</v>
      </c>
      <c r="E24">
        <f t="shared" si="0"/>
        <v>270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5</v>
      </c>
      <c r="E25">
        <f t="shared" si="0"/>
        <v>450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4</v>
      </c>
      <c r="E28">
        <f t="shared" si="0"/>
        <v>360</v>
      </c>
      <c r="F28">
        <f>'B5'!AM27</f>
        <v>1</v>
      </c>
      <c r="G28">
        <f t="shared" si="1"/>
        <v>107</v>
      </c>
    </row>
    <row r="29" spans="3:7">
      <c r="C29" s="99">
        <v>42453</v>
      </c>
      <c r="D29">
        <f>'B5'!AL28</f>
        <v>4</v>
      </c>
      <c r="E29">
        <f t="shared" si="0"/>
        <v>360</v>
      </c>
      <c r="F29">
        <f>'B5'!AM28</f>
        <v>1</v>
      </c>
      <c r="G29">
        <f t="shared" si="1"/>
        <v>107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4</v>
      </c>
      <c r="E31">
        <f t="shared" si="0"/>
        <v>360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2</v>
      </c>
      <c r="E32">
        <f t="shared" si="0"/>
        <v>180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3</v>
      </c>
      <c r="E33">
        <f t="shared" si="0"/>
        <v>270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32"/>
  <sheetViews>
    <sheetView zoomScale="112" zoomScaleNormal="112" workbookViewId="0">
      <pane ySplit="1" topLeftCell="A17" activePane="bottomLeft" state="frozen"/>
      <selection pane="bottomLeft" activeCell="I31" sqref="I3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v>9729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v>11898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.75" thickBot="1">
      <c r="A3" s="4">
        <f>ELEC!C3</f>
        <v>44228</v>
      </c>
      <c r="B3" s="540">
        <v>9541</v>
      </c>
      <c r="C3" s="287">
        <f>B3-B2</f>
        <v>3</v>
      </c>
      <c r="D3" s="541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1">
        <f>R2</f>
        <v>11798</v>
      </c>
      <c r="S3" s="287">
        <f t="shared" ref="S3:S30" si="5">R3-R2</f>
        <v>0</v>
      </c>
      <c r="T3" s="541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11898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.75" thickBot="1">
      <c r="A4" s="4">
        <f>ELEC!C4</f>
        <v>44229</v>
      </c>
      <c r="B4" s="540">
        <v>9545</v>
      </c>
      <c r="C4" s="287">
        <f t="shared" ref="C4:C30" si="11">B4-B3</f>
        <v>4</v>
      </c>
      <c r="D4" s="541">
        <v>312307</v>
      </c>
      <c r="E4" s="287">
        <f t="shared" ref="E4:E30" si="12">SUM(D4-D3)</f>
        <v>738</v>
      </c>
      <c r="F4" s="287">
        <f t="shared" si="0"/>
        <v>184.5</v>
      </c>
      <c r="G4" s="196"/>
      <c r="H4" s="270">
        <f t="shared" ref="H4:H30" si="13">H3</f>
        <v>9729</v>
      </c>
      <c r="I4" s="287" t="str">
        <f t="shared" si="1"/>
        <v>ok</v>
      </c>
      <c r="J4" s="541">
        <f t="shared" ref="J4:L30" si="14">J3</f>
        <v>10698</v>
      </c>
      <c r="K4" s="287">
        <f t="shared" si="2"/>
        <v>0</v>
      </c>
      <c r="L4" s="541">
        <f t="shared" si="14"/>
        <v>357691</v>
      </c>
      <c r="M4" s="287">
        <f t="shared" si="3"/>
        <v>0</v>
      </c>
      <c r="N4" s="287">
        <f t="shared" ref="N4:N30" si="15">IF(K4&gt;0,M4/K4,0)</f>
        <v>0</v>
      </c>
      <c r="O4" s="196"/>
      <c r="P4" s="288">
        <f t="shared" ref="P4:P30" si="16">P3</f>
        <v>10873</v>
      </c>
      <c r="Q4" s="287" t="str">
        <f t="shared" si="4"/>
        <v>ok</v>
      </c>
      <c r="R4" s="541">
        <f t="shared" ref="R4:R23" si="17">R3</f>
        <v>11798</v>
      </c>
      <c r="S4" s="287">
        <f t="shared" si="5"/>
        <v>0</v>
      </c>
      <c r="T4" s="541">
        <f t="shared" ref="T4:T23" si="18">T3</f>
        <v>379229</v>
      </c>
      <c r="U4" s="287">
        <f t="shared" si="6"/>
        <v>0</v>
      </c>
      <c r="V4" s="287">
        <f t="shared" ref="V4:V30" si="19">IF(S4&gt;0,U4/S4,0)</f>
        <v>0</v>
      </c>
      <c r="W4" s="196"/>
      <c r="X4" s="288">
        <f t="shared" ref="X4:X30" si="20">X3</f>
        <v>11898</v>
      </c>
      <c r="Y4" s="287" t="str">
        <f t="shared" si="7"/>
        <v>ok</v>
      </c>
      <c r="Z4" s="287">
        <f t="shared" si="8"/>
        <v>4</v>
      </c>
      <c r="AA4" s="287">
        <f t="shared" ref="AA4:AA30" si="21">U4+M4+E4</f>
        <v>738</v>
      </c>
      <c r="AB4" s="287">
        <f t="shared" ref="AB4:AB30" si="22">V4+N4+F4</f>
        <v>184.5</v>
      </c>
      <c r="AC4" s="287">
        <f t="shared" ref="AC4:AC30" si="23">IF(Z4&gt;0,AA4/Z4,0)</f>
        <v>184.5</v>
      </c>
      <c r="AD4" s="73">
        <f>ELEC!Q4</f>
        <v>2254.9999999973807</v>
      </c>
      <c r="AE4" s="73">
        <f>SUM(AD4/Z4)</f>
        <v>563.74999999934516</v>
      </c>
      <c r="AF4" s="403">
        <f>SUM(AE4/1600)</f>
        <v>0.35234374999959073</v>
      </c>
      <c r="AG4" s="404">
        <f>SUM(360*AF4)</f>
        <v>126.84374999985266</v>
      </c>
      <c r="AH4" s="404">
        <f t="shared" ref="AH4:AH30" si="24">SUM(AC4-AG4)</f>
        <v>57.656250000147338</v>
      </c>
      <c r="AI4" s="73">
        <f>AD4*AJ4</f>
        <v>580.40084388118237</v>
      </c>
      <c r="AJ4" s="289">
        <f t="shared" si="9"/>
        <v>0.25738396624472576</v>
      </c>
      <c r="AK4" s="289">
        <f t="shared" si="10"/>
        <v>145.10021097029559</v>
      </c>
    </row>
    <row r="5" spans="1:37" ht="15.75" thickBot="1">
      <c r="A5" s="4">
        <f>ELEC!C5</f>
        <v>44230</v>
      </c>
      <c r="B5" s="540">
        <v>9549</v>
      </c>
      <c r="C5" s="287">
        <f t="shared" si="11"/>
        <v>4</v>
      </c>
      <c r="D5" s="541">
        <v>312999</v>
      </c>
      <c r="E5" s="287">
        <f t="shared" si="12"/>
        <v>692</v>
      </c>
      <c r="F5" s="287">
        <f t="shared" si="0"/>
        <v>173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4"/>
        <v>357691</v>
      </c>
      <c r="M5" s="287">
        <f t="shared" si="3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4"/>
        <v>ok</v>
      </c>
      <c r="R5" s="541">
        <f t="shared" si="17"/>
        <v>11798</v>
      </c>
      <c r="S5" s="287">
        <f t="shared" si="5"/>
        <v>0</v>
      </c>
      <c r="T5" s="541">
        <f t="shared" si="18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0"/>
        <v>11898</v>
      </c>
      <c r="Y5" s="287" t="str">
        <f t="shared" si="7"/>
        <v>ok</v>
      </c>
      <c r="Z5" s="287">
        <f t="shared" si="8"/>
        <v>4</v>
      </c>
      <c r="AA5" s="287">
        <f t="shared" si="21"/>
        <v>692</v>
      </c>
      <c r="AB5" s="287">
        <f t="shared" si="22"/>
        <v>173</v>
      </c>
      <c r="AC5" s="287">
        <f t="shared" si="23"/>
        <v>173</v>
      </c>
      <c r="AD5" s="73">
        <f>ELEC!Q5</f>
        <v>2921.0000000020955</v>
      </c>
      <c r="AE5" s="73">
        <f t="shared" ref="AE5:AE30" si="25">SUM(AD5/Z5)</f>
        <v>730.25000000052387</v>
      </c>
      <c r="AF5" s="403">
        <f t="shared" ref="AF5:AF30" si="26">SUM(AE5/1600)</f>
        <v>0.45640625000032742</v>
      </c>
      <c r="AG5" s="404">
        <f t="shared" ref="AG5:AG30" si="27">SUM(320*AF5)</f>
        <v>146.05000000010477</v>
      </c>
      <c r="AH5" s="404">
        <f t="shared" si="24"/>
        <v>26.949999999895226</v>
      </c>
      <c r="AI5" s="73">
        <f t="shared" ref="AI5:AI30" si="28">AD5*AJ5</f>
        <v>751.81856540138324</v>
      </c>
      <c r="AJ5" s="289">
        <f t="shared" si="9"/>
        <v>0.25738396624472576</v>
      </c>
      <c r="AK5" s="289">
        <f t="shared" si="10"/>
        <v>187.95464135034581</v>
      </c>
    </row>
    <row r="6" spans="1:37" ht="15.75" thickBot="1">
      <c r="A6" s="4">
        <f>ELEC!C6</f>
        <v>44231</v>
      </c>
      <c r="B6" s="540">
        <v>9553</v>
      </c>
      <c r="C6" s="287">
        <f t="shared" si="11"/>
        <v>4</v>
      </c>
      <c r="D6" s="541">
        <v>313688</v>
      </c>
      <c r="E6" s="287">
        <f t="shared" si="12"/>
        <v>689</v>
      </c>
      <c r="F6" s="287">
        <f t="shared" si="0"/>
        <v>172.25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4"/>
        <v>357691</v>
      </c>
      <c r="M6" s="287">
        <f t="shared" si="3"/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4"/>
        <v>ok</v>
      </c>
      <c r="R6" s="541">
        <f t="shared" si="17"/>
        <v>11798</v>
      </c>
      <c r="S6" s="287">
        <f t="shared" si="5"/>
        <v>0</v>
      </c>
      <c r="T6" s="541">
        <f t="shared" si="18"/>
        <v>379229</v>
      </c>
      <c r="U6" s="287">
        <f t="shared" si="6"/>
        <v>0</v>
      </c>
      <c r="V6" s="287">
        <f t="shared" si="19"/>
        <v>0</v>
      </c>
      <c r="W6" s="307"/>
      <c r="X6" s="288">
        <f t="shared" si="20"/>
        <v>11898</v>
      </c>
      <c r="Y6" s="287" t="str">
        <f t="shared" si="7"/>
        <v>ok</v>
      </c>
      <c r="Z6" s="287">
        <f t="shared" si="8"/>
        <v>4</v>
      </c>
      <c r="AA6" s="287">
        <f t="shared" si="21"/>
        <v>689</v>
      </c>
      <c r="AB6" s="287">
        <f t="shared" si="22"/>
        <v>172.25</v>
      </c>
      <c r="AC6" s="287">
        <f t="shared" si="23"/>
        <v>172.25</v>
      </c>
      <c r="AD6" s="73">
        <f>ELEC!Q6</f>
        <v>2623.9999999997963</v>
      </c>
      <c r="AE6" s="73">
        <f>SUM(AD6/Z6)</f>
        <v>655.99999999994907</v>
      </c>
      <c r="AF6" s="403">
        <f t="shared" si="26"/>
        <v>0.40999999999996817</v>
      </c>
      <c r="AG6" s="404">
        <f>SUM(320*AF6)</f>
        <v>131.19999999998981</v>
      </c>
      <c r="AH6" s="404">
        <f t="shared" si="24"/>
        <v>41.050000000010186</v>
      </c>
      <c r="AI6" s="73">
        <f t="shared" si="28"/>
        <v>675.37552742610796</v>
      </c>
      <c r="AJ6" s="289">
        <f t="shared" si="9"/>
        <v>0.25738396624472576</v>
      </c>
      <c r="AK6" s="289">
        <f t="shared" si="10"/>
        <v>168.84388185652699</v>
      </c>
    </row>
    <row r="7" spans="1:37" ht="15.75" thickBot="1">
      <c r="A7" s="4">
        <f>ELEC!C7</f>
        <v>44232</v>
      </c>
      <c r="B7" s="540">
        <v>9556</v>
      </c>
      <c r="C7" s="287">
        <f t="shared" si="11"/>
        <v>3</v>
      </c>
      <c r="D7" s="541">
        <v>314232</v>
      </c>
      <c r="E7" s="287">
        <f t="shared" si="12"/>
        <v>544</v>
      </c>
      <c r="F7" s="287">
        <f t="shared" si="0"/>
        <v>181.33333333333334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4"/>
        <v>357691</v>
      </c>
      <c r="M7" s="287">
        <f t="shared" si="3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4"/>
        <v>ok</v>
      </c>
      <c r="R7" s="541">
        <v>11798</v>
      </c>
      <c r="S7" s="287">
        <f t="shared" si="5"/>
        <v>0</v>
      </c>
      <c r="T7" s="541">
        <f t="shared" si="18"/>
        <v>379229</v>
      </c>
      <c r="U7" s="287">
        <f t="shared" si="6"/>
        <v>0</v>
      </c>
      <c r="V7" s="287">
        <f t="shared" si="19"/>
        <v>0</v>
      </c>
      <c r="W7" s="196"/>
      <c r="X7" s="288">
        <f t="shared" si="20"/>
        <v>11898</v>
      </c>
      <c r="Y7" s="287" t="str">
        <f t="shared" si="7"/>
        <v>ok</v>
      </c>
      <c r="Z7" s="287">
        <f t="shared" si="8"/>
        <v>3</v>
      </c>
      <c r="AA7" s="287">
        <f>U7+M7+E7</f>
        <v>544</v>
      </c>
      <c r="AB7" s="287">
        <f t="shared" si="22"/>
        <v>181.33333333333334</v>
      </c>
      <c r="AC7" s="287">
        <f t="shared" si="23"/>
        <v>181.33333333333334</v>
      </c>
      <c r="AD7" s="73">
        <f>ELEC!Q7</f>
        <v>1965.0000000001455</v>
      </c>
      <c r="AE7" s="73">
        <f t="shared" si="25"/>
        <v>655.00000000004854</v>
      </c>
      <c r="AF7" s="403">
        <f t="shared" si="26"/>
        <v>0.40937500000003035</v>
      </c>
      <c r="AG7" s="504" t="s">
        <v>403</v>
      </c>
      <c r="AH7" s="404" t="e">
        <f t="shared" si="24"/>
        <v>#VALUE!</v>
      </c>
      <c r="AI7" s="73">
        <f t="shared" si="28"/>
        <v>505.75949367092358</v>
      </c>
      <c r="AJ7" s="289">
        <f t="shared" si="9"/>
        <v>0.25738396624472576</v>
      </c>
      <c r="AK7" s="289">
        <f t="shared" si="10"/>
        <v>168.58649789030787</v>
      </c>
    </row>
    <row r="8" spans="1:37" ht="15.75" thickBot="1">
      <c r="A8" s="4">
        <f>ELEC!C8</f>
        <v>44233</v>
      </c>
      <c r="B8" s="540">
        <v>9559</v>
      </c>
      <c r="C8" s="287">
        <f t="shared" si="11"/>
        <v>3</v>
      </c>
      <c r="D8" s="541">
        <v>314706</v>
      </c>
      <c r="E8" s="287">
        <f t="shared" si="12"/>
        <v>474</v>
      </c>
      <c r="F8" s="287">
        <f t="shared" si="0"/>
        <v>158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4"/>
        <v>357691</v>
      </c>
      <c r="M8" s="287">
        <f t="shared" si="3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4"/>
        <v>ok</v>
      </c>
      <c r="R8" s="541">
        <f t="shared" si="17"/>
        <v>11798</v>
      </c>
      <c r="S8" s="287">
        <f t="shared" si="5"/>
        <v>0</v>
      </c>
      <c r="T8" s="541">
        <f t="shared" si="18"/>
        <v>379229</v>
      </c>
      <c r="U8" s="287">
        <f t="shared" si="6"/>
        <v>0</v>
      </c>
      <c r="V8" s="287">
        <f t="shared" si="19"/>
        <v>0</v>
      </c>
      <c r="W8" s="196"/>
      <c r="X8" s="288">
        <f t="shared" si="20"/>
        <v>11898</v>
      </c>
      <c r="Y8" s="287" t="str">
        <f t="shared" si="7"/>
        <v>ok</v>
      </c>
      <c r="Z8" s="287">
        <f t="shared" si="8"/>
        <v>3</v>
      </c>
      <c r="AA8" s="287">
        <f t="shared" si="21"/>
        <v>474</v>
      </c>
      <c r="AB8" s="287">
        <f t="shared" si="22"/>
        <v>158</v>
      </c>
      <c r="AC8" s="287">
        <f t="shared" si="23"/>
        <v>158</v>
      </c>
      <c r="AD8" s="73">
        <f>ELEC!Q8</f>
        <v>1693.9999999995052</v>
      </c>
      <c r="AE8" s="73">
        <f t="shared" si="25"/>
        <v>564.66666666650178</v>
      </c>
      <c r="AF8" s="403">
        <f t="shared" si="26"/>
        <v>0.35291666666656363</v>
      </c>
      <c r="AG8" s="404">
        <f t="shared" si="27"/>
        <v>112.93333333330037</v>
      </c>
      <c r="AH8" s="404">
        <f t="shared" si="24"/>
        <v>45.066666666699632</v>
      </c>
      <c r="AI8" s="73">
        <f t="shared" si="28"/>
        <v>436.00843881843809</v>
      </c>
      <c r="AJ8" s="289">
        <f t="shared" si="9"/>
        <v>0.25738396624472576</v>
      </c>
      <c r="AK8" s="289">
        <f t="shared" si="10"/>
        <v>145.3361462728127</v>
      </c>
    </row>
    <row r="9" spans="1:37" ht="15.75" thickBot="1">
      <c r="A9" s="4">
        <f>ELEC!C9</f>
        <v>44234</v>
      </c>
      <c r="B9" s="540">
        <v>9562</v>
      </c>
      <c r="C9" s="287">
        <f t="shared" si="11"/>
        <v>3</v>
      </c>
      <c r="D9" s="541">
        <v>315186</v>
      </c>
      <c r="E9" s="287">
        <f t="shared" si="12"/>
        <v>480</v>
      </c>
      <c r="F9" s="287">
        <f t="shared" si="0"/>
        <v>160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4"/>
        <v>357691</v>
      </c>
      <c r="M9" s="287">
        <f t="shared" si="3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4"/>
        <v>ok</v>
      </c>
      <c r="R9" s="541">
        <f t="shared" si="17"/>
        <v>11798</v>
      </c>
      <c r="S9" s="287">
        <f t="shared" si="5"/>
        <v>0</v>
      </c>
      <c r="T9" s="541">
        <f t="shared" si="18"/>
        <v>379229</v>
      </c>
      <c r="U9" s="287">
        <f t="shared" si="6"/>
        <v>0</v>
      </c>
      <c r="V9" s="287">
        <f t="shared" si="19"/>
        <v>0</v>
      </c>
      <c r="W9" s="196"/>
      <c r="X9" s="288">
        <f t="shared" si="20"/>
        <v>11898</v>
      </c>
      <c r="Y9" s="287" t="str">
        <f t="shared" si="7"/>
        <v>ok</v>
      </c>
      <c r="Z9" s="287">
        <f t="shared" si="8"/>
        <v>3</v>
      </c>
      <c r="AA9" s="287">
        <f t="shared" si="21"/>
        <v>480</v>
      </c>
      <c r="AB9" s="287">
        <f t="shared" si="22"/>
        <v>160</v>
      </c>
      <c r="AC9" s="287">
        <f t="shared" si="23"/>
        <v>160</v>
      </c>
      <c r="AD9" s="73">
        <f>ELEC!Q9</f>
        <v>2044.000000001688</v>
      </c>
      <c r="AE9" s="73">
        <f t="shared" si="25"/>
        <v>681.33333333389601</v>
      </c>
      <c r="AF9" s="403">
        <f t="shared" si="26"/>
        <v>0.425833333333685</v>
      </c>
      <c r="AG9" s="404">
        <f t="shared" si="27"/>
        <v>136.2666666667792</v>
      </c>
      <c r="AH9" s="404">
        <f t="shared" si="24"/>
        <v>23.733333333220799</v>
      </c>
      <c r="AI9" s="73">
        <f t="shared" si="28"/>
        <v>526.09282700465394</v>
      </c>
      <c r="AJ9" s="289">
        <v>0.25738396624472576</v>
      </c>
      <c r="AK9" s="289">
        <f t="shared" ref="AK9:AK16" si="29">IF(Z9&gt;0,AI9/Z9,0)</f>
        <v>175.36427566821797</v>
      </c>
    </row>
    <row r="10" spans="1:37" ht="15.75" thickBot="1">
      <c r="A10" s="4">
        <f>ELEC!C10</f>
        <v>44235</v>
      </c>
      <c r="B10" s="540">
        <v>9565</v>
      </c>
      <c r="C10" s="287">
        <f t="shared" si="11"/>
        <v>3</v>
      </c>
      <c r="D10" s="541">
        <v>315670</v>
      </c>
      <c r="E10" s="287">
        <f t="shared" si="12"/>
        <v>484</v>
      </c>
      <c r="F10" s="287">
        <f t="shared" si="0"/>
        <v>161.33333333333334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4"/>
        <v>357691</v>
      </c>
      <c r="M10" s="287">
        <f t="shared" si="3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4"/>
        <v>ok</v>
      </c>
      <c r="R10" s="541">
        <f t="shared" si="17"/>
        <v>11798</v>
      </c>
      <c r="S10" s="287">
        <f t="shared" si="5"/>
        <v>0</v>
      </c>
      <c r="T10" s="541">
        <f t="shared" si="18"/>
        <v>379229</v>
      </c>
      <c r="U10" s="287">
        <f t="shared" ref="U10:U20" si="30">SUM(T10-T9)</f>
        <v>0</v>
      </c>
      <c r="V10" s="287">
        <f t="shared" ref="V10:V20" si="31">IF(S10&gt;0,U10/S10,0)</f>
        <v>0</v>
      </c>
      <c r="W10" s="338"/>
      <c r="X10" s="288">
        <f t="shared" si="20"/>
        <v>11898</v>
      </c>
      <c r="Y10" s="287" t="str">
        <f t="shared" ref="Y10:Y20" si="32">IF(R10-X10&lt;=0,"ok","oil change")</f>
        <v>ok</v>
      </c>
      <c r="Z10" s="287">
        <f t="shared" si="8"/>
        <v>3</v>
      </c>
      <c r="AA10" s="287">
        <f t="shared" si="21"/>
        <v>484</v>
      </c>
      <c r="AB10" s="287">
        <f t="shared" si="22"/>
        <v>161.33333333333334</v>
      </c>
      <c r="AC10" s="287">
        <f t="shared" si="23"/>
        <v>161.33333333333334</v>
      </c>
      <c r="AD10" s="73">
        <f>ELEC!Q10</f>
        <v>2044.9999999982538</v>
      </c>
      <c r="AE10" s="73">
        <f t="shared" si="25"/>
        <v>681.66666666608455</v>
      </c>
      <c r="AF10" s="403">
        <f t="shared" si="26"/>
        <v>0.42604166666630283</v>
      </c>
      <c r="AG10" s="404">
        <f t="shared" si="27"/>
        <v>136.3333333332169</v>
      </c>
      <c r="AH10" s="404">
        <f t="shared" si="24"/>
        <v>25.000000000116444</v>
      </c>
      <c r="AI10" s="73">
        <f t="shared" si="28"/>
        <v>526.3502109700147</v>
      </c>
      <c r="AJ10" s="289">
        <f t="shared" si="9"/>
        <v>0.25738396624472576</v>
      </c>
      <c r="AK10" s="289">
        <f t="shared" si="29"/>
        <v>175.45007032333822</v>
      </c>
    </row>
    <row r="11" spans="1:37" ht="15.75" thickBot="1">
      <c r="A11" s="4">
        <f>ELEC!C11</f>
        <v>44236</v>
      </c>
      <c r="B11" s="540">
        <v>9570</v>
      </c>
      <c r="C11" s="287">
        <f t="shared" si="11"/>
        <v>5</v>
      </c>
      <c r="D11" s="541">
        <v>316363</v>
      </c>
      <c r="E11" s="287">
        <f t="shared" si="12"/>
        <v>693</v>
      </c>
      <c r="F11" s="287">
        <f t="shared" si="0"/>
        <v>138.6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4"/>
        <v>357691</v>
      </c>
      <c r="M11" s="287">
        <f t="shared" si="3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4"/>
        <v>ok</v>
      </c>
      <c r="R11" s="541">
        <f t="shared" si="17"/>
        <v>11798</v>
      </c>
      <c r="S11" s="287">
        <f t="shared" si="5"/>
        <v>0</v>
      </c>
      <c r="T11" s="541">
        <f t="shared" si="18"/>
        <v>379229</v>
      </c>
      <c r="U11" s="287">
        <f t="shared" si="30"/>
        <v>0</v>
      </c>
      <c r="V11" s="287">
        <f t="shared" si="31"/>
        <v>0</v>
      </c>
      <c r="W11" s="338"/>
      <c r="X11" s="288">
        <f t="shared" si="20"/>
        <v>11898</v>
      </c>
      <c r="Y11" s="287" t="str">
        <f t="shared" si="32"/>
        <v>ok</v>
      </c>
      <c r="Z11" s="287">
        <f t="shared" si="8"/>
        <v>5</v>
      </c>
      <c r="AA11" s="287">
        <f t="shared" si="21"/>
        <v>693</v>
      </c>
      <c r="AB11" s="287">
        <f t="shared" si="22"/>
        <v>138.6</v>
      </c>
      <c r="AC11" s="287">
        <f t="shared" si="23"/>
        <v>138.6</v>
      </c>
      <c r="AD11" s="73">
        <f>ELEC!Q11</f>
        <v>3436.0000000015134</v>
      </c>
      <c r="AE11" s="73">
        <f t="shared" si="25"/>
        <v>687.20000000030268</v>
      </c>
      <c r="AF11" s="403">
        <f t="shared" si="26"/>
        <v>0.42950000000018917</v>
      </c>
      <c r="AG11" s="404">
        <f t="shared" si="27"/>
        <v>137.44000000006054</v>
      </c>
      <c r="AH11" s="404">
        <f t="shared" si="24"/>
        <v>1.1599999999394583</v>
      </c>
      <c r="AI11" s="73">
        <f t="shared" si="28"/>
        <v>884.37130801726721</v>
      </c>
      <c r="AJ11" s="289">
        <f t="shared" si="9"/>
        <v>0.25738396624472576</v>
      </c>
      <c r="AK11" s="289">
        <f t="shared" si="29"/>
        <v>176.87426160345345</v>
      </c>
    </row>
    <row r="12" spans="1:37" ht="15.75" thickBot="1">
      <c r="A12" s="4">
        <f>ELEC!C12</f>
        <v>44237</v>
      </c>
      <c r="B12" s="540">
        <v>9577</v>
      </c>
      <c r="C12" s="287">
        <f t="shared" si="11"/>
        <v>7</v>
      </c>
      <c r="D12" s="541">
        <v>317389</v>
      </c>
      <c r="E12" s="287">
        <f t="shared" si="12"/>
        <v>1026</v>
      </c>
      <c r="F12" s="287">
        <f t="shared" si="0"/>
        <v>146.57142857142858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4"/>
        <v>357691</v>
      </c>
      <c r="M12" s="287">
        <f t="shared" si="3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4"/>
        <v>ok</v>
      </c>
      <c r="R12" s="541">
        <f t="shared" si="17"/>
        <v>11798</v>
      </c>
      <c r="S12" s="287">
        <f t="shared" si="5"/>
        <v>0</v>
      </c>
      <c r="T12" s="541">
        <f t="shared" si="18"/>
        <v>379229</v>
      </c>
      <c r="U12" s="287">
        <f t="shared" si="30"/>
        <v>0</v>
      </c>
      <c r="V12" s="287">
        <f t="shared" si="31"/>
        <v>0</v>
      </c>
      <c r="W12" s="338"/>
      <c r="X12" s="288">
        <f t="shared" si="20"/>
        <v>11898</v>
      </c>
      <c r="Y12" s="287" t="str">
        <f t="shared" si="32"/>
        <v>ok</v>
      </c>
      <c r="Z12" s="287">
        <f t="shared" si="8"/>
        <v>7</v>
      </c>
      <c r="AA12" s="287">
        <f t="shared" si="21"/>
        <v>1026</v>
      </c>
      <c r="AB12" s="287">
        <f t="shared" si="22"/>
        <v>146.57142857142858</v>
      </c>
      <c r="AC12" s="287">
        <f t="shared" si="23"/>
        <v>146.57142857142858</v>
      </c>
      <c r="AD12" s="73">
        <f>ELEC!Q12</f>
        <v>4441.9999999990978</v>
      </c>
      <c r="AE12" s="73">
        <f t="shared" si="25"/>
        <v>634.57142857129963</v>
      </c>
      <c r="AF12" s="403">
        <f t="shared" si="26"/>
        <v>0.39660714285706228</v>
      </c>
      <c r="AG12" s="404">
        <f t="shared" si="27"/>
        <v>126.91428571425993</v>
      </c>
      <c r="AH12" s="404">
        <f t="shared" si="24"/>
        <v>19.657142857168651</v>
      </c>
      <c r="AI12" s="73">
        <f t="shared" si="28"/>
        <v>1143.2995780588396</v>
      </c>
      <c r="AJ12" s="289">
        <f t="shared" si="9"/>
        <v>0.25738396624472576</v>
      </c>
      <c r="AK12" s="289">
        <f t="shared" si="29"/>
        <v>163.3285111512628</v>
      </c>
    </row>
    <row r="13" spans="1:37" ht="15.75" thickBot="1">
      <c r="A13" s="4">
        <f>ELEC!C13</f>
        <v>44238</v>
      </c>
      <c r="B13" s="540">
        <v>9580</v>
      </c>
      <c r="C13" s="287">
        <f t="shared" si="11"/>
        <v>3</v>
      </c>
      <c r="D13" s="541">
        <v>317818</v>
      </c>
      <c r="E13" s="287">
        <f t="shared" si="12"/>
        <v>429</v>
      </c>
      <c r="F13" s="287">
        <f t="shared" si="0"/>
        <v>143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4"/>
        <v>357691</v>
      </c>
      <c r="M13" s="287">
        <f t="shared" si="3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4"/>
        <v>ok</v>
      </c>
      <c r="R13" s="541">
        <v>11801</v>
      </c>
      <c r="S13" s="287">
        <f t="shared" si="5"/>
        <v>3</v>
      </c>
      <c r="T13" s="541">
        <f>T12+429</f>
        <v>379658</v>
      </c>
      <c r="U13" s="287">
        <f t="shared" si="30"/>
        <v>429</v>
      </c>
      <c r="V13" s="287">
        <f t="shared" si="31"/>
        <v>143</v>
      </c>
      <c r="W13" s="338"/>
      <c r="X13" s="288">
        <f t="shared" si="20"/>
        <v>11898</v>
      </c>
      <c r="Y13" s="287" t="str">
        <f t="shared" si="32"/>
        <v>ok</v>
      </c>
      <c r="Z13" s="287">
        <f t="shared" si="8"/>
        <v>6</v>
      </c>
      <c r="AA13" s="287">
        <f t="shared" si="21"/>
        <v>858</v>
      </c>
      <c r="AB13" s="287">
        <f t="shared" si="22"/>
        <v>286</v>
      </c>
      <c r="AC13" s="287">
        <f t="shared" si="23"/>
        <v>143</v>
      </c>
      <c r="AD13" s="73">
        <f>ELEC!Q13</f>
        <v>3998.9999999997963</v>
      </c>
      <c r="AE13" s="73">
        <f t="shared" si="25"/>
        <v>666.49999999996601</v>
      </c>
      <c r="AF13" s="403">
        <f t="shared" si="26"/>
        <v>0.41656249999997874</v>
      </c>
      <c r="AG13" s="404">
        <f t="shared" si="27"/>
        <v>133.29999999999319</v>
      </c>
      <c r="AH13" s="404">
        <f t="shared" si="24"/>
        <v>9.7000000000068098</v>
      </c>
      <c r="AI13" s="73">
        <f t="shared" si="28"/>
        <v>1029.2784810126059</v>
      </c>
      <c r="AJ13" s="289">
        <f t="shared" si="9"/>
        <v>0.25738396624472576</v>
      </c>
      <c r="AK13" s="289">
        <f t="shared" si="29"/>
        <v>171.54641350210099</v>
      </c>
    </row>
    <row r="14" spans="1:37" ht="15.75" thickBot="1">
      <c r="A14" s="4">
        <f>ELEC!C14</f>
        <v>44239</v>
      </c>
      <c r="B14" s="540">
        <v>9584</v>
      </c>
      <c r="C14" s="287">
        <f t="shared" si="11"/>
        <v>4</v>
      </c>
      <c r="D14" s="541">
        <v>318396</v>
      </c>
      <c r="E14" s="287">
        <f t="shared" si="12"/>
        <v>578</v>
      </c>
      <c r="F14" s="287">
        <f t="shared" si="0"/>
        <v>144.5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4"/>
        <v>357691</v>
      </c>
      <c r="M14" s="287">
        <f t="shared" si="3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4"/>
        <v>ok</v>
      </c>
      <c r="R14" s="541">
        <v>11802</v>
      </c>
      <c r="S14" s="287">
        <f t="shared" si="5"/>
        <v>1</v>
      </c>
      <c r="T14" s="541">
        <f>T13+120</f>
        <v>379778</v>
      </c>
      <c r="U14" s="287">
        <f t="shared" si="30"/>
        <v>120</v>
      </c>
      <c r="V14" s="287">
        <f t="shared" si="31"/>
        <v>120</v>
      </c>
      <c r="W14" s="338"/>
      <c r="X14" s="288">
        <f t="shared" si="20"/>
        <v>11898</v>
      </c>
      <c r="Y14" s="287" t="str">
        <f t="shared" si="32"/>
        <v>ok</v>
      </c>
      <c r="Z14" s="287">
        <f t="shared" si="8"/>
        <v>5</v>
      </c>
      <c r="AA14" s="287">
        <f t="shared" si="21"/>
        <v>698</v>
      </c>
      <c r="AB14" s="287">
        <f t="shared" si="22"/>
        <v>264.5</v>
      </c>
      <c r="AC14" s="287">
        <f t="shared" si="23"/>
        <v>139.6</v>
      </c>
      <c r="AD14" s="73">
        <f>ELEC!Q14</f>
        <v>2628.0000000006112</v>
      </c>
      <c r="AE14" s="73">
        <f t="shared" si="25"/>
        <v>525.60000000012224</v>
      </c>
      <c r="AF14" s="403">
        <f t="shared" si="26"/>
        <v>0.3285000000000764</v>
      </c>
      <c r="AG14" s="404">
        <f t="shared" si="27"/>
        <v>105.12000000002445</v>
      </c>
      <c r="AH14" s="404">
        <f t="shared" si="24"/>
        <v>34.479999999975547</v>
      </c>
      <c r="AI14" s="73">
        <f t="shared" si="28"/>
        <v>676.40506329129664</v>
      </c>
      <c r="AJ14" s="289">
        <f t="shared" si="9"/>
        <v>0.25738396624472576</v>
      </c>
      <c r="AK14" s="289">
        <f t="shared" si="29"/>
        <v>135.28101265825933</v>
      </c>
    </row>
    <row r="15" spans="1:37" ht="15.75" thickBot="1">
      <c r="A15" s="4">
        <f>ELEC!C15</f>
        <v>44240</v>
      </c>
      <c r="B15" s="540">
        <v>9590</v>
      </c>
      <c r="C15" s="287">
        <f t="shared" si="11"/>
        <v>6</v>
      </c>
      <c r="D15" s="541">
        <v>319881</v>
      </c>
      <c r="E15" s="287">
        <f t="shared" si="12"/>
        <v>1485</v>
      </c>
      <c r="F15" s="287">
        <f t="shared" si="0"/>
        <v>247.5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4"/>
        <v>357691</v>
      </c>
      <c r="M15" s="287">
        <f t="shared" si="3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4"/>
        <v>ok</v>
      </c>
      <c r="R15" s="541">
        <f t="shared" si="17"/>
        <v>11802</v>
      </c>
      <c r="S15" s="287">
        <f t="shared" si="5"/>
        <v>0</v>
      </c>
      <c r="T15" s="541">
        <f t="shared" si="18"/>
        <v>379778</v>
      </c>
      <c r="U15" s="287">
        <f t="shared" si="30"/>
        <v>0</v>
      </c>
      <c r="V15" s="287">
        <f t="shared" si="31"/>
        <v>0</v>
      </c>
      <c r="W15" s="338"/>
      <c r="X15" s="288">
        <f t="shared" si="20"/>
        <v>11898</v>
      </c>
      <c r="Y15" s="287" t="str">
        <f t="shared" si="32"/>
        <v>ok</v>
      </c>
      <c r="Z15" s="287">
        <f t="shared" si="8"/>
        <v>6</v>
      </c>
      <c r="AA15" s="287">
        <f t="shared" si="21"/>
        <v>1485</v>
      </c>
      <c r="AB15" s="287">
        <f t="shared" si="22"/>
        <v>247.5</v>
      </c>
      <c r="AC15" s="287">
        <f t="shared" si="23"/>
        <v>247.5</v>
      </c>
      <c r="AD15" s="73">
        <f>ELEC!Q15</f>
        <v>3238.999999997759</v>
      </c>
      <c r="AE15" s="73">
        <f t="shared" si="25"/>
        <v>539.8333333329598</v>
      </c>
      <c r="AF15" s="403">
        <f t="shared" si="26"/>
        <v>0.33739583333309986</v>
      </c>
      <c r="AG15" s="404">
        <f t="shared" si="27"/>
        <v>107.96666666659195</v>
      </c>
      <c r="AH15" s="404">
        <f t="shared" si="24"/>
        <v>139.53333333340805</v>
      </c>
      <c r="AI15" s="73">
        <f t="shared" si="28"/>
        <v>833.6666666660899</v>
      </c>
      <c r="AJ15" s="289">
        <f t="shared" si="9"/>
        <v>0.25738396624472576</v>
      </c>
      <c r="AK15" s="289">
        <f t="shared" si="29"/>
        <v>138.94444444434831</v>
      </c>
    </row>
    <row r="16" spans="1:37" ht="15.75" thickBot="1">
      <c r="A16" s="4">
        <f>ELEC!C16</f>
        <v>44241</v>
      </c>
      <c r="B16" s="540">
        <v>9596</v>
      </c>
      <c r="C16" s="287">
        <f t="shared" si="11"/>
        <v>6</v>
      </c>
      <c r="D16" s="541">
        <v>320871</v>
      </c>
      <c r="E16" s="287">
        <f t="shared" si="12"/>
        <v>990</v>
      </c>
      <c r="F16" s="287">
        <f t="shared" si="0"/>
        <v>165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4"/>
        <v>357691</v>
      </c>
      <c r="M16" s="287">
        <f t="shared" si="3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4"/>
        <v>ok</v>
      </c>
      <c r="R16" s="541">
        <f t="shared" si="17"/>
        <v>11802</v>
      </c>
      <c r="S16" s="287">
        <f t="shared" si="5"/>
        <v>0</v>
      </c>
      <c r="T16" s="541">
        <f t="shared" si="18"/>
        <v>379778</v>
      </c>
      <c r="U16" s="287">
        <f t="shared" si="30"/>
        <v>0</v>
      </c>
      <c r="V16" s="287">
        <f t="shared" si="31"/>
        <v>0</v>
      </c>
      <c r="W16" s="338"/>
      <c r="X16" s="288">
        <f t="shared" si="20"/>
        <v>11898</v>
      </c>
      <c r="Y16" s="287" t="str">
        <f t="shared" si="32"/>
        <v>ok</v>
      </c>
      <c r="Z16" s="287">
        <f t="shared" si="8"/>
        <v>6</v>
      </c>
      <c r="AA16" s="287">
        <f t="shared" si="21"/>
        <v>990</v>
      </c>
      <c r="AB16" s="287">
        <f t="shared" si="22"/>
        <v>165</v>
      </c>
      <c r="AC16" s="287">
        <f t="shared" si="23"/>
        <v>165</v>
      </c>
      <c r="AD16" s="73">
        <f>ELEC!Q16</f>
        <v>3654.0000000022701</v>
      </c>
      <c r="AE16" s="73">
        <f t="shared" si="25"/>
        <v>609.00000000037835</v>
      </c>
      <c r="AF16" s="403">
        <f t="shared" si="26"/>
        <v>0.38062500000023647</v>
      </c>
      <c r="AG16" s="404">
        <f t="shared" si="27"/>
        <v>121.80000000007567</v>
      </c>
      <c r="AH16" s="404">
        <f t="shared" si="24"/>
        <v>43.19999999992433</v>
      </c>
      <c r="AI16" s="73">
        <f t="shared" si="28"/>
        <v>940.48101265881223</v>
      </c>
      <c r="AJ16" s="289">
        <f t="shared" si="9"/>
        <v>0.25738396624472576</v>
      </c>
      <c r="AK16" s="289">
        <f t="shared" si="29"/>
        <v>156.74683544313538</v>
      </c>
    </row>
    <row r="17" spans="1:37" ht="15.75" thickBot="1">
      <c r="A17" s="4">
        <f>ELEC!C17</f>
        <v>44242</v>
      </c>
      <c r="B17" s="540">
        <v>9602</v>
      </c>
      <c r="C17" s="287">
        <f t="shared" si="11"/>
        <v>6</v>
      </c>
      <c r="D17" s="541">
        <v>321924</v>
      </c>
      <c r="E17" s="287">
        <f t="shared" si="12"/>
        <v>1053</v>
      </c>
      <c r="F17" s="287">
        <f t="shared" si="0"/>
        <v>175.5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4"/>
        <v>357691</v>
      </c>
      <c r="M17" s="287">
        <f t="shared" si="3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4"/>
        <v>ok</v>
      </c>
      <c r="R17" s="541">
        <f t="shared" si="17"/>
        <v>11802</v>
      </c>
      <c r="S17" s="287">
        <f t="shared" si="5"/>
        <v>0</v>
      </c>
      <c r="T17" s="541">
        <f t="shared" si="18"/>
        <v>379778</v>
      </c>
      <c r="U17" s="287">
        <f t="shared" si="30"/>
        <v>0</v>
      </c>
      <c r="V17" s="287">
        <f t="shared" si="31"/>
        <v>0</v>
      </c>
      <c r="W17" s="338"/>
      <c r="X17" s="288">
        <f t="shared" si="20"/>
        <v>11898</v>
      </c>
      <c r="Y17" s="287" t="str">
        <f t="shared" si="32"/>
        <v>ok</v>
      </c>
      <c r="Z17" s="287">
        <f t="shared" si="8"/>
        <v>6</v>
      </c>
      <c r="AA17" s="287">
        <f t="shared" si="21"/>
        <v>1053</v>
      </c>
      <c r="AB17" s="287">
        <f t="shared" si="22"/>
        <v>175.5</v>
      </c>
      <c r="AC17" s="287">
        <f t="shared" si="23"/>
        <v>175.5</v>
      </c>
      <c r="AD17" s="73">
        <f>ELEC!Q17</f>
        <v>3980.9999999997672</v>
      </c>
      <c r="AE17" s="73">
        <f t="shared" si="25"/>
        <v>663.49999999996123</v>
      </c>
      <c r="AF17" s="403">
        <f t="shared" si="26"/>
        <v>0.41468749999997578</v>
      </c>
      <c r="AG17" s="404">
        <f t="shared" si="27"/>
        <v>132.69999999999226</v>
      </c>
      <c r="AH17" s="404">
        <f t="shared" si="24"/>
        <v>42.800000000007742</v>
      </c>
      <c r="AI17" s="73">
        <f t="shared" si="28"/>
        <v>1024.6455696201933</v>
      </c>
      <c r="AJ17" s="289">
        <f t="shared" si="9"/>
        <v>0.25738396624472576</v>
      </c>
      <c r="AK17" s="289">
        <f t="shared" ref="AK17:AK30" si="33">IF(Z17&gt;0,AI17/Z17,0)</f>
        <v>170.77426160336555</v>
      </c>
    </row>
    <row r="18" spans="1:37" ht="15.75" thickBot="1">
      <c r="A18" s="4">
        <f>ELEC!C18</f>
        <v>44243</v>
      </c>
      <c r="B18" s="540">
        <v>9606</v>
      </c>
      <c r="C18" s="287">
        <f t="shared" si="11"/>
        <v>4</v>
      </c>
      <c r="D18" s="541">
        <v>322554</v>
      </c>
      <c r="E18" s="287">
        <f t="shared" si="12"/>
        <v>630</v>
      </c>
      <c r="F18" s="287">
        <f t="shared" si="0"/>
        <v>157.5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4"/>
        <v>357691</v>
      </c>
      <c r="M18" s="287">
        <f t="shared" si="3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41">
        <f t="shared" si="17"/>
        <v>11802</v>
      </c>
      <c r="S18" s="287">
        <f t="shared" si="5"/>
        <v>0</v>
      </c>
      <c r="T18" s="541">
        <f t="shared" si="18"/>
        <v>379778</v>
      </c>
      <c r="U18" s="287">
        <f t="shared" si="30"/>
        <v>0</v>
      </c>
      <c r="V18" s="287">
        <f t="shared" si="31"/>
        <v>0</v>
      </c>
      <c r="W18" s="338"/>
      <c r="X18" s="288">
        <f t="shared" si="20"/>
        <v>11898</v>
      </c>
      <c r="Y18" s="287" t="str">
        <f t="shared" si="32"/>
        <v>ok</v>
      </c>
      <c r="Z18" s="287">
        <f t="shared" si="8"/>
        <v>4</v>
      </c>
      <c r="AA18" s="287">
        <f t="shared" si="21"/>
        <v>630</v>
      </c>
      <c r="AB18" s="287">
        <f t="shared" si="22"/>
        <v>157.5</v>
      </c>
      <c r="AC18" s="287">
        <f t="shared" si="23"/>
        <v>157.5</v>
      </c>
      <c r="AD18" s="73">
        <f>ELEC!Q18</f>
        <v>2308.0000000009022</v>
      </c>
      <c r="AE18" s="73">
        <f t="shared" si="25"/>
        <v>577.00000000022555</v>
      </c>
      <c r="AF18" s="403">
        <f t="shared" si="26"/>
        <v>0.36062500000014097</v>
      </c>
      <c r="AG18" s="404">
        <f t="shared" si="27"/>
        <v>115.40000000004511</v>
      </c>
      <c r="AH18" s="404">
        <f t="shared" si="24"/>
        <v>42.099999999954889</v>
      </c>
      <c r="AI18" s="73">
        <f t="shared" si="28"/>
        <v>594.04219409305927</v>
      </c>
      <c r="AJ18" s="289">
        <f t="shared" si="9"/>
        <v>0.25738396624472576</v>
      </c>
      <c r="AK18" s="289">
        <f t="shared" si="33"/>
        <v>148.51054852326482</v>
      </c>
    </row>
    <row r="19" spans="1:37" ht="15.75" thickBot="1">
      <c r="A19" s="4">
        <f>ELEC!C19</f>
        <v>44244</v>
      </c>
      <c r="B19" s="540">
        <v>9615</v>
      </c>
      <c r="C19" s="287">
        <f t="shared" si="11"/>
        <v>9</v>
      </c>
      <c r="D19" s="541">
        <v>325233</v>
      </c>
      <c r="E19" s="287">
        <f t="shared" si="12"/>
        <v>2679</v>
      </c>
      <c r="F19" s="287">
        <f t="shared" si="0"/>
        <v>297.66666666666669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4"/>
        <v>357691</v>
      </c>
      <c r="M19" s="287">
        <f t="shared" si="3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4">IF(J19-P19&lt;=0,"ok","oil change")</f>
        <v>ok</v>
      </c>
      <c r="R19" s="541">
        <f t="shared" si="17"/>
        <v>11802</v>
      </c>
      <c r="S19" s="287">
        <f t="shared" si="5"/>
        <v>0</v>
      </c>
      <c r="T19" s="541">
        <f t="shared" si="18"/>
        <v>379778</v>
      </c>
      <c r="U19" s="287">
        <f t="shared" si="30"/>
        <v>0</v>
      </c>
      <c r="V19" s="287">
        <f t="shared" si="31"/>
        <v>0</v>
      </c>
      <c r="W19" s="338"/>
      <c r="X19" s="288">
        <f t="shared" si="20"/>
        <v>11898</v>
      </c>
      <c r="Y19" s="287" t="str">
        <f t="shared" si="32"/>
        <v>ok</v>
      </c>
      <c r="Z19" s="287">
        <f t="shared" si="8"/>
        <v>9</v>
      </c>
      <c r="AA19" s="287">
        <f t="shared" si="21"/>
        <v>2679</v>
      </c>
      <c r="AB19" s="287">
        <f t="shared" si="22"/>
        <v>297.66666666666669</v>
      </c>
      <c r="AC19" s="287">
        <f t="shared" si="23"/>
        <v>297.66666666666669</v>
      </c>
      <c r="AD19" s="73">
        <f>ELEC!Q19</f>
        <v>4646.999999997206</v>
      </c>
      <c r="AE19" s="73">
        <f t="shared" si="25"/>
        <v>516.33333333302289</v>
      </c>
      <c r="AF19" s="403">
        <f t="shared" si="26"/>
        <v>0.32270833333313931</v>
      </c>
      <c r="AG19" s="404">
        <f t="shared" si="27"/>
        <v>103.26666666660458</v>
      </c>
      <c r="AH19" s="404">
        <f t="shared" si="24"/>
        <v>194.40000000006211</v>
      </c>
      <c r="AI19" s="73">
        <f t="shared" si="28"/>
        <v>1196.0632911385214</v>
      </c>
      <c r="AJ19" s="289">
        <f t="shared" si="9"/>
        <v>0.25738396624472576</v>
      </c>
      <c r="AK19" s="289">
        <f t="shared" si="33"/>
        <v>132.89592123761349</v>
      </c>
    </row>
    <row r="20" spans="1:37" ht="15.75" thickBot="1">
      <c r="A20" s="4">
        <f>ELEC!C20</f>
        <v>44245</v>
      </c>
      <c r="B20" s="540">
        <v>9623</v>
      </c>
      <c r="C20" s="287">
        <f>B20-B19</f>
        <v>8</v>
      </c>
      <c r="D20" s="541">
        <v>326819</v>
      </c>
      <c r="E20" s="287">
        <f t="shared" si="12"/>
        <v>1586</v>
      </c>
      <c r="F20" s="287">
        <f t="shared" si="0"/>
        <v>198.25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4"/>
        <v>357691</v>
      </c>
      <c r="M20" s="287">
        <f t="shared" si="3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4"/>
        <v>ok</v>
      </c>
      <c r="R20" s="541">
        <f t="shared" si="17"/>
        <v>11802</v>
      </c>
      <c r="S20" s="287">
        <f t="shared" si="5"/>
        <v>0</v>
      </c>
      <c r="T20" s="541">
        <f t="shared" si="18"/>
        <v>379778</v>
      </c>
      <c r="U20" s="287">
        <f t="shared" si="30"/>
        <v>0</v>
      </c>
      <c r="V20" s="287">
        <f t="shared" si="31"/>
        <v>0</v>
      </c>
      <c r="W20" s="338"/>
      <c r="X20" s="288">
        <f t="shared" si="20"/>
        <v>11898</v>
      </c>
      <c r="Y20" s="287" t="str">
        <f t="shared" si="32"/>
        <v>ok</v>
      </c>
      <c r="Z20" s="287">
        <f t="shared" si="8"/>
        <v>8</v>
      </c>
      <c r="AA20" s="287">
        <f t="shared" si="21"/>
        <v>1586</v>
      </c>
      <c r="AB20" s="287">
        <f t="shared" si="22"/>
        <v>198.25</v>
      </c>
      <c r="AC20" s="287">
        <f t="shared" si="23"/>
        <v>198.25</v>
      </c>
      <c r="AD20" s="73">
        <f>ELEC!Q20</f>
        <v>4289.0000000006694</v>
      </c>
      <c r="AE20" s="73">
        <f t="shared" si="25"/>
        <v>536.12500000008367</v>
      </c>
      <c r="AF20" s="403">
        <f t="shared" si="26"/>
        <v>0.3350781250000523</v>
      </c>
      <c r="AG20" s="404">
        <f t="shared" si="27"/>
        <v>107.22500000001673</v>
      </c>
      <c r="AH20" s="404">
        <f t="shared" si="24"/>
        <v>91.024999999983265</v>
      </c>
      <c r="AI20" s="73">
        <f>AD20*AJ20</f>
        <v>1103.9198312238011</v>
      </c>
      <c r="AJ20" s="289">
        <f t="shared" si="9"/>
        <v>0.25738396624472576</v>
      </c>
      <c r="AK20" s="289">
        <f t="shared" si="33"/>
        <v>137.98997890297514</v>
      </c>
    </row>
    <row r="21" spans="1:37" ht="15.75" thickBot="1">
      <c r="A21" s="4">
        <f>ELEC!C21</f>
        <v>44246</v>
      </c>
      <c r="B21" s="540">
        <v>9632</v>
      </c>
      <c r="C21" s="287">
        <f t="shared" ref="C21" si="35">B21-B20</f>
        <v>9</v>
      </c>
      <c r="D21" s="541">
        <v>329098</v>
      </c>
      <c r="E21" s="287">
        <f t="shared" si="12"/>
        <v>2279</v>
      </c>
      <c r="F21" s="287">
        <f t="shared" si="0"/>
        <v>253.22222222222223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4"/>
        <v>357691</v>
      </c>
      <c r="M21" s="287">
        <f t="shared" si="3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4"/>
        <v>ok</v>
      </c>
      <c r="R21" s="541">
        <f t="shared" si="17"/>
        <v>11802</v>
      </c>
      <c r="S21" s="287">
        <f t="shared" si="5"/>
        <v>0</v>
      </c>
      <c r="T21" s="541">
        <f t="shared" si="18"/>
        <v>379778</v>
      </c>
      <c r="U21" s="287">
        <f t="shared" ref="U21:U30" si="36">SUM(T21-T20)</f>
        <v>0</v>
      </c>
      <c r="V21" s="287">
        <f t="shared" si="19"/>
        <v>0</v>
      </c>
      <c r="W21" s="196"/>
      <c r="X21" s="288">
        <f t="shared" si="20"/>
        <v>11898</v>
      </c>
      <c r="Y21" s="287" t="str">
        <f>Y20</f>
        <v>ok</v>
      </c>
      <c r="Z21" s="287">
        <f t="shared" si="8"/>
        <v>9</v>
      </c>
      <c r="AA21" s="287">
        <f t="shared" si="21"/>
        <v>2279</v>
      </c>
      <c r="AB21" s="287">
        <f t="shared" si="22"/>
        <v>253.22222222222223</v>
      </c>
      <c r="AC21" s="287">
        <f t="shared" si="23"/>
        <v>253.22222222222223</v>
      </c>
      <c r="AD21" s="73">
        <f>ELEC!Q21</f>
        <v>4754.0000000008149</v>
      </c>
      <c r="AE21" s="73">
        <f t="shared" si="25"/>
        <v>528.22222222231278</v>
      </c>
      <c r="AF21" s="403">
        <f t="shared" si="26"/>
        <v>0.33013888888894549</v>
      </c>
      <c r="AG21" s="404">
        <f t="shared" si="27"/>
        <v>105.64444444446255</v>
      </c>
      <c r="AH21" s="404">
        <f t="shared" si="24"/>
        <v>147.57777777775968</v>
      </c>
      <c r="AI21" s="73">
        <f t="shared" si="28"/>
        <v>1223.603375527636</v>
      </c>
      <c r="AJ21" s="289">
        <f t="shared" si="9"/>
        <v>0.25738396624472576</v>
      </c>
      <c r="AK21" s="289">
        <f t="shared" si="33"/>
        <v>135.95593061418177</v>
      </c>
    </row>
    <row r="22" spans="1:37" ht="15.75" thickBot="1">
      <c r="A22" s="4">
        <f>ELEC!C22</f>
        <v>44247</v>
      </c>
      <c r="B22" s="540">
        <v>9638</v>
      </c>
      <c r="C22" s="287">
        <f t="shared" si="11"/>
        <v>6</v>
      </c>
      <c r="D22" s="541">
        <f>D21+900</f>
        <v>329998</v>
      </c>
      <c r="E22" s="287">
        <f>150*C22</f>
        <v>900</v>
      </c>
      <c r="F22" s="287">
        <f t="shared" si="0"/>
        <v>150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4"/>
        <v>357691</v>
      </c>
      <c r="M22" s="287">
        <f t="shared" si="3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4"/>
        <v>ok</v>
      </c>
      <c r="R22" s="541">
        <f t="shared" si="17"/>
        <v>11802</v>
      </c>
      <c r="S22" s="287">
        <f t="shared" si="5"/>
        <v>0</v>
      </c>
      <c r="T22" s="541">
        <f t="shared" si="18"/>
        <v>379778</v>
      </c>
      <c r="U22" s="287">
        <f t="shared" si="36"/>
        <v>0</v>
      </c>
      <c r="V22" s="287">
        <f t="shared" si="19"/>
        <v>0</v>
      </c>
      <c r="W22" s="196"/>
      <c r="X22" s="288">
        <f t="shared" si="20"/>
        <v>11898</v>
      </c>
      <c r="Y22" s="287" t="str">
        <f t="shared" ref="Y22:Y30" si="37">IF(R22-X22&lt;=0,"ok","oil change")</f>
        <v>ok</v>
      </c>
      <c r="Z22" s="287">
        <f t="shared" si="8"/>
        <v>6</v>
      </c>
      <c r="AA22" s="287">
        <f t="shared" si="21"/>
        <v>900</v>
      </c>
      <c r="AB22" s="287">
        <f t="shared" si="22"/>
        <v>150</v>
      </c>
      <c r="AC22" s="287">
        <f t="shared" si="23"/>
        <v>150</v>
      </c>
      <c r="AD22" s="73">
        <f>ELEC!Q22</f>
        <v>3159.9999999998545</v>
      </c>
      <c r="AE22" s="73">
        <f t="shared" si="25"/>
        <v>526.66666666664241</v>
      </c>
      <c r="AF22" s="403">
        <f t="shared" si="26"/>
        <v>0.32916666666665151</v>
      </c>
      <c r="AG22" s="404">
        <f t="shared" si="27"/>
        <v>105.33333333332848</v>
      </c>
      <c r="AH22" s="404">
        <f t="shared" si="24"/>
        <v>44.666666666671517</v>
      </c>
      <c r="AI22" s="73">
        <f t="shared" si="28"/>
        <v>813.33333333329597</v>
      </c>
      <c r="AJ22" s="289">
        <f t="shared" si="9"/>
        <v>0.25738396624472576</v>
      </c>
      <c r="AK22" s="289">
        <f t="shared" si="33"/>
        <v>135.55555555554932</v>
      </c>
    </row>
    <row r="23" spans="1:37" ht="15.75" thickBot="1">
      <c r="A23" s="4">
        <f>ELEC!C23</f>
        <v>44248</v>
      </c>
      <c r="B23" s="540">
        <v>9645</v>
      </c>
      <c r="C23" s="287">
        <f t="shared" si="11"/>
        <v>7</v>
      </c>
      <c r="D23" s="541">
        <f>D22+1050</f>
        <v>331048</v>
      </c>
      <c r="E23" s="287">
        <f>150*C23</f>
        <v>1050</v>
      </c>
      <c r="F23" s="287">
        <f t="shared" si="0"/>
        <v>150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4"/>
        <v>357691</v>
      </c>
      <c r="M23" s="287">
        <f t="shared" si="3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4"/>
        <v>ok</v>
      </c>
      <c r="R23" s="541">
        <f t="shared" si="17"/>
        <v>11802</v>
      </c>
      <c r="S23" s="287">
        <f t="shared" si="5"/>
        <v>0</v>
      </c>
      <c r="T23" s="541">
        <f t="shared" si="18"/>
        <v>379778</v>
      </c>
      <c r="U23" s="287">
        <f t="shared" si="36"/>
        <v>0</v>
      </c>
      <c r="V23" s="287">
        <f t="shared" si="19"/>
        <v>0</v>
      </c>
      <c r="W23" s="196"/>
      <c r="X23" s="288">
        <f t="shared" si="20"/>
        <v>11898</v>
      </c>
      <c r="Y23" s="287" t="str">
        <f t="shared" si="37"/>
        <v>ok</v>
      </c>
      <c r="Z23" s="287">
        <f t="shared" si="8"/>
        <v>7</v>
      </c>
      <c r="AA23" s="287">
        <f t="shared" si="21"/>
        <v>1050</v>
      </c>
      <c r="AB23" s="287">
        <f t="shared" si="22"/>
        <v>150</v>
      </c>
      <c r="AC23" s="287">
        <f t="shared" si="23"/>
        <v>150</v>
      </c>
      <c r="AD23" s="73">
        <f>ELEC!Q23</f>
        <v>2801.9999999996799</v>
      </c>
      <c r="AE23" s="73">
        <f t="shared" si="25"/>
        <v>400.28571428566858</v>
      </c>
      <c r="AF23" s="403">
        <f t="shared" si="26"/>
        <v>0.25017857142854288</v>
      </c>
      <c r="AG23" s="404">
        <f t="shared" si="27"/>
        <v>80.057142857133726</v>
      </c>
      <c r="AH23" s="404">
        <f t="shared" si="24"/>
        <v>69.942857142866274</v>
      </c>
      <c r="AI23" s="73">
        <f t="shared" si="28"/>
        <v>721.18987341763921</v>
      </c>
      <c r="AJ23" s="289">
        <f t="shared" si="9"/>
        <v>0.25738396624472576</v>
      </c>
      <c r="AK23" s="289">
        <f t="shared" si="33"/>
        <v>103.02712477394846</v>
      </c>
    </row>
    <row r="24" spans="1:37" ht="15.75" thickBot="1">
      <c r="A24" s="4">
        <f>ELEC!C24</f>
        <v>44249</v>
      </c>
      <c r="B24" s="540">
        <v>9648</v>
      </c>
      <c r="C24" s="287">
        <f t="shared" si="11"/>
        <v>3</v>
      </c>
      <c r="D24" s="541">
        <v>333292</v>
      </c>
      <c r="E24" s="287">
        <f t="shared" si="12"/>
        <v>2244</v>
      </c>
      <c r="F24" s="287">
        <f t="shared" si="0"/>
        <v>748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4"/>
        <v>357691</v>
      </c>
      <c r="M24" s="287">
        <f t="shared" si="3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4"/>
        <v>ok</v>
      </c>
      <c r="R24" s="541">
        <v>11805</v>
      </c>
      <c r="S24" s="287">
        <f t="shared" si="5"/>
        <v>3</v>
      </c>
      <c r="T24" s="541">
        <f>T23+U24</f>
        <v>380138</v>
      </c>
      <c r="U24" s="287">
        <f>120*3</f>
        <v>360</v>
      </c>
      <c r="V24" s="287">
        <v>120</v>
      </c>
      <c r="W24" s="196"/>
      <c r="X24" s="288">
        <f t="shared" si="20"/>
        <v>11898</v>
      </c>
      <c r="Y24" s="287" t="str">
        <f t="shared" si="37"/>
        <v>ok</v>
      </c>
      <c r="Z24" s="287">
        <f t="shared" si="8"/>
        <v>6</v>
      </c>
      <c r="AA24" s="287">
        <f t="shared" si="21"/>
        <v>2604</v>
      </c>
      <c r="AB24" s="287">
        <f t="shared" si="22"/>
        <v>868</v>
      </c>
      <c r="AC24" s="287">
        <f t="shared" si="23"/>
        <v>434</v>
      </c>
      <c r="AD24" s="73">
        <f>ELEC!Q24</f>
        <v>3130.0000000010186</v>
      </c>
      <c r="AE24" s="73">
        <f t="shared" si="25"/>
        <v>521.66666666683648</v>
      </c>
      <c r="AF24" s="403">
        <f t="shared" si="26"/>
        <v>0.32604166666677281</v>
      </c>
      <c r="AG24" s="404">
        <f t="shared" si="27"/>
        <v>104.33333333336731</v>
      </c>
      <c r="AH24" s="404">
        <f t="shared" si="24"/>
        <v>329.66666666663269</v>
      </c>
      <c r="AI24" s="73">
        <f t="shared" si="28"/>
        <v>805.61181434625382</v>
      </c>
      <c r="AJ24" s="289">
        <f t="shared" si="9"/>
        <v>0.25738396624472576</v>
      </c>
      <c r="AK24" s="289">
        <f t="shared" si="33"/>
        <v>134.26863572437563</v>
      </c>
    </row>
    <row r="25" spans="1:37" ht="15.75" thickBot="1">
      <c r="A25" s="4">
        <f>ELEC!C25</f>
        <v>44250</v>
      </c>
      <c r="B25" s="540">
        <f t="shared" ref="B25:B30" si="38">B24</f>
        <v>9648</v>
      </c>
      <c r="C25" s="287">
        <f t="shared" si="11"/>
        <v>0</v>
      </c>
      <c r="D25" s="541">
        <f t="shared" ref="D25:D30" si="39">D24</f>
        <v>333292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4"/>
        <v>357691</v>
      </c>
      <c r="M25" s="287">
        <f t="shared" si="3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4"/>
        <v>ok</v>
      </c>
      <c r="R25" s="541">
        <v>11813</v>
      </c>
      <c r="S25" s="287">
        <f t="shared" si="5"/>
        <v>8</v>
      </c>
      <c r="T25" s="541">
        <f>T24+U25</f>
        <v>381098</v>
      </c>
      <c r="U25" s="287">
        <f>120*8</f>
        <v>960</v>
      </c>
      <c r="V25" s="287">
        <v>120</v>
      </c>
      <c r="W25" s="196"/>
      <c r="X25" s="288">
        <f t="shared" si="20"/>
        <v>11898</v>
      </c>
      <c r="Y25" s="287" t="str">
        <f t="shared" si="37"/>
        <v>ok</v>
      </c>
      <c r="Z25" s="287">
        <f t="shared" si="8"/>
        <v>8</v>
      </c>
      <c r="AA25" s="287">
        <f t="shared" si="21"/>
        <v>960</v>
      </c>
      <c r="AB25" s="287">
        <f t="shared" si="22"/>
        <v>120</v>
      </c>
      <c r="AC25" s="287">
        <f t="shared" si="23"/>
        <v>120</v>
      </c>
      <c r="AD25" s="73">
        <f>ELEC!Q25</f>
        <v>4863.999999997759</v>
      </c>
      <c r="AE25" s="73">
        <f t="shared" si="25"/>
        <v>607.99999999971988</v>
      </c>
      <c r="AF25" s="403">
        <f t="shared" si="26"/>
        <v>0.37999999999982492</v>
      </c>
      <c r="AG25" s="404">
        <f t="shared" si="27"/>
        <v>121.59999999994398</v>
      </c>
      <c r="AH25" s="404">
        <f t="shared" si="24"/>
        <v>-1.5999999999439751</v>
      </c>
      <c r="AI25" s="73">
        <f t="shared" si="28"/>
        <v>1251.9156118137694</v>
      </c>
      <c r="AJ25" s="289">
        <f t="shared" si="9"/>
        <v>0.25738396624472576</v>
      </c>
      <c r="AK25" s="289">
        <f t="shared" si="33"/>
        <v>156.48945147672117</v>
      </c>
    </row>
    <row r="26" spans="1:37" ht="15.75" thickBot="1">
      <c r="A26" s="4">
        <f>ELEC!C26</f>
        <v>44251</v>
      </c>
      <c r="B26" s="540">
        <f t="shared" si="38"/>
        <v>9648</v>
      </c>
      <c r="C26" s="287">
        <f t="shared" si="11"/>
        <v>0</v>
      </c>
      <c r="D26" s="541">
        <f>D25</f>
        <v>333292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4"/>
        <v>357691</v>
      </c>
      <c r="M26" s="287">
        <f t="shared" si="3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4"/>
        <v>ok</v>
      </c>
      <c r="R26" s="541">
        <v>11825</v>
      </c>
      <c r="S26" s="287">
        <f t="shared" si="5"/>
        <v>12</v>
      </c>
      <c r="T26" s="541">
        <f>T25+U26</f>
        <v>382538</v>
      </c>
      <c r="U26" s="287">
        <f>S26*120</f>
        <v>1440</v>
      </c>
      <c r="V26" s="287">
        <v>120</v>
      </c>
      <c r="W26" s="196"/>
      <c r="X26" s="288">
        <f t="shared" si="20"/>
        <v>11898</v>
      </c>
      <c r="Y26" s="287" t="str">
        <f t="shared" si="37"/>
        <v>ok</v>
      </c>
      <c r="Z26" s="287">
        <f t="shared" si="8"/>
        <v>12</v>
      </c>
      <c r="AA26" s="287">
        <f t="shared" si="21"/>
        <v>1440</v>
      </c>
      <c r="AB26" s="287">
        <f t="shared" si="22"/>
        <v>120</v>
      </c>
      <c r="AC26" s="287">
        <f t="shared" si="23"/>
        <v>120</v>
      </c>
      <c r="AD26" s="73">
        <f>ELEC!Q26</f>
        <v>5894.0000000002328</v>
      </c>
      <c r="AE26" s="73">
        <f t="shared" si="25"/>
        <v>491.16666666668607</v>
      </c>
      <c r="AF26" s="403">
        <f t="shared" si="26"/>
        <v>0.30697916666667879</v>
      </c>
      <c r="AG26" s="404">
        <f t="shared" si="27"/>
        <v>98.233333333337214</v>
      </c>
      <c r="AH26" s="404">
        <f t="shared" si="24"/>
        <v>21.766666666662786</v>
      </c>
      <c r="AI26" s="73">
        <f t="shared" si="28"/>
        <v>1517.0210970464736</v>
      </c>
      <c r="AJ26" s="289">
        <f t="shared" si="9"/>
        <v>0.25738396624472576</v>
      </c>
      <c r="AK26" s="289">
        <f t="shared" si="33"/>
        <v>126.4184247538728</v>
      </c>
    </row>
    <row r="27" spans="1:37" ht="15.75" thickBot="1">
      <c r="A27" s="4">
        <f>ELEC!C27</f>
        <v>44252</v>
      </c>
      <c r="B27" s="540">
        <v>9649</v>
      </c>
      <c r="C27" s="287">
        <f t="shared" si="11"/>
        <v>1</v>
      </c>
      <c r="D27" s="541">
        <v>333321</v>
      </c>
      <c r="E27" s="287">
        <f t="shared" si="12"/>
        <v>29</v>
      </c>
      <c r="F27" s="287">
        <f t="shared" si="0"/>
        <v>29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4"/>
        <v>357691</v>
      </c>
      <c r="M27" s="287">
        <f t="shared" si="3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4"/>
        <v>ok</v>
      </c>
      <c r="R27" s="541">
        <v>11835</v>
      </c>
      <c r="S27" s="287">
        <f t="shared" si="5"/>
        <v>10</v>
      </c>
      <c r="T27" s="541">
        <v>385038</v>
      </c>
      <c r="U27" s="287">
        <f t="shared" si="36"/>
        <v>2500</v>
      </c>
      <c r="V27" s="287">
        <f t="shared" si="19"/>
        <v>250</v>
      </c>
      <c r="W27" s="196"/>
      <c r="X27" s="288">
        <f t="shared" si="20"/>
        <v>11898</v>
      </c>
      <c r="Y27" s="287" t="str">
        <f t="shared" si="37"/>
        <v>ok</v>
      </c>
      <c r="Z27" s="287">
        <f t="shared" si="8"/>
        <v>11</v>
      </c>
      <c r="AA27" s="287">
        <f t="shared" si="21"/>
        <v>2529</v>
      </c>
      <c r="AB27" s="287">
        <f t="shared" si="22"/>
        <v>279</v>
      </c>
      <c r="AC27" s="287">
        <f t="shared" si="23"/>
        <v>229.90909090909091</v>
      </c>
      <c r="AD27" s="73">
        <f>ELEC!Q27</f>
        <v>5674.0000000027067</v>
      </c>
      <c r="AE27" s="73">
        <f t="shared" si="25"/>
        <v>515.81818181842789</v>
      </c>
      <c r="AF27" s="403">
        <f t="shared" si="26"/>
        <v>0.3223863636365174</v>
      </c>
      <c r="AG27" s="404">
        <f t="shared" si="27"/>
        <v>103.16363636368557</v>
      </c>
      <c r="AH27" s="404">
        <f t="shared" si="24"/>
        <v>126.74545454540534</v>
      </c>
      <c r="AI27" s="73">
        <f t="shared" si="28"/>
        <v>1460.3966244732705</v>
      </c>
      <c r="AJ27" s="289">
        <f t="shared" si="9"/>
        <v>0.25738396624472576</v>
      </c>
      <c r="AK27" s="289">
        <f t="shared" si="33"/>
        <v>132.76332949757006</v>
      </c>
    </row>
    <row r="28" spans="1:37" ht="15.75" thickBot="1">
      <c r="A28" s="4">
        <f>ELEC!C28</f>
        <v>44253</v>
      </c>
      <c r="B28" s="540">
        <v>9649</v>
      </c>
      <c r="C28" s="287">
        <f t="shared" si="11"/>
        <v>0</v>
      </c>
      <c r="D28" s="541">
        <v>333321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4"/>
        <v>357691</v>
      </c>
      <c r="M28" s="287">
        <f t="shared" si="3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4"/>
        <v>ok</v>
      </c>
      <c r="R28" s="541">
        <v>11849</v>
      </c>
      <c r="S28" s="287">
        <f t="shared" si="5"/>
        <v>14</v>
      </c>
      <c r="T28" s="541">
        <v>388538</v>
      </c>
      <c r="U28" s="287">
        <f t="shared" si="36"/>
        <v>3500</v>
      </c>
      <c r="V28" s="287">
        <f t="shared" si="19"/>
        <v>250</v>
      </c>
      <c r="W28" s="196"/>
      <c r="X28" s="288">
        <f t="shared" si="20"/>
        <v>11898</v>
      </c>
      <c r="Y28" s="287" t="str">
        <f t="shared" si="37"/>
        <v>ok</v>
      </c>
      <c r="Z28" s="287">
        <f t="shared" si="8"/>
        <v>14</v>
      </c>
      <c r="AA28" s="287">
        <f t="shared" si="21"/>
        <v>3500</v>
      </c>
      <c r="AB28" s="287">
        <f t="shared" si="22"/>
        <v>250</v>
      </c>
      <c r="AC28" s="287">
        <f t="shared" si="23"/>
        <v>250</v>
      </c>
      <c r="AD28" s="73">
        <f>ELEC!Q28</f>
        <v>7685.9999999978754</v>
      </c>
      <c r="AE28" s="73">
        <f t="shared" si="25"/>
        <v>548.99999999984823</v>
      </c>
      <c r="AF28" s="403">
        <f t="shared" si="26"/>
        <v>0.34312499999990514</v>
      </c>
      <c r="AG28" s="404">
        <f t="shared" si="27"/>
        <v>109.79999999996964</v>
      </c>
      <c r="AH28" s="404">
        <f t="shared" si="24"/>
        <v>140.20000000003034</v>
      </c>
      <c r="AI28" s="73">
        <f t="shared" si="28"/>
        <v>1978.2531645564154</v>
      </c>
      <c r="AJ28" s="289">
        <f t="shared" si="9"/>
        <v>0.25738396624472576</v>
      </c>
      <c r="AK28" s="289">
        <f t="shared" si="33"/>
        <v>141.30379746831539</v>
      </c>
    </row>
    <row r="29" spans="1:37" ht="15.75" thickBot="1">
      <c r="A29" s="4">
        <f>ELEC!C29</f>
        <v>44254</v>
      </c>
      <c r="B29" s="540">
        <f t="shared" si="38"/>
        <v>9649</v>
      </c>
      <c r="C29" s="287">
        <f t="shared" si="11"/>
        <v>0</v>
      </c>
      <c r="D29" s="541">
        <f t="shared" si="39"/>
        <v>333321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4"/>
        <v>357691</v>
      </c>
      <c r="M29" s="287">
        <f t="shared" si="3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4"/>
        <v>ok</v>
      </c>
      <c r="R29" s="541">
        <v>11863</v>
      </c>
      <c r="S29" s="287">
        <f t="shared" si="5"/>
        <v>14</v>
      </c>
      <c r="T29" s="541">
        <v>392038</v>
      </c>
      <c r="U29" s="287">
        <f t="shared" si="36"/>
        <v>3500</v>
      </c>
      <c r="V29" s="287">
        <f t="shared" si="19"/>
        <v>250</v>
      </c>
      <c r="W29" s="196"/>
      <c r="X29" s="288">
        <f t="shared" si="20"/>
        <v>11898</v>
      </c>
      <c r="Y29" s="287" t="str">
        <f t="shared" si="37"/>
        <v>ok</v>
      </c>
      <c r="Z29" s="287">
        <f t="shared" si="8"/>
        <v>14</v>
      </c>
      <c r="AA29" s="287">
        <f t="shared" si="21"/>
        <v>3500</v>
      </c>
      <c r="AB29" s="287">
        <f t="shared" si="22"/>
        <v>250</v>
      </c>
      <c r="AC29" s="287">
        <f t="shared" si="23"/>
        <v>250</v>
      </c>
      <c r="AD29" s="73">
        <f>ELEC!Q29</f>
        <v>6046.9999999986612</v>
      </c>
      <c r="AE29" s="73">
        <f t="shared" si="25"/>
        <v>431.92857142847578</v>
      </c>
      <c r="AF29" s="403">
        <f t="shared" si="26"/>
        <v>0.26995535714279734</v>
      </c>
      <c r="AG29" s="404">
        <f t="shared" si="27"/>
        <v>86.385714285695144</v>
      </c>
      <c r="AH29" s="404">
        <f t="shared" si="24"/>
        <v>163.61428571430486</v>
      </c>
      <c r="AI29" s="73">
        <f t="shared" si="28"/>
        <v>1556.4008438815122</v>
      </c>
      <c r="AJ29" s="289">
        <f t="shared" si="9"/>
        <v>0.25738396624472576</v>
      </c>
      <c r="AK29" s="289">
        <f t="shared" si="33"/>
        <v>111.17148884867945</v>
      </c>
    </row>
    <row r="30" spans="1:37">
      <c r="A30" s="4">
        <f>ELEC!C30</f>
        <v>44255</v>
      </c>
      <c r="B30" s="540">
        <f t="shared" si="38"/>
        <v>9649</v>
      </c>
      <c r="C30" s="287">
        <f t="shared" si="11"/>
        <v>0</v>
      </c>
      <c r="D30" s="541">
        <f t="shared" si="39"/>
        <v>333321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4"/>
        <v>357691</v>
      </c>
      <c r="M30" s="287">
        <f t="shared" si="3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4"/>
        <v>ok</v>
      </c>
      <c r="R30" s="541">
        <v>11876</v>
      </c>
      <c r="S30" s="287">
        <f t="shared" si="5"/>
        <v>13</v>
      </c>
      <c r="T30" s="541">
        <v>395288</v>
      </c>
      <c r="U30" s="287">
        <f t="shared" si="36"/>
        <v>3250</v>
      </c>
      <c r="V30" s="287">
        <f t="shared" si="19"/>
        <v>250</v>
      </c>
      <c r="W30" s="285"/>
      <c r="X30" s="288">
        <f t="shared" si="20"/>
        <v>11898</v>
      </c>
      <c r="Y30" s="287" t="str">
        <f t="shared" si="37"/>
        <v>ok</v>
      </c>
      <c r="Z30" s="287">
        <f t="shared" si="8"/>
        <v>13</v>
      </c>
      <c r="AA30" s="287">
        <f t="shared" si="21"/>
        <v>3250</v>
      </c>
      <c r="AB30" s="287">
        <f t="shared" si="22"/>
        <v>250</v>
      </c>
      <c r="AC30" s="287">
        <f t="shared" si="23"/>
        <v>250</v>
      </c>
      <c r="AD30" s="73">
        <f>ELEC!Q30</f>
        <v>5560.0000000013097</v>
      </c>
      <c r="AE30" s="73">
        <f t="shared" si="25"/>
        <v>427.69230769240846</v>
      </c>
      <c r="AF30" s="403">
        <f t="shared" si="26"/>
        <v>0.26730769230775531</v>
      </c>
      <c r="AG30" s="404">
        <f t="shared" si="27"/>
        <v>85.538461538481698</v>
      </c>
      <c r="AH30" s="404">
        <f t="shared" si="24"/>
        <v>164.4615384615183</v>
      </c>
      <c r="AI30" s="73">
        <f t="shared" si="28"/>
        <v>1431.0548523210123</v>
      </c>
      <c r="AJ30" s="289">
        <f t="shared" si="9"/>
        <v>0.25738396624472576</v>
      </c>
      <c r="AK30" s="289">
        <f t="shared" si="33"/>
        <v>110.08114248623171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189</v>
      </c>
      <c r="V31" s="40"/>
      <c r="X31">
        <v>341</v>
      </c>
      <c r="Z31" s="421">
        <f>SUM(Z3:Z30)</f>
        <v>189</v>
      </c>
    </row>
    <row r="32" spans="1:37">
      <c r="C32" s="40">
        <f>SUM(C3:C30)</f>
        <v>111</v>
      </c>
      <c r="K32" s="40">
        <f>SUM(K3:K30)</f>
        <v>0</v>
      </c>
      <c r="S32" s="40">
        <f>SUM(S3:S30)</f>
        <v>78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7"/>
  <sheetViews>
    <sheetView topLeftCell="A10" zoomScale="80" zoomScaleNormal="80" workbookViewId="0">
      <selection activeCell="K31" sqref="K3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44227</v>
      </c>
      <c r="B3" s="264">
        <f>'[2]EDl log'!B34</f>
        <v>853626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128729</v>
      </c>
      <c r="G3" s="264">
        <f>'[2]EDl log'!G34</f>
        <v>446</v>
      </c>
      <c r="H3" s="264">
        <v>426042</v>
      </c>
      <c r="I3" s="264">
        <f>'[2]EDl log'!I34</f>
        <v>935</v>
      </c>
      <c r="J3" s="264">
        <v>298855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.75" thickBot="1">
      <c r="A4" s="163">
        <f>ELEC!C3</f>
        <v>44228</v>
      </c>
      <c r="B4" s="539">
        <v>856126</v>
      </c>
      <c r="C4" s="264">
        <f t="shared" ref="C4:C31" si="0">SUM(B4-B3)</f>
        <v>2500</v>
      </c>
      <c r="D4" s="308">
        <f>SUM(G4+I4+K4)</f>
        <v>2499</v>
      </c>
      <c r="E4" s="308">
        <f>B3+D4</f>
        <v>856125</v>
      </c>
      <c r="F4" s="539">
        <v>129225</v>
      </c>
      <c r="G4" s="160">
        <f t="shared" ref="G4:G31" si="1">F4-F3</f>
        <v>496</v>
      </c>
      <c r="H4" s="539">
        <v>427118</v>
      </c>
      <c r="I4" s="161">
        <f t="shared" ref="I4:I31" si="2">H4-H3</f>
        <v>1076</v>
      </c>
      <c r="J4" s="539">
        <v>299782</v>
      </c>
      <c r="K4" s="162">
        <f t="shared" ref="K4:K31" si="3">J4-J3</f>
        <v>927</v>
      </c>
      <c r="L4" s="296">
        <f t="shared" ref="L4:L13" si="4">SUM(G4*$Y$28)/1507.5</f>
        <v>105.28689883913765</v>
      </c>
      <c r="M4" s="296">
        <f t="shared" ref="M4:M13" si="5">SUM(I4*$Y$27)/1507.5</f>
        <v>79.941625207296852</v>
      </c>
      <c r="N4" s="296">
        <f t="shared" ref="N4:N13" si="6">SUM(K4*$Y$26)/1507.5</f>
        <v>49.194029850746269</v>
      </c>
      <c r="O4" s="296">
        <f t="shared" ref="O4:O31" si="7">($AC$31/$A$34)/1507.5</f>
        <v>171.38907841743662</v>
      </c>
      <c r="P4" s="297">
        <f>SUM(L4:O4)</f>
        <v>405.81163231461738</v>
      </c>
      <c r="Q4" s="297">
        <f>SUM(-tanks!AX6*tanks!$AU$34)</f>
        <v>533.84388064515281</v>
      </c>
      <c r="R4" s="297">
        <f>SUM(P4:Q4)</f>
        <v>939.65551295977025</v>
      </c>
      <c r="S4" s="299">
        <f>SUM(ELEC!N3)</f>
        <v>6404.3999999999069</v>
      </c>
      <c r="T4" s="336">
        <f>IF(S4&gt;0,R4/S4,0)</f>
        <v>0.14672030369117856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58"/>
      <c r="AC4" s="659"/>
    </row>
    <row r="5" spans="1:32" ht="15.75" thickBot="1">
      <c r="A5" s="163">
        <f>ELEC!C4</f>
        <v>44229</v>
      </c>
      <c r="B5" s="539">
        <v>858354</v>
      </c>
      <c r="C5" s="264">
        <f t="shared" si="0"/>
        <v>2228</v>
      </c>
      <c r="D5" s="308">
        <f t="shared" ref="D5:D31" si="8">SUM(G5+I5+K5)</f>
        <v>2229</v>
      </c>
      <c r="E5" s="308">
        <f>B4+D5</f>
        <v>858355</v>
      </c>
      <c r="F5" s="539">
        <v>129716</v>
      </c>
      <c r="G5" s="160">
        <f t="shared" si="1"/>
        <v>491</v>
      </c>
      <c r="H5" s="539">
        <v>428204</v>
      </c>
      <c r="I5" s="161">
        <f t="shared" si="2"/>
        <v>1086</v>
      </c>
      <c r="J5" s="539">
        <v>300434</v>
      </c>
      <c r="K5" s="162">
        <f t="shared" si="3"/>
        <v>652</v>
      </c>
      <c r="L5" s="296">
        <f t="shared" si="4"/>
        <v>104.22553897180762</v>
      </c>
      <c r="M5" s="296">
        <f t="shared" si="5"/>
        <v>80.684577114427867</v>
      </c>
      <c r="N5" s="296">
        <f t="shared" si="6"/>
        <v>34.600331674958539</v>
      </c>
      <c r="O5" s="296">
        <f t="shared" si="7"/>
        <v>171.38907841743662</v>
      </c>
      <c r="P5" s="297">
        <f t="shared" ref="P5:P31" si="9">SUM(L5:O5)</f>
        <v>390.89952617863065</v>
      </c>
      <c r="Q5" s="297">
        <f>SUM(-tanks!AX7*tanks!$AU$34)</f>
        <v>482.45218548386003</v>
      </c>
      <c r="R5" s="297">
        <f t="shared" ref="R5:R31" si="10">SUM(P5:Q5)</f>
        <v>873.35171166249074</v>
      </c>
      <c r="S5" s="299">
        <f>SUM(ELEC!N4)</f>
        <v>6622</v>
      </c>
      <c r="T5" s="336">
        <f>IF(S5&gt;0,R5/S5,0)</f>
        <v>0.1318863955998929</v>
      </c>
      <c r="U5" s="250"/>
      <c r="V5" s="652"/>
      <c r="W5" s="653"/>
      <c r="X5" s="653"/>
      <c r="Y5" s="654"/>
      <c r="Z5" s="26" t="s">
        <v>203</v>
      </c>
      <c r="AA5" s="264">
        <f>'[7]EDl log'!AA22</f>
        <v>5000</v>
      </c>
      <c r="AB5" s="660"/>
      <c r="AC5" s="661"/>
    </row>
    <row r="6" spans="1:32" ht="15.75" thickBot="1">
      <c r="A6" s="163">
        <f>ELEC!C5</f>
        <v>44230</v>
      </c>
      <c r="B6" s="539">
        <v>860441</v>
      </c>
      <c r="C6" s="264">
        <f t="shared" si="0"/>
        <v>2087</v>
      </c>
      <c r="D6" s="308">
        <f t="shared" si="8"/>
        <v>2086</v>
      </c>
      <c r="E6" s="308">
        <f t="shared" ref="E6:E31" si="11">B5+D6</f>
        <v>860440</v>
      </c>
      <c r="F6" s="539">
        <v>129935</v>
      </c>
      <c r="G6" s="160">
        <f t="shared" si="1"/>
        <v>219</v>
      </c>
      <c r="H6" s="539">
        <v>429188</v>
      </c>
      <c r="I6" s="161">
        <f t="shared" si="2"/>
        <v>984</v>
      </c>
      <c r="J6" s="539">
        <v>301317</v>
      </c>
      <c r="K6" s="162">
        <f t="shared" si="3"/>
        <v>883</v>
      </c>
      <c r="L6" s="296">
        <f t="shared" si="4"/>
        <v>46.487562189054728</v>
      </c>
      <c r="M6" s="296">
        <f t="shared" si="5"/>
        <v>73.106467661691539</v>
      </c>
      <c r="N6" s="296">
        <f t="shared" si="6"/>
        <v>46.859038142620236</v>
      </c>
      <c r="O6" s="296">
        <f t="shared" si="7"/>
        <v>171.38907841743662</v>
      </c>
      <c r="P6" s="297">
        <f t="shared" si="9"/>
        <v>337.84214641080314</v>
      </c>
      <c r="Q6" s="297">
        <f>SUM(-tanks!AX8*tanks!$AU$34)</f>
        <v>659.44433064517739</v>
      </c>
      <c r="R6" s="297">
        <f t="shared" si="10"/>
        <v>997.28647705598053</v>
      </c>
      <c r="S6" s="299">
        <f>SUM(ELEC!N5)</f>
        <v>6753</v>
      </c>
      <c r="T6" s="336">
        <f t="shared" ref="T6:T31" si="12">IF(S6&gt;0,R6/S6,0)</f>
        <v>0.14768050896727092</v>
      </c>
      <c r="V6" s="655"/>
      <c r="W6" s="656"/>
      <c r="X6" s="656"/>
      <c r="Y6" s="657"/>
      <c r="Z6" s="3"/>
      <c r="AA6" s="3"/>
      <c r="AB6" s="660"/>
      <c r="AC6" s="661"/>
    </row>
    <row r="7" spans="1:32" ht="15" customHeight="1" thickBot="1">
      <c r="A7" s="163">
        <f>ELEC!C6</f>
        <v>44231</v>
      </c>
      <c r="B7" s="539">
        <v>862596</v>
      </c>
      <c r="C7" s="264">
        <f t="shared" si="0"/>
        <v>2155</v>
      </c>
      <c r="D7" s="308">
        <f t="shared" si="8"/>
        <v>2155</v>
      </c>
      <c r="E7" s="308">
        <f t="shared" si="11"/>
        <v>862596</v>
      </c>
      <c r="F7" s="539">
        <v>130413</v>
      </c>
      <c r="G7" s="160">
        <f t="shared" si="1"/>
        <v>478</v>
      </c>
      <c r="H7" s="539">
        <v>430047</v>
      </c>
      <c r="I7" s="161">
        <f t="shared" si="2"/>
        <v>859</v>
      </c>
      <c r="J7" s="539">
        <v>302135</v>
      </c>
      <c r="K7" s="162">
        <f t="shared" si="3"/>
        <v>818</v>
      </c>
      <c r="L7" s="296">
        <f t="shared" si="4"/>
        <v>101.46600331674959</v>
      </c>
      <c r="M7" s="296">
        <f t="shared" si="5"/>
        <v>63.819568822553897</v>
      </c>
      <c r="N7" s="296">
        <f t="shared" si="6"/>
        <v>43.40961857379768</v>
      </c>
      <c r="O7" s="296">
        <f t="shared" si="7"/>
        <v>171.38907841743662</v>
      </c>
      <c r="P7" s="297">
        <f t="shared" si="9"/>
        <v>380.08426913053779</v>
      </c>
      <c r="Q7" s="297">
        <f>SUM(-tanks!AX9*tanks!$AU$34)</f>
        <v>641.8630806451672</v>
      </c>
      <c r="R7" s="297">
        <f t="shared" si="10"/>
        <v>1021.947349775705</v>
      </c>
      <c r="S7" s="299">
        <f>SUM(ELEC!N6)</f>
        <v>6587</v>
      </c>
      <c r="T7" s="336">
        <f t="shared" si="12"/>
        <v>0.15514609834153711</v>
      </c>
      <c r="V7" s="648" t="s">
        <v>204</v>
      </c>
      <c r="W7" s="649"/>
      <c r="X7" s="650" t="s">
        <v>205</v>
      </c>
      <c r="Y7" s="651"/>
      <c r="Z7" s="649"/>
      <c r="AA7" s="26"/>
      <c r="AB7" s="662"/>
      <c r="AC7" s="663"/>
    </row>
    <row r="8" spans="1:32" ht="15.75" customHeight="1" thickBot="1">
      <c r="A8" s="163">
        <f>ELEC!C7</f>
        <v>44232</v>
      </c>
      <c r="B8" s="539">
        <v>864742</v>
      </c>
      <c r="C8" s="264">
        <f t="shared" si="0"/>
        <v>2146</v>
      </c>
      <c r="D8" s="308">
        <f t="shared" si="8"/>
        <v>2147</v>
      </c>
      <c r="E8" s="308">
        <f t="shared" si="11"/>
        <v>864743</v>
      </c>
      <c r="F8" s="539">
        <v>130838</v>
      </c>
      <c r="G8" s="160">
        <f t="shared" si="1"/>
        <v>425</v>
      </c>
      <c r="H8" s="539">
        <v>430939</v>
      </c>
      <c r="I8" s="161">
        <f t="shared" si="2"/>
        <v>892</v>
      </c>
      <c r="J8" s="539">
        <v>302965</v>
      </c>
      <c r="K8" s="162">
        <f>J8-J7</f>
        <v>830</v>
      </c>
      <c r="L8" s="296">
        <f t="shared" si="4"/>
        <v>90.215588723051411</v>
      </c>
      <c r="M8" s="296">
        <f t="shared" si="5"/>
        <v>66.271310116086241</v>
      </c>
      <c r="N8" s="296">
        <f t="shared" si="6"/>
        <v>44.046434494195687</v>
      </c>
      <c r="O8" s="296">
        <f t="shared" si="7"/>
        <v>171.38907841743662</v>
      </c>
      <c r="P8" s="297">
        <f t="shared" si="9"/>
        <v>371.92241175076998</v>
      </c>
      <c r="Q8" s="297">
        <f>SUM(-tanks!AX10*tanks!$AU$34)</f>
        <v>-312.67402419355631</v>
      </c>
      <c r="R8" s="297">
        <f t="shared" si="10"/>
        <v>59.248387557213675</v>
      </c>
      <c r="S8" s="299">
        <f>SUM(ELEC!N7)</f>
        <v>5932</v>
      </c>
      <c r="T8" s="336">
        <f>IF(S8&gt;0,R8/S8,0)</f>
        <v>9.9879277743111384E-3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44233</v>
      </c>
      <c r="B9" s="539">
        <v>867071</v>
      </c>
      <c r="C9" s="264">
        <f t="shared" si="0"/>
        <v>2329</v>
      </c>
      <c r="D9" s="308">
        <f t="shared" si="8"/>
        <v>2329</v>
      </c>
      <c r="E9" s="308">
        <f t="shared" si="11"/>
        <v>867071</v>
      </c>
      <c r="F9" s="539">
        <v>131316</v>
      </c>
      <c r="G9" s="160">
        <f t="shared" si="1"/>
        <v>478</v>
      </c>
      <c r="H9" s="539">
        <v>431779</v>
      </c>
      <c r="I9" s="161">
        <f t="shared" si="2"/>
        <v>840</v>
      </c>
      <c r="J9" s="539">
        <v>303976</v>
      </c>
      <c r="K9" s="162">
        <f>J9-J8</f>
        <v>1011</v>
      </c>
      <c r="L9" s="296">
        <f t="shared" si="4"/>
        <v>101.46600331674959</v>
      </c>
      <c r="M9" s="296">
        <f t="shared" si="5"/>
        <v>62.407960199004975</v>
      </c>
      <c r="N9" s="296">
        <f t="shared" si="6"/>
        <v>53.651741293532339</v>
      </c>
      <c r="O9" s="296">
        <f t="shared" si="7"/>
        <v>171.38907841743662</v>
      </c>
      <c r="P9" s="297">
        <f t="shared" si="9"/>
        <v>388.9147832267235</v>
      </c>
      <c r="Q9" s="297">
        <f>SUM(-tanks!AX11*tanks!$AU$34)</f>
        <v>379.07443548384981</v>
      </c>
      <c r="R9" s="297">
        <f>SUM(P9:Q9)</f>
        <v>767.98921871057337</v>
      </c>
      <c r="S9" s="299">
        <f>SUM(ELEC!N8)</f>
        <v>5977</v>
      </c>
      <c r="T9" s="336">
        <f t="shared" si="12"/>
        <v>0.12849075099725168</v>
      </c>
      <c r="V9" s="571">
        <f>'[2]EDl log'!V26</f>
        <v>271580</v>
      </c>
      <c r="W9" s="571">
        <f>'[2]EDl log'!W26</f>
        <v>297890</v>
      </c>
      <c r="X9" s="571" t="str">
        <f>'[2]EDl log'!X26</f>
        <v>Night</v>
      </c>
      <c r="Y9" s="571">
        <f>'[2]EDl log'!Y26</f>
        <v>80</v>
      </c>
      <c r="Z9" s="571">
        <f>'[2]EDl log'!Z26</f>
        <v>1</v>
      </c>
      <c r="AA9" s="600">
        <f>'[2]EDl log'!AA26</f>
        <v>26310</v>
      </c>
      <c r="AB9" s="600">
        <f>'[2]EDl log'!AB26</f>
        <v>2104800</v>
      </c>
      <c r="AC9" s="600">
        <f>'[2]EDl log'!AC26</f>
        <v>1033333</v>
      </c>
      <c r="AD9" s="601">
        <f>'[2]EDl log'!AD26</f>
        <v>0.37186935920577618</v>
      </c>
    </row>
    <row r="10" spans="1:32" ht="15.75" thickBot="1">
      <c r="A10" s="163">
        <f>ELEC!C9</f>
        <v>44234</v>
      </c>
      <c r="B10" s="539">
        <v>869480</v>
      </c>
      <c r="C10" s="264">
        <f t="shared" si="0"/>
        <v>2409</v>
      </c>
      <c r="D10" s="308">
        <f t="shared" si="8"/>
        <v>2408</v>
      </c>
      <c r="E10" s="308">
        <f t="shared" si="11"/>
        <v>869479</v>
      </c>
      <c r="F10" s="539">
        <v>131674</v>
      </c>
      <c r="G10" s="160">
        <f t="shared" si="1"/>
        <v>358</v>
      </c>
      <c r="H10" s="539">
        <v>432965</v>
      </c>
      <c r="I10" s="161">
        <f t="shared" si="2"/>
        <v>1186</v>
      </c>
      <c r="J10" s="539">
        <v>304840</v>
      </c>
      <c r="K10" s="162">
        <f t="shared" si="3"/>
        <v>864</v>
      </c>
      <c r="L10" s="296">
        <f t="shared" si="4"/>
        <v>75.993366500829183</v>
      </c>
      <c r="M10" s="296">
        <f t="shared" si="5"/>
        <v>88.114096185737978</v>
      </c>
      <c r="N10" s="296">
        <f t="shared" si="6"/>
        <v>45.850746268656714</v>
      </c>
      <c r="O10" s="296">
        <f t="shared" si="7"/>
        <v>171.38907841743662</v>
      </c>
      <c r="P10" s="297">
        <f t="shared" si="9"/>
        <v>381.3472873726605</v>
      </c>
      <c r="Q10" s="297">
        <f>SUM(-tanks!AX12*tanks!$AU$34)</f>
        <v>666.47683064516718</v>
      </c>
      <c r="R10" s="297">
        <f t="shared" si="10"/>
        <v>1047.8241180178277</v>
      </c>
      <c r="S10" s="299">
        <f>SUM(ELEC!N9)</f>
        <v>6551.2000000001863</v>
      </c>
      <c r="T10" s="336">
        <f t="shared" si="12"/>
        <v>0.1599438450997982</v>
      </c>
      <c r="V10" s="571">
        <f>'[2]EDl log'!V27</f>
        <v>393641</v>
      </c>
      <c r="W10" s="571">
        <f>'[2]EDl log'!W27</f>
        <v>425107</v>
      </c>
      <c r="X10" s="571" t="str">
        <f>'[2]EDl log'!X27</f>
        <v>day</v>
      </c>
      <c r="Y10" s="571">
        <f>'[2]EDl log'!Y27</f>
        <v>112</v>
      </c>
      <c r="Z10" s="571">
        <f>'[2]EDl log'!Z27</f>
        <v>1</v>
      </c>
      <c r="AA10" s="600">
        <f>'[2]EDl log'!AA27</f>
        <v>31466</v>
      </c>
      <c r="AB10" s="600">
        <f>'[2]EDl log'!AB27</f>
        <v>3524192</v>
      </c>
      <c r="AC10" s="600">
        <f>'[2]EDl log'!AC27</f>
        <v>6200000</v>
      </c>
      <c r="AD10" s="601">
        <f>'[2]EDl log'!AD27</f>
        <v>0.4429010604693141</v>
      </c>
    </row>
    <row r="11" spans="1:32" ht="15.75" thickBot="1">
      <c r="A11" s="163">
        <f>ELEC!C10</f>
        <v>44235</v>
      </c>
      <c r="B11" s="539">
        <v>871763</v>
      </c>
      <c r="C11" s="264">
        <f t="shared" si="0"/>
        <v>2283</v>
      </c>
      <c r="D11" s="308">
        <f>SUM(G11+I11+K11)</f>
        <v>2293</v>
      </c>
      <c r="E11" s="308">
        <f t="shared" si="11"/>
        <v>871773</v>
      </c>
      <c r="F11" s="539">
        <v>132118</v>
      </c>
      <c r="G11" s="160">
        <f t="shared" si="1"/>
        <v>444</v>
      </c>
      <c r="H11" s="539">
        <v>433933</v>
      </c>
      <c r="I11" s="161">
        <f t="shared" si="2"/>
        <v>968</v>
      </c>
      <c r="J11" s="539">
        <v>305721</v>
      </c>
      <c r="K11" s="162">
        <f t="shared" si="3"/>
        <v>881</v>
      </c>
      <c r="L11" s="296">
        <f t="shared" si="4"/>
        <v>94.24875621890547</v>
      </c>
      <c r="M11" s="296">
        <f t="shared" si="5"/>
        <v>71.917744610281929</v>
      </c>
      <c r="N11" s="296">
        <f t="shared" si="6"/>
        <v>46.752902155887227</v>
      </c>
      <c r="O11" s="296">
        <f t="shared" si="7"/>
        <v>171.38907841743662</v>
      </c>
      <c r="P11" s="297">
        <f t="shared" si="9"/>
        <v>384.30848140251123</v>
      </c>
      <c r="Q11" s="297">
        <f>SUM(-tanks!AX13*tanks!$AU$34)</f>
        <v>412.54913548389482</v>
      </c>
      <c r="R11" s="297">
        <f t="shared" si="10"/>
        <v>796.85761688640605</v>
      </c>
      <c r="S11" s="299">
        <f>SUM(ELEC!N10)</f>
        <v>6289.7999999998137</v>
      </c>
      <c r="T11" s="336">
        <f t="shared" si="12"/>
        <v>0.12669045389144801</v>
      </c>
      <c r="V11" s="571">
        <f>'[2]EDl log'!V28</f>
        <v>115015</v>
      </c>
      <c r="W11" s="571">
        <f>'[2]EDl log'!W28</f>
        <v>128283</v>
      </c>
      <c r="X11" s="571" t="str">
        <f>'[2]EDl log'!X28</f>
        <v>Peak</v>
      </c>
      <c r="Y11" s="571">
        <f>'[2]EDl log'!Y28</f>
        <v>320</v>
      </c>
      <c r="Z11" s="571">
        <f>'[2]EDl log'!Z28</f>
        <v>1</v>
      </c>
      <c r="AA11" s="600">
        <f>'[2]EDl log'!AA28</f>
        <v>13268</v>
      </c>
      <c r="AB11" s="600">
        <f>'[2]EDl log'!AB28</f>
        <v>4245760</v>
      </c>
      <c r="AC11" s="600">
        <f>'[2]EDl log'!AC28</f>
        <v>1000</v>
      </c>
      <c r="AD11" s="601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.75" thickBot="1">
      <c r="A12" s="163">
        <f>ELEC!C11</f>
        <v>44236</v>
      </c>
      <c r="B12" s="539">
        <v>873722</v>
      </c>
      <c r="C12" s="264">
        <f t="shared" si="0"/>
        <v>1959</v>
      </c>
      <c r="D12" s="308">
        <f t="shared" si="8"/>
        <v>1950</v>
      </c>
      <c r="E12" s="308">
        <f t="shared" si="11"/>
        <v>873713</v>
      </c>
      <c r="F12" s="539">
        <v>132337</v>
      </c>
      <c r="G12" s="160">
        <f t="shared" si="1"/>
        <v>219</v>
      </c>
      <c r="H12" s="539">
        <v>434813</v>
      </c>
      <c r="I12" s="161">
        <f t="shared" si="2"/>
        <v>880</v>
      </c>
      <c r="J12" s="539">
        <v>306572</v>
      </c>
      <c r="K12" s="162">
        <f t="shared" si="3"/>
        <v>851</v>
      </c>
      <c r="L12" s="296">
        <f t="shared" si="4"/>
        <v>46.487562189054728</v>
      </c>
      <c r="M12" s="296">
        <f t="shared" si="5"/>
        <v>65.379767827529022</v>
      </c>
      <c r="N12" s="296">
        <f t="shared" si="6"/>
        <v>45.160862354892203</v>
      </c>
      <c r="O12" s="296">
        <f t="shared" si="7"/>
        <v>171.38907841743662</v>
      </c>
      <c r="P12" s="297">
        <f t="shared" si="9"/>
        <v>328.41727078891256</v>
      </c>
      <c r="Q12" s="297">
        <f>SUM(-tanks!AX14*tanks!$AU$34)</f>
        <v>696.71658064514668</v>
      </c>
      <c r="R12" s="297">
        <f t="shared" si="10"/>
        <v>1025.1338514340591</v>
      </c>
      <c r="S12" s="299">
        <f>SUM(ELEC!N11)</f>
        <v>7008</v>
      </c>
      <c r="T12" s="336">
        <f t="shared" si="12"/>
        <v>0.1462805153302025</v>
      </c>
      <c r="V12" s="571"/>
      <c r="W12" s="264"/>
      <c r="X12" s="3"/>
      <c r="Y12" s="264"/>
      <c r="Z12" s="568">
        <f>'[9]EDl log'!Z29</f>
        <v>0</v>
      </c>
      <c r="AA12" s="600">
        <f>'[2]EDl log'!AA29</f>
        <v>71044</v>
      </c>
      <c r="AB12" s="568">
        <f>'[1]EDl log'!AB29</f>
        <v>0</v>
      </c>
      <c r="AC12" s="568">
        <f>'[1]EDl log'!AC29</f>
        <v>0</v>
      </c>
      <c r="AD12" s="568">
        <f>'[1]EDl log'!AD29</f>
        <v>0</v>
      </c>
    </row>
    <row r="13" spans="1:32" ht="15.75" thickBot="1">
      <c r="A13" s="163">
        <f>ELEC!C12</f>
        <v>44237</v>
      </c>
      <c r="B13" s="539">
        <v>875296</v>
      </c>
      <c r="C13" s="264">
        <f t="shared" si="0"/>
        <v>1574</v>
      </c>
      <c r="D13" s="308">
        <f t="shared" si="8"/>
        <v>1573</v>
      </c>
      <c r="E13" s="308">
        <f t="shared" si="11"/>
        <v>875295</v>
      </c>
      <c r="F13" s="539">
        <v>132662</v>
      </c>
      <c r="G13" s="160">
        <f t="shared" si="1"/>
        <v>325</v>
      </c>
      <c r="H13" s="539">
        <v>435479</v>
      </c>
      <c r="I13" s="161">
        <f t="shared" si="2"/>
        <v>666</v>
      </c>
      <c r="J13" s="539">
        <v>307154</v>
      </c>
      <c r="K13" s="162">
        <f t="shared" si="3"/>
        <v>582</v>
      </c>
      <c r="L13" s="296">
        <f t="shared" si="4"/>
        <v>68.988391376451077</v>
      </c>
      <c r="M13" s="296">
        <f t="shared" si="5"/>
        <v>49.480597014925372</v>
      </c>
      <c r="N13" s="296">
        <f t="shared" si="6"/>
        <v>30.885572139303484</v>
      </c>
      <c r="O13" s="296">
        <f t="shared" si="7"/>
        <v>171.38907841743662</v>
      </c>
      <c r="P13" s="297">
        <f t="shared" si="9"/>
        <v>320.74363894811654</v>
      </c>
      <c r="Q13" s="297">
        <f>SUM(-tanks!AX15*tanks!$AU$34)</f>
        <v>1128.0583709677405</v>
      </c>
      <c r="R13" s="297">
        <f t="shared" si="10"/>
        <v>1448.8020099158571</v>
      </c>
      <c r="S13" s="299">
        <f>SUM(ELEC!N12)</f>
        <v>7276</v>
      </c>
      <c r="T13" s="336">
        <f>IF(S13&gt;0,R13/S13,0)</f>
        <v>0.1991206720610029</v>
      </c>
      <c r="V13" s="571" t="str">
        <f>'[7]EDl log'!V30</f>
        <v>Occ %</v>
      </c>
      <c r="W13" s="601">
        <f>'[2]EDl log'!W30</f>
        <v>0</v>
      </c>
      <c r="X13" s="506"/>
      <c r="Y13" s="264" t="str">
        <f>'[4]EDl log'!Y30</f>
        <v>Per G</v>
      </c>
      <c r="Z13" s="3"/>
      <c r="AA13" s="3"/>
      <c r="AB13" s="600">
        <f>'[2]EDl log'!AB30</f>
        <v>9874752</v>
      </c>
      <c r="AC13" s="600">
        <f>'[2]EDl log'!AC30</f>
        <v>7234333</v>
      </c>
    </row>
    <row r="14" spans="1:32" ht="15.75" thickBot="1">
      <c r="A14" s="163">
        <f>ELEC!C13</f>
        <v>44238</v>
      </c>
      <c r="B14" s="539">
        <v>877076</v>
      </c>
      <c r="C14" s="264">
        <f t="shared" si="0"/>
        <v>1780</v>
      </c>
      <c r="D14" s="308">
        <f t="shared" si="8"/>
        <v>1780</v>
      </c>
      <c r="E14" s="308">
        <f t="shared" si="11"/>
        <v>877076</v>
      </c>
      <c r="F14" s="539">
        <v>132888</v>
      </c>
      <c r="G14" s="160">
        <f t="shared" si="1"/>
        <v>226</v>
      </c>
      <c r="H14" s="539">
        <v>436178</v>
      </c>
      <c r="I14" s="161">
        <f t="shared" si="2"/>
        <v>699</v>
      </c>
      <c r="J14" s="539">
        <v>308009</v>
      </c>
      <c r="K14" s="162">
        <f t="shared" ref="K14:K17" si="13">J14-J13</f>
        <v>855</v>
      </c>
      <c r="L14" s="296">
        <f t="shared" ref="L14:L17" si="14">SUM(G14*$Y$28)/1507.5</f>
        <v>47.973466003316751</v>
      </c>
      <c r="M14" s="296">
        <f t="shared" ref="M14:M17" si="15">SUM(I14*$Y$27)/1507.5</f>
        <v>51.932338308457709</v>
      </c>
      <c r="N14" s="296">
        <f t="shared" ref="N14:N17" si="16">SUM(K14*$Y$26)/1507.5</f>
        <v>45.373134328358212</v>
      </c>
      <c r="O14" s="296">
        <f t="shared" si="7"/>
        <v>171.38907841743662</v>
      </c>
      <c r="P14" s="297">
        <f t="shared" ref="P14:P17" si="17">SUM(L14:O14)</f>
        <v>316.66801705756927</v>
      </c>
      <c r="Q14" s="297">
        <f>SUM(-tanks!AX16*tanks!$AU$34)</f>
        <v>900.43222580646409</v>
      </c>
      <c r="R14" s="297">
        <f t="shared" ref="R14:R17" si="18">SUM(P14:Q14)</f>
        <v>1217.1002428640334</v>
      </c>
      <c r="S14" s="299">
        <f>SUM(ELEC!N13)</f>
        <v>7236</v>
      </c>
      <c r="T14" s="336">
        <f t="shared" ref="T14:T17" si="19">IF(S14&gt;0,R14/S14,0)</f>
        <v>0.16820069691321632</v>
      </c>
      <c r="V14" s="571" t="str">
        <f>'[7]EDl log'!V31</f>
        <v>Gen RH</v>
      </c>
      <c r="W14" s="571">
        <f>'[2]EDl log'!W31</f>
        <v>112</v>
      </c>
      <c r="X14" s="569">
        <f>'[1]EDl log'!X31</f>
        <v>3.7419354838709675</v>
      </c>
      <c r="Y14" s="569">
        <f>'[1]EDl log'!Y31</f>
        <v>1.8709677419354838</v>
      </c>
      <c r="Z14" s="264"/>
      <c r="AA14" s="3"/>
      <c r="AB14" s="600">
        <f>'[2]EDl log'!AB31</f>
        <v>17109085</v>
      </c>
      <c r="AC14" s="600">
        <f>'[2]EDl log'!AC31</f>
        <v>7234333</v>
      </c>
    </row>
    <row r="15" spans="1:32" ht="15.75" thickBot="1">
      <c r="A15" s="163">
        <f>ELEC!C14</f>
        <v>44239</v>
      </c>
      <c r="B15" s="539">
        <v>878743</v>
      </c>
      <c r="C15" s="264">
        <f t="shared" si="0"/>
        <v>1667</v>
      </c>
      <c r="D15" s="308">
        <f t="shared" si="8"/>
        <v>1666</v>
      </c>
      <c r="E15" s="308">
        <f t="shared" si="11"/>
        <v>878742</v>
      </c>
      <c r="F15" s="539">
        <v>133233</v>
      </c>
      <c r="G15" s="160">
        <f t="shared" si="1"/>
        <v>345</v>
      </c>
      <c r="H15" s="539">
        <v>436879</v>
      </c>
      <c r="I15" s="161">
        <f t="shared" si="2"/>
        <v>701</v>
      </c>
      <c r="J15" s="539">
        <v>308629</v>
      </c>
      <c r="K15" s="162">
        <f t="shared" si="13"/>
        <v>620</v>
      </c>
      <c r="L15" s="296">
        <f t="shared" si="14"/>
        <v>73.233830845771138</v>
      </c>
      <c r="M15" s="296">
        <f t="shared" si="15"/>
        <v>52.080928689883912</v>
      </c>
      <c r="N15" s="296">
        <f t="shared" si="16"/>
        <v>32.902155887230514</v>
      </c>
      <c r="O15" s="296">
        <f t="shared" si="7"/>
        <v>171.38907841743662</v>
      </c>
      <c r="P15" s="297">
        <f t="shared" si="17"/>
        <v>329.60599384032218</v>
      </c>
      <c r="Q15" s="297">
        <f>SUM(-tanks!AX17*tanks!$AU$34)</f>
        <v>531.67968548387023</v>
      </c>
      <c r="R15" s="297">
        <f t="shared" si="18"/>
        <v>861.28567932419242</v>
      </c>
      <c r="S15" s="299">
        <f>SUM(ELEC!N14)</f>
        <v>5643</v>
      </c>
      <c r="T15" s="336">
        <f t="shared" si="19"/>
        <v>0.15262904117033357</v>
      </c>
      <c r="V15" s="571" t="str">
        <f>'[7]EDl log'!V32</f>
        <v>H Deg</v>
      </c>
      <c r="W15" s="600">
        <f>'[2]EDl log'!W32</f>
        <v>0</v>
      </c>
      <c r="X15" s="544" t="e">
        <f>'[10]EDl log'!X15</f>
        <v>#REF!</v>
      </c>
      <c r="Y15" s="264"/>
      <c r="Z15" s="264"/>
      <c r="AA15" s="3"/>
      <c r="AB15" s="568">
        <f>'[1]EDl log'!AB32</f>
        <v>0</v>
      </c>
      <c r="AC15" s="568">
        <f>'[1]EDl log'!AC32</f>
        <v>0</v>
      </c>
    </row>
    <row r="16" spans="1:32" ht="15.75" thickBot="1">
      <c r="A16" s="163">
        <f>ELEC!C15</f>
        <v>44240</v>
      </c>
      <c r="B16" s="539">
        <v>880551</v>
      </c>
      <c r="C16" s="264">
        <f t="shared" si="0"/>
        <v>1808</v>
      </c>
      <c r="D16" s="308">
        <f t="shared" si="8"/>
        <v>1809</v>
      </c>
      <c r="E16" s="308">
        <f t="shared" si="11"/>
        <v>880552</v>
      </c>
      <c r="F16" s="539">
        <v>133505</v>
      </c>
      <c r="G16" s="160">
        <f t="shared" si="1"/>
        <v>272</v>
      </c>
      <c r="H16" s="539">
        <v>437592</v>
      </c>
      <c r="I16" s="161">
        <f t="shared" si="2"/>
        <v>713</v>
      </c>
      <c r="J16" s="539">
        <v>309453</v>
      </c>
      <c r="K16" s="162">
        <f t="shared" si="13"/>
        <v>824</v>
      </c>
      <c r="L16" s="296">
        <f t="shared" si="14"/>
        <v>57.737976782752902</v>
      </c>
      <c r="M16" s="296">
        <f t="shared" si="15"/>
        <v>52.97247097844113</v>
      </c>
      <c r="N16" s="296">
        <f t="shared" si="16"/>
        <v>43.728026533996683</v>
      </c>
      <c r="O16" s="296">
        <f t="shared" si="7"/>
        <v>171.38907841743662</v>
      </c>
      <c r="P16" s="297">
        <f t="shared" si="17"/>
        <v>325.82755271262732</v>
      </c>
      <c r="Q16" s="297">
        <f>SUM(-tanks!AX18*tanks!$AU$34)</f>
        <v>880.74122580644359</v>
      </c>
      <c r="R16" s="297">
        <f t="shared" si="18"/>
        <v>1206.568778519071</v>
      </c>
      <c r="S16" s="299">
        <f>SUM(ELEC!N15)</f>
        <v>6507</v>
      </c>
      <c r="T16" s="336">
        <f t="shared" si="19"/>
        <v>0.18542627609022144</v>
      </c>
      <c r="V16" s="571" t="str">
        <f>'[7]EDl log'!V33</f>
        <v>C Deg</v>
      </c>
      <c r="W16" s="600">
        <f>'[2]EDl log'!W33</f>
        <v>0</v>
      </c>
      <c r="X16" s="544">
        <f>'[10]EDl log'!X16</f>
        <v>0</v>
      </c>
      <c r="Y16" s="544" t="e">
        <f>'[7]EDl log'!Y33</f>
        <v>#REF!</v>
      </c>
      <c r="Z16" s="3"/>
      <c r="AA16" s="3"/>
      <c r="AB16" s="568">
        <f>'[1]EDl log'!AB33</f>
        <v>0</v>
      </c>
      <c r="AC16" s="568">
        <f>'[1]EDl log'!AC33</f>
        <v>0</v>
      </c>
    </row>
    <row r="17" spans="1:32" ht="15.75" thickBot="1">
      <c r="A17" s="163">
        <f>ELEC!C16</f>
        <v>44241</v>
      </c>
      <c r="B17" s="539">
        <v>882600</v>
      </c>
      <c r="C17" s="264">
        <f t="shared" si="0"/>
        <v>2049</v>
      </c>
      <c r="D17" s="308">
        <f t="shared" si="8"/>
        <v>2049</v>
      </c>
      <c r="E17" s="308">
        <f t="shared" si="11"/>
        <v>882600</v>
      </c>
      <c r="F17" s="539">
        <v>133795</v>
      </c>
      <c r="G17" s="160">
        <f t="shared" si="1"/>
        <v>290</v>
      </c>
      <c r="H17" s="539">
        <v>438400</v>
      </c>
      <c r="I17" s="161">
        <f t="shared" si="2"/>
        <v>808</v>
      </c>
      <c r="J17" s="539">
        <v>310404</v>
      </c>
      <c r="K17" s="162">
        <f t="shared" si="13"/>
        <v>951</v>
      </c>
      <c r="L17" s="296">
        <f t="shared" si="14"/>
        <v>61.558872305140959</v>
      </c>
      <c r="M17" s="296">
        <f t="shared" si="15"/>
        <v>60.03051409618574</v>
      </c>
      <c r="N17" s="296">
        <f t="shared" si="16"/>
        <v>50.46766169154229</v>
      </c>
      <c r="O17" s="296">
        <f t="shared" si="7"/>
        <v>171.38907841743662</v>
      </c>
      <c r="P17" s="297">
        <f t="shared" si="17"/>
        <v>343.44612651030559</v>
      </c>
      <c r="Q17" s="297">
        <f>SUM(-tanks!AX19*tanks!$AU$34)</f>
        <v>1007.8026209677507</v>
      </c>
      <c r="R17" s="297">
        <f t="shared" si="18"/>
        <v>1351.2487474780564</v>
      </c>
      <c r="S17" s="299">
        <f>SUM(ELEC!N16)</f>
        <v>7439</v>
      </c>
      <c r="T17" s="336">
        <f t="shared" si="19"/>
        <v>0.18164386980482006</v>
      </c>
      <c r="V17" s="253"/>
      <c r="W17" s="506"/>
      <c r="X17" s="17"/>
      <c r="Y17" s="430"/>
      <c r="Z17" s="506" t="s">
        <v>416</v>
      </c>
      <c r="AA17" s="602">
        <f>'[2]EDl log'!AA34</f>
        <v>0.11</v>
      </c>
      <c r="AB17" s="600">
        <f>'[2]EDl log'!AB34</f>
        <v>1881999.35</v>
      </c>
      <c r="AC17" s="568">
        <f>'[1]EDl log'!AC34</f>
        <v>0</v>
      </c>
    </row>
    <row r="18" spans="1:32" ht="15.75" thickBot="1">
      <c r="A18" s="163">
        <f>ELEC!C17</f>
        <v>44242</v>
      </c>
      <c r="B18" s="539">
        <v>884518</v>
      </c>
      <c r="C18" s="264">
        <f t="shared" si="0"/>
        <v>1918</v>
      </c>
      <c r="D18" s="308">
        <f t="shared" si="8"/>
        <v>1918</v>
      </c>
      <c r="E18" s="308">
        <f t="shared" si="11"/>
        <v>884518</v>
      </c>
      <c r="F18" s="539">
        <v>134020</v>
      </c>
      <c r="G18" s="160">
        <f t="shared" si="1"/>
        <v>225</v>
      </c>
      <c r="H18" s="539">
        <v>439134</v>
      </c>
      <c r="I18" s="161">
        <f t="shared" si="2"/>
        <v>734</v>
      </c>
      <c r="J18" s="539">
        <v>311363</v>
      </c>
      <c r="K18" s="162">
        <f t="shared" si="3"/>
        <v>959</v>
      </c>
      <c r="L18" s="296">
        <f t="shared" ref="L18:L31" si="20">SUM(G18*$Y$28)/1507.5</f>
        <v>47.761194029850749</v>
      </c>
      <c r="M18" s="296">
        <f t="shared" ref="M18:M31" si="21">SUM(I18*$Y$27)/1507.5</f>
        <v>54.532669983416255</v>
      </c>
      <c r="N18" s="296">
        <f t="shared" ref="N18:N31" si="22">SUM(K18*$Y$26)/1507.5</f>
        <v>50.892205638474294</v>
      </c>
      <c r="O18" s="296">
        <f t="shared" si="7"/>
        <v>171.38907841743662</v>
      </c>
      <c r="P18" s="297">
        <f t="shared" si="9"/>
        <v>324.57514806917794</v>
      </c>
      <c r="Q18" s="297">
        <f>SUM(-tanks!AX20*tanks!$AU$34)</f>
        <v>759.3058306451569</v>
      </c>
      <c r="R18" s="297">
        <f t="shared" si="10"/>
        <v>1083.8809787143348</v>
      </c>
      <c r="S18" s="299">
        <f>SUM(ELEC!N17)</f>
        <v>7469</v>
      </c>
      <c r="T18" s="336">
        <f t="shared" si="12"/>
        <v>0.14511728192721043</v>
      </c>
      <c r="V18" s="228"/>
      <c r="W18" s="229"/>
      <c r="X18" s="229"/>
      <c r="Y18" s="430"/>
      <c r="Z18" s="506"/>
      <c r="AA18" s="602"/>
      <c r="AB18" s="600">
        <f>'[2]EDl log'!AB35</f>
        <v>18991084.350000001</v>
      </c>
      <c r="AC18" s="568">
        <f>'[1]EDl log'!AC35</f>
        <v>0</v>
      </c>
    </row>
    <row r="19" spans="1:32" ht="15.75" thickBot="1">
      <c r="A19" s="163">
        <f>ELEC!C18</f>
        <v>44243</v>
      </c>
      <c r="B19" s="539">
        <v>886485</v>
      </c>
      <c r="C19" s="264">
        <f t="shared" si="0"/>
        <v>1967</v>
      </c>
      <c r="D19" s="308">
        <f t="shared" si="8"/>
        <v>1968</v>
      </c>
      <c r="E19" s="308">
        <f t="shared" si="11"/>
        <v>886486</v>
      </c>
      <c r="F19" s="539">
        <v>134501</v>
      </c>
      <c r="G19" s="160">
        <f t="shared" si="1"/>
        <v>481</v>
      </c>
      <c r="H19" s="539">
        <v>439964</v>
      </c>
      <c r="I19" s="161">
        <f t="shared" si="2"/>
        <v>830</v>
      </c>
      <c r="J19" s="539">
        <v>312020</v>
      </c>
      <c r="K19" s="162">
        <f t="shared" si="3"/>
        <v>657</v>
      </c>
      <c r="L19" s="296">
        <f t="shared" si="20"/>
        <v>102.1028192371476</v>
      </c>
      <c r="M19" s="296">
        <f t="shared" si="21"/>
        <v>61.665008291873967</v>
      </c>
      <c r="N19" s="296">
        <f t="shared" si="22"/>
        <v>34.865671641791046</v>
      </c>
      <c r="O19" s="296">
        <f t="shared" si="7"/>
        <v>171.38907841743662</v>
      </c>
      <c r="P19" s="297">
        <f t="shared" si="9"/>
        <v>370.02257758824919</v>
      </c>
      <c r="Q19" s="297">
        <f>SUM(-tanks!AX21*tanks!$AU$34)</f>
        <v>-491.11804032257334</v>
      </c>
      <c r="R19" s="297">
        <f t="shared" si="10"/>
        <v>-121.09546273432414</v>
      </c>
      <c r="S19" s="299">
        <f>SUM(ELEC!N18)</f>
        <v>5934</v>
      </c>
      <c r="T19" s="336">
        <f t="shared" si="12"/>
        <v>-2.0407054724355264E-2</v>
      </c>
      <c r="V19" s="228"/>
      <c r="W19" s="229"/>
      <c r="X19" s="229"/>
      <c r="Y19" s="572"/>
      <c r="Z19" s="572"/>
      <c r="AA19" s="602"/>
      <c r="AB19" s="600">
        <f>'[2]EDl log'!AB36</f>
        <v>11349.310116086235</v>
      </c>
      <c r="AC19" s="568">
        <f>'[1]EDl log'!AC36</f>
        <v>0</v>
      </c>
    </row>
    <row r="20" spans="1:32" ht="15.75" thickBot="1">
      <c r="A20" s="163">
        <f>ELEC!C19</f>
        <v>44244</v>
      </c>
      <c r="B20" s="539">
        <v>888071</v>
      </c>
      <c r="C20" s="264">
        <f t="shared" si="0"/>
        <v>1586</v>
      </c>
      <c r="D20" s="308">
        <f t="shared" si="8"/>
        <v>1584</v>
      </c>
      <c r="E20" s="308">
        <f t="shared" si="11"/>
        <v>888069</v>
      </c>
      <c r="F20" s="539">
        <v>134501</v>
      </c>
      <c r="G20" s="160">
        <f t="shared" si="1"/>
        <v>0</v>
      </c>
      <c r="H20" s="539">
        <v>440703</v>
      </c>
      <c r="I20" s="161">
        <f t="shared" si="2"/>
        <v>739</v>
      </c>
      <c r="J20" s="539">
        <v>312865</v>
      </c>
      <c r="K20" s="162">
        <f t="shared" si="3"/>
        <v>845</v>
      </c>
      <c r="L20" s="296">
        <f t="shared" si="20"/>
        <v>0</v>
      </c>
      <c r="M20" s="296">
        <f t="shared" si="21"/>
        <v>54.904145936981756</v>
      </c>
      <c r="N20" s="296">
        <f t="shared" si="22"/>
        <v>44.842454394693199</v>
      </c>
      <c r="O20" s="296">
        <f t="shared" si="7"/>
        <v>171.38907841743662</v>
      </c>
      <c r="P20" s="297">
        <f t="shared" si="9"/>
        <v>271.13567874911155</v>
      </c>
      <c r="Q20" s="297">
        <f>SUM(-tanks!AX22*tanks!$AU$34)</f>
        <v>1257.932766129017</v>
      </c>
      <c r="R20" s="297">
        <f t="shared" si="10"/>
        <v>1529.0684448781285</v>
      </c>
      <c r="S20" s="299">
        <f>SUM(ELEC!N19)</f>
        <v>7520</v>
      </c>
      <c r="T20" s="336">
        <f t="shared" si="12"/>
        <v>0.20333356979762346</v>
      </c>
      <c r="V20" t="s">
        <v>412</v>
      </c>
      <c r="AB20" s="570"/>
    </row>
    <row r="21" spans="1:32" ht="15.75" thickBot="1">
      <c r="A21" s="163">
        <f>ELEC!C20</f>
        <v>44245</v>
      </c>
      <c r="B21" s="539">
        <v>889671</v>
      </c>
      <c r="C21" s="264">
        <f t="shared" si="0"/>
        <v>1600</v>
      </c>
      <c r="D21" s="308">
        <f t="shared" si="8"/>
        <v>1601</v>
      </c>
      <c r="E21" s="308">
        <f t="shared" si="11"/>
        <v>889672</v>
      </c>
      <c r="F21" s="539">
        <v>134658</v>
      </c>
      <c r="G21" s="160">
        <f t="shared" si="1"/>
        <v>157</v>
      </c>
      <c r="H21" s="539">
        <v>441427</v>
      </c>
      <c r="I21" s="161">
        <f t="shared" si="2"/>
        <v>724</v>
      </c>
      <c r="J21" s="539">
        <v>313585</v>
      </c>
      <c r="K21" s="162">
        <f t="shared" si="3"/>
        <v>720</v>
      </c>
      <c r="L21" s="296">
        <f t="shared" si="20"/>
        <v>33.326699834162518</v>
      </c>
      <c r="M21" s="296">
        <f t="shared" si="21"/>
        <v>53.78971807628524</v>
      </c>
      <c r="N21" s="296">
        <f t="shared" si="22"/>
        <v>38.208955223880594</v>
      </c>
      <c r="O21" s="296">
        <f t="shared" si="7"/>
        <v>171.38907841743662</v>
      </c>
      <c r="P21" s="297">
        <f t="shared" si="9"/>
        <v>296.71445155176497</v>
      </c>
      <c r="Q21" s="297">
        <f>SUM(-tanks!AX23*tanks!$AU$34)</f>
        <v>859.71405080646821</v>
      </c>
      <c r="R21" s="297">
        <f t="shared" si="10"/>
        <v>1156.4285023582331</v>
      </c>
      <c r="S21" s="299">
        <f>SUM(ELEC!N20)</f>
        <v>7192</v>
      </c>
      <c r="T21" s="336">
        <f t="shared" si="12"/>
        <v>0.16079372947138948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58"/>
      <c r="AC21" s="659"/>
    </row>
    <row r="22" spans="1:32" ht="15.75" thickBot="1">
      <c r="A22" s="163">
        <f>ELEC!C21</f>
        <v>44246</v>
      </c>
      <c r="B22" s="539">
        <v>891280</v>
      </c>
      <c r="C22" s="264">
        <f t="shared" si="0"/>
        <v>1609</v>
      </c>
      <c r="D22" s="308">
        <f t="shared" si="8"/>
        <v>1609</v>
      </c>
      <c r="E22" s="308">
        <f t="shared" si="11"/>
        <v>891280</v>
      </c>
      <c r="F22" s="539">
        <v>134892</v>
      </c>
      <c r="G22" s="160">
        <f t="shared" si="1"/>
        <v>234</v>
      </c>
      <c r="H22" s="539">
        <v>442048</v>
      </c>
      <c r="I22" s="161">
        <f t="shared" si="2"/>
        <v>621</v>
      </c>
      <c r="J22" s="539">
        <v>314339</v>
      </c>
      <c r="K22" s="162">
        <f t="shared" si="3"/>
        <v>754</v>
      </c>
      <c r="L22" s="296">
        <f t="shared" si="20"/>
        <v>49.671641791044777</v>
      </c>
      <c r="M22" s="296">
        <f t="shared" si="21"/>
        <v>46.137313432835818</v>
      </c>
      <c r="N22" s="296">
        <f t="shared" si="22"/>
        <v>40.013266998341628</v>
      </c>
      <c r="O22" s="296">
        <f t="shared" si="7"/>
        <v>171.38907841743662</v>
      </c>
      <c r="P22" s="297">
        <f t="shared" si="9"/>
        <v>307.21130063965882</v>
      </c>
      <c r="Q22" s="297">
        <f>SUM(-tanks!AX24*tanks!$AU$34)</f>
        <v>1085.1601209677406</v>
      </c>
      <c r="R22" s="297">
        <f t="shared" si="10"/>
        <v>1392.3714216073995</v>
      </c>
      <c r="S22" s="299">
        <f>SUM(ELEC!N21)</f>
        <v>7667</v>
      </c>
      <c r="T22" s="336">
        <f t="shared" si="12"/>
        <v>0.1816057677849745</v>
      </c>
      <c r="V22" s="664"/>
      <c r="W22" s="665"/>
      <c r="X22" s="665"/>
      <c r="Y22" s="666"/>
      <c r="Z22" s="26" t="s">
        <v>203</v>
      </c>
      <c r="AA22" s="26">
        <v>5000</v>
      </c>
      <c r="AB22" s="660"/>
      <c r="AC22" s="661"/>
    </row>
    <row r="23" spans="1:32" ht="15.75" thickBot="1">
      <c r="A23" s="163">
        <f>ELEC!C22</f>
        <v>44247</v>
      </c>
      <c r="B23" s="539">
        <v>893238</v>
      </c>
      <c r="C23" s="264">
        <f t="shared" si="0"/>
        <v>1958</v>
      </c>
      <c r="D23" s="308">
        <f t="shared" si="8"/>
        <v>1958</v>
      </c>
      <c r="E23" s="308">
        <f t="shared" si="11"/>
        <v>893238</v>
      </c>
      <c r="F23" s="539">
        <v>135164</v>
      </c>
      <c r="G23" s="160">
        <f t="shared" si="1"/>
        <v>272</v>
      </c>
      <c r="H23" s="539">
        <v>442739</v>
      </c>
      <c r="I23" s="161">
        <f t="shared" si="2"/>
        <v>691</v>
      </c>
      <c r="J23" s="539">
        <v>315334</v>
      </c>
      <c r="K23" s="162">
        <f t="shared" si="3"/>
        <v>995</v>
      </c>
      <c r="L23" s="296">
        <f t="shared" si="20"/>
        <v>57.737976782752902</v>
      </c>
      <c r="M23" s="296">
        <f t="shared" si="21"/>
        <v>51.337976782752904</v>
      </c>
      <c r="N23" s="296">
        <f t="shared" si="22"/>
        <v>52.802653399668323</v>
      </c>
      <c r="O23" s="296">
        <f t="shared" si="7"/>
        <v>171.38907841743662</v>
      </c>
      <c r="P23" s="297">
        <f t="shared" si="9"/>
        <v>333.26768538261075</v>
      </c>
      <c r="Q23" s="297">
        <f>SUM(-tanks!AX25*tanks!$AU$34)</f>
        <v>1094.30237096772</v>
      </c>
      <c r="R23" s="297">
        <f t="shared" si="10"/>
        <v>1427.5700563503308</v>
      </c>
      <c r="S23" s="299">
        <f>SUM(ELEC!N22)</f>
        <v>6433</v>
      </c>
      <c r="T23" s="336">
        <f t="shared" si="12"/>
        <v>0.22191357941090173</v>
      </c>
      <c r="V23" s="667"/>
      <c r="W23" s="668"/>
      <c r="X23" s="668"/>
      <c r="Y23" s="669"/>
      <c r="Z23" s="670"/>
      <c r="AA23" s="671"/>
      <c r="AB23" s="660"/>
      <c r="AC23" s="661"/>
    </row>
    <row r="24" spans="1:32" ht="15" customHeight="1" thickBot="1">
      <c r="A24" s="163">
        <f>ELEC!C23</f>
        <v>44248</v>
      </c>
      <c r="B24" s="539">
        <v>894909</v>
      </c>
      <c r="C24" s="264">
        <f t="shared" si="0"/>
        <v>1671</v>
      </c>
      <c r="D24" s="308">
        <f t="shared" si="8"/>
        <v>1671</v>
      </c>
      <c r="E24" s="308">
        <f t="shared" si="11"/>
        <v>894909</v>
      </c>
      <c r="F24" s="539">
        <v>135457</v>
      </c>
      <c r="G24" s="160">
        <f t="shared" si="1"/>
        <v>293</v>
      </c>
      <c r="H24" s="539">
        <v>443416</v>
      </c>
      <c r="I24" s="161">
        <f t="shared" si="2"/>
        <v>677</v>
      </c>
      <c r="J24" s="539">
        <v>316035</v>
      </c>
      <c r="K24" s="162">
        <f t="shared" si="3"/>
        <v>701</v>
      </c>
      <c r="L24" s="296">
        <f t="shared" si="20"/>
        <v>62.195688225538973</v>
      </c>
      <c r="M24" s="296">
        <f t="shared" si="21"/>
        <v>50.297844112769489</v>
      </c>
      <c r="N24" s="296">
        <f t="shared" si="22"/>
        <v>37.200663349917079</v>
      </c>
      <c r="O24" s="296">
        <f t="shared" si="7"/>
        <v>171.38907841743662</v>
      </c>
      <c r="P24" s="297">
        <f t="shared" si="9"/>
        <v>321.08327410566216</v>
      </c>
      <c r="Q24" s="297">
        <f>SUM(-tanks!AX26*tanks!$AU$34)</f>
        <v>674.91583064516715</v>
      </c>
      <c r="R24" s="297">
        <f t="shared" si="10"/>
        <v>995.99910475082925</v>
      </c>
      <c r="S24" s="299">
        <f>SUM(ELEC!N23)</f>
        <v>6161</v>
      </c>
      <c r="T24" s="336">
        <f t="shared" si="12"/>
        <v>0.16166192253706041</v>
      </c>
      <c r="V24" s="672" t="s">
        <v>204</v>
      </c>
      <c r="W24" s="673"/>
      <c r="X24" s="674" t="s">
        <v>205</v>
      </c>
      <c r="Y24" s="675"/>
      <c r="Z24" s="676"/>
      <c r="AA24" s="170"/>
      <c r="AB24" s="662"/>
      <c r="AC24" s="663"/>
    </row>
    <row r="25" spans="1:32" ht="17.25" customHeight="1" thickBot="1">
      <c r="A25" s="163">
        <f>ELEC!C24</f>
        <v>44249</v>
      </c>
      <c r="B25" s="539">
        <v>896939</v>
      </c>
      <c r="C25" s="264">
        <f t="shared" si="0"/>
        <v>2030</v>
      </c>
      <c r="D25" s="308">
        <f t="shared" si="8"/>
        <v>2029</v>
      </c>
      <c r="E25" s="308">
        <f t="shared" si="11"/>
        <v>896938</v>
      </c>
      <c r="F25" s="539">
        <v>135957</v>
      </c>
      <c r="G25" s="160">
        <f t="shared" si="1"/>
        <v>500</v>
      </c>
      <c r="H25" s="539">
        <v>444144</v>
      </c>
      <c r="I25" s="161">
        <f t="shared" si="2"/>
        <v>728</v>
      </c>
      <c r="J25" s="539">
        <v>316836</v>
      </c>
      <c r="K25" s="162">
        <f t="shared" si="3"/>
        <v>801</v>
      </c>
      <c r="L25" s="296">
        <f t="shared" si="20"/>
        <v>106.13598673300166</v>
      </c>
      <c r="M25" s="296">
        <f t="shared" si="21"/>
        <v>54.086898839137646</v>
      </c>
      <c r="N25" s="296">
        <f t="shared" si="22"/>
        <v>42.507462686567166</v>
      </c>
      <c r="O25" s="296">
        <f t="shared" si="7"/>
        <v>171.38907841743662</v>
      </c>
      <c r="P25" s="297">
        <f t="shared" si="9"/>
        <v>374.11942667614312</v>
      </c>
      <c r="Q25" s="297">
        <f>SUM(-tanks!AX27*tanks!$AU$34)</f>
        <v>-101.90319354837884</v>
      </c>
      <c r="R25" s="297">
        <f t="shared" si="10"/>
        <v>272.21623312776427</v>
      </c>
      <c r="S25" s="299">
        <f>SUM(ELEC!N24)</f>
        <v>6895</v>
      </c>
      <c r="T25" s="336">
        <f t="shared" si="12"/>
        <v>3.9480236856818604E-2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44250</v>
      </c>
      <c r="B26" s="539">
        <v>898616</v>
      </c>
      <c r="C26" s="264">
        <f t="shared" si="0"/>
        <v>1677</v>
      </c>
      <c r="D26" s="308">
        <f t="shared" si="8"/>
        <v>1677</v>
      </c>
      <c r="E26" s="308">
        <f t="shared" si="11"/>
        <v>898616</v>
      </c>
      <c r="F26" s="539">
        <v>136260</v>
      </c>
      <c r="G26" s="160">
        <f t="shared" si="1"/>
        <v>303</v>
      </c>
      <c r="H26" s="539">
        <v>444766</v>
      </c>
      <c r="I26" s="161">
        <f t="shared" si="2"/>
        <v>622</v>
      </c>
      <c r="J26" s="539">
        <v>317588</v>
      </c>
      <c r="K26" s="162">
        <f t="shared" si="3"/>
        <v>752</v>
      </c>
      <c r="L26" s="296">
        <f t="shared" si="20"/>
        <v>64.318407960199011</v>
      </c>
      <c r="M26" s="296">
        <f t="shared" si="21"/>
        <v>46.211608623548919</v>
      </c>
      <c r="N26" s="296">
        <f t="shared" si="22"/>
        <v>39.907131011608627</v>
      </c>
      <c r="O26" s="296">
        <f t="shared" si="7"/>
        <v>171.38907841743662</v>
      </c>
      <c r="P26" s="297">
        <f t="shared" si="9"/>
        <v>321.8262260127932</v>
      </c>
      <c r="Q26" s="297">
        <f>SUM(-tanks!AX28*tanks!$AU$34)</f>
        <v>1236.2726661290455</v>
      </c>
      <c r="R26" s="297">
        <f t="shared" si="10"/>
        <v>1558.0988921418389</v>
      </c>
      <c r="S26" s="299">
        <f>SUM(ELEC!N25)</f>
        <v>7942</v>
      </c>
      <c r="T26" s="336">
        <f t="shared" si="12"/>
        <v>0.19618470059705853</v>
      </c>
      <c r="V26" s="254">
        <f>W9</f>
        <v>297890</v>
      </c>
      <c r="W26" s="170">
        <f>J31</f>
        <v>321050</v>
      </c>
      <c r="X26" s="172" t="s">
        <v>199</v>
      </c>
      <c r="Y26" s="172">
        <v>80</v>
      </c>
      <c r="Z26" s="172">
        <v>1</v>
      </c>
      <c r="AA26" s="338">
        <f>(W26-V26)*Z26</f>
        <v>23160</v>
      </c>
      <c r="AB26" s="338">
        <f>AA26*Y26</f>
        <v>1852800</v>
      </c>
      <c r="AC26" s="249">
        <f>AC9</f>
        <v>1033333</v>
      </c>
      <c r="AD26" s="212">
        <f>SUM(K33)</f>
        <v>0.43221296152048605</v>
      </c>
    </row>
    <row r="27" spans="1:32" ht="15.75" thickBot="1">
      <c r="A27" s="163">
        <f>ELEC!C26</f>
        <v>44251</v>
      </c>
      <c r="B27" s="539">
        <v>900021</v>
      </c>
      <c r="C27" s="264">
        <f t="shared" si="0"/>
        <v>1405</v>
      </c>
      <c r="D27" s="308">
        <f t="shared" si="8"/>
        <v>1408</v>
      </c>
      <c r="E27" s="308">
        <f t="shared" si="11"/>
        <v>900024</v>
      </c>
      <c r="F27" s="539">
        <v>136426</v>
      </c>
      <c r="G27" s="160">
        <f t="shared" si="1"/>
        <v>166</v>
      </c>
      <c r="H27" s="539">
        <v>445278</v>
      </c>
      <c r="I27" s="161">
        <f t="shared" si="2"/>
        <v>512</v>
      </c>
      <c r="J27" s="539">
        <v>318318</v>
      </c>
      <c r="K27" s="162">
        <f t="shared" si="3"/>
        <v>730</v>
      </c>
      <c r="L27" s="296">
        <f t="shared" si="20"/>
        <v>35.237147595356554</v>
      </c>
      <c r="M27" s="296">
        <f t="shared" si="21"/>
        <v>38.039137645107793</v>
      </c>
      <c r="N27" s="296">
        <f t="shared" si="22"/>
        <v>38.739635157545607</v>
      </c>
      <c r="O27" s="296">
        <f t="shared" si="7"/>
        <v>171.38907841743662</v>
      </c>
      <c r="P27" s="297">
        <f t="shared" si="9"/>
        <v>283.40499881544656</v>
      </c>
      <c r="Q27" s="297">
        <f>SUM(-tanks!AX29*tanks!$AU$34)</f>
        <v>1221.1369112903242</v>
      </c>
      <c r="R27" s="297">
        <f t="shared" si="10"/>
        <v>1504.5419101057707</v>
      </c>
      <c r="S27" s="299">
        <f>SUM(ELEC!N26)</f>
        <v>8471</v>
      </c>
      <c r="T27" s="336">
        <f t="shared" si="12"/>
        <v>0.1776108971910956</v>
      </c>
      <c r="V27" s="254">
        <f t="shared" ref="V27:V28" si="23">W10</f>
        <v>425107</v>
      </c>
      <c r="W27" s="170">
        <f>H31</f>
        <v>446820</v>
      </c>
      <c r="X27" s="172" t="s">
        <v>213</v>
      </c>
      <c r="Y27" s="172">
        <v>112</v>
      </c>
      <c r="Z27" s="172">
        <v>1</v>
      </c>
      <c r="AA27" s="338">
        <f>(W27-V27)*Z27</f>
        <v>21713</v>
      </c>
      <c r="AB27" s="338">
        <f>SUM(AA27*Y27)</f>
        <v>2431856</v>
      </c>
      <c r="AC27" s="249">
        <f>AC10</f>
        <v>6200000</v>
      </c>
      <c r="AD27" s="212">
        <f>SUM(I33)</f>
        <v>0.40461909954821623</v>
      </c>
    </row>
    <row r="28" spans="1:32" ht="15.75" thickBot="1">
      <c r="A28" s="163">
        <f>ELEC!C27</f>
        <v>44252</v>
      </c>
      <c r="B28" s="539">
        <v>901718</v>
      </c>
      <c r="C28" s="264">
        <f t="shared" si="0"/>
        <v>1697</v>
      </c>
      <c r="D28" s="308">
        <f t="shared" si="8"/>
        <v>1695</v>
      </c>
      <c r="E28" s="308">
        <f t="shared" si="11"/>
        <v>901716</v>
      </c>
      <c r="F28" s="539">
        <v>136756</v>
      </c>
      <c r="G28" s="160">
        <f t="shared" si="1"/>
        <v>330</v>
      </c>
      <c r="H28" s="539">
        <v>445815</v>
      </c>
      <c r="I28" s="161">
        <f t="shared" si="2"/>
        <v>537</v>
      </c>
      <c r="J28" s="539">
        <v>319146</v>
      </c>
      <c r="K28" s="162">
        <f t="shared" si="3"/>
        <v>828</v>
      </c>
      <c r="L28" s="296">
        <f t="shared" si="20"/>
        <v>70.049751243781088</v>
      </c>
      <c r="M28" s="296">
        <f t="shared" si="21"/>
        <v>39.896517412935324</v>
      </c>
      <c r="N28" s="296">
        <f t="shared" si="22"/>
        <v>43.940298507462686</v>
      </c>
      <c r="O28" s="296">
        <f t="shared" si="7"/>
        <v>171.38907841743662</v>
      </c>
      <c r="P28" s="297">
        <f t="shared" si="9"/>
        <v>325.27564558161572</v>
      </c>
      <c r="Q28" s="297">
        <f>SUM(-tanks!AX30*tanks!$AU$34)</f>
        <v>1691.838016129017</v>
      </c>
      <c r="R28" s="297">
        <f t="shared" si="10"/>
        <v>2017.1136617106326</v>
      </c>
      <c r="S28" s="299">
        <f>SUM(ELEC!N27)</f>
        <v>8788</v>
      </c>
      <c r="T28" s="336">
        <f t="shared" si="12"/>
        <v>0.22953045763662183</v>
      </c>
      <c r="V28" s="254">
        <f t="shared" si="23"/>
        <v>128283</v>
      </c>
      <c r="W28" s="170">
        <f>F31</f>
        <v>137108</v>
      </c>
      <c r="X28" s="172" t="s">
        <v>197</v>
      </c>
      <c r="Y28" s="172">
        <v>320</v>
      </c>
      <c r="Z28" s="172">
        <v>1</v>
      </c>
      <c r="AA28" s="338">
        <f>(W28-V28)*Z28</f>
        <v>8825</v>
      </c>
      <c r="AB28" s="338">
        <f>SUM(AA28*Y28)</f>
        <v>2824000</v>
      </c>
      <c r="AC28" s="249">
        <f>AC11</f>
        <v>1000</v>
      </c>
      <c r="AD28" s="212">
        <f>SUM(G33)</f>
        <v>0.16316793893129772</v>
      </c>
      <c r="AE28" s="40">
        <f>SUM(AB28*5%)</f>
        <v>141200</v>
      </c>
      <c r="AF28" s="82">
        <f>SUM(AE28/7)*31</f>
        <v>625314.2857142858</v>
      </c>
    </row>
    <row r="29" spans="1:32" ht="15.75" thickBot="1">
      <c r="A29" s="163">
        <f>ELEC!C28</f>
        <v>44253</v>
      </c>
      <c r="B29" s="539">
        <v>902788</v>
      </c>
      <c r="C29" s="264">
        <f t="shared" si="0"/>
        <v>1070</v>
      </c>
      <c r="D29" s="308">
        <f t="shared" si="8"/>
        <v>1071</v>
      </c>
      <c r="E29" s="308">
        <f t="shared" si="11"/>
        <v>902789</v>
      </c>
      <c r="F29" s="539">
        <v>136961</v>
      </c>
      <c r="G29" s="160">
        <f t="shared" si="1"/>
        <v>205</v>
      </c>
      <c r="H29" s="539">
        <v>446024</v>
      </c>
      <c r="I29" s="161">
        <f t="shared" si="2"/>
        <v>209</v>
      </c>
      <c r="J29" s="539">
        <v>319803</v>
      </c>
      <c r="K29" s="162">
        <f t="shared" si="3"/>
        <v>657</v>
      </c>
      <c r="L29" s="296">
        <f t="shared" si="20"/>
        <v>43.515754560530681</v>
      </c>
      <c r="M29" s="296">
        <f t="shared" si="21"/>
        <v>15.527694859038142</v>
      </c>
      <c r="N29" s="296">
        <f t="shared" si="22"/>
        <v>34.865671641791046</v>
      </c>
      <c r="O29" s="296">
        <f t="shared" si="7"/>
        <v>171.38907841743662</v>
      </c>
      <c r="P29" s="297">
        <f t="shared" si="9"/>
        <v>265.2981994787965</v>
      </c>
      <c r="Q29" s="297">
        <f>SUM(-tanks!AX31*tanks!$AU$34)</f>
        <v>1003.8326612903344</v>
      </c>
      <c r="R29" s="297">
        <f t="shared" si="10"/>
        <v>1269.1308607691308</v>
      </c>
      <c r="S29" s="299">
        <f>SUM(ELEC!N28)</f>
        <v>9599</v>
      </c>
      <c r="T29" s="336">
        <f t="shared" si="12"/>
        <v>0.13221490371592154</v>
      </c>
      <c r="V29" s="213"/>
      <c r="W29" s="214"/>
      <c r="X29" s="214"/>
      <c r="Y29" s="215"/>
      <c r="Z29" s="3"/>
      <c r="AA29" s="338">
        <f>SUM(AA26:AA28)</f>
        <v>53698</v>
      </c>
      <c r="AB29" s="338"/>
      <c r="AC29" s="249"/>
    </row>
    <row r="30" spans="1:32" ht="14.25" customHeight="1" thickBot="1">
      <c r="A30" s="163">
        <f>ELEC!C29</f>
        <v>44254</v>
      </c>
      <c r="B30" s="539">
        <v>903794</v>
      </c>
      <c r="C30" s="264">
        <f t="shared" si="0"/>
        <v>1006</v>
      </c>
      <c r="D30" s="308">
        <f t="shared" si="8"/>
        <v>1005</v>
      </c>
      <c r="E30" s="308">
        <f t="shared" si="11"/>
        <v>903793</v>
      </c>
      <c r="F30" s="539">
        <v>137107</v>
      </c>
      <c r="G30" s="160">
        <f t="shared" si="1"/>
        <v>146</v>
      </c>
      <c r="H30" s="539">
        <v>446381</v>
      </c>
      <c r="I30" s="161">
        <f t="shared" si="2"/>
        <v>357</v>
      </c>
      <c r="J30" s="539">
        <v>320305</v>
      </c>
      <c r="K30" s="162">
        <f t="shared" si="3"/>
        <v>502</v>
      </c>
      <c r="L30" s="296">
        <f t="shared" si="20"/>
        <v>30.991708126036485</v>
      </c>
      <c r="M30" s="296">
        <f t="shared" si="21"/>
        <v>26.523383084577116</v>
      </c>
      <c r="N30" s="296">
        <f t="shared" si="22"/>
        <v>26.640132669983416</v>
      </c>
      <c r="O30" s="296">
        <f t="shared" si="7"/>
        <v>171.38907841743662</v>
      </c>
      <c r="P30" s="297">
        <f t="shared" si="9"/>
        <v>255.54430229803364</v>
      </c>
      <c r="Q30" s="297">
        <f>SUM(-tanks!AX32*tanks!$AU$34)</f>
        <v>1588.2334112903241</v>
      </c>
      <c r="R30" s="297">
        <f t="shared" si="10"/>
        <v>1843.7777135883578</v>
      </c>
      <c r="S30" s="299">
        <f>SUM(ELEC!N29)</f>
        <v>7813</v>
      </c>
      <c r="T30" s="336">
        <f t="shared" si="12"/>
        <v>0.23598844407888875</v>
      </c>
      <c r="V30" s="216" t="s">
        <v>316</v>
      </c>
      <c r="W30" s="443">
        <f>'General information '!F34</f>
        <v>0</v>
      </c>
      <c r="X30" s="217"/>
      <c r="Y30" s="218" t="s">
        <v>330</v>
      </c>
      <c r="Z30" s="3"/>
      <c r="AA30" s="338"/>
      <c r="AB30" s="338">
        <f>SUM(AB26:AB29)</f>
        <v>7108656</v>
      </c>
      <c r="AC30" s="249">
        <f>SUM(AC26:AC29)/A34*A32</f>
        <v>7234333</v>
      </c>
    </row>
    <row r="31" spans="1:32">
      <c r="A31" s="163">
        <f>ELEC!C30</f>
        <v>44255</v>
      </c>
      <c r="B31" s="539">
        <v>904978</v>
      </c>
      <c r="C31" s="264">
        <f t="shared" si="0"/>
        <v>1184</v>
      </c>
      <c r="D31" s="308">
        <f t="shared" si="8"/>
        <v>1185</v>
      </c>
      <c r="E31" s="308">
        <f t="shared" si="11"/>
        <v>904979</v>
      </c>
      <c r="F31" s="539">
        <v>137108</v>
      </c>
      <c r="G31" s="160">
        <f t="shared" si="1"/>
        <v>1</v>
      </c>
      <c r="H31" s="539">
        <v>446820</v>
      </c>
      <c r="I31" s="161">
        <f t="shared" si="2"/>
        <v>439</v>
      </c>
      <c r="J31" s="539">
        <v>321050</v>
      </c>
      <c r="K31" s="162">
        <f t="shared" si="3"/>
        <v>745</v>
      </c>
      <c r="L31" s="296">
        <f t="shared" si="20"/>
        <v>0.21227197346600332</v>
      </c>
      <c r="M31" s="296">
        <f t="shared" si="21"/>
        <v>32.61558872305141</v>
      </c>
      <c r="N31" s="296">
        <f t="shared" si="22"/>
        <v>39.535655058043119</v>
      </c>
      <c r="O31" s="296">
        <f t="shared" si="7"/>
        <v>171.38907841743662</v>
      </c>
      <c r="P31" s="297">
        <f t="shared" si="9"/>
        <v>243.75259417199715</v>
      </c>
      <c r="Q31" s="297">
        <f>SUM(-tanks!AX33*tanks!$AU$34)</f>
        <v>1136.4973709677406</v>
      </c>
      <c r="R31" s="297">
        <f t="shared" si="10"/>
        <v>1380.2499651397377</v>
      </c>
      <c r="S31" s="299">
        <f>SUM(ELEC!N30)</f>
        <v>7721</v>
      </c>
      <c r="T31" s="336">
        <f t="shared" si="12"/>
        <v>0.17876569940936896</v>
      </c>
      <c r="V31" s="216" t="s">
        <v>317</v>
      </c>
      <c r="W31" s="217">
        <f>SUM(GEN!U31)</f>
        <v>189</v>
      </c>
      <c r="X31" s="222">
        <f>SUM(W31/A32)</f>
        <v>6.75</v>
      </c>
      <c r="Y31" s="260">
        <f>SUM(X31/2)</f>
        <v>3.375</v>
      </c>
      <c r="Z31" s="3"/>
      <c r="AA31" s="3"/>
      <c r="AB31" s="542">
        <f>SUM(AB30+AC31)</f>
        <v>14342989</v>
      </c>
      <c r="AC31" s="249">
        <f>SUM(AC30)</f>
        <v>7234333</v>
      </c>
    </row>
    <row r="32" spans="1:32" ht="15.75" thickBot="1">
      <c r="A32" s="538">
        <f>A34-COUNTIF(C4:C31,0)</f>
        <v>28</v>
      </c>
      <c r="C32" s="173">
        <f>SUM(C4:C31)/A32</f>
        <v>1834</v>
      </c>
      <c r="D32" s="173"/>
      <c r="E32" s="173"/>
      <c r="G32" s="173">
        <f>SUM(G4:G31)/A32</f>
        <v>299.25</v>
      </c>
      <c r="I32" s="173">
        <f>SUM(I4:I31)/A32</f>
        <v>742.07142857142856</v>
      </c>
      <c r="K32" s="173">
        <f>SUM(K4:K31)/A32</f>
        <v>792.67857142857144</v>
      </c>
      <c r="L32" s="173">
        <f>SUM(L31*1507.5)</f>
        <v>320</v>
      </c>
      <c r="M32" s="173">
        <f>SUM(M31*1507.5)</f>
        <v>49168</v>
      </c>
      <c r="N32" s="173">
        <f>SUM(N31*1507.5)</f>
        <v>59600</v>
      </c>
      <c r="O32" s="173">
        <f>SUM(O31*1507.5)</f>
        <v>258369.03571428571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/>
      <c r="AC32" s="576"/>
    </row>
    <row r="33" spans="1:32" ht="15.75" thickBot="1">
      <c r="A33" s="210"/>
      <c r="C33" s="212">
        <f>SUM(G33:K33)</f>
        <v>1</v>
      </c>
      <c r="G33" s="225">
        <f>IF(C32&gt;0,G32/C32,0)</f>
        <v>0.16316793893129772</v>
      </c>
      <c r="H33" s="212"/>
      <c r="I33" s="225">
        <f>SUM(I32/C32)</f>
        <v>0.40461909954821623</v>
      </c>
      <c r="J33" s="212"/>
      <c r="K33" s="225">
        <f>SUM(K32/C32)</f>
        <v>0.43221296152048605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7">
        <f>SUM(AB31/1507.5)</f>
        <v>9514.4205638474286</v>
      </c>
      <c r="AC33" s="578"/>
    </row>
    <row r="34" spans="1:32" ht="15.7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3"/>
      <c r="AA34" s="573"/>
      <c r="AB34" s="574"/>
      <c r="AC34" s="575"/>
    </row>
    <row r="35" spans="1:32">
      <c r="V35" s="217"/>
      <c r="W35" s="82">
        <f>AC30/1507.5</f>
        <v>4798.8941956882254</v>
      </c>
      <c r="Z35" s="40"/>
      <c r="AA35" s="292" t="s">
        <v>215</v>
      </c>
      <c r="AB35" s="293">
        <f>SUM(AB33)</f>
        <v>9514.4205638474286</v>
      </c>
    </row>
    <row r="36" spans="1:32">
      <c r="V36" s="217"/>
      <c r="W36" s="82">
        <f>(AB30+AB51)/1507.5</f>
        <v>4715.5263681592041</v>
      </c>
      <c r="X36" s="543"/>
      <c r="Z36" s="294">
        <f>SUM(AB35)</f>
        <v>9514.4205638474286</v>
      </c>
      <c r="AA36" s="293"/>
      <c r="AB36" s="293"/>
    </row>
    <row r="37" spans="1:32">
      <c r="V37" s="17"/>
      <c r="W37" s="82">
        <f>SUM(W35:W36)</f>
        <v>9514.4205638474305</v>
      </c>
      <c r="X37" s="543"/>
      <c r="Y37" s="82"/>
      <c r="Z37" s="294">
        <f>SUM(-tanks!AX34)*tanks!AU34</f>
        <v>21624.581337903233</v>
      </c>
      <c r="AA37" s="101">
        <f>SUM(AB31/A32)</f>
        <v>512249.60714285716</v>
      </c>
      <c r="AB37" s="348">
        <f>SUM(AA37*A34)</f>
        <v>14342989</v>
      </c>
    </row>
    <row r="38" spans="1:32" ht="18.75">
      <c r="W38" s="82">
        <f>(AB30+AB51)/1507.5</f>
        <v>4715.5263681592041</v>
      </c>
      <c r="Z38" s="276">
        <f>SUM(Z36:Z37)</f>
        <v>31139.001901750664</v>
      </c>
      <c r="AA38" s="293">
        <f>SUM(AA37/1507.5)</f>
        <v>339.80073442312249</v>
      </c>
      <c r="AB38" s="347">
        <f>SUM(AB37/1507.5)</f>
        <v>9514.4205638474286</v>
      </c>
    </row>
    <row r="39" spans="1:32">
      <c r="D39" s="519"/>
      <c r="E39" s="519"/>
      <c r="F39" s="519"/>
      <c r="W39" s="82">
        <f>SUM(W37:W38)</f>
        <v>14229.946932006635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5"/>
      <c r="W42" s="546"/>
      <c r="X42" s="17"/>
      <c r="Y42" s="17"/>
      <c r="Z42" s="547"/>
      <c r="AA42" s="17"/>
      <c r="AB42" s="677"/>
      <c r="AC42" s="677"/>
      <c r="AD42" s="17"/>
      <c r="AE42" s="17"/>
      <c r="AF42" s="17"/>
    </row>
    <row r="43" spans="1:32">
      <c r="V43" s="677"/>
      <c r="W43" s="677"/>
      <c r="X43" s="677"/>
      <c r="Y43" s="677"/>
      <c r="Z43" s="547"/>
      <c r="AA43" s="547"/>
      <c r="AB43" s="677"/>
      <c r="AC43" s="677"/>
      <c r="AD43" s="17"/>
      <c r="AE43" s="17"/>
      <c r="AF43" s="17"/>
    </row>
    <row r="44" spans="1:32">
      <c r="V44" s="677"/>
      <c r="W44" s="677"/>
      <c r="X44" s="677"/>
      <c r="Y44" s="677"/>
      <c r="Z44" s="677"/>
      <c r="AA44" s="677"/>
      <c r="AB44" s="677"/>
      <c r="AC44" s="677"/>
      <c r="AD44" s="17"/>
      <c r="AE44" s="17"/>
      <c r="AF44" s="17"/>
    </row>
    <row r="45" spans="1:32">
      <c r="V45" s="678"/>
      <c r="W45" s="678"/>
      <c r="X45" s="679"/>
      <c r="Y45" s="679"/>
      <c r="Z45" s="679"/>
      <c r="AA45" s="548"/>
      <c r="AB45" s="677"/>
      <c r="AC45" s="677"/>
      <c r="AD45" s="17"/>
      <c r="AE45" s="17"/>
      <c r="AF45" s="17"/>
    </row>
    <row r="46" spans="1:32">
      <c r="V46" s="545"/>
      <c r="W46" s="545"/>
      <c r="X46" s="545"/>
      <c r="Y46" s="545"/>
      <c r="Z46" s="545"/>
      <c r="AA46" s="545"/>
      <c r="AB46" s="545"/>
      <c r="AC46" s="549"/>
      <c r="AD46" s="17"/>
      <c r="AE46" s="17"/>
      <c r="AF46" s="17"/>
    </row>
    <row r="47" spans="1:32">
      <c r="V47" s="548"/>
      <c r="W47" s="548"/>
      <c r="X47" s="550"/>
      <c r="Y47" s="550"/>
      <c r="Z47" s="550"/>
      <c r="AA47" s="73"/>
      <c r="AB47" s="73"/>
      <c r="AC47" s="73"/>
      <c r="AD47" s="551"/>
      <c r="AE47" s="17"/>
      <c r="AF47" s="17"/>
    </row>
    <row r="48" spans="1:32">
      <c r="V48" s="548"/>
      <c r="W48" s="548"/>
      <c r="X48" s="550"/>
      <c r="Y48" s="550"/>
      <c r="Z48" s="550"/>
      <c r="AA48" s="73"/>
      <c r="AB48" s="73"/>
      <c r="AC48" s="73"/>
      <c r="AD48" s="551"/>
      <c r="AE48" s="17"/>
      <c r="AF48" s="17"/>
    </row>
    <row r="49" spans="22:32">
      <c r="V49" s="548"/>
      <c r="W49" s="548"/>
      <c r="X49" s="550"/>
      <c r="Y49" s="550"/>
      <c r="Z49" s="550"/>
      <c r="AA49" s="73"/>
      <c r="AB49" s="73"/>
      <c r="AC49" s="73"/>
      <c r="AD49" s="551"/>
      <c r="AE49" s="552"/>
      <c r="AF49" s="553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4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5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6"/>
      <c r="AB56" s="557"/>
      <c r="AC56" s="558"/>
      <c r="AD56" s="17"/>
      <c r="AE56" s="17"/>
      <c r="AF56" s="17"/>
    </row>
    <row r="57" spans="22:32">
      <c r="V57" s="17"/>
      <c r="W57" s="17"/>
      <c r="X57" s="17"/>
      <c r="Y57" s="17"/>
      <c r="Z57" s="17"/>
      <c r="AA57" s="559"/>
      <c r="AB57" s="557"/>
      <c r="AC57" s="558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7"/>
      <c r="AC58" s="558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0"/>
      <c r="AC59" s="17"/>
      <c r="AD59" s="17"/>
      <c r="AE59" s="17"/>
      <c r="AF59" s="17"/>
    </row>
    <row r="60" spans="22:32">
      <c r="V60" s="217"/>
      <c r="W60" s="553"/>
      <c r="X60" s="17"/>
      <c r="Y60" s="17"/>
      <c r="Z60" s="552"/>
      <c r="AA60" s="561"/>
      <c r="AB60" s="550"/>
      <c r="AC60" s="17"/>
      <c r="AD60" s="17"/>
      <c r="AE60" s="17"/>
      <c r="AF60" s="17"/>
    </row>
    <row r="61" spans="22:32">
      <c r="V61" s="217"/>
      <c r="W61" s="553"/>
      <c r="X61" s="17"/>
      <c r="Y61" s="17"/>
      <c r="Z61" s="422"/>
      <c r="AA61" s="550"/>
      <c r="AB61" s="550"/>
      <c r="AC61" s="17"/>
      <c r="AD61" s="17"/>
      <c r="AE61" s="17"/>
      <c r="AF61" s="17"/>
    </row>
    <row r="62" spans="22:32">
      <c r="V62" s="17"/>
      <c r="W62" s="553"/>
      <c r="X62" s="17"/>
      <c r="Y62" s="553"/>
      <c r="Z62" s="422"/>
      <c r="AA62" s="550"/>
      <c r="AB62" s="562"/>
      <c r="AC62" s="17"/>
      <c r="AD62" s="17"/>
      <c r="AE62" s="17"/>
      <c r="AF62" s="17"/>
    </row>
    <row r="63" spans="22:32" ht="18.75">
      <c r="V63" s="17"/>
      <c r="W63" s="553"/>
      <c r="X63" s="17"/>
      <c r="Y63" s="17"/>
      <c r="Z63" s="563"/>
      <c r="AA63" s="550"/>
      <c r="AB63" s="564"/>
      <c r="AC63" s="17"/>
      <c r="AD63" s="17"/>
      <c r="AE63" s="17"/>
      <c r="AF63" s="17"/>
    </row>
    <row r="64" spans="22:32">
      <c r="V64" s="17"/>
      <c r="W64" s="553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0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AB42:AC45"/>
    <mergeCell ref="V43:Y44"/>
    <mergeCell ref="Z44:AA44"/>
    <mergeCell ref="V45:W45"/>
    <mergeCell ref="X45:Z45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3"/>
  <sheetViews>
    <sheetView workbookViewId="0">
      <pane ySplit="1" topLeftCell="A11" activePane="bottomLeft" state="frozen"/>
      <selection pane="bottomLeft" activeCell="H23" sqref="H2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318</v>
      </c>
      <c r="C1" s="693"/>
      <c r="D1" s="695"/>
      <c r="E1" s="692" t="s">
        <v>319</v>
      </c>
      <c r="F1" s="693"/>
      <c r="G1" s="694"/>
      <c r="H1" s="689" t="s">
        <v>324</v>
      </c>
      <c r="I1" s="686" t="s">
        <v>325</v>
      </c>
      <c r="J1" s="683" t="s">
        <v>43</v>
      </c>
    </row>
    <row r="2" spans="1:18" ht="38.25" thickBot="1">
      <c r="A2" s="681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0"/>
      <c r="I2" s="687"/>
      <c r="J2" s="684"/>
    </row>
    <row r="3" spans="1:18" ht="24" customHeight="1" thickBot="1">
      <c r="A3" s="682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1"/>
      <c r="I3" s="688"/>
      <c r="J3" s="685"/>
    </row>
    <row r="4" spans="1:18" ht="19.5" thickBot="1">
      <c r="A4" s="243"/>
      <c r="B4" s="508"/>
      <c r="C4" s="508"/>
      <c r="D4" s="508"/>
      <c r="E4" s="508"/>
      <c r="F4" s="508"/>
      <c r="G4" s="508"/>
      <c r="H4" s="587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4">
        <v>1.1000000000000001</v>
      </c>
      <c r="C6" s="595">
        <v>7.8</v>
      </c>
      <c r="D6" s="595"/>
      <c r="E6" s="595">
        <v>1</v>
      </c>
      <c r="F6" s="595">
        <v>8</v>
      </c>
      <c r="G6" s="595"/>
      <c r="H6" s="596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44229</v>
      </c>
      <c r="B7" s="597">
        <v>1.3</v>
      </c>
      <c r="C7" s="596">
        <v>7.8</v>
      </c>
      <c r="D7" s="596"/>
      <c r="E7" s="596">
        <v>1.2</v>
      </c>
      <c r="F7" s="596">
        <v>8</v>
      </c>
      <c r="G7" s="596"/>
      <c r="H7" s="596">
        <f t="shared" ref="H7:H30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44230</v>
      </c>
      <c r="B8" s="597">
        <v>1.4</v>
      </c>
      <c r="C8" s="596">
        <v>7.8</v>
      </c>
      <c r="D8" s="596"/>
      <c r="E8" s="596">
        <v>1.3</v>
      </c>
      <c r="F8" s="596">
        <v>8</v>
      </c>
      <c r="G8" s="596"/>
      <c r="H8" s="596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44231</v>
      </c>
      <c r="B9" s="598">
        <v>1.4</v>
      </c>
      <c r="C9" s="596">
        <v>7.8</v>
      </c>
      <c r="D9" s="45"/>
      <c r="E9" s="45">
        <v>1.2</v>
      </c>
      <c r="F9" s="45">
        <v>8</v>
      </c>
      <c r="G9" s="45"/>
      <c r="H9" s="596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44232</v>
      </c>
      <c r="B10" s="586">
        <v>1.1000000000000001</v>
      </c>
      <c r="C10" s="585">
        <v>7.8</v>
      </c>
      <c r="D10" s="585"/>
      <c r="E10" s="585">
        <v>1</v>
      </c>
      <c r="F10" s="585">
        <v>8</v>
      </c>
      <c r="G10" s="585"/>
      <c r="H10" s="596">
        <v>6715</v>
      </c>
      <c r="I10" s="509">
        <f t="shared" si="3"/>
        <v>-1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44233</v>
      </c>
      <c r="B11" s="537">
        <v>1.5</v>
      </c>
      <c r="C11" s="537">
        <v>7.8</v>
      </c>
      <c r="D11" s="537"/>
      <c r="E11" s="537">
        <v>1.2</v>
      </c>
      <c r="F11" s="537">
        <v>8</v>
      </c>
      <c r="G11" s="537"/>
      <c r="H11" s="596">
        <v>6715.5</v>
      </c>
      <c r="I11" s="509">
        <f t="shared" si="3"/>
        <v>0.5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44234</v>
      </c>
      <c r="B12" s="537">
        <v>1.4</v>
      </c>
      <c r="C12" s="537">
        <v>7.8</v>
      </c>
      <c r="D12" s="537"/>
      <c r="E12" s="537">
        <v>1</v>
      </c>
      <c r="F12" s="537">
        <v>8</v>
      </c>
      <c r="G12" s="537"/>
      <c r="H12" s="596">
        <v>6716</v>
      </c>
      <c r="I12" s="509">
        <f t="shared" si="3"/>
        <v>0.5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44235</v>
      </c>
      <c r="B13" s="537">
        <v>1.3</v>
      </c>
      <c r="C13" s="537">
        <v>7.8</v>
      </c>
      <c r="D13" s="537"/>
      <c r="E13" s="537" t="s">
        <v>417</v>
      </c>
      <c r="F13" s="537"/>
      <c r="G13" s="537"/>
      <c r="H13" s="596">
        <v>6717</v>
      </c>
      <c r="I13" s="509">
        <f t="shared" si="3"/>
        <v>1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44236</v>
      </c>
      <c r="B14" s="537">
        <v>1.3</v>
      </c>
      <c r="C14" s="589">
        <v>7.8</v>
      </c>
      <c r="D14" s="170"/>
      <c r="E14" s="170">
        <v>1.2</v>
      </c>
      <c r="F14" s="170">
        <v>7.4</v>
      </c>
      <c r="G14" s="170"/>
      <c r="H14" s="596">
        <v>6718</v>
      </c>
      <c r="I14" s="509">
        <f t="shared" si="3"/>
        <v>1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44237</v>
      </c>
      <c r="B15" s="537">
        <v>1.2</v>
      </c>
      <c r="C15" s="590">
        <v>7.8</v>
      </c>
      <c r="D15" s="590"/>
      <c r="E15" s="590">
        <v>1.4</v>
      </c>
      <c r="F15" s="590">
        <v>7.8</v>
      </c>
      <c r="G15" s="590"/>
      <c r="H15" s="596">
        <f t="shared" si="2"/>
        <v>6718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44238</v>
      </c>
      <c r="B16" s="537">
        <v>2.2000000000000002</v>
      </c>
      <c r="C16" s="590">
        <v>7.8</v>
      </c>
      <c r="D16" s="590"/>
      <c r="E16" s="590">
        <v>1.5</v>
      </c>
      <c r="F16" s="590">
        <v>7.8</v>
      </c>
      <c r="G16" s="590"/>
      <c r="H16" s="596">
        <f t="shared" si="2"/>
        <v>6718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44239</v>
      </c>
      <c r="B17" s="537">
        <v>2.5</v>
      </c>
      <c r="C17" s="537">
        <v>7.8</v>
      </c>
      <c r="D17" s="537"/>
      <c r="E17" s="537">
        <v>2</v>
      </c>
      <c r="F17" s="537">
        <v>7.4</v>
      </c>
      <c r="G17" s="537"/>
      <c r="H17" s="596">
        <f t="shared" si="2"/>
        <v>6718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44240</v>
      </c>
      <c r="B18" s="537">
        <v>1</v>
      </c>
      <c r="C18" s="591">
        <v>7.8</v>
      </c>
      <c r="D18" s="170"/>
      <c r="E18" s="170">
        <v>1.3</v>
      </c>
      <c r="F18" s="170">
        <v>7.8</v>
      </c>
      <c r="G18" s="537"/>
      <c r="H18" s="596">
        <f t="shared" si="2"/>
        <v>6718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44241</v>
      </c>
      <c r="B19" s="537">
        <v>2.2000000000000002</v>
      </c>
      <c r="C19" s="592">
        <v>7.8</v>
      </c>
      <c r="D19" s="170"/>
      <c r="E19" s="170">
        <v>1.5</v>
      </c>
      <c r="F19" s="170">
        <v>8</v>
      </c>
      <c r="G19" s="537"/>
      <c r="H19" s="596">
        <f t="shared" si="2"/>
        <v>6718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44242</v>
      </c>
      <c r="B20" s="537">
        <v>2.5</v>
      </c>
      <c r="C20" s="537">
        <v>7.8</v>
      </c>
      <c r="D20" s="537"/>
      <c r="E20" s="537">
        <v>1.5</v>
      </c>
      <c r="F20" s="537">
        <v>8</v>
      </c>
      <c r="G20" s="537"/>
      <c r="H20" s="596">
        <v>6720</v>
      </c>
      <c r="I20" s="509">
        <f t="shared" si="3"/>
        <v>2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44243</v>
      </c>
      <c r="B21" s="537">
        <v>2</v>
      </c>
      <c r="C21" s="593">
        <v>7.8</v>
      </c>
      <c r="D21" s="170"/>
      <c r="E21" s="170">
        <v>1.4</v>
      </c>
      <c r="F21" s="170">
        <v>8</v>
      </c>
      <c r="G21" s="537"/>
      <c r="H21" s="596">
        <f t="shared" si="2"/>
        <v>6720</v>
      </c>
      <c r="I21" s="509">
        <f t="shared" si="3"/>
        <v>0</v>
      </c>
      <c r="J21" s="580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44244</v>
      </c>
      <c r="B22" s="537">
        <v>2</v>
      </c>
      <c r="C22" s="537">
        <v>7.8</v>
      </c>
      <c r="D22" s="537"/>
      <c r="E22" s="537">
        <v>1.3</v>
      </c>
      <c r="F22" s="537">
        <v>8</v>
      </c>
      <c r="G22" s="537"/>
      <c r="H22" s="596">
        <f t="shared" si="2"/>
        <v>6720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44245</v>
      </c>
      <c r="B23" s="537">
        <v>1.5</v>
      </c>
      <c r="C23" s="537">
        <v>7.8</v>
      </c>
      <c r="D23" s="537"/>
      <c r="E23" s="537">
        <v>1</v>
      </c>
      <c r="F23" s="537">
        <v>8</v>
      </c>
      <c r="G23" s="537"/>
      <c r="H23" s="596">
        <f t="shared" si="2"/>
        <v>6720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44246</v>
      </c>
      <c r="B24" s="537">
        <v>1.4</v>
      </c>
      <c r="C24" s="599">
        <v>7.8</v>
      </c>
      <c r="D24" s="170"/>
      <c r="E24" s="170">
        <v>1</v>
      </c>
      <c r="F24" s="170">
        <v>8</v>
      </c>
      <c r="G24" s="170"/>
      <c r="H24" s="596">
        <f t="shared" si="2"/>
        <v>6720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44247</v>
      </c>
      <c r="B25" s="582">
        <v>1.5</v>
      </c>
      <c r="C25" s="581">
        <v>7.8</v>
      </c>
      <c r="D25" s="170"/>
      <c r="E25" s="170">
        <v>1</v>
      </c>
      <c r="F25" s="170">
        <v>8</v>
      </c>
      <c r="G25" s="170"/>
      <c r="H25" s="596">
        <f t="shared" si="2"/>
        <v>6720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44248</v>
      </c>
      <c r="B26" s="582">
        <v>1.5</v>
      </c>
      <c r="C26" s="583">
        <v>7.8</v>
      </c>
      <c r="D26" s="170"/>
      <c r="E26" s="170">
        <v>1</v>
      </c>
      <c r="F26" s="170">
        <v>8</v>
      </c>
      <c r="G26" s="170"/>
      <c r="H26" s="596">
        <f t="shared" si="2"/>
        <v>6720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44249</v>
      </c>
      <c r="B27" s="170">
        <v>1.3</v>
      </c>
      <c r="C27" s="170">
        <v>7.8</v>
      </c>
      <c r="D27" s="170"/>
      <c r="E27" s="170">
        <v>0.5</v>
      </c>
      <c r="F27" s="170">
        <v>8</v>
      </c>
      <c r="G27" s="170"/>
      <c r="H27" s="596">
        <f t="shared" si="2"/>
        <v>6720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44250</v>
      </c>
      <c r="B28" s="254">
        <v>1.3</v>
      </c>
      <c r="C28" s="584">
        <v>7.8</v>
      </c>
      <c r="D28" s="170"/>
      <c r="E28" s="170">
        <v>0.5</v>
      </c>
      <c r="F28" s="170">
        <v>8</v>
      </c>
      <c r="G28" s="170"/>
      <c r="H28" s="596">
        <f t="shared" si="2"/>
        <v>6720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44251</v>
      </c>
      <c r="B29" s="537">
        <v>1.2</v>
      </c>
      <c r="C29" s="537">
        <v>7.8</v>
      </c>
      <c r="D29" s="537"/>
      <c r="E29" s="170">
        <v>0.6</v>
      </c>
      <c r="F29" s="170">
        <v>8</v>
      </c>
      <c r="G29" s="537"/>
      <c r="H29" s="596">
        <f t="shared" si="2"/>
        <v>6720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44252</v>
      </c>
      <c r="B30" s="170">
        <v>1.2</v>
      </c>
      <c r="C30" s="170">
        <v>7.8</v>
      </c>
      <c r="D30" s="170"/>
      <c r="E30" s="170">
        <v>0.6</v>
      </c>
      <c r="F30" s="170">
        <v>8</v>
      </c>
      <c r="G30" s="170"/>
      <c r="H30" s="596">
        <f t="shared" si="2"/>
        <v>6720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44253</v>
      </c>
      <c r="B31" s="254">
        <v>0.9</v>
      </c>
      <c r="C31" s="605">
        <v>7.8</v>
      </c>
      <c r="D31" s="170"/>
      <c r="E31" s="170">
        <v>0.5</v>
      </c>
      <c r="F31" s="170">
        <v>8</v>
      </c>
      <c r="G31" s="170"/>
      <c r="H31" s="596">
        <v>6721</v>
      </c>
      <c r="I31" s="509">
        <f t="shared" si="3"/>
        <v>1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44254</v>
      </c>
      <c r="B32" s="170">
        <v>0.7</v>
      </c>
      <c r="C32" s="170">
        <v>7.8</v>
      </c>
      <c r="D32" s="509"/>
      <c r="E32" s="170">
        <v>0.4</v>
      </c>
      <c r="F32" s="170">
        <v>8</v>
      </c>
      <c r="G32" s="509"/>
      <c r="H32" s="596">
        <v>6721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170">
        <v>0.6</v>
      </c>
      <c r="C33" s="170">
        <v>7.8</v>
      </c>
      <c r="D33" s="509"/>
      <c r="E33" s="170">
        <v>0.1</v>
      </c>
      <c r="F33" s="170">
        <v>8</v>
      </c>
      <c r="G33" s="509"/>
      <c r="H33" s="596">
        <v>6721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B1" zoomScale="80" zoomScaleNormal="80" workbookViewId="0">
      <selection activeCell="AB12" sqref="AB12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409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697" t="s">
        <v>163</v>
      </c>
      <c r="B7" s="698"/>
      <c r="C7" s="699" t="s">
        <v>164</v>
      </c>
      <c r="D7" s="700"/>
      <c r="E7" s="700"/>
      <c r="F7" s="700"/>
      <c r="G7" s="700"/>
      <c r="H7" s="700"/>
      <c r="I7" s="700"/>
      <c r="J7" s="700"/>
      <c r="K7" s="70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21</v>
      </c>
      <c r="G10" s="272">
        <f>'General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23</v>
      </c>
      <c r="G11" s="272">
        <f>'General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>
        <f>F43</f>
        <v>-75.899999999999977</v>
      </c>
      <c r="AB11" s="272">
        <f>G43</f>
        <v>6.4999999999999964</v>
      </c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20</v>
      </c>
      <c r="G12" s="272">
        <f>'General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20</v>
      </c>
      <c r="G13" s="272">
        <f>'General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20</v>
      </c>
      <c r="G14" s="272">
        <f>'General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19</v>
      </c>
      <c r="G15" s="272">
        <f>'General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21</v>
      </c>
      <c r="G16" s="272">
        <f>'General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23</v>
      </c>
      <c r="G17" s="272">
        <f>'General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21</v>
      </c>
      <c r="G18" s="272">
        <f>'General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19</v>
      </c>
      <c r="G19" s="272">
        <f>'General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18</v>
      </c>
      <c r="G20" s="272">
        <f>'General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18</v>
      </c>
      <c r="G21" s="272">
        <f>'General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19</v>
      </c>
      <c r="G22" s="272">
        <f>'General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18</v>
      </c>
      <c r="G23" s="272">
        <f>'General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-168.49999999999994</v>
      </c>
      <c r="AB23" s="134">
        <f>SUM(AB10:AB22)</f>
        <v>9.2999999999999901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18</v>
      </c>
      <c r="G24" s="272">
        <f>'General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11</v>
      </c>
      <c r="G25" s="272">
        <f>'General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13</v>
      </c>
      <c r="G26" s="272">
        <f>'General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13</v>
      </c>
      <c r="G27" s="272">
        <f>'General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14</v>
      </c>
      <c r="G28" s="272">
        <f>'General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19</v>
      </c>
      <c r="G29" s="272">
        <f>'General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18</v>
      </c>
      <c r="G30" s="272">
        <f>'General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21</v>
      </c>
      <c r="G31" s="272">
        <f>'General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19</v>
      </c>
      <c r="G32" s="272">
        <f>'General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19</v>
      </c>
      <c r="G33" s="272">
        <f>'General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18</v>
      </c>
      <c r="G34" s="272">
        <f>'General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18</v>
      </c>
      <c r="G35" s="272">
        <f>'General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18</v>
      </c>
      <c r="G36" s="272">
        <f>'General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17</v>
      </c>
      <c r="G37" s="272">
        <f>'General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2" t="s">
        <v>174</v>
      </c>
      <c r="O84" s="702" t="s">
        <v>175</v>
      </c>
      <c r="P84" s="134"/>
      <c r="T84" s="134"/>
      <c r="X84" s="134"/>
    </row>
    <row r="85" spans="1:24" ht="20.25" thickBot="1">
      <c r="D85" s="134"/>
      <c r="I85" s="704" t="s">
        <v>182</v>
      </c>
      <c r="J85" s="705"/>
      <c r="K85" s="705"/>
      <c r="L85" s="705"/>
      <c r="N85" s="703"/>
      <c r="O85" s="703"/>
      <c r="P85" s="134"/>
      <c r="R85" s="17"/>
      <c r="S85" s="17"/>
      <c r="T85" s="140"/>
      <c r="U85" s="141"/>
      <c r="X85" s="134"/>
    </row>
    <row r="86" spans="1:24" ht="18.75" thickBot="1">
      <c r="D86" s="134"/>
      <c r="I86" s="706" t="s">
        <v>183</v>
      </c>
      <c r="J86" s="706"/>
      <c r="K86" s="706"/>
      <c r="L86" s="706"/>
      <c r="N86" s="142">
        <f>B43+F43+J43+N43+R43+V43+B81+F81+J81+N81+R81+V81</f>
        <v>-5585.3000000000011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6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96"/>
      <c r="N88" s="696"/>
      <c r="O88" s="696"/>
      <c r="P88" s="696"/>
      <c r="Q88" s="696"/>
      <c r="R88" s="696"/>
      <c r="S88" s="696"/>
      <c r="T88" s="696"/>
      <c r="U88" s="696"/>
      <c r="V88" s="696"/>
      <c r="W88" s="69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3"/>
  <sheetViews>
    <sheetView topLeftCell="A4" workbookViewId="0">
      <pane xSplit="1" topLeftCell="B1" activePane="topRight" state="frozen"/>
      <selection pane="topRight" activeCell="D26" sqref="D26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216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28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WATER!H34</f>
        <v>778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8200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33314</v>
      </c>
      <c r="C8" s="493">
        <f>SUM(tanks!AU34)</f>
        <v>0.70324999999999993</v>
      </c>
      <c r="D8" s="191">
        <f>SUM(B8*C8)*D4</f>
        <v>35317816.278749995</v>
      </c>
      <c r="E8" s="192">
        <f>SUM(D8/D4/F4)</f>
        <v>836.7168035714285</v>
      </c>
      <c r="F8" s="192">
        <f>SUM(E8*F4)</f>
        <v>23428.070499999998</v>
      </c>
      <c r="G8" s="510">
        <f>E8*$F$4</f>
        <v>23428.070499999998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log'!AB31)</f>
        <v>14342989</v>
      </c>
      <c r="E10" s="182">
        <f>SUM(D10/D4/F4)</f>
        <v>339.80073442312244</v>
      </c>
      <c r="F10" s="182">
        <f>SUM(E10*F4)</f>
        <v>9514.4205638474286</v>
      </c>
      <c r="G10" s="510">
        <f>E10*$G$4</f>
        <v>9514.4205638474286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1469.3746808516939</v>
      </c>
      <c r="F12" s="180">
        <f>SUM(F6:F10)</f>
        <v>41142.491063847425</v>
      </c>
      <c r="G12" s="179">
        <f>SUM(G6:G10)</f>
        <v>41142.491063847425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2020'!AB11</f>
        <v>6.4999999999999964</v>
      </c>
      <c r="C14" s="433">
        <f>'[13]Utility Cost '!B14</f>
        <v>0.69999999999999929</v>
      </c>
      <c r="D14" s="170"/>
      <c r="E14" s="170">
        <f t="shared" ref="E14:E18" si="0">B14-C14</f>
        <v>5.7999999999999972</v>
      </c>
      <c r="F14" s="509">
        <v>0</v>
      </c>
      <c r="G14" s="422"/>
      <c r="H14" s="423">
        <f>SUM(G12-H12)</f>
        <v>-14152.947323249333</v>
      </c>
      <c r="I14" s="423">
        <f>SUM(G12-I12)</f>
        <v>-14152.947323249333</v>
      </c>
    </row>
    <row r="15" spans="1:11">
      <c r="A15" s="449" t="s">
        <v>303</v>
      </c>
      <c r="B15" s="97">
        <f>'Degree Days 2020'!AA11</f>
        <v>-75.899999999999977</v>
      </c>
      <c r="C15" s="433">
        <f>'[13]Utility Cost '!B15</f>
        <v>-153.49999999999997</v>
      </c>
      <c r="D15" s="170"/>
      <c r="E15" s="170">
        <f t="shared" si="0"/>
        <v>77.599999999999994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'!D35</f>
        <v>15.821428571428571</v>
      </c>
      <c r="C16" s="433">
        <f>'[13]Utility Cost '!B16</f>
        <v>14.293103448275861</v>
      </c>
      <c r="D16" s="432"/>
      <c r="E16" s="433">
        <f t="shared" si="0"/>
        <v>1.52832512315271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'!F34</f>
        <v>0</v>
      </c>
      <c r="C17" s="523">
        <f>'[13]Utility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189</v>
      </c>
      <c r="C18" s="433">
        <f>'[13]Utility Cost '!B18</f>
        <v>115.42000000000007</v>
      </c>
      <c r="D18" s="430">
        <f>'[12]Other Fuel Calculation 2021'!$C$117</f>
        <v>172.73885330486587</v>
      </c>
      <c r="E18" s="525">
        <f t="shared" si="0"/>
        <v>73.579999999999927</v>
      </c>
      <c r="F18" s="528">
        <f>B18-D18</f>
        <v>16.26114669513413</v>
      </c>
    </row>
    <row r="19" spans="1:10">
      <c r="A19" s="522" t="s">
        <v>411</v>
      </c>
      <c r="B19" s="520">
        <f>SUM(B18/$F$4)</f>
        <v>6.75</v>
      </c>
      <c r="C19" s="433">
        <f>'[13]Utility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Joe El Khoury</cp:lastModifiedBy>
  <cp:lastPrinted>2020-02-18T09:36:23Z</cp:lastPrinted>
  <dcterms:created xsi:type="dcterms:W3CDTF">2015-01-02T09:20:21Z</dcterms:created>
  <dcterms:modified xsi:type="dcterms:W3CDTF">2021-03-08T09:54:32Z</dcterms:modified>
</cp:coreProperties>
</file>