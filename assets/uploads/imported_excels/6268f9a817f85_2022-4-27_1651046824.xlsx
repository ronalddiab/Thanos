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CB5FD29C-FAD4-4175-94D9-E969A9ABE42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17" i="2" l="1"/>
  <c r="O16" i="2"/>
  <c r="N16" i="2"/>
  <c r="M16" i="2"/>
  <c r="L16" i="2"/>
  <c r="P16" i="2"/>
  <c r="Q16" i="2"/>
  <c r="R16" i="2"/>
  <c r="S16" i="2"/>
  <c r="T16" i="2"/>
  <c r="U16" i="2"/>
  <c r="B36" i="4" l="1"/>
  <c r="K33" i="6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X12" i="8" s="1"/>
  <c r="C13" i="8"/>
  <c r="V13" i="8" s="1"/>
  <c r="C14" i="8"/>
  <c r="C15" i="8"/>
  <c r="C16" i="8"/>
  <c r="C17" i="8"/>
  <c r="C18" i="8"/>
  <c r="N18" i="8" s="1"/>
  <c r="C19" i="8"/>
  <c r="C20" i="8"/>
  <c r="X20" i="8" s="1"/>
  <c r="C21" i="8"/>
  <c r="C22" i="8"/>
  <c r="C23" i="8"/>
  <c r="C24" i="8"/>
  <c r="C25" i="8"/>
  <c r="C26" i="8"/>
  <c r="C27" i="8"/>
  <c r="C28" i="8"/>
  <c r="N28" i="8" s="1"/>
  <c r="C29" i="8"/>
  <c r="X29" i="8" s="1"/>
  <c r="C30" i="8"/>
  <c r="L30" i="8" s="1"/>
  <c r="C31" i="8"/>
  <c r="C32" i="8"/>
  <c r="C33" i="8"/>
  <c r="C34" i="8"/>
  <c r="C4" i="8"/>
  <c r="C27" i="2"/>
  <c r="C26" i="4" s="1"/>
  <c r="C28" i="2"/>
  <c r="C27" i="4" s="1"/>
  <c r="C29" i="2"/>
  <c r="C30" i="2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4" i="2"/>
  <c r="C23" i="4" s="1"/>
  <c r="G33" i="6"/>
  <c r="K34" i="2"/>
  <c r="M34" i="2"/>
  <c r="N34" i="2"/>
  <c r="O34" i="2"/>
  <c r="P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C5" i="3" s="1"/>
  <c r="B6" i="3"/>
  <c r="B7" i="3"/>
  <c r="E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L17" i="3" s="1"/>
  <c r="U19" i="2"/>
  <c r="U20" i="2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H10" i="4" s="1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E3" i="3"/>
  <c r="C11" i="4"/>
  <c r="R8" i="8"/>
  <c r="C29" i="4"/>
  <c r="K19" i="4"/>
  <c r="P34" i="8"/>
  <c r="E25" i="3"/>
  <c r="C21" i="4"/>
  <c r="E17" i="3"/>
  <c r="R24" i="8"/>
  <c r="G33" i="4"/>
  <c r="T16" i="8"/>
  <c r="H16" i="8" l="1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18" i="8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K33" i="3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K25" i="3"/>
  <c r="K28" i="3"/>
  <c r="G7" i="3"/>
  <c r="G18" i="4"/>
  <c r="J18" i="8"/>
  <c r="N20" i="8"/>
  <c r="V31" i="8"/>
  <c r="J24" i="4"/>
  <c r="G8" i="4"/>
  <c r="F4" i="8"/>
  <c r="H26" i="8"/>
  <c r="C21" i="3"/>
  <c r="K20" i="3"/>
  <c r="G27" i="4"/>
  <c r="C31" i="4"/>
  <c r="J26" i="4"/>
  <c r="K17" i="3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K32" i="3"/>
  <c r="K29" i="3"/>
  <c r="I26" i="4"/>
  <c r="J21" i="8"/>
  <c r="K17" i="4"/>
  <c r="K26" i="3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K18" i="3"/>
  <c r="T25" i="8"/>
  <c r="L26" i="3"/>
  <c r="F17" i="3"/>
  <c r="K4" i="3"/>
  <c r="F33" i="8"/>
  <c r="F21" i="3"/>
  <c r="E28" i="3"/>
  <c r="K15" i="3"/>
  <c r="H27" i="4"/>
  <c r="H11" i="4"/>
  <c r="H31" i="4"/>
  <c r="L4" i="3"/>
  <c r="F32" i="4"/>
  <c r="H27" i="3"/>
  <c r="I19" i="3"/>
  <c r="K30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K21" i="3"/>
  <c r="T4" i="8"/>
  <c r="H29" i="4"/>
  <c r="H21" i="4"/>
  <c r="H13" i="4"/>
  <c r="I33" i="4"/>
  <c r="D33" i="8"/>
  <c r="J18" i="3"/>
  <c r="I10" i="4"/>
  <c r="V32" i="2"/>
  <c r="M31" i="3" s="1"/>
  <c r="J32" i="3"/>
  <c r="T14" i="8"/>
  <c r="H14" i="8"/>
  <c r="E22" i="3"/>
  <c r="X14" i="8"/>
  <c r="N27" i="8"/>
  <c r="L12" i="3"/>
  <c r="J31" i="3"/>
  <c r="L32" i="3"/>
  <c r="L28" i="3"/>
  <c r="K16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K24" i="3"/>
  <c r="K23" i="3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K31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34" i="4" s="1"/>
  <c r="D36" i="4" s="1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K19" i="3"/>
  <c r="K27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M15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31" i="2"/>
  <c r="M30" i="3" s="1"/>
  <c r="V11" i="2"/>
  <c r="M10" i="3" s="1"/>
  <c r="K22" i="3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32" i="3"/>
  <c r="C22" i="3"/>
  <c r="C34" i="4" l="1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<sst xmlns="http://schemas.openxmlformats.org/spreadsheetml/2006/main" count="204" uniqueCount="131">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</sst>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-554830.00000000012</c:v>
                </c:pt>
                <c:pt idx="1">
                  <c:v>-3089800.0000000005</c:v>
                </c:pt>
                <c:pt idx="2">
                  <c:v>-298990</c:v>
                </c:pt>
                <c:pt idx="3">
                  <c:v>-1167750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-62050</c:v>
                </c:pt>
                <c:pt idx="1">
                  <c:v>0.28419239894109133</c:v>
                </c:pt>
                <c:pt idx="2" formatCode="_(* #,##0.00_);_(* \(#,##0.00\);_(* &quot;-&quot;??_);_(@_)">
                  <c:v>-248339</c:v>
                </c:pt>
                <c:pt idx="3">
                  <c:v>1.1374062233784317</c:v>
                </c:pt>
                <c:pt idx="4" formatCode="0.00">
                  <c:v>-30271</c:v>
                </c:pt>
                <c:pt idx="5">
                  <c:v>0.1386428381683445</c:v>
                </c:pt>
                <c:pt idx="6" formatCode="0.00">
                  <c:v>-42864</c:v>
                </c:pt>
                <c:pt idx="7">
                  <c:v>0.19631946798083705</c:v>
                </c:pt>
                <c:pt idx="8" formatCode="0.00">
                  <c:v>-7975</c:v>
                </c:pt>
                <c:pt idx="9">
                  <c:v>3.6525936850204728E-2</c:v>
                </c:pt>
                <c:pt idx="10" formatCode="0.00">
                  <c:v>-1528</c:v>
                </c:pt>
                <c:pt idx="11">
                  <c:v>6.9983236999514517E-3</c:v>
                </c:pt>
                <c:pt idx="12" formatCode="0.00">
                  <c:v>-8502</c:v>
                </c:pt>
                <c:pt idx="13">
                  <c:v>3.8939625717923587E-2</c:v>
                </c:pt>
                <c:pt idx="14" formatCode="_(* #,##0.00_);_(* \(#,##0.00\);_(* &quot;-&quot;??_);_(@_)">
                  <c:v>-266370</c:v>
                </c:pt>
                <c:pt idx="15">
                  <c:v>1.2199891910707252</c:v>
                </c:pt>
                <c:pt idx="16" formatCode="0.00">
                  <c:v>-2030</c:v>
                </c:pt>
                <c:pt idx="17">
                  <c:v>9.2975111982339306E-3</c:v>
                </c:pt>
                <c:pt idx="18" formatCode="0.00">
                  <c:v>-7975</c:v>
                </c:pt>
                <c:pt idx="19">
                  <c:v>3.6525936850204728E-2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-218338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-677904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2" sqref="M2:O2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7" t="s">
        <v>4</v>
      </c>
      <c r="F1" s="113" t="s">
        <v>5</v>
      </c>
      <c r="G1" s="40" t="s">
        <v>130</v>
      </c>
      <c r="H1" s="114" t="s">
        <v>122</v>
      </c>
      <c r="I1" s="40" t="s">
        <v>123</v>
      </c>
      <c r="J1" s="41" t="s">
        <v>124</v>
      </c>
      <c r="K1" s="40" t="s">
        <v>129</v>
      </c>
      <c r="L1" s="42" t="s">
        <v>121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4</v>
      </c>
      <c r="D2" s="116">
        <v>2022</v>
      </c>
      <c r="E2" s="54">
        <v>24100.000000000589</v>
      </c>
      <c r="F2" s="122">
        <v>0.19400000000000001</v>
      </c>
      <c r="G2" s="103">
        <v>6763</v>
      </c>
      <c r="H2" s="123">
        <v>0.70309999999999995</v>
      </c>
      <c r="I2" s="63">
        <v>393</v>
      </c>
      <c r="J2" s="73">
        <v>0.56200000000000006</v>
      </c>
      <c r="K2" s="100"/>
      <c r="L2" s="73">
        <v>1</v>
      </c>
      <c r="M2" s="69">
        <v>59</v>
      </c>
      <c r="N2" s="69">
        <v>160</v>
      </c>
      <c r="O2" s="69">
        <v>424</v>
      </c>
    </row>
    <row r="3" spans="1:15" ht="15" x14ac:dyDescent="0.25">
      <c r="A3" s="44" t="s">
        <v>9</v>
      </c>
      <c r="B3" s="45">
        <f>B2+1</f>
        <v>2</v>
      </c>
      <c r="C3" s="46">
        <v>4</v>
      </c>
      <c r="D3" s="116">
        <v>2022</v>
      </c>
      <c r="E3" s="54">
        <v>24709.999999998443</v>
      </c>
      <c r="F3" s="122">
        <v>0.19400000000000001</v>
      </c>
      <c r="G3" s="103">
        <v>6854</v>
      </c>
      <c r="H3" s="123">
        <v>0.70309999999999995</v>
      </c>
      <c r="I3" s="63">
        <v>372</v>
      </c>
      <c r="J3" s="73">
        <v>0.56200000000000006</v>
      </c>
      <c r="K3" s="100"/>
      <c r="L3" s="73">
        <v>1</v>
      </c>
      <c r="M3" s="69">
        <v>58</v>
      </c>
      <c r="N3" s="69">
        <v>162</v>
      </c>
      <c r="O3" s="69">
        <v>474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4</v>
      </c>
      <c r="D4" s="116">
        <v>2022</v>
      </c>
      <c r="E4" s="54">
        <v>24350.000000001728</v>
      </c>
      <c r="F4" s="122">
        <v>0.19400000000000001</v>
      </c>
      <c r="G4" s="103">
        <v>6786</v>
      </c>
      <c r="H4" s="123">
        <v>0.70309999999999995</v>
      </c>
      <c r="I4" s="63">
        <v>373</v>
      </c>
      <c r="J4" s="73">
        <v>0.56200000000000006</v>
      </c>
      <c r="K4" s="100"/>
      <c r="L4" s="73">
        <v>1</v>
      </c>
      <c r="M4" s="69">
        <v>56</v>
      </c>
      <c r="N4" s="69">
        <v>161</v>
      </c>
      <c r="O4" s="69">
        <v>481</v>
      </c>
    </row>
    <row r="5" spans="1:15" ht="15" x14ac:dyDescent="0.25">
      <c r="A5" s="44" t="s">
        <v>9</v>
      </c>
      <c r="B5" s="45">
        <f t="shared" si="0"/>
        <v>4</v>
      </c>
      <c r="C5" s="46">
        <v>4</v>
      </c>
      <c r="D5" s="116">
        <v>2022</v>
      </c>
      <c r="E5" s="54">
        <v>23750.000000000909</v>
      </c>
      <c r="F5" s="122">
        <v>0.19400000000000001</v>
      </c>
      <c r="G5" s="103">
        <v>6687</v>
      </c>
      <c r="H5" s="123">
        <v>0.70309999999999995</v>
      </c>
      <c r="I5" s="63">
        <v>394</v>
      </c>
      <c r="J5" s="73">
        <v>0.56200000000000006</v>
      </c>
      <c r="K5" s="100"/>
      <c r="L5" s="73">
        <v>1</v>
      </c>
      <c r="M5" s="69">
        <v>63</v>
      </c>
      <c r="N5" s="69">
        <v>167</v>
      </c>
      <c r="O5" s="69">
        <v>441</v>
      </c>
    </row>
    <row r="6" spans="1:15" ht="15" x14ac:dyDescent="0.25">
      <c r="A6" s="44" t="s">
        <v>9</v>
      </c>
      <c r="B6" s="45">
        <f t="shared" si="0"/>
        <v>5</v>
      </c>
      <c r="C6" s="46">
        <v>4</v>
      </c>
      <c r="D6" s="116">
        <v>2022</v>
      </c>
      <c r="E6" s="54">
        <v>22509.999999997945</v>
      </c>
      <c r="F6" s="122">
        <v>0.19400000000000001</v>
      </c>
      <c r="G6" s="103">
        <v>6259</v>
      </c>
      <c r="H6" s="123">
        <v>0.70309999999999995</v>
      </c>
      <c r="I6" s="63">
        <v>364</v>
      </c>
      <c r="J6" s="73">
        <v>0.56200000000000006</v>
      </c>
      <c r="K6" s="100"/>
      <c r="L6" s="73">
        <v>1</v>
      </c>
      <c r="M6" s="69">
        <v>63</v>
      </c>
      <c r="N6" s="69">
        <v>172</v>
      </c>
      <c r="O6" s="69">
        <v>477</v>
      </c>
    </row>
    <row r="7" spans="1:15" ht="15" x14ac:dyDescent="0.25">
      <c r="A7" s="44" t="s">
        <v>9</v>
      </c>
      <c r="B7" s="45">
        <f t="shared" si="0"/>
        <v>6</v>
      </c>
      <c r="C7" s="46">
        <v>4</v>
      </c>
      <c r="D7" s="116">
        <v>2022</v>
      </c>
      <c r="E7" s="54">
        <v>23740.000000000917</v>
      </c>
      <c r="F7" s="122">
        <v>0.19400000000000001</v>
      </c>
      <c r="G7" s="103">
        <v>6466</v>
      </c>
      <c r="H7" s="123">
        <v>0.70309999999999995</v>
      </c>
      <c r="I7" s="63">
        <v>395</v>
      </c>
      <c r="J7" s="73">
        <v>0.56200000000000006</v>
      </c>
      <c r="K7" s="100"/>
      <c r="L7" s="73">
        <v>1</v>
      </c>
      <c r="M7" s="69">
        <v>67</v>
      </c>
      <c r="N7" s="69">
        <v>181</v>
      </c>
      <c r="O7" s="69">
        <v>472</v>
      </c>
    </row>
    <row r="8" spans="1:15" ht="15" x14ac:dyDescent="0.25">
      <c r="A8" s="44" t="s">
        <v>9</v>
      </c>
      <c r="B8" s="45">
        <f t="shared" si="0"/>
        <v>7</v>
      </c>
      <c r="C8" s="46">
        <v>4</v>
      </c>
      <c r="D8" s="116">
        <v>2022</v>
      </c>
      <c r="E8" s="103">
        <v>23790.000000000189</v>
      </c>
      <c r="F8" s="122">
        <v>0.19400000000000001</v>
      </c>
      <c r="G8" s="103">
        <v>6702</v>
      </c>
      <c r="H8" s="123">
        <v>0.70309999999999995</v>
      </c>
      <c r="I8" s="63">
        <v>379</v>
      </c>
      <c r="J8" s="73">
        <v>0.56200000000000006</v>
      </c>
      <c r="K8" s="100"/>
      <c r="L8" s="73">
        <v>1</v>
      </c>
      <c r="M8" s="69">
        <v>65</v>
      </c>
      <c r="N8" s="69">
        <v>177</v>
      </c>
      <c r="O8" s="69">
        <v>448</v>
      </c>
    </row>
    <row r="9" spans="1:15" ht="15" x14ac:dyDescent="0.25">
      <c r="A9" s="44" t="s">
        <v>9</v>
      </c>
      <c r="B9" s="45">
        <f t="shared" si="0"/>
        <v>8</v>
      </c>
      <c r="C9" s="46">
        <v>4</v>
      </c>
      <c r="D9" s="116">
        <v>2022</v>
      </c>
      <c r="E9" s="103">
        <v>24849.999999999909</v>
      </c>
      <c r="F9" s="122">
        <v>0.19400000000000001</v>
      </c>
      <c r="G9" s="103">
        <v>7089</v>
      </c>
      <c r="H9" s="123">
        <v>0.70309999999999995</v>
      </c>
      <c r="I9" s="63">
        <v>360</v>
      </c>
      <c r="J9" s="73">
        <v>0.56200000000000006</v>
      </c>
      <c r="K9" s="100"/>
      <c r="L9" s="73">
        <v>1</v>
      </c>
      <c r="M9" s="69">
        <v>69</v>
      </c>
      <c r="N9" s="69">
        <v>194</v>
      </c>
      <c r="O9" s="69">
        <v>522</v>
      </c>
    </row>
    <row r="10" spans="1:15" ht="15" x14ac:dyDescent="0.25">
      <c r="A10" s="44" t="s">
        <v>9</v>
      </c>
      <c r="B10" s="45">
        <f t="shared" si="0"/>
        <v>9</v>
      </c>
      <c r="C10" s="46">
        <v>4</v>
      </c>
      <c r="D10" s="116">
        <v>2022</v>
      </c>
      <c r="E10" s="103">
        <v>26019.999999998618</v>
      </c>
      <c r="F10" s="122">
        <v>0.19400000000000001</v>
      </c>
      <c r="G10" s="103">
        <v>7133</v>
      </c>
      <c r="H10" s="123">
        <v>0.70309999999999995</v>
      </c>
      <c r="I10" s="63">
        <v>398</v>
      </c>
      <c r="J10" s="73">
        <v>0.56200000000000006</v>
      </c>
      <c r="K10" s="100"/>
      <c r="L10" s="73">
        <v>1</v>
      </c>
      <c r="M10" s="69">
        <v>72</v>
      </c>
      <c r="N10" s="69">
        <v>202</v>
      </c>
      <c r="O10" s="69">
        <v>492</v>
      </c>
    </row>
    <row r="11" spans="1:15" ht="15" x14ac:dyDescent="0.25">
      <c r="A11" s="44" t="s">
        <v>9</v>
      </c>
      <c r="B11" s="45">
        <f t="shared" si="0"/>
        <v>10</v>
      </c>
      <c r="C11" s="46">
        <v>4</v>
      </c>
      <c r="D11" s="116">
        <v>2022</v>
      </c>
      <c r="E11" s="103">
        <v>24440.000000000735</v>
      </c>
      <c r="F11" s="122">
        <v>0.19400000000000001</v>
      </c>
      <c r="G11" s="103">
        <v>7027</v>
      </c>
      <c r="H11" s="123">
        <v>0.70309999999999995</v>
      </c>
      <c r="I11" s="63">
        <v>481</v>
      </c>
      <c r="J11" s="73">
        <v>0.56200000000000006</v>
      </c>
      <c r="K11" s="100"/>
      <c r="L11" s="73">
        <v>1</v>
      </c>
      <c r="M11" s="69">
        <v>75</v>
      </c>
      <c r="N11" s="69">
        <v>200</v>
      </c>
      <c r="O11" s="69">
        <v>534</v>
      </c>
    </row>
    <row r="12" spans="1:15" ht="15" x14ac:dyDescent="0.25">
      <c r="A12" s="44" t="s">
        <v>9</v>
      </c>
      <c r="B12" s="45">
        <f t="shared" si="0"/>
        <v>11</v>
      </c>
      <c r="C12" s="46">
        <v>4</v>
      </c>
      <c r="D12" s="116">
        <v>2022</v>
      </c>
      <c r="E12" s="103">
        <v>26060.000000000171</v>
      </c>
      <c r="F12" s="122">
        <v>0.19400000000000001</v>
      </c>
      <c r="G12" s="103">
        <v>7224</v>
      </c>
      <c r="H12" s="123">
        <v>0.70309999999999995</v>
      </c>
      <c r="I12" s="63">
        <v>415</v>
      </c>
      <c r="J12" s="73">
        <v>0.56200000000000006</v>
      </c>
      <c r="K12" s="100"/>
      <c r="L12" s="73">
        <v>1</v>
      </c>
      <c r="M12" s="69">
        <v>75</v>
      </c>
      <c r="N12" s="69">
        <v>188</v>
      </c>
      <c r="O12" s="69">
        <v>525</v>
      </c>
    </row>
    <row r="13" spans="1:15" ht="15" x14ac:dyDescent="0.25">
      <c r="A13" s="44" t="s">
        <v>9</v>
      </c>
      <c r="B13" s="45">
        <f t="shared" si="0"/>
        <v>12</v>
      </c>
      <c r="C13" s="46">
        <v>4</v>
      </c>
      <c r="D13" s="116">
        <v>2022</v>
      </c>
      <c r="E13" s="103">
        <v>25189.999999999825</v>
      </c>
      <c r="F13" s="122">
        <v>0.19400000000000001</v>
      </c>
      <c r="G13" s="103">
        <v>-880135</v>
      </c>
      <c r="H13" s="123">
        <v>0.70309999999999995</v>
      </c>
      <c r="I13" s="63">
        <v>228</v>
      </c>
      <c r="J13" s="73">
        <v>0.56200000000000006</v>
      </c>
      <c r="K13" s="100"/>
      <c r="L13" s="73">
        <v>1</v>
      </c>
      <c r="M13" s="69">
        <v>77</v>
      </c>
      <c r="N13" s="69">
        <v>197</v>
      </c>
      <c r="O13" s="69">
        <v>561</v>
      </c>
    </row>
    <row r="14" spans="1:15" ht="15" x14ac:dyDescent="0.25">
      <c r="A14" s="44" t="s">
        <v>9</v>
      </c>
      <c r="B14" s="45">
        <f t="shared" si="0"/>
        <v>13</v>
      </c>
      <c r="C14" s="46">
        <v>4</v>
      </c>
      <c r="D14" s="116">
        <v>2022</v>
      </c>
      <c r="E14" s="103">
        <v>22230.000000000247</v>
      </c>
      <c r="F14" s="122">
        <v>0.19400000000000001</v>
      </c>
      <c r="G14" s="103">
        <v>6369</v>
      </c>
      <c r="H14" s="123">
        <v>0.70309999999999995</v>
      </c>
      <c r="I14" s="63">
        <v>335</v>
      </c>
      <c r="J14" s="73">
        <v>0.56200000000000006</v>
      </c>
      <c r="K14" s="100"/>
      <c r="L14" s="73">
        <v>1</v>
      </c>
      <c r="M14" s="69">
        <v>74</v>
      </c>
      <c r="N14" s="69">
        <v>186</v>
      </c>
      <c r="O14" s="69">
        <v>541</v>
      </c>
    </row>
    <row r="15" spans="1:15" ht="15" x14ac:dyDescent="0.25">
      <c r="A15" s="44" t="s">
        <v>9</v>
      </c>
      <c r="B15" s="45">
        <f t="shared" si="0"/>
        <v>14</v>
      </c>
      <c r="C15" s="46">
        <v>4</v>
      </c>
      <c r="D15" s="116">
        <v>2022</v>
      </c>
      <c r="E15" s="103">
        <v>24860.000000000815</v>
      </c>
      <c r="F15" s="122">
        <v>0.19400000000000001</v>
      </c>
      <c r="G15" s="103">
        <v>7025</v>
      </c>
      <c r="H15" s="123">
        <v>0.70309999999999995</v>
      </c>
      <c r="I15" s="63">
        <v>349</v>
      </c>
      <c r="J15" s="73">
        <v>0.56200000000000006</v>
      </c>
      <c r="K15" s="100"/>
      <c r="L15" s="73">
        <v>1</v>
      </c>
      <c r="M15" s="69">
        <v>74</v>
      </c>
      <c r="N15" s="69">
        <v>186</v>
      </c>
      <c r="O15" s="69">
        <v>518</v>
      </c>
    </row>
    <row r="16" spans="1:15" ht="15" x14ac:dyDescent="0.25">
      <c r="A16" s="44" t="s">
        <v>9</v>
      </c>
      <c r="B16" s="45">
        <f t="shared" si="0"/>
        <v>15</v>
      </c>
      <c r="C16" s="46">
        <v>4</v>
      </c>
      <c r="D16" s="116">
        <v>2022</v>
      </c>
      <c r="E16" s="103">
        <v>25049.999999999727</v>
      </c>
      <c r="F16" s="122">
        <v>0.19400000000000001</v>
      </c>
      <c r="G16" s="103">
        <v>6990</v>
      </c>
      <c r="H16" s="123">
        <v>0.70309999999999995</v>
      </c>
      <c r="I16" s="63">
        <v>366</v>
      </c>
      <c r="J16" s="73">
        <v>0.56200000000000006</v>
      </c>
      <c r="K16" s="100"/>
      <c r="L16" s="73">
        <v>1</v>
      </c>
      <c r="M16" s="69">
        <v>66</v>
      </c>
      <c r="N16" s="69">
        <v>170</v>
      </c>
      <c r="O16" s="69">
        <v>502</v>
      </c>
    </row>
    <row r="17" spans="1:15" ht="15" x14ac:dyDescent="0.25">
      <c r="A17" s="44" t="s">
        <v>9</v>
      </c>
      <c r="B17" s="45">
        <f t="shared" si="0"/>
        <v>16</v>
      </c>
      <c r="C17" s="46">
        <v>4</v>
      </c>
      <c r="D17" s="116">
        <v>2022</v>
      </c>
      <c r="E17" s="103">
        <v>25929.999999999607</v>
      </c>
      <c r="F17" s="122">
        <v>0.19400000000000001</v>
      </c>
      <c r="G17" s="103">
        <v>7131</v>
      </c>
      <c r="H17" s="123">
        <v>0.70309999999999995</v>
      </c>
      <c r="I17" s="63">
        <v>308</v>
      </c>
      <c r="J17" s="73">
        <v>0.56200000000000006</v>
      </c>
      <c r="K17" s="100"/>
      <c r="L17" s="73">
        <v>1</v>
      </c>
      <c r="M17" s="69">
        <v>57</v>
      </c>
      <c r="N17" s="69">
        <v>157</v>
      </c>
      <c r="O17" s="69">
        <v>445</v>
      </c>
    </row>
    <row r="18" spans="1:15" ht="15" x14ac:dyDescent="0.25">
      <c r="A18" s="44" t="s">
        <v>9</v>
      </c>
      <c r="B18" s="45">
        <f t="shared" si="0"/>
        <v>17</v>
      </c>
      <c r="C18" s="46">
        <v>4</v>
      </c>
      <c r="D18" s="116">
        <v>2022</v>
      </c>
      <c r="E18" s="103">
        <v>26000.000000000451</v>
      </c>
      <c r="F18" s="122">
        <v>0.19400000000000001</v>
      </c>
      <c r="G18" s="103">
        <v>7302</v>
      </c>
      <c r="H18" s="123">
        <v>0.70309999999999995</v>
      </c>
      <c r="I18" s="63">
        <v>403</v>
      </c>
      <c r="J18" s="73">
        <v>0.56200000000000006</v>
      </c>
      <c r="K18" s="100"/>
      <c r="L18" s="73">
        <v>1</v>
      </c>
      <c r="M18" s="69">
        <v>48</v>
      </c>
      <c r="N18" s="69">
        <v>136</v>
      </c>
      <c r="O18" s="69">
        <v>382</v>
      </c>
    </row>
    <row r="19" spans="1:15" ht="15" x14ac:dyDescent="0.25">
      <c r="A19" s="44" t="s">
        <v>9</v>
      </c>
      <c r="B19" s="45">
        <f t="shared" si="0"/>
        <v>18</v>
      </c>
      <c r="C19" s="46">
        <v>4</v>
      </c>
      <c r="D19" s="116">
        <v>2022</v>
      </c>
      <c r="E19" s="103">
        <v>24520.000000000437</v>
      </c>
      <c r="F19" s="122">
        <v>0.19400000000000001</v>
      </c>
      <c r="G19" s="103">
        <v>6988</v>
      </c>
      <c r="H19" s="123">
        <v>0.70309999999999995</v>
      </c>
      <c r="I19" s="63">
        <v>356</v>
      </c>
      <c r="J19" s="73">
        <v>0.56200000000000006</v>
      </c>
      <c r="K19" s="100"/>
      <c r="L19" s="73">
        <v>1</v>
      </c>
      <c r="M19" s="69">
        <v>36</v>
      </c>
      <c r="N19" s="69">
        <v>114</v>
      </c>
      <c r="O19" s="69">
        <v>328</v>
      </c>
    </row>
    <row r="20" spans="1:15" ht="15" x14ac:dyDescent="0.25">
      <c r="A20" s="44" t="s">
        <v>9</v>
      </c>
      <c r="B20" s="45">
        <f t="shared" si="0"/>
        <v>19</v>
      </c>
      <c r="C20" s="46">
        <v>4</v>
      </c>
      <c r="D20" s="116">
        <v>2022</v>
      </c>
      <c r="E20" s="103">
        <v>23659.9999999994</v>
      </c>
      <c r="F20" s="122">
        <v>0.19400000000000001</v>
      </c>
      <c r="G20" s="103">
        <v>6745</v>
      </c>
      <c r="H20" s="123">
        <v>0.70309999999999995</v>
      </c>
      <c r="I20" s="63">
        <v>378</v>
      </c>
      <c r="J20" s="73">
        <v>0.56200000000000006</v>
      </c>
      <c r="K20" s="100"/>
      <c r="L20" s="73">
        <v>1</v>
      </c>
      <c r="M20" s="69">
        <v>31</v>
      </c>
      <c r="N20" s="69">
        <v>94</v>
      </c>
      <c r="O20" s="69">
        <v>255</v>
      </c>
    </row>
    <row r="21" spans="1:15" ht="15" x14ac:dyDescent="0.25">
      <c r="A21" s="44" t="s">
        <v>9</v>
      </c>
      <c r="B21" s="45">
        <f t="shared" si="0"/>
        <v>20</v>
      </c>
      <c r="C21" s="46">
        <v>4</v>
      </c>
      <c r="D21" s="116">
        <v>2022</v>
      </c>
      <c r="E21" s="103">
        <v>24009.999999998854</v>
      </c>
      <c r="F21" s="122">
        <v>0.19400000000000001</v>
      </c>
      <c r="G21" s="103">
        <v>6815</v>
      </c>
      <c r="H21" s="123">
        <v>0.70309999999999995</v>
      </c>
      <c r="I21" s="63">
        <v>325</v>
      </c>
      <c r="J21" s="73">
        <v>0.56200000000000006</v>
      </c>
      <c r="K21" s="100"/>
      <c r="L21" s="73">
        <v>1</v>
      </c>
      <c r="M21" s="69">
        <v>26</v>
      </c>
      <c r="N21" s="69">
        <v>73</v>
      </c>
      <c r="O21" s="69">
        <v>229</v>
      </c>
    </row>
    <row r="22" spans="1:15" ht="15" x14ac:dyDescent="0.25">
      <c r="A22" s="44" t="s">
        <v>9</v>
      </c>
      <c r="B22" s="45">
        <f t="shared" si="0"/>
        <v>21</v>
      </c>
      <c r="C22" s="46">
        <v>4</v>
      </c>
      <c r="D22" s="116">
        <v>2022</v>
      </c>
      <c r="E22" s="103"/>
      <c r="F22" s="122">
        <v>0.19400000000000001</v>
      </c>
      <c r="G22" s="103"/>
      <c r="H22" s="123">
        <v>0.70309999999999995</v>
      </c>
      <c r="I22" s="63"/>
      <c r="J22" s="73">
        <v>0.56200000000000006</v>
      </c>
      <c r="K22" s="100"/>
      <c r="L22" s="73">
        <v>1</v>
      </c>
      <c r="M22" s="69">
        <v>27</v>
      </c>
      <c r="N22" s="69">
        <v>66</v>
      </c>
      <c r="O22" s="69">
        <v>209</v>
      </c>
    </row>
    <row r="23" spans="1:15" ht="15" x14ac:dyDescent="0.25">
      <c r="A23" s="44" t="s">
        <v>9</v>
      </c>
      <c r="B23" s="45">
        <f t="shared" si="0"/>
        <v>22</v>
      </c>
      <c r="C23" s="46">
        <v>4</v>
      </c>
      <c r="D23" s="116">
        <v>2022</v>
      </c>
      <c r="E23" s="103"/>
      <c r="F23" s="122">
        <v>0.19400000000000001</v>
      </c>
      <c r="G23" s="103"/>
      <c r="H23" s="123">
        <v>0.70309999999999995</v>
      </c>
      <c r="I23" s="63"/>
      <c r="J23" s="73">
        <v>0.56200000000000006</v>
      </c>
      <c r="K23" s="100"/>
      <c r="L23" s="73">
        <v>1</v>
      </c>
      <c r="M23" s="69">
        <v>30</v>
      </c>
      <c r="N23" s="69">
        <v>78</v>
      </c>
      <c r="O23" s="69">
        <v>211</v>
      </c>
    </row>
    <row r="24" spans="1:15" ht="15" x14ac:dyDescent="0.25">
      <c r="A24" s="44" t="s">
        <v>9</v>
      </c>
      <c r="B24" s="45">
        <f t="shared" si="0"/>
        <v>23</v>
      </c>
      <c r="C24" s="46">
        <v>4</v>
      </c>
      <c r="D24" s="116">
        <v>2022</v>
      </c>
      <c r="E24" s="103"/>
      <c r="F24" s="122">
        <v>0.19400000000000001</v>
      </c>
      <c r="G24" s="103"/>
      <c r="H24" s="123">
        <v>0.70309999999999995</v>
      </c>
      <c r="I24" s="63"/>
      <c r="J24" s="73">
        <v>0.56200000000000006</v>
      </c>
      <c r="K24" s="100"/>
      <c r="L24" s="73">
        <v>1</v>
      </c>
      <c r="M24" s="69">
        <v>40</v>
      </c>
      <c r="N24" s="69">
        <v>102</v>
      </c>
      <c r="O24" s="69">
        <v>274</v>
      </c>
    </row>
    <row r="25" spans="1:15" ht="15" x14ac:dyDescent="0.25">
      <c r="A25" s="44" t="s">
        <v>9</v>
      </c>
      <c r="B25" s="45">
        <f t="shared" si="0"/>
        <v>24</v>
      </c>
      <c r="C25" s="46">
        <v>4</v>
      </c>
      <c r="D25" s="116">
        <v>2022</v>
      </c>
      <c r="E25" s="103"/>
      <c r="F25" s="122">
        <v>0.19400000000000001</v>
      </c>
      <c r="G25" s="103"/>
      <c r="H25" s="123">
        <v>0.70309999999999995</v>
      </c>
      <c r="I25" s="63"/>
      <c r="J25" s="73">
        <v>0.56200000000000006</v>
      </c>
      <c r="K25" s="100"/>
      <c r="L25" s="73">
        <v>1</v>
      </c>
      <c r="M25" s="69">
        <v>37</v>
      </c>
      <c r="N25" s="69">
        <v>89</v>
      </c>
      <c r="O25" s="69">
        <v>296</v>
      </c>
    </row>
    <row r="26" spans="1:15" ht="15" x14ac:dyDescent="0.25">
      <c r="A26" s="44" t="s">
        <v>9</v>
      </c>
      <c r="B26" s="45">
        <f>B25+1</f>
        <v>25</v>
      </c>
      <c r="C26" s="46">
        <v>4</v>
      </c>
      <c r="D26" s="116">
        <v>2022</v>
      </c>
      <c r="E26" s="103"/>
      <c r="F26" s="122">
        <v>0.19400000000000001</v>
      </c>
      <c r="G26" s="103"/>
      <c r="H26" s="123">
        <v>0.70309999999999995</v>
      </c>
      <c r="I26" s="63"/>
      <c r="J26" s="73">
        <v>0.56200000000000006</v>
      </c>
      <c r="K26" s="100"/>
      <c r="L26" s="73">
        <v>1</v>
      </c>
      <c r="M26" s="69">
        <v>53</v>
      </c>
      <c r="N26" s="69">
        <v>116</v>
      </c>
      <c r="O26" s="69">
        <v>291</v>
      </c>
    </row>
    <row r="27" spans="1:15" ht="15" x14ac:dyDescent="0.25">
      <c r="A27" s="44" t="s">
        <v>9</v>
      </c>
      <c r="B27" s="45">
        <f t="shared" si="0"/>
        <v>26</v>
      </c>
      <c r="C27" s="46">
        <v>4</v>
      </c>
      <c r="D27" s="116">
        <v>2022</v>
      </c>
      <c r="E27" s="103"/>
      <c r="F27" s="122">
        <v>0.19400000000000001</v>
      </c>
      <c r="G27" s="103"/>
      <c r="H27" s="123">
        <v>0.70309999999999995</v>
      </c>
      <c r="I27" s="63"/>
      <c r="J27" s="73">
        <v>0.56200000000000006</v>
      </c>
      <c r="K27" s="100"/>
      <c r="L27" s="73">
        <v>1</v>
      </c>
      <c r="M27" s="69">
        <v>50</v>
      </c>
      <c r="N27" s="69">
        <v>105</v>
      </c>
      <c r="O27" s="69">
        <v>257</v>
      </c>
    </row>
    <row r="28" spans="1:15" ht="15" x14ac:dyDescent="0.25">
      <c r="A28" s="44" t="s">
        <v>9</v>
      </c>
      <c r="B28" s="45">
        <f t="shared" si="0"/>
        <v>27</v>
      </c>
      <c r="C28" s="46">
        <v>4</v>
      </c>
      <c r="D28" s="116">
        <v>2022</v>
      </c>
      <c r="E28" s="103"/>
      <c r="F28" s="122">
        <v>0.19400000000000001</v>
      </c>
      <c r="G28" s="103"/>
      <c r="H28" s="123">
        <v>0.70309999999999995</v>
      </c>
      <c r="I28" s="63"/>
      <c r="J28" s="73">
        <v>0.56200000000000006</v>
      </c>
      <c r="K28" s="100"/>
      <c r="L28" s="73">
        <v>1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4</v>
      </c>
      <c r="D29" s="116">
        <v>2022</v>
      </c>
      <c r="E29" s="103"/>
      <c r="F29" s="122">
        <v>0.19400000000000001</v>
      </c>
      <c r="G29" s="103"/>
      <c r="H29" s="123">
        <v>0.70309999999999995</v>
      </c>
      <c r="I29" s="63"/>
      <c r="J29" s="73">
        <v>0.56200000000000006</v>
      </c>
      <c r="K29" s="100"/>
      <c r="L29" s="73">
        <v>1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4</v>
      </c>
      <c r="D30" s="116">
        <v>2022</v>
      </c>
      <c r="E30" s="103"/>
      <c r="F30" s="122">
        <v>0.19400000000000001</v>
      </c>
      <c r="G30" s="103"/>
      <c r="H30" s="123">
        <v>0.70309999999999995</v>
      </c>
      <c r="I30" s="63"/>
      <c r="J30" s="73">
        <v>0.56200000000000006</v>
      </c>
      <c r="K30" s="100"/>
      <c r="L30" s="73">
        <v>1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4</v>
      </c>
      <c r="D31" s="116">
        <v>2022</v>
      </c>
      <c r="E31" s="99"/>
      <c r="F31" s="122">
        <v>0.19400000000000001</v>
      </c>
      <c r="G31" s="99"/>
      <c r="H31" s="123">
        <v>0.70309999999999995</v>
      </c>
      <c r="I31" s="63"/>
      <c r="J31" s="73">
        <v>0.56200000000000006</v>
      </c>
      <c r="K31" s="100"/>
      <c r="L31" s="73">
        <v>1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4</v>
      </c>
      <c r="D32" s="116">
        <v>2022</v>
      </c>
      <c r="E32" s="99"/>
      <c r="F32" s="122">
        <v>0.19400000000000001</v>
      </c>
      <c r="G32" s="99"/>
      <c r="H32" s="123">
        <v>0.70309999999999995</v>
      </c>
      <c r="I32" s="63"/>
      <c r="J32" s="73">
        <v>0.56200000000000006</v>
      </c>
      <c r="K32" s="100"/>
      <c r="L32" s="73">
        <v>1</v>
      </c>
      <c r="M32" s="69"/>
      <c r="N32" s="69"/>
      <c r="O32" s="69"/>
    </row>
    <row r="33" spans="1:15" ht="18.75" customHeight="1" x14ac:dyDescent="0.2">
      <c r="A33" s="127" t="s">
        <v>52</v>
      </c>
      <c r="B33" s="127"/>
      <c r="C33" s="127"/>
      <c r="D33" s="127"/>
      <c r="E33" s="115">
        <f>SUM(E2:E32)</f>
        <v>489769.99999999942</v>
      </c>
      <c r="F33" s="96">
        <v>0</v>
      </c>
      <c r="G33" s="115">
        <f>SUM(G2:G32)</f>
        <v>-749780</v>
      </c>
      <c r="H33" s="94">
        <v>0</v>
      </c>
      <c r="I33" s="95">
        <f>SUM(I2:I32)</f>
        <v>7372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1448</v>
      </c>
      <c r="N33" s="98">
        <f t="shared" si="1"/>
        <v>3833</v>
      </c>
      <c r="O33" s="98">
        <f t="shared" si="1"/>
        <v>10589</v>
      </c>
    </row>
    <row r="40" spans="1:15" x14ac:dyDescent="0.2">
      <c r="C40" s="43" t="s">
        <v>127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0" zoomScale="78" zoomScaleNormal="78" workbookViewId="0">
      <selection activeCell="A27" sqref="A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1" t="s">
        <v>10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74"/>
      <c r="V1" s="74"/>
    </row>
    <row r="2" spans="1:25" s="17" customFormat="1" ht="33" customHeight="1" x14ac:dyDescent="0.25">
      <c r="A2" s="28" t="s">
        <v>2</v>
      </c>
      <c r="B2" s="128" t="s">
        <v>125</v>
      </c>
      <c r="C2" s="128" t="s">
        <v>11</v>
      </c>
      <c r="D2" s="128" t="s">
        <v>12</v>
      </c>
      <c r="E2" s="128" t="s">
        <v>13</v>
      </c>
      <c r="F2" s="128" t="s">
        <v>14</v>
      </c>
      <c r="G2" s="133" t="s">
        <v>15</v>
      </c>
      <c r="H2" s="135" t="s">
        <v>16</v>
      </c>
      <c r="I2" s="128" t="s">
        <v>17</v>
      </c>
      <c r="J2" s="138" t="s">
        <v>18</v>
      </c>
      <c r="K2" s="139"/>
      <c r="L2" s="140"/>
      <c r="M2" s="133" t="s">
        <v>19</v>
      </c>
      <c r="N2" s="135" t="s">
        <v>20</v>
      </c>
      <c r="O2" s="136" t="s">
        <v>21</v>
      </c>
      <c r="P2" s="135" t="s">
        <v>22</v>
      </c>
      <c r="Q2" s="141" t="s">
        <v>23</v>
      </c>
      <c r="R2" s="128" t="s">
        <v>24</v>
      </c>
      <c r="S2" s="128" t="s">
        <v>25</v>
      </c>
      <c r="T2" s="128" t="s">
        <v>26</v>
      </c>
      <c r="V2" s="130" t="s">
        <v>6</v>
      </c>
      <c r="W2" s="130" t="s">
        <v>7</v>
      </c>
      <c r="X2" s="130" t="s">
        <v>8</v>
      </c>
    </row>
    <row r="3" spans="1:25" s="17" customFormat="1" ht="45" customHeight="1" x14ac:dyDescent="0.25">
      <c r="A3" s="29"/>
      <c r="B3" s="129"/>
      <c r="C3" s="129"/>
      <c r="D3" s="129"/>
      <c r="E3" s="129"/>
      <c r="F3" s="129"/>
      <c r="G3" s="134"/>
      <c r="H3" s="135"/>
      <c r="I3" s="129"/>
      <c r="J3" s="18" t="s">
        <v>27</v>
      </c>
      <c r="K3" s="18" t="s">
        <v>28</v>
      </c>
      <c r="L3" s="18" t="s">
        <v>29</v>
      </c>
      <c r="M3" s="134"/>
      <c r="N3" s="135"/>
      <c r="O3" s="137"/>
      <c r="P3" s="135"/>
      <c r="Q3" s="142"/>
      <c r="R3" s="129"/>
      <c r="S3" s="129"/>
      <c r="T3" s="129"/>
      <c r="V3" s="130"/>
      <c r="W3" s="130"/>
      <c r="X3" s="130"/>
    </row>
    <row r="4" spans="1:25" ht="21" customHeight="1" x14ac:dyDescent="0.25">
      <c r="A4" s="8">
        <v>44652</v>
      </c>
      <c r="B4" s="105">
        <v>1.3107</v>
      </c>
      <c r="C4" s="106">
        <v>298.74</v>
      </c>
      <c r="D4" s="106">
        <v>8060007.3899999997</v>
      </c>
      <c r="E4" s="106">
        <v>8953592.2400000002</v>
      </c>
      <c r="F4" s="106">
        <v>3.0869</v>
      </c>
      <c r="G4" s="106">
        <v>987.87</v>
      </c>
      <c r="H4" s="106">
        <v>865.12</v>
      </c>
      <c r="I4" s="106">
        <v>317.7</v>
      </c>
      <c r="J4" s="106">
        <v>432.98</v>
      </c>
      <c r="K4" s="106">
        <v>436.44</v>
      </c>
      <c r="L4" s="106">
        <v>296.61</v>
      </c>
      <c r="M4" s="106">
        <v>723.85</v>
      </c>
      <c r="N4" s="106">
        <v>683.45</v>
      </c>
      <c r="O4" s="106">
        <v>210.21</v>
      </c>
      <c r="P4" s="106">
        <v>890.12</v>
      </c>
      <c r="Q4" s="106">
        <v>656.22</v>
      </c>
      <c r="R4" s="106">
        <v>190.15</v>
      </c>
      <c r="S4" s="106">
        <v>152.19999999999999</v>
      </c>
      <c r="T4" s="106">
        <v>554.32000000000005</v>
      </c>
      <c r="V4" s="69">
        <v>59</v>
      </c>
      <c r="W4" s="69">
        <v>160</v>
      </c>
      <c r="X4" s="69">
        <v>424</v>
      </c>
      <c r="Y4" s="17"/>
    </row>
    <row r="5" spans="1:25" ht="21" customHeight="1" x14ac:dyDescent="0.25">
      <c r="A5" s="8">
        <v>44653</v>
      </c>
      <c r="B5" s="107">
        <v>1.3120000000000001</v>
      </c>
      <c r="C5" s="108">
        <v>299</v>
      </c>
      <c r="D5" s="108">
        <v>8062169.9900000002</v>
      </c>
      <c r="E5" s="108">
        <v>8956190.7599999998</v>
      </c>
      <c r="F5" s="108">
        <v>3.0897000000000001</v>
      </c>
      <c r="G5" s="108">
        <v>988.95</v>
      </c>
      <c r="H5" s="108">
        <v>866.48</v>
      </c>
      <c r="I5" s="108">
        <v>318.07</v>
      </c>
      <c r="J5" s="108">
        <v>433.56</v>
      </c>
      <c r="K5" s="108">
        <v>436.79</v>
      </c>
      <c r="L5" s="108">
        <v>296.86</v>
      </c>
      <c r="M5" s="108">
        <v>724.73</v>
      </c>
      <c r="N5" s="108">
        <v>684.38</v>
      </c>
      <c r="O5" s="108">
        <v>210.42</v>
      </c>
      <c r="P5" s="108">
        <v>891.09</v>
      </c>
      <c r="Q5" s="108">
        <v>657.05</v>
      </c>
      <c r="R5" s="108">
        <v>190.15</v>
      </c>
      <c r="S5" s="108">
        <v>152.34</v>
      </c>
      <c r="T5" s="108">
        <v>554.63</v>
      </c>
      <c r="V5" s="69">
        <v>58</v>
      </c>
      <c r="W5" s="69">
        <v>162</v>
      </c>
      <c r="X5" s="69">
        <v>474</v>
      </c>
      <c r="Y5" s="17"/>
    </row>
    <row r="6" spans="1:25" ht="21" customHeight="1" x14ac:dyDescent="0.25">
      <c r="A6" s="8">
        <v>44654</v>
      </c>
      <c r="B6" s="107">
        <v>1.3132999999999999</v>
      </c>
      <c r="C6" s="108">
        <v>299.20999999999998</v>
      </c>
      <c r="D6" s="108">
        <v>8064348.5499999998</v>
      </c>
      <c r="E6" s="108">
        <v>8959297.1899999995</v>
      </c>
      <c r="F6" s="108">
        <v>3.0924999999999998</v>
      </c>
      <c r="G6" s="108">
        <v>990.03</v>
      </c>
      <c r="H6" s="108">
        <v>867.89</v>
      </c>
      <c r="I6" s="108">
        <v>318.43</v>
      </c>
      <c r="J6" s="108">
        <v>434.13</v>
      </c>
      <c r="K6" s="108">
        <v>437.18</v>
      </c>
      <c r="L6" s="108">
        <v>297.08999999999997</v>
      </c>
      <c r="M6" s="108">
        <v>725.65</v>
      </c>
      <c r="N6" s="108">
        <v>685.3</v>
      </c>
      <c r="O6" s="108">
        <v>210.65</v>
      </c>
      <c r="P6" s="108">
        <v>892.01</v>
      </c>
      <c r="Q6" s="108">
        <v>657.87</v>
      </c>
      <c r="R6" s="108">
        <v>190.15</v>
      </c>
      <c r="S6" s="108">
        <v>152.47999999999999</v>
      </c>
      <c r="T6" s="108">
        <v>555.21</v>
      </c>
      <c r="V6" s="69">
        <v>56</v>
      </c>
      <c r="W6" s="69">
        <v>161</v>
      </c>
      <c r="X6" s="69">
        <v>481</v>
      </c>
      <c r="Y6" s="17"/>
    </row>
    <row r="7" spans="1:25" ht="21" customHeight="1" x14ac:dyDescent="0.25">
      <c r="A7" s="8">
        <v>44655</v>
      </c>
      <c r="B7" s="107">
        <v>1.3146</v>
      </c>
      <c r="C7" s="108">
        <v>299.45</v>
      </c>
      <c r="D7" s="108">
        <v>8066600.4000000004</v>
      </c>
      <c r="E7" s="108">
        <v>8962147.9700000007</v>
      </c>
      <c r="F7" s="108">
        <v>3.0952000000000002</v>
      </c>
      <c r="G7" s="108">
        <v>991.06</v>
      </c>
      <c r="H7" s="108">
        <v>869.27</v>
      </c>
      <c r="I7" s="108">
        <v>318.77999999999997</v>
      </c>
      <c r="J7" s="108">
        <v>434.77</v>
      </c>
      <c r="K7" s="108">
        <v>437.57</v>
      </c>
      <c r="L7" s="108">
        <v>297.33</v>
      </c>
      <c r="M7" s="108">
        <v>726.58</v>
      </c>
      <c r="N7" s="108">
        <v>686.2</v>
      </c>
      <c r="O7" s="108">
        <v>210.88</v>
      </c>
      <c r="P7" s="108">
        <v>892.88</v>
      </c>
      <c r="Q7" s="108">
        <v>658.71</v>
      </c>
      <c r="R7" s="108">
        <v>190.15</v>
      </c>
      <c r="S7" s="108">
        <v>152.63</v>
      </c>
      <c r="T7" s="108">
        <v>555.78</v>
      </c>
      <c r="V7" s="69">
        <v>63</v>
      </c>
      <c r="W7" s="69">
        <v>167</v>
      </c>
      <c r="X7" s="69">
        <v>441</v>
      </c>
      <c r="Y7" s="17"/>
    </row>
    <row r="8" spans="1:25" ht="21" customHeight="1" x14ac:dyDescent="0.25">
      <c r="A8" s="8">
        <v>44656</v>
      </c>
      <c r="B8" s="107">
        <v>1.3156000000000001</v>
      </c>
      <c r="C8" s="108">
        <v>299.7</v>
      </c>
      <c r="D8" s="108">
        <v>8068635.75</v>
      </c>
      <c r="E8" s="108">
        <v>8965013.6899999995</v>
      </c>
      <c r="F8" s="108">
        <v>3.0979999999999999</v>
      </c>
      <c r="G8" s="108">
        <v>992.07</v>
      </c>
      <c r="H8" s="108">
        <v>870.75</v>
      </c>
      <c r="I8" s="108">
        <v>319.11</v>
      </c>
      <c r="J8" s="108">
        <v>435.35</v>
      </c>
      <c r="K8" s="108">
        <v>437.98</v>
      </c>
      <c r="L8" s="108">
        <v>297.58</v>
      </c>
      <c r="M8" s="108">
        <v>727.42</v>
      </c>
      <c r="N8" s="108">
        <v>687.11</v>
      </c>
      <c r="O8" s="108">
        <v>211.12</v>
      </c>
      <c r="P8" s="108">
        <v>893.96</v>
      </c>
      <c r="Q8" s="108">
        <v>659.55</v>
      </c>
      <c r="R8" s="108">
        <v>190.15</v>
      </c>
      <c r="S8" s="108">
        <v>152.76</v>
      </c>
      <c r="T8" s="108">
        <v>556.34</v>
      </c>
      <c r="V8" s="102">
        <v>63</v>
      </c>
      <c r="W8" s="102">
        <v>172</v>
      </c>
      <c r="X8" s="126">
        <v>477</v>
      </c>
      <c r="Y8" s="17"/>
    </row>
    <row r="9" spans="1:25" ht="21" customHeight="1" x14ac:dyDescent="0.25">
      <c r="A9" s="8">
        <v>44657</v>
      </c>
      <c r="B9" s="109">
        <v>1.3169999999999999</v>
      </c>
      <c r="C9" s="110">
        <v>299.95</v>
      </c>
      <c r="D9" s="109">
        <v>8070573.4699999997</v>
      </c>
      <c r="E9" s="111">
        <v>8967524.1899999995</v>
      </c>
      <c r="F9" s="110">
        <v>3.1006</v>
      </c>
      <c r="G9" s="109">
        <v>992.99</v>
      </c>
      <c r="H9" s="111">
        <v>872.01</v>
      </c>
      <c r="I9" s="111">
        <v>319.41000000000003</v>
      </c>
      <c r="J9" s="108">
        <v>435.85</v>
      </c>
      <c r="K9" s="108">
        <v>438.38</v>
      </c>
      <c r="L9" s="108">
        <v>297.82</v>
      </c>
      <c r="M9" s="108">
        <v>728.14</v>
      </c>
      <c r="N9" s="108">
        <v>687.95</v>
      </c>
      <c r="O9" s="108">
        <v>211.31</v>
      </c>
      <c r="P9" s="108">
        <v>894.97</v>
      </c>
      <c r="Q9" s="108">
        <v>660.32</v>
      </c>
      <c r="R9" s="108">
        <v>190.15</v>
      </c>
      <c r="S9" s="108">
        <v>152.91</v>
      </c>
      <c r="T9" s="108">
        <v>556.9</v>
      </c>
      <c r="V9" s="102">
        <v>67</v>
      </c>
      <c r="W9" s="102">
        <v>181</v>
      </c>
      <c r="X9" s="126">
        <v>472</v>
      </c>
      <c r="Y9" s="17"/>
    </row>
    <row r="10" spans="1:25" ht="21" customHeight="1" x14ac:dyDescent="0.25">
      <c r="A10" s="8">
        <v>44658</v>
      </c>
      <c r="B10" s="105">
        <v>1.3182</v>
      </c>
      <c r="C10" s="106">
        <v>300.18</v>
      </c>
      <c r="D10" s="106">
        <v>8072544.0099999998</v>
      </c>
      <c r="E10" s="106">
        <v>8970246.6899999995</v>
      </c>
      <c r="F10" s="106">
        <v>3.1032999999999999</v>
      </c>
      <c r="G10" s="106">
        <v>993.94</v>
      </c>
      <c r="H10" s="106">
        <v>873.36</v>
      </c>
      <c r="I10" s="106">
        <v>319.74</v>
      </c>
      <c r="J10" s="108">
        <v>436.28</v>
      </c>
      <c r="K10" s="108">
        <v>438.77</v>
      </c>
      <c r="L10" s="108">
        <v>298.06</v>
      </c>
      <c r="M10" s="108">
        <v>728.91</v>
      </c>
      <c r="N10" s="108">
        <v>688.84</v>
      </c>
      <c r="O10" s="108">
        <v>211.53</v>
      </c>
      <c r="P10" s="108">
        <v>895.98</v>
      </c>
      <c r="Q10" s="108">
        <v>661.13</v>
      </c>
      <c r="R10" s="108">
        <v>190.15</v>
      </c>
      <c r="S10" s="108">
        <v>153.06</v>
      </c>
      <c r="T10" s="108">
        <v>557.48</v>
      </c>
      <c r="V10" s="102">
        <v>65</v>
      </c>
      <c r="W10" s="102">
        <v>177</v>
      </c>
      <c r="X10" s="102">
        <v>448</v>
      </c>
      <c r="Y10" s="17"/>
    </row>
    <row r="11" spans="1:25" ht="21" customHeight="1" x14ac:dyDescent="0.25">
      <c r="A11" s="8">
        <v>44659</v>
      </c>
      <c r="B11" s="107">
        <v>1.3194999999999999</v>
      </c>
      <c r="C11" s="108">
        <v>300.44</v>
      </c>
      <c r="D11" s="108">
        <v>8074633.4299999997</v>
      </c>
      <c r="E11" s="108">
        <v>8973227.8900000006</v>
      </c>
      <c r="F11" s="108">
        <v>3.1059999999999999</v>
      </c>
      <c r="G11" s="108">
        <v>994.94</v>
      </c>
      <c r="H11" s="108">
        <v>874.77</v>
      </c>
      <c r="I11" s="108">
        <v>320.10000000000002</v>
      </c>
      <c r="J11" s="108">
        <v>436.82</v>
      </c>
      <c r="K11" s="108">
        <v>439.18</v>
      </c>
      <c r="L11" s="108">
        <v>298.29000000000002</v>
      </c>
      <c r="M11" s="108">
        <v>729.65</v>
      </c>
      <c r="N11" s="108">
        <v>689.77</v>
      </c>
      <c r="O11" s="108">
        <v>211.74</v>
      </c>
      <c r="P11" s="108">
        <v>897.06</v>
      </c>
      <c r="Q11" s="108">
        <v>661.97</v>
      </c>
      <c r="R11" s="108">
        <v>190.15</v>
      </c>
      <c r="S11" s="108">
        <v>153.21</v>
      </c>
      <c r="T11" s="108">
        <v>558.05999999999995</v>
      </c>
      <c r="V11" s="102">
        <v>69</v>
      </c>
      <c r="W11" s="102">
        <v>194</v>
      </c>
      <c r="X11" s="102">
        <v>522</v>
      </c>
      <c r="Y11" s="17"/>
    </row>
    <row r="12" spans="1:25" ht="21" customHeight="1" x14ac:dyDescent="0.25">
      <c r="A12" s="8">
        <v>44660</v>
      </c>
      <c r="B12" s="107">
        <v>1.3207</v>
      </c>
      <c r="C12" s="108">
        <v>300.7</v>
      </c>
      <c r="D12" s="108">
        <v>8076898.2800000003</v>
      </c>
      <c r="E12" s="108">
        <v>8976318.9299999997</v>
      </c>
      <c r="F12" s="108">
        <v>3.1088</v>
      </c>
      <c r="G12" s="108">
        <v>995.98</v>
      </c>
      <c r="H12" s="108">
        <v>876.25</v>
      </c>
      <c r="I12" s="108">
        <v>320.45</v>
      </c>
      <c r="J12" s="108">
        <v>437.59</v>
      </c>
      <c r="K12" s="108">
        <v>439.59</v>
      </c>
      <c r="L12" s="108">
        <v>298.52999999999997</v>
      </c>
      <c r="M12" s="108">
        <v>730.49</v>
      </c>
      <c r="N12" s="108">
        <v>690.75</v>
      </c>
      <c r="O12" s="108">
        <v>211.96</v>
      </c>
      <c r="P12" s="108">
        <v>898.16</v>
      </c>
      <c r="Q12" s="108">
        <v>662.84</v>
      </c>
      <c r="R12" s="108">
        <v>190.15</v>
      </c>
      <c r="S12" s="108">
        <v>153.32</v>
      </c>
      <c r="T12" s="108">
        <v>558.61</v>
      </c>
      <c r="V12" s="102">
        <v>72</v>
      </c>
      <c r="W12" s="102">
        <v>202</v>
      </c>
      <c r="X12" s="102">
        <v>492</v>
      </c>
      <c r="Y12" s="17"/>
    </row>
    <row r="13" spans="1:25" ht="21" customHeight="1" x14ac:dyDescent="0.25">
      <c r="A13" s="8">
        <v>44661</v>
      </c>
      <c r="B13" s="107">
        <v>1.3220000000000001</v>
      </c>
      <c r="C13" s="108">
        <v>300.95</v>
      </c>
      <c r="D13" s="108">
        <v>8079132.8200000003</v>
      </c>
      <c r="E13" s="108">
        <v>8979669.6300000008</v>
      </c>
      <c r="F13" s="108">
        <v>3.1116000000000001</v>
      </c>
      <c r="G13" s="108">
        <v>997</v>
      </c>
      <c r="H13" s="108">
        <v>877.78</v>
      </c>
      <c r="I13" s="108">
        <v>320.8</v>
      </c>
      <c r="J13" s="108">
        <v>438.11</v>
      </c>
      <c r="K13" s="108">
        <v>440</v>
      </c>
      <c r="L13" s="108">
        <v>298.77</v>
      </c>
      <c r="M13" s="108">
        <v>731.36</v>
      </c>
      <c r="N13" s="108">
        <v>691.76</v>
      </c>
      <c r="O13" s="108">
        <v>212.17</v>
      </c>
      <c r="P13" s="108">
        <v>899.26</v>
      </c>
      <c r="Q13" s="108">
        <v>663.71</v>
      </c>
      <c r="R13" s="108">
        <v>190.15</v>
      </c>
      <c r="S13" s="108">
        <v>153.47999999999999</v>
      </c>
      <c r="T13" s="108">
        <v>559.19000000000005</v>
      </c>
      <c r="V13" s="102">
        <v>75</v>
      </c>
      <c r="W13" s="102">
        <v>200</v>
      </c>
      <c r="X13" s="102">
        <v>534</v>
      </c>
      <c r="Y13" s="17"/>
    </row>
    <row r="14" spans="1:25" ht="21" customHeight="1" x14ac:dyDescent="0.25">
      <c r="A14" s="8">
        <v>44662</v>
      </c>
      <c r="B14" s="107">
        <v>1.3232999999999999</v>
      </c>
      <c r="C14" s="108">
        <v>301.2</v>
      </c>
      <c r="D14" s="108">
        <v>8081291.5499999998</v>
      </c>
      <c r="E14" s="108">
        <v>8983147.0600000005</v>
      </c>
      <c r="F14" s="108">
        <v>3.1145</v>
      </c>
      <c r="G14" s="108">
        <v>997.97</v>
      </c>
      <c r="H14" s="108">
        <v>879.2</v>
      </c>
      <c r="I14" s="108">
        <v>321.19</v>
      </c>
      <c r="J14" s="108">
        <v>438.77</v>
      </c>
      <c r="K14" s="108">
        <v>440.4</v>
      </c>
      <c r="L14" s="108">
        <v>299.02</v>
      </c>
      <c r="M14" s="108">
        <v>732.24</v>
      </c>
      <c r="N14" s="108">
        <v>692.7</v>
      </c>
      <c r="O14" s="108">
        <v>212.39</v>
      </c>
      <c r="P14" s="108">
        <v>900.42</v>
      </c>
      <c r="Q14" s="108">
        <v>664.62</v>
      </c>
      <c r="R14" s="108">
        <v>190.15</v>
      </c>
      <c r="S14" s="108">
        <v>153.62</v>
      </c>
      <c r="T14" s="108">
        <v>559.76</v>
      </c>
      <c r="V14" s="102">
        <v>75</v>
      </c>
      <c r="W14" s="102">
        <v>188</v>
      </c>
      <c r="X14" s="102">
        <v>525</v>
      </c>
      <c r="Y14" s="17"/>
    </row>
    <row r="15" spans="1:25" ht="21" customHeight="1" x14ac:dyDescent="0.25">
      <c r="A15" s="8">
        <v>44663</v>
      </c>
      <c r="B15" s="107">
        <v>1.3245</v>
      </c>
      <c r="C15" s="108">
        <v>301.45999999999998</v>
      </c>
      <c r="D15" s="108">
        <v>8083649.6799999997</v>
      </c>
      <c r="E15" s="108">
        <v>8986741.5199999996</v>
      </c>
      <c r="F15" s="108">
        <v>3.1172</v>
      </c>
      <c r="G15" s="108">
        <v>998.99</v>
      </c>
      <c r="H15" s="108">
        <v>880.6</v>
      </c>
      <c r="I15" s="108">
        <v>321.54000000000002</v>
      </c>
      <c r="J15" s="108">
        <v>439.26</v>
      </c>
      <c r="K15" s="108">
        <v>440.85</v>
      </c>
      <c r="L15" s="108">
        <v>299.31</v>
      </c>
      <c r="M15" s="108">
        <v>733.14</v>
      </c>
      <c r="N15" s="108">
        <v>693.69</v>
      </c>
      <c r="O15" s="108">
        <v>212.61</v>
      </c>
      <c r="P15" s="108">
        <v>901.43</v>
      </c>
      <c r="Q15" s="108">
        <v>665.47</v>
      </c>
      <c r="R15" s="108">
        <v>190.15</v>
      </c>
      <c r="S15" s="108">
        <v>153.77000000000001</v>
      </c>
      <c r="T15" s="108">
        <v>560.32000000000005</v>
      </c>
      <c r="V15" s="102">
        <v>77</v>
      </c>
      <c r="W15" s="102">
        <v>197</v>
      </c>
      <c r="X15" s="102">
        <v>561</v>
      </c>
      <c r="Y15" s="17"/>
    </row>
    <row r="16" spans="1:25" ht="21" customHeight="1" x14ac:dyDescent="0.25">
      <c r="A16" s="8">
        <v>44664</v>
      </c>
      <c r="B16" s="107">
        <v>1.3257000000000001</v>
      </c>
      <c r="C16" s="108">
        <v>301.70999999999998</v>
      </c>
      <c r="D16" s="108">
        <v>8085899.1900000004</v>
      </c>
      <c r="E16" s="108">
        <v>8990154.3000000007</v>
      </c>
      <c r="F16" s="108">
        <v>3.1200999999999999</v>
      </c>
      <c r="G16" s="108">
        <v>1</v>
      </c>
      <c r="H16" s="108">
        <v>881.96</v>
      </c>
      <c r="I16" s="108">
        <v>321.87</v>
      </c>
      <c r="J16" s="108">
        <v>439.78</v>
      </c>
      <c r="K16" s="108">
        <v>441.3</v>
      </c>
      <c r="L16" s="108">
        <v>299.60000000000002</v>
      </c>
      <c r="M16" s="108">
        <v>733.97</v>
      </c>
      <c r="N16" s="108">
        <v>694.65</v>
      </c>
      <c r="O16" s="108">
        <v>212.86</v>
      </c>
      <c r="P16" s="108">
        <v>902.48</v>
      </c>
      <c r="Q16" s="108">
        <v>666.32</v>
      </c>
      <c r="R16" s="108">
        <v>190.15</v>
      </c>
      <c r="S16" s="108">
        <v>153.94</v>
      </c>
      <c r="T16" s="108">
        <v>560.86</v>
      </c>
      <c r="V16" s="102">
        <v>74</v>
      </c>
      <c r="W16" s="102">
        <v>186</v>
      </c>
      <c r="X16" s="102">
        <v>541</v>
      </c>
      <c r="Y16" s="17"/>
    </row>
    <row r="17" spans="1:25" ht="21" customHeight="1" x14ac:dyDescent="0.25">
      <c r="A17" s="8">
        <v>44665</v>
      </c>
      <c r="B17" s="107">
        <v>1.3267</v>
      </c>
      <c r="C17" s="108">
        <v>301.95999999999998</v>
      </c>
      <c r="D17" s="108">
        <v>8087607.2000000002</v>
      </c>
      <c r="E17" s="108">
        <v>8992980.2899999991</v>
      </c>
      <c r="F17" s="108">
        <v>3.1230000000000002</v>
      </c>
      <c r="G17" s="108">
        <v>1.0008999999999999</v>
      </c>
      <c r="H17" s="108">
        <v>883.03</v>
      </c>
      <c r="I17" s="108">
        <v>322.13</v>
      </c>
      <c r="J17" s="108">
        <v>440.69</v>
      </c>
      <c r="K17" s="108">
        <v>441.79</v>
      </c>
      <c r="L17" s="108">
        <v>299.92</v>
      </c>
      <c r="M17" s="108">
        <v>734.69</v>
      </c>
      <c r="N17" s="108">
        <v>695.46</v>
      </c>
      <c r="O17" s="108">
        <v>213.07</v>
      </c>
      <c r="P17" s="108">
        <v>903.41</v>
      </c>
      <c r="Q17" s="108">
        <v>667.06</v>
      </c>
      <c r="R17" s="108">
        <v>190.15</v>
      </c>
      <c r="S17" s="108">
        <v>154.08000000000001</v>
      </c>
      <c r="T17" s="108">
        <v>561.37</v>
      </c>
      <c r="V17" s="102">
        <v>74</v>
      </c>
      <c r="W17" s="102">
        <v>186</v>
      </c>
      <c r="X17" s="102">
        <v>518</v>
      </c>
      <c r="Y17" s="17"/>
    </row>
    <row r="18" spans="1:25" ht="21" customHeight="1" x14ac:dyDescent="0.25">
      <c r="A18" s="8">
        <v>44666</v>
      </c>
      <c r="B18" s="107">
        <v>1.3278000000000001</v>
      </c>
      <c r="C18" s="108">
        <v>302.22000000000003</v>
      </c>
      <c r="D18" s="108">
        <v>8089608.6200000001</v>
      </c>
      <c r="E18" s="108">
        <v>8995929.5500000007</v>
      </c>
      <c r="F18" s="108">
        <v>3.1259000000000001</v>
      </c>
      <c r="G18" s="108">
        <v>1.0019</v>
      </c>
      <c r="H18" s="108">
        <v>884.21</v>
      </c>
      <c r="I18" s="108">
        <v>322.43</v>
      </c>
      <c r="J18" s="108">
        <v>441.47</v>
      </c>
      <c r="K18" s="108">
        <v>442.25</v>
      </c>
      <c r="L18" s="108">
        <v>300.22000000000003</v>
      </c>
      <c r="M18" s="108">
        <v>735.57</v>
      </c>
      <c r="N18" s="108">
        <v>696.33</v>
      </c>
      <c r="O18" s="108">
        <v>213.31</v>
      </c>
      <c r="P18" s="108">
        <v>904.37</v>
      </c>
      <c r="Q18" s="108">
        <v>667.9</v>
      </c>
      <c r="R18" s="108">
        <v>190.15</v>
      </c>
      <c r="S18" s="108">
        <v>154.22999999999999</v>
      </c>
      <c r="T18" s="108">
        <v>561.9</v>
      </c>
      <c r="V18" s="102">
        <v>66</v>
      </c>
      <c r="W18" s="102">
        <v>170</v>
      </c>
      <c r="X18" s="102">
        <v>502</v>
      </c>
      <c r="Y18" s="17"/>
    </row>
    <row r="19" spans="1:25" ht="21" customHeight="1" x14ac:dyDescent="0.25">
      <c r="A19" s="8">
        <v>44667</v>
      </c>
      <c r="B19" s="107">
        <v>1.3290999999999999</v>
      </c>
      <c r="C19" s="108">
        <v>302.45999999999998</v>
      </c>
      <c r="D19" s="108">
        <v>8091725.8700000001</v>
      </c>
      <c r="E19" s="108">
        <v>8999014.7799999993</v>
      </c>
      <c r="F19" s="108">
        <v>3.1286999999999998</v>
      </c>
      <c r="G19" s="108">
        <v>1.0028999999999999</v>
      </c>
      <c r="H19" s="108">
        <v>885.56</v>
      </c>
      <c r="I19" s="108">
        <v>322.76</v>
      </c>
      <c r="J19" s="108">
        <v>442.27</v>
      </c>
      <c r="K19" s="108">
        <v>442.69</v>
      </c>
      <c r="L19" s="108">
        <v>300.5</v>
      </c>
      <c r="M19" s="108">
        <v>736.52</v>
      </c>
      <c r="N19" s="108">
        <v>697.26</v>
      </c>
      <c r="O19" s="108">
        <v>213.55</v>
      </c>
      <c r="P19" s="108">
        <v>905.27</v>
      </c>
      <c r="Q19" s="108">
        <v>668.75</v>
      </c>
      <c r="R19" s="108">
        <v>190.15</v>
      </c>
      <c r="S19" s="108">
        <v>154.38999999999999</v>
      </c>
      <c r="T19" s="108">
        <v>562.41999999999996</v>
      </c>
      <c r="V19" s="102">
        <v>57</v>
      </c>
      <c r="W19" s="102">
        <v>157</v>
      </c>
      <c r="X19" s="102">
        <v>445</v>
      </c>
      <c r="Y19" s="17"/>
    </row>
    <row r="20" spans="1:25" ht="21" customHeight="1" x14ac:dyDescent="0.25">
      <c r="A20" s="8">
        <v>44668</v>
      </c>
      <c r="B20" s="107">
        <v>1.3305</v>
      </c>
      <c r="C20" s="108">
        <v>302.7</v>
      </c>
      <c r="D20" s="108">
        <v>8093831.1399999997</v>
      </c>
      <c r="E20" s="108">
        <v>9002247.4000000004</v>
      </c>
      <c r="F20" s="108">
        <v>3.1315</v>
      </c>
      <c r="G20" s="108">
        <v>1.004</v>
      </c>
      <c r="H20" s="108">
        <v>886.99</v>
      </c>
      <c r="I20" s="108">
        <v>323.12</v>
      </c>
      <c r="J20" s="108">
        <v>442.98</v>
      </c>
      <c r="K20" s="108">
        <v>443.19</v>
      </c>
      <c r="L20" s="108">
        <v>300.97000000000003</v>
      </c>
      <c r="M20" s="108">
        <v>737.5</v>
      </c>
      <c r="N20" s="108">
        <v>698.22</v>
      </c>
      <c r="O20" s="108">
        <v>213.84</v>
      </c>
      <c r="P20" s="108">
        <v>906.29</v>
      </c>
      <c r="Q20" s="108">
        <v>669.56</v>
      </c>
      <c r="R20" s="108">
        <v>190.15</v>
      </c>
      <c r="S20" s="108">
        <v>154.54</v>
      </c>
      <c r="T20" s="108">
        <v>563.02</v>
      </c>
      <c r="V20" s="102">
        <v>48</v>
      </c>
      <c r="W20" s="102">
        <v>136</v>
      </c>
      <c r="X20" s="102">
        <v>382</v>
      </c>
      <c r="Y20" s="17"/>
    </row>
    <row r="21" spans="1:25" ht="21" customHeight="1" x14ac:dyDescent="0.25">
      <c r="A21" s="8">
        <v>44669</v>
      </c>
      <c r="B21" s="107">
        <v>1.3318000000000001</v>
      </c>
      <c r="C21" s="108">
        <v>302.93</v>
      </c>
      <c r="D21" s="108">
        <v>8096052.3799999999</v>
      </c>
      <c r="E21" s="108">
        <v>9005601.5500000007</v>
      </c>
      <c r="F21" s="108">
        <v>3.1343000000000001</v>
      </c>
      <c r="G21" s="108">
        <v>1.0049999999999999</v>
      </c>
      <c r="H21" s="108">
        <v>888.42</v>
      </c>
      <c r="I21" s="108">
        <v>323.32</v>
      </c>
      <c r="J21" s="108">
        <v>443.59</v>
      </c>
      <c r="K21" s="108">
        <v>443.57</v>
      </c>
      <c r="L21" s="108">
        <v>301.04000000000002</v>
      </c>
      <c r="M21" s="108">
        <v>738.46</v>
      </c>
      <c r="N21" s="108">
        <v>699.19</v>
      </c>
      <c r="O21" s="108">
        <v>214.08</v>
      </c>
      <c r="P21" s="108">
        <v>907.35</v>
      </c>
      <c r="Q21" s="108">
        <v>670.39</v>
      </c>
      <c r="R21" s="108">
        <v>190.15</v>
      </c>
      <c r="S21" s="108">
        <v>154.69</v>
      </c>
      <c r="T21" s="108">
        <v>563.66</v>
      </c>
      <c r="V21" s="102">
        <v>36</v>
      </c>
      <c r="W21" s="102">
        <v>114</v>
      </c>
      <c r="X21" s="102">
        <v>328</v>
      </c>
      <c r="Y21" s="17"/>
    </row>
    <row r="22" spans="1:25" ht="21" customHeight="1" x14ac:dyDescent="0.25">
      <c r="A22" s="8">
        <v>44670</v>
      </c>
      <c r="B22" s="107">
        <v>1.3331</v>
      </c>
      <c r="C22" s="108">
        <v>303.17</v>
      </c>
      <c r="D22" s="108">
        <v>8098010.8899999997</v>
      </c>
      <c r="E22" s="108">
        <v>9008619.4600000009</v>
      </c>
      <c r="F22" s="108">
        <v>3.137</v>
      </c>
      <c r="G22" s="108">
        <v>1.0061</v>
      </c>
      <c r="H22" s="108">
        <v>889.75</v>
      </c>
      <c r="I22" s="108">
        <v>323.89</v>
      </c>
      <c r="J22" s="108">
        <v>444.29</v>
      </c>
      <c r="K22" s="108">
        <v>444</v>
      </c>
      <c r="L22" s="108">
        <v>301.31</v>
      </c>
      <c r="M22" s="108">
        <v>739.38</v>
      </c>
      <c r="N22" s="108">
        <v>700.15</v>
      </c>
      <c r="O22" s="108">
        <v>214.33</v>
      </c>
      <c r="P22" s="108">
        <v>908.3</v>
      </c>
      <c r="Q22" s="108">
        <v>671.23</v>
      </c>
      <c r="R22" s="108">
        <v>190.15</v>
      </c>
      <c r="S22" s="108">
        <v>154.83000000000001</v>
      </c>
      <c r="T22" s="108">
        <v>564.17999999999995</v>
      </c>
      <c r="V22" s="102">
        <v>31</v>
      </c>
      <c r="W22" s="102">
        <v>94</v>
      </c>
      <c r="X22" s="102">
        <v>255</v>
      </c>
      <c r="Y22" s="17"/>
    </row>
    <row r="23" spans="1:25" ht="21" customHeight="1" x14ac:dyDescent="0.25">
      <c r="A23" s="8">
        <v>44671</v>
      </c>
      <c r="B23" s="107">
        <v>1.3343</v>
      </c>
      <c r="C23" s="108">
        <v>303.42</v>
      </c>
      <c r="D23" s="108">
        <v>8100164.8700000001</v>
      </c>
      <c r="E23" s="108">
        <v>9011582.9000000004</v>
      </c>
      <c r="F23" s="108">
        <v>3.1398000000000001</v>
      </c>
      <c r="G23" s="108">
        <v>1.0069999999999999</v>
      </c>
      <c r="H23" s="108">
        <v>891.05</v>
      </c>
      <c r="I23" s="108">
        <v>324.27999999999997</v>
      </c>
      <c r="J23" s="108">
        <v>444.79</v>
      </c>
      <c r="K23" s="108">
        <v>444.35</v>
      </c>
      <c r="L23" s="108">
        <v>301.49</v>
      </c>
      <c r="M23" s="108">
        <v>740.23</v>
      </c>
      <c r="N23" s="108">
        <v>700.96</v>
      </c>
      <c r="O23" s="108">
        <v>214.54</v>
      </c>
      <c r="P23" s="108">
        <v>909.14</v>
      </c>
      <c r="Q23" s="108">
        <v>672.02</v>
      </c>
      <c r="R23" s="108">
        <v>190.15</v>
      </c>
      <c r="S23" s="108">
        <v>154.97999999999999</v>
      </c>
      <c r="T23" s="108">
        <v>564.66999999999996</v>
      </c>
      <c r="V23" s="102">
        <v>26</v>
      </c>
      <c r="W23" s="102">
        <v>73</v>
      </c>
      <c r="X23" s="102">
        <v>229</v>
      </c>
      <c r="Y23" s="17"/>
    </row>
    <row r="24" spans="1:25" ht="21" customHeight="1" x14ac:dyDescent="0.25">
      <c r="A24" s="8">
        <v>44672</v>
      </c>
      <c r="B24" s="107">
        <v>1.3354999999999999</v>
      </c>
      <c r="C24" s="108">
        <v>303.64999999999998</v>
      </c>
      <c r="D24" s="108">
        <v>8102348.9100000001</v>
      </c>
      <c r="E24" s="108">
        <v>9014875.25</v>
      </c>
      <c r="F24" s="108">
        <v>3.1425000000000001</v>
      </c>
      <c r="G24" s="108">
        <v>1.008</v>
      </c>
      <c r="H24" s="108">
        <v>892.45</v>
      </c>
      <c r="I24" s="108">
        <v>324.7</v>
      </c>
      <c r="J24" s="108">
        <v>445.35</v>
      </c>
      <c r="K24" s="108">
        <v>444.69</v>
      </c>
      <c r="L24" s="108">
        <v>301.72000000000003</v>
      </c>
      <c r="M24" s="108">
        <v>741.21</v>
      </c>
      <c r="N24" s="108">
        <v>701.85</v>
      </c>
      <c r="O24" s="108">
        <v>214.76</v>
      </c>
      <c r="P24" s="108">
        <v>910.05</v>
      </c>
      <c r="Q24" s="108">
        <v>672.72</v>
      </c>
      <c r="R24" s="108">
        <v>190.15</v>
      </c>
      <c r="S24" s="108">
        <v>155.12</v>
      </c>
      <c r="T24" s="108">
        <v>565.21</v>
      </c>
      <c r="V24" s="102">
        <v>27</v>
      </c>
      <c r="W24" s="102">
        <v>66</v>
      </c>
      <c r="X24" s="102">
        <v>209</v>
      </c>
      <c r="Y24" s="17"/>
    </row>
    <row r="25" spans="1:25" ht="21" customHeight="1" x14ac:dyDescent="0.25">
      <c r="A25" s="8">
        <v>44673</v>
      </c>
      <c r="B25" s="107">
        <v>1.3368</v>
      </c>
      <c r="C25" s="108">
        <v>303.89</v>
      </c>
      <c r="D25" s="108">
        <v>8104474.5499999998</v>
      </c>
      <c r="E25" s="108">
        <v>9017954.1300000008</v>
      </c>
      <c r="F25" s="108">
        <v>3.1453000000000002</v>
      </c>
      <c r="G25" s="108">
        <v>1.0088999999999999</v>
      </c>
      <c r="H25" s="108">
        <v>893.93</v>
      </c>
      <c r="I25" s="108">
        <v>325.08</v>
      </c>
      <c r="J25" s="108">
        <v>445.92</v>
      </c>
      <c r="K25" s="108">
        <v>445</v>
      </c>
      <c r="L25" s="108">
        <v>301.95</v>
      </c>
      <c r="M25" s="108">
        <v>742.2</v>
      </c>
      <c r="N25" s="108">
        <v>702.68</v>
      </c>
      <c r="O25" s="108">
        <v>214.96</v>
      </c>
      <c r="P25" s="108">
        <v>910.97</v>
      </c>
      <c r="Q25" s="108">
        <v>676.43</v>
      </c>
      <c r="R25" s="108">
        <v>190.15</v>
      </c>
      <c r="S25" s="108">
        <v>155.28</v>
      </c>
      <c r="T25" s="108">
        <v>565.76</v>
      </c>
      <c r="V25" s="102">
        <v>30</v>
      </c>
      <c r="W25" s="102">
        <v>78</v>
      </c>
      <c r="X25" s="102">
        <v>211</v>
      </c>
      <c r="Y25" s="17"/>
    </row>
    <row r="26" spans="1:25" ht="21" customHeight="1" x14ac:dyDescent="0.25">
      <c r="A26" s="8">
        <v>44674</v>
      </c>
      <c r="B26" s="107">
        <v>1.3380000000000001</v>
      </c>
      <c r="C26" s="108">
        <v>304.13</v>
      </c>
      <c r="D26" s="108">
        <v>8106465.21</v>
      </c>
      <c r="E26" s="108">
        <v>9020481.9600000009</v>
      </c>
      <c r="F26" s="108">
        <v>3.1480000000000001</v>
      </c>
      <c r="G26" s="108">
        <v>1.0098</v>
      </c>
      <c r="H26" s="108">
        <v>895.31</v>
      </c>
      <c r="I26" s="108">
        <v>325.44</v>
      </c>
      <c r="J26" s="108">
        <v>446.39</v>
      </c>
      <c r="K26" s="108">
        <v>445.26</v>
      </c>
      <c r="L26" s="108">
        <v>302.18</v>
      </c>
      <c r="M26" s="108">
        <v>743.1</v>
      </c>
      <c r="N26" s="108">
        <v>703.42</v>
      </c>
      <c r="O26" s="108">
        <v>215.18</v>
      </c>
      <c r="P26" s="108">
        <v>911.85</v>
      </c>
      <c r="Q26" s="108">
        <v>674.1</v>
      </c>
      <c r="R26" s="108">
        <v>190.15</v>
      </c>
      <c r="S26" s="108">
        <v>155.41</v>
      </c>
      <c r="T26" s="108">
        <v>566.04999999999995</v>
      </c>
      <c r="V26" s="102">
        <v>40</v>
      </c>
      <c r="W26" s="102">
        <v>102</v>
      </c>
      <c r="X26" s="102">
        <v>274</v>
      </c>
      <c r="Y26" s="17"/>
    </row>
    <row r="27" spans="1:25" ht="21" customHeight="1" x14ac:dyDescent="0.25">
      <c r="A27" s="8">
        <v>44675</v>
      </c>
      <c r="B27" s="107">
        <v>1.339</v>
      </c>
      <c r="C27" s="108">
        <v>304.36</v>
      </c>
      <c r="D27" s="108">
        <v>8108381.6399999997</v>
      </c>
      <c r="E27" s="108">
        <v>9023472.8300000001</v>
      </c>
      <c r="F27" s="108">
        <v>3.1507999999999998</v>
      </c>
      <c r="G27" s="108">
        <v>1.0107999999999999</v>
      </c>
      <c r="H27" s="108">
        <v>896.64</v>
      </c>
      <c r="I27" s="108">
        <v>325.8</v>
      </c>
      <c r="J27" s="108">
        <v>446.86</v>
      </c>
      <c r="K27" s="108">
        <v>445.54</v>
      </c>
      <c r="L27" s="108">
        <v>302.37</v>
      </c>
      <c r="M27" s="108">
        <v>743.97</v>
      </c>
      <c r="N27" s="108">
        <v>704.11</v>
      </c>
      <c r="O27" s="108">
        <v>215.39</v>
      </c>
      <c r="P27" s="108">
        <v>912.67</v>
      </c>
      <c r="Q27" s="108">
        <v>674.88</v>
      </c>
      <c r="R27" s="108">
        <v>190.15</v>
      </c>
      <c r="S27" s="108">
        <v>155.54</v>
      </c>
      <c r="T27" s="108">
        <v>566.54</v>
      </c>
      <c r="V27" s="102">
        <v>37</v>
      </c>
      <c r="W27" s="102">
        <v>89</v>
      </c>
      <c r="X27" s="102">
        <v>296</v>
      </c>
      <c r="Y27" s="17"/>
    </row>
    <row r="28" spans="1:25" ht="21" customHeight="1" x14ac:dyDescent="0.25">
      <c r="A28" s="8">
        <v>44676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>
        <v>53</v>
      </c>
      <c r="W28" s="102">
        <v>116</v>
      </c>
      <c r="X28" s="102">
        <v>291</v>
      </c>
      <c r="Y28" s="17"/>
    </row>
    <row r="29" spans="1:25" ht="21" customHeight="1" x14ac:dyDescent="0.25">
      <c r="A29" s="8">
        <v>44677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>
        <v>50</v>
      </c>
      <c r="W29" s="102">
        <v>105</v>
      </c>
      <c r="X29" s="102">
        <v>257</v>
      </c>
      <c r="Y29" s="17"/>
    </row>
    <row r="30" spans="1:25" ht="21" customHeight="1" x14ac:dyDescent="0.25">
      <c r="A30" s="8">
        <v>44678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44679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44680</v>
      </c>
      <c r="B32" s="105"/>
      <c r="C32" s="105"/>
      <c r="D32" s="105"/>
      <c r="E32" s="112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20"/>
      <c r="T32" s="105"/>
      <c r="V32" s="102"/>
      <c r="W32" s="102"/>
      <c r="X32" s="102"/>
      <c r="Y32" s="17"/>
    </row>
    <row r="33" spans="1:25" ht="19.5" customHeight="1" x14ac:dyDescent="0.25">
      <c r="A33" s="8">
        <v>44681</v>
      </c>
      <c r="B33" s="105"/>
      <c r="C33" s="112"/>
      <c r="D33" s="105"/>
      <c r="E33" s="112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20"/>
      <c r="T33" s="105"/>
      <c r="V33" s="102"/>
      <c r="W33" s="102"/>
      <c r="X33" s="102"/>
      <c r="Y33" s="17"/>
    </row>
    <row r="34" spans="1:25" ht="19.5" customHeight="1" x14ac:dyDescent="0.25">
      <c r="A34" s="8">
        <v>44682</v>
      </c>
      <c r="B34" s="119"/>
      <c r="C34" s="1"/>
      <c r="D34" s="1"/>
      <c r="E34" s="1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05"/>
      <c r="S34" s="119"/>
      <c r="T34" s="119"/>
      <c r="V34" s="102"/>
      <c r="W34" s="102"/>
      <c r="X34" s="102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1448</v>
      </c>
      <c r="W35" s="75">
        <f>SUM(W4:W34)</f>
        <v>3833</v>
      </c>
      <c r="X35" s="75">
        <f>SUM(X4:X34)</f>
        <v>10589</v>
      </c>
    </row>
    <row r="36" spans="1:25" x14ac:dyDescent="0.25">
      <c r="S36" s="121"/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15" sqref="P1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6" t="s">
        <v>31</v>
      </c>
      <c r="B2" s="128" t="s">
        <v>32</v>
      </c>
      <c r="C2" s="128" t="s">
        <v>33</v>
      </c>
      <c r="D2" s="128" t="s">
        <v>119</v>
      </c>
      <c r="E2" s="136" t="s">
        <v>34</v>
      </c>
      <c r="F2" s="143" t="s">
        <v>35</v>
      </c>
      <c r="G2" s="144"/>
      <c r="H2" s="145"/>
      <c r="I2" s="146" t="s">
        <v>36</v>
      </c>
      <c r="J2" s="146" t="s">
        <v>37</v>
      </c>
      <c r="K2" s="146" t="s">
        <v>38</v>
      </c>
      <c r="L2" s="146" t="s">
        <v>39</v>
      </c>
      <c r="M2" s="147" t="s">
        <v>40</v>
      </c>
      <c r="N2" s="147"/>
      <c r="O2" s="147"/>
      <c r="P2" s="147"/>
      <c r="Q2" s="147"/>
      <c r="R2" s="147"/>
      <c r="S2" s="146" t="s">
        <v>41</v>
      </c>
      <c r="T2" s="146"/>
      <c r="U2" s="148" t="s">
        <v>42</v>
      </c>
      <c r="V2" s="146" t="s">
        <v>43</v>
      </c>
    </row>
    <row r="3" spans="1:22" x14ac:dyDescent="0.25">
      <c r="A3" s="137"/>
      <c r="B3" s="129"/>
      <c r="C3" s="129"/>
      <c r="D3" s="129"/>
      <c r="E3" s="137"/>
      <c r="F3" s="6" t="s">
        <v>27</v>
      </c>
      <c r="G3" s="6" t="s">
        <v>28</v>
      </c>
      <c r="H3" s="6" t="s">
        <v>29</v>
      </c>
      <c r="I3" s="146"/>
      <c r="J3" s="146"/>
      <c r="K3" s="146"/>
      <c r="L3" s="146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8"/>
      <c r="V3" s="146"/>
    </row>
    <row r="4" spans="1:22" x14ac:dyDescent="0.25">
      <c r="A4" s="3">
        <f>'Kwh Reading'!A4</f>
        <v>44652</v>
      </c>
      <c r="B4" s="26">
        <f>TOTAL!E2</f>
        <v>24100.000000000589</v>
      </c>
      <c r="C4" s="4">
        <f>('Kwh Reading'!T5-'Kwh Reading'!T4)*1000</f>
        <v>309.99999999994543</v>
      </c>
      <c r="D4" s="2">
        <f>('Kwh Reading'!F5-'Kwh Reading'!F4)*1000000</f>
        <v>2800.0000000001355</v>
      </c>
      <c r="E4" s="2">
        <f>('Kwh Reading'!C5-'Kwh Reading'!C4)*1000</f>
        <v>259.99999999999091</v>
      </c>
      <c r="F4" s="2">
        <f>('Kwh Reading'!J5-'Kwh Reading'!J4)*1000</f>
        <v>579.99999999998408</v>
      </c>
      <c r="G4" s="2">
        <f>('Kwh Reading'!K5-'Kwh Reading'!K4)*1000</f>
        <v>350.00000000002274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370.00000000000455</v>
      </c>
      <c r="L4" s="2">
        <f>('Kwh Reading'!B5-'Kwh Reading'!B4)*1000000</f>
        <v>1300.0000000000789</v>
      </c>
      <c r="M4" s="2">
        <f>('Kwh Reading'!M5-'Kwh Reading'!M4)*1000</f>
        <v>879.99999999999545</v>
      </c>
      <c r="N4" s="2">
        <f>('Kwh Reading'!H5-'Kwh Reading'!H4)*1000</f>
        <v>1360.0000000000136</v>
      </c>
      <c r="O4" s="2">
        <f>('Kwh Reading'!P5-'Kwh Reading'!P4)*1000</f>
        <v>970.00000000002728</v>
      </c>
      <c r="P4" s="2">
        <f>('Kwh Reading'!G5-'Kwh Reading'!G4)*1000</f>
        <v>1080.0000000000409</v>
      </c>
      <c r="Q4" s="2">
        <f>('Kwh Reading'!Q5-'Kwh Reading'!Q4)*1000</f>
        <v>829.99999999992724</v>
      </c>
      <c r="R4" s="2">
        <f>('Kwh Reading'!N5-'Kwh Reading'!N4)*1000</f>
        <v>929.99999999994998</v>
      </c>
      <c r="S4" s="2">
        <f>'Kwh Reading'!E5-'Kwh Reading'!E4</f>
        <v>2598.519999999553</v>
      </c>
      <c r="T4" s="2">
        <f>'Kwh Reading'!D5-'Kwh Reading'!D4</f>
        <v>2162.6000000005588</v>
      </c>
      <c r="U4" s="27">
        <f>('Kwh Reading'!O5-'Kwh Reading'!O4)*1000</f>
        <v>209.99999999997954</v>
      </c>
      <c r="V4" s="16">
        <f>B4-(SUM(C4:U4))</f>
        <v>6718.8800000003685</v>
      </c>
    </row>
    <row r="5" spans="1:22" x14ac:dyDescent="0.25">
      <c r="A5" s="3">
        <f>'Kwh Reading'!A5</f>
        <v>44653</v>
      </c>
      <c r="B5" s="26">
        <f>TOTAL!E3</f>
        <v>24709.999999998443</v>
      </c>
      <c r="C5" s="4">
        <f>('Kwh Reading'!T6-'Kwh Reading'!T5)*1000</f>
        <v>580.00000000004093</v>
      </c>
      <c r="D5" s="2">
        <f>('Kwh Reading'!F6-'Kwh Reading'!F5)*1000000</f>
        <v>2799.9999999996917</v>
      </c>
      <c r="E5" s="2">
        <f>('Kwh Reading'!C6-'Kwh Reading'!C5)*1000</f>
        <v>209.99999999997954</v>
      </c>
      <c r="F5" s="2">
        <f>('Kwh Reading'!J6-'Kwh Reading'!J5)*1000</f>
        <v>569.99999999999318</v>
      </c>
      <c r="G5" s="2">
        <f>('Kwh Reading'!K6-'Kwh Reading'!K5)*1000</f>
        <v>389.99999999998636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360.00000000001364</v>
      </c>
      <c r="L5" s="2">
        <f>('Kwh Reading'!B6-'Kwh Reading'!B5)*1000000</f>
        <v>1299.9999999998568</v>
      </c>
      <c r="M5" s="2">
        <f>('Kwh Reading'!M6-'Kwh Reading'!M5)*1000</f>
        <v>919.99999999995907</v>
      </c>
      <c r="N5" s="2">
        <f>('Kwh Reading'!H6-'Kwh Reading'!H5)*1000</f>
        <v>1409.9999999999682</v>
      </c>
      <c r="O5" s="2">
        <f>('Kwh Reading'!P6-'Kwh Reading'!P5)*1000</f>
        <v>919.99999999995907</v>
      </c>
      <c r="P5" s="2">
        <f>('Kwh Reading'!G6-'Kwh Reading'!G5)*1000</f>
        <v>1079.9999999999272</v>
      </c>
      <c r="Q5" s="2">
        <f>('Kwh Reading'!Q6-'Kwh Reading'!Q5)*1000</f>
        <v>820.00000000005002</v>
      </c>
      <c r="R5" s="2">
        <f>('Kwh Reading'!N6-'Kwh Reading'!N5)*1000</f>
        <v>919.99999999995907</v>
      </c>
      <c r="S5" s="2">
        <f>'Kwh Reading'!E6-'Kwh Reading'!E5</f>
        <v>3106.429999999702</v>
      </c>
      <c r="T5" s="2">
        <f>'Kwh Reading'!D6-'Kwh Reading'!D5</f>
        <v>2178.5599999995902</v>
      </c>
      <c r="U5" s="27">
        <f>('Kwh Reading'!O6-'Kwh Reading'!O5)*1000</f>
        <v>230.00000000001819</v>
      </c>
      <c r="V5" s="16">
        <f t="shared" ref="V5:V11" si="0">B5-(SUM(C5:U5))</f>
        <v>6545.0099999997983</v>
      </c>
    </row>
    <row r="6" spans="1:22" x14ac:dyDescent="0.25">
      <c r="A6" s="3">
        <f>'Kwh Reading'!A6</f>
        <v>44654</v>
      </c>
      <c r="B6" s="26">
        <f>TOTAL!E4</f>
        <v>24350.000000001728</v>
      </c>
      <c r="C6" s="4">
        <f>('Kwh Reading'!T7-'Kwh Reading'!T6)*1000</f>
        <v>569.99999999993634</v>
      </c>
      <c r="D6" s="2">
        <f>('Kwh Reading'!F7-'Kwh Reading'!F6)*1000000</f>
        <v>2700.0000000003688</v>
      </c>
      <c r="E6" s="2">
        <f>('Kwh Reading'!C7-'Kwh Reading'!C6)*1000</f>
        <v>240.00000000000909</v>
      </c>
      <c r="F6" s="2">
        <f>('Kwh Reading'!J7-'Kwh Reading'!J6)*1000</f>
        <v>639.99999999998636</v>
      </c>
      <c r="G6" s="2">
        <f>('Kwh Reading'!K7-'Kwh Reading'!K6)*1000</f>
        <v>389.99999999998636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349.99999999996589</v>
      </c>
      <c r="L6" s="2">
        <f>('Kwh Reading'!B7-'Kwh Reading'!B6)*1000000</f>
        <v>1300.0000000000789</v>
      </c>
      <c r="M6" s="2">
        <f>('Kwh Reading'!M7-'Kwh Reading'!M6)*1000</f>
        <v>930.00000000006366</v>
      </c>
      <c r="N6" s="2">
        <f>('Kwh Reading'!H7-'Kwh Reading'!H6)*1000</f>
        <v>1379.9999999999955</v>
      </c>
      <c r="O6" s="2">
        <f>('Kwh Reading'!P7-'Kwh Reading'!P6)*1000</f>
        <v>870.00000000000455</v>
      </c>
      <c r="P6" s="2">
        <f>('Kwh Reading'!G7-'Kwh Reading'!G6)*1000</f>
        <v>1029.9999999999727</v>
      </c>
      <c r="Q6" s="2">
        <f>('Kwh Reading'!Q7-'Kwh Reading'!Q6)*1000</f>
        <v>840.00000000003183</v>
      </c>
      <c r="R6" s="2">
        <f>('Kwh Reading'!N7-'Kwh Reading'!N6)*1000</f>
        <v>900.00000000009095</v>
      </c>
      <c r="S6" s="2">
        <f>'Kwh Reading'!E7-'Kwh Reading'!E6</f>
        <v>2850.7800000011921</v>
      </c>
      <c r="T6" s="2">
        <f>'Kwh Reading'!D7-'Kwh Reading'!D6</f>
        <v>2251.8500000005588</v>
      </c>
      <c r="U6" s="27">
        <f>('Kwh Reading'!O7-'Kwh Reading'!O6)*1000</f>
        <v>229.99999999998977</v>
      </c>
      <c r="V6" s="16">
        <f t="shared" si="0"/>
        <v>6487.3699999994824</v>
      </c>
    </row>
    <row r="7" spans="1:22" x14ac:dyDescent="0.25">
      <c r="A7" s="3">
        <f>'Kwh Reading'!A7</f>
        <v>44655</v>
      </c>
      <c r="B7" s="26">
        <f>TOTAL!E5</f>
        <v>23750.000000000909</v>
      </c>
      <c r="C7" s="4">
        <f>('Kwh Reading'!T8-'Kwh Reading'!T7)*1000</f>
        <v>560.00000000005912</v>
      </c>
      <c r="D7" s="2">
        <f>('Kwh Reading'!F8-'Kwh Reading'!F7)*1000000</f>
        <v>2799.9999999996917</v>
      </c>
      <c r="E7" s="2">
        <f>('Kwh Reading'!C8-'Kwh Reading'!C7)*1000</f>
        <v>250</v>
      </c>
      <c r="F7" s="2">
        <f>('Kwh Reading'!J8-'Kwh Reading'!J7)*1000</f>
        <v>580.00000000004093</v>
      </c>
      <c r="G7" s="2">
        <f>('Kwh Reading'!K8-'Kwh Reading'!K7)*1000</f>
        <v>410.00000000002501</v>
      </c>
      <c r="H7" s="2">
        <f>('Kwh Reading'!L8-'Kwh Reading'!L7)*1000</f>
        <v>250</v>
      </c>
      <c r="I7" s="2">
        <f>('Kwh Reading'!R8-'Kwh Reading'!R7)*1000</f>
        <v>0</v>
      </c>
      <c r="J7" s="2">
        <f>('Kwh Reading'!S8-'Kwh Reading'!S7)*1000</f>
        <v>129.99999999999545</v>
      </c>
      <c r="K7" s="2">
        <f>('Kwh Reading'!I8-'Kwh Reading'!I7)*1000</f>
        <v>330.00000000004093</v>
      </c>
      <c r="L7" s="2">
        <f>('Kwh Reading'!B8-'Kwh Reading'!B7)*1000000</f>
        <v>1000.0000000001119</v>
      </c>
      <c r="M7" s="2">
        <f>('Kwh Reading'!M8-'Kwh Reading'!M7)*1000</f>
        <v>839.99999999991815</v>
      </c>
      <c r="N7" s="2">
        <f>('Kwh Reading'!H8-'Kwh Reading'!H7)*1000</f>
        <v>1480.0000000000182</v>
      </c>
      <c r="O7" s="2">
        <f>('Kwh Reading'!P8-'Kwh Reading'!P7)*1000</f>
        <v>1080.0000000000409</v>
      </c>
      <c r="P7" s="2">
        <f>('Kwh Reading'!G8-'Kwh Reading'!G7)*1000</f>
        <v>1010.0000000001046</v>
      </c>
      <c r="Q7" s="2">
        <f>('Kwh Reading'!Q8-'Kwh Reading'!Q7)*1000</f>
        <v>839.99999999991815</v>
      </c>
      <c r="R7" s="2">
        <f>('Kwh Reading'!N8-'Kwh Reading'!N7)*1000</f>
        <v>909.99999999996817</v>
      </c>
      <c r="S7" s="2">
        <f>'Kwh Reading'!E8-'Kwh Reading'!E7</f>
        <v>2865.7199999988079</v>
      </c>
      <c r="T7" s="2">
        <f>'Kwh Reading'!D8-'Kwh Reading'!D7</f>
        <v>2035.3499999996275</v>
      </c>
      <c r="U7" s="27">
        <f>('Kwh Reading'!O8-'Kwh Reading'!O7)*1000</f>
        <v>240.00000000000909</v>
      </c>
      <c r="V7" s="16">
        <f t="shared" si="0"/>
        <v>6138.9300000025323</v>
      </c>
    </row>
    <row r="8" spans="1:22" x14ac:dyDescent="0.25">
      <c r="A8" s="3">
        <f>'Kwh Reading'!A8</f>
        <v>44656</v>
      </c>
      <c r="B8" s="26">
        <f>TOTAL!E6</f>
        <v>22509.999999997945</v>
      </c>
      <c r="C8" s="4">
        <f>('Kwh Reading'!T9-'Kwh Reading'!T8)*1000</f>
        <v>559.99999999994543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399.99999999997726</v>
      </c>
      <c r="H8" s="2">
        <f>('Kwh Reading'!L9-'Kwh Reading'!L8)*1000</f>
        <v>240.00000000000909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300.00000000001137</v>
      </c>
      <c r="L8" s="2">
        <f>('Kwh Reading'!B9-'Kwh Reading'!B8)*1000000</f>
        <v>1399.9999999998458</v>
      </c>
      <c r="M8" s="2">
        <f>('Kwh Reading'!M9-'Kwh Reading'!M8)*1000</f>
        <v>720.00000000002728</v>
      </c>
      <c r="N8" s="2">
        <f>('Kwh Reading'!H9-'Kwh Reading'!H8)*1000</f>
        <v>1259.9999999999909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770.0000000000955</v>
      </c>
      <c r="R8" s="2">
        <f>('Kwh Reading'!N9-'Kwh Reading'!N8)*1000</f>
        <v>840.00000000003183</v>
      </c>
      <c r="S8" s="2">
        <f>'Kwh Reading'!E9-'Kwh Reading'!E8</f>
        <v>2510.5</v>
      </c>
      <c r="T8" s="2">
        <f>'Kwh Reading'!D9-'Kwh Reading'!D8</f>
        <v>1937.7199999997392</v>
      </c>
      <c r="U8" s="27">
        <f>('Kwh Reading'!O9-'Kwh Reading'!O8)*1000</f>
        <v>189.99999999999773</v>
      </c>
      <c r="V8" s="16">
        <f t="shared" si="0"/>
        <v>5951.7799999981617</v>
      </c>
    </row>
    <row r="9" spans="1:22" x14ac:dyDescent="0.25">
      <c r="A9" s="3">
        <f>'Kwh Reading'!A9</f>
        <v>44657</v>
      </c>
      <c r="B9" s="26">
        <f>TOTAL!E7</f>
        <v>23740.000000000917</v>
      </c>
      <c r="C9" s="4">
        <f>('Kwh Reading'!T10-'Kwh Reading'!T9)*1000</f>
        <v>580.00000000004093</v>
      </c>
      <c r="D9" s="2">
        <f>('Kwh Reading'!F10-'Kwh Reading'!F9)*1000000</f>
        <v>2699.9999999999245</v>
      </c>
      <c r="E9" s="2">
        <f>('Kwh Reading'!C10-'Kwh Reading'!C9)*1000</f>
        <v>230.00000000001819</v>
      </c>
      <c r="F9" s="2">
        <f>('Kwh Reading'!J10-'Kwh Reading'!J9)*1000</f>
        <v>429.99999999994998</v>
      </c>
      <c r="G9" s="2">
        <f>('Kwh Reading'!K10-'Kwh Reading'!K9)*1000</f>
        <v>389.99999999998636</v>
      </c>
      <c r="H9" s="2">
        <f>('Kwh Reading'!L10-'Kwh Reading'!L9)*1000</f>
        <v>240.00000000000909</v>
      </c>
      <c r="I9" s="2">
        <f>('Kwh Reading'!R10-'Kwh Reading'!R9)*1000</f>
        <v>0</v>
      </c>
      <c r="J9" s="2">
        <f>('Kwh Reading'!S10-'Kwh Reading'!S9)*1000</f>
        <v>150.00000000000568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769.99999999998181</v>
      </c>
      <c r="N9" s="2">
        <f>('Kwh Reading'!H10-'Kwh Reading'!H9)*1000</f>
        <v>1350.0000000000227</v>
      </c>
      <c r="O9" s="2">
        <f>('Kwh Reading'!P10-'Kwh Reading'!P9)*1000</f>
        <v>1009.9999999999909</v>
      </c>
      <c r="P9" s="2">
        <f>('Kwh Reading'!G10-'Kwh Reading'!G9)*1000</f>
        <v>950.00000000004547</v>
      </c>
      <c r="Q9" s="2">
        <f>('Kwh Reading'!Q10-'Kwh Reading'!Q9)*1000</f>
        <v>809.99999999994543</v>
      </c>
      <c r="R9" s="2">
        <f>('Kwh Reading'!N10-'Kwh Reading'!N9)*1000</f>
        <v>889.99999999998636</v>
      </c>
      <c r="S9" s="2">
        <f>'Kwh Reading'!E10-'Kwh Reading'!E9</f>
        <v>2722.5</v>
      </c>
      <c r="T9" s="2">
        <f>'Kwh Reading'!D10-'Kwh Reading'!D9</f>
        <v>1970.5400000000373</v>
      </c>
      <c r="U9" s="27">
        <f>('Kwh Reading'!O10-'Kwh Reading'!O9)*1000</f>
        <v>219.99999999999886</v>
      </c>
      <c r="V9" s="16">
        <f t="shared" si="0"/>
        <v>6796.9600000008977</v>
      </c>
    </row>
    <row r="10" spans="1:22" x14ac:dyDescent="0.25">
      <c r="A10" s="3">
        <f>'Kwh Reading'!A10</f>
        <v>44658</v>
      </c>
      <c r="B10" s="26">
        <f>TOTAL!E8</f>
        <v>23790.000000000189</v>
      </c>
      <c r="C10" s="4">
        <f>('Kwh Reading'!T11-'Kwh Reading'!T10)*1000</f>
        <v>579.99999999992724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540.00000000002046</v>
      </c>
      <c r="G10" s="2">
        <f>('Kwh Reading'!K11-'Kwh Reading'!K10)*1000</f>
        <v>410.00000000002501</v>
      </c>
      <c r="H10" s="2">
        <f>('Kwh Reading'!L11-'Kwh Reading'!L10)*1000</f>
        <v>230.00000000001819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360.00000000001364</v>
      </c>
      <c r="L10" s="2">
        <f>('Kwh Reading'!B11-'Kwh Reading'!B10)*1000000</f>
        <v>1299.9999999998568</v>
      </c>
      <c r="M10" s="2">
        <f>('Kwh Reading'!M11-'Kwh Reading'!M10)*1000</f>
        <v>740.00000000000909</v>
      </c>
      <c r="N10" s="2">
        <f>('Kwh Reading'!H11-'Kwh Reading'!H10)*1000</f>
        <v>1409.9999999999682</v>
      </c>
      <c r="O10" s="2">
        <f>('Kwh Reading'!P11-'Kwh Reading'!P10)*1000</f>
        <v>1079.9999999999272</v>
      </c>
      <c r="P10" s="2">
        <f>('Kwh Reading'!G11-'Kwh Reading'!G10)*1000</f>
        <v>1000</v>
      </c>
      <c r="Q10" s="2">
        <f>('Kwh Reading'!Q11-'Kwh Reading'!Q10)*1000</f>
        <v>840.00000000003183</v>
      </c>
      <c r="R10" s="2">
        <f>('Kwh Reading'!N11-'Kwh Reading'!N10)*1000</f>
        <v>929.99999999994998</v>
      </c>
      <c r="S10" s="33">
        <f>'Kwh Reading'!E11-'Kwh Reading'!E10</f>
        <v>2981.2000000011176</v>
      </c>
      <c r="T10" s="33">
        <f>'Kwh Reading'!D11-'Kwh Reading'!D10</f>
        <v>2089.4199999999255</v>
      </c>
      <c r="U10" s="27">
        <f>('Kwh Reading'!O11-'Kwh Reading'!O10)*1000</f>
        <v>210.00000000000796</v>
      </c>
      <c r="V10" s="16">
        <f t="shared" si="0"/>
        <v>5979.3799999994699</v>
      </c>
    </row>
    <row r="11" spans="1:22" x14ac:dyDescent="0.25">
      <c r="A11" s="3">
        <f>'Kwh Reading'!A11</f>
        <v>44659</v>
      </c>
      <c r="B11" s="26">
        <f>TOTAL!E9</f>
        <v>24849.999999999909</v>
      </c>
      <c r="C11" s="4">
        <f>('Kwh Reading'!T12-'Kwh Reading'!T11)*1000</f>
        <v>550.00000000006821</v>
      </c>
      <c r="D11" s="2">
        <f>('Kwh Reading'!F12-'Kwh Reading'!F11)*1000000</f>
        <v>2800.0000000001355</v>
      </c>
      <c r="E11" s="2">
        <f>('Kwh Reading'!C12-'Kwh Reading'!C11)*1000</f>
        <v>259.99999999999091</v>
      </c>
      <c r="F11" s="2">
        <f>('Kwh Reading'!J12-'Kwh Reading'!J11)*1000</f>
        <v>769.99999999998181</v>
      </c>
      <c r="G11" s="2">
        <f>('Kwh Reading'!K12-'Kwh Reading'!K11)*1000</f>
        <v>409.99999999996817</v>
      </c>
      <c r="H11" s="2">
        <f>('Kwh Reading'!L12-'Kwh Reading'!L11)*1000</f>
        <v>239.99999999995225</v>
      </c>
      <c r="I11" s="2">
        <f>('Kwh Reading'!R12-'Kwh Reading'!R11)*1000</f>
        <v>0</v>
      </c>
      <c r="J11" s="2">
        <f>('Kwh Reading'!S12-'Kwh Reading'!S11)*1000</f>
        <v>109.99999999998522</v>
      </c>
      <c r="K11" s="2">
        <f>('Kwh Reading'!I12-'Kwh Reading'!I11)*1000</f>
        <v>349.99999999996589</v>
      </c>
      <c r="L11" s="2">
        <f>('Kwh Reading'!B12-'Kwh Reading'!B11)*1000000</f>
        <v>1200.0000000000898</v>
      </c>
      <c r="M11" s="2">
        <f>('Kwh Reading'!M12-'Kwh Reading'!M11)*1000</f>
        <v>840.00000000003183</v>
      </c>
      <c r="N11" s="2">
        <f>('Kwh Reading'!H12-'Kwh Reading'!H11)*1000</f>
        <v>1480.0000000000182</v>
      </c>
      <c r="O11" s="2">
        <f>('Kwh Reading'!P12-'Kwh Reading'!P11)*1000</f>
        <v>1100.0000000000227</v>
      </c>
      <c r="P11" s="2">
        <f>('Kwh Reading'!G12-'Kwh Reading'!G11)*1000</f>
        <v>1039.9999999999636</v>
      </c>
      <c r="Q11" s="2">
        <f>('Kwh Reading'!Q12-'Kwh Reading'!Q11)*1000</f>
        <v>870.00000000000455</v>
      </c>
      <c r="R11" s="2">
        <f>('Kwh Reading'!N12-'Kwh Reading'!N11)*1000</f>
        <v>980.00000000001819</v>
      </c>
      <c r="S11" s="33">
        <f>'Kwh Reading'!E12-'Kwh Reading'!E11</f>
        <v>3091.0399999991059</v>
      </c>
      <c r="T11" s="33">
        <f>'Kwh Reading'!D12-'Kwh Reading'!D11</f>
        <v>2264.8500000005588</v>
      </c>
      <c r="U11" s="27">
        <f>('Kwh Reading'!O12-'Kwh Reading'!O11)*1000</f>
        <v>219.99999999999886</v>
      </c>
      <c r="V11" s="16">
        <f t="shared" si="0"/>
        <v>6274.1100000000479</v>
      </c>
    </row>
    <row r="12" spans="1:22" x14ac:dyDescent="0.25">
      <c r="A12" s="3">
        <f>'Kwh Reading'!A12</f>
        <v>44660</v>
      </c>
      <c r="B12" s="26">
        <f>TOTAL!E10</f>
        <v>26019.999999998618</v>
      </c>
      <c r="C12" s="4">
        <f>('Kwh Reading'!T13-'Kwh Reading'!T12)*1000</f>
        <v>580.00000000004093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520.00000000003865</v>
      </c>
      <c r="G12" s="2">
        <f>('Kwh Reading'!K13-'Kwh Reading'!K12)*1000</f>
        <v>410.00000000002501</v>
      </c>
      <c r="H12" s="2">
        <f>('Kwh Reading'!L13-'Kwh Reading'!L12)*1000</f>
        <v>240.00000000000909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350.00000000002274</v>
      </c>
      <c r="L12" s="2">
        <f>('Kwh Reading'!B13-'Kwh Reading'!B12)*1000000</f>
        <v>1300.0000000000789</v>
      </c>
      <c r="M12" s="2">
        <f>('Kwh Reading'!M13-'Kwh Reading'!M12)*1000</f>
        <v>870.00000000000455</v>
      </c>
      <c r="N12" s="2">
        <f>('Kwh Reading'!H13-'Kwh Reading'!H12)*1000</f>
        <v>1529.9999999999727</v>
      </c>
      <c r="O12" s="2">
        <f>('Kwh Reading'!P13-'Kwh Reading'!P12)*1000</f>
        <v>1100.0000000000227</v>
      </c>
      <c r="P12" s="2">
        <f>('Kwh Reading'!G13-'Kwh Reading'!G12)*1000</f>
        <v>1019.9999999999818</v>
      </c>
      <c r="Q12" s="2">
        <f>('Kwh Reading'!Q13-'Kwh Reading'!Q12)*1000</f>
        <v>870.00000000000455</v>
      </c>
      <c r="R12" s="2">
        <f>('Kwh Reading'!N13-'Kwh Reading'!N12)*1000</f>
        <v>1009.9999999999909</v>
      </c>
      <c r="S12" s="33">
        <f>'Kwh Reading'!E13-'Kwh Reading'!E12</f>
        <v>3350.7000000011176</v>
      </c>
      <c r="T12" s="33">
        <f>'Kwh Reading'!D13-'Kwh Reading'!D12</f>
        <v>2234.5400000000373</v>
      </c>
      <c r="U12" s="27">
        <f>('Kwh Reading'!O13-'Kwh Reading'!O12)*1000</f>
        <v>209.99999999997954</v>
      </c>
      <c r="V12" s="16">
        <f t="shared" ref="V12:V34" si="1">B12-(SUM(C12:U12))</f>
        <v>7214.7599999971644</v>
      </c>
    </row>
    <row r="13" spans="1:22" x14ac:dyDescent="0.25">
      <c r="A13" s="3">
        <f>'Kwh Reading'!A13</f>
        <v>44661</v>
      </c>
      <c r="B13" s="26">
        <f>TOTAL!E11</f>
        <v>24440.000000000735</v>
      </c>
      <c r="C13" s="4">
        <f>('Kwh Reading'!T14-'Kwh Reading'!T13)*1000</f>
        <v>569.99999999993634</v>
      </c>
      <c r="D13" s="2">
        <f>('Kwh Reading'!F14-'Kwh Reading'!F13)*1000000</f>
        <v>2899.9999999999027</v>
      </c>
      <c r="E13" s="2">
        <f>('Kwh Reading'!C14-'Kwh Reading'!C13)*1000</f>
        <v>250</v>
      </c>
      <c r="F13" s="2">
        <f>('Kwh Reading'!J14-'Kwh Reading'!J13)*1000</f>
        <v>659.99999999996817</v>
      </c>
      <c r="G13" s="2">
        <f>('Kwh Reading'!K14-'Kwh Reading'!K13)*1000</f>
        <v>399.99999999997726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389.99999999998636</v>
      </c>
      <c r="L13" s="2">
        <f>('Kwh Reading'!B14-'Kwh Reading'!B13)*1000000</f>
        <v>1299.9999999998568</v>
      </c>
      <c r="M13" s="2">
        <f>('Kwh Reading'!M14-'Kwh Reading'!M13)*1000</f>
        <v>879.99999999999545</v>
      </c>
      <c r="N13" s="2">
        <f>('Kwh Reading'!H14-'Kwh Reading'!H13)*1000</f>
        <v>1420.0000000000728</v>
      </c>
      <c r="O13" s="2">
        <f>('Kwh Reading'!P14-'Kwh Reading'!P13)*1000</f>
        <v>1159.9999999999682</v>
      </c>
      <c r="P13" s="2">
        <f>('Kwh Reading'!G14-'Kwh Reading'!G13)*1000</f>
        <v>970.00000000002728</v>
      </c>
      <c r="Q13" s="2">
        <f>('Kwh Reading'!Q14-'Kwh Reading'!Q13)*1000</f>
        <v>909.99999999996817</v>
      </c>
      <c r="R13" s="2">
        <f>('Kwh Reading'!N14-'Kwh Reading'!N13)*1000</f>
        <v>940.00000000005457</v>
      </c>
      <c r="S13" s="33">
        <f>'Kwh Reading'!E14-'Kwh Reading'!E13</f>
        <v>3477.429999999702</v>
      </c>
      <c r="T13" s="33">
        <f>'Kwh Reading'!D14-'Kwh Reading'!D13</f>
        <v>2158.7299999995157</v>
      </c>
      <c r="U13" s="27">
        <f>('Kwh Reading'!O14-'Kwh Reading'!O13)*1000</f>
        <v>219.99999999999886</v>
      </c>
      <c r="V13" s="16">
        <f t="shared" si="1"/>
        <v>5443.84000000179</v>
      </c>
    </row>
    <row r="14" spans="1:22" x14ac:dyDescent="0.25">
      <c r="A14" s="3">
        <f>'Kwh Reading'!A14</f>
        <v>44662</v>
      </c>
      <c r="B14" s="26">
        <f>TOTAL!E12</f>
        <v>26060.000000000171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259.99999999999091</v>
      </c>
      <c r="F14" s="2">
        <f>('Kwh Reading'!J15-'Kwh Reading'!J14)*1000</f>
        <v>490.00000000000909</v>
      </c>
      <c r="G14" s="2">
        <f>('Kwh Reading'!K15-'Kwh Reading'!K14)*1000</f>
        <v>450.00000000004547</v>
      </c>
      <c r="H14" s="2">
        <f>('Kwh Reading'!L15-'Kwh Reading'!L14)*1000</f>
        <v>290.00000000002046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350.00000000002274</v>
      </c>
      <c r="L14" s="2">
        <f>('Kwh Reading'!B15-'Kwh Reading'!B14)*1000000</f>
        <v>1200.0000000000898</v>
      </c>
      <c r="M14" s="2">
        <f>('Kwh Reading'!M15-'Kwh Reading'!M14)*1000</f>
        <v>899.99999999997726</v>
      </c>
      <c r="N14" s="2">
        <f>('Kwh Reading'!H15-'Kwh Reading'!H14)*1000</f>
        <v>1399.9999999999773</v>
      </c>
      <c r="O14" s="2">
        <f>('Kwh Reading'!P15-'Kwh Reading'!P14)*1000</f>
        <v>1009.9999999999909</v>
      </c>
      <c r="P14" s="2">
        <f>('Kwh Reading'!G15-'Kwh Reading'!G14)*1000</f>
        <v>1019.9999999999818</v>
      </c>
      <c r="Q14" s="2">
        <f>('Kwh Reading'!Q15-'Kwh Reading'!Q14)*1000</f>
        <v>850.00000000002274</v>
      </c>
      <c r="R14" s="2">
        <f>('Kwh Reading'!N15-'Kwh Reading'!N14)*1000</f>
        <v>990.00000000000909</v>
      </c>
      <c r="S14" s="33">
        <f>'Kwh Reading'!E15-'Kwh Reading'!E14</f>
        <v>3594.4599999990314</v>
      </c>
      <c r="T14" s="33">
        <f>'Kwh Reading'!D15-'Kwh Reading'!D14</f>
        <v>2358.1299999998882</v>
      </c>
      <c r="U14" s="27">
        <f>('Kwh Reading'!O15-'Kwh Reading'!O14)*1000</f>
        <v>220.00000000002728</v>
      </c>
      <c r="V14" s="16">
        <f t="shared" si="1"/>
        <v>7267.4100000010985</v>
      </c>
    </row>
    <row r="15" spans="1:22" x14ac:dyDescent="0.25">
      <c r="A15" s="3">
        <f>'Kwh Reading'!A15</f>
        <v>44663</v>
      </c>
      <c r="B15" s="26">
        <f>TOTAL!E13</f>
        <v>25189.999999999825</v>
      </c>
      <c r="C15" s="4">
        <f>('Kwh Reading'!T16-'Kwh Reading'!T15)*1000</f>
        <v>539.99999999996362</v>
      </c>
      <c r="D15" s="2">
        <f>('Kwh Reading'!F16-'Kwh Reading'!F15)*1000000</f>
        <v>2899.9999999999027</v>
      </c>
      <c r="E15" s="2">
        <f>('Kwh Reading'!C16-'Kwh Reading'!C15)*1000</f>
        <v>250</v>
      </c>
      <c r="F15" s="2">
        <f>('Kwh Reading'!J16-'Kwh Reading'!J15)*1000</f>
        <v>519.99999999998181</v>
      </c>
      <c r="G15" s="2">
        <f>('Kwh Reading'!K16-'Kwh Reading'!K15)*1000</f>
        <v>449.99999999998863</v>
      </c>
      <c r="H15" s="2">
        <f>('Kwh Reading'!L16-'Kwh Reading'!L15)*1000</f>
        <v>290.00000000002046</v>
      </c>
      <c r="I15" s="2">
        <f>('Kwh Reading'!R16-'Kwh Reading'!R15)*1000</f>
        <v>0</v>
      </c>
      <c r="J15" s="2">
        <f>('Kwh Reading'!S16-'Kwh Reading'!S15)*1000</f>
        <v>169.99999999998749</v>
      </c>
      <c r="K15" s="2">
        <f>('Kwh Reading'!I16-'Kwh Reading'!I15)*1000</f>
        <v>329.99999999998408</v>
      </c>
      <c r="L15" s="2">
        <f>('Kwh Reading'!B16-'Kwh Reading'!B15)*1000000</f>
        <v>1200.0000000000898</v>
      </c>
      <c r="M15" s="2">
        <f>('Kwh Reading'!M16-'Kwh Reading'!M15)*1000</f>
        <v>830.00000000004093</v>
      </c>
      <c r="N15" s="2">
        <f>('Kwh Reading'!H16-'Kwh Reading'!H15)*1000</f>
        <v>1360.0000000000136</v>
      </c>
      <c r="O15" s="2">
        <f>('Kwh Reading'!P16-'Kwh Reading'!P15)*1000</f>
        <v>1050.0000000000682</v>
      </c>
      <c r="P15" s="2">
        <f>('Kwh Reading'!G16-'Kwh Reading'!G15)*1000</f>
        <v>-997990</v>
      </c>
      <c r="Q15" s="2">
        <f>('Kwh Reading'!Q16-'Kwh Reading'!Q15)*1000</f>
        <v>850.00000000002274</v>
      </c>
      <c r="R15" s="2">
        <f>('Kwh Reading'!N16-'Kwh Reading'!N15)*1000</f>
        <v>959.99999999992269</v>
      </c>
      <c r="S15" s="33">
        <f>'Kwh Reading'!E16-'Kwh Reading'!E15</f>
        <v>3412.7800000011921</v>
      </c>
      <c r="T15" s="33">
        <f>'Kwh Reading'!D16-'Kwh Reading'!D15</f>
        <v>2249.5100000007078</v>
      </c>
      <c r="U15" s="27">
        <f>('Kwh Reading'!O16-'Kwh Reading'!O15)*1000</f>
        <v>250</v>
      </c>
      <c r="V15" s="16">
        <f t="shared" si="1"/>
        <v>1005567.7099999981</v>
      </c>
    </row>
    <row r="16" spans="1:22" x14ac:dyDescent="0.25">
      <c r="A16" s="3">
        <f>'Kwh Reading'!A16</f>
        <v>44664</v>
      </c>
      <c r="B16" s="26">
        <f>TOTAL!E14</f>
        <v>22230.000000000247</v>
      </c>
      <c r="C16" s="4">
        <f>('Kwh Reading'!T17-'Kwh Reading'!T16)*1000</f>
        <v>509.99999999999091</v>
      </c>
      <c r="D16" s="2">
        <f>('Kwh Reading'!F17-'Kwh Reading'!F16)*1000000</f>
        <v>2900.0000000003465</v>
      </c>
      <c r="E16" s="2">
        <f>('Kwh Reading'!C17-'Kwh Reading'!C16)*1000</f>
        <v>250</v>
      </c>
      <c r="F16" s="2">
        <f>('Kwh Reading'!J17-'Kwh Reading'!J16)*1000</f>
        <v>910.00000000002501</v>
      </c>
      <c r="G16" s="2">
        <f>('Kwh Reading'!K17-'Kwh Reading'!K16)*1000</f>
        <v>490.00000000000909</v>
      </c>
      <c r="H16" s="2">
        <f>('Kwh Reading'!L17-'Kwh Reading'!L16)*1000</f>
        <v>319.99999999999318</v>
      </c>
      <c r="I16" s="2">
        <f>('Kwh Reading'!R17-'Kwh Reading'!R16)*1000</f>
        <v>0</v>
      </c>
      <c r="J16" s="2">
        <f>('Kwh Reading'!S17-'Kwh Reading'!S16)*1000</f>
        <v>140.00000000001478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720.00000000002728</v>
      </c>
      <c r="N16" s="2">
        <f>('Kwh Reading'!H17-'Kwh Reading'!H16)*1000</f>
        <v>1069.9999999999363</v>
      </c>
      <c r="O16" s="2">
        <f>('Kwh Reading'!P17-'Kwh Reading'!P16)*1000</f>
        <v>929.99999999994998</v>
      </c>
      <c r="P16" s="2">
        <f>('Kwh Reading'!G17-'Kwh Reading'!G16)*1000</f>
        <v>0.89999999999990088</v>
      </c>
      <c r="Q16" s="2">
        <f>('Kwh Reading'!Q17-'Kwh Reading'!Q16)*1000</f>
        <v>739.99999999989541</v>
      </c>
      <c r="R16" s="2">
        <f>('Kwh Reading'!N17-'Kwh Reading'!N16)*1000</f>
        <v>810.00000000005912</v>
      </c>
      <c r="S16" s="33">
        <f>'Kwh Reading'!E17-'Kwh Reading'!E16</f>
        <v>2825.9899999983609</v>
      </c>
      <c r="T16" s="33">
        <f>'Kwh Reading'!D17-'Kwh Reading'!D16</f>
        <v>1708.0099999997765</v>
      </c>
      <c r="U16" s="27">
        <f>('Kwh Reading'!O17-'Kwh Reading'!O16)*1000</f>
        <v>209.99999999997954</v>
      </c>
      <c r="V16" s="16">
        <f t="shared" si="1"/>
        <v>6435.1000000020049</v>
      </c>
    </row>
    <row r="17" spans="1:22" x14ac:dyDescent="0.25">
      <c r="A17" s="3">
        <f>'Kwh Reading'!A17</f>
        <v>44665</v>
      </c>
      <c r="B17" s="26">
        <f>TOTAL!E15</f>
        <v>24860.000000000815</v>
      </c>
      <c r="C17" s="4">
        <f>('Kwh Reading'!T18-'Kwh Reading'!T17)*1000</f>
        <v>529.99999999997272</v>
      </c>
      <c r="D17" s="2">
        <f>('Kwh Reading'!F18-'Kwh Reading'!F17)*1000000</f>
        <v>2899.9999999999027</v>
      </c>
      <c r="E17" s="2">
        <f>('Kwh Reading'!C18-'Kwh Reading'!C17)*1000</f>
        <v>260.00000000004775</v>
      </c>
      <c r="F17" s="2">
        <f>('Kwh Reading'!J18-'Kwh Reading'!J17)*1000</f>
        <v>780.00000000002956</v>
      </c>
      <c r="G17" s="2">
        <f>('Kwh Reading'!K18-'Kwh Reading'!K17)*1000</f>
        <v>459.99999999997954</v>
      </c>
      <c r="H17" s="2">
        <f>('Kwh Reading'!L18-'Kwh Reading'!L17)*1000</f>
        <v>300.00000000001137</v>
      </c>
      <c r="I17" s="2">
        <f>('Kwh Reading'!R18-'Kwh Reading'!R17)*1000</f>
        <v>0</v>
      </c>
      <c r="J17" s="2">
        <f>('Kwh Reading'!S18-'Kwh Reading'!S17)*1000</f>
        <v>149.99999999997726</v>
      </c>
      <c r="K17" s="2">
        <f>('Kwh Reading'!I18-'Kwh Reading'!I17)*1000</f>
        <v>300.00000000001137</v>
      </c>
      <c r="L17" s="2">
        <f>('Kwh Reading'!B18-'Kwh Reading'!B17)*1000000</f>
        <v>1100.000000000101</v>
      </c>
      <c r="M17" s="2">
        <f>('Kwh Reading'!M18-'Kwh Reading'!M17)*1000</f>
        <v>879.99999999999545</v>
      </c>
      <c r="N17" s="2">
        <f>('Kwh Reading'!H18-'Kwh Reading'!H17)*1000</f>
        <v>1180.0000000000637</v>
      </c>
      <c r="O17" s="2">
        <f>('Kwh Reading'!P18-'Kwh Reading'!P17)*1000</f>
        <v>960.00000000003638</v>
      </c>
      <c r="P17" s="2">
        <f>('Kwh Reading'!G18-'Kwh Reading'!G17)*1000</f>
        <v>1.0000000000001119</v>
      </c>
      <c r="Q17" s="2">
        <f>('Kwh Reading'!Q18-'Kwh Reading'!Q17)*1000</f>
        <v>840.00000000003183</v>
      </c>
      <c r="R17" s="2">
        <f>('Kwh Reading'!N18-'Kwh Reading'!N17)*1000</f>
        <v>870.00000000000455</v>
      </c>
      <c r="S17" s="33">
        <f>'Kwh Reading'!E18-'Kwh Reading'!E17</f>
        <v>2949.2600000016391</v>
      </c>
      <c r="T17" s="33">
        <f>'Kwh Reading'!D18-'Kwh Reading'!D17</f>
        <v>2001.4199999999255</v>
      </c>
      <c r="U17" s="27">
        <f>('Kwh Reading'!O18-'Kwh Reading'!O17)*1000</f>
        <v>240.00000000000909</v>
      </c>
      <c r="V17" s="16">
        <f t="shared" si="1"/>
        <v>8158.3199999990757</v>
      </c>
    </row>
    <row r="18" spans="1:22" x14ac:dyDescent="0.25">
      <c r="A18" s="3">
        <f>'Kwh Reading'!A18</f>
        <v>44666</v>
      </c>
      <c r="B18" s="26">
        <f>TOTAL!E16</f>
        <v>25049.999999999727</v>
      </c>
      <c r="C18" s="4">
        <f>('Kwh Reading'!T19-'Kwh Reading'!T18)*1000</f>
        <v>519.99999999998181</v>
      </c>
      <c r="D18" s="2">
        <f>('Kwh Reading'!F19-'Kwh Reading'!F18)*1000000</f>
        <v>2799.9999999996917</v>
      </c>
      <c r="E18" s="2">
        <f>('Kwh Reading'!C19-'Kwh Reading'!C18)*1000</f>
        <v>239.99999999995225</v>
      </c>
      <c r="F18" s="2">
        <f>('Kwh Reading'!J19-'Kwh Reading'!J18)*1000</f>
        <v>799.99999999995453</v>
      </c>
      <c r="G18" s="2">
        <f>('Kwh Reading'!K19-'Kwh Reading'!K18)*1000</f>
        <v>439.99999999999773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159.99999999999659</v>
      </c>
      <c r="K18" s="2">
        <f>('Kwh Reading'!I19-'Kwh Reading'!I18)*1000</f>
        <v>329.99999999998408</v>
      </c>
      <c r="L18" s="2">
        <f>('Kwh Reading'!B19-'Kwh Reading'!B18)*1000000</f>
        <v>1299.9999999998568</v>
      </c>
      <c r="M18" s="2">
        <f>('Kwh Reading'!M19-'Kwh Reading'!M18)*1000</f>
        <v>949.99999999993179</v>
      </c>
      <c r="N18" s="2">
        <f>('Kwh Reading'!H19-'Kwh Reading'!H18)*1000</f>
        <v>1349.9999999999091</v>
      </c>
      <c r="O18" s="2">
        <f>('Kwh Reading'!P19-'Kwh Reading'!P18)*1000</f>
        <v>899.99999999997726</v>
      </c>
      <c r="P18" s="2">
        <f>('Kwh Reading'!G19-'Kwh Reading'!G18)*1000</f>
        <v>0.99999999999988987</v>
      </c>
      <c r="Q18" s="2">
        <f>('Kwh Reading'!Q19-'Kwh Reading'!Q18)*1000</f>
        <v>850.00000000002274</v>
      </c>
      <c r="R18" s="2">
        <f>('Kwh Reading'!N19-'Kwh Reading'!N18)*1000</f>
        <v>929.99999999994998</v>
      </c>
      <c r="S18" s="33">
        <f>'Kwh Reading'!E19-'Kwh Reading'!E18</f>
        <v>3085.2299999985844</v>
      </c>
      <c r="T18" s="33">
        <f>'Kwh Reading'!D19-'Kwh Reading'!D18</f>
        <v>2117.25</v>
      </c>
      <c r="U18" s="27">
        <f>('Kwh Reading'!O19-'Kwh Reading'!O18)*1000</f>
        <v>240.00000000000909</v>
      </c>
      <c r="V18" s="16">
        <f t="shared" si="1"/>
        <v>7756.5200000019577</v>
      </c>
    </row>
    <row r="19" spans="1:22" x14ac:dyDescent="0.25">
      <c r="A19" s="3">
        <f>'Kwh Reading'!A19</f>
        <v>44667</v>
      </c>
      <c r="B19" s="26">
        <f>TOTAL!E17</f>
        <v>25929.999999999607</v>
      </c>
      <c r="C19" s="4">
        <f>('Kwh Reading'!T20-'Kwh Reading'!T19)*1000</f>
        <v>600.00000000002274</v>
      </c>
      <c r="D19" s="2">
        <f>('Kwh Reading'!F20-'Kwh Reading'!F19)*1000000</f>
        <v>2800.0000000001355</v>
      </c>
      <c r="E19" s="2">
        <f>('Kwh Reading'!C20-'Kwh Reading'!C19)*1000</f>
        <v>240.00000000000909</v>
      </c>
      <c r="F19" s="2">
        <f>('Kwh Reading'!J20-'Kwh Reading'!J19)*1000</f>
        <v>710.00000000003638</v>
      </c>
      <c r="G19" s="2">
        <f>('Kwh Reading'!K20-'Kwh Reading'!K19)*1000</f>
        <v>500</v>
      </c>
      <c r="H19" s="2">
        <f>('Kwh Reading'!L20-'Kwh Reading'!L19)*1000</f>
        <v>470.00000000002728</v>
      </c>
      <c r="I19" s="2">
        <f>('Kwh Reading'!R20-'Kwh Reading'!R19)*1000</f>
        <v>0</v>
      </c>
      <c r="J19" s="2">
        <f>('Kwh Reading'!S20-'Kwh Reading'!S19)*1000</f>
        <v>150.00000000000568</v>
      </c>
      <c r="K19" s="2">
        <f>('Kwh Reading'!I20-'Kwh Reading'!I19)*1000</f>
        <v>360.00000000001364</v>
      </c>
      <c r="L19" s="2">
        <f>('Kwh Reading'!B20-'Kwh Reading'!B19)*1000000</f>
        <v>1400.0000000000678</v>
      </c>
      <c r="M19" s="2">
        <f>('Kwh Reading'!M20-'Kwh Reading'!M19)*1000</f>
        <v>980.00000000001819</v>
      </c>
      <c r="N19" s="2">
        <f>('Kwh Reading'!H20-'Kwh Reading'!H19)*1000</f>
        <v>1430.0000000000637</v>
      </c>
      <c r="O19" s="2">
        <f>('Kwh Reading'!P20-'Kwh Reading'!P19)*1000</f>
        <v>1019.9999999999818</v>
      </c>
      <c r="P19" s="2">
        <f>('Kwh Reading'!G20-'Kwh Reading'!G19)*1000</f>
        <v>1.1000000000001009</v>
      </c>
      <c r="Q19" s="2">
        <f>('Kwh Reading'!Q20-'Kwh Reading'!Q19)*1000</f>
        <v>809.99999999994543</v>
      </c>
      <c r="R19" s="2">
        <f>('Kwh Reading'!N20-'Kwh Reading'!N19)*1000</f>
        <v>960.00000000003638</v>
      </c>
      <c r="S19" s="33">
        <f>'Kwh Reading'!E20-'Kwh Reading'!E19</f>
        <v>3232.6200000010431</v>
      </c>
      <c r="T19" s="33">
        <f>'Kwh Reading'!D20-'Kwh Reading'!D19</f>
        <v>2105.269999999553</v>
      </c>
      <c r="U19" s="27">
        <f>('Kwh Reading'!O20-'Kwh Reading'!O19)*1000</f>
        <v>289.99999999999204</v>
      </c>
      <c r="V19" s="16">
        <f t="shared" si="1"/>
        <v>7871.009999998656</v>
      </c>
    </row>
    <row r="20" spans="1:22" x14ac:dyDescent="0.25">
      <c r="A20" s="3">
        <f>'Kwh Reading'!A20</f>
        <v>44668</v>
      </c>
      <c r="B20" s="26">
        <f>TOTAL!E18</f>
        <v>26000.000000000451</v>
      </c>
      <c r="C20" s="4">
        <f>('Kwh Reading'!T21-'Kwh Reading'!T20)*1000</f>
        <v>639.99999999998636</v>
      </c>
      <c r="D20" s="2">
        <f>('Kwh Reading'!F21-'Kwh Reading'!F20)*1000000</f>
        <v>2800.0000000001355</v>
      </c>
      <c r="E20" s="2">
        <f>('Kwh Reading'!C21-'Kwh Reading'!C20)*1000</f>
        <v>230.00000000001819</v>
      </c>
      <c r="F20" s="2">
        <f>('Kwh Reading'!J21-'Kwh Reading'!J20)*1000</f>
        <v>609.9999999999568</v>
      </c>
      <c r="G20" s="2">
        <f>('Kwh Reading'!K21-'Kwh Reading'!K20)*1000</f>
        <v>379.99999999999545</v>
      </c>
      <c r="H20" s="2">
        <f>('Kwh Reading'!L21-'Kwh Reading'!L20)*1000</f>
        <v>69.999999999993179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199.99999999998863</v>
      </c>
      <c r="L20" s="2">
        <f>('Kwh Reading'!B21-'Kwh Reading'!B20)*1000000</f>
        <v>1300.0000000000789</v>
      </c>
      <c r="M20" s="2">
        <f>('Kwh Reading'!M21-'Kwh Reading'!M20)*1000</f>
        <v>960.00000000003638</v>
      </c>
      <c r="N20" s="2">
        <f>('Kwh Reading'!H21-'Kwh Reading'!H20)*1000</f>
        <v>1429.99999999995</v>
      </c>
      <c r="O20" s="2">
        <f>('Kwh Reading'!P21-'Kwh Reading'!P20)*1000</f>
        <v>1060.0000000000591</v>
      </c>
      <c r="P20" s="2">
        <f>('Kwh Reading'!G21-'Kwh Reading'!G20)*1000</f>
        <v>0.99999999999988987</v>
      </c>
      <c r="Q20" s="2">
        <f>('Kwh Reading'!Q21-'Kwh Reading'!Q20)*1000</f>
        <v>830.00000000004093</v>
      </c>
      <c r="R20" s="2">
        <f>('Kwh Reading'!N21-'Kwh Reading'!N20)*1000</f>
        <v>970.00000000002728</v>
      </c>
      <c r="S20" s="33">
        <f>'Kwh Reading'!E21-'Kwh Reading'!E20</f>
        <v>3354.1500000003725</v>
      </c>
      <c r="T20" s="33">
        <f>'Kwh Reading'!D21-'Kwh Reading'!D20</f>
        <v>2221.2400000002235</v>
      </c>
      <c r="U20" s="27">
        <f>('Kwh Reading'!O21-'Kwh Reading'!O20)*1000</f>
        <v>240.00000000000909</v>
      </c>
      <c r="V20" s="16">
        <f t="shared" si="1"/>
        <v>8553.6099999995786</v>
      </c>
    </row>
    <row r="21" spans="1:22" ht="16.5" customHeight="1" x14ac:dyDescent="0.25">
      <c r="A21" s="3">
        <f>'Kwh Reading'!A21</f>
        <v>44669</v>
      </c>
      <c r="B21" s="26">
        <f>TOTAL!E19</f>
        <v>24520.000000000437</v>
      </c>
      <c r="C21" s="4">
        <f>('Kwh Reading'!T22-'Kwh Reading'!T21)*1000</f>
        <v>519.99999999998181</v>
      </c>
      <c r="D21" s="2">
        <f>('Kwh Reading'!F22-'Kwh Reading'!F21)*1000000</f>
        <v>2699.9999999999245</v>
      </c>
      <c r="E21" s="2">
        <f>('Kwh Reading'!C22-'Kwh Reading'!C21)*1000</f>
        <v>240.00000000000909</v>
      </c>
      <c r="F21" s="2">
        <f>('Kwh Reading'!J22-'Kwh Reading'!J21)*1000</f>
        <v>700.00000000004547</v>
      </c>
      <c r="G21" s="2">
        <f>('Kwh Reading'!K22-'Kwh Reading'!K21)*1000</f>
        <v>430.00000000000682</v>
      </c>
      <c r="H21" s="2">
        <f>('Kwh Reading'!L22-'Kwh Reading'!L21)*1000</f>
        <v>269.99999999998181</v>
      </c>
      <c r="I21" s="2">
        <f>('Kwh Reading'!R22-'Kwh Reading'!R21)*1000</f>
        <v>0</v>
      </c>
      <c r="J21" s="2">
        <f>('Kwh Reading'!S22-'Kwh Reading'!S21)*1000</f>
        <v>140.00000000001478</v>
      </c>
      <c r="K21" s="2">
        <f>('Kwh Reading'!I22-'Kwh Reading'!I21)*1000</f>
        <v>569.99999999999318</v>
      </c>
      <c r="L21" s="2">
        <f>('Kwh Reading'!B22-'Kwh Reading'!B21)*1000000</f>
        <v>1299.9999999998568</v>
      </c>
      <c r="M21" s="2">
        <f>('Kwh Reading'!M22-'Kwh Reading'!M21)*1000</f>
        <v>919.99999999995907</v>
      </c>
      <c r="N21" s="2">
        <f>('Kwh Reading'!H22-'Kwh Reading'!H21)*1000</f>
        <v>1330.0000000000409</v>
      </c>
      <c r="O21" s="2">
        <f>('Kwh Reading'!P22-'Kwh Reading'!P21)*1000</f>
        <v>949.99999999993179</v>
      </c>
      <c r="P21" s="2">
        <f>('Kwh Reading'!G22-'Kwh Reading'!G21)*1000</f>
        <v>1.1000000000001009</v>
      </c>
      <c r="Q21" s="2">
        <f>('Kwh Reading'!Q22-'Kwh Reading'!Q21)*1000</f>
        <v>840.00000000003183</v>
      </c>
      <c r="R21" s="2">
        <f>('Kwh Reading'!N22-'Kwh Reading'!N21)*1000</f>
        <v>959.99999999992269</v>
      </c>
      <c r="S21" s="33">
        <f>'Kwh Reading'!E22-'Kwh Reading'!E21</f>
        <v>3017.910000000149</v>
      </c>
      <c r="T21" s="33">
        <f>'Kwh Reading'!D22-'Kwh Reading'!D21</f>
        <v>1958.5099999997765</v>
      </c>
      <c r="U21" s="27">
        <f>('Kwh Reading'!O22-'Kwh Reading'!O21)*1000</f>
        <v>250</v>
      </c>
      <c r="V21" s="16">
        <f t="shared" si="1"/>
        <v>7422.4800000008108</v>
      </c>
    </row>
    <row r="22" spans="1:22" x14ac:dyDescent="0.25">
      <c r="A22" s="3">
        <f>'Kwh Reading'!A22</f>
        <v>44670</v>
      </c>
      <c r="B22" s="26">
        <f>TOTAL!E20</f>
        <v>23659.9999999994</v>
      </c>
      <c r="C22" s="4">
        <f>('Kwh Reading'!T23-'Kwh Reading'!T22)*1000</f>
        <v>490.00000000000909</v>
      </c>
      <c r="D22" s="2">
        <f>('Kwh Reading'!F23-'Kwh Reading'!F22)*1000000</f>
        <v>2800.0000000001355</v>
      </c>
      <c r="E22" s="2">
        <f>('Kwh Reading'!C23-'Kwh Reading'!C22)*1000</f>
        <v>250</v>
      </c>
      <c r="F22" s="2">
        <f>('Kwh Reading'!J23-'Kwh Reading'!J22)*1000</f>
        <v>500</v>
      </c>
      <c r="G22" s="2">
        <f>('Kwh Reading'!K23-'Kwh Reading'!K22)*1000</f>
        <v>350.00000000002274</v>
      </c>
      <c r="H22" s="2">
        <f>('Kwh Reading'!L23-'Kwh Reading'!L22)*1000</f>
        <v>180.00000000000682</v>
      </c>
      <c r="I22" s="2">
        <f>('Kwh Reading'!R23-'Kwh Reading'!R22)*1000</f>
        <v>0</v>
      </c>
      <c r="J22" s="2">
        <f>('Kwh Reading'!S23-'Kwh Reading'!S22)*1000</f>
        <v>149.99999999997726</v>
      </c>
      <c r="K22" s="2">
        <f>('Kwh Reading'!I23-'Kwh Reading'!I22)*1000</f>
        <v>389.99999999998636</v>
      </c>
      <c r="L22" s="2">
        <f>('Kwh Reading'!B23-'Kwh Reading'!B22)*1000000</f>
        <v>1200.0000000000898</v>
      </c>
      <c r="M22" s="2">
        <f>('Kwh Reading'!M23-'Kwh Reading'!M22)*1000</f>
        <v>850.00000000002274</v>
      </c>
      <c r="N22" s="2">
        <f>('Kwh Reading'!H23-'Kwh Reading'!H22)*1000</f>
        <v>1299.9999999999545</v>
      </c>
      <c r="O22" s="2">
        <f>('Kwh Reading'!P23-'Kwh Reading'!P22)*1000</f>
        <v>840.00000000003183</v>
      </c>
      <c r="P22" s="2">
        <f>('Kwh Reading'!G23-'Kwh Reading'!G22)*1000</f>
        <v>0.89999999999990088</v>
      </c>
      <c r="Q22" s="2">
        <f>('Kwh Reading'!Q23-'Kwh Reading'!Q22)*1000</f>
        <v>789.99999999996362</v>
      </c>
      <c r="R22" s="2">
        <f>('Kwh Reading'!N23-'Kwh Reading'!N22)*1000</f>
        <v>810.00000000005912</v>
      </c>
      <c r="S22" s="33">
        <f>'Kwh Reading'!E23-'Kwh Reading'!E22</f>
        <v>2963.4399999994785</v>
      </c>
      <c r="T22" s="33">
        <f>'Kwh Reading'!D23-'Kwh Reading'!D22</f>
        <v>2153.980000000447</v>
      </c>
      <c r="U22" s="27">
        <f>('Kwh Reading'!O23-'Kwh Reading'!O22)*1000</f>
        <v>209.99999999997954</v>
      </c>
      <c r="V22" s="16">
        <f t="shared" si="1"/>
        <v>7431.6799999992345</v>
      </c>
    </row>
    <row r="23" spans="1:22" x14ac:dyDescent="0.25">
      <c r="A23" s="3">
        <f>'Kwh Reading'!A23</f>
        <v>44671</v>
      </c>
      <c r="B23" s="26">
        <f>TOTAL!E21</f>
        <v>24009.999999998854</v>
      </c>
      <c r="C23" s="4">
        <f>('Kwh Reading'!T24-'Kwh Reading'!T23)*1000</f>
        <v>540.00000000007731</v>
      </c>
      <c r="D23" s="2">
        <f>('Kwh Reading'!F24-'Kwh Reading'!F23)*1000000</f>
        <v>2699.9999999999245</v>
      </c>
      <c r="E23" s="2">
        <f>('Kwh Reading'!C24-'Kwh Reading'!C23)*1000</f>
        <v>229.99999999996135</v>
      </c>
      <c r="F23" s="2">
        <f>('Kwh Reading'!J24-'Kwh Reading'!J23)*1000</f>
        <v>560.00000000000227</v>
      </c>
      <c r="G23" s="2">
        <f>('Kwh Reading'!K24-'Kwh Reading'!K23)*1000</f>
        <v>339.99999999997499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140.00000000001478</v>
      </c>
      <c r="K23" s="2">
        <f>('Kwh Reading'!I24-'Kwh Reading'!I23)*1000</f>
        <v>420.00000000001592</v>
      </c>
      <c r="L23" s="2">
        <f>('Kwh Reading'!B24-'Kwh Reading'!B23)*1000000</f>
        <v>1199.9999999998679</v>
      </c>
      <c r="M23" s="2">
        <f>('Kwh Reading'!M24-'Kwh Reading'!M23)*1000</f>
        <v>980.00000000001819</v>
      </c>
      <c r="N23" s="2">
        <f>('Kwh Reading'!H24-'Kwh Reading'!H23)*1000</f>
        <v>1400.0000000000909</v>
      </c>
      <c r="O23" s="2">
        <f>('Kwh Reading'!P24-'Kwh Reading'!P23)*1000</f>
        <v>909.99999999996817</v>
      </c>
      <c r="P23" s="2">
        <f>('Kwh Reading'!G24-'Kwh Reading'!G23)*1000</f>
        <v>1.0000000000001119</v>
      </c>
      <c r="Q23" s="2">
        <f>('Kwh Reading'!Q24-'Kwh Reading'!Q23)*1000</f>
        <v>700.00000000004547</v>
      </c>
      <c r="R23" s="2">
        <f>('Kwh Reading'!N24-'Kwh Reading'!N23)*1000</f>
        <v>889.99999999998636</v>
      </c>
      <c r="S23" s="33">
        <f>'Kwh Reading'!E24-'Kwh Reading'!E23</f>
        <v>3292.3499999996275</v>
      </c>
      <c r="T23" s="33">
        <f>'Kwh Reading'!D24-'Kwh Reading'!D23</f>
        <v>2184.0400000000373</v>
      </c>
      <c r="U23" s="27">
        <f>('Kwh Reading'!O24-'Kwh Reading'!O23)*1000</f>
        <v>219.99999999999886</v>
      </c>
      <c r="V23" s="16">
        <f t="shared" si="1"/>
        <v>7072.6099999992221</v>
      </c>
    </row>
    <row r="24" spans="1:22" x14ac:dyDescent="0.25">
      <c r="A24" s="3">
        <f>'Kwh Reading'!A24</f>
        <v>44672</v>
      </c>
      <c r="B24" s="26">
        <f>TOTAL!E22</f>
        <v>0</v>
      </c>
      <c r="C24" s="4">
        <f>('Kwh Reading'!T25-'Kwh Reading'!T24)*1000</f>
        <v>549.99999999995453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569.99999999999318</v>
      </c>
      <c r="G24" s="2">
        <f>('Kwh Reading'!K25-'Kwh Reading'!K24)*1000</f>
        <v>310.00000000000227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159.99999999999659</v>
      </c>
      <c r="K24" s="2">
        <f>('Kwh Reading'!I25-'Kwh Reading'!I24)*1000</f>
        <v>379.99999999999545</v>
      </c>
      <c r="L24" s="2">
        <f>('Kwh Reading'!B25-'Kwh Reading'!B24)*1000000</f>
        <v>1300.0000000000789</v>
      </c>
      <c r="M24" s="2">
        <f>('Kwh Reading'!M25-'Kwh Reading'!M24)*1000</f>
        <v>990.00000000000909</v>
      </c>
      <c r="N24" s="2">
        <f>('Kwh Reading'!H25-'Kwh Reading'!H24)*1000</f>
        <v>1479.9999999999045</v>
      </c>
      <c r="O24" s="2">
        <f>('Kwh Reading'!P25-'Kwh Reading'!P24)*1000</f>
        <v>920.00000000007276</v>
      </c>
      <c r="P24" s="2">
        <f>('Kwh Reading'!G25-'Kwh Reading'!G24)*1000</f>
        <v>0.89999999999990088</v>
      </c>
      <c r="Q24" s="2">
        <f>('Kwh Reading'!Q25-'Kwh Reading'!Q24)*1000</f>
        <v>3709.9999999999227</v>
      </c>
      <c r="R24" s="2">
        <f>('Kwh Reading'!N25-'Kwh Reading'!N24)*1000</f>
        <v>829.99999999992724</v>
      </c>
      <c r="S24" s="2">
        <f>'Kwh Reading'!E25-'Kwh Reading'!E24</f>
        <v>3078.8800000008196</v>
      </c>
      <c r="T24" s="2">
        <f>'Kwh Reading'!D25-'Kwh Reading'!D24</f>
        <v>2125.6399999996647</v>
      </c>
      <c r="U24" s="27">
        <f>('Kwh Reading'!O25-'Kwh Reading'!O24)*1000</f>
        <v>200.00000000001705</v>
      </c>
      <c r="V24" s="16">
        <f t="shared" si="1"/>
        <v>-19875.420000000464</v>
      </c>
    </row>
    <row r="25" spans="1:22" x14ac:dyDescent="0.25">
      <c r="A25" s="3">
        <f>'Kwh Reading'!A25</f>
        <v>44673</v>
      </c>
      <c r="B25" s="26">
        <f>TOTAL!E23</f>
        <v>0</v>
      </c>
      <c r="C25" s="4">
        <f>('Kwh Reading'!T26-'Kwh Reading'!T25)*1000</f>
        <v>289.99999999996362</v>
      </c>
      <c r="D25" s="2">
        <f>('Kwh Reading'!F26-'Kwh Reading'!F25)*1000000</f>
        <v>2699.9999999999245</v>
      </c>
      <c r="E25" s="2">
        <f>('Kwh Reading'!C26-'Kwh Reading'!C25)*1000</f>
        <v>240.00000000000909</v>
      </c>
      <c r="F25" s="2">
        <f>('Kwh Reading'!J26-'Kwh Reading'!J25)*1000</f>
        <v>469.99999999997044</v>
      </c>
      <c r="G25" s="2">
        <f>('Kwh Reading'!K26-'Kwh Reading'!K25)*1000</f>
        <v>259.99999999999091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129.99999999999545</v>
      </c>
      <c r="K25" s="2">
        <f>('Kwh Reading'!I26-'Kwh Reading'!I25)*1000</f>
        <v>360.00000000001364</v>
      </c>
      <c r="L25" s="2">
        <f>('Kwh Reading'!B26-'Kwh Reading'!B25)*1000000</f>
        <v>1200.0000000000898</v>
      </c>
      <c r="M25" s="2">
        <f>('Kwh Reading'!M26-'Kwh Reading'!M25)*1000</f>
        <v>899.99999999997726</v>
      </c>
      <c r="N25" s="2">
        <f>('Kwh Reading'!H26-'Kwh Reading'!H25)*1000</f>
        <v>1379.9999999999955</v>
      </c>
      <c r="O25" s="2">
        <f>('Kwh Reading'!P26-'Kwh Reading'!P25)*1000</f>
        <v>879.99999999999545</v>
      </c>
      <c r="P25" s="2">
        <f>('Kwh Reading'!G26-'Kwh Reading'!G25)*1000</f>
        <v>0.90000000000012292</v>
      </c>
      <c r="Q25" s="2">
        <f>('Kwh Reading'!Q26-'Kwh Reading'!Q25)*1000</f>
        <v>-2329.9999999999272</v>
      </c>
      <c r="R25" s="2">
        <f>('Kwh Reading'!N26-'Kwh Reading'!N25)*1000</f>
        <v>740.00000000000909</v>
      </c>
      <c r="S25" s="2">
        <f>'Kwh Reading'!E26-'Kwh Reading'!E25</f>
        <v>2527.8300000000745</v>
      </c>
      <c r="T25" s="2">
        <f>'Kwh Reading'!D26-'Kwh Reading'!D25</f>
        <v>1990.660000000149</v>
      </c>
      <c r="U25" s="27">
        <f>('Kwh Reading'!O26-'Kwh Reading'!O25)*1000</f>
        <v>219.99999999999886</v>
      </c>
      <c r="V25" s="16">
        <f t="shared" si="1"/>
        <v>-12189.390000000247</v>
      </c>
    </row>
    <row r="26" spans="1:22" x14ac:dyDescent="0.25">
      <c r="A26" s="3">
        <f>'Kwh Reading'!A26</f>
        <v>44674</v>
      </c>
      <c r="B26" s="26">
        <f>TOTAL!E24</f>
        <v>0</v>
      </c>
      <c r="C26" s="4">
        <f>('Kwh Reading'!T27-'Kwh Reading'!T26)*1000</f>
        <v>490.00000000000909</v>
      </c>
      <c r="D26" s="2">
        <f>('Kwh Reading'!F27-'Kwh Reading'!F26)*1000000</f>
        <v>2799.9999999996917</v>
      </c>
      <c r="E26" s="2">
        <f>('Kwh Reading'!C27-'Kwh Reading'!C26)*1000</f>
        <v>230.00000000001819</v>
      </c>
      <c r="F26" s="2">
        <f>('Kwh Reading'!J27-'Kwh Reading'!J26)*1000</f>
        <v>470.00000000002728</v>
      </c>
      <c r="G26" s="2">
        <f>('Kwh Reading'!K27-'Kwh Reading'!K26)*1000</f>
        <v>280.00000000002956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Reading'!B26)*1000000</f>
        <v>999.99999999988984</v>
      </c>
      <c r="M26" s="2">
        <f>('Kwh Reading'!M27-'Kwh Reading'!M26)*1000</f>
        <v>870.00000000000455</v>
      </c>
      <c r="N26" s="2">
        <f>('Kwh Reading'!H27-'Kwh Reading'!H26)*1000</f>
        <v>1330.0000000000409</v>
      </c>
      <c r="O26" s="2">
        <f>('Kwh Reading'!P27-'Kwh Reading'!P26)*1000</f>
        <v>819.99999999993634</v>
      </c>
      <c r="P26" s="2">
        <f>('Kwh Reading'!G27-'Kwh Reading'!G26)*1000</f>
        <v>0.99999999999988987</v>
      </c>
      <c r="Q26" s="2">
        <f>('Kwh Reading'!Q27-'Kwh Reading'!Q26)*1000</f>
        <v>779.99999999997272</v>
      </c>
      <c r="R26" s="2">
        <f>('Kwh Reading'!N27-'Kwh Reading'!N26)*1000</f>
        <v>690.00000000005457</v>
      </c>
      <c r="S26" s="2">
        <f>'Kwh Reading'!E27-'Kwh Reading'!E26</f>
        <v>2990.8699999991804</v>
      </c>
      <c r="T26" s="2">
        <f>'Kwh Reading'!D27-'Kwh Reading'!D26</f>
        <v>1916.429999999702</v>
      </c>
      <c r="U26" s="27">
        <f>('Kwh Reading'!O27-'Kwh Reading'!O26)*1000</f>
        <v>209.99999999997954</v>
      </c>
      <c r="V26" s="16">
        <f t="shared" si="1"/>
        <v>-15558.299999998544</v>
      </c>
    </row>
    <row r="27" spans="1:22" x14ac:dyDescent="0.25">
      <c r="A27" s="3">
        <f>'Kwh Reading'!A27</f>
        <v>44675</v>
      </c>
      <c r="B27" s="26">
        <f>TOTAL!E25</f>
        <v>0</v>
      </c>
      <c r="C27" s="4">
        <f>('Kwh Reading'!T28-'Kwh Reading'!T27)*1000</f>
        <v>-566540</v>
      </c>
      <c r="D27" s="2">
        <f>('Kwh Reading'!F28-'Kwh Reading'!F27)*1000000</f>
        <v>-3150800</v>
      </c>
      <c r="E27" s="2">
        <f>('Kwh Reading'!C28-'Kwh Reading'!C27)*1000</f>
        <v>-304360</v>
      </c>
      <c r="F27" s="2">
        <f>('Kwh Reading'!J28-'Kwh Reading'!J27)*1000</f>
        <v>-446860</v>
      </c>
      <c r="G27" s="2">
        <f>('Kwh Reading'!K28-'Kwh Reading'!K27)*1000</f>
        <v>-445540</v>
      </c>
      <c r="H27" s="2">
        <f>('Kwh Reading'!L28-'Kwh Reading'!L27)*1000</f>
        <v>-302370</v>
      </c>
      <c r="I27" s="2">
        <f>('Kwh Reading'!R28-'Kwh Reading'!R27)*1000</f>
        <v>-190150</v>
      </c>
      <c r="J27" s="2">
        <f>('Kwh Reading'!S28-'Kwh Reading'!S27)*1000</f>
        <v>-155540</v>
      </c>
      <c r="K27" s="2">
        <f>('Kwh Reading'!I28-'Kwh Reading'!I27)*1000</f>
        <v>-325800</v>
      </c>
      <c r="L27" s="2">
        <f>('Kwh Reading'!B28-'Kwh Reading'!B27)*1000000</f>
        <v>-1339000</v>
      </c>
      <c r="M27" s="2">
        <f>('Kwh Reading'!M28-'Kwh Reading'!M27)*1000</f>
        <v>-743970</v>
      </c>
      <c r="N27" s="2">
        <f>('Kwh Reading'!H28-'Kwh Reading'!H27)*1000</f>
        <v>-896640</v>
      </c>
      <c r="O27" s="2">
        <f>('Kwh Reading'!P28-'Kwh Reading'!P27)*1000</f>
        <v>-912670</v>
      </c>
      <c r="P27" s="2">
        <f>('Kwh Reading'!G28-'Kwh Reading'!G27)*1000</f>
        <v>-1010.8</v>
      </c>
      <c r="Q27" s="2">
        <f>('Kwh Reading'!Q28-'Kwh Reading'!Q27)*1000</f>
        <v>-674880</v>
      </c>
      <c r="R27" s="2">
        <f>('Kwh Reading'!N28-'Kwh Reading'!N27)*1000</f>
        <v>-704110</v>
      </c>
      <c r="S27" s="2">
        <f>'Kwh Reading'!E28-'Kwh Reading'!E27</f>
        <v>-9023472.8300000001</v>
      </c>
      <c r="T27" s="2">
        <f>'Kwh Reading'!D28-'Kwh Reading'!D27</f>
        <v>-8108381.6399999997</v>
      </c>
      <c r="U27" s="27">
        <f>('Kwh Reading'!O28-'Kwh Reading'!O27)*1000</f>
        <v>-215390</v>
      </c>
      <c r="V27" s="16">
        <f t="shared" si="1"/>
        <v>28507485.270000003</v>
      </c>
    </row>
    <row r="28" spans="1:22" x14ac:dyDescent="0.25">
      <c r="A28" s="3">
        <f>'Kwh Reading'!A28</f>
        <v>44676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44677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44678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44679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44680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44681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44682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489769.99999999942</v>
      </c>
      <c r="C35" s="72">
        <f t="shared" ref="C35" si="2">SUM(C4:C34)</f>
        <v>-554320.00000000012</v>
      </c>
      <c r="D35" s="72">
        <f t="shared" ref="D35" si="3">SUM(D4:D34)</f>
        <v>-3086900</v>
      </c>
      <c r="E35" s="72">
        <f t="shared" ref="E35" si="4">SUM(E4:E34)</f>
        <v>-298740</v>
      </c>
      <c r="F35" s="72">
        <f t="shared" ref="F35" si="5">SUM(F4:F34)</f>
        <v>-432980</v>
      </c>
      <c r="G35" s="72">
        <f t="shared" ref="G35:U35" si="6">SUM(G4:G34)</f>
        <v>-436440</v>
      </c>
      <c r="H35" s="72">
        <f t="shared" si="6"/>
        <v>-296610</v>
      </c>
      <c r="I35" s="72">
        <f t="shared" si="6"/>
        <v>-190150</v>
      </c>
      <c r="J35" s="72">
        <f t="shared" si="6"/>
        <v>-152200</v>
      </c>
      <c r="K35" s="72">
        <f t="shared" si="6"/>
        <v>-317700</v>
      </c>
      <c r="L35" s="72">
        <f t="shared" si="6"/>
        <v>-1310700</v>
      </c>
      <c r="M35" s="72">
        <f t="shared" si="6"/>
        <v>-723850</v>
      </c>
      <c r="N35" s="72">
        <f t="shared" si="6"/>
        <v>-865120</v>
      </c>
      <c r="O35" s="72">
        <f t="shared" si="6"/>
        <v>-890120</v>
      </c>
      <c r="P35" s="72">
        <f t="shared" si="6"/>
        <v>-987870</v>
      </c>
      <c r="Q35" s="72">
        <f t="shared" si="6"/>
        <v>-656220</v>
      </c>
      <c r="R35" s="72">
        <f t="shared" si="6"/>
        <v>-683450</v>
      </c>
      <c r="S35" s="72">
        <f t="shared" si="6"/>
        <v>-8953592.2400000002</v>
      </c>
      <c r="T35" s="72">
        <f t="shared" si="6"/>
        <v>-8060007.3899999997</v>
      </c>
      <c r="U35" s="72">
        <f t="shared" si="6"/>
        <v>-210210.00000000003</v>
      </c>
      <c r="V35" s="72">
        <f>SUM(V4:V34)</f>
        <v>29596949.630000003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9" sqref="F1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44652</v>
      </c>
      <c r="B3" s="80">
        <f>TOTAL!E2</f>
        <v>24100.000000000589</v>
      </c>
      <c r="C3" s="1">
        <f>'Kwh Consumption'!C4</f>
        <v>309.99999999994543</v>
      </c>
      <c r="D3" s="1">
        <f>'Kwh Consumption'!D4</f>
        <v>2800.0000000001355</v>
      </c>
      <c r="E3" s="1">
        <f>'Kwh Consumption'!E4</f>
        <v>259.99999999999091</v>
      </c>
      <c r="F3" s="1">
        <f>('Kwh Consumption'!F4+'Kwh Consumption'!G4+'Kwh Consumption'!H4)</f>
        <v>1180.0000000000068</v>
      </c>
      <c r="G3" s="16">
        <f>('Kwh Consumption'!I4+'Kwh Consumption'!J4)</f>
        <v>140.00000000001478</v>
      </c>
      <c r="H3" s="1">
        <f>('Kwh Consumption'!K4+'Kwh Consumption'!L4)</f>
        <v>1670.0000000000834</v>
      </c>
      <c r="I3" s="1">
        <f>('Kwh Consumption'!M4+'Kwh Consumption'!N4+'Kwh Consumption'!O4+'Kwh Consumption'!P4+'Kwh Consumption'!Q4+'Kwh Consumption'!R4)</f>
        <v>6049.9999999999545</v>
      </c>
      <c r="J3" s="1">
        <f>('Kwh Consumption'!S4+'Kwh Consumption'!T4)</f>
        <v>4761.1200000001118</v>
      </c>
      <c r="K3" s="1">
        <f>'Kwh Consumption'!U4</f>
        <v>209.99999999997954</v>
      </c>
      <c r="L3" s="31">
        <f t="shared" ref="L3:L33" si="0">B3-C3-D3-E3-F3-G3-H3-I3-J3-K3</f>
        <v>6718.8800000003648</v>
      </c>
    </row>
    <row r="4" spans="1:12" x14ac:dyDescent="0.25">
      <c r="A4" s="14">
        <f>'Kwh Reading'!A5</f>
        <v>44653</v>
      </c>
      <c r="B4" s="80">
        <f>TOTAL!E3</f>
        <v>24709.999999998443</v>
      </c>
      <c r="C4" s="1">
        <f>'Kwh Consumption'!C5</f>
        <v>580.00000000004093</v>
      </c>
      <c r="D4" s="1">
        <f>'Kwh Consumption'!D5</f>
        <v>2799.9999999996917</v>
      </c>
      <c r="E4" s="1">
        <f>'Kwh Consumption'!E5</f>
        <v>209.99999999997954</v>
      </c>
      <c r="F4" s="1">
        <f>('Kwh Consumption'!F5+'Kwh Consumption'!G5+'Kwh Consumption'!H5)</f>
        <v>1189.9999999999409</v>
      </c>
      <c r="G4" s="16">
        <f>('Kwh Consumption'!I5+'Kwh Consumption'!J5)</f>
        <v>139.99999999998636</v>
      </c>
      <c r="H4" s="1">
        <f>('Kwh Consumption'!K5+'Kwh Consumption'!L5)</f>
        <v>1659.9999999998704</v>
      </c>
      <c r="I4" s="1">
        <f>('Kwh Consumption'!M5+'Kwh Consumption'!N5+'Kwh Consumption'!O5+'Kwh Consumption'!P5+'Kwh Consumption'!Q5+'Kwh Consumption'!R5)</f>
        <v>6069.9999999998226</v>
      </c>
      <c r="J4" s="1">
        <f>('Kwh Consumption'!S5+'Kwh Consumption'!T5)</f>
        <v>5284.9899999992922</v>
      </c>
      <c r="K4" s="1">
        <f>'Kwh Consumption'!U5</f>
        <v>230.00000000001819</v>
      </c>
      <c r="L4" s="31">
        <f t="shared" si="0"/>
        <v>6545.0099999998056</v>
      </c>
    </row>
    <row r="5" spans="1:12" x14ac:dyDescent="0.25">
      <c r="A5" s="14">
        <f>'Kwh Reading'!A6</f>
        <v>44654</v>
      </c>
      <c r="B5" s="80">
        <f>TOTAL!E4</f>
        <v>24350.000000001728</v>
      </c>
      <c r="C5" s="1">
        <f>'Kwh Consumption'!C6</f>
        <v>569.99999999993634</v>
      </c>
      <c r="D5" s="1">
        <f>'Kwh Consumption'!D6</f>
        <v>2700.0000000003688</v>
      </c>
      <c r="E5" s="1">
        <f>'Kwh Consumption'!E6</f>
        <v>240.00000000000909</v>
      </c>
      <c r="F5" s="1">
        <f>('Kwh Consumption'!F6+'Kwh Consumption'!G6+'Kwh Consumption'!H6)</f>
        <v>1269.9999999999818</v>
      </c>
      <c r="G5" s="16">
        <f>('Kwh Consumption'!I6+'Kwh Consumption'!J6)</f>
        <v>150.00000000000568</v>
      </c>
      <c r="H5" s="1">
        <f>('Kwh Consumption'!K6+'Kwh Consumption'!L6)</f>
        <v>1650.0000000000448</v>
      </c>
      <c r="I5" s="1">
        <f>('Kwh Consumption'!M6+'Kwh Consumption'!N6+'Kwh Consumption'!O6+'Kwh Consumption'!P6+'Kwh Consumption'!Q6+'Kwh Consumption'!R6)</f>
        <v>5950.0000000001592</v>
      </c>
      <c r="J5" s="1">
        <f>('Kwh Consumption'!S6+'Kwh Consumption'!T6)</f>
        <v>5102.6300000017509</v>
      </c>
      <c r="K5" s="1">
        <f>'Kwh Consumption'!U6</f>
        <v>229.99999999998977</v>
      </c>
      <c r="L5" s="31">
        <f t="shared" si="0"/>
        <v>6487.3699999994778</v>
      </c>
    </row>
    <row r="6" spans="1:12" x14ac:dyDescent="0.25">
      <c r="A6" s="14">
        <f>'Kwh Reading'!A7</f>
        <v>44655</v>
      </c>
      <c r="B6" s="80">
        <f>TOTAL!E5</f>
        <v>23750.000000000909</v>
      </c>
      <c r="C6" s="1">
        <f>'Kwh Consumption'!C7</f>
        <v>560.00000000005912</v>
      </c>
      <c r="D6" s="1">
        <f>'Kwh Consumption'!D7</f>
        <v>2799.9999999996917</v>
      </c>
      <c r="E6" s="1">
        <f>'Kwh Consumption'!E7</f>
        <v>250</v>
      </c>
      <c r="F6" s="1">
        <f>('Kwh Consumption'!F7+'Kwh Consumption'!G7+'Kwh Consumption'!H7)</f>
        <v>1240.0000000000659</v>
      </c>
      <c r="G6" s="16">
        <f>('Kwh Consumption'!I7+'Kwh Consumption'!J7)</f>
        <v>129.99999999999545</v>
      </c>
      <c r="H6" s="1">
        <f>('Kwh Consumption'!K7+'Kwh Consumption'!L7)</f>
        <v>1330.0000000001528</v>
      </c>
      <c r="I6" s="1">
        <f>('Kwh Consumption'!M7+'Kwh Consumption'!N7+'Kwh Consumption'!O7+'Kwh Consumption'!P7+'Kwh Consumption'!Q7+'Kwh Consumption'!R7)</f>
        <v>6159.9999999999682</v>
      </c>
      <c r="J6" s="1">
        <f>('Kwh Consumption'!S7+'Kwh Consumption'!T7)</f>
        <v>4901.0699999984354</v>
      </c>
      <c r="K6" s="1">
        <f>'Kwh Consumption'!U7</f>
        <v>240.00000000000909</v>
      </c>
      <c r="L6" s="31">
        <f t="shared" si="0"/>
        <v>6138.9300000025341</v>
      </c>
    </row>
    <row r="7" spans="1:12" x14ac:dyDescent="0.25">
      <c r="A7" s="14">
        <f>'Kwh Reading'!A8</f>
        <v>44656</v>
      </c>
      <c r="B7" s="80">
        <f>TOTAL!E6</f>
        <v>22509.999999997945</v>
      </c>
      <c r="C7" s="1">
        <f>'Kwh Consumption'!C8</f>
        <v>559.99999999994543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1139.9999999999864</v>
      </c>
      <c r="G7" s="16">
        <f>('Kwh Consumption'!I8+'Kwh Consumption'!J8)</f>
        <v>150.00000000000568</v>
      </c>
      <c r="H7" s="1">
        <f>('Kwh Consumption'!K8+'Kwh Consumption'!L8)</f>
        <v>1699.9999999998572</v>
      </c>
      <c r="I7" s="1">
        <f>('Kwh Consumption'!M8+'Kwh Consumption'!N8+'Kwh Consumption'!O8+'Kwh Consumption'!P8+'Kwh Consumption'!Q8+'Kwh Consumption'!R8)</f>
        <v>5520.0000000000955</v>
      </c>
      <c r="J7" s="1">
        <f>('Kwh Consumption'!S8+'Kwh Consumption'!T8)</f>
        <v>4448.2199999997392</v>
      </c>
      <c r="K7" s="1">
        <f>'Kwh Consumption'!U8</f>
        <v>189.99999999999773</v>
      </c>
      <c r="L7" s="31">
        <f t="shared" si="0"/>
        <v>5951.7799999981598</v>
      </c>
    </row>
    <row r="8" spans="1:12" x14ac:dyDescent="0.25">
      <c r="A8" s="14">
        <f>'Kwh Reading'!A9</f>
        <v>44657</v>
      </c>
      <c r="B8" s="80">
        <f>TOTAL!E7</f>
        <v>23740.000000000917</v>
      </c>
      <c r="C8" s="1">
        <f>'Kwh Consumption'!C9</f>
        <v>580.00000000004093</v>
      </c>
      <c r="D8" s="1">
        <f>'Kwh Consumption'!D9</f>
        <v>2699.9999999999245</v>
      </c>
      <c r="E8" s="1">
        <f>'Kwh Consumption'!E9</f>
        <v>230.00000000001819</v>
      </c>
      <c r="F8" s="1">
        <f>('Kwh Consumption'!F9+'Kwh Consumption'!G9+'Kwh Consumption'!H9)</f>
        <v>1059.9999999999454</v>
      </c>
      <c r="G8" s="16">
        <f>('Kwh Consumption'!I9+'Kwh Consumption'!J9)</f>
        <v>150.00000000000568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5779.9999999999727</v>
      </c>
      <c r="J8" s="1">
        <f>('Kwh Consumption'!S9+'Kwh Consumption'!T9)</f>
        <v>4693.0400000000373</v>
      </c>
      <c r="K8" s="1">
        <f>'Kwh Consumption'!U9</f>
        <v>219.99999999999886</v>
      </c>
      <c r="L8" s="31">
        <f t="shared" si="0"/>
        <v>6796.9600000009004</v>
      </c>
    </row>
    <row r="9" spans="1:12" x14ac:dyDescent="0.25">
      <c r="A9" s="14">
        <f>'Kwh Reading'!A10</f>
        <v>44658</v>
      </c>
      <c r="B9" s="80">
        <f>TOTAL!E8</f>
        <v>23790.000000000189</v>
      </c>
      <c r="C9" s="1">
        <f>'Kwh Consumption'!C10</f>
        <v>579.99999999992724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1180.0000000000637</v>
      </c>
      <c r="G9" s="16">
        <f>('Kwh Consumption'!I10+'Kwh Consumption'!J10)</f>
        <v>150.00000000000568</v>
      </c>
      <c r="H9" s="1">
        <f>('Kwh Consumption'!K10+'Kwh Consumption'!L10)</f>
        <v>1659.9999999998704</v>
      </c>
      <c r="I9" s="1">
        <f>('Kwh Consumption'!M10+'Kwh Consumption'!N10+'Kwh Consumption'!O10+'Kwh Consumption'!P10+'Kwh Consumption'!Q10+'Kwh Consumption'!R10)</f>
        <v>5999.9999999998863</v>
      </c>
      <c r="J9" s="1">
        <f>('Kwh Consumption'!S10+'Kwh Consumption'!T10)</f>
        <v>5070.6200000010431</v>
      </c>
      <c r="K9" s="1">
        <f>'Kwh Consumption'!U10</f>
        <v>210.00000000000796</v>
      </c>
      <c r="L9" s="31">
        <f t="shared" si="0"/>
        <v>5979.379999999469</v>
      </c>
    </row>
    <row r="10" spans="1:12" x14ac:dyDescent="0.25">
      <c r="A10" s="14">
        <f>'Kwh Reading'!A11</f>
        <v>44659</v>
      </c>
      <c r="B10" s="80">
        <f>TOTAL!E9</f>
        <v>24849.999999999909</v>
      </c>
      <c r="C10" s="1">
        <f>'Kwh Consumption'!C11</f>
        <v>550.00000000006821</v>
      </c>
      <c r="D10" s="1">
        <f>'Kwh Consumption'!D11</f>
        <v>2800.0000000001355</v>
      </c>
      <c r="E10" s="1">
        <f>'Kwh Consumption'!E11</f>
        <v>259.99999999999091</v>
      </c>
      <c r="F10" s="1">
        <f>('Kwh Consumption'!F11+'Kwh Consumption'!G11+'Kwh Consumption'!H11)</f>
        <v>1419.9999999999022</v>
      </c>
      <c r="G10" s="16">
        <f>('Kwh Consumption'!I11+'Kwh Consumption'!J11)</f>
        <v>109.99999999998522</v>
      </c>
      <c r="H10" s="1">
        <f>('Kwh Consumption'!K11+'Kwh Consumption'!L11)</f>
        <v>1550.0000000000557</v>
      </c>
      <c r="I10" s="1">
        <f>('Kwh Consumption'!M11+'Kwh Consumption'!N11+'Kwh Consumption'!O11+'Kwh Consumption'!P11+'Kwh Consumption'!Q11+'Kwh Consumption'!R11)</f>
        <v>6310.0000000000591</v>
      </c>
      <c r="J10" s="1">
        <f>('Kwh Consumption'!S11+'Kwh Consumption'!T11)</f>
        <v>5355.8899999996647</v>
      </c>
      <c r="K10" s="1">
        <f>'Kwh Consumption'!U11</f>
        <v>219.99999999999886</v>
      </c>
      <c r="L10" s="31">
        <f t="shared" si="0"/>
        <v>6274.1100000000524</v>
      </c>
    </row>
    <row r="11" spans="1:12" x14ac:dyDescent="0.25">
      <c r="A11" s="14">
        <f>'Kwh Reading'!A12</f>
        <v>44660</v>
      </c>
      <c r="B11" s="80">
        <f>TOTAL!E10</f>
        <v>26019.999999998618</v>
      </c>
      <c r="C11" s="1">
        <f>'Kwh Consumption'!C12</f>
        <v>580.00000000004093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1170.0000000000728</v>
      </c>
      <c r="G11" s="16">
        <f>('Kwh Consumption'!I12+'Kwh Consumption'!J12)</f>
        <v>159.99999999999659</v>
      </c>
      <c r="H11" s="1">
        <f>('Kwh Consumption'!K12+'Kwh Consumption'!L12)</f>
        <v>1650.0000000001016</v>
      </c>
      <c r="I11" s="1">
        <f>('Kwh Consumption'!M12+'Kwh Consumption'!N12+'Kwh Consumption'!O12+'Kwh Consumption'!P12+'Kwh Consumption'!Q12+'Kwh Consumption'!R12)</f>
        <v>6399.9999999999773</v>
      </c>
      <c r="J11" s="1">
        <f>('Kwh Consumption'!S12+'Kwh Consumption'!T12)</f>
        <v>5585.2400000011548</v>
      </c>
      <c r="K11" s="1">
        <f>'Kwh Consumption'!U12</f>
        <v>209.99999999997954</v>
      </c>
      <c r="L11" s="31">
        <f t="shared" si="0"/>
        <v>7214.759999997159</v>
      </c>
    </row>
    <row r="12" spans="1:12" x14ac:dyDescent="0.25">
      <c r="A12" s="14">
        <f>'Kwh Reading'!A13</f>
        <v>44661</v>
      </c>
      <c r="B12" s="80">
        <f>TOTAL!E11</f>
        <v>24440.000000000735</v>
      </c>
      <c r="C12" s="1">
        <f>'Kwh Consumption'!C13</f>
        <v>569.99999999993634</v>
      </c>
      <c r="D12" s="1">
        <f>'Kwh Consumption'!D13</f>
        <v>2899.9999999999027</v>
      </c>
      <c r="E12" s="1">
        <f>'Kwh Consumption'!E13</f>
        <v>250</v>
      </c>
      <c r="F12" s="1">
        <f>('Kwh Consumption'!F13+'Kwh Consumption'!G13+'Kwh Consumption'!H13)</f>
        <v>1309.9999999999454</v>
      </c>
      <c r="G12" s="16">
        <f>('Kwh Consumption'!I13+'Kwh Consumption'!J13)</f>
        <v>140.00000000001478</v>
      </c>
      <c r="H12" s="1">
        <f>('Kwh Consumption'!K13+'Kwh Consumption'!L13)</f>
        <v>1689.9999999998431</v>
      </c>
      <c r="I12" s="1">
        <f>('Kwh Consumption'!M13+'Kwh Consumption'!N13+'Kwh Consumption'!O13+'Kwh Consumption'!P13+'Kwh Consumption'!Q13+'Kwh Consumption'!R13)</f>
        <v>6280.0000000000864</v>
      </c>
      <c r="J12" s="1">
        <f>('Kwh Consumption'!S13+'Kwh Consumption'!T13)</f>
        <v>5636.1599999992177</v>
      </c>
      <c r="K12" s="1">
        <f>'Kwh Consumption'!U13</f>
        <v>219.99999999999886</v>
      </c>
      <c r="L12" s="31">
        <f t="shared" si="0"/>
        <v>5443.8400000017909</v>
      </c>
    </row>
    <row r="13" spans="1:12" x14ac:dyDescent="0.25">
      <c r="A13" s="14">
        <f>'Kwh Reading'!A14</f>
        <v>44662</v>
      </c>
      <c r="B13" s="80">
        <f>TOTAL!E12</f>
        <v>26060.000000000171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259.99999999999091</v>
      </c>
      <c r="F13" s="1">
        <f>('Kwh Consumption'!F14+'Kwh Consumption'!G14+'Kwh Consumption'!H14)</f>
        <v>1230.000000000075</v>
      </c>
      <c r="G13" s="16">
        <f>('Kwh Consumption'!I14+'Kwh Consumption'!J14)</f>
        <v>150.00000000000568</v>
      </c>
      <c r="H13" s="1">
        <f>('Kwh Consumption'!K14+'Kwh Consumption'!L14)</f>
        <v>1550.0000000001125</v>
      </c>
      <c r="I13" s="1">
        <f>('Kwh Consumption'!M14+'Kwh Consumption'!N14+'Kwh Consumption'!O14+'Kwh Consumption'!P14+'Kwh Consumption'!Q14+'Kwh Consumption'!R14)</f>
        <v>6169.9999999999591</v>
      </c>
      <c r="J13" s="1">
        <f>('Kwh Consumption'!S14+'Kwh Consumption'!T14)</f>
        <v>5952.5899999989197</v>
      </c>
      <c r="K13" s="1">
        <f>'Kwh Consumption'!U14</f>
        <v>220.00000000002728</v>
      </c>
      <c r="L13" s="31">
        <f t="shared" si="0"/>
        <v>7267.4100000010931</v>
      </c>
    </row>
    <row r="14" spans="1:12" x14ac:dyDescent="0.25">
      <c r="A14" s="14">
        <f>'Kwh Reading'!A15</f>
        <v>44663</v>
      </c>
      <c r="B14" s="80">
        <f>TOTAL!E13</f>
        <v>25189.999999999825</v>
      </c>
      <c r="C14" s="1">
        <f>'Kwh Consumption'!C15</f>
        <v>539.99999999996362</v>
      </c>
      <c r="D14" s="1">
        <f>'Kwh Consumption'!D15</f>
        <v>2899.9999999999027</v>
      </c>
      <c r="E14" s="1">
        <f>'Kwh Consumption'!E15</f>
        <v>250</v>
      </c>
      <c r="F14" s="1">
        <f>('Kwh Consumption'!F15+'Kwh Consumption'!G15+'Kwh Consumption'!H15)</f>
        <v>1259.9999999999909</v>
      </c>
      <c r="G14" s="16">
        <f>('Kwh Consumption'!I15+'Kwh Consumption'!J15)</f>
        <v>169.99999999998749</v>
      </c>
      <c r="H14" s="1">
        <f>('Kwh Consumption'!K15+'Kwh Consumption'!L15)</f>
        <v>1530.0000000000739</v>
      </c>
      <c r="I14" s="1">
        <f>('Kwh Consumption'!M15+'Kwh Consumption'!N15+'Kwh Consumption'!O15+'Kwh Consumption'!P15+'Kwh Consumption'!Q15+'Kwh Consumption'!R15)</f>
        <v>-992940</v>
      </c>
      <c r="J14" s="1">
        <f>('Kwh Consumption'!S15+'Kwh Consumption'!T15)</f>
        <v>5662.2900000018999</v>
      </c>
      <c r="K14" s="1">
        <f>'Kwh Consumption'!U15</f>
        <v>250</v>
      </c>
      <c r="L14" s="31">
        <f t="shared" si="0"/>
        <v>1005567.709999998</v>
      </c>
    </row>
    <row r="15" spans="1:12" x14ac:dyDescent="0.25">
      <c r="A15" s="14">
        <f>'Kwh Reading'!A16</f>
        <v>44664</v>
      </c>
      <c r="B15" s="80">
        <f>TOTAL!E14</f>
        <v>22230.000000000247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0</v>
      </c>
      <c r="I15" s="1">
        <f>('Kwh Consumption'!M16+'Kwh Consumption'!N16+'Kwh Consumption'!O16+'Kwh Consumption'!P16+'Kwh Consumption'!Q16+'Kwh Consumption'!R16)</f>
        <v>4270.8999999998687</v>
      </c>
      <c r="J15" s="1">
        <f>('Kwh Consumption'!S16+'Kwh Consumption'!T16)</f>
        <v>4533.9999999981374</v>
      </c>
      <c r="K15" s="1">
        <f>'Kwh Consumption'!U16</f>
        <v>209.99999999997954</v>
      </c>
      <c r="L15" s="31">
        <f t="shared" si="0"/>
        <v>13215.10000000226</v>
      </c>
    </row>
    <row r="16" spans="1:12" x14ac:dyDescent="0.25">
      <c r="A16" s="14">
        <f>'Kwh Reading'!A17</f>
        <v>44665</v>
      </c>
      <c r="B16" s="80">
        <f>TOTAL!E15</f>
        <v>24860.000000000815</v>
      </c>
      <c r="C16" s="1">
        <f>'Kwh Consumption'!C17</f>
        <v>529.99999999997272</v>
      </c>
      <c r="D16" s="1">
        <f>'Kwh Consumption'!D17</f>
        <v>2899.9999999999027</v>
      </c>
      <c r="E16" s="1">
        <f>'Kwh Consumption'!E17</f>
        <v>260.00000000004775</v>
      </c>
      <c r="F16" s="1">
        <f>('Kwh Consumption'!F17+'Kwh Consumption'!G17+'Kwh Consumption'!H17)</f>
        <v>1540.0000000000205</v>
      </c>
      <c r="G16" s="16">
        <f>('Kwh Consumption'!I17+'Kwh Consumption'!J17)</f>
        <v>149.99999999997726</v>
      </c>
      <c r="H16" s="1">
        <f>('Kwh Consumption'!K17+'Kwh Consumption'!L17)</f>
        <v>1400.0000000001123</v>
      </c>
      <c r="I16" s="1">
        <f>('Kwh Consumption'!M17+'Kwh Consumption'!N17+'Kwh Consumption'!O17+'Kwh Consumption'!P17+'Kwh Consumption'!Q17+'Kwh Consumption'!R17)</f>
        <v>4731.0000000001319</v>
      </c>
      <c r="J16" s="1">
        <f>('Kwh Consumption'!S17+'Kwh Consumption'!T17)</f>
        <v>4950.6800000015646</v>
      </c>
      <c r="K16" s="1">
        <f>'Kwh Consumption'!U17</f>
        <v>240.00000000000909</v>
      </c>
      <c r="L16" s="31">
        <f t="shared" si="0"/>
        <v>8158.3199999990775</v>
      </c>
    </row>
    <row r="17" spans="1:12" x14ac:dyDescent="0.25">
      <c r="A17" s="14">
        <f>'Kwh Reading'!A18</f>
        <v>44666</v>
      </c>
      <c r="B17" s="80">
        <f>TOTAL!E16</f>
        <v>25049.999999999727</v>
      </c>
      <c r="C17" s="1">
        <f>'Kwh Consumption'!C18</f>
        <v>519.99999999998181</v>
      </c>
      <c r="D17" s="1">
        <f>'Kwh Consumption'!D18</f>
        <v>2799.9999999996917</v>
      </c>
      <c r="E17" s="1">
        <f>'Kwh Consumption'!E18</f>
        <v>239.99999999995225</v>
      </c>
      <c r="F17" s="1">
        <f>('Kwh Consumption'!F18+'Kwh Consumption'!G18+'Kwh Consumption'!H18)</f>
        <v>1519.999999999925</v>
      </c>
      <c r="G17" s="16">
        <f>('Kwh Consumption'!I18+'Kwh Consumption'!J18)</f>
        <v>159.99999999999659</v>
      </c>
      <c r="H17" s="1">
        <f>('Kwh Consumption'!K18+'Kwh Consumption'!L18)</f>
        <v>1629.9999999998408</v>
      </c>
      <c r="I17" s="1">
        <f>('Kwh Consumption'!M18+'Kwh Consumption'!N18+'Kwh Consumption'!O18+'Kwh Consumption'!P18+'Kwh Consumption'!Q18+'Kwh Consumption'!R18)</f>
        <v>4980.9999999997908</v>
      </c>
      <c r="J17" s="1">
        <f>('Kwh Consumption'!S18+'Kwh Consumption'!T18)</f>
        <v>5202.4799999985844</v>
      </c>
      <c r="K17" s="30">
        <f>'Kwh Consumption'!U18</f>
        <v>240.00000000000909</v>
      </c>
      <c r="L17" s="31">
        <f t="shared" si="0"/>
        <v>7756.5200000019577</v>
      </c>
    </row>
    <row r="18" spans="1:12" x14ac:dyDescent="0.25">
      <c r="A18" s="14">
        <f>'Kwh Reading'!A19</f>
        <v>44667</v>
      </c>
      <c r="B18" s="80">
        <f>TOTAL!E17</f>
        <v>25929.999999999607</v>
      </c>
      <c r="C18" s="1">
        <f>'Kwh Consumption'!C19</f>
        <v>600.00000000002274</v>
      </c>
      <c r="D18" s="1">
        <f>'Kwh Consumption'!D19</f>
        <v>2800.0000000001355</v>
      </c>
      <c r="E18" s="1">
        <f>'Kwh Consumption'!E19</f>
        <v>240.00000000000909</v>
      </c>
      <c r="F18" s="1">
        <f>('Kwh Consumption'!F19+'Kwh Consumption'!G19+'Kwh Consumption'!H19)</f>
        <v>1680.0000000000637</v>
      </c>
      <c r="G18" s="16">
        <f>('Kwh Consumption'!I19+'Kwh Consumption'!J19)</f>
        <v>150.00000000000568</v>
      </c>
      <c r="H18" s="1">
        <f>('Kwh Consumption'!K19+'Kwh Consumption'!L19)</f>
        <v>1760.0000000000814</v>
      </c>
      <c r="I18" s="1">
        <f>('Kwh Consumption'!M19+'Kwh Consumption'!N19+'Kwh Consumption'!O19+'Kwh Consumption'!P19+'Kwh Consumption'!Q19+'Kwh Consumption'!R19)</f>
        <v>5201.1000000000458</v>
      </c>
      <c r="J18" s="1">
        <f>('Kwh Consumption'!S19+'Kwh Consumption'!T19)</f>
        <v>5337.890000000596</v>
      </c>
      <c r="K18" s="30">
        <f>'Kwh Consumption'!U19</f>
        <v>289.99999999999204</v>
      </c>
      <c r="L18" s="31">
        <f t="shared" si="0"/>
        <v>7871.0099999986533</v>
      </c>
    </row>
    <row r="19" spans="1:12" x14ac:dyDescent="0.25">
      <c r="A19" s="14">
        <f>'Kwh Reading'!A20</f>
        <v>44668</v>
      </c>
      <c r="B19" s="80">
        <f>TOTAL!E18</f>
        <v>26000.000000000451</v>
      </c>
      <c r="C19" s="1">
        <f>'Kwh Consumption'!C20</f>
        <v>639.99999999998636</v>
      </c>
      <c r="D19" s="1">
        <f>'Kwh Consumption'!D20</f>
        <v>2800.0000000001355</v>
      </c>
      <c r="E19" s="1">
        <f>'Kwh Consumption'!E20</f>
        <v>230.00000000001819</v>
      </c>
      <c r="F19" s="1">
        <f>('Kwh Consumption'!F20+'Kwh Consumption'!G20+'Kwh Consumption'!H20)</f>
        <v>1059.9999999999454</v>
      </c>
      <c r="G19" s="16">
        <f>('Kwh Consumption'!I20+'Kwh Consumption'!J20)</f>
        <v>150.00000000000568</v>
      </c>
      <c r="H19" s="1">
        <f>('Kwh Consumption'!K20+'Kwh Consumption'!L20)</f>
        <v>1500.0000000000675</v>
      </c>
      <c r="I19" s="1">
        <f>('Kwh Consumption'!M20+'Kwh Consumption'!N20+'Kwh Consumption'!O20+'Kwh Consumption'!P20+'Kwh Consumption'!Q20+'Kwh Consumption'!R20)</f>
        <v>5251.0000000001137</v>
      </c>
      <c r="J19" s="1">
        <f>('Kwh Consumption'!S20+'Kwh Consumption'!T20)</f>
        <v>5575.390000000596</v>
      </c>
      <c r="K19" s="1">
        <f>'Kwh Consumption'!U20</f>
        <v>240.00000000000909</v>
      </c>
      <c r="L19" s="31">
        <f t="shared" si="0"/>
        <v>8553.6099999995731</v>
      </c>
    </row>
    <row r="20" spans="1:12" x14ac:dyDescent="0.25">
      <c r="A20" s="14">
        <f>'Kwh Reading'!A21</f>
        <v>44669</v>
      </c>
      <c r="B20" s="80">
        <f>TOTAL!E19</f>
        <v>24520.000000000437</v>
      </c>
      <c r="C20" s="1">
        <f>'Kwh Consumption'!C21</f>
        <v>519.99999999998181</v>
      </c>
      <c r="D20" s="1">
        <f>'Kwh Consumption'!D21</f>
        <v>2699.9999999999245</v>
      </c>
      <c r="E20" s="1">
        <f>'Kwh Consumption'!E21</f>
        <v>240.00000000000909</v>
      </c>
      <c r="F20" s="1">
        <f>('Kwh Consumption'!F21+'Kwh Consumption'!G21+'Kwh Consumption'!H21)</f>
        <v>1400.0000000000341</v>
      </c>
      <c r="G20" s="16">
        <f>('Kwh Consumption'!I21+'Kwh Consumption'!J21)</f>
        <v>140.00000000001478</v>
      </c>
      <c r="H20" s="1">
        <f>('Kwh Consumption'!K21+'Kwh Consumption'!L21)</f>
        <v>1869.9999999998499</v>
      </c>
      <c r="I20" s="1">
        <f>('Kwh Consumption'!M21+'Kwh Consumption'!N21+'Kwh Consumption'!O21+'Kwh Consumption'!P21+'Kwh Consumption'!Q21+'Kwh Consumption'!R21)</f>
        <v>5001.0999999998858</v>
      </c>
      <c r="J20" s="1">
        <f>('Kwh Consumption'!S21+'Kwh Consumption'!T21)</f>
        <v>4976.4199999999255</v>
      </c>
      <c r="K20" s="1">
        <f>'Kwh Consumption'!U21</f>
        <v>250</v>
      </c>
      <c r="L20" s="31">
        <f t="shared" si="0"/>
        <v>7422.4800000008145</v>
      </c>
    </row>
    <row r="21" spans="1:12" x14ac:dyDescent="0.25">
      <c r="A21" s="14">
        <f>'Kwh Reading'!A22</f>
        <v>44670</v>
      </c>
      <c r="B21" s="80">
        <f>TOTAL!E20</f>
        <v>23659.9999999994</v>
      </c>
      <c r="C21" s="1">
        <f>'Kwh Consumption'!C22</f>
        <v>490.00000000000909</v>
      </c>
      <c r="D21" s="1">
        <f>'Kwh Consumption'!D22</f>
        <v>2800.0000000001355</v>
      </c>
      <c r="E21" s="1">
        <f>'Kwh Consumption'!E22</f>
        <v>250</v>
      </c>
      <c r="F21" s="1">
        <f>('Kwh Consumption'!F22+'Kwh Consumption'!G22+'Kwh Consumption'!H22)</f>
        <v>1030.0000000000296</v>
      </c>
      <c r="G21" s="16">
        <f>('Kwh Consumption'!I22+'Kwh Consumption'!J22)</f>
        <v>149.99999999997726</v>
      </c>
      <c r="H21" s="1">
        <f>('Kwh Consumption'!K22+'Kwh Consumption'!L22)</f>
        <v>1590.0000000000762</v>
      </c>
      <c r="I21" s="1">
        <f>('Kwh Consumption'!M22+'Kwh Consumption'!N22+'Kwh Consumption'!O22+'Kwh Consumption'!P22+'Kwh Consumption'!Q22+'Kwh Consumption'!R22)</f>
        <v>4590.9000000000324</v>
      </c>
      <c r="J21" s="1">
        <f>('Kwh Consumption'!S22+'Kwh Consumption'!T22)</f>
        <v>5117.4199999999255</v>
      </c>
      <c r="K21" s="1">
        <f>'Kwh Consumption'!U22</f>
        <v>209.99999999997954</v>
      </c>
      <c r="L21" s="31">
        <f t="shared" si="0"/>
        <v>7431.6799999992327</v>
      </c>
    </row>
    <row r="22" spans="1:12" x14ac:dyDescent="0.25">
      <c r="A22" s="14">
        <f>'Kwh Reading'!A23</f>
        <v>44671</v>
      </c>
      <c r="B22" s="80">
        <f>TOTAL!E21</f>
        <v>24009.999999998854</v>
      </c>
      <c r="C22" s="1">
        <f>'Kwh Consumption'!C23</f>
        <v>540.00000000007731</v>
      </c>
      <c r="D22" s="1">
        <f>'Kwh Consumption'!D23</f>
        <v>2699.9999999999245</v>
      </c>
      <c r="E22" s="1">
        <f>'Kwh Consumption'!E23</f>
        <v>229.99999999996135</v>
      </c>
      <c r="F22" s="1">
        <f>('Kwh Consumption'!F23+'Kwh Consumption'!G23+'Kwh Consumption'!H23)</f>
        <v>1129.9999999999955</v>
      </c>
      <c r="G22" s="16">
        <f>('Kwh Consumption'!I23+'Kwh Consumption'!J23)</f>
        <v>140.00000000001478</v>
      </c>
      <c r="H22" s="1">
        <f>('Kwh Consumption'!K23+'Kwh Consumption'!L23)</f>
        <v>1619.9999999998838</v>
      </c>
      <c r="I22" s="1">
        <f>('Kwh Consumption'!M23+'Kwh Consumption'!N23+'Kwh Consumption'!O23+'Kwh Consumption'!P23+'Kwh Consumption'!Q23+'Kwh Consumption'!R23)</f>
        <v>4881.0000000001091</v>
      </c>
      <c r="J22" s="1">
        <f>('Kwh Consumption'!S23+'Kwh Consumption'!T23)</f>
        <v>5476.3899999996647</v>
      </c>
      <c r="K22" s="1">
        <f>'Kwh Consumption'!U23</f>
        <v>219.99999999999886</v>
      </c>
      <c r="L22" s="31">
        <f t="shared" si="0"/>
        <v>7072.6099999992266</v>
      </c>
    </row>
    <row r="23" spans="1:12" x14ac:dyDescent="0.25">
      <c r="A23" s="14">
        <f>'Kwh Reading'!A24</f>
        <v>44672</v>
      </c>
      <c r="B23" s="80">
        <f>TOTAL!E22</f>
        <v>0</v>
      </c>
      <c r="C23" s="1">
        <f>'Kwh Consumption'!C24</f>
        <v>549.99999999995453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1109.9999999999568</v>
      </c>
      <c r="G23" s="16">
        <f>('Kwh Consumption'!I24+'Kwh Consumption'!J24)</f>
        <v>159.99999999999659</v>
      </c>
      <c r="H23" s="1">
        <f>('Kwh Consumption'!K24+'Kwh Consumption'!L24)</f>
        <v>1680.0000000000744</v>
      </c>
      <c r="I23" s="1">
        <f>('Kwh Consumption'!M24+'Kwh Consumption'!N24+'Kwh Consumption'!O24+'Kwh Consumption'!P24+'Kwh Consumption'!Q24+'Kwh Consumption'!R24)</f>
        <v>7930.8999999998359</v>
      </c>
      <c r="J23" s="1">
        <f>('Kwh Consumption'!S24+'Kwh Consumption'!T24)</f>
        <v>5204.5200000004843</v>
      </c>
      <c r="K23" s="1">
        <f>'Kwh Consumption'!U24</f>
        <v>200.00000000001705</v>
      </c>
      <c r="L23" s="31">
        <f t="shared" si="0"/>
        <v>-19875.420000000468</v>
      </c>
    </row>
    <row r="24" spans="1:12" x14ac:dyDescent="0.25">
      <c r="A24" s="14">
        <f>'Kwh Reading'!A25</f>
        <v>44673</v>
      </c>
      <c r="B24" s="80">
        <f>TOTAL!E23</f>
        <v>0</v>
      </c>
      <c r="C24" s="1">
        <f>'Kwh Consumption'!C25</f>
        <v>289.99999999996362</v>
      </c>
      <c r="D24" s="1">
        <f>'Kwh Consumption'!D25</f>
        <v>2699.9999999999245</v>
      </c>
      <c r="E24" s="1">
        <f>'Kwh Consumption'!E25</f>
        <v>240.00000000000909</v>
      </c>
      <c r="F24" s="1">
        <f>('Kwh Consumption'!F25+'Kwh Consumption'!G25+'Kwh Consumption'!H25)</f>
        <v>959.99999999997954</v>
      </c>
      <c r="G24" s="16">
        <f>('Kwh Consumption'!I25+'Kwh Consumption'!J25)</f>
        <v>129.99999999999545</v>
      </c>
      <c r="H24" s="1">
        <f>('Kwh Consumption'!K25+'Kwh Consumption'!L25)</f>
        <v>1560.0000000001035</v>
      </c>
      <c r="I24" s="1">
        <f>('Kwh Consumption'!M25+'Kwh Consumption'!N25+'Kwh Consumption'!O25+'Kwh Consumption'!P25+'Kwh Consumption'!Q25+'Kwh Consumption'!R25)</f>
        <v>1570.9000000000501</v>
      </c>
      <c r="J24" s="1">
        <f>('Kwh Consumption'!S25+'Kwh Consumption'!T25)</f>
        <v>4518.4900000002235</v>
      </c>
      <c r="K24" s="1">
        <f>'Kwh Consumption'!U25</f>
        <v>219.99999999999886</v>
      </c>
      <c r="L24" s="31">
        <f t="shared" si="0"/>
        <v>-12189.390000000247</v>
      </c>
    </row>
    <row r="25" spans="1:12" x14ac:dyDescent="0.25">
      <c r="A25" s="14">
        <f>'Kwh Reading'!A26</f>
        <v>44674</v>
      </c>
      <c r="B25" s="80">
        <f>TOTAL!E24</f>
        <v>0</v>
      </c>
      <c r="C25" s="1">
        <f>'Kwh Consumption'!C26</f>
        <v>490.00000000000909</v>
      </c>
      <c r="D25" s="1">
        <f>'Kwh Consumption'!D26</f>
        <v>2799.9999999996917</v>
      </c>
      <c r="E25" s="1">
        <f>'Kwh Consumption'!E26</f>
        <v>230.00000000001819</v>
      </c>
      <c r="F25" s="1">
        <f>('Kwh Consumption'!F26+'Kwh Consumption'!G26+'Kwh Consumption'!H26)</f>
        <v>940.00000000005457</v>
      </c>
      <c r="G25" s="16">
        <f>('Kwh Consumption'!I26+'Kwh Consumption'!J26)</f>
        <v>129.99999999999545</v>
      </c>
      <c r="H25" s="1">
        <f>('Kwh Consumption'!K26+'Kwh Consumption'!L26)</f>
        <v>1359.9999999999036</v>
      </c>
      <c r="I25" s="1">
        <f>('Kwh Consumption'!M26+'Kwh Consumption'!N26+'Kwh Consumption'!O26+'Kwh Consumption'!P26+'Kwh Consumption'!Q26+'Kwh Consumption'!R26)</f>
        <v>4491.0000000000091</v>
      </c>
      <c r="J25" s="1">
        <f>('Kwh Consumption'!S26+'Kwh Consumption'!T26)</f>
        <v>4907.2999999988824</v>
      </c>
      <c r="K25" s="1">
        <f>'Kwh Consumption'!U26</f>
        <v>209.99999999997954</v>
      </c>
      <c r="L25" s="31">
        <f t="shared" si="0"/>
        <v>-15558.299999998544</v>
      </c>
    </row>
    <row r="26" spans="1:12" x14ac:dyDescent="0.25">
      <c r="A26" s="14">
        <f>'Kwh Reading'!A27</f>
        <v>44675</v>
      </c>
      <c r="B26" s="80">
        <f>TOTAL!E25</f>
        <v>0</v>
      </c>
      <c r="C26" s="1">
        <f>'Kwh Consumption'!C27</f>
        <v>-566540</v>
      </c>
      <c r="D26" s="1">
        <f>'Kwh Consumption'!D27</f>
        <v>-3150800</v>
      </c>
      <c r="E26" s="1">
        <f>'Kwh Consumption'!E27</f>
        <v>-304360</v>
      </c>
      <c r="F26" s="1">
        <f>('Kwh Consumption'!F27+'Kwh Consumption'!G27+'Kwh Consumption'!H27)</f>
        <v>-1194770</v>
      </c>
      <c r="G26" s="16">
        <f>('Kwh Consumption'!I27+'Kwh Consumption'!J27)</f>
        <v>-345690</v>
      </c>
      <c r="H26" s="1">
        <f>('Kwh Consumption'!K27+'Kwh Consumption'!L27)</f>
        <v>-1664800</v>
      </c>
      <c r="I26" s="1">
        <f>('Kwh Consumption'!M27+'Kwh Consumption'!N27+'Kwh Consumption'!O27+'Kwh Consumption'!P27+'Kwh Consumption'!Q27+'Kwh Consumption'!R27)</f>
        <v>-3933280.8</v>
      </c>
      <c r="J26" s="1">
        <f>('Kwh Consumption'!S27+'Kwh Consumption'!T27)</f>
        <v>-17131854.469999999</v>
      </c>
      <c r="K26" s="1">
        <f>'Kwh Consumption'!U27</f>
        <v>-215390</v>
      </c>
      <c r="L26" s="31">
        <f t="shared" si="0"/>
        <v>28507485.27</v>
      </c>
    </row>
    <row r="27" spans="1:12" x14ac:dyDescent="0.25">
      <c r="A27" s="14">
        <f>'Kwh Reading'!A28</f>
        <v>44676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44677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44678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44679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44680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44681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44682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489769.99999999942</v>
      </c>
      <c r="C34" s="72">
        <f>SUM(C3:C33)</f>
        <v>-554830.00000000012</v>
      </c>
      <c r="D34" s="72">
        <f t="shared" ref="D34:L34" si="1">SUM(D3:D33)</f>
        <v>-3089800.0000000005</v>
      </c>
      <c r="E34" s="72">
        <f t="shared" si="1"/>
        <v>-298990</v>
      </c>
      <c r="F34" s="72">
        <f t="shared" si="1"/>
        <v>-1167750</v>
      </c>
      <c r="G34" s="72">
        <f t="shared" si="1"/>
        <v>-342490</v>
      </c>
      <c r="H34" s="72">
        <f t="shared" si="1"/>
        <v>-1629659.9999999998</v>
      </c>
      <c r="I34" s="72">
        <f t="shared" si="1"/>
        <v>-4806630</v>
      </c>
      <c r="J34" s="72">
        <f t="shared" si="1"/>
        <v>-17013599.629999999</v>
      </c>
      <c r="K34" s="72">
        <f t="shared" si="1"/>
        <v>-210210.00000000003</v>
      </c>
      <c r="L34" s="72">
        <f t="shared" si="1"/>
        <v>29603729.629999999</v>
      </c>
      <c r="M34" s="81">
        <f>C34+D34+E34+F34+G34+H34+I34+J34+K34+L34</f>
        <v>489770</v>
      </c>
    </row>
    <row r="36" spans="1:13" ht="15.75" x14ac:dyDescent="0.25">
      <c r="A36" s="82" t="s">
        <v>63</v>
      </c>
      <c r="B36" s="124">
        <f>TOTAL!F2</f>
        <v>0.19400000000000001</v>
      </c>
      <c r="C36" s="72">
        <f>C34*B36</f>
        <v>-107637.02000000002</v>
      </c>
      <c r="D36" s="72">
        <f>D34*B36</f>
        <v>-599421.20000000007</v>
      </c>
      <c r="E36" s="72">
        <f>E34*B36</f>
        <v>-58004.060000000005</v>
      </c>
      <c r="F36" s="72">
        <f>F34*B36</f>
        <v>-226543.5</v>
      </c>
      <c r="G36" s="72">
        <f>G34*B36</f>
        <v>-66443.06</v>
      </c>
      <c r="H36" s="72">
        <f>H34*B36</f>
        <v>-316154.03999999998</v>
      </c>
      <c r="I36" s="72">
        <f>I34*B36</f>
        <v>-932486.22</v>
      </c>
      <c r="J36" s="72">
        <f>J34*B36</f>
        <v>-3300638.32822</v>
      </c>
      <c r="K36" s="72">
        <f>K34*B36</f>
        <v>-40780.740000000005</v>
      </c>
      <c r="L36" s="72">
        <f>L34*B36</f>
        <v>5743123.5482200002</v>
      </c>
      <c r="M36" s="81">
        <f>C36+D36+E36+F36+G36+H36+I36+J36+K36+L36</f>
        <v>95015.379999999888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G20" sqref="G20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44652</v>
      </c>
      <c r="B3" s="125">
        <f>TOTAL!F2</f>
        <v>0.19400000000000001</v>
      </c>
      <c r="C3" s="11">
        <f>'Kwh Consumption'!B4*' Kwh area wise $ '!B3</f>
        <v>4675.4000000001142</v>
      </c>
      <c r="D3" s="1">
        <f>'Kwh Consumption'!C4*' Kwh area wise $ '!B3</f>
        <v>60.139999999989413</v>
      </c>
      <c r="E3" s="1">
        <f>'Kwh Consumption'!D4*' Kwh area wise $ '!B3</f>
        <v>543.20000000002631</v>
      </c>
      <c r="F3" s="1">
        <f>'Kwh Consumption'!E4*' Kwh area wise $ '!B3</f>
        <v>50.439999999998236</v>
      </c>
      <c r="G3" s="1">
        <f>('Kwh Consumption'!F4+'Kwh Consumption'!G4+'Kwh Consumption'!H4)*' Kwh area wise $ '!B3</f>
        <v>228.92000000000132</v>
      </c>
      <c r="H3" s="16">
        <f>('Kwh Consumption'!I4+'Kwh Consumption'!J4)*' Kwh area wise $ '!B3</f>
        <v>27.160000000002867</v>
      </c>
      <c r="I3" s="1">
        <f>('Kwh Consumption'!K4+'Kwh Consumption'!L4)*' Kwh area wise $ '!B3</f>
        <v>323.98000000001622</v>
      </c>
      <c r="J3" s="1">
        <f>('Kwh Consumption'!M4+'Kwh Consumption'!N4+'Kwh Consumption'!O4+'Kwh Consumption'!P4+'Kwh Consumption'!Q4+'Kwh Consumption'!R4)*' Kwh area wise $ '!B3</f>
        <v>1173.6999999999912</v>
      </c>
      <c r="K3" s="31">
        <f>('Kwh Consumption'!S4+'Kwh Consumption'!T4)*' Kwh area wise $ '!B3</f>
        <v>923.65728000002173</v>
      </c>
      <c r="L3" s="1">
        <f>'Kwh Consumption'!U4*' Kwh area wise $ '!B3</f>
        <v>40.73999999999603</v>
      </c>
      <c r="M3" s="31">
        <f>'Kwh Consumption'!V4*' Kwh area wise $ '!B3</f>
        <v>1303.4627200000716</v>
      </c>
    </row>
    <row r="4" spans="1:13" x14ac:dyDescent="0.25">
      <c r="A4" s="14">
        <f>'Kwh Reading'!A5</f>
        <v>44653</v>
      </c>
      <c r="B4" s="125">
        <f>TOTAL!F3</f>
        <v>0.19400000000000001</v>
      </c>
      <c r="C4" s="11">
        <f>'Kwh Consumption'!B5*' Kwh area wise $ '!B4</f>
        <v>4793.7399999996978</v>
      </c>
      <c r="D4" s="1">
        <f>'Kwh Consumption'!C5*' Kwh area wise $ '!B4</f>
        <v>112.52000000000794</v>
      </c>
      <c r="E4" s="1">
        <f>'Kwh Consumption'!D5*' Kwh area wise $ '!B4</f>
        <v>543.19999999994025</v>
      </c>
      <c r="F4" s="1">
        <f>'Kwh Consumption'!E5*' Kwh area wise $ '!B4</f>
        <v>40.73999999999603</v>
      </c>
      <c r="G4" s="1">
        <f>('Kwh Consumption'!F5+'Kwh Consumption'!G5+'Kwh Consumption'!H5)*' Kwh area wise $ '!B4</f>
        <v>230.85999999998853</v>
      </c>
      <c r="H4" s="16">
        <f>('Kwh Consumption'!I5+'Kwh Consumption'!J5)*' Kwh area wise $ '!B4</f>
        <v>27.159999999997353</v>
      </c>
      <c r="I4" s="1">
        <f>('Kwh Consumption'!K5+'Kwh Consumption'!L5)*' Kwh area wise $ '!B4</f>
        <v>322.03999999997484</v>
      </c>
      <c r="J4" s="1">
        <f>('Kwh Consumption'!M5+'Kwh Consumption'!N5+'Kwh Consumption'!O5+'Kwh Consumption'!P5+'Kwh Consumption'!Q5+'Kwh Consumption'!R5)*' Kwh area wise $ '!B4</f>
        <v>1177.5799999999656</v>
      </c>
      <c r="K4" s="31">
        <f>('Kwh Consumption'!S5+'Kwh Consumption'!T5)*' Kwh area wise $ '!B4</f>
        <v>1025.2880599998628</v>
      </c>
      <c r="L4" s="1">
        <f>'Kwh Consumption'!U5*' Kwh area wise $ '!B4</f>
        <v>44.620000000003529</v>
      </c>
      <c r="M4" s="31">
        <f>'Kwh Consumption'!V5*' Kwh area wise $ '!B4</f>
        <v>1269.731939999961</v>
      </c>
    </row>
    <row r="5" spans="1:13" x14ac:dyDescent="0.25">
      <c r="A5" s="14">
        <f>'Kwh Reading'!A6</f>
        <v>44654</v>
      </c>
      <c r="B5" s="125">
        <f>TOTAL!F4</f>
        <v>0.19400000000000001</v>
      </c>
      <c r="C5" s="11">
        <f>'Kwh Consumption'!B6*' Kwh area wise $ '!B5</f>
        <v>4723.9000000003352</v>
      </c>
      <c r="D5" s="1">
        <f>'Kwh Consumption'!C6*' Kwh area wise $ '!B5</f>
        <v>110.57999999998765</v>
      </c>
      <c r="E5" s="1">
        <f>'Kwh Consumption'!D6*' Kwh area wise $ '!B5</f>
        <v>523.80000000007158</v>
      </c>
      <c r="F5" s="1">
        <f>'Kwh Consumption'!E6*' Kwh area wise $ '!B5</f>
        <v>46.560000000001764</v>
      </c>
      <c r="G5" s="1">
        <f>('Kwh Consumption'!F6+'Kwh Consumption'!G6+'Kwh Consumption'!H6)*' Kwh area wise $ '!B5</f>
        <v>246.37999999999647</v>
      </c>
      <c r="H5" s="16">
        <f>('Kwh Consumption'!I6+'Kwh Consumption'!J6)*' Kwh area wise $ '!B5</f>
        <v>29.100000000001103</v>
      </c>
      <c r="I5" s="1">
        <f>('Kwh Consumption'!K6+'Kwh Consumption'!L6)*' Kwh area wise $ '!B5</f>
        <v>320.10000000000872</v>
      </c>
      <c r="J5" s="1">
        <f>('Kwh Consumption'!M6+'Kwh Consumption'!N6+'Kwh Consumption'!O6+'Kwh Consumption'!P6+'Kwh Consumption'!Q6+'Kwh Consumption'!R6)*' Kwh area wise $ '!B5</f>
        <v>1154.3000000000309</v>
      </c>
      <c r="K5" s="31">
        <f>('Kwh Consumption'!S6+'Kwh Consumption'!T6)*' Kwh area wise $ '!B5</f>
        <v>989.91022000033968</v>
      </c>
      <c r="L5" s="1">
        <f>'Kwh Consumption'!U6*' Kwh area wise $ '!B5</f>
        <v>44.619999999998015</v>
      </c>
      <c r="M5" s="31">
        <f>'Kwh Consumption'!V6*' Kwh area wise $ '!B5</f>
        <v>1258.5497799998996</v>
      </c>
    </row>
    <row r="6" spans="1:13" x14ac:dyDescent="0.25">
      <c r="A6" s="14">
        <f>'Kwh Reading'!A7</f>
        <v>44655</v>
      </c>
      <c r="B6" s="125">
        <f>TOTAL!F5</f>
        <v>0.19400000000000001</v>
      </c>
      <c r="C6" s="11">
        <f>'Kwh Consumption'!B7*' Kwh area wise $ '!B6</f>
        <v>4607.5000000001764</v>
      </c>
      <c r="D6" s="1">
        <f>'Kwh Consumption'!C7*' Kwh area wise $ '!B6</f>
        <v>108.64000000001147</v>
      </c>
      <c r="E6" s="1">
        <f>'Kwh Consumption'!D7*' Kwh area wise $ '!B6</f>
        <v>543.19999999994025</v>
      </c>
      <c r="F6" s="1">
        <f>'Kwh Consumption'!E7*' Kwh area wise $ '!B6</f>
        <v>48.5</v>
      </c>
      <c r="G6" s="1">
        <f>('Kwh Consumption'!F7+'Kwh Consumption'!G7+'Kwh Consumption'!H7)*' Kwh area wise $ '!B6</f>
        <v>240.56000000001279</v>
      </c>
      <c r="H6" s="16">
        <f>('Kwh Consumption'!I7+'Kwh Consumption'!J7)*' Kwh area wise $ '!B6</f>
        <v>25.219999999999118</v>
      </c>
      <c r="I6" s="1">
        <f>('Kwh Consumption'!K7+'Kwh Consumption'!L7)*' Kwh area wise $ '!B6</f>
        <v>258.02000000002965</v>
      </c>
      <c r="J6" s="1">
        <f>('Kwh Consumption'!M7+'Kwh Consumption'!N7+'Kwh Consumption'!O7+'Kwh Consumption'!P7+'Kwh Consumption'!Q7+'Kwh Consumption'!R7)*' Kwh area wise $ '!B6</f>
        <v>1195.0399999999938</v>
      </c>
      <c r="K6" s="31">
        <f>('Kwh Consumption'!S7+'Kwh Consumption'!T7)*' Kwh area wise $ '!B6</f>
        <v>950.80757999969649</v>
      </c>
      <c r="L6" s="1">
        <f>'Kwh Consumption'!U7*' Kwh area wise $ '!B6</f>
        <v>46.560000000001764</v>
      </c>
      <c r="M6" s="31">
        <f>'Kwh Consumption'!V7*' Kwh area wise $ '!B6</f>
        <v>1190.9524200004912</v>
      </c>
    </row>
    <row r="7" spans="1:13" x14ac:dyDescent="0.25">
      <c r="A7" s="14">
        <f>'Kwh Reading'!A8</f>
        <v>44656</v>
      </c>
      <c r="B7" s="125">
        <f>TOTAL!F6</f>
        <v>0.19400000000000001</v>
      </c>
      <c r="C7" s="11">
        <f>'Kwh Consumption'!B8*' Kwh area wise $ '!B7</f>
        <v>4366.9399999996012</v>
      </c>
      <c r="D7" s="1">
        <f>'Kwh Consumption'!C8*' Kwh area wise $ '!B7</f>
        <v>108.63999999998941</v>
      </c>
      <c r="E7" s="1">
        <f>'Kwh Consumption'!D8*' Kwh area wise $ '!B7</f>
        <v>504.40000000003062</v>
      </c>
      <c r="F7" s="1">
        <f>'Kwh Consumption'!E8*' Kwh area wise $ '!B7</f>
        <v>48.5</v>
      </c>
      <c r="G7" s="1">
        <f>('Kwh Consumption'!F8+'Kwh Consumption'!G8+'Kwh Consumption'!H8)*' Kwh area wise $ '!B7</f>
        <v>221.15999999999735</v>
      </c>
      <c r="H7" s="16">
        <f>('Kwh Consumption'!I8+'Kwh Consumption'!J8)*' Kwh area wise $ '!B7</f>
        <v>29.100000000001103</v>
      </c>
      <c r="I7" s="1">
        <f>('Kwh Consumption'!K8+'Kwh Consumption'!L8)*' Kwh area wise $ '!B7</f>
        <v>329.79999999997233</v>
      </c>
      <c r="J7" s="1">
        <f>('Kwh Consumption'!M8+'Kwh Consumption'!N8+'Kwh Consumption'!O8+'Kwh Consumption'!P8+'Kwh Consumption'!Q8+'Kwh Consumption'!R8)*' Kwh area wise $ '!B7</f>
        <v>1070.8800000000185</v>
      </c>
      <c r="K7" s="31">
        <f>('Kwh Consumption'!S8+'Kwh Consumption'!T8)*' Kwh area wise $ '!B7</f>
        <v>862.95467999994946</v>
      </c>
      <c r="L7" s="1">
        <f>'Kwh Consumption'!U8*' Kwh area wise $ '!B7</f>
        <v>36.859999999999559</v>
      </c>
      <c r="M7" s="31">
        <f>'Kwh Consumption'!V8*' Kwh area wise $ '!B7</f>
        <v>1154.6453199996433</v>
      </c>
    </row>
    <row r="8" spans="1:13" x14ac:dyDescent="0.25">
      <c r="A8" s="14">
        <f>'Kwh Reading'!A9</f>
        <v>44657</v>
      </c>
      <c r="B8" s="125">
        <f>TOTAL!F7</f>
        <v>0.19400000000000001</v>
      </c>
      <c r="C8" s="11">
        <f>'Kwh Consumption'!B9*' Kwh area wise $ '!B8</f>
        <v>4605.5600000001778</v>
      </c>
      <c r="D8" s="1">
        <f>'Kwh Consumption'!C9*' Kwh area wise $ '!B8</f>
        <v>112.52000000000794</v>
      </c>
      <c r="E8" s="1">
        <f>'Kwh Consumption'!D9*' Kwh area wise $ '!B8</f>
        <v>523.7999999999854</v>
      </c>
      <c r="F8" s="1">
        <f>'Kwh Consumption'!E9*' Kwh area wise $ '!B8</f>
        <v>44.620000000003529</v>
      </c>
      <c r="G8" s="1">
        <f>('Kwh Consumption'!F9+'Kwh Consumption'!G9+'Kwh Consumption'!H9)*' Kwh area wise $ '!B8</f>
        <v>205.63999999998941</v>
      </c>
      <c r="H8" s="16">
        <f>('Kwh Consumption'!I9+'Kwh Consumption'!J9)*' Kwh area wise $ '!B8</f>
        <v>29.100000000001103</v>
      </c>
      <c r="I8" s="1">
        <f>('Kwh Consumption'!K9+'Kwh Consumption'!L9)*' Kwh area wise $ '!B8</f>
        <v>296.82000000001432</v>
      </c>
      <c r="J8" s="1">
        <f>('Kwh Consumption'!M9+'Kwh Consumption'!N9+'Kwh Consumption'!O9+'Kwh Consumption'!P9+'Kwh Consumption'!Q9+'Kwh Consumption'!R9)*' Kwh area wise $ '!B8</f>
        <v>1121.3199999999947</v>
      </c>
      <c r="K8" s="31">
        <f>('Kwh Consumption'!S9+'Kwh Consumption'!T9)*' Kwh area wise $ '!B8</f>
        <v>910.44976000000725</v>
      </c>
      <c r="L8" s="1">
        <f>'Kwh Consumption'!U9*' Kwh area wise $ '!B8</f>
        <v>42.679999999999779</v>
      </c>
      <c r="M8" s="31">
        <f>'Kwh Consumption'!V9*' Kwh area wise $ '!B8</f>
        <v>1318.6102400001741</v>
      </c>
    </row>
    <row r="9" spans="1:13" x14ac:dyDescent="0.25">
      <c r="A9" s="14">
        <f>'Kwh Reading'!A10</f>
        <v>44658</v>
      </c>
      <c r="B9" s="125">
        <f>TOTAL!F8</f>
        <v>0.19400000000000001</v>
      </c>
      <c r="C9" s="11">
        <f>'Kwh Consumption'!B10*' Kwh area wise $ '!B9</f>
        <v>4615.2600000000366</v>
      </c>
      <c r="D9" s="1">
        <f>'Kwh Consumption'!C10*' Kwh area wise $ '!B9</f>
        <v>112.51999999998588</v>
      </c>
      <c r="E9" s="1">
        <f>'Kwh Consumption'!D10*' Kwh area wise $ '!B9</f>
        <v>523.7999999999854</v>
      </c>
      <c r="F9" s="1">
        <f>'Kwh Consumption'!E10*' Kwh area wise $ '!B9</f>
        <v>50.439999999998236</v>
      </c>
      <c r="G9" s="1">
        <f>('Kwh Consumption'!F10+'Kwh Consumption'!G10+'Kwh Consumption'!H10)*' Kwh area wise $ '!B9</f>
        <v>228.92000000001235</v>
      </c>
      <c r="H9" s="16">
        <f>('Kwh Consumption'!I10+'Kwh Consumption'!J10)*' Kwh area wise $ '!B9</f>
        <v>29.100000000001103</v>
      </c>
      <c r="I9" s="1">
        <f>('Kwh Consumption'!K10+'Kwh Consumption'!L10)*' Kwh area wise $ '!B9</f>
        <v>322.03999999997484</v>
      </c>
      <c r="J9" s="1">
        <f>('Kwh Consumption'!M10+'Kwh Consumption'!N10+'Kwh Consumption'!O10+'Kwh Consumption'!P10+'Kwh Consumption'!Q10+'Kwh Consumption'!R10)*' Kwh area wise $ '!B9</f>
        <v>1163.9999999999779</v>
      </c>
      <c r="K9" s="31">
        <f>('Kwh Consumption'!S10+'Kwh Consumption'!T10)*' Kwh area wise $ '!B9</f>
        <v>983.70028000020238</v>
      </c>
      <c r="L9" s="1">
        <f>'Kwh Consumption'!U10*' Kwh area wise $ '!B9</f>
        <v>40.740000000001544</v>
      </c>
      <c r="M9" s="31">
        <f>'Kwh Consumption'!V10*' Kwh area wise $ '!B9</f>
        <v>1159.9997199998973</v>
      </c>
    </row>
    <row r="10" spans="1:13" x14ac:dyDescent="0.25">
      <c r="A10" s="14">
        <f>'Kwh Reading'!A11</f>
        <v>44659</v>
      </c>
      <c r="B10" s="125">
        <f>TOTAL!F9</f>
        <v>0.19400000000000001</v>
      </c>
      <c r="C10" s="11">
        <f>'Kwh Consumption'!B11*' Kwh area wise $ '!B10</f>
        <v>4820.8999999999824</v>
      </c>
      <c r="D10" s="1">
        <f>'Kwh Consumption'!C11*' Kwh area wise $ '!B10</f>
        <v>106.70000000001323</v>
      </c>
      <c r="E10" s="1">
        <f>'Kwh Consumption'!D11*' Kwh area wise $ '!B10</f>
        <v>543.20000000002631</v>
      </c>
      <c r="F10" s="1">
        <f>'Kwh Consumption'!E11*' Kwh area wise $ '!B10</f>
        <v>50.439999999998236</v>
      </c>
      <c r="G10" s="1">
        <f>('Kwh Consumption'!F11+'Kwh Consumption'!G11+'Kwh Consumption'!H11)*' Kwh area wise $ '!B10</f>
        <v>275.47999999998103</v>
      </c>
      <c r="H10" s="16">
        <f>('Kwh Consumption'!I11+'Kwh Consumption'!J11)*' Kwh area wise $ '!B10</f>
        <v>21.339999999997133</v>
      </c>
      <c r="I10" s="1">
        <f>('Kwh Consumption'!K11+'Kwh Consumption'!L11)*' Kwh area wise $ '!B10</f>
        <v>300.70000000001079</v>
      </c>
      <c r="J10" s="1">
        <f>('Kwh Consumption'!M11+'Kwh Consumption'!N11+'Kwh Consumption'!O11+'Kwh Consumption'!P11+'Kwh Consumption'!Q11+'Kwh Consumption'!R11)*' Kwh area wise $ '!B10</f>
        <v>1224.1400000000115</v>
      </c>
      <c r="K10" s="31">
        <f>('Kwh Consumption'!S11+'Kwh Consumption'!T11)*' Kwh area wise $ '!B10</f>
        <v>1039.042659999935</v>
      </c>
      <c r="L10" s="1">
        <f>'Kwh Consumption'!U11*' Kwh area wise $ '!B10</f>
        <v>42.679999999999779</v>
      </c>
      <c r="M10" s="31">
        <f>'Kwh Consumption'!V11*' Kwh area wise $ '!B10</f>
        <v>1217.1773400000093</v>
      </c>
    </row>
    <row r="11" spans="1:13" x14ac:dyDescent="0.25">
      <c r="A11" s="14">
        <f>'Kwh Reading'!A12</f>
        <v>44660</v>
      </c>
      <c r="B11" s="125">
        <f>TOTAL!F10</f>
        <v>0.19400000000000001</v>
      </c>
      <c r="C11" s="11">
        <f>'Kwh Consumption'!B12*' Kwh area wise $ '!B11</f>
        <v>5047.8799999997318</v>
      </c>
      <c r="D11" s="1">
        <f>'Kwh Consumption'!C12*' Kwh area wise $ '!B11</f>
        <v>112.52000000000794</v>
      </c>
      <c r="E11" s="1">
        <f>'Kwh Consumption'!D12*' Kwh area wise $ '!B11</f>
        <v>543.20000000002631</v>
      </c>
      <c r="F11" s="1">
        <f>'Kwh Consumption'!E12*' Kwh area wise $ '!B11</f>
        <v>48.5</v>
      </c>
      <c r="G11" s="1">
        <f>('Kwh Consumption'!F12+'Kwh Consumption'!G12+'Kwh Consumption'!H12)*' Kwh area wise $ '!B11</f>
        <v>226.98000000001412</v>
      </c>
      <c r="H11" s="16">
        <f>('Kwh Consumption'!I12+'Kwh Consumption'!J12)*' Kwh area wise $ '!B11</f>
        <v>31.039999999999338</v>
      </c>
      <c r="I11" s="1">
        <f>('Kwh Consumption'!K12+'Kwh Consumption'!L12)*' Kwh area wise $ '!B11</f>
        <v>320.10000000001975</v>
      </c>
      <c r="J11" s="1">
        <f>('Kwh Consumption'!M12+'Kwh Consumption'!N12+'Kwh Consumption'!O12+'Kwh Consumption'!P12+'Kwh Consumption'!Q12+'Kwh Consumption'!R12)*' Kwh area wise $ '!B11</f>
        <v>1241.5999999999956</v>
      </c>
      <c r="K11" s="31">
        <f>('Kwh Consumption'!S12+'Kwh Consumption'!T12)*' Kwh area wise $ '!B11</f>
        <v>1083.536560000224</v>
      </c>
      <c r="L11" s="1">
        <f>'Kwh Consumption'!U12*' Kwh area wise $ '!B11</f>
        <v>40.73999999999603</v>
      </c>
      <c r="M11" s="31">
        <f>'Kwh Consumption'!V12*' Kwh area wise $ '!B11</f>
        <v>1399.66343999945</v>
      </c>
    </row>
    <row r="12" spans="1:13" x14ac:dyDescent="0.25">
      <c r="A12" s="14">
        <f>'Kwh Reading'!A13</f>
        <v>44661</v>
      </c>
      <c r="B12" s="125">
        <f>TOTAL!F11</f>
        <v>0.19400000000000001</v>
      </c>
      <c r="C12" s="11">
        <f>'Kwh Consumption'!B13*' Kwh area wise $ '!B12</f>
        <v>4741.3600000001425</v>
      </c>
      <c r="D12" s="1">
        <f>'Kwh Consumption'!C13*' Kwh area wise $ '!B12</f>
        <v>110.57999999998765</v>
      </c>
      <c r="E12" s="1">
        <f>'Kwh Consumption'!D13*' Kwh area wise $ '!B12</f>
        <v>562.59999999998115</v>
      </c>
      <c r="F12" s="1">
        <f>'Kwh Consumption'!E13*' Kwh area wise $ '!B12</f>
        <v>48.5</v>
      </c>
      <c r="G12" s="1">
        <f>('Kwh Consumption'!F13+'Kwh Consumption'!G13+'Kwh Consumption'!H13)*' Kwh area wise $ '!B12</f>
        <v>254.13999999998941</v>
      </c>
      <c r="H12" s="16">
        <f>('Kwh Consumption'!I13+'Kwh Consumption'!J13)*' Kwh area wise $ '!B12</f>
        <v>27.160000000002867</v>
      </c>
      <c r="I12" s="1">
        <f>('Kwh Consumption'!K13+'Kwh Consumption'!L13)*' Kwh area wise $ '!B12</f>
        <v>327.85999999996955</v>
      </c>
      <c r="J12" s="1">
        <f>('Kwh Consumption'!M13+'Kwh Consumption'!N13+'Kwh Consumption'!O13+'Kwh Consumption'!P13+'Kwh Consumption'!Q13+'Kwh Consumption'!R13)*' Kwh area wise $ '!B12</f>
        <v>1218.3200000000168</v>
      </c>
      <c r="K12" s="31">
        <f>('Kwh Consumption'!S13+'Kwh Consumption'!T13)*' Kwh area wise $ '!B12</f>
        <v>1093.4150399998482</v>
      </c>
      <c r="L12" s="1">
        <f>'Kwh Consumption'!U13*' Kwh area wise $ '!B12</f>
        <v>42.679999999999779</v>
      </c>
      <c r="M12" s="31">
        <f>'Kwh Consumption'!V13*' Kwh area wise $ '!B12</f>
        <v>1056.1049600003473</v>
      </c>
    </row>
    <row r="13" spans="1:13" x14ac:dyDescent="0.25">
      <c r="A13" s="14">
        <f>'Kwh Reading'!A14</f>
        <v>44662</v>
      </c>
      <c r="B13" s="125">
        <f>TOTAL!F12</f>
        <v>0.19400000000000001</v>
      </c>
      <c r="C13" s="11">
        <f>'Kwh Consumption'!B14*' Kwh area wise $ '!B13</f>
        <v>5055.6400000000331</v>
      </c>
      <c r="D13" s="1">
        <f>'Kwh Consumption'!C14*' Kwh area wise $ '!B13</f>
        <v>108.64000000001147</v>
      </c>
      <c r="E13" s="1">
        <f>'Kwh Consumption'!D14*' Kwh area wise $ '!B13</f>
        <v>523.7999999999854</v>
      </c>
      <c r="F13" s="1">
        <f>'Kwh Consumption'!E14*' Kwh area wise $ '!B13</f>
        <v>50.439999999998236</v>
      </c>
      <c r="G13" s="1">
        <f>('Kwh Consumption'!F14+'Kwh Consumption'!G14+'Kwh Consumption'!H14)*' Kwh area wise $ '!B13</f>
        <v>238.62000000001456</v>
      </c>
      <c r="H13" s="16">
        <f>('Kwh Consumption'!I14+'Kwh Consumption'!J14)*' Kwh area wise $ '!B13</f>
        <v>29.100000000001103</v>
      </c>
      <c r="I13" s="1">
        <f>('Kwh Consumption'!K14+'Kwh Consumption'!L14)*' Kwh area wise $ '!B13</f>
        <v>300.70000000002182</v>
      </c>
      <c r="J13" s="1">
        <f>('Kwh Consumption'!M14+'Kwh Consumption'!N14+'Kwh Consumption'!O14+'Kwh Consumption'!P14+'Kwh Consumption'!Q14+'Kwh Consumption'!R14)*' Kwh area wise $ '!B13</f>
        <v>1196.9799999999921</v>
      </c>
      <c r="K13" s="31">
        <f>('Kwh Consumption'!S14+'Kwh Consumption'!T14)*' Kwh area wise $ '!B13</f>
        <v>1154.8024599997905</v>
      </c>
      <c r="L13" s="1">
        <f>'Kwh Consumption'!U14*' Kwh area wise $ '!B13</f>
        <v>42.680000000005293</v>
      </c>
      <c r="M13" s="31">
        <f>'Kwh Consumption'!V14*' Kwh area wise $ '!B13</f>
        <v>1409.8775400002132</v>
      </c>
    </row>
    <row r="14" spans="1:13" x14ac:dyDescent="0.25">
      <c r="A14" s="14">
        <f>'Kwh Reading'!A15</f>
        <v>44663</v>
      </c>
      <c r="B14" s="125">
        <f>TOTAL!F13</f>
        <v>0.19400000000000001</v>
      </c>
      <c r="C14" s="11">
        <f>'Kwh Consumption'!B15*' Kwh area wise $ '!B14</f>
        <v>4886.859999999966</v>
      </c>
      <c r="D14" s="1">
        <f>'Kwh Consumption'!C15*' Kwh area wise $ '!B14</f>
        <v>104.75999999999294</v>
      </c>
      <c r="E14" s="1">
        <f>'Kwh Consumption'!D15*' Kwh area wise $ '!B14</f>
        <v>562.59999999998115</v>
      </c>
      <c r="F14" s="1">
        <f>'Kwh Consumption'!E15*' Kwh area wise $ '!B14</f>
        <v>48.5</v>
      </c>
      <c r="G14" s="1">
        <f>('Kwh Consumption'!F15+'Kwh Consumption'!G15+'Kwh Consumption'!H15)*' Kwh area wise $ '!B14</f>
        <v>244.43999999999824</v>
      </c>
      <c r="H14" s="16">
        <f>('Kwh Consumption'!I15+'Kwh Consumption'!J15)*' Kwh area wise $ '!B14</f>
        <v>32.979999999997574</v>
      </c>
      <c r="I14" s="1">
        <f>('Kwh Consumption'!K15+'Kwh Consumption'!L15)*' Kwh area wise $ '!B14</f>
        <v>296.82000000001432</v>
      </c>
      <c r="J14" s="1">
        <f>('Kwh Consumption'!M15+'Kwh Consumption'!N15+'Kwh Consumption'!O15+'Kwh Consumption'!P15+'Kwh Consumption'!Q15+'Kwh Consumption'!R15)*' Kwh area wise $ '!B14</f>
        <v>-192630.36000000002</v>
      </c>
      <c r="K14" s="31">
        <f>('Kwh Consumption'!S15+'Kwh Consumption'!T15)*' Kwh area wise $ '!B14</f>
        <v>1098.4842600003685</v>
      </c>
      <c r="L14" s="1">
        <f>'Kwh Consumption'!U15*' Kwh area wise $ '!B14</f>
        <v>48.5</v>
      </c>
      <c r="M14" s="31">
        <f>'Kwh Consumption'!V15*' Kwh area wise $ '!B14</f>
        <v>195080.13573999965</v>
      </c>
    </row>
    <row r="15" spans="1:13" x14ac:dyDescent="0.25">
      <c r="A15" s="14">
        <f>'Kwh Reading'!A16</f>
        <v>44664</v>
      </c>
      <c r="B15" s="125">
        <f>TOTAL!F14</f>
        <v>0.19400000000000001</v>
      </c>
      <c r="C15" s="11">
        <f>'Kwh Consumption'!B16*' Kwh area wise $ '!B15</f>
        <v>4312.6200000000481</v>
      </c>
      <c r="D15" s="1">
        <v>0</v>
      </c>
      <c r="E15" s="1">
        <v>0</v>
      </c>
      <c r="F15" s="1">
        <v>0</v>
      </c>
      <c r="G15" s="1">
        <v>0</v>
      </c>
      <c r="H15" s="16">
        <v>0</v>
      </c>
      <c r="I15" s="1">
        <v>0</v>
      </c>
      <c r="J15" s="1">
        <f>('Kwh Consumption'!M16+'Kwh Consumption'!N16+'Kwh Consumption'!O16+'Kwh Consumption'!P16+'Kwh Consumption'!Q16+'Kwh Consumption'!R16)*' Kwh area wise $ '!B15</f>
        <v>828.55459999997458</v>
      </c>
      <c r="K15" s="1">
        <f>('Kwh Consumption'!S16+'Kwh Consumption'!T16)*' Kwh area wise $ '!B15</f>
        <v>879.59599999963871</v>
      </c>
      <c r="L15" s="1">
        <f>'Kwh Consumption'!U16*' Kwh area wise $ '!B15</f>
        <v>40.73999999999603</v>
      </c>
      <c r="M15" s="1">
        <f>'Kwh Consumption'!V16*' Kwh area wise $ '!B15</f>
        <v>1248.409400000389</v>
      </c>
    </row>
    <row r="16" spans="1:13" x14ac:dyDescent="0.25">
      <c r="A16" s="14">
        <f>'Kwh Reading'!A17</f>
        <v>44665</v>
      </c>
      <c r="B16" s="125">
        <f>TOTAL!F15</f>
        <v>0.19400000000000001</v>
      </c>
      <c r="C16" s="11">
        <f>'Kwh Consumption'!B17*' Kwh area wise $ '!B16</f>
        <v>4822.8400000001584</v>
      </c>
      <c r="D16" s="1">
        <f>'Kwh Consumption'!C17*' Kwh area wise $ '!B16</f>
        <v>102.81999999999471</v>
      </c>
      <c r="E16" s="1">
        <f>'Kwh Consumption'!D17*' Kwh area wise $ '!B16</f>
        <v>562.59999999998115</v>
      </c>
      <c r="F16" s="1">
        <f>'Kwh Consumption'!E17*' Kwh area wise $ '!B16</f>
        <v>50.440000000009263</v>
      </c>
      <c r="G16" s="1">
        <f>('Kwh Consumption'!F17+'Kwh Consumption'!G17+'Kwh Consumption'!H17)*' Kwh area wise $ '!B16</f>
        <v>298.76000000000397</v>
      </c>
      <c r="H16" s="16">
        <f>('Kwh Consumption'!I17+'Kwh Consumption'!J17)*' Kwh area wise $ '!B16</f>
        <v>29.099999999995589</v>
      </c>
      <c r="I16" s="1">
        <f>('Kwh Consumption'!K17+'Kwh Consumption'!L17)*' Kwh area wise $ '!B16</f>
        <v>271.60000000002179</v>
      </c>
      <c r="J16" s="1">
        <f>('Kwh Consumption'!M17+'Kwh Consumption'!N17+'Kwh Consumption'!O17+'Kwh Consumption'!P17+'Kwh Consumption'!Q17+'Kwh Consumption'!R17)*' Kwh area wise $ '!B16</f>
        <v>917.81400000002566</v>
      </c>
      <c r="K16" s="1">
        <f>('Kwh Consumption'!S17+'Kwh Consumption'!T17)*' Kwh area wise $ '!B16</f>
        <v>960.43192000030353</v>
      </c>
      <c r="L16" s="1">
        <f>'Kwh Consumption'!U17*' Kwh area wise $ '!B16</f>
        <v>46.560000000001764</v>
      </c>
      <c r="M16" s="1">
        <f>'Kwh Consumption'!V17*' Kwh area wise $ '!B16</f>
        <v>1582.7140799998208</v>
      </c>
    </row>
    <row r="17" spans="1:13" x14ac:dyDescent="0.25">
      <c r="A17" s="14">
        <f>'Kwh Reading'!A18</f>
        <v>44666</v>
      </c>
      <c r="B17" s="125">
        <f>TOTAL!F16</f>
        <v>0.19400000000000001</v>
      </c>
      <c r="C17" s="11">
        <f>'Kwh Consumption'!B18*' Kwh area wise $ '!B17</f>
        <v>4859.6999999999471</v>
      </c>
      <c r="D17" s="1">
        <f>'Kwh Consumption'!C18*' Kwh area wise $ '!B17</f>
        <v>100.87999999999647</v>
      </c>
      <c r="E17" s="1">
        <f>'Kwh Consumption'!D18*' Kwh area wise $ '!B17</f>
        <v>543.19999999994025</v>
      </c>
      <c r="F17" s="1">
        <f>'Kwh Consumption'!E18*' Kwh area wise $ '!B17</f>
        <v>46.559999999990737</v>
      </c>
      <c r="G17" s="1">
        <f>('Kwh Consumption'!F18+'Kwh Consumption'!G18+'Kwh Consumption'!H18)*' Kwh area wise $ '!B17</f>
        <v>294.87999999998544</v>
      </c>
      <c r="H17" s="16">
        <f>('Kwh Consumption'!I18+'Kwh Consumption'!J18)*' Kwh area wise $ '!B17</f>
        <v>31.039999999999338</v>
      </c>
      <c r="I17" s="1">
        <f>('Kwh Consumption'!K18+'Kwh Consumption'!L18)*' Kwh area wise $ '!B17</f>
        <v>316.2199999999691</v>
      </c>
      <c r="J17" s="1">
        <f>('Kwh Consumption'!M18+'Kwh Consumption'!N18+'Kwh Consumption'!O18+'Kwh Consumption'!P18+'Kwh Consumption'!Q18+'Kwh Consumption'!R18)*' Kwh area wise $ '!B17</f>
        <v>966.31399999995949</v>
      </c>
      <c r="K17" s="1">
        <f>('Kwh Consumption'!S18+'Kwh Consumption'!T18)*' Kwh area wise $ '!B17</f>
        <v>1009.2811199997254</v>
      </c>
      <c r="L17" s="1">
        <f>'Kwh Consumption'!U18*' Kwh area wise $ '!B17</f>
        <v>46.560000000001764</v>
      </c>
      <c r="M17" s="1">
        <f>'Kwh Consumption'!V18*' Kwh area wise $ '!B17</f>
        <v>1504.7648800003799</v>
      </c>
    </row>
    <row r="18" spans="1:13" x14ac:dyDescent="0.25">
      <c r="A18" s="14">
        <f>'Kwh Reading'!A19</f>
        <v>44667</v>
      </c>
      <c r="B18" s="125">
        <f>TOTAL!F17</f>
        <v>0.19400000000000001</v>
      </c>
      <c r="C18" s="11">
        <f>'Kwh Consumption'!B19*' Kwh area wise $ '!B18</f>
        <v>5030.4199999999237</v>
      </c>
      <c r="D18" s="1">
        <f>'Kwh Consumption'!C19*' Kwh area wise $ '!B18</f>
        <v>116.40000000000441</v>
      </c>
      <c r="E18" s="1">
        <f>'Kwh Consumption'!D19*' Kwh area wise $ '!B18</f>
        <v>543.20000000002631</v>
      </c>
      <c r="F18" s="1">
        <f>'Kwh Consumption'!E19*' Kwh area wise $ '!B18</f>
        <v>46.560000000001764</v>
      </c>
      <c r="G18" s="1">
        <f>('Kwh Consumption'!F19+'Kwh Consumption'!G19+'Kwh Consumption'!H19)*' Kwh area wise $ '!B18</f>
        <v>325.92000000001235</v>
      </c>
      <c r="H18" s="16">
        <f>('Kwh Consumption'!I19+'Kwh Consumption'!J19)*' Kwh area wise $ '!B18</f>
        <v>29.100000000001103</v>
      </c>
      <c r="I18" s="1">
        <f>('Kwh Consumption'!K19+'Kwh Consumption'!L19)*' Kwh area wise $ '!B18</f>
        <v>341.4400000000158</v>
      </c>
      <c r="J18" s="1">
        <f>('Kwh Consumption'!M19+'Kwh Consumption'!N19+'Kwh Consumption'!O19+'Kwh Consumption'!P19+'Kwh Consumption'!Q19+'Kwh Consumption'!R19)*' Kwh area wise $ '!B18</f>
        <v>1009.0134000000089</v>
      </c>
      <c r="K18" s="1">
        <f>('Kwh Consumption'!S19+'Kwh Consumption'!T19)*' Kwh area wise $ '!B18</f>
        <v>1035.5506600001156</v>
      </c>
      <c r="L18" s="1">
        <f>'Kwh Consumption'!U19*' Kwh area wise $ '!B18</f>
        <v>56.259999999998456</v>
      </c>
      <c r="M18" s="1">
        <f>'Kwh Consumption'!V19*' Kwh area wise $ '!B18</f>
        <v>1526.9759399997392</v>
      </c>
    </row>
    <row r="19" spans="1:13" x14ac:dyDescent="0.25">
      <c r="A19" s="14">
        <f>'Kwh Reading'!A20</f>
        <v>44668</v>
      </c>
      <c r="B19" s="125">
        <f>TOTAL!F18</f>
        <v>0.19400000000000001</v>
      </c>
      <c r="C19" s="11">
        <f>'Kwh Consumption'!B20*' Kwh area wise $ '!B19</f>
        <v>5044.0000000000873</v>
      </c>
      <c r="D19" s="1">
        <f>'Kwh Consumption'!C20*' Kwh area wise $ '!B19</f>
        <v>124.15999999999735</v>
      </c>
      <c r="E19" s="1">
        <f>'Kwh Consumption'!D20*' Kwh area wise $ '!B19</f>
        <v>543.20000000002631</v>
      </c>
      <c r="F19" s="1">
        <f>'Kwh Consumption'!E20*' Kwh area wise $ '!B19</f>
        <v>44.620000000003529</v>
      </c>
      <c r="G19" s="1">
        <f>('Kwh Consumption'!F20+'Kwh Consumption'!G20+'Kwh Consumption'!H20)*' Kwh area wise $ '!B19</f>
        <v>205.63999999998941</v>
      </c>
      <c r="H19" s="16">
        <f>('Kwh Consumption'!I20+'Kwh Consumption'!J20)*' Kwh area wise $ '!B19</f>
        <v>29.100000000001103</v>
      </c>
      <c r="I19" s="1">
        <f>('Kwh Consumption'!K20+'Kwh Consumption'!L20)*' Kwh area wise $ '!B19</f>
        <v>291.00000000001313</v>
      </c>
      <c r="J19" s="1">
        <f>('Kwh Consumption'!M20+'Kwh Consumption'!N20+'Kwh Consumption'!O20+'Kwh Consumption'!P20+'Kwh Consumption'!Q20+'Kwh Consumption'!R20)*' Kwh area wise $ '!B19</f>
        <v>1018.6940000000221</v>
      </c>
      <c r="K19" s="1">
        <f>('Kwh Consumption'!S20+'Kwh Consumption'!T20)*' Kwh area wise $ '!B19</f>
        <v>1081.6256600001157</v>
      </c>
      <c r="L19" s="1">
        <f>'Kwh Consumption'!U20*' Kwh area wise $ '!B19</f>
        <v>46.560000000001764</v>
      </c>
      <c r="M19" s="1">
        <f>'Kwh Consumption'!V20*' Kwh area wise $ '!B19</f>
        <v>1659.4003399999183</v>
      </c>
    </row>
    <row r="20" spans="1:13" x14ac:dyDescent="0.25">
      <c r="A20" s="14">
        <f>'Kwh Reading'!A21</f>
        <v>44669</v>
      </c>
      <c r="B20" s="125">
        <f>TOTAL!F19</f>
        <v>0.19400000000000001</v>
      </c>
      <c r="C20" s="11">
        <f>'Kwh Consumption'!B21*' Kwh area wise $ '!B20</f>
        <v>4756.8800000000847</v>
      </c>
      <c r="D20" s="1">
        <f>'Kwh Consumption'!C21*' Kwh area wise $ '!B20</f>
        <v>100.87999999999647</v>
      </c>
      <c r="E20" s="1">
        <f>'Kwh Consumption'!D21*' Kwh area wise $ '!B20</f>
        <v>523.7999999999854</v>
      </c>
      <c r="F20" s="1">
        <f>'Kwh Consumption'!E21*' Kwh area wise $ '!B20</f>
        <v>46.560000000001764</v>
      </c>
      <c r="G20" s="1">
        <f>('Kwh Consumption'!F21+'Kwh Consumption'!G21+'Kwh Consumption'!H21)*' Kwh area wise $ '!B20</f>
        <v>271.60000000000662</v>
      </c>
      <c r="H20" s="16">
        <f>('Kwh Consumption'!I21+'Kwh Consumption'!J21)*' Kwh area wise $ '!B20</f>
        <v>27.160000000002867</v>
      </c>
      <c r="I20" s="1">
        <f>('Kwh Consumption'!K21+'Kwh Consumption'!L21)*' Kwh area wise $ '!B20</f>
        <v>362.77999999997093</v>
      </c>
      <c r="J20" s="1">
        <f>('Kwh Consumption'!M21+'Kwh Consumption'!N21+'Kwh Consumption'!O21+'Kwh Consumption'!P21+'Kwh Consumption'!Q21+'Kwh Consumption'!R21)*' Kwh area wise $ '!B20</f>
        <v>970.21339999997792</v>
      </c>
      <c r="K20" s="1">
        <f>('Kwh Consumption'!S21+'Kwh Consumption'!T21)*' Kwh area wise $ '!B20</f>
        <v>965.42547999998555</v>
      </c>
      <c r="L20" s="1">
        <f>'Kwh Consumption'!U21*' Kwh area wise $ '!B20</f>
        <v>48.5</v>
      </c>
      <c r="M20" s="1">
        <f>'Kwh Consumption'!V21*' Kwh area wise $ '!B20</f>
        <v>1439.9611200001573</v>
      </c>
    </row>
    <row r="21" spans="1:13" x14ac:dyDescent="0.25">
      <c r="A21" s="14">
        <f>'Kwh Reading'!A22</f>
        <v>44670</v>
      </c>
      <c r="B21" s="125">
        <f>TOTAL!F20</f>
        <v>0.19400000000000001</v>
      </c>
      <c r="C21" s="11">
        <f>'Kwh Consumption'!B22*' Kwh area wise $ '!B21</f>
        <v>4590.0399999998835</v>
      </c>
      <c r="D21" s="1">
        <f>'Kwh Consumption'!C22*' Kwh area wise $ '!B21</f>
        <v>95.060000000001764</v>
      </c>
      <c r="E21" s="1">
        <f>'Kwh Consumption'!D22*' Kwh area wise $ '!B21</f>
        <v>543.20000000002631</v>
      </c>
      <c r="F21" s="1">
        <f>'Kwh Consumption'!E22*' Kwh area wise $ '!B21</f>
        <v>48.5</v>
      </c>
      <c r="G21" s="1">
        <f>('Kwh Consumption'!F22+'Kwh Consumption'!G22+'Kwh Consumption'!H22)*' Kwh area wise $ '!B21</f>
        <v>199.82000000000573</v>
      </c>
      <c r="H21" s="16">
        <f>('Kwh Consumption'!I22+'Kwh Consumption'!J22)*' Kwh area wise $ '!B21</f>
        <v>29.099999999995589</v>
      </c>
      <c r="I21" s="1">
        <f>('Kwh Consumption'!K22+'Kwh Consumption'!L22)*' Kwh area wise $ '!B21</f>
        <v>308.46000000001476</v>
      </c>
      <c r="J21" s="1">
        <f>('Kwh Consumption'!M22+'Kwh Consumption'!N22+'Kwh Consumption'!O22+'Kwh Consumption'!P22+'Kwh Consumption'!Q22+'Kwh Consumption'!R22)*' Kwh area wise $ '!B21</f>
        <v>890.63460000000634</v>
      </c>
      <c r="K21" s="1">
        <f>('Kwh Consumption'!S22+'Kwh Consumption'!T22)*' Kwh area wise $ '!B21</f>
        <v>992.7794799999856</v>
      </c>
      <c r="L21" s="1">
        <f>'Kwh Consumption'!U22*' Kwh area wise $ '!B21</f>
        <v>40.73999999999603</v>
      </c>
      <c r="M21" s="1">
        <f>'Kwh Consumption'!V22*' Kwh area wise $ '!B21</f>
        <v>1441.7459199998516</v>
      </c>
    </row>
    <row r="22" spans="1:13" x14ac:dyDescent="0.25">
      <c r="A22" s="14">
        <f>'Kwh Reading'!A23</f>
        <v>44671</v>
      </c>
      <c r="B22" s="125">
        <f>TOTAL!F21</f>
        <v>0.19400000000000001</v>
      </c>
      <c r="C22" s="11">
        <f>'Kwh Consumption'!B23*' Kwh area wise $ '!B22</f>
        <v>4657.9399999997777</v>
      </c>
      <c r="D22" s="1">
        <f>'Kwh Consumption'!C23*' Kwh area wise $ '!B22</f>
        <v>104.760000000015</v>
      </c>
      <c r="E22" s="1">
        <f>'Kwh Consumption'!D23*' Kwh area wise $ '!B22</f>
        <v>523.7999999999854</v>
      </c>
      <c r="F22" s="1">
        <f>'Kwh Consumption'!E23*' Kwh area wise $ '!B22</f>
        <v>44.619999999992501</v>
      </c>
      <c r="G22" s="1">
        <f>('Kwh Consumption'!F23+'Kwh Consumption'!G23+'Kwh Consumption'!H23)*' Kwh area wise $ '!B22</f>
        <v>219.21999999999912</v>
      </c>
      <c r="H22" s="16">
        <f>('Kwh Consumption'!I23+'Kwh Consumption'!J23)*' Kwh area wise $ '!B22</f>
        <v>27.160000000002867</v>
      </c>
      <c r="I22" s="1">
        <f>('Kwh Consumption'!K23+'Kwh Consumption'!L23)*' Kwh area wise $ '!B22</f>
        <v>314.27999999997746</v>
      </c>
      <c r="J22" s="1">
        <f>('Kwh Consumption'!M23+'Kwh Consumption'!N23+'Kwh Consumption'!O23+'Kwh Consumption'!P23+'Kwh Consumption'!Q23+'Kwh Consumption'!R23)*' Kwh area wise $ '!B22</f>
        <v>946.91400000002125</v>
      </c>
      <c r="K22" s="1">
        <f>('Kwh Consumption'!S23+'Kwh Consumption'!T23)*' Kwh area wise $ '!B22</f>
        <v>1062.419659999935</v>
      </c>
      <c r="L22" s="1">
        <f>'Kwh Consumption'!U23*' Kwh area wise $ '!B22</f>
        <v>42.679999999999779</v>
      </c>
      <c r="M22" s="1">
        <f>'Kwh Consumption'!V23*' Kwh area wise $ '!B22</f>
        <v>1372.0863399998491</v>
      </c>
    </row>
    <row r="23" spans="1:13" x14ac:dyDescent="0.25">
      <c r="A23" s="14">
        <f>'Kwh Reading'!A24</f>
        <v>44672</v>
      </c>
      <c r="B23" s="125">
        <f>TOTAL!F22</f>
        <v>0.19400000000000001</v>
      </c>
      <c r="C23" s="11">
        <f>'Kwh Consumption'!B24*' Kwh area wise $ '!B23</f>
        <v>0</v>
      </c>
      <c r="D23" s="1">
        <f>'Kwh Consumption'!C24*' Kwh area wise $ '!B23</f>
        <v>106.69999999999118</v>
      </c>
      <c r="E23" s="1">
        <f>'Kwh Consumption'!D24*' Kwh area wise $ '!B23</f>
        <v>543.20000000002631</v>
      </c>
      <c r="F23" s="1">
        <f>'Kwh Consumption'!E24*' Kwh area wise $ '!B23</f>
        <v>46.560000000001764</v>
      </c>
      <c r="G23" s="1">
        <f>('Kwh Consumption'!F24+'Kwh Consumption'!G24+'Kwh Consumption'!H24)*' Kwh area wise $ '!B23</f>
        <v>215.33999999999162</v>
      </c>
      <c r="H23" s="16">
        <f>('Kwh Consumption'!I24+'Kwh Consumption'!J24)*' Kwh area wise $ '!B23</f>
        <v>31.039999999999338</v>
      </c>
      <c r="I23" s="1">
        <f>('Kwh Consumption'!K24+'Kwh Consumption'!L24)*' Kwh area wise $ '!B23</f>
        <v>325.92000000001445</v>
      </c>
      <c r="J23" s="1">
        <f>('Kwh Consumption'!M24+'Kwh Consumption'!N24+'Kwh Consumption'!O24+'Kwh Consumption'!P24+'Kwh Consumption'!Q24+'Kwh Consumption'!R24)*' Kwh area wise $ '!B23</f>
        <v>1538.5945999999683</v>
      </c>
      <c r="K23" s="1">
        <f>('Kwh Consumption'!S24+'Kwh Consumption'!T24)*' Kwh area wise $ '!B23</f>
        <v>1009.676880000094</v>
      </c>
      <c r="L23" s="1">
        <f>'Kwh Consumption'!U24*' Kwh area wise $ '!B23</f>
        <v>38.800000000003308</v>
      </c>
      <c r="M23" s="1">
        <f>'Kwh Consumption'!V24*' Kwh area wise $ '!B23</f>
        <v>-3855.8314800000903</v>
      </c>
    </row>
    <row r="24" spans="1:13" x14ac:dyDescent="0.25">
      <c r="A24" s="14">
        <f>'Kwh Reading'!A25</f>
        <v>44673</v>
      </c>
      <c r="B24" s="125">
        <f>TOTAL!F23</f>
        <v>0.19400000000000001</v>
      </c>
      <c r="C24" s="11">
        <f>'Kwh Consumption'!B25*' Kwh area wise $ '!B24</f>
        <v>0</v>
      </c>
      <c r="D24" s="1">
        <f>'Kwh Consumption'!C25*' Kwh area wise $ '!B24</f>
        <v>56.259999999992942</v>
      </c>
      <c r="E24" s="1">
        <f>'Kwh Consumption'!D25*' Kwh area wise $ '!B24</f>
        <v>523.7999999999854</v>
      </c>
      <c r="F24" s="1">
        <f>'Kwh Consumption'!E25*' Kwh area wise $ '!B24</f>
        <v>46.560000000001764</v>
      </c>
      <c r="G24" s="1">
        <f>('Kwh Consumption'!F25+'Kwh Consumption'!G25+'Kwh Consumption'!H25)*' Kwh area wise $ '!B24</f>
        <v>186.23999999999603</v>
      </c>
      <c r="H24" s="16">
        <f>('Kwh Consumption'!I25+'Kwh Consumption'!J25)*' Kwh area wise $ '!B24</f>
        <v>25.219999999999118</v>
      </c>
      <c r="I24" s="1">
        <f>('Kwh Consumption'!K25+'Kwh Consumption'!L25)*' Kwh area wise $ '!B24</f>
        <v>302.64000000002005</v>
      </c>
      <c r="J24" s="1">
        <f>('Kwh Consumption'!M25+'Kwh Consumption'!N25+'Kwh Consumption'!O25+'Kwh Consumption'!P25+'Kwh Consumption'!Q25+'Kwh Consumption'!R25)*' Kwh area wise $ '!B24</f>
        <v>304.75460000000976</v>
      </c>
      <c r="K24" s="1">
        <f>('Kwh Consumption'!S25+'Kwh Consumption'!T25)*' Kwh area wise $ '!B24</f>
        <v>876.58706000004338</v>
      </c>
      <c r="L24" s="1">
        <f>'Kwh Consumption'!U25*' Kwh area wise $ '!B24</f>
        <v>42.679999999999779</v>
      </c>
      <c r="M24" s="1">
        <f>'Kwh Consumption'!V25*' Kwh area wise $ '!B24</f>
        <v>-2364.7416600000479</v>
      </c>
    </row>
    <row r="25" spans="1:13" x14ac:dyDescent="0.25">
      <c r="A25" s="14">
        <f>'Kwh Reading'!A26</f>
        <v>44674</v>
      </c>
      <c r="B25" s="125">
        <f>TOTAL!F24</f>
        <v>0.19400000000000001</v>
      </c>
      <c r="C25" s="11">
        <f>'Kwh Consumption'!B26*' Kwh area wise $ '!B25</f>
        <v>0</v>
      </c>
      <c r="D25" s="1">
        <f>'Kwh Consumption'!C26*' Kwh area wise $ '!B25</f>
        <v>95.060000000001764</v>
      </c>
      <c r="E25" s="1">
        <f>'Kwh Consumption'!D26*' Kwh area wise $ '!B25</f>
        <v>543.19999999994025</v>
      </c>
      <c r="F25" s="1">
        <f>'Kwh Consumption'!E26*' Kwh area wise $ '!B25</f>
        <v>44.620000000003529</v>
      </c>
      <c r="G25" s="1">
        <f>('Kwh Consumption'!F26+'Kwh Consumption'!G26+'Kwh Consumption'!H26)*' Kwh area wise $ '!B25</f>
        <v>182.36000000001059</v>
      </c>
      <c r="H25" s="16">
        <f>('Kwh Consumption'!I26+'Kwh Consumption'!J26)*' Kwh area wise $ '!B25</f>
        <v>25.219999999999118</v>
      </c>
      <c r="I25" s="1">
        <f>('Kwh Consumption'!K26+'Kwh Consumption'!L26)*' Kwh area wise $ '!B25</f>
        <v>263.83999999998133</v>
      </c>
      <c r="J25" s="1">
        <f>('Kwh Consumption'!M26+'Kwh Consumption'!N26+'Kwh Consumption'!O26+'Kwh Consumption'!P26+'Kwh Consumption'!Q26+'Kwh Consumption'!R26)*' Kwh area wise $ '!B25</f>
        <v>871.25400000000184</v>
      </c>
      <c r="K25" s="1">
        <f>('Kwh Consumption'!S26+'Kwh Consumption'!T26)*' Kwh area wise $ '!B25</f>
        <v>952.01619999978323</v>
      </c>
      <c r="L25" s="1">
        <f>'Kwh Consumption'!U26*' Kwh area wise $ '!B25</f>
        <v>40.73999999999603</v>
      </c>
      <c r="M25" s="1">
        <f>'Kwh Consumption'!V26*' Kwh area wise $ '!B25</f>
        <v>-3018.3101999997175</v>
      </c>
    </row>
    <row r="26" spans="1:13" x14ac:dyDescent="0.25">
      <c r="A26" s="14">
        <f>'Kwh Reading'!A27</f>
        <v>44675</v>
      </c>
      <c r="B26" s="125">
        <f>TOTAL!F25</f>
        <v>0.19400000000000001</v>
      </c>
      <c r="C26" s="11">
        <f>'Kwh Consumption'!B27*' Kwh area wise $ '!B26</f>
        <v>0</v>
      </c>
      <c r="D26" s="1">
        <f>'Kwh Consumption'!C27*' Kwh area wise $ '!B26</f>
        <v>-109908.76000000001</v>
      </c>
      <c r="E26" s="1">
        <f>'Kwh Consumption'!D27*' Kwh area wise $ '!B26</f>
        <v>-611255.20000000007</v>
      </c>
      <c r="F26" s="1">
        <f>'Kwh Consumption'!E27*' Kwh area wise $ '!B26</f>
        <v>-59045.840000000004</v>
      </c>
      <c r="G26" s="1">
        <f>('Kwh Consumption'!F27+'Kwh Consumption'!G27+'Kwh Consumption'!H27)*' Kwh area wise $ '!B26</f>
        <v>-231785.38</v>
      </c>
      <c r="H26" s="16">
        <f>('Kwh Consumption'!I27+'Kwh Consumption'!J27)*' Kwh area wise $ '!B26</f>
        <v>-67063.86</v>
      </c>
      <c r="I26" s="1">
        <f>('Kwh Consumption'!K27+'Kwh Consumption'!L27)*' Kwh area wise $ '!B26</f>
        <v>-322971.2</v>
      </c>
      <c r="J26" s="1">
        <f>('Kwh Consumption'!M27+'Kwh Consumption'!N27+'Kwh Consumption'!O27+'Kwh Consumption'!P27+'Kwh Consumption'!Q27+'Kwh Consumption'!R27)*' Kwh area wise $ '!B26</f>
        <v>-763056.47519999999</v>
      </c>
      <c r="K26" s="1">
        <f>('Kwh Consumption'!S27+'Kwh Consumption'!T27)*' Kwh area wise $ '!B26</f>
        <v>-3323579.76718</v>
      </c>
      <c r="L26" s="1">
        <f>'Kwh Consumption'!U27*' Kwh area wise $ '!B26</f>
        <v>-41785.660000000003</v>
      </c>
      <c r="M26" s="1">
        <f>'Kwh Consumption'!V27*' Kwh area wise $ '!B26</f>
        <v>5530452.142380001</v>
      </c>
    </row>
    <row r="27" spans="1:13" x14ac:dyDescent="0.25">
      <c r="A27" s="14">
        <f>'Kwh Reading'!A28</f>
        <v>44676</v>
      </c>
      <c r="B27" s="125">
        <f>TOTAL!F26</f>
        <v>0.19400000000000001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44677</v>
      </c>
      <c r="B28" s="125">
        <f>TOTAL!F27</f>
        <v>0.19400000000000001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44678</v>
      </c>
      <c r="B29" s="125">
        <f>TOTAL!F28</f>
        <v>0.19400000000000001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44679</v>
      </c>
      <c r="B30" s="125">
        <f>TOTAL!F29</f>
        <v>0.19400000000000001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44680</v>
      </c>
      <c r="B31" s="125">
        <f>TOTAL!F30</f>
        <v>0.19400000000000001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44681</v>
      </c>
      <c r="B32" s="125">
        <f>TOTAL!F31</f>
        <v>0.19400000000000001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44682</v>
      </c>
      <c r="B33" s="125">
        <f>TOTAL!F32</f>
        <v>0.19400000000000001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9" t="s">
        <v>52</v>
      </c>
      <c r="B34" s="149"/>
      <c r="C34" s="72">
        <f t="shared" ref="C34:L34" si="0">SUM(C3:C33)</f>
        <v>95015.379999999917</v>
      </c>
      <c r="D34" s="72">
        <f t="shared" si="0"/>
        <v>-107637.02000000002</v>
      </c>
      <c r="E34" s="72">
        <f t="shared" si="0"/>
        <v>-599421.20000000019</v>
      </c>
      <c r="F34" s="72">
        <f t="shared" si="0"/>
        <v>-58004.060000000005</v>
      </c>
      <c r="G34" s="72">
        <f t="shared" si="0"/>
        <v>-226543.5</v>
      </c>
      <c r="H34" s="72">
        <f t="shared" si="0"/>
        <v>-66443.06</v>
      </c>
      <c r="I34" s="72">
        <f t="shared" si="0"/>
        <v>-316154.03999999998</v>
      </c>
      <c r="J34" s="72">
        <f t="shared" si="0"/>
        <v>-932486.22</v>
      </c>
      <c r="K34" s="72">
        <f t="shared" si="0"/>
        <v>-3300638.32822</v>
      </c>
      <c r="L34" s="72">
        <f t="shared" si="0"/>
        <v>-40780.740000000005</v>
      </c>
      <c r="M34" s="72">
        <f>SUM(M3:M33)</f>
        <v>5741808.2282200009</v>
      </c>
      <c r="N34" s="81">
        <f>D34+E34+F34+G34+H34+I34+J34+K34+L34+M34</f>
        <v>93700.060000000522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S24" sqref="S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8" t="s">
        <v>93</v>
      </c>
      <c r="E2" s="118" t="s">
        <v>94</v>
      </c>
      <c r="F2" s="118" t="s">
        <v>95</v>
      </c>
      <c r="G2" s="118" t="s">
        <v>96</v>
      </c>
      <c r="H2" s="118" t="s">
        <v>97</v>
      </c>
      <c r="I2" s="118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44652</v>
      </c>
      <c r="B3" s="32">
        <v>218338</v>
      </c>
      <c r="C3" s="32"/>
      <c r="D3" s="32">
        <v>257842</v>
      </c>
      <c r="E3" s="32">
        <v>266396</v>
      </c>
      <c r="F3" s="32">
        <v>67125</v>
      </c>
      <c r="G3" s="32">
        <v>118057</v>
      </c>
      <c r="H3" s="32">
        <v>62050</v>
      </c>
      <c r="I3" s="32">
        <v>73135</v>
      </c>
      <c r="J3" s="32">
        <v>22471</v>
      </c>
      <c r="K3" s="54">
        <v>1024</v>
      </c>
      <c r="L3" s="103">
        <v>18675</v>
      </c>
      <c r="M3" s="103">
        <v>27138</v>
      </c>
      <c r="N3" s="103">
        <v>8502</v>
      </c>
      <c r="O3" s="103">
        <v>2030</v>
      </c>
      <c r="P3" s="103">
        <v>30271</v>
      </c>
      <c r="Q3" s="103">
        <v>1528</v>
      </c>
      <c r="R3" s="103">
        <v>7975</v>
      </c>
    </row>
    <row r="4" spans="1:21" x14ac:dyDescent="0.25">
      <c r="A4" s="52">
        <v>44653</v>
      </c>
      <c r="B4" s="32">
        <v>218511</v>
      </c>
      <c r="C4" s="32"/>
      <c r="D4" s="32">
        <v>250826</v>
      </c>
      <c r="E4" s="32">
        <v>266457</v>
      </c>
      <c r="F4" s="32">
        <v>67127</v>
      </c>
      <c r="G4" s="32">
        <v>118085</v>
      </c>
      <c r="H4" s="32">
        <v>62089</v>
      </c>
      <c r="I4" s="32">
        <v>73179</v>
      </c>
      <c r="J4" s="54">
        <v>22477</v>
      </c>
      <c r="K4" s="54">
        <v>1024</v>
      </c>
      <c r="L4" s="103">
        <v>18678</v>
      </c>
      <c r="M4" s="103">
        <v>27145</v>
      </c>
      <c r="N4" s="103">
        <v>8504</v>
      </c>
      <c r="O4" s="103">
        <v>2031</v>
      </c>
      <c r="P4" s="103">
        <v>30288</v>
      </c>
      <c r="Q4" s="103">
        <v>1529</v>
      </c>
      <c r="R4" s="103">
        <v>7976</v>
      </c>
    </row>
    <row r="5" spans="1:21" x14ac:dyDescent="0.25">
      <c r="A5" s="52">
        <v>44654</v>
      </c>
      <c r="B5" s="32">
        <v>218716</v>
      </c>
      <c r="C5" s="32"/>
      <c r="D5" s="32">
        <v>258224</v>
      </c>
      <c r="E5" s="32">
        <v>266512</v>
      </c>
      <c r="F5" s="32">
        <v>67128</v>
      </c>
      <c r="G5" s="32">
        <v>118112</v>
      </c>
      <c r="H5" s="32">
        <v>62098</v>
      </c>
      <c r="I5" s="32">
        <v>73220</v>
      </c>
      <c r="J5" s="53">
        <v>22483</v>
      </c>
      <c r="K5" s="32">
        <v>1024</v>
      </c>
      <c r="L5" s="103">
        <v>18682</v>
      </c>
      <c r="M5" s="103">
        <v>27150</v>
      </c>
      <c r="N5" s="103">
        <v>8508</v>
      </c>
      <c r="O5" s="103">
        <v>2032</v>
      </c>
      <c r="P5" s="103">
        <v>30305</v>
      </c>
      <c r="Q5" s="103">
        <v>1533</v>
      </c>
      <c r="R5" s="103">
        <v>7985</v>
      </c>
    </row>
    <row r="6" spans="1:21" x14ac:dyDescent="0.25">
      <c r="A6" s="52">
        <v>44655</v>
      </c>
      <c r="B6" s="32">
        <v>218925</v>
      </c>
      <c r="C6" s="32"/>
      <c r="D6" s="32">
        <v>258405</v>
      </c>
      <c r="E6" s="32">
        <v>266581</v>
      </c>
      <c r="F6" s="32">
        <v>67129</v>
      </c>
      <c r="G6" s="32">
        <v>118140</v>
      </c>
      <c r="H6" s="32">
        <v>62098</v>
      </c>
      <c r="I6" s="32">
        <v>73278</v>
      </c>
      <c r="J6" s="54">
        <v>22489</v>
      </c>
      <c r="K6" s="54">
        <v>1024</v>
      </c>
      <c r="L6" s="103">
        <v>18685</v>
      </c>
      <c r="M6" s="103">
        <v>27155</v>
      </c>
      <c r="N6" s="103">
        <v>8511</v>
      </c>
      <c r="O6" s="103">
        <v>2033</v>
      </c>
      <c r="P6" s="103">
        <v>30334</v>
      </c>
      <c r="Q6" s="103">
        <v>1534</v>
      </c>
      <c r="R6" s="103">
        <v>7993</v>
      </c>
    </row>
    <row r="7" spans="1:21" x14ac:dyDescent="0.25">
      <c r="A7" s="52">
        <v>44656</v>
      </c>
      <c r="B7" s="54">
        <v>219094</v>
      </c>
      <c r="C7" s="32"/>
      <c r="D7" s="103">
        <v>258624</v>
      </c>
      <c r="E7" s="103">
        <v>266645</v>
      </c>
      <c r="F7" s="103">
        <v>67130</v>
      </c>
      <c r="G7" s="103">
        <v>118170</v>
      </c>
      <c r="H7" s="103">
        <v>62098</v>
      </c>
      <c r="I7" s="103">
        <v>73340</v>
      </c>
      <c r="J7" s="103">
        <v>22495</v>
      </c>
      <c r="K7" s="103">
        <v>1024</v>
      </c>
      <c r="L7" s="103">
        <v>18687</v>
      </c>
      <c r="M7" s="103">
        <v>27160</v>
      </c>
      <c r="N7" s="103">
        <v>8515</v>
      </c>
      <c r="O7" s="103">
        <v>2034</v>
      </c>
      <c r="P7" s="103">
        <v>30365</v>
      </c>
      <c r="Q7" s="103">
        <v>1534</v>
      </c>
      <c r="R7" s="103">
        <v>8001</v>
      </c>
    </row>
    <row r="8" spans="1:21" x14ac:dyDescent="0.25">
      <c r="A8" s="52">
        <v>44657</v>
      </c>
      <c r="B8" s="32">
        <v>219308</v>
      </c>
      <c r="C8" s="54"/>
      <c r="D8" s="103">
        <v>258830</v>
      </c>
      <c r="E8" s="103">
        <v>266703</v>
      </c>
      <c r="F8" s="103">
        <v>67131</v>
      </c>
      <c r="G8" s="103">
        <v>118200</v>
      </c>
      <c r="H8" s="103">
        <v>62098</v>
      </c>
      <c r="I8" s="103">
        <v>73393</v>
      </c>
      <c r="J8" s="103">
        <v>22501</v>
      </c>
      <c r="K8" s="103">
        <v>1024</v>
      </c>
      <c r="L8" s="103">
        <v>18690</v>
      </c>
      <c r="M8" s="103">
        <v>27165</v>
      </c>
      <c r="N8" s="103">
        <v>8515</v>
      </c>
      <c r="O8" s="103">
        <v>2037</v>
      </c>
      <c r="P8" s="103">
        <v>30393</v>
      </c>
      <c r="Q8" s="103">
        <v>1540</v>
      </c>
      <c r="R8" s="103">
        <v>8011</v>
      </c>
    </row>
    <row r="9" spans="1:21" x14ac:dyDescent="0.25">
      <c r="A9" s="52">
        <v>44658</v>
      </c>
      <c r="B9" s="54">
        <v>219502</v>
      </c>
      <c r="C9" s="32"/>
      <c r="D9" s="103">
        <v>259009</v>
      </c>
      <c r="E9" s="103">
        <v>266767</v>
      </c>
      <c r="F9" s="103">
        <v>67132</v>
      </c>
      <c r="G9" s="103">
        <v>118228</v>
      </c>
      <c r="H9" s="103">
        <v>62098</v>
      </c>
      <c r="I9" s="103">
        <v>73443</v>
      </c>
      <c r="J9" s="103">
        <v>22507</v>
      </c>
      <c r="K9" s="103">
        <v>1024</v>
      </c>
      <c r="L9" s="103">
        <v>18693</v>
      </c>
      <c r="M9" s="103">
        <v>27170</v>
      </c>
      <c r="N9" s="103">
        <v>8517</v>
      </c>
      <c r="O9" s="103">
        <v>2038</v>
      </c>
      <c r="P9" s="103">
        <v>30417</v>
      </c>
      <c r="Q9" s="103">
        <v>1541</v>
      </c>
      <c r="R9" s="103">
        <v>8017</v>
      </c>
    </row>
    <row r="10" spans="1:21" x14ac:dyDescent="0.25">
      <c r="A10" s="52">
        <v>44659</v>
      </c>
      <c r="B10" s="32">
        <v>219738</v>
      </c>
      <c r="C10" s="54"/>
      <c r="D10" s="103">
        <v>259205</v>
      </c>
      <c r="E10" s="103">
        <v>266833</v>
      </c>
      <c r="F10" s="103">
        <v>67133</v>
      </c>
      <c r="G10" s="103">
        <v>118255</v>
      </c>
      <c r="H10" s="103">
        <v>62098</v>
      </c>
      <c r="I10" s="103">
        <v>73499</v>
      </c>
      <c r="J10" s="103">
        <v>22513</v>
      </c>
      <c r="K10" s="103">
        <v>1024</v>
      </c>
      <c r="L10" s="103">
        <v>18697</v>
      </c>
      <c r="M10" s="103">
        <v>27175</v>
      </c>
      <c r="N10" s="103">
        <v>8522</v>
      </c>
      <c r="O10" s="103">
        <v>2039</v>
      </c>
      <c r="P10" s="103">
        <v>30422</v>
      </c>
      <c r="Q10" s="103">
        <v>1546</v>
      </c>
      <c r="R10" s="103">
        <v>8032</v>
      </c>
    </row>
    <row r="11" spans="1:21" x14ac:dyDescent="0.25">
      <c r="A11" s="52">
        <v>44660</v>
      </c>
      <c r="B11" s="54">
        <v>219950</v>
      </c>
      <c r="C11" s="32"/>
      <c r="D11" s="103">
        <v>259387</v>
      </c>
      <c r="E11" s="103">
        <v>266891</v>
      </c>
      <c r="F11" s="103">
        <v>67141</v>
      </c>
      <c r="G11" s="103">
        <v>118286</v>
      </c>
      <c r="H11" s="103">
        <v>62098</v>
      </c>
      <c r="I11" s="103">
        <v>73544</v>
      </c>
      <c r="J11" s="103">
        <v>22519</v>
      </c>
      <c r="K11" s="103">
        <v>1024</v>
      </c>
      <c r="L11" s="103">
        <v>18700</v>
      </c>
      <c r="M11" s="103">
        <v>27178</v>
      </c>
      <c r="N11" s="103">
        <v>8523</v>
      </c>
      <c r="O11" s="103">
        <v>2040</v>
      </c>
      <c r="P11" s="103">
        <v>30459</v>
      </c>
      <c r="Q11" s="103">
        <v>1548</v>
      </c>
      <c r="R11" s="103">
        <v>8039</v>
      </c>
    </row>
    <row r="12" spans="1:21" x14ac:dyDescent="0.25">
      <c r="A12" s="52">
        <v>44661</v>
      </c>
      <c r="B12" s="32">
        <v>220174</v>
      </c>
      <c r="C12" s="54"/>
      <c r="D12" s="103">
        <v>259657</v>
      </c>
      <c r="E12" s="103">
        <v>266951</v>
      </c>
      <c r="F12" s="103">
        <v>67142</v>
      </c>
      <c r="G12" s="103">
        <v>118315</v>
      </c>
      <c r="H12" s="103">
        <v>62098</v>
      </c>
      <c r="I12" s="103">
        <v>73618</v>
      </c>
      <c r="J12" s="103">
        <v>22526</v>
      </c>
      <c r="K12" s="103">
        <v>1024</v>
      </c>
      <c r="L12" s="103">
        <v>18703</v>
      </c>
      <c r="M12" s="103">
        <v>27185</v>
      </c>
      <c r="N12" s="103">
        <v>8526</v>
      </c>
      <c r="O12" s="103">
        <v>2042</v>
      </c>
      <c r="P12" s="103">
        <v>30495</v>
      </c>
      <c r="Q12" s="103">
        <v>1553</v>
      </c>
      <c r="R12" s="103">
        <v>8049</v>
      </c>
    </row>
    <row r="13" spans="1:21" x14ac:dyDescent="0.25">
      <c r="A13" s="52">
        <v>44662</v>
      </c>
      <c r="B13" s="54">
        <v>220393</v>
      </c>
      <c r="C13" s="32"/>
      <c r="D13" s="103">
        <v>259852</v>
      </c>
      <c r="E13" s="103">
        <v>267016</v>
      </c>
      <c r="F13" s="103">
        <v>67145</v>
      </c>
      <c r="G13" s="103">
        <v>118344</v>
      </c>
      <c r="H13" s="103">
        <v>62098</v>
      </c>
      <c r="I13" s="103">
        <v>73679</v>
      </c>
      <c r="J13" s="103">
        <v>22532</v>
      </c>
      <c r="K13" s="103">
        <v>1024</v>
      </c>
      <c r="L13" s="103">
        <v>18706</v>
      </c>
      <c r="M13" s="103">
        <v>27191</v>
      </c>
      <c r="N13" s="103">
        <v>8528</v>
      </c>
      <c r="O13" s="103">
        <v>2044</v>
      </c>
      <c r="P13" s="103">
        <v>30495</v>
      </c>
      <c r="Q13" s="103">
        <v>1555</v>
      </c>
      <c r="R13" s="103">
        <v>8059</v>
      </c>
    </row>
    <row r="14" spans="1:21" x14ac:dyDescent="0.25">
      <c r="A14" s="52">
        <v>44663</v>
      </c>
      <c r="B14" s="32">
        <v>220628</v>
      </c>
      <c r="C14" s="32"/>
      <c r="D14" s="103">
        <v>260098</v>
      </c>
      <c r="E14" s="103">
        <v>267083</v>
      </c>
      <c r="F14" s="103">
        <v>67146</v>
      </c>
      <c r="G14" s="103">
        <v>118376</v>
      </c>
      <c r="H14" s="103">
        <v>62098</v>
      </c>
      <c r="I14" s="103">
        <v>73728</v>
      </c>
      <c r="J14" s="103">
        <v>22538</v>
      </c>
      <c r="K14" s="103">
        <v>1024</v>
      </c>
      <c r="L14" s="103">
        <v>18709</v>
      </c>
      <c r="M14" s="103">
        <v>27190</v>
      </c>
      <c r="N14" s="103">
        <v>8532</v>
      </c>
      <c r="O14" s="103">
        <v>2046</v>
      </c>
      <c r="P14" s="103">
        <v>30548</v>
      </c>
      <c r="Q14" s="103">
        <v>1565</v>
      </c>
      <c r="R14" s="103">
        <v>8067</v>
      </c>
    </row>
    <row r="15" spans="1:21" x14ac:dyDescent="0.25">
      <c r="A15" s="52">
        <v>44664</v>
      </c>
      <c r="B15" s="32">
        <v>220854</v>
      </c>
      <c r="C15" s="32"/>
      <c r="D15" s="103">
        <v>260318</v>
      </c>
      <c r="E15" s="103">
        <v>267147</v>
      </c>
      <c r="F15" s="103">
        <v>67147</v>
      </c>
      <c r="G15" s="103">
        <v>118407</v>
      </c>
      <c r="H15" s="103">
        <v>62098</v>
      </c>
      <c r="I15" s="103">
        <v>73785</v>
      </c>
      <c r="J15" s="103">
        <v>22544</v>
      </c>
      <c r="K15" s="103">
        <v>1024</v>
      </c>
      <c r="L15" s="103">
        <v>18712</v>
      </c>
      <c r="M15" s="103">
        <v>27202</v>
      </c>
      <c r="N15" s="103">
        <v>8583</v>
      </c>
      <c r="O15" s="103">
        <v>2047</v>
      </c>
      <c r="P15" s="103">
        <v>30574</v>
      </c>
      <c r="Q15" s="103">
        <v>1563</v>
      </c>
      <c r="R15" s="103">
        <v>8076</v>
      </c>
      <c r="T15" s="101"/>
      <c r="U15" s="101"/>
    </row>
    <row r="16" spans="1:21" x14ac:dyDescent="0.25">
      <c r="A16" s="52">
        <v>44665</v>
      </c>
      <c r="B16" s="32">
        <v>221024</v>
      </c>
      <c r="C16" s="54"/>
      <c r="D16" s="103">
        <v>260516</v>
      </c>
      <c r="E16" s="103">
        <v>267219</v>
      </c>
      <c r="F16" s="103">
        <v>67148</v>
      </c>
      <c r="G16" s="103">
        <v>118444</v>
      </c>
      <c r="H16" s="103">
        <v>62098</v>
      </c>
      <c r="I16" s="103">
        <v>73838</v>
      </c>
      <c r="J16" s="103">
        <v>22552</v>
      </c>
      <c r="K16" s="103">
        <v>1024</v>
      </c>
      <c r="L16" s="103">
        <v>18715</v>
      </c>
      <c r="M16" s="103">
        <v>27209</v>
      </c>
      <c r="N16" s="103">
        <v>8542</v>
      </c>
      <c r="O16" s="103">
        <v>2049</v>
      </c>
      <c r="P16" s="103">
        <v>30602</v>
      </c>
      <c r="Q16" s="103">
        <v>1565</v>
      </c>
      <c r="R16" s="103">
        <v>8083</v>
      </c>
    </row>
    <row r="17" spans="1:22" x14ac:dyDescent="0.25">
      <c r="A17" s="52">
        <v>44666</v>
      </c>
      <c r="B17" s="32">
        <v>221194</v>
      </c>
      <c r="C17" s="32"/>
      <c r="D17" s="103">
        <v>260721</v>
      </c>
      <c r="E17" s="103">
        <v>267284</v>
      </c>
      <c r="F17" s="103">
        <v>67149</v>
      </c>
      <c r="G17" s="103">
        <v>118477</v>
      </c>
      <c r="H17" s="103">
        <v>62098</v>
      </c>
      <c r="I17" s="103">
        <v>73875</v>
      </c>
      <c r="J17" s="103">
        <v>22557</v>
      </c>
      <c r="K17" s="103">
        <v>1024</v>
      </c>
      <c r="L17" s="103">
        <v>18717</v>
      </c>
      <c r="M17" s="103">
        <v>27213</v>
      </c>
      <c r="N17" s="103">
        <v>8545</v>
      </c>
      <c r="O17" s="103">
        <v>2051</v>
      </c>
      <c r="P17" s="103">
        <v>30621</v>
      </c>
      <c r="Q17" s="103">
        <v>1566</v>
      </c>
      <c r="R17" s="103">
        <v>8091</v>
      </c>
    </row>
    <row r="18" spans="1:22" x14ac:dyDescent="0.25">
      <c r="A18" s="52">
        <v>44667</v>
      </c>
      <c r="B18" s="32">
        <v>221378</v>
      </c>
      <c r="C18" s="54"/>
      <c r="D18" s="103">
        <v>260867</v>
      </c>
      <c r="E18" s="103">
        <v>267347</v>
      </c>
      <c r="F18" s="103">
        <v>67150</v>
      </c>
      <c r="G18" s="103">
        <v>118511</v>
      </c>
      <c r="H18" s="103">
        <v>62098</v>
      </c>
      <c r="I18" s="103">
        <v>73907</v>
      </c>
      <c r="J18" s="103">
        <v>22563</v>
      </c>
      <c r="K18" s="103">
        <v>1024</v>
      </c>
      <c r="L18" s="103">
        <v>18722</v>
      </c>
      <c r="M18" s="103">
        <v>27219</v>
      </c>
      <c r="N18" s="103">
        <v>8547</v>
      </c>
      <c r="O18" s="103">
        <v>2054</v>
      </c>
      <c r="P18" s="103">
        <v>30630</v>
      </c>
      <c r="Q18" s="103">
        <v>1567</v>
      </c>
      <c r="R18" s="103">
        <v>8097</v>
      </c>
      <c r="U18" s="101"/>
    </row>
    <row r="19" spans="1:22" x14ac:dyDescent="0.25">
      <c r="A19" s="52">
        <v>44668</v>
      </c>
      <c r="B19" s="32">
        <v>221589</v>
      </c>
      <c r="C19" s="32"/>
      <c r="D19" s="103">
        <v>261017</v>
      </c>
      <c r="E19" s="103">
        <v>267414</v>
      </c>
      <c r="F19" s="103">
        <v>67151</v>
      </c>
      <c r="G19" s="103">
        <v>118548</v>
      </c>
      <c r="H19" s="103">
        <v>62098</v>
      </c>
      <c r="I19" s="103">
        <v>73963</v>
      </c>
      <c r="J19" s="103">
        <v>22569</v>
      </c>
      <c r="K19" s="103">
        <v>1024</v>
      </c>
      <c r="L19" s="103">
        <v>18723</v>
      </c>
      <c r="M19" s="103">
        <v>27224</v>
      </c>
      <c r="N19" s="103">
        <v>8550</v>
      </c>
      <c r="O19" s="103">
        <v>2056</v>
      </c>
      <c r="P19" s="103">
        <v>30661</v>
      </c>
      <c r="Q19" s="103">
        <v>1572</v>
      </c>
      <c r="R19" s="103">
        <v>8106</v>
      </c>
    </row>
    <row r="20" spans="1:22" x14ac:dyDescent="0.25">
      <c r="A20" s="52">
        <v>44669</v>
      </c>
      <c r="B20" s="32">
        <v>221835</v>
      </c>
      <c r="C20" s="54"/>
      <c r="D20" s="104">
        <v>261216</v>
      </c>
      <c r="E20" s="103">
        <v>267485</v>
      </c>
      <c r="F20" s="103">
        <v>67132</v>
      </c>
      <c r="G20" s="103">
        <v>118605</v>
      </c>
      <c r="H20" s="103">
        <v>62098</v>
      </c>
      <c r="I20" s="103">
        <v>74031</v>
      </c>
      <c r="J20" s="103">
        <v>22581</v>
      </c>
      <c r="K20" s="103">
        <v>1024</v>
      </c>
      <c r="L20" s="103">
        <v>18726</v>
      </c>
      <c r="M20" s="103">
        <v>27231</v>
      </c>
      <c r="N20" s="103">
        <v>8552</v>
      </c>
      <c r="O20" s="103">
        <v>2057</v>
      </c>
      <c r="P20" s="103">
        <v>30703</v>
      </c>
      <c r="Q20" s="103">
        <v>1575</v>
      </c>
      <c r="R20" s="103">
        <v>7</v>
      </c>
    </row>
    <row r="21" spans="1:22" x14ac:dyDescent="0.25">
      <c r="A21" s="52">
        <v>44670</v>
      </c>
      <c r="B21" s="32">
        <v>222041</v>
      </c>
      <c r="C21" s="32"/>
      <c r="D21" s="103">
        <v>261382</v>
      </c>
      <c r="E21" s="103">
        <v>267548</v>
      </c>
      <c r="F21" s="103">
        <v>67153</v>
      </c>
      <c r="G21" s="103">
        <v>118632</v>
      </c>
      <c r="H21" s="103">
        <v>62098</v>
      </c>
      <c r="I21" s="103">
        <v>74086</v>
      </c>
      <c r="J21" s="103">
        <v>22587</v>
      </c>
      <c r="K21" s="103">
        <v>1024</v>
      </c>
      <c r="L21" s="103">
        <v>18729</v>
      </c>
      <c r="M21" s="103">
        <v>27238</v>
      </c>
      <c r="N21" s="103">
        <v>8555</v>
      </c>
      <c r="O21" s="103">
        <v>2059</v>
      </c>
      <c r="P21" s="103">
        <v>30734</v>
      </c>
      <c r="Q21" s="103">
        <v>1577</v>
      </c>
      <c r="R21" s="103">
        <v>12</v>
      </c>
    </row>
    <row r="22" spans="1:22" x14ac:dyDescent="0.25">
      <c r="A22" s="52">
        <v>44671</v>
      </c>
      <c r="B22" s="32">
        <v>222256</v>
      </c>
      <c r="C22" s="54"/>
      <c r="D22" s="103">
        <v>261569</v>
      </c>
      <c r="E22" s="103">
        <v>267612</v>
      </c>
      <c r="F22" s="103">
        <v>67154</v>
      </c>
      <c r="G22" s="103">
        <v>118632</v>
      </c>
      <c r="H22" s="103">
        <v>62098</v>
      </c>
      <c r="I22" s="103">
        <v>74150</v>
      </c>
      <c r="J22" s="103">
        <v>22587</v>
      </c>
      <c r="K22" s="103">
        <v>1024</v>
      </c>
      <c r="L22" s="103">
        <v>18733</v>
      </c>
      <c r="M22" s="103">
        <v>27246</v>
      </c>
      <c r="N22" s="103">
        <v>8558</v>
      </c>
      <c r="O22" s="103">
        <v>2060</v>
      </c>
      <c r="P22" s="103">
        <v>30775</v>
      </c>
      <c r="Q22" s="103">
        <v>1588</v>
      </c>
      <c r="R22" s="103">
        <v>15</v>
      </c>
    </row>
    <row r="23" spans="1:22" x14ac:dyDescent="0.25">
      <c r="A23" s="52">
        <v>44672</v>
      </c>
      <c r="B23" s="32">
        <v>222453</v>
      </c>
      <c r="C23" s="32"/>
      <c r="D23" s="103">
        <v>261738</v>
      </c>
      <c r="E23" s="103">
        <v>267676</v>
      </c>
      <c r="F23" s="103">
        <v>67155</v>
      </c>
      <c r="G23" s="103">
        <v>118657</v>
      </c>
      <c r="H23" s="103">
        <v>62098</v>
      </c>
      <c r="I23" s="103">
        <v>74193</v>
      </c>
      <c r="J23" s="103">
        <v>22592</v>
      </c>
      <c r="K23" s="103">
        <v>1024</v>
      </c>
      <c r="L23" s="103">
        <v>18735</v>
      </c>
      <c r="M23" s="103">
        <v>27251</v>
      </c>
      <c r="N23" s="103">
        <v>8560</v>
      </c>
      <c r="O23" s="103">
        <v>2062</v>
      </c>
      <c r="P23" s="103">
        <v>30796</v>
      </c>
      <c r="Q23" s="103">
        <v>1594</v>
      </c>
      <c r="R23" s="103">
        <v>19</v>
      </c>
      <c r="S23" s="10" t="s">
        <v>126</v>
      </c>
    </row>
    <row r="24" spans="1:22" x14ac:dyDescent="0.25">
      <c r="A24" s="52">
        <v>44673</v>
      </c>
      <c r="B24" s="32">
        <v>222655</v>
      </c>
      <c r="C24" s="54"/>
      <c r="D24" s="103">
        <v>261738</v>
      </c>
      <c r="E24" s="103">
        <v>267746</v>
      </c>
      <c r="F24" s="103">
        <v>67155</v>
      </c>
      <c r="G24" s="103">
        <v>118681</v>
      </c>
      <c r="H24" s="103">
        <v>62098</v>
      </c>
      <c r="I24" s="103">
        <v>74236</v>
      </c>
      <c r="J24" s="103">
        <v>22598</v>
      </c>
      <c r="K24" s="103">
        <v>1024</v>
      </c>
      <c r="L24" s="103">
        <v>18738</v>
      </c>
      <c r="M24" s="103">
        <v>27257</v>
      </c>
      <c r="N24" s="103">
        <v>8561</v>
      </c>
      <c r="O24" s="103">
        <v>2065</v>
      </c>
      <c r="P24" s="103">
        <v>30821</v>
      </c>
      <c r="Q24" s="103">
        <v>1599</v>
      </c>
      <c r="R24" s="103">
        <v>25</v>
      </c>
    </row>
    <row r="25" spans="1:22" x14ac:dyDescent="0.25">
      <c r="A25" s="52">
        <v>44674</v>
      </c>
      <c r="B25" s="32">
        <v>222823</v>
      </c>
      <c r="C25" s="32"/>
      <c r="D25" s="103">
        <v>262054</v>
      </c>
      <c r="E25" s="103">
        <v>267813</v>
      </c>
      <c r="F25" s="103">
        <v>67157</v>
      </c>
      <c r="G25" s="103">
        <v>118704</v>
      </c>
      <c r="H25" s="103">
        <v>62098</v>
      </c>
      <c r="I25" s="103">
        <v>74254</v>
      </c>
      <c r="J25" s="103">
        <v>22604</v>
      </c>
      <c r="K25" s="103">
        <v>1024</v>
      </c>
      <c r="L25" s="103">
        <v>18741</v>
      </c>
      <c r="M25" s="103">
        <v>27267</v>
      </c>
      <c r="N25" s="103">
        <v>8562</v>
      </c>
      <c r="O25" s="103">
        <v>2067</v>
      </c>
      <c r="P25" s="103">
        <v>30821</v>
      </c>
      <c r="Q25" s="103">
        <v>1600</v>
      </c>
      <c r="R25" s="103">
        <v>26</v>
      </c>
    </row>
    <row r="26" spans="1:22" x14ac:dyDescent="0.25">
      <c r="A26" s="52">
        <v>44675</v>
      </c>
      <c r="B26" s="32">
        <v>222974</v>
      </c>
      <c r="C26" s="54"/>
      <c r="D26" s="103">
        <v>262192</v>
      </c>
      <c r="E26" s="103">
        <v>267884</v>
      </c>
      <c r="F26" s="103">
        <v>67157</v>
      </c>
      <c r="G26" s="103">
        <v>118725</v>
      </c>
      <c r="H26" s="103">
        <v>62098</v>
      </c>
      <c r="I26" s="103">
        <v>74283</v>
      </c>
      <c r="J26" s="103">
        <v>22609</v>
      </c>
      <c r="K26" s="103">
        <v>1024</v>
      </c>
      <c r="L26" s="103">
        <v>18744</v>
      </c>
      <c r="M26" s="103">
        <v>27281</v>
      </c>
      <c r="N26" s="103">
        <v>8563</v>
      </c>
      <c r="O26" s="103">
        <v>2068</v>
      </c>
      <c r="P26" s="103">
        <v>30832</v>
      </c>
      <c r="Q26" s="103">
        <v>1605</v>
      </c>
      <c r="R26" s="103">
        <v>31</v>
      </c>
    </row>
    <row r="27" spans="1:22" x14ac:dyDescent="0.25">
      <c r="A27" s="52">
        <v>44676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44677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44678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44679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44680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44681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44682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W20" sqref="W2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4" t="s">
        <v>31</v>
      </c>
      <c r="B2" s="155" t="s">
        <v>108</v>
      </c>
      <c r="C2" s="155" t="s">
        <v>109</v>
      </c>
      <c r="D2" s="155"/>
      <c r="E2" s="156" t="s">
        <v>97</v>
      </c>
      <c r="F2" s="153"/>
      <c r="G2" s="150" t="s">
        <v>112</v>
      </c>
      <c r="H2" s="153"/>
      <c r="I2" s="150" t="s">
        <v>110</v>
      </c>
      <c r="J2" s="153"/>
      <c r="K2" s="150" t="s">
        <v>111</v>
      </c>
      <c r="L2" s="153"/>
      <c r="M2" s="150" t="s">
        <v>107</v>
      </c>
      <c r="N2" s="153"/>
      <c r="O2" s="150" t="s">
        <v>106</v>
      </c>
      <c r="P2" s="153"/>
      <c r="Q2" s="150" t="s">
        <v>113</v>
      </c>
      <c r="R2" s="153"/>
      <c r="S2" s="150" t="s">
        <v>114</v>
      </c>
      <c r="T2" s="153"/>
      <c r="U2" s="150" t="s">
        <v>115</v>
      </c>
      <c r="V2" s="153"/>
      <c r="W2" s="150" t="s">
        <v>99</v>
      </c>
      <c r="X2" s="151"/>
      <c r="Y2" s="152" t="s">
        <v>52</v>
      </c>
      <c r="Z2" s="152"/>
    </row>
    <row r="3" spans="1:26" ht="30" x14ac:dyDescent="0.35">
      <c r="A3" s="154"/>
      <c r="B3" s="155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44652</v>
      </c>
      <c r="B4" s="63">
        <f>TOTAL!I2</f>
        <v>393</v>
      </c>
      <c r="C4" s="64">
        <f>('Water Reading'!B4-'Water Reading'!B3)+('Water Reading'!C4-'Water Reading'!C3)</f>
        <v>173</v>
      </c>
      <c r="D4" s="65">
        <f>C4/B4</f>
        <v>0.44020356234096691</v>
      </c>
      <c r="E4" s="83">
        <f>'Water Reading'!H4-'Water Reading'!H3</f>
        <v>39</v>
      </c>
      <c r="F4" s="84">
        <f>E4/C4</f>
        <v>0.22543352601156069</v>
      </c>
      <c r="G4" s="88">
        <f>('Water Reading'!D4-'Water Reading'!D3)-('Water Reading'!R4-'Water Reading'!R3)-('Water Reading'!Q4-'Water Reading'!Q3)</f>
        <v>-7018</v>
      </c>
      <c r="H4" s="84">
        <f>G4/C4</f>
        <v>-40.566473988439306</v>
      </c>
      <c r="I4" s="85">
        <f>'Water Reading'!P4-'Water Reading'!P3</f>
        <v>17</v>
      </c>
      <c r="J4" s="66">
        <f>I4/C4</f>
        <v>9.8265895953757232E-2</v>
      </c>
      <c r="K4" s="86">
        <f>('Water Reading'!I4-'Water Reading'!I3)-('Water Reading'!P4-'Water Reading'!P3)</f>
        <v>27</v>
      </c>
      <c r="L4" s="66">
        <f>K4/C4</f>
        <v>0.15606936416184972</v>
      </c>
      <c r="M4" s="85">
        <f>'Water Reading'!R4-'Water Reading'!R3</f>
        <v>1</v>
      </c>
      <c r="N4" s="87">
        <f>M4/C4</f>
        <v>5.7803468208092483E-3</v>
      </c>
      <c r="O4" s="85">
        <f>'Water Reading'!Q4-'Water Reading'!Q3</f>
        <v>1</v>
      </c>
      <c r="P4" s="92">
        <f>O4/C4</f>
        <v>5.7803468208092483E-3</v>
      </c>
      <c r="Q4" s="86">
        <f>'Water Reading'!N4-'Water Reading'!N3</f>
        <v>2</v>
      </c>
      <c r="R4" s="93">
        <f>Q4/C4</f>
        <v>1.1560693641618497E-2</v>
      </c>
      <c r="S4" s="85">
        <v>87</v>
      </c>
      <c r="T4" s="93">
        <f>S4/C4</f>
        <v>0.50289017341040465</v>
      </c>
      <c r="U4" s="85">
        <f>'Water Reading'!O4-'Water Reading'!O3</f>
        <v>1</v>
      </c>
      <c r="V4" s="93">
        <f>U4/C4</f>
        <v>5.7803468208092483E-3</v>
      </c>
      <c r="W4" s="85">
        <f>'Water Reading'!R4-'Water Reading'!R3</f>
        <v>1</v>
      </c>
      <c r="X4" s="93">
        <f>W4/C4</f>
        <v>5.7803468208092483E-3</v>
      </c>
      <c r="Y4" s="64">
        <f t="shared" ref="Y4:Y34" si="0">E4+I4+K4+M4+O4+G4+Q4+S4+U4+W4</f>
        <v>-6842</v>
      </c>
      <c r="Z4" s="65">
        <f t="shared" ref="Z4:Z35" si="1">Y4/B4</f>
        <v>-17.409669211195929</v>
      </c>
    </row>
    <row r="5" spans="1:26" x14ac:dyDescent="0.25">
      <c r="A5" s="8">
        <f>'Water Reading'!A4</f>
        <v>44653</v>
      </c>
      <c r="B5" s="63">
        <f>TOTAL!I3</f>
        <v>372</v>
      </c>
      <c r="C5" s="64">
        <f>('Water Reading'!B5-'Water Reading'!B4)+('Water Reading'!C5-'Water Reading'!C4)</f>
        <v>205</v>
      </c>
      <c r="D5" s="65">
        <f t="shared" ref="D5:D34" si="2">C5/B5</f>
        <v>0.55107526881720426</v>
      </c>
      <c r="E5" s="83">
        <f>'Water Reading'!H5-'Water Reading'!H4</f>
        <v>9</v>
      </c>
      <c r="F5" s="84">
        <f t="shared" ref="F5:F34" si="3">E5/C5</f>
        <v>4.3902439024390241E-2</v>
      </c>
      <c r="G5" s="88">
        <f>('Water Reading'!D5-'Water Reading'!D4)-('Water Reading'!R5-'Water Reading'!R4)-('Water Reading'!Q5-'Water Reading'!Q4)</f>
        <v>7385</v>
      </c>
      <c r="H5" s="84">
        <f t="shared" ref="H5:H34" si="4">G5/C5</f>
        <v>36.024390243902438</v>
      </c>
      <c r="I5" s="85">
        <f>'Water Reading'!P5-'Water Reading'!P4</f>
        <v>17</v>
      </c>
      <c r="J5" s="66">
        <f t="shared" ref="J5:J34" si="5">I5/C5</f>
        <v>8.2926829268292687E-2</v>
      </c>
      <c r="K5" s="86">
        <f>('Water Reading'!I5-'Water Reading'!I4)-('Water Reading'!P5-'Water Reading'!P4)</f>
        <v>24</v>
      </c>
      <c r="L5" s="66">
        <f t="shared" ref="L5:L34" si="6">K5/C5</f>
        <v>0.11707317073170732</v>
      </c>
      <c r="M5" s="85">
        <f>'Water Reading'!R5-'Water Reading'!R4</f>
        <v>9</v>
      </c>
      <c r="N5" s="87">
        <f t="shared" ref="N5:N34" si="7">M5/C5</f>
        <v>4.3902439024390241E-2</v>
      </c>
      <c r="O5" s="85">
        <f>'Water Reading'!Q5-'Water Reading'!Q4</f>
        <v>4</v>
      </c>
      <c r="P5" s="92">
        <f t="shared" ref="P5:P34" si="8">O5/C5</f>
        <v>1.9512195121951219E-2</v>
      </c>
      <c r="Q5" s="86">
        <f>'Water Reading'!N5-'Water Reading'!N4</f>
        <v>4</v>
      </c>
      <c r="R5" s="93">
        <f t="shared" ref="R5:R34" si="9">Q5/C5</f>
        <v>1.9512195121951219E-2</v>
      </c>
      <c r="S5" s="85">
        <f>'Water Reading'!E5-'Water Reading'!E4</f>
        <v>55</v>
      </c>
      <c r="T5" s="93">
        <f t="shared" ref="T5:T34" si="10">S5/C5</f>
        <v>0.26829268292682928</v>
      </c>
      <c r="U5" s="85">
        <f>'Water Reading'!O5-'Water Reading'!O4</f>
        <v>1</v>
      </c>
      <c r="V5" s="93">
        <f t="shared" ref="V5:V34" si="11">U5/C5</f>
        <v>4.8780487804878049E-3</v>
      </c>
      <c r="W5" s="85">
        <f>'Water Reading'!R5-'Water Reading'!R4</f>
        <v>9</v>
      </c>
      <c r="X5" s="93">
        <f t="shared" ref="X5:X34" si="12">W5/C5</f>
        <v>4.3902439024390241E-2</v>
      </c>
      <c r="Y5" s="64">
        <f t="shared" si="0"/>
        <v>7517</v>
      </c>
      <c r="Z5" s="65">
        <f t="shared" si="1"/>
        <v>20.206989247311828</v>
      </c>
    </row>
    <row r="6" spans="1:26" x14ac:dyDescent="0.25">
      <c r="A6" s="8">
        <f>'Water Reading'!A5</f>
        <v>44654</v>
      </c>
      <c r="B6" s="63">
        <f>TOTAL!I4</f>
        <v>373</v>
      </c>
      <c r="C6" s="64">
        <f>('Water Reading'!B6-'Water Reading'!B5)+('Water Reading'!C6-'Water Reading'!C5)</f>
        <v>209</v>
      </c>
      <c r="D6" s="65">
        <f t="shared" si="2"/>
        <v>0.56032171581769441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172</v>
      </c>
      <c r="H6" s="84">
        <f t="shared" si="4"/>
        <v>0.82296650717703346</v>
      </c>
      <c r="I6" s="85">
        <f>'Water Reading'!P6-'Water Reading'!P5</f>
        <v>29</v>
      </c>
      <c r="J6" s="66">
        <f t="shared" si="5"/>
        <v>0.13875598086124402</v>
      </c>
      <c r="K6" s="86">
        <f>('Water Reading'!I6-'Water Reading'!I5)-('Water Reading'!P6-'Water Reading'!P5)</f>
        <v>29</v>
      </c>
      <c r="L6" s="66">
        <f t="shared" si="6"/>
        <v>0.13875598086124402</v>
      </c>
      <c r="M6" s="85">
        <f>'Water Reading'!R6-'Water Reading'!R5</f>
        <v>8</v>
      </c>
      <c r="N6" s="87">
        <f t="shared" si="7"/>
        <v>3.8277511961722487E-2</v>
      </c>
      <c r="O6" s="85">
        <f>'Water Reading'!Q6-'Water Reading'!Q5</f>
        <v>1</v>
      </c>
      <c r="P6" s="92">
        <f t="shared" si="8"/>
        <v>4.7846889952153108E-3</v>
      </c>
      <c r="Q6" s="86">
        <f>'Water Reading'!N6-'Water Reading'!N5</f>
        <v>3</v>
      </c>
      <c r="R6" s="93">
        <f t="shared" si="9"/>
        <v>1.4354066985645933E-2</v>
      </c>
      <c r="S6" s="85">
        <f>'Water Reading'!E6-'Water Reading'!E5</f>
        <v>69</v>
      </c>
      <c r="T6" s="93">
        <f t="shared" si="10"/>
        <v>0.33014354066985646</v>
      </c>
      <c r="U6" s="85">
        <f>'Water Reading'!O6-'Water Reading'!O5</f>
        <v>1</v>
      </c>
      <c r="V6" s="93">
        <f t="shared" si="11"/>
        <v>4.7846889952153108E-3</v>
      </c>
      <c r="W6" s="85">
        <f>'Water Reading'!R6-'Water Reading'!R5</f>
        <v>8</v>
      </c>
      <c r="X6" s="93">
        <f t="shared" si="12"/>
        <v>3.8277511961722487E-2</v>
      </c>
      <c r="Y6" s="64">
        <f t="shared" si="0"/>
        <v>320</v>
      </c>
      <c r="Z6" s="65">
        <f t="shared" si="1"/>
        <v>0.85790884718498661</v>
      </c>
    </row>
    <row r="7" spans="1:26" x14ac:dyDescent="0.25">
      <c r="A7" s="8">
        <f>'Water Reading'!A6</f>
        <v>44655</v>
      </c>
      <c r="B7" s="63">
        <f>TOTAL!I5</f>
        <v>394</v>
      </c>
      <c r="C7" s="64">
        <f>('Water Reading'!B7-'Water Reading'!B6)+('Water Reading'!C7-'Water Reading'!C6)</f>
        <v>169</v>
      </c>
      <c r="D7" s="65">
        <f t="shared" si="2"/>
        <v>0.42893401015228427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211</v>
      </c>
      <c r="H7" s="84">
        <f t="shared" si="4"/>
        <v>1.2485207100591715</v>
      </c>
      <c r="I7" s="85">
        <f>'Water Reading'!P7-'Water Reading'!P6</f>
        <v>31</v>
      </c>
      <c r="J7" s="66">
        <f t="shared" si="5"/>
        <v>0.18343195266272189</v>
      </c>
      <c r="K7" s="86">
        <f>('Water Reading'!I7-'Water Reading'!I6)-('Water Reading'!P7-'Water Reading'!P6)</f>
        <v>31</v>
      </c>
      <c r="L7" s="66">
        <f t="shared" si="6"/>
        <v>0.18343195266272189</v>
      </c>
      <c r="M7" s="85">
        <f>'Water Reading'!R7-'Water Reading'!R6</f>
        <v>8</v>
      </c>
      <c r="N7" s="87">
        <f t="shared" si="7"/>
        <v>4.7337278106508875E-2</v>
      </c>
      <c r="O7" s="85">
        <f>'Water Reading'!Q7-'Water Reading'!Q6</f>
        <v>0</v>
      </c>
      <c r="P7" s="92">
        <f t="shared" si="8"/>
        <v>0</v>
      </c>
      <c r="Q7" s="86">
        <f>'Water Reading'!N7-'Water Reading'!N6</f>
        <v>4</v>
      </c>
      <c r="R7" s="93">
        <f t="shared" si="9"/>
        <v>2.3668639053254437E-2</v>
      </c>
      <c r="S7" s="85">
        <f>'Water Reading'!E7-'Water Reading'!E6</f>
        <v>64</v>
      </c>
      <c r="T7" s="93">
        <f t="shared" si="10"/>
        <v>0.378698224852071</v>
      </c>
      <c r="U7" s="85">
        <f>'Water Reading'!O7-'Water Reading'!O6</f>
        <v>1</v>
      </c>
      <c r="V7" s="93">
        <f t="shared" si="11"/>
        <v>5.9171597633136093E-3</v>
      </c>
      <c r="W7" s="85">
        <f>'Water Reading'!R7-'Water Reading'!R6</f>
        <v>8</v>
      </c>
      <c r="X7" s="93">
        <f t="shared" si="12"/>
        <v>4.7337278106508875E-2</v>
      </c>
      <c r="Y7" s="64">
        <f t="shared" si="0"/>
        <v>358</v>
      </c>
      <c r="Z7" s="65">
        <f t="shared" si="1"/>
        <v>0.90862944162436543</v>
      </c>
    </row>
    <row r="8" spans="1:26" x14ac:dyDescent="0.25">
      <c r="A8" s="8">
        <f>'Water Reading'!A7</f>
        <v>44656</v>
      </c>
      <c r="B8" s="63">
        <f>TOTAL!I6</f>
        <v>364</v>
      </c>
      <c r="C8" s="64">
        <f>('Water Reading'!B8-'Water Reading'!B7)+('Water Reading'!C8-'Water Reading'!C7)</f>
        <v>214</v>
      </c>
      <c r="D8" s="65">
        <f t="shared" si="2"/>
        <v>0.58791208791208793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190</v>
      </c>
      <c r="H8" s="84">
        <f t="shared" si="4"/>
        <v>0.88785046728971961</v>
      </c>
      <c r="I8" s="85">
        <f>'Water Reading'!P8-'Water Reading'!P7</f>
        <v>28</v>
      </c>
      <c r="J8" s="66">
        <f t="shared" si="5"/>
        <v>0.13084112149532709</v>
      </c>
      <c r="K8" s="86">
        <f>('Water Reading'!I8-'Water Reading'!I7)-('Water Reading'!P8-'Water Reading'!P7)</f>
        <v>25</v>
      </c>
      <c r="L8" s="66">
        <f t="shared" si="6"/>
        <v>0.11682242990654206</v>
      </c>
      <c r="M8" s="85">
        <f>'Water Reading'!R8-'Water Reading'!R7</f>
        <v>10</v>
      </c>
      <c r="N8" s="87">
        <f t="shared" si="7"/>
        <v>4.6728971962616821E-2</v>
      </c>
      <c r="O8" s="85">
        <f>'Water Reading'!Q8-'Water Reading'!Q7</f>
        <v>6</v>
      </c>
      <c r="P8" s="92">
        <f t="shared" si="8"/>
        <v>2.8037383177570093E-2</v>
      </c>
      <c r="Q8" s="86">
        <f>'Water Reading'!N8-'Water Reading'!N7</f>
        <v>0</v>
      </c>
      <c r="R8" s="93">
        <f t="shared" si="9"/>
        <v>0</v>
      </c>
      <c r="S8" s="85">
        <f>'Water Reading'!E8-'Water Reading'!E7</f>
        <v>58</v>
      </c>
      <c r="T8" s="93">
        <f t="shared" si="10"/>
        <v>0.27102803738317754</v>
      </c>
      <c r="U8" s="85">
        <f>'Water Reading'!O8-'Water Reading'!O7</f>
        <v>3</v>
      </c>
      <c r="V8" s="93">
        <f t="shared" si="11"/>
        <v>1.4018691588785047E-2</v>
      </c>
      <c r="W8" s="85">
        <f>'Water Reading'!R8-'Water Reading'!R7</f>
        <v>10</v>
      </c>
      <c r="X8" s="93">
        <f t="shared" si="12"/>
        <v>4.6728971962616821E-2</v>
      </c>
      <c r="Y8" s="64">
        <f t="shared" si="0"/>
        <v>330</v>
      </c>
      <c r="Z8" s="65">
        <f t="shared" si="1"/>
        <v>0.90659340659340659</v>
      </c>
    </row>
    <row r="9" spans="1:26" x14ac:dyDescent="0.25">
      <c r="A9" s="8">
        <f>'Water Reading'!A8</f>
        <v>44657</v>
      </c>
      <c r="B9" s="63">
        <f>TOTAL!I7</f>
        <v>395</v>
      </c>
      <c r="C9" s="64">
        <f>('Water Reading'!B9-'Water Reading'!B8)+('Water Reading'!C9-'Water Reading'!C8)</f>
        <v>194</v>
      </c>
      <c r="D9" s="65">
        <f t="shared" si="2"/>
        <v>0.49113924050632912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172</v>
      </c>
      <c r="H9" s="84">
        <f t="shared" si="4"/>
        <v>0.88659793814432986</v>
      </c>
      <c r="I9" s="85">
        <f>'Water Reading'!P9-'Water Reading'!P8</f>
        <v>24</v>
      </c>
      <c r="J9" s="66">
        <f t="shared" si="5"/>
        <v>0.12371134020618557</v>
      </c>
      <c r="K9" s="86">
        <f>('Water Reading'!I9-'Water Reading'!I8)-('Water Reading'!P9-'Water Reading'!P8)</f>
        <v>26</v>
      </c>
      <c r="L9" s="66">
        <f t="shared" si="6"/>
        <v>0.13402061855670103</v>
      </c>
      <c r="M9" s="85">
        <f>'Water Reading'!R9-'Water Reading'!R8</f>
        <v>6</v>
      </c>
      <c r="N9" s="87">
        <f t="shared" si="7"/>
        <v>3.0927835051546393E-2</v>
      </c>
      <c r="O9" s="85">
        <f>'Water Reading'!Q9-'Water Reading'!Q8</f>
        <v>1</v>
      </c>
      <c r="P9" s="92">
        <f t="shared" si="8"/>
        <v>5.1546391752577319E-3</v>
      </c>
      <c r="Q9" s="86">
        <f>'Water Reading'!N9-'Water Reading'!N8</f>
        <v>2</v>
      </c>
      <c r="R9" s="93">
        <f t="shared" si="9"/>
        <v>1.0309278350515464E-2</v>
      </c>
      <c r="S9" s="85">
        <f>'Water Reading'!E9-'Water Reading'!E8</f>
        <v>64</v>
      </c>
      <c r="T9" s="93">
        <f t="shared" si="10"/>
        <v>0.32989690721649484</v>
      </c>
      <c r="U9" s="85">
        <f>'Water Reading'!O9-'Water Reading'!O8</f>
        <v>1</v>
      </c>
      <c r="V9" s="93">
        <f t="shared" si="11"/>
        <v>5.1546391752577319E-3</v>
      </c>
      <c r="W9" s="85">
        <f>'Water Reading'!R9-'Water Reading'!R8</f>
        <v>6</v>
      </c>
      <c r="X9" s="93">
        <f t="shared" si="12"/>
        <v>3.0927835051546393E-2</v>
      </c>
      <c r="Y9" s="64">
        <f t="shared" si="0"/>
        <v>302</v>
      </c>
      <c r="Z9" s="65">
        <f t="shared" si="1"/>
        <v>0.76455696202531642</v>
      </c>
    </row>
    <row r="10" spans="1:26" x14ac:dyDescent="0.25">
      <c r="A10" s="8">
        <f>'Water Reading'!A9</f>
        <v>44658</v>
      </c>
      <c r="B10" s="63">
        <f>TOTAL!I8</f>
        <v>379</v>
      </c>
      <c r="C10" s="64">
        <f>('Water Reading'!B10-'Water Reading'!B9)+('Water Reading'!C10-'Water Reading'!C9)</f>
        <v>236</v>
      </c>
      <c r="D10" s="65">
        <f t="shared" si="2"/>
        <v>0.62269129287598945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176</v>
      </c>
      <c r="H10" s="84">
        <f t="shared" si="4"/>
        <v>0.74576271186440679</v>
      </c>
      <c r="I10" s="85">
        <f>'Water Reading'!P10-'Water Reading'!P9</f>
        <v>5</v>
      </c>
      <c r="J10" s="66">
        <f t="shared" si="5"/>
        <v>2.1186440677966101E-2</v>
      </c>
      <c r="K10" s="86">
        <f>('Water Reading'!I10-'Water Reading'!I9)-('Water Reading'!P10-'Water Reading'!P9)</f>
        <v>51</v>
      </c>
      <c r="L10" s="66">
        <f t="shared" si="6"/>
        <v>0.21610169491525424</v>
      </c>
      <c r="M10" s="85">
        <f>'Water Reading'!R10-'Water Reading'!R9</f>
        <v>15</v>
      </c>
      <c r="N10" s="87">
        <f t="shared" si="7"/>
        <v>6.3559322033898302E-2</v>
      </c>
      <c r="O10" s="85">
        <f>'Water Reading'!Q10-'Water Reading'!Q9</f>
        <v>5</v>
      </c>
      <c r="P10" s="92">
        <f t="shared" si="8"/>
        <v>2.1186440677966101E-2</v>
      </c>
      <c r="Q10" s="86">
        <f>'Water Reading'!N10-'Water Reading'!N9</f>
        <v>5</v>
      </c>
      <c r="R10" s="93">
        <f t="shared" si="9"/>
        <v>2.1186440677966101E-2</v>
      </c>
      <c r="S10" s="85">
        <f>'Water Reading'!E10-'Water Reading'!E9</f>
        <v>66</v>
      </c>
      <c r="T10" s="93">
        <f t="shared" si="10"/>
        <v>0.27966101694915252</v>
      </c>
      <c r="U10" s="85">
        <f>'Water Reading'!O10-'Water Reading'!O9</f>
        <v>1</v>
      </c>
      <c r="V10" s="93">
        <f t="shared" si="11"/>
        <v>4.2372881355932203E-3</v>
      </c>
      <c r="W10" s="85">
        <f>'Water Reading'!R10-'Water Reading'!R9</f>
        <v>15</v>
      </c>
      <c r="X10" s="93">
        <f t="shared" si="12"/>
        <v>6.3559322033898302E-2</v>
      </c>
      <c r="Y10" s="64">
        <f t="shared" si="0"/>
        <v>339</v>
      </c>
      <c r="Z10" s="65">
        <f t="shared" si="1"/>
        <v>0.89445910290237463</v>
      </c>
    </row>
    <row r="11" spans="1:26" x14ac:dyDescent="0.25">
      <c r="A11" s="8">
        <f>'Water Reading'!A10</f>
        <v>44659</v>
      </c>
      <c r="B11" s="63">
        <f>TOTAL!I9</f>
        <v>360</v>
      </c>
      <c r="C11" s="64">
        <f>('Water Reading'!B11-'Water Reading'!B10)+('Water Reading'!C11-'Water Reading'!C10)</f>
        <v>212</v>
      </c>
      <c r="D11" s="65">
        <f t="shared" si="2"/>
        <v>0.58888888888888891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173</v>
      </c>
      <c r="H11" s="84">
        <f t="shared" si="4"/>
        <v>0.81603773584905659</v>
      </c>
      <c r="I11" s="85">
        <f>'Water Reading'!P11-'Water Reading'!P10</f>
        <v>37</v>
      </c>
      <c r="J11" s="66">
        <f t="shared" si="5"/>
        <v>0.17452830188679244</v>
      </c>
      <c r="K11" s="86">
        <f>('Water Reading'!I11-'Water Reading'!I10)-('Water Reading'!P11-'Water Reading'!P10)</f>
        <v>8</v>
      </c>
      <c r="L11" s="66">
        <f t="shared" si="6"/>
        <v>3.7735849056603772E-2</v>
      </c>
      <c r="M11" s="85">
        <f>'Water Reading'!R11-'Water Reading'!R10</f>
        <v>7</v>
      </c>
      <c r="N11" s="87">
        <f t="shared" si="7"/>
        <v>3.3018867924528301E-2</v>
      </c>
      <c r="O11" s="85">
        <f>'Water Reading'!Q11-'Water Reading'!Q10</f>
        <v>2</v>
      </c>
      <c r="P11" s="92">
        <f t="shared" si="8"/>
        <v>9.433962264150943E-3</v>
      </c>
      <c r="Q11" s="86">
        <f>'Water Reading'!N11-'Water Reading'!N10</f>
        <v>1</v>
      </c>
      <c r="R11" s="93">
        <f t="shared" si="9"/>
        <v>4.7169811320754715E-3</v>
      </c>
      <c r="S11" s="85">
        <f>'Water Reading'!E11-'Water Reading'!E10</f>
        <v>58</v>
      </c>
      <c r="T11" s="93">
        <f t="shared" si="10"/>
        <v>0.27358490566037735</v>
      </c>
      <c r="U11" s="85">
        <f>'Water Reading'!O11-'Water Reading'!O10</f>
        <v>1</v>
      </c>
      <c r="V11" s="93">
        <f t="shared" si="11"/>
        <v>4.7169811320754715E-3</v>
      </c>
      <c r="W11" s="85">
        <f>'Water Reading'!R11-'Water Reading'!R10</f>
        <v>7</v>
      </c>
      <c r="X11" s="93">
        <f t="shared" si="12"/>
        <v>3.3018867924528301E-2</v>
      </c>
      <c r="Y11" s="64">
        <f t="shared" si="0"/>
        <v>294</v>
      </c>
      <c r="Z11" s="65">
        <f t="shared" si="1"/>
        <v>0.81666666666666665</v>
      </c>
    </row>
    <row r="12" spans="1:26" x14ac:dyDescent="0.25">
      <c r="A12" s="8">
        <f>'Water Reading'!A11</f>
        <v>44660</v>
      </c>
      <c r="B12" s="63">
        <f>TOTAL!I10</f>
        <v>398</v>
      </c>
      <c r="C12" s="64">
        <f>('Water Reading'!B12-'Water Reading'!B11)+('Water Reading'!C12-'Water Reading'!C11)</f>
        <v>224</v>
      </c>
      <c r="D12" s="65">
        <f t="shared" si="2"/>
        <v>0.56281407035175879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255</v>
      </c>
      <c r="H12" s="84">
        <f t="shared" si="4"/>
        <v>1.1383928571428572</v>
      </c>
      <c r="I12" s="85">
        <f>'Water Reading'!P12-'Water Reading'!P11</f>
        <v>36</v>
      </c>
      <c r="J12" s="66">
        <f t="shared" si="5"/>
        <v>0.16071428571428573</v>
      </c>
      <c r="K12" s="86">
        <f>('Water Reading'!I12-'Water Reading'!I11)-('Water Reading'!P12-'Water Reading'!P11)</f>
        <v>38</v>
      </c>
      <c r="L12" s="66">
        <f t="shared" si="6"/>
        <v>0.16964285714285715</v>
      </c>
      <c r="M12" s="85">
        <f>'Water Reading'!R12-'Water Reading'!R11</f>
        <v>10</v>
      </c>
      <c r="N12" s="87">
        <f t="shared" si="7"/>
        <v>4.4642857142857144E-2</v>
      </c>
      <c r="O12" s="85">
        <f>'Water Reading'!Q12-'Water Reading'!Q11</f>
        <v>5</v>
      </c>
      <c r="P12" s="92">
        <f t="shared" si="8"/>
        <v>2.2321428571428572E-2</v>
      </c>
      <c r="Q12" s="86">
        <f>'Water Reading'!N12-'Water Reading'!N11</f>
        <v>3</v>
      </c>
      <c r="R12" s="93">
        <f t="shared" si="9"/>
        <v>1.3392857142857142E-2</v>
      </c>
      <c r="S12" s="85">
        <f>'Water Reading'!E12-'Water Reading'!E11</f>
        <v>60</v>
      </c>
      <c r="T12" s="93">
        <f t="shared" si="10"/>
        <v>0.26785714285714285</v>
      </c>
      <c r="U12" s="85">
        <f>'Water Reading'!O12-'Water Reading'!O11</f>
        <v>2</v>
      </c>
      <c r="V12" s="93">
        <f t="shared" si="11"/>
        <v>8.9285714285714281E-3</v>
      </c>
      <c r="W12" s="85">
        <f>'Water Reading'!R12-'Water Reading'!R11</f>
        <v>10</v>
      </c>
      <c r="X12" s="93">
        <f t="shared" si="12"/>
        <v>4.4642857142857144E-2</v>
      </c>
      <c r="Y12" s="64">
        <f t="shared" si="0"/>
        <v>419</v>
      </c>
      <c r="Z12" s="65">
        <f t="shared" si="1"/>
        <v>1.0527638190954773</v>
      </c>
    </row>
    <row r="13" spans="1:26" x14ac:dyDescent="0.25">
      <c r="A13" s="8">
        <f>'Water Reading'!A12</f>
        <v>44661</v>
      </c>
      <c r="B13" s="63">
        <f>TOTAL!I11</f>
        <v>481</v>
      </c>
      <c r="C13" s="64">
        <f>('Water Reading'!B13-'Water Reading'!B12)+('Water Reading'!C13-'Water Reading'!C12)</f>
        <v>219</v>
      </c>
      <c r="D13" s="65">
        <f t="shared" si="2"/>
        <v>0.45530145530145533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183</v>
      </c>
      <c r="H13" s="84">
        <f t="shared" si="4"/>
        <v>0.83561643835616439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61</v>
      </c>
      <c r="L13" s="66">
        <f t="shared" si="6"/>
        <v>0.27853881278538811</v>
      </c>
      <c r="M13" s="85">
        <f>'Water Reading'!R13-'Water Reading'!R12</f>
        <v>10</v>
      </c>
      <c r="N13" s="87">
        <f t="shared" si="7"/>
        <v>4.5662100456621002E-2</v>
      </c>
      <c r="O13" s="85">
        <f>'Water Reading'!Q13-'Water Reading'!Q12</f>
        <v>2</v>
      </c>
      <c r="P13" s="92">
        <f t="shared" si="8"/>
        <v>9.1324200913242004E-3</v>
      </c>
      <c r="Q13" s="86">
        <f>'Water Reading'!N13-'Water Reading'!N12</f>
        <v>2</v>
      </c>
      <c r="R13" s="93">
        <f t="shared" si="9"/>
        <v>9.1324200913242004E-3</v>
      </c>
      <c r="S13" s="85">
        <f>'Water Reading'!E13-'Water Reading'!E12</f>
        <v>65</v>
      </c>
      <c r="T13" s="93">
        <f t="shared" si="10"/>
        <v>0.29680365296803651</v>
      </c>
      <c r="U13" s="85">
        <f>'Water Reading'!O13-'Water Reading'!O12</f>
        <v>2</v>
      </c>
      <c r="V13" s="93">
        <f t="shared" si="11"/>
        <v>9.1324200913242004E-3</v>
      </c>
      <c r="W13" s="85">
        <f>'Water Reading'!R13-'Water Reading'!R12</f>
        <v>10</v>
      </c>
      <c r="X13" s="93">
        <f t="shared" si="12"/>
        <v>4.5662100456621002E-2</v>
      </c>
      <c r="Y13" s="64">
        <f t="shared" si="0"/>
        <v>335</v>
      </c>
      <c r="Z13" s="65">
        <f t="shared" si="1"/>
        <v>0.69646569646569645</v>
      </c>
    </row>
    <row r="14" spans="1:26" x14ac:dyDescent="0.25">
      <c r="A14" s="8">
        <f>'Water Reading'!A13</f>
        <v>44662</v>
      </c>
      <c r="B14" s="63">
        <f>TOTAL!I12</f>
        <v>415</v>
      </c>
      <c r="C14" s="64">
        <f>('Water Reading'!B14-'Water Reading'!B13)+('Water Reading'!C14-'Water Reading'!C13)</f>
        <v>235</v>
      </c>
      <c r="D14" s="65">
        <f t="shared" si="2"/>
        <v>0.5662650602409639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228</v>
      </c>
      <c r="H14" s="84">
        <f t="shared" si="4"/>
        <v>0.97021276595744677</v>
      </c>
      <c r="I14" s="85">
        <f>'Water Reading'!P14-'Water Reading'!P13</f>
        <v>53</v>
      </c>
      <c r="J14" s="66">
        <f t="shared" si="5"/>
        <v>0.22553191489361701</v>
      </c>
      <c r="K14" s="86">
        <f>('Water Reading'!I14-'Water Reading'!I13)-('Water Reading'!P14-'Water Reading'!P13)</f>
        <v>-4</v>
      </c>
      <c r="L14" s="66">
        <f t="shared" si="6"/>
        <v>-1.7021276595744681E-2</v>
      </c>
      <c r="M14" s="85">
        <f>'Water Reading'!R14-'Water Reading'!R13</f>
        <v>8</v>
      </c>
      <c r="N14" s="87">
        <f t="shared" si="7"/>
        <v>3.4042553191489362E-2</v>
      </c>
      <c r="O14" s="85">
        <f>'Water Reading'!Q14-'Water Reading'!Q13</f>
        <v>10</v>
      </c>
      <c r="P14" s="92">
        <f t="shared" si="8"/>
        <v>4.2553191489361701E-2</v>
      </c>
      <c r="Q14" s="86">
        <f>'Water Reading'!N14-'Water Reading'!N13</f>
        <v>4</v>
      </c>
      <c r="R14" s="93">
        <f t="shared" si="9"/>
        <v>1.7021276595744681E-2</v>
      </c>
      <c r="S14" s="85">
        <f>'Water Reading'!E14-'Water Reading'!E13</f>
        <v>67</v>
      </c>
      <c r="T14" s="93">
        <f t="shared" si="10"/>
        <v>0.28510638297872343</v>
      </c>
      <c r="U14" s="85">
        <f>'Water Reading'!O14-'Water Reading'!O13</f>
        <v>2</v>
      </c>
      <c r="V14" s="93">
        <f t="shared" si="11"/>
        <v>8.5106382978723406E-3</v>
      </c>
      <c r="W14" s="85">
        <f>'Water Reading'!R14-'Water Reading'!R13</f>
        <v>8</v>
      </c>
      <c r="X14" s="93">
        <f t="shared" si="12"/>
        <v>3.4042553191489362E-2</v>
      </c>
      <c r="Y14" s="64">
        <f t="shared" si="0"/>
        <v>376</v>
      </c>
      <c r="Z14" s="65">
        <f t="shared" si="1"/>
        <v>0.90602409638554215</v>
      </c>
    </row>
    <row r="15" spans="1:26" x14ac:dyDescent="0.25">
      <c r="A15" s="8">
        <f>'Water Reading'!A14</f>
        <v>44663</v>
      </c>
      <c r="B15" s="63">
        <f>TOTAL!I13</f>
        <v>228</v>
      </c>
      <c r="C15" s="64">
        <f>('Water Reading'!B15-'Water Reading'!B14)+('Water Reading'!C15-'Water Reading'!C14)</f>
        <v>226</v>
      </c>
      <c r="D15" s="65">
        <f t="shared" si="2"/>
        <v>0.99122807017543857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213</v>
      </c>
      <c r="H15" s="84">
        <f t="shared" si="4"/>
        <v>0.94247787610619471</v>
      </c>
      <c r="I15" s="85">
        <f>'Water Reading'!P15-'Water Reading'!P14</f>
        <v>26</v>
      </c>
      <c r="J15" s="66">
        <f t="shared" si="5"/>
        <v>0.11504424778761062</v>
      </c>
      <c r="K15" s="86">
        <f>('Water Reading'!I15-'Water Reading'!I14)-('Water Reading'!P15-'Water Reading'!P14)</f>
        <v>31</v>
      </c>
      <c r="L15" s="66">
        <f t="shared" si="6"/>
        <v>0.13716814159292035</v>
      </c>
      <c r="M15" s="85">
        <f>'Water Reading'!R15-'Water Reading'!R14</f>
        <v>9</v>
      </c>
      <c r="N15" s="87">
        <f t="shared" si="7"/>
        <v>3.9823008849557522E-2</v>
      </c>
      <c r="O15" s="85">
        <f>'Water Reading'!Q15-'Water Reading'!Q14</f>
        <v>-2</v>
      </c>
      <c r="P15" s="92">
        <f t="shared" si="8"/>
        <v>-8.8495575221238937E-3</v>
      </c>
      <c r="Q15" s="86">
        <f>'Water Reading'!N15-'Water Reading'!N14</f>
        <v>51</v>
      </c>
      <c r="R15" s="93">
        <f t="shared" si="9"/>
        <v>0.22566371681415928</v>
      </c>
      <c r="S15" s="85">
        <f>'Water Reading'!E15-'Water Reading'!E14</f>
        <v>64</v>
      </c>
      <c r="T15" s="93">
        <f t="shared" si="10"/>
        <v>0.2831858407079646</v>
      </c>
      <c r="U15" s="85">
        <f>'Water Reading'!O15-'Water Reading'!O14</f>
        <v>1</v>
      </c>
      <c r="V15" s="93">
        <f t="shared" si="11"/>
        <v>4.4247787610619468E-3</v>
      </c>
      <c r="W15" s="85">
        <f>'Water Reading'!R15-'Water Reading'!R14</f>
        <v>9</v>
      </c>
      <c r="X15" s="93">
        <f t="shared" si="12"/>
        <v>3.9823008849557522E-2</v>
      </c>
      <c r="Y15" s="64">
        <f t="shared" si="0"/>
        <v>402</v>
      </c>
      <c r="Z15" s="65">
        <f t="shared" si="1"/>
        <v>1.763157894736842</v>
      </c>
    </row>
    <row r="16" spans="1:26" x14ac:dyDescent="0.25">
      <c r="A16" s="8">
        <f>'Water Reading'!A15</f>
        <v>44664</v>
      </c>
      <c r="B16" s="63">
        <f>TOTAL!I14</f>
        <v>335</v>
      </c>
      <c r="C16" s="64">
        <f>('Water Reading'!B16-'Water Reading'!B15)+('Water Reading'!C16-'Water Reading'!C15)</f>
        <v>170</v>
      </c>
      <c r="D16" s="65">
        <f t="shared" si="2"/>
        <v>0.5074626865671642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189</v>
      </c>
      <c r="H16" s="84">
        <f t="shared" si="4"/>
        <v>1.111764705882353</v>
      </c>
      <c r="I16" s="85">
        <f>'Water Reading'!P16-'Water Reading'!P15</f>
        <v>28</v>
      </c>
      <c r="J16" s="66">
        <f t="shared" si="5"/>
        <v>0.16470588235294117</v>
      </c>
      <c r="K16" s="86">
        <f>('Water Reading'!I16-'Water Reading'!I15)-('Water Reading'!P16-'Water Reading'!P15)</f>
        <v>25</v>
      </c>
      <c r="L16" s="66">
        <f t="shared" si="6"/>
        <v>0.14705882352941177</v>
      </c>
      <c r="M16" s="85">
        <f>'Water Reading'!R16-'Water Reading'!R15</f>
        <v>7</v>
      </c>
      <c r="N16" s="87">
        <f t="shared" si="7"/>
        <v>4.1176470588235294E-2</v>
      </c>
      <c r="O16" s="85">
        <f>'Water Reading'!Q16-'Water Reading'!Q15</f>
        <v>2</v>
      </c>
      <c r="P16" s="92">
        <f t="shared" si="8"/>
        <v>1.1764705882352941E-2</v>
      </c>
      <c r="Q16" s="86">
        <f>'Water Reading'!N16-'Water Reading'!N15</f>
        <v>-41</v>
      </c>
      <c r="R16" s="93">
        <f t="shared" si="9"/>
        <v>-0.2411764705882353</v>
      </c>
      <c r="S16" s="85">
        <f>'Water Reading'!E16-'Water Reading'!E15</f>
        <v>72</v>
      </c>
      <c r="T16" s="93">
        <f t="shared" si="10"/>
        <v>0.42352941176470588</v>
      </c>
      <c r="U16" s="85">
        <f>'Water Reading'!O16-'Water Reading'!O15</f>
        <v>2</v>
      </c>
      <c r="V16" s="93">
        <f t="shared" si="11"/>
        <v>1.1764705882352941E-2</v>
      </c>
      <c r="W16" s="85">
        <f>'Water Reading'!R16-'Water Reading'!R15</f>
        <v>7</v>
      </c>
      <c r="X16" s="93">
        <f t="shared" si="12"/>
        <v>4.1176470588235294E-2</v>
      </c>
      <c r="Y16" s="64">
        <f t="shared" si="0"/>
        <v>291</v>
      </c>
      <c r="Z16" s="65">
        <f t="shared" si="1"/>
        <v>0.86865671641791042</v>
      </c>
    </row>
    <row r="17" spans="1:26" x14ac:dyDescent="0.25">
      <c r="A17" s="8">
        <f>'Water Reading'!A16</f>
        <v>44665</v>
      </c>
      <c r="B17" s="63">
        <f>TOTAL!I15</f>
        <v>349</v>
      </c>
      <c r="C17" s="64">
        <f>('Water Reading'!B17-'Water Reading'!B16)+('Water Reading'!C17-'Water Reading'!C16)</f>
        <v>170</v>
      </c>
      <c r="D17" s="65">
        <f t="shared" si="2"/>
        <v>0.4871060171919771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196</v>
      </c>
      <c r="H17" s="84">
        <f t="shared" si="4"/>
        <v>1.1529411764705881</v>
      </c>
      <c r="I17" s="85">
        <f>'Water Reading'!P17-'Water Reading'!P16</f>
        <v>19</v>
      </c>
      <c r="J17" s="66">
        <f t="shared" si="5"/>
        <v>0.11176470588235295</v>
      </c>
      <c r="K17" s="86">
        <f>('Water Reading'!I17-'Water Reading'!I16)-('Water Reading'!P17-'Water Reading'!P16)</f>
        <v>18</v>
      </c>
      <c r="L17" s="66">
        <f t="shared" si="6"/>
        <v>0.10588235294117647</v>
      </c>
      <c r="M17" s="85">
        <f>'Water Reading'!R17-'Water Reading'!R16</f>
        <v>8</v>
      </c>
      <c r="N17" s="87">
        <f t="shared" si="7"/>
        <v>4.7058823529411764E-2</v>
      </c>
      <c r="O17" s="85">
        <f>'Water Reading'!Q17-'Water Reading'!Q16</f>
        <v>1</v>
      </c>
      <c r="P17" s="92">
        <f t="shared" si="8"/>
        <v>5.8823529411764705E-3</v>
      </c>
      <c r="Q17" s="86">
        <f>'Water Reading'!N17-'Water Reading'!N16</f>
        <v>3</v>
      </c>
      <c r="R17" s="93">
        <f t="shared" si="9"/>
        <v>1.7647058823529412E-2</v>
      </c>
      <c r="S17" s="85">
        <f>'Water Reading'!E17-'Water Reading'!E16</f>
        <v>65</v>
      </c>
      <c r="T17" s="93">
        <f t="shared" si="10"/>
        <v>0.38235294117647056</v>
      </c>
      <c r="U17" s="85">
        <f>'Water Reading'!O17-'Water Reading'!O16</f>
        <v>2</v>
      </c>
      <c r="V17" s="93">
        <f t="shared" si="11"/>
        <v>1.1764705882352941E-2</v>
      </c>
      <c r="W17" s="85">
        <f>'Water Reading'!R17-'Water Reading'!R16</f>
        <v>8</v>
      </c>
      <c r="X17" s="93">
        <f t="shared" si="12"/>
        <v>4.7058823529411764E-2</v>
      </c>
      <c r="Y17" s="64">
        <f t="shared" si="0"/>
        <v>320</v>
      </c>
      <c r="Z17" s="65">
        <f t="shared" si="1"/>
        <v>0.91690544412607455</v>
      </c>
    </row>
    <row r="18" spans="1:26" x14ac:dyDescent="0.25">
      <c r="A18" s="8">
        <f>'Water Reading'!A17</f>
        <v>44666</v>
      </c>
      <c r="B18" s="63">
        <f>TOTAL!I16</f>
        <v>366</v>
      </c>
      <c r="C18" s="64">
        <f>('Water Reading'!B18-'Water Reading'!B17)+('Water Reading'!C18-'Water Reading'!C17)</f>
        <v>184</v>
      </c>
      <c r="D18" s="65">
        <f t="shared" si="2"/>
        <v>0.50273224043715847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139</v>
      </c>
      <c r="H18" s="84">
        <f t="shared" si="4"/>
        <v>0.75543478260869568</v>
      </c>
      <c r="I18" s="85">
        <f>'Water Reading'!P18-'Water Reading'!P17</f>
        <v>9</v>
      </c>
      <c r="J18" s="66">
        <f t="shared" si="5"/>
        <v>4.8913043478260872E-2</v>
      </c>
      <c r="K18" s="86">
        <f>('Water Reading'!I18-'Water Reading'!I17)-('Water Reading'!P18-'Water Reading'!P17)</f>
        <v>23</v>
      </c>
      <c r="L18" s="66">
        <f t="shared" si="6"/>
        <v>0.125</v>
      </c>
      <c r="M18" s="85">
        <f>'Water Reading'!R18-'Water Reading'!R17</f>
        <v>6</v>
      </c>
      <c r="N18" s="87">
        <f t="shared" si="7"/>
        <v>3.2608695652173912E-2</v>
      </c>
      <c r="O18" s="85">
        <f>'Water Reading'!Q18-'Water Reading'!Q17</f>
        <v>1</v>
      </c>
      <c r="P18" s="92">
        <f t="shared" si="8"/>
        <v>5.434782608695652E-3</v>
      </c>
      <c r="Q18" s="86">
        <f>'Water Reading'!N18-'Water Reading'!N17</f>
        <v>2</v>
      </c>
      <c r="R18" s="93">
        <f t="shared" si="9"/>
        <v>1.0869565217391304E-2</v>
      </c>
      <c r="S18" s="85">
        <f>'Water Reading'!E18-'Water Reading'!E17</f>
        <v>63</v>
      </c>
      <c r="T18" s="93">
        <f t="shared" si="10"/>
        <v>0.34239130434782611</v>
      </c>
      <c r="U18" s="85">
        <f>'Water Reading'!O18-'Water Reading'!O17</f>
        <v>3</v>
      </c>
      <c r="V18" s="93">
        <f t="shared" si="11"/>
        <v>1.6304347826086956E-2</v>
      </c>
      <c r="W18" s="85">
        <f>'Water Reading'!R18-'Water Reading'!R17</f>
        <v>6</v>
      </c>
      <c r="X18" s="93">
        <f t="shared" si="12"/>
        <v>3.2608695652173912E-2</v>
      </c>
      <c r="Y18" s="64">
        <f t="shared" si="0"/>
        <v>252</v>
      </c>
      <c r="Z18" s="65">
        <f t="shared" si="1"/>
        <v>0.68852459016393441</v>
      </c>
    </row>
    <row r="19" spans="1:26" x14ac:dyDescent="0.25">
      <c r="A19" s="8">
        <f>'Water Reading'!A18</f>
        <v>44667</v>
      </c>
      <c r="B19" s="63">
        <f>TOTAL!I17</f>
        <v>308</v>
      </c>
      <c r="C19" s="64">
        <f>('Water Reading'!B19-'Water Reading'!B18)+('Water Reading'!C19-'Water Reading'!C18)</f>
        <v>211</v>
      </c>
      <c r="D19" s="65">
        <f t="shared" si="2"/>
        <v>0.68506493506493504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136</v>
      </c>
      <c r="H19" s="84">
        <f t="shared" si="4"/>
        <v>0.64454976303317535</v>
      </c>
      <c r="I19" s="85">
        <f>'Water Reading'!P19-'Water Reading'!P18</f>
        <v>31</v>
      </c>
      <c r="J19" s="66">
        <f t="shared" si="5"/>
        <v>0.14691943127962084</v>
      </c>
      <c r="K19" s="86">
        <f>('Water Reading'!I19-'Water Reading'!I18)-('Water Reading'!P19-'Water Reading'!P18)</f>
        <v>25</v>
      </c>
      <c r="L19" s="66">
        <f t="shared" si="6"/>
        <v>0.11848341232227488</v>
      </c>
      <c r="M19" s="85">
        <f>'Water Reading'!R19-'Water Reading'!R18</f>
        <v>9</v>
      </c>
      <c r="N19" s="87">
        <f t="shared" si="7"/>
        <v>4.2654028436018961E-2</v>
      </c>
      <c r="O19" s="85">
        <f>'Water Reading'!Q19-'Water Reading'!Q18</f>
        <v>5</v>
      </c>
      <c r="P19" s="92">
        <f t="shared" si="8"/>
        <v>2.3696682464454975E-2</v>
      </c>
      <c r="Q19" s="86">
        <f>'Water Reading'!N19-'Water Reading'!N18</f>
        <v>3</v>
      </c>
      <c r="R19" s="93">
        <f t="shared" si="9"/>
        <v>1.4218009478672985E-2</v>
      </c>
      <c r="S19" s="85">
        <f>'Water Reading'!E19-'Water Reading'!E18</f>
        <v>67</v>
      </c>
      <c r="T19" s="93">
        <f t="shared" si="10"/>
        <v>0.31753554502369669</v>
      </c>
      <c r="U19" s="85">
        <f>'Water Reading'!O19-'Water Reading'!O18</f>
        <v>2</v>
      </c>
      <c r="V19" s="93">
        <f t="shared" si="11"/>
        <v>9.4786729857819912E-3</v>
      </c>
      <c r="W19" s="85">
        <f>'Water Reading'!R19-'Water Reading'!R18</f>
        <v>9</v>
      </c>
      <c r="X19" s="93">
        <f t="shared" si="12"/>
        <v>4.2654028436018961E-2</v>
      </c>
      <c r="Y19" s="64">
        <f t="shared" si="0"/>
        <v>287</v>
      </c>
      <c r="Z19" s="65">
        <f t="shared" si="1"/>
        <v>0.93181818181818177</v>
      </c>
    </row>
    <row r="20" spans="1:26" x14ac:dyDescent="0.25">
      <c r="A20" s="8">
        <f>'Water Reading'!A19</f>
        <v>44668</v>
      </c>
      <c r="B20" s="63">
        <f>TOTAL!I18</f>
        <v>403</v>
      </c>
      <c r="C20" s="64">
        <f>('Water Reading'!B20-'Water Reading'!B19)+('Water Reading'!C20-'Water Reading'!C19)</f>
        <v>246</v>
      </c>
      <c r="D20" s="65">
        <f t="shared" si="2"/>
        <v>0.61042183622828783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Reading'!D19)-('Water Reading'!R20-'Water Reading'!R19)-('Water Reading'!Q20-'Water Reading'!Q19)</f>
        <v>8295</v>
      </c>
      <c r="H20" s="84">
        <f t="shared" si="4"/>
        <v>33.719512195121951</v>
      </c>
      <c r="I20" s="85">
        <f>'Water Reading'!P20-'Water Reading'!P19</f>
        <v>42</v>
      </c>
      <c r="J20" s="66">
        <f t="shared" si="5"/>
        <v>0.17073170731707318</v>
      </c>
      <c r="K20" s="86">
        <f>('Water Reading'!I20-'Water Reading'!I19)-('Water Reading'!P20-'Water Reading'!P19)</f>
        <v>26</v>
      </c>
      <c r="L20" s="66">
        <f t="shared" si="6"/>
        <v>0.10569105691056911</v>
      </c>
      <c r="M20" s="85">
        <f>'Water Reading'!R20-'Water Reading'!R19</f>
        <v>-8099</v>
      </c>
      <c r="N20" s="87">
        <f t="shared" si="7"/>
        <v>-32.922764227642276</v>
      </c>
      <c r="O20" s="85">
        <f>'Water Reading'!Q20-'Water Reading'!Q19</f>
        <v>3</v>
      </c>
      <c r="P20" s="92">
        <f t="shared" si="8"/>
        <v>1.2195121951219513E-2</v>
      </c>
      <c r="Q20" s="86">
        <f>'Water Reading'!N20-'Water Reading'!N19</f>
        <v>2</v>
      </c>
      <c r="R20" s="93">
        <f t="shared" si="9"/>
        <v>8.130081300813009E-3</v>
      </c>
      <c r="S20" s="85">
        <f>'Water Reading'!E20-'Water Reading'!E19</f>
        <v>71</v>
      </c>
      <c r="T20" s="93">
        <f t="shared" si="10"/>
        <v>0.2886178861788618</v>
      </c>
      <c r="U20" s="85">
        <f>'Water Reading'!O20-'Water Reading'!O19</f>
        <v>1</v>
      </c>
      <c r="V20" s="93">
        <f t="shared" si="11"/>
        <v>4.0650406504065045E-3</v>
      </c>
      <c r="W20" s="85">
        <f>'Water Reading'!R20-'Water Reading'!R19</f>
        <v>-8099</v>
      </c>
      <c r="X20" s="93">
        <f t="shared" si="12"/>
        <v>-32.922764227642276</v>
      </c>
      <c r="Y20" s="64">
        <f t="shared" si="0"/>
        <v>-7758</v>
      </c>
      <c r="Z20" s="65">
        <f t="shared" si="1"/>
        <v>-19.250620347394541</v>
      </c>
    </row>
    <row r="21" spans="1:26" x14ac:dyDescent="0.25">
      <c r="A21" s="8">
        <f>'Water Reading'!A20</f>
        <v>44669</v>
      </c>
      <c r="B21" s="63">
        <f>TOTAL!I19</f>
        <v>356</v>
      </c>
      <c r="C21" s="64">
        <f>('Water Reading'!B21-'Water Reading'!B20)+('Water Reading'!C21-'Water Reading'!C20)</f>
        <v>206</v>
      </c>
      <c r="D21" s="65">
        <f t="shared" si="2"/>
        <v>0.5786516853932584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159</v>
      </c>
      <c r="H21" s="84">
        <f t="shared" si="4"/>
        <v>0.77184466019417475</v>
      </c>
      <c r="I21" s="85">
        <f>'Water Reading'!P21-'Water Reading'!P20</f>
        <v>31</v>
      </c>
      <c r="J21" s="66">
        <f t="shared" si="5"/>
        <v>0.15048543689320387</v>
      </c>
      <c r="K21" s="86">
        <f>('Water Reading'!I21-'Water Reading'!I20)-('Water Reading'!P21-'Water Reading'!P20)</f>
        <v>24</v>
      </c>
      <c r="L21" s="66">
        <f t="shared" si="6"/>
        <v>0.11650485436893204</v>
      </c>
      <c r="M21" s="85">
        <f>'Water Reading'!R21-'Water Reading'!R20</f>
        <v>5</v>
      </c>
      <c r="N21" s="87">
        <f t="shared" si="7"/>
        <v>2.4271844660194174E-2</v>
      </c>
      <c r="O21" s="85">
        <f>'Water Reading'!Q21-'Water Reading'!Q20</f>
        <v>2</v>
      </c>
      <c r="P21" s="92">
        <f t="shared" si="8"/>
        <v>9.7087378640776691E-3</v>
      </c>
      <c r="Q21" s="86">
        <f>'Water Reading'!N21-'Water Reading'!N20</f>
        <v>3</v>
      </c>
      <c r="R21" s="93">
        <f t="shared" si="9"/>
        <v>1.4563106796116505E-2</v>
      </c>
      <c r="S21" s="85">
        <f>'Water Reading'!E21-'Water Reading'!E20</f>
        <v>63</v>
      </c>
      <c r="T21" s="93">
        <f t="shared" si="10"/>
        <v>0.30582524271844658</v>
      </c>
      <c r="U21" s="85">
        <f>'Water Reading'!O21-'Water Reading'!O20</f>
        <v>2</v>
      </c>
      <c r="V21" s="93">
        <f t="shared" si="11"/>
        <v>9.7087378640776691E-3</v>
      </c>
      <c r="W21" s="85">
        <f>'Water Reading'!R21-'Water Reading'!R20</f>
        <v>5</v>
      </c>
      <c r="X21" s="93">
        <f t="shared" si="12"/>
        <v>2.4271844660194174E-2</v>
      </c>
      <c r="Y21" s="64">
        <f t="shared" si="0"/>
        <v>294</v>
      </c>
      <c r="Z21" s="65">
        <f t="shared" si="1"/>
        <v>0.8258426966292135</v>
      </c>
    </row>
    <row r="22" spans="1:26" x14ac:dyDescent="0.25">
      <c r="A22" s="8">
        <f>'Water Reading'!A21</f>
        <v>44670</v>
      </c>
      <c r="B22" s="63">
        <f>TOTAL!I20</f>
        <v>378</v>
      </c>
      <c r="C22" s="64">
        <f>('Water Reading'!B22-'Water Reading'!B21)+('Water Reading'!C22-'Water Reading'!C21)</f>
        <v>215</v>
      </c>
      <c r="D22" s="65">
        <f t="shared" si="2"/>
        <v>0.56878306878306883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173</v>
      </c>
      <c r="H22" s="84">
        <f t="shared" si="4"/>
        <v>0.8046511627906977</v>
      </c>
      <c r="I22" s="85">
        <f>'Water Reading'!P22-'Water Reading'!P21</f>
        <v>41</v>
      </c>
      <c r="J22" s="66">
        <f t="shared" si="5"/>
        <v>0.19069767441860466</v>
      </c>
      <c r="K22" s="86">
        <f>('Water Reading'!I22-'Water Reading'!I21)-('Water Reading'!P22-'Water Reading'!P21)</f>
        <v>23</v>
      </c>
      <c r="L22" s="66">
        <f t="shared" si="6"/>
        <v>0.10697674418604651</v>
      </c>
      <c r="M22" s="85">
        <f>'Water Reading'!R22-'Water Reading'!R21</f>
        <v>3</v>
      </c>
      <c r="N22" s="87">
        <f t="shared" si="7"/>
        <v>1.3953488372093023E-2</v>
      </c>
      <c r="O22" s="85">
        <f>'Water Reading'!Q22-'Water Reading'!Q21</f>
        <v>11</v>
      </c>
      <c r="P22" s="92">
        <f t="shared" si="8"/>
        <v>5.1162790697674418E-2</v>
      </c>
      <c r="Q22" s="86">
        <f>'Water Reading'!N22-'Water Reading'!N21</f>
        <v>3</v>
      </c>
      <c r="R22" s="93">
        <f t="shared" si="9"/>
        <v>1.3953488372093023E-2</v>
      </c>
      <c r="S22" s="85">
        <f>'Water Reading'!E22-'Water Reading'!E21</f>
        <v>64</v>
      </c>
      <c r="T22" s="93">
        <f t="shared" si="10"/>
        <v>0.29767441860465116</v>
      </c>
      <c r="U22" s="85">
        <f>'Water Reading'!O22-'Water Reading'!O21</f>
        <v>1</v>
      </c>
      <c r="V22" s="93">
        <f t="shared" si="11"/>
        <v>4.6511627906976744E-3</v>
      </c>
      <c r="W22" s="85">
        <f>'Water Reading'!R22-'Water Reading'!R21</f>
        <v>3</v>
      </c>
      <c r="X22" s="93">
        <f t="shared" si="12"/>
        <v>1.3953488372093023E-2</v>
      </c>
      <c r="Y22" s="64">
        <f t="shared" si="0"/>
        <v>322</v>
      </c>
      <c r="Z22" s="65">
        <f t="shared" si="1"/>
        <v>0.85185185185185186</v>
      </c>
    </row>
    <row r="23" spans="1:26" x14ac:dyDescent="0.25">
      <c r="A23" s="8">
        <f>'Water Reading'!A22</f>
        <v>44671</v>
      </c>
      <c r="B23" s="63">
        <f>TOTAL!I21</f>
        <v>325</v>
      </c>
      <c r="C23" s="64">
        <f>('Water Reading'!B23-'Water Reading'!B22)+('Water Reading'!C23-'Water Reading'!C22)</f>
        <v>197</v>
      </c>
      <c r="D23" s="65">
        <f t="shared" si="2"/>
        <v>0.60615384615384615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159</v>
      </c>
      <c r="H23" s="84">
        <f t="shared" si="4"/>
        <v>0.80710659898477155</v>
      </c>
      <c r="I23" s="85">
        <f>'Water Reading'!P23-'Water Reading'!P22</f>
        <v>21</v>
      </c>
      <c r="J23" s="66">
        <f t="shared" si="5"/>
        <v>0.1065989847715736</v>
      </c>
      <c r="K23" s="86">
        <f>('Water Reading'!I23-'Water Reading'!I22)-('Water Reading'!P23-'Water Reading'!P22)</f>
        <v>22</v>
      </c>
      <c r="L23" s="66">
        <f t="shared" si="6"/>
        <v>0.1116751269035533</v>
      </c>
      <c r="M23" s="85">
        <f>'Water Reading'!R23-'Water Reading'!R22</f>
        <v>4</v>
      </c>
      <c r="N23" s="87">
        <f t="shared" si="7"/>
        <v>2.030456852791878E-2</v>
      </c>
      <c r="O23" s="85">
        <f>'Water Reading'!Q23-'Water Reading'!Q22</f>
        <v>6</v>
      </c>
      <c r="P23" s="92">
        <f t="shared" si="8"/>
        <v>3.0456852791878174E-2</v>
      </c>
      <c r="Q23" s="86">
        <f>'Water Reading'!N23-'Water Reading'!N22</f>
        <v>2</v>
      </c>
      <c r="R23" s="93">
        <f t="shared" si="9"/>
        <v>1.015228426395939E-2</v>
      </c>
      <c r="S23" s="85">
        <f>'Water Reading'!E23-'Water Reading'!E22</f>
        <v>64</v>
      </c>
      <c r="T23" s="93">
        <f t="shared" si="10"/>
        <v>0.32487309644670048</v>
      </c>
      <c r="U23" s="85">
        <f>'Water Reading'!O23-'Water Reading'!O22</f>
        <v>2</v>
      </c>
      <c r="V23" s="93">
        <f t="shared" si="11"/>
        <v>1.015228426395939E-2</v>
      </c>
      <c r="W23" s="85">
        <f>'Water Reading'!R23-'Water Reading'!R22</f>
        <v>4</v>
      </c>
      <c r="X23" s="93">
        <f t="shared" si="12"/>
        <v>2.030456852791878E-2</v>
      </c>
      <c r="Y23" s="64">
        <f t="shared" si="0"/>
        <v>284</v>
      </c>
      <c r="Z23" s="65">
        <f t="shared" si="1"/>
        <v>0.87384615384615383</v>
      </c>
    </row>
    <row r="24" spans="1:26" x14ac:dyDescent="0.25">
      <c r="A24" s="8">
        <f>'Water Reading'!A23</f>
        <v>44672</v>
      </c>
      <c r="B24" s="63">
        <f>TOTAL!I22</f>
        <v>0</v>
      </c>
      <c r="C24" s="64">
        <f>('Water Reading'!B24-'Water Reading'!B23)+('Water Reading'!C24-'Water Reading'!C23)</f>
        <v>202</v>
      </c>
      <c r="D24" s="65" t="e">
        <f t="shared" si="2"/>
        <v>#DIV/0!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-11</v>
      </c>
      <c r="H24" s="84">
        <f t="shared" si="4"/>
        <v>-5.4455445544554455E-2</v>
      </c>
      <c r="I24" s="85">
        <f>'Water Reading'!P24-'Water Reading'!P23</f>
        <v>25</v>
      </c>
      <c r="J24" s="66">
        <f t="shared" si="5"/>
        <v>0.12376237623762376</v>
      </c>
      <c r="K24" s="86">
        <f>('Water Reading'!I24-'Water Reading'!I23)-('Water Reading'!P24-'Water Reading'!P23)</f>
        <v>18</v>
      </c>
      <c r="L24" s="66">
        <f t="shared" si="6"/>
        <v>8.9108910891089105E-2</v>
      </c>
      <c r="M24" s="85">
        <f>'Water Reading'!R24-'Water Reading'!R23</f>
        <v>6</v>
      </c>
      <c r="N24" s="87">
        <f t="shared" si="7"/>
        <v>2.9702970297029702E-2</v>
      </c>
      <c r="O24" s="85">
        <f>'Water Reading'!Q24-'Water Reading'!Q23</f>
        <v>5</v>
      </c>
      <c r="P24" s="92">
        <f t="shared" si="8"/>
        <v>2.4752475247524754E-2</v>
      </c>
      <c r="Q24" s="86">
        <f>'Water Reading'!N24-'Water Reading'!N23</f>
        <v>1</v>
      </c>
      <c r="R24" s="93">
        <f t="shared" si="9"/>
        <v>4.9504950495049506E-3</v>
      </c>
      <c r="S24" s="85">
        <f>'Water Reading'!E24-'Water Reading'!E23</f>
        <v>70</v>
      </c>
      <c r="T24" s="93">
        <f t="shared" si="10"/>
        <v>0.34653465346534651</v>
      </c>
      <c r="U24" s="85">
        <f>'Water Reading'!O24-'Water Reading'!O23</f>
        <v>3</v>
      </c>
      <c r="V24" s="93">
        <f t="shared" si="11"/>
        <v>1.4851485148514851E-2</v>
      </c>
      <c r="W24" s="85">
        <f>'Water Reading'!R24-'Water Reading'!R23</f>
        <v>6</v>
      </c>
      <c r="X24" s="93">
        <f t="shared" si="12"/>
        <v>2.9702970297029702E-2</v>
      </c>
      <c r="Y24" s="64">
        <f t="shared" si="0"/>
        <v>123</v>
      </c>
      <c r="Z24" s="65" t="e">
        <f t="shared" si="1"/>
        <v>#DIV/0!</v>
      </c>
    </row>
    <row r="25" spans="1:26" x14ac:dyDescent="0.25">
      <c r="A25" s="8">
        <f>'Water Reading'!A24</f>
        <v>44673</v>
      </c>
      <c r="B25" s="63">
        <f>TOTAL!I23</f>
        <v>0</v>
      </c>
      <c r="C25" s="64">
        <f>('Water Reading'!B25-'Water Reading'!B24)+('Water Reading'!C25-'Water Reading'!C24)</f>
        <v>168</v>
      </c>
      <c r="D25" s="65" t="e">
        <f t="shared" si="2"/>
        <v>#DIV/0!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314</v>
      </c>
      <c r="H25" s="84">
        <f t="shared" si="4"/>
        <v>1.8690476190476191</v>
      </c>
      <c r="I25" s="85">
        <f>'Water Reading'!P25-'Water Reading'!P24</f>
        <v>0</v>
      </c>
      <c r="J25" s="66">
        <f t="shared" si="5"/>
        <v>0</v>
      </c>
      <c r="K25" s="86">
        <f>('Water Reading'!I25-'Water Reading'!I24)-('Water Reading'!P25-'Water Reading'!P24)</f>
        <v>18</v>
      </c>
      <c r="L25" s="66">
        <f t="shared" si="6"/>
        <v>0.10714285714285714</v>
      </c>
      <c r="M25" s="85">
        <f>'Water Reading'!R25-'Water Reading'!R24</f>
        <v>1</v>
      </c>
      <c r="N25" s="87">
        <f t="shared" si="7"/>
        <v>5.9523809523809521E-3</v>
      </c>
      <c r="O25" s="85">
        <f>'Water Reading'!Q25-'Water Reading'!Q24</f>
        <v>1</v>
      </c>
      <c r="P25" s="92">
        <f t="shared" si="8"/>
        <v>5.9523809523809521E-3</v>
      </c>
      <c r="Q25" s="86">
        <f>'Water Reading'!N25-'Water Reading'!N24</f>
        <v>1</v>
      </c>
      <c r="R25" s="93">
        <f t="shared" si="9"/>
        <v>5.9523809523809521E-3</v>
      </c>
      <c r="S25" s="85">
        <f>'Water Reading'!E25-'Water Reading'!E24</f>
        <v>67</v>
      </c>
      <c r="T25" s="93">
        <f t="shared" si="10"/>
        <v>0.39880952380952384</v>
      </c>
      <c r="U25" s="85">
        <f>'Water Reading'!O25-'Water Reading'!O24</f>
        <v>2</v>
      </c>
      <c r="V25" s="93">
        <f t="shared" si="11"/>
        <v>1.1904761904761904E-2</v>
      </c>
      <c r="W25" s="85">
        <f>'Water Reading'!R25-'Water Reading'!R24</f>
        <v>1</v>
      </c>
      <c r="X25" s="93">
        <f t="shared" si="12"/>
        <v>5.9523809523809521E-3</v>
      </c>
      <c r="Y25" s="64">
        <f t="shared" si="0"/>
        <v>405</v>
      </c>
      <c r="Z25" s="65" t="e">
        <f t="shared" si="1"/>
        <v>#DIV/0!</v>
      </c>
    </row>
    <row r="26" spans="1:26" x14ac:dyDescent="0.25">
      <c r="A26" s="8">
        <f>'Water Reading'!A25</f>
        <v>44674</v>
      </c>
      <c r="B26" s="63">
        <f>TOTAL!I24</f>
        <v>0</v>
      </c>
      <c r="C26" s="64">
        <f>('Water Reading'!B26-'Water Reading'!B25)+('Water Reading'!C26-'Water Reading'!C25)</f>
        <v>151</v>
      </c>
      <c r="D26" s="65" t="e">
        <f t="shared" si="2"/>
        <v>#DIV/0!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128</v>
      </c>
      <c r="H26" s="84">
        <f t="shared" si="4"/>
        <v>0.84768211920529801</v>
      </c>
      <c r="I26" s="85">
        <f>'Water Reading'!P26-'Water Reading'!P25</f>
        <v>11</v>
      </c>
      <c r="J26" s="66">
        <f t="shared" si="5"/>
        <v>7.2847682119205295E-2</v>
      </c>
      <c r="K26" s="86">
        <f>('Water Reading'!I26-'Water Reading'!I25)-('Water Reading'!P26-'Water Reading'!P25)</f>
        <v>18</v>
      </c>
      <c r="L26" s="66">
        <f t="shared" si="6"/>
        <v>0.11920529801324503</v>
      </c>
      <c r="M26" s="85">
        <f>'Water Reading'!R26-'Water Reading'!R25</f>
        <v>5</v>
      </c>
      <c r="N26" s="87">
        <f t="shared" si="7"/>
        <v>3.3112582781456956E-2</v>
      </c>
      <c r="O26" s="85">
        <f>'Water Reading'!Q26-'Water Reading'!Q25</f>
        <v>5</v>
      </c>
      <c r="P26" s="92">
        <f t="shared" si="8"/>
        <v>3.3112582781456956E-2</v>
      </c>
      <c r="Q26" s="86">
        <f>'Water Reading'!N26-'Water Reading'!N25</f>
        <v>1</v>
      </c>
      <c r="R26" s="93">
        <f t="shared" si="9"/>
        <v>6.6225165562913907E-3</v>
      </c>
      <c r="S26" s="85">
        <f>'Water Reading'!E26-'Water Reading'!E25</f>
        <v>71</v>
      </c>
      <c r="T26" s="93">
        <f t="shared" si="10"/>
        <v>0.47019867549668876</v>
      </c>
      <c r="U26" s="85">
        <f>'Water Reading'!O26-'Water Reading'!O25</f>
        <v>1</v>
      </c>
      <c r="V26" s="93">
        <f t="shared" si="11"/>
        <v>6.6225165562913907E-3</v>
      </c>
      <c r="W26" s="85">
        <f>'Water Reading'!R26-'Water Reading'!R25</f>
        <v>5</v>
      </c>
      <c r="X26" s="93">
        <f t="shared" si="12"/>
        <v>3.3112582781456956E-2</v>
      </c>
      <c r="Y26" s="64">
        <f t="shared" si="0"/>
        <v>245</v>
      </c>
      <c r="Z26" s="65" t="e">
        <f t="shared" si="1"/>
        <v>#DIV/0!</v>
      </c>
    </row>
    <row r="27" spans="1:26" x14ac:dyDescent="0.25">
      <c r="A27" s="8">
        <f>'Water Reading'!A26</f>
        <v>44675</v>
      </c>
      <c r="B27" s="63">
        <f>TOTAL!I25</f>
        <v>0</v>
      </c>
      <c r="C27" s="64">
        <f>('Water Reading'!B27-'Water Reading'!B26)+('Water Reading'!C27-'Water Reading'!C26)</f>
        <v>-222974</v>
      </c>
      <c r="D27" s="65" t="e">
        <f t="shared" si="2"/>
        <v>#DIV/0!</v>
      </c>
      <c r="E27" s="83">
        <f>'Water Reading'!H27-'Water Reading'!H26</f>
        <v>-62098</v>
      </c>
      <c r="F27" s="84">
        <f t="shared" si="3"/>
        <v>0.27849883842959267</v>
      </c>
      <c r="G27" s="88">
        <f>('Water Reading'!D27-'Water Reading'!D26)-('Water Reading'!R27-'Water Reading'!R26)-('Water Reading'!Q27-'Water Reading'!Q26)</f>
        <v>-260556</v>
      </c>
      <c r="H27" s="84">
        <f t="shared" si="4"/>
        <v>1.1685487994115906</v>
      </c>
      <c r="I27" s="85">
        <f>'Water Reading'!P27-'Water Reading'!P26</f>
        <v>-30832</v>
      </c>
      <c r="J27" s="66">
        <f t="shared" si="5"/>
        <v>0.1382762115762376</v>
      </c>
      <c r="K27" s="86">
        <f>('Water Reading'!I27-'Water Reading'!I26)-('Water Reading'!P27-'Water Reading'!P26)</f>
        <v>-43451</v>
      </c>
      <c r="L27" s="66">
        <f t="shared" si="6"/>
        <v>0.19487025393095159</v>
      </c>
      <c r="M27" s="85">
        <f>'Water Reading'!R27-'Water Reading'!R26</f>
        <v>-31</v>
      </c>
      <c r="N27" s="87">
        <f t="shared" si="7"/>
        <v>1.3902966265125081E-4</v>
      </c>
      <c r="O27" s="85">
        <f>'Water Reading'!Q27-'Water Reading'!Q26</f>
        <v>-1605</v>
      </c>
      <c r="P27" s="92">
        <f t="shared" si="8"/>
        <v>7.1981486630728246E-3</v>
      </c>
      <c r="Q27" s="86">
        <f>'Water Reading'!N27-'Water Reading'!N26</f>
        <v>-8563</v>
      </c>
      <c r="R27" s="93">
        <f t="shared" si="9"/>
        <v>3.8403580686537445E-2</v>
      </c>
      <c r="S27" s="85">
        <f>'Water Reading'!E27-'Water Reading'!E26</f>
        <v>-267884</v>
      </c>
      <c r="T27" s="93">
        <f t="shared" si="10"/>
        <v>1.2014136177312154</v>
      </c>
      <c r="U27" s="85">
        <f>'Water Reading'!O27-'Water Reading'!O26</f>
        <v>-2068</v>
      </c>
      <c r="V27" s="93">
        <f t="shared" si="11"/>
        <v>9.2746239471866668E-3</v>
      </c>
      <c r="W27" s="85">
        <f>'Water Reading'!R27-'Water Reading'!R26</f>
        <v>-31</v>
      </c>
      <c r="X27" s="93">
        <f t="shared" si="12"/>
        <v>1.3902966265125081E-4</v>
      </c>
      <c r="Y27" s="64">
        <f t="shared" si="0"/>
        <v>-677119</v>
      </c>
      <c r="Z27" s="65" t="e">
        <f t="shared" si="1"/>
        <v>#DIV/0!</v>
      </c>
    </row>
    <row r="28" spans="1:26" x14ac:dyDescent="0.25">
      <c r="A28" s="8">
        <f>'Water Reading'!A27</f>
        <v>44676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Reading'!N28-'Water Reading'!N27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Reading'!O28-'Water Reading'!O27</f>
        <v>0</v>
      </c>
      <c r="V28" s="93" t="e">
        <f t="shared" si="11"/>
        <v>#DIV/0!</v>
      </c>
      <c r="W28" s="85">
        <f>'Water Reading'!R28-'Water Reading'!R27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44677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Reading'!N29-'Water Reading'!N28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Reading'!O29-'Water Reading'!O28</f>
        <v>0</v>
      </c>
      <c r="V29" s="93" t="e">
        <f t="shared" si="11"/>
        <v>#DIV/0!</v>
      </c>
      <c r="W29" s="85">
        <f>'Water Reading'!R29-'Water Reading'!R28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44678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Reading'!N30-'Water Reading'!N29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Reading'!O30-'Water Reading'!O29</f>
        <v>0</v>
      </c>
      <c r="V30" s="93" t="e">
        <f t="shared" si="11"/>
        <v>#DIV/0!</v>
      </c>
      <c r="W30" s="85">
        <f>'Water Reading'!R30-'Water Reading'!R29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44679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Reading'!N31-'Water Reading'!N30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Reading'!O31-'Water Reading'!O30</f>
        <v>0</v>
      </c>
      <c r="V31" s="93" t="e">
        <f t="shared" si="11"/>
        <v>#DIV/0!</v>
      </c>
      <c r="W31" s="85">
        <f>'Water Reading'!R31-'Water Reading'!R30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44680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Reading'!N32-'Water Reading'!N31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Reading'!O32-'Water Reading'!O31</f>
        <v>0</v>
      </c>
      <c r="V32" s="93" t="e">
        <f t="shared" si="11"/>
        <v>#DIV/0!</v>
      </c>
      <c r="W32" s="85">
        <f>'Water Reading'!R32-'Water Reading'!R31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44681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Reading'!N33-'Water Reading'!N32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Reading'!O33-'Water Reading'!O32</f>
        <v>0</v>
      </c>
      <c r="V33" s="93" t="e">
        <f t="shared" si="11"/>
        <v>#DIV/0!</v>
      </c>
      <c r="W33" s="85">
        <f>'Water Reading'!R33-'Water Reading'!R32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44682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Reading'!N34-'Water Reading'!N33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Reading'!O34-'Water Reading'!O33</f>
        <v>0</v>
      </c>
      <c r="V34" s="93" t="e">
        <f t="shared" si="11"/>
        <v>#DIV/0!</v>
      </c>
      <c r="W34" s="85">
        <f>'Water Reading'!R34-'Water Reading'!R33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1" t="s">
        <v>128</v>
      </c>
      <c r="C35" s="72">
        <f>SUM(C4:C34)</f>
        <v>-218338</v>
      </c>
      <c r="D35" s="90" t="e">
        <f>C35/B35</f>
        <v>#VALUE!</v>
      </c>
      <c r="E35" s="7">
        <f>SUM(E4:E34)</f>
        <v>-62050</v>
      </c>
      <c r="F35" s="89">
        <f>E35/C35</f>
        <v>0.28419239894109133</v>
      </c>
      <c r="G35" s="72">
        <f>SUM(G4:G34)</f>
        <v>-248339</v>
      </c>
      <c r="H35" s="89">
        <f>G35/C35</f>
        <v>1.1374062233784317</v>
      </c>
      <c r="I35" s="7">
        <f>SUM(I4:I34)</f>
        <v>-30271</v>
      </c>
      <c r="J35" s="89">
        <f>I35/C35</f>
        <v>0.1386428381683445</v>
      </c>
      <c r="K35" s="7">
        <f>SUM(K4:K34)</f>
        <v>-42864</v>
      </c>
      <c r="L35" s="89">
        <f>K35/C35</f>
        <v>0.19631946798083705</v>
      </c>
      <c r="M35" s="7">
        <f>SUM(M4:M34)</f>
        <v>-7975</v>
      </c>
      <c r="N35" s="89">
        <f>M35/C35</f>
        <v>3.6525936850204728E-2</v>
      </c>
      <c r="O35" s="7">
        <f>SUM(O4:O34)</f>
        <v>-1528</v>
      </c>
      <c r="P35" s="89">
        <f>O35/C35</f>
        <v>6.9983236999514517E-3</v>
      </c>
      <c r="Q35" s="7">
        <f>SUM(Q4:Q34)</f>
        <v>-8502</v>
      </c>
      <c r="R35" s="89">
        <f>Q35/C35</f>
        <v>3.8939625717923587E-2</v>
      </c>
      <c r="S35" s="72">
        <f>SUM(S4:S34)</f>
        <v>-266370</v>
      </c>
      <c r="T35" s="89">
        <f>S35/C35</f>
        <v>1.2199891910707252</v>
      </c>
      <c r="U35" s="7">
        <f>SUM(U4:U34)</f>
        <v>-2030</v>
      </c>
      <c r="V35" s="89">
        <f>U35/C35</f>
        <v>9.2975111982339306E-3</v>
      </c>
      <c r="W35" s="7">
        <f>SUM(W4:W34)</f>
        <v>-7975</v>
      </c>
      <c r="X35" s="89">
        <f>W35/C35</f>
        <v>3.6525936850204728E-2</v>
      </c>
      <c r="Y35" s="72">
        <f>SUM(Y4:Y34)</f>
        <v>-677904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2022-04-27T08:06:23Z</dcterms:modified>
  <cp:category/>
  <cp:contentStatus/>
</cp:coreProperties>
</file>