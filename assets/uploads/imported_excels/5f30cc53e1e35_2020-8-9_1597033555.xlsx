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B13"/>
  <c r="J1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1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R8" i="3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8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14" i="76" l="1"/>
  <c r="C13"/>
  <c r="AT15" i="5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4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6" i="2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6" s="1"/>
  <c r="AC8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6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6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6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B15" i="76" l="1"/>
  <c r="C14"/>
  <c r="C19" i="77"/>
  <c r="C18"/>
  <c r="C17"/>
  <c r="C16"/>
  <c r="C15"/>
  <c r="C14"/>
  <c r="B16" i="76" l="1"/>
  <c r="C15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B17" i="76" l="1"/>
  <c r="C16"/>
  <c r="AU16" i="5"/>
  <c r="D12" i="73"/>
  <c r="AB7" i="2"/>
  <c r="G5" i="76"/>
  <c r="B18" l="1"/>
  <c r="C17"/>
  <c r="AC17"/>
  <c r="AC16"/>
  <c r="AC15"/>
  <c r="V28"/>
  <c r="V27"/>
  <c r="V26"/>
  <c r="B19" l="1"/>
  <c r="C18"/>
  <c r="H6" i="77"/>
  <c r="B20" i="76" l="1"/>
  <c r="C19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B21" l="1"/>
  <c r="C20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B22" i="76" l="1"/>
  <c r="C2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B23" i="76" l="1"/>
  <c r="C22"/>
  <c r="AB33" i="2"/>
  <c r="AB10"/>
  <c r="Z33" i="3"/>
  <c r="AK33" s="1"/>
  <c r="D14" i="76"/>
  <c r="E14" s="1"/>
  <c r="G16"/>
  <c r="L16" s="1"/>
  <c r="I16"/>
  <c r="M16" s="1"/>
  <c r="AB33" i="3"/>
  <c r="X40" i="74"/>
  <c r="B24" i="76" l="1"/>
  <c r="C23"/>
  <c r="AC33" i="3"/>
  <c r="K34" i="76"/>
  <c r="N34" s="1"/>
  <c r="G17"/>
  <c r="L17" s="1"/>
  <c r="I17"/>
  <c r="M17" s="1"/>
  <c r="D15"/>
  <c r="E15" s="1"/>
  <c r="B25" l="1"/>
  <c r="C24"/>
  <c r="G18"/>
  <c r="I18"/>
  <c r="D17"/>
  <c r="E17" s="1"/>
  <c r="D16"/>
  <c r="E16" s="1"/>
  <c r="S12" i="3"/>
  <c r="B26" i="76" l="1"/>
  <c r="C25"/>
  <c r="G19"/>
  <c r="I19"/>
  <c r="K18"/>
  <c r="N18" s="1"/>
  <c r="B27" l="1"/>
  <c r="C26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3" i="76"/>
  <c r="F21" i="81" s="1"/>
  <c r="T16" i="76"/>
  <c r="F14" i="81" s="1"/>
  <c r="T21" i="76"/>
  <c r="F19" i="81" s="1"/>
  <c r="T14" i="76"/>
  <c r="F12" i="81" s="1"/>
  <c r="T27" i="76"/>
  <c r="F25" i="81" s="1"/>
  <c r="T30" i="76"/>
  <c r="F28" i="81" s="1"/>
  <c r="T17" i="76"/>
  <c r="F15" i="81" s="1"/>
  <c r="T29" i="76"/>
  <c r="F27" i="81" s="1"/>
  <c r="T19" i="76"/>
  <c r="F17" i="81" s="1"/>
  <c r="T22" i="76"/>
  <c r="F20" i="81" s="1"/>
  <c r="T33" i="76"/>
  <c r="F31" i="81" s="1"/>
  <c r="T28" i="76"/>
  <c r="F26" i="81" s="1"/>
  <c r="T15" i="76"/>
  <c r="F13" i="81" s="1"/>
  <c r="T25" i="76"/>
  <c r="F23" i="81" s="1"/>
  <c r="T26" i="76"/>
  <c r="F24" i="81" s="1"/>
  <c r="T24" i="76"/>
  <c r="F22" i="81" s="1"/>
  <c r="T32" i="76"/>
  <c r="F30" i="81" s="1"/>
  <c r="T20" i="76"/>
  <c r="F18" i="81" s="1"/>
  <c r="T18" i="76"/>
  <c r="F16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AY21" i="7"/>
  <c r="Q19" i="76"/>
  <c r="R19" s="1"/>
  <c r="Q21"/>
  <c r="R21" s="1"/>
  <c r="AY23" i="7"/>
  <c r="AS40"/>
  <c r="Q29" i="76"/>
  <c r="R29" s="1"/>
  <c r="AY31" i="7"/>
  <c r="Q27" i="76"/>
  <c r="R27" s="1"/>
  <c r="AY29" i="7"/>
  <c r="AY19"/>
  <c r="Q17" i="76"/>
  <c r="R17" s="1"/>
  <c r="Q31"/>
  <c r="R31" s="1"/>
  <c r="AY33" i="7"/>
  <c r="AY20"/>
  <c r="Q18" i="76"/>
  <c r="R18" s="1"/>
  <c r="Q34"/>
  <c r="R34" s="1"/>
  <c r="AY36" i="7"/>
  <c r="Q28" i="76"/>
  <c r="R28" s="1"/>
  <c r="AY30" i="7"/>
  <c r="Q23" i="76"/>
  <c r="R23" s="1"/>
  <c r="AY25" i="7"/>
  <c r="AY28"/>
  <c r="Q26" i="76"/>
  <c r="R26" s="1"/>
  <c r="Q15"/>
  <c r="R15" s="1"/>
  <c r="AY17" i="7"/>
  <c r="Q32" i="76"/>
  <c r="R32" s="1"/>
  <c r="AY34" i="7"/>
  <c r="AY18"/>
  <c r="Q16" i="76"/>
  <c r="R16" s="1"/>
  <c r="Q30"/>
  <c r="R30" s="1"/>
  <c r="AY32" i="7"/>
  <c r="AY24"/>
  <c r="Q22" i="76"/>
  <c r="R22" s="1"/>
  <c r="AY35" i="7"/>
  <c r="AX16"/>
  <c r="AY27"/>
  <c r="Q20" i="76"/>
  <c r="R20" s="1"/>
  <c r="AY16" i="7" l="1"/>
  <c r="AY37" s="1"/>
  <c r="AX37"/>
  <c r="Z42" i="76" s="1"/>
  <c r="Z43" s="1"/>
  <c r="Z45" s="1"/>
  <c r="Q14"/>
  <c r="R14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<sst xmlns="http://schemas.openxmlformats.org/spreadsheetml/2006/main" count="688" uniqueCount="418">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</sst>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0009728"/>
        <c:axId val="115684480"/>
      </c:lineChart>
      <c:catAx>
        <c:axId val="11000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84480"/>
        <c:crosses val="autoZero"/>
        <c:auto val="1"/>
        <c:lblAlgn val="ctr"/>
        <c:lblOffset val="100"/>
      </c:catAx>
      <c:valAx>
        <c:axId val="115684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0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088"/>
          <c:w val="0.11899800868449698"/>
          <c:h val="4.49826989619450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709056"/>
        <c:axId val="115710592"/>
      </c:lineChart>
      <c:catAx>
        <c:axId val="1157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10592"/>
        <c:crosses val="autoZero"/>
        <c:auto val="1"/>
        <c:lblAlgn val="ctr"/>
        <c:lblOffset val="100"/>
      </c:catAx>
      <c:valAx>
        <c:axId val="11571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7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734784"/>
        <c:axId val="115875840"/>
      </c:lineChart>
      <c:catAx>
        <c:axId val="1157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75840"/>
        <c:crosses val="autoZero"/>
        <c:auto val="1"/>
        <c:lblAlgn val="ctr"/>
        <c:lblOffset val="100"/>
      </c:catAx>
      <c:valAx>
        <c:axId val="115875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66"/>
          <c:y val="0.62975887529635088"/>
          <c:w val="7.9124755870162669E-2"/>
          <c:h val="4.498269896194507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887488"/>
        <c:axId val="115913856"/>
      </c:lineChart>
      <c:catAx>
        <c:axId val="11588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13856"/>
        <c:crosses val="autoZero"/>
        <c:auto val="1"/>
        <c:lblAlgn val="ctr"/>
        <c:lblOffset val="100"/>
      </c:catAx>
      <c:valAx>
        <c:axId val="115913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8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6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38048"/>
        <c:axId val="115939584"/>
      </c:lineChart>
      <c:catAx>
        <c:axId val="1159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9584"/>
        <c:crosses val="autoZero"/>
        <c:auto val="1"/>
        <c:lblAlgn val="ctr"/>
        <c:lblOffset val="100"/>
      </c:catAx>
      <c:valAx>
        <c:axId val="115939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86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291968"/>
        <c:axId val="130297856"/>
      </c:lineChart>
      <c:catAx>
        <c:axId val="13029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7856"/>
        <c:crosses val="autoZero"/>
        <c:auto val="1"/>
        <c:lblAlgn val="ctr"/>
        <c:lblOffset val="100"/>
      </c:catAx>
      <c:valAx>
        <c:axId val="1302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334080"/>
        <c:axId val="130335872"/>
      </c:lineChart>
      <c:catAx>
        <c:axId val="1303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5872"/>
        <c:crosses val="autoZero"/>
        <c:auto val="1"/>
        <c:lblAlgn val="ctr"/>
        <c:lblOffset val="100"/>
      </c:catAx>
      <c:valAx>
        <c:axId val="13033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498944"/>
        <c:axId val="130500480"/>
      </c:lineChart>
      <c:catAx>
        <c:axId val="13049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0480"/>
        <c:crosses val="autoZero"/>
        <c:auto val="1"/>
        <c:lblAlgn val="ctr"/>
        <c:lblOffset val="100"/>
      </c:catAx>
      <c:valAx>
        <c:axId val="13050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9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524672"/>
        <c:axId val="130526208"/>
      </c:lineChart>
      <c:catAx>
        <c:axId val="13052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26208"/>
        <c:crosses val="autoZero"/>
        <c:auto val="1"/>
        <c:lblAlgn val="ctr"/>
        <c:lblOffset val="100"/>
      </c:catAx>
      <c:valAx>
        <c:axId val="130526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2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542"/>
          <c:w val="0.127240331517722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546304"/>
        <c:axId val="130564480"/>
      </c:lineChart>
      <c:catAx>
        <c:axId val="13054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64480"/>
        <c:crosses val="autoZero"/>
        <c:auto val="1"/>
        <c:lblAlgn val="ctr"/>
        <c:lblOffset val="100"/>
      </c:catAx>
      <c:valAx>
        <c:axId val="13056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4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768896"/>
        <c:axId val="130770432"/>
      </c:lineChart>
      <c:catAx>
        <c:axId val="13076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0432"/>
        <c:crosses val="autoZero"/>
        <c:auto val="1"/>
        <c:lblAlgn val="ctr"/>
        <c:lblOffset val="100"/>
      </c:catAx>
      <c:valAx>
        <c:axId val="13077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542"/>
          <c:w val="0.13541688538934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626688"/>
        <c:axId val="130628224"/>
      </c:lineChart>
      <c:catAx>
        <c:axId val="1306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28224"/>
        <c:crosses val="autoZero"/>
        <c:auto val="1"/>
        <c:lblAlgn val="ctr"/>
        <c:lblOffset val="100"/>
      </c:catAx>
      <c:valAx>
        <c:axId val="130628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54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648704"/>
        <c:axId val="130654592"/>
      </c:lineChart>
      <c:catAx>
        <c:axId val="1306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4592"/>
        <c:crosses val="autoZero"/>
        <c:auto val="1"/>
        <c:lblAlgn val="ctr"/>
        <c:lblOffset val="100"/>
      </c:catAx>
      <c:valAx>
        <c:axId val="130654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088"/>
          <c:w val="0.12291688538932598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809856"/>
        <c:axId val="130811392"/>
      </c:lineChart>
      <c:catAx>
        <c:axId val="13080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11392"/>
        <c:crosses val="autoZero"/>
        <c:auto val="1"/>
        <c:lblAlgn val="ctr"/>
        <c:lblOffset val="100"/>
      </c:catAx>
      <c:valAx>
        <c:axId val="13081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0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542"/>
          <c:w val="0.135416885389346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43776"/>
        <c:axId val="130845312"/>
      </c:lineChart>
      <c:catAx>
        <c:axId val="1308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5312"/>
        <c:crosses val="autoZero"/>
        <c:auto val="1"/>
        <c:lblAlgn val="ctr"/>
        <c:lblOffset val="100"/>
      </c:catAx>
      <c:valAx>
        <c:axId val="130845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329"/>
          <c:y val="0.54325368498487869"/>
          <c:w val="0.11458355205599259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959616"/>
        <c:axId val="130961408"/>
      </c:lineChart>
      <c:catAx>
        <c:axId val="1309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61408"/>
        <c:crosses val="autoZero"/>
        <c:auto val="1"/>
        <c:lblAlgn val="ctr"/>
        <c:lblOffset val="100"/>
      </c:catAx>
      <c:valAx>
        <c:axId val="130961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03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990080"/>
        <c:axId val="130991616"/>
      </c:lineChart>
      <c:catAx>
        <c:axId val="13099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1616"/>
        <c:crosses val="autoZero"/>
        <c:auto val="1"/>
        <c:lblAlgn val="ctr"/>
        <c:lblOffset val="100"/>
      </c:catAx>
      <c:valAx>
        <c:axId val="13099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9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293"/>
          <c:y val="0.62975887529635088"/>
          <c:w val="0.13541688538934654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028096"/>
        <c:axId val="131029632"/>
      </c:lineChart>
      <c:catAx>
        <c:axId val="13102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9632"/>
        <c:crosses val="autoZero"/>
        <c:auto val="1"/>
        <c:lblAlgn val="ctr"/>
        <c:lblOffset val="100"/>
      </c:catAx>
      <c:valAx>
        <c:axId val="1310296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2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088"/>
          <c:w val="9.730870597697025E-2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5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070208"/>
        <c:axId val="130875392"/>
      </c:lineChart>
      <c:catAx>
        <c:axId val="13107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5392"/>
        <c:crosses val="autoZero"/>
        <c:auto val="1"/>
        <c:lblAlgn val="ctr"/>
        <c:lblOffset val="100"/>
      </c:catAx>
      <c:valAx>
        <c:axId val="130875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7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882944"/>
        <c:axId val="130897024"/>
      </c:lineChart>
      <c:catAx>
        <c:axId val="1308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7024"/>
        <c:crosses val="autoZero"/>
        <c:auto val="1"/>
        <c:lblAlgn val="ctr"/>
        <c:lblOffset val="100"/>
      </c:catAx>
      <c:valAx>
        <c:axId val="13089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912"/>
          <c:y val="0.62975887529635088"/>
          <c:w val="0.13250539334757044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0925312"/>
        <c:axId val="130926848"/>
      </c:lineChart>
      <c:catAx>
        <c:axId val="1309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6848"/>
        <c:crosses val="autoZero"/>
        <c:auto val="1"/>
        <c:lblAlgn val="ctr"/>
        <c:lblOffset val="100"/>
      </c:catAx>
      <c:valAx>
        <c:axId val="13092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54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086208"/>
        <c:axId val="131087744"/>
      </c:lineChart>
      <c:catAx>
        <c:axId val="13108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87744"/>
        <c:crosses val="autoZero"/>
        <c:auto val="1"/>
        <c:lblAlgn val="ctr"/>
        <c:lblOffset val="100"/>
      </c:catAx>
      <c:valAx>
        <c:axId val="131087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8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691"/>
          <c:w val="0.1234311819809249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80.100000000000009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1137536"/>
        <c:axId val="131139072"/>
      </c:lineChart>
      <c:catAx>
        <c:axId val="1311375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39072"/>
        <c:crosses val="autoZero"/>
        <c:auto val="1"/>
        <c:lblAlgn val="ctr"/>
        <c:lblOffset val="100"/>
      </c:catAx>
      <c:valAx>
        <c:axId val="131139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3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129"/>
          <c:w val="0.156903985328211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162880"/>
        <c:axId val="131164416"/>
      </c:lineChart>
      <c:catAx>
        <c:axId val="1311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4416"/>
        <c:crosses val="autoZero"/>
        <c:auto val="1"/>
        <c:lblAlgn val="ctr"/>
        <c:lblOffset val="100"/>
      </c:catAx>
      <c:valAx>
        <c:axId val="131164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088"/>
          <c:w val="0.14853578449139496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234048"/>
        <c:axId val="131256320"/>
      </c:lineChart>
      <c:catAx>
        <c:axId val="13123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56320"/>
        <c:crosses val="autoZero"/>
        <c:auto val="1"/>
        <c:lblAlgn val="ctr"/>
        <c:lblOffset val="100"/>
      </c:catAx>
      <c:valAx>
        <c:axId val="13125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721"/>
          <c:y val="0.62975887529635088"/>
          <c:w val="0.12164948453608219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8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617152"/>
        <c:axId val="131618688"/>
      </c:lineChart>
      <c:catAx>
        <c:axId val="13161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8688"/>
        <c:crosses val="autoZero"/>
        <c:auto val="1"/>
        <c:lblAlgn val="ctr"/>
        <c:lblOffset val="100"/>
      </c:catAx>
      <c:valAx>
        <c:axId val="131618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687936"/>
        <c:axId val="131689472"/>
      </c:lineChart>
      <c:catAx>
        <c:axId val="13168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89472"/>
        <c:crosses val="autoZero"/>
        <c:auto val="1"/>
        <c:lblAlgn val="ctr"/>
        <c:lblOffset val="100"/>
      </c:catAx>
      <c:valAx>
        <c:axId val="13168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8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2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80.100000000000009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2034560"/>
        <c:axId val="132036096"/>
      </c:lineChart>
      <c:catAx>
        <c:axId val="132034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36096"/>
        <c:crosses val="autoZero"/>
        <c:auto val="1"/>
        <c:lblAlgn val="ctr"/>
        <c:lblOffset val="100"/>
      </c:catAx>
      <c:valAx>
        <c:axId val="1320360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3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1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0.13854163319544302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9.0270729101048719E-2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9.5748413962124329E-2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5.3033552989992724E-2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0.25038647930345309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4.6486323890921714E-2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-5.8750878496152688E-2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9.920195284311413E-2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8.1287819966811142E-2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0.53500000000000003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0.53500000000000003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J1" zoomScale="85" zoomScaleNormal="85" zoomScaleSheetLayoutView="100" workbookViewId="0">
      <pane ySplit="1" topLeftCell="A2" activePane="bottomLeft" state="frozen"/>
      <selection activeCell="C1" sqref="C1"/>
      <selection pane="bottomLeft" activeCell="AG11" sqref="AG11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4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f t="shared" ref="D11:D33" si="24">D11</f>
        <v>32087526</v>
      </c>
      <c r="E12" s="319">
        <f t="shared" si="9"/>
        <v>0</v>
      </c>
      <c r="F12" s="458">
        <f t="shared" ref="F11:L33" si="25">F11</f>
        <v>3823427</v>
      </c>
      <c r="G12" s="320">
        <f t="shared" si="0"/>
        <v>0</v>
      </c>
      <c r="H12" s="458">
        <f t="shared" si="25"/>
        <v>17614364</v>
      </c>
      <c r="I12" s="320">
        <f t="shared" si="10"/>
        <v>0</v>
      </c>
      <c r="J12" s="458">
        <f t="shared" si="25"/>
        <v>28672354</v>
      </c>
      <c r="K12" s="320">
        <f t="shared" si="11"/>
        <v>0</v>
      </c>
      <c r="L12" s="458">
        <f t="shared" si="25"/>
        <v>23498510</v>
      </c>
      <c r="M12" s="320">
        <f t="shared" si="12"/>
        <v>0</v>
      </c>
      <c r="N12" s="318">
        <f>M12+K12+I12+G12+E12</f>
        <v>0</v>
      </c>
      <c r="O12" s="480">
        <f t="shared" si="22"/>
        <v>0</v>
      </c>
      <c r="P12" s="458">
        <f t="shared" si="18"/>
        <v>16223</v>
      </c>
      <c r="Q12" s="462">
        <f t="shared" si="2"/>
        <v>0</v>
      </c>
      <c r="R12" s="462">
        <f t="shared" si="19"/>
        <v>0</v>
      </c>
      <c r="S12" s="458">
        <f t="shared" si="15"/>
        <v>9346</v>
      </c>
      <c r="T12" s="482">
        <f t="shared" si="3"/>
        <v>0</v>
      </c>
      <c r="U12" s="458">
        <f t="shared" si="15"/>
        <v>250635</v>
      </c>
      <c r="V12" s="462">
        <f t="shared" si="14"/>
        <v>0</v>
      </c>
      <c r="W12" s="458">
        <f t="shared" si="15"/>
        <v>32046</v>
      </c>
      <c r="X12" s="462">
        <f t="shared" si="21"/>
        <v>0</v>
      </c>
      <c r="Y12" s="458">
        <f t="shared" si="15"/>
        <v>672607</v>
      </c>
      <c r="Z12" s="462">
        <f t="shared" si="20"/>
        <v>0</v>
      </c>
      <c r="AA12" s="458">
        <f t="shared" si="15"/>
        <v>35422</v>
      </c>
      <c r="AB12" s="462">
        <f t="shared" si="16"/>
        <v>0</v>
      </c>
      <c r="AC12" s="458">
        <f t="shared" si="15"/>
        <v>859491</v>
      </c>
      <c r="AD12" s="462">
        <f t="shared" si="17"/>
        <v>0</v>
      </c>
      <c r="AE12" s="485">
        <f t="shared" si="7"/>
        <v>0</v>
      </c>
      <c r="AF12" s="486">
        <f t="shared" si="8"/>
        <v>0</v>
      </c>
      <c r="AG12" s="478">
        <f t="shared" si="23"/>
        <v>0</v>
      </c>
      <c r="AI12" s="479">
        <f>R12-'EDl log'!B10</f>
        <v>-242141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f t="shared" si="24"/>
        <v>32087526</v>
      </c>
      <c r="E13" s="319">
        <f t="shared" si="9"/>
        <v>0</v>
      </c>
      <c r="F13" s="458">
        <f t="shared" si="25"/>
        <v>3823427</v>
      </c>
      <c r="G13" s="320">
        <f t="shared" si="0"/>
        <v>0</v>
      </c>
      <c r="H13" s="458">
        <f t="shared" si="25"/>
        <v>17614364</v>
      </c>
      <c r="I13" s="320">
        <f t="shared" si="10"/>
        <v>0</v>
      </c>
      <c r="J13" s="458">
        <f t="shared" si="25"/>
        <v>28672354</v>
      </c>
      <c r="K13" s="320">
        <f t="shared" si="11"/>
        <v>0</v>
      </c>
      <c r="L13" s="458">
        <f t="shared" si="25"/>
        <v>23498510</v>
      </c>
      <c r="M13" s="320">
        <f t="shared" si="12"/>
        <v>0</v>
      </c>
      <c r="N13" s="318">
        <f t="shared" si="13"/>
        <v>0</v>
      </c>
      <c r="O13" s="480">
        <f t="shared" si="22"/>
        <v>0</v>
      </c>
      <c r="P13" s="458">
        <f t="shared" si="18"/>
        <v>16223</v>
      </c>
      <c r="Q13" s="462">
        <f t="shared" ref="Q13:Q31" si="26">(P13-P12)*1000</f>
        <v>0</v>
      </c>
      <c r="R13" s="462">
        <f t="shared" si="19"/>
        <v>0</v>
      </c>
      <c r="S13" s="458">
        <f t="shared" si="15"/>
        <v>9346</v>
      </c>
      <c r="T13" s="482">
        <f t="shared" si="3"/>
        <v>0</v>
      </c>
      <c r="U13" s="458">
        <f t="shared" si="15"/>
        <v>250635</v>
      </c>
      <c r="V13" s="462">
        <f t="shared" si="14"/>
        <v>0</v>
      </c>
      <c r="W13" s="458">
        <f t="shared" si="15"/>
        <v>32046</v>
      </c>
      <c r="X13" s="462">
        <f t="shared" si="21"/>
        <v>0</v>
      </c>
      <c r="Y13" s="458">
        <f t="shared" si="15"/>
        <v>672607</v>
      </c>
      <c r="Z13" s="462">
        <f t="shared" si="20"/>
        <v>0</v>
      </c>
      <c r="AA13" s="458">
        <f t="shared" si="15"/>
        <v>35422</v>
      </c>
      <c r="AB13" s="462">
        <f t="shared" si="16"/>
        <v>0</v>
      </c>
      <c r="AC13" s="458">
        <f t="shared" si="15"/>
        <v>859491</v>
      </c>
      <c r="AD13" s="462">
        <f t="shared" si="17"/>
        <v>0</v>
      </c>
      <c r="AE13" s="485">
        <f t="shared" si="7"/>
        <v>0</v>
      </c>
      <c r="AF13" s="486">
        <f t="shared" si="8"/>
        <v>0</v>
      </c>
      <c r="AG13" s="478">
        <f t="shared" si="23"/>
        <v>0</v>
      </c>
      <c r="AI13" s="479">
        <f>R13-'EDl log'!B11</f>
        <v>-246765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f t="shared" si="24"/>
        <v>32087526</v>
      </c>
      <c r="E14" s="319">
        <f t="shared" si="9"/>
        <v>0</v>
      </c>
      <c r="F14" s="458">
        <f t="shared" si="25"/>
        <v>3823427</v>
      </c>
      <c r="G14" s="320">
        <f t="shared" si="0"/>
        <v>0</v>
      </c>
      <c r="H14" s="458">
        <f t="shared" si="25"/>
        <v>17614364</v>
      </c>
      <c r="I14" s="320">
        <f t="shared" si="10"/>
        <v>0</v>
      </c>
      <c r="J14" s="458">
        <f t="shared" si="25"/>
        <v>28672354</v>
      </c>
      <c r="K14" s="320">
        <f t="shared" si="11"/>
        <v>0</v>
      </c>
      <c r="L14" s="458">
        <f t="shared" si="25"/>
        <v>23498510</v>
      </c>
      <c r="M14" s="320">
        <f t="shared" si="12"/>
        <v>0</v>
      </c>
      <c r="N14" s="318">
        <f t="shared" si="13"/>
        <v>0</v>
      </c>
      <c r="O14" s="480">
        <f t="shared" si="22"/>
        <v>0</v>
      </c>
      <c r="P14" s="458">
        <f t="shared" si="18"/>
        <v>16223</v>
      </c>
      <c r="Q14" s="462">
        <f t="shared" si="26"/>
        <v>0</v>
      </c>
      <c r="R14" s="462">
        <f t="shared" si="19"/>
        <v>0</v>
      </c>
      <c r="S14" s="458">
        <f t="shared" si="15"/>
        <v>9346</v>
      </c>
      <c r="T14" s="482">
        <f t="shared" si="3"/>
        <v>0</v>
      </c>
      <c r="U14" s="458">
        <f t="shared" si="15"/>
        <v>250635</v>
      </c>
      <c r="V14" s="462">
        <f t="shared" si="14"/>
        <v>0</v>
      </c>
      <c r="W14" s="458">
        <f t="shared" si="15"/>
        <v>32046</v>
      </c>
      <c r="X14" s="462">
        <f t="shared" si="21"/>
        <v>0</v>
      </c>
      <c r="Y14" s="458">
        <f t="shared" si="15"/>
        <v>672607</v>
      </c>
      <c r="Z14" s="462">
        <f t="shared" si="20"/>
        <v>0</v>
      </c>
      <c r="AA14" s="458">
        <f t="shared" si="15"/>
        <v>35422</v>
      </c>
      <c r="AB14" s="462">
        <f t="shared" si="16"/>
        <v>0</v>
      </c>
      <c r="AC14" s="458">
        <f t="shared" si="15"/>
        <v>859491</v>
      </c>
      <c r="AD14" s="462">
        <f t="shared" si="17"/>
        <v>0</v>
      </c>
      <c r="AE14" s="485">
        <f t="shared" si="7"/>
        <v>0</v>
      </c>
      <c r="AF14" s="486">
        <f t="shared" si="8"/>
        <v>0</v>
      </c>
      <c r="AG14" s="478">
        <f t="shared" si="23"/>
        <v>0</v>
      </c>
      <c r="AI14" s="479">
        <f>R14-'EDl log'!B12</f>
        <v>-250281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f t="shared" si="24"/>
        <v>32087526</v>
      </c>
      <c r="E15" s="319">
        <f t="shared" si="9"/>
        <v>0</v>
      </c>
      <c r="F15" s="458">
        <f t="shared" si="25"/>
        <v>3823427</v>
      </c>
      <c r="G15" s="320">
        <f t="shared" si="0"/>
        <v>0</v>
      </c>
      <c r="H15" s="458">
        <f t="shared" si="25"/>
        <v>17614364</v>
      </c>
      <c r="I15" s="320">
        <f t="shared" si="10"/>
        <v>0</v>
      </c>
      <c r="J15" s="458">
        <f t="shared" si="25"/>
        <v>28672354</v>
      </c>
      <c r="K15" s="320">
        <f t="shared" si="11"/>
        <v>0</v>
      </c>
      <c r="L15" s="458">
        <f t="shared" si="25"/>
        <v>23498510</v>
      </c>
      <c r="M15" s="320">
        <f t="shared" si="12"/>
        <v>0</v>
      </c>
      <c r="N15" s="318">
        <f t="shared" si="13"/>
        <v>0</v>
      </c>
      <c r="O15" s="480">
        <f t="shared" si="22"/>
        <v>0</v>
      </c>
      <c r="P15" s="458">
        <f t="shared" si="18"/>
        <v>16223</v>
      </c>
      <c r="Q15" s="462">
        <f>(P15-P14)*1000</f>
        <v>0</v>
      </c>
      <c r="R15" s="462">
        <f t="shared" si="19"/>
        <v>0</v>
      </c>
      <c r="S15" s="458">
        <f t="shared" si="15"/>
        <v>9346</v>
      </c>
      <c r="T15" s="482">
        <f t="shared" si="3"/>
        <v>0</v>
      </c>
      <c r="U15" s="458">
        <f t="shared" si="15"/>
        <v>250635</v>
      </c>
      <c r="V15" s="462">
        <f t="shared" si="14"/>
        <v>0</v>
      </c>
      <c r="W15" s="458">
        <f t="shared" si="15"/>
        <v>32046</v>
      </c>
      <c r="X15" s="462">
        <f t="shared" si="21"/>
        <v>0</v>
      </c>
      <c r="Y15" s="458">
        <f t="shared" si="15"/>
        <v>672607</v>
      </c>
      <c r="Z15" s="462">
        <f t="shared" si="20"/>
        <v>0</v>
      </c>
      <c r="AA15" s="458">
        <f t="shared" si="15"/>
        <v>35422</v>
      </c>
      <c r="AB15" s="462">
        <f t="shared" si="16"/>
        <v>0</v>
      </c>
      <c r="AC15" s="458">
        <f t="shared" si="15"/>
        <v>859491</v>
      </c>
      <c r="AD15" s="462">
        <f t="shared" si="17"/>
        <v>0</v>
      </c>
      <c r="AE15" s="485">
        <f t="shared" si="7"/>
        <v>0</v>
      </c>
      <c r="AF15" s="486">
        <f t="shared" si="8"/>
        <v>0</v>
      </c>
      <c r="AG15" s="478">
        <f t="shared" si="23"/>
        <v>0</v>
      </c>
      <c r="AI15" s="479">
        <f>R15-'EDl log'!B13</f>
        <v>-250281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f t="shared" si="24"/>
        <v>32087526</v>
      </c>
      <c r="E16" s="319">
        <f t="shared" si="9"/>
        <v>0</v>
      </c>
      <c r="F16" s="458">
        <f t="shared" si="25"/>
        <v>3823427</v>
      </c>
      <c r="G16" s="320">
        <f t="shared" si="0"/>
        <v>0</v>
      </c>
      <c r="H16" s="458">
        <f t="shared" si="25"/>
        <v>17614364</v>
      </c>
      <c r="I16" s="320">
        <f t="shared" si="10"/>
        <v>0</v>
      </c>
      <c r="J16" s="458">
        <f t="shared" si="25"/>
        <v>28672354</v>
      </c>
      <c r="K16" s="320">
        <f t="shared" si="11"/>
        <v>0</v>
      </c>
      <c r="L16" s="458">
        <f t="shared" si="25"/>
        <v>23498510</v>
      </c>
      <c r="M16" s="320">
        <f t="shared" si="12"/>
        <v>0</v>
      </c>
      <c r="N16" s="318">
        <f t="shared" si="13"/>
        <v>0</v>
      </c>
      <c r="O16" s="480">
        <f t="shared" si="22"/>
        <v>0</v>
      </c>
      <c r="P16" s="458">
        <f t="shared" si="18"/>
        <v>16223</v>
      </c>
      <c r="Q16" s="462">
        <f>(P16-P15)*1000</f>
        <v>0</v>
      </c>
      <c r="R16" s="462">
        <f t="shared" si="19"/>
        <v>0</v>
      </c>
      <c r="S16" s="458">
        <f t="shared" si="15"/>
        <v>9346</v>
      </c>
      <c r="T16" s="482">
        <f t="shared" si="3"/>
        <v>0</v>
      </c>
      <c r="U16" s="458">
        <f t="shared" si="15"/>
        <v>250635</v>
      </c>
      <c r="V16" s="462">
        <f t="shared" si="14"/>
        <v>0</v>
      </c>
      <c r="W16" s="458">
        <f t="shared" si="15"/>
        <v>32046</v>
      </c>
      <c r="X16" s="462">
        <f>W16-W15</f>
        <v>0</v>
      </c>
      <c r="Y16" s="458">
        <f t="shared" si="15"/>
        <v>672607</v>
      </c>
      <c r="Z16" s="462">
        <f>Y16-Y15</f>
        <v>0</v>
      </c>
      <c r="AA16" s="458">
        <f t="shared" si="15"/>
        <v>35422</v>
      </c>
      <c r="AB16" s="462">
        <f>AA16-AA15</f>
        <v>0</v>
      </c>
      <c r="AC16" s="458">
        <f t="shared" si="15"/>
        <v>859491</v>
      </c>
      <c r="AD16" s="462">
        <f t="shared" si="17"/>
        <v>0</v>
      </c>
      <c r="AE16" s="485">
        <f t="shared" si="7"/>
        <v>0</v>
      </c>
      <c r="AF16" s="486">
        <f t="shared" si="8"/>
        <v>0</v>
      </c>
      <c r="AG16" s="478">
        <f t="shared" si="23"/>
        <v>0</v>
      </c>
      <c r="AI16" s="479">
        <f>R16-'EDl log'!B14</f>
        <v>-250281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f t="shared" si="24"/>
        <v>32087526</v>
      </c>
      <c r="E17" s="319">
        <f t="shared" si="9"/>
        <v>0</v>
      </c>
      <c r="F17" s="458">
        <f t="shared" si="25"/>
        <v>3823427</v>
      </c>
      <c r="G17" s="320">
        <f t="shared" si="0"/>
        <v>0</v>
      </c>
      <c r="H17" s="458">
        <f t="shared" si="25"/>
        <v>17614364</v>
      </c>
      <c r="I17" s="320">
        <f t="shared" si="10"/>
        <v>0</v>
      </c>
      <c r="J17" s="458">
        <f t="shared" si="25"/>
        <v>28672354</v>
      </c>
      <c r="K17" s="320">
        <f t="shared" si="11"/>
        <v>0</v>
      </c>
      <c r="L17" s="458">
        <f t="shared" si="25"/>
        <v>23498510</v>
      </c>
      <c r="M17" s="320">
        <f t="shared" si="12"/>
        <v>0</v>
      </c>
      <c r="N17" s="318">
        <f t="shared" si="13"/>
        <v>0</v>
      </c>
      <c r="O17" s="480">
        <f t="shared" si="22"/>
        <v>0</v>
      </c>
      <c r="P17" s="458">
        <f t="shared" si="18"/>
        <v>16223</v>
      </c>
      <c r="Q17" s="462">
        <f t="shared" si="26"/>
        <v>0</v>
      </c>
      <c r="R17" s="462">
        <f t="shared" si="19"/>
        <v>0</v>
      </c>
      <c r="S17" s="458">
        <f t="shared" si="15"/>
        <v>9346</v>
      </c>
      <c r="T17" s="482">
        <f t="shared" si="3"/>
        <v>0</v>
      </c>
      <c r="U17" s="458">
        <f t="shared" si="15"/>
        <v>250635</v>
      </c>
      <c r="V17" s="462">
        <f t="shared" si="14"/>
        <v>0</v>
      </c>
      <c r="W17" s="458">
        <f t="shared" si="15"/>
        <v>32046</v>
      </c>
      <c r="X17" s="462">
        <f t="shared" si="21"/>
        <v>0</v>
      </c>
      <c r="Y17" s="458">
        <f t="shared" si="15"/>
        <v>672607</v>
      </c>
      <c r="Z17" s="462">
        <f t="shared" si="20"/>
        <v>0</v>
      </c>
      <c r="AA17" s="458">
        <f t="shared" si="15"/>
        <v>35422</v>
      </c>
      <c r="AB17" s="462">
        <f t="shared" si="16"/>
        <v>0</v>
      </c>
      <c r="AC17" s="458">
        <f t="shared" si="15"/>
        <v>859491</v>
      </c>
      <c r="AD17" s="462">
        <f t="shared" ref="AD17:AD32" si="27">AC17-AC16</f>
        <v>0</v>
      </c>
      <c r="AE17" s="485">
        <f t="shared" si="7"/>
        <v>0</v>
      </c>
      <c r="AF17" s="486">
        <f t="shared" si="8"/>
        <v>0</v>
      </c>
      <c r="AG17" s="478">
        <f t="shared" si="23"/>
        <v>0</v>
      </c>
      <c r="AI17" s="479">
        <f>R17-'EDl log'!B15</f>
        <v>-250281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f t="shared" si="24"/>
        <v>32087526</v>
      </c>
      <c r="E18" s="319">
        <f t="shared" si="9"/>
        <v>0</v>
      </c>
      <c r="F18" s="458">
        <f t="shared" si="25"/>
        <v>3823427</v>
      </c>
      <c r="G18" s="320">
        <f t="shared" si="0"/>
        <v>0</v>
      </c>
      <c r="H18" s="458">
        <f t="shared" si="25"/>
        <v>17614364</v>
      </c>
      <c r="I18" s="320">
        <f t="shared" si="10"/>
        <v>0</v>
      </c>
      <c r="J18" s="458">
        <f t="shared" si="25"/>
        <v>28672354</v>
      </c>
      <c r="K18" s="320">
        <f t="shared" si="11"/>
        <v>0</v>
      </c>
      <c r="L18" s="458">
        <f t="shared" si="25"/>
        <v>23498510</v>
      </c>
      <c r="M18" s="320">
        <f t="shared" si="12"/>
        <v>0</v>
      </c>
      <c r="N18" s="318">
        <f t="shared" si="13"/>
        <v>0</v>
      </c>
      <c r="O18" s="480">
        <f t="shared" si="22"/>
        <v>0</v>
      </c>
      <c r="P18" s="458">
        <f t="shared" si="18"/>
        <v>16223</v>
      </c>
      <c r="Q18" s="462">
        <f t="shared" si="26"/>
        <v>0</v>
      </c>
      <c r="R18" s="462">
        <f t="shared" si="19"/>
        <v>0</v>
      </c>
      <c r="S18" s="458">
        <f t="shared" si="15"/>
        <v>9346</v>
      </c>
      <c r="T18" s="482">
        <f t="shared" si="3"/>
        <v>0</v>
      </c>
      <c r="U18" s="458">
        <f t="shared" si="15"/>
        <v>250635</v>
      </c>
      <c r="V18" s="462">
        <f t="shared" si="14"/>
        <v>0</v>
      </c>
      <c r="W18" s="458">
        <f t="shared" si="15"/>
        <v>32046</v>
      </c>
      <c r="X18" s="462">
        <f t="shared" si="21"/>
        <v>0</v>
      </c>
      <c r="Y18" s="458">
        <f t="shared" si="15"/>
        <v>672607</v>
      </c>
      <c r="Z18" s="462">
        <f t="shared" si="20"/>
        <v>0</v>
      </c>
      <c r="AA18" s="458">
        <f t="shared" si="15"/>
        <v>35422</v>
      </c>
      <c r="AB18" s="462">
        <f t="shared" si="16"/>
        <v>0</v>
      </c>
      <c r="AC18" s="458">
        <f t="shared" si="15"/>
        <v>859491</v>
      </c>
      <c r="AD18" s="462">
        <f t="shared" si="27"/>
        <v>0</v>
      </c>
      <c r="AE18" s="485">
        <f t="shared" si="7"/>
        <v>0</v>
      </c>
      <c r="AF18" s="486">
        <f t="shared" si="8"/>
        <v>0</v>
      </c>
      <c r="AG18" s="478">
        <f t="shared" si="23"/>
        <v>0</v>
      </c>
      <c r="AI18" s="479">
        <f>R18-'EDl log'!B16</f>
        <v>-250281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f t="shared" si="24"/>
        <v>32087526</v>
      </c>
      <c r="E19" s="319">
        <f t="shared" si="9"/>
        <v>0</v>
      </c>
      <c r="F19" s="458">
        <f t="shared" si="25"/>
        <v>3823427</v>
      </c>
      <c r="G19" s="320">
        <f t="shared" si="0"/>
        <v>0</v>
      </c>
      <c r="H19" s="458">
        <f t="shared" si="25"/>
        <v>17614364</v>
      </c>
      <c r="I19" s="320">
        <f t="shared" si="10"/>
        <v>0</v>
      </c>
      <c r="J19" s="458">
        <f t="shared" si="25"/>
        <v>28672354</v>
      </c>
      <c r="K19" s="320">
        <f t="shared" si="11"/>
        <v>0</v>
      </c>
      <c r="L19" s="458">
        <f t="shared" si="25"/>
        <v>23498510</v>
      </c>
      <c r="M19" s="320">
        <f t="shared" si="12"/>
        <v>0</v>
      </c>
      <c r="N19" s="318">
        <f t="shared" si="13"/>
        <v>0</v>
      </c>
      <c r="O19" s="480">
        <f t="shared" si="22"/>
        <v>0</v>
      </c>
      <c r="P19" s="458">
        <f t="shared" si="18"/>
        <v>16223</v>
      </c>
      <c r="Q19" s="462">
        <f>(P19-P18)*1000</f>
        <v>0</v>
      </c>
      <c r="R19" s="462">
        <f t="shared" si="19"/>
        <v>0</v>
      </c>
      <c r="S19" s="458">
        <f t="shared" si="15"/>
        <v>9346</v>
      </c>
      <c r="T19" s="482">
        <f t="shared" si="3"/>
        <v>0</v>
      </c>
      <c r="U19" s="458">
        <f t="shared" si="15"/>
        <v>250635</v>
      </c>
      <c r="V19" s="462">
        <f t="shared" si="14"/>
        <v>0</v>
      </c>
      <c r="W19" s="458">
        <f t="shared" si="15"/>
        <v>32046</v>
      </c>
      <c r="X19" s="462">
        <f t="shared" si="21"/>
        <v>0</v>
      </c>
      <c r="Y19" s="458">
        <f t="shared" si="15"/>
        <v>672607</v>
      </c>
      <c r="Z19" s="462">
        <f t="shared" si="20"/>
        <v>0</v>
      </c>
      <c r="AA19" s="458">
        <f t="shared" si="15"/>
        <v>35422</v>
      </c>
      <c r="AB19" s="462">
        <f t="shared" si="16"/>
        <v>0</v>
      </c>
      <c r="AC19" s="458">
        <f t="shared" si="15"/>
        <v>859491</v>
      </c>
      <c r="AD19" s="462">
        <f t="shared" si="27"/>
        <v>0</v>
      </c>
      <c r="AE19" s="485">
        <f t="shared" si="7"/>
        <v>0</v>
      </c>
      <c r="AF19" s="486">
        <f t="shared" si="8"/>
        <v>0</v>
      </c>
      <c r="AG19" s="478">
        <f t="shared" si="23"/>
        <v>0</v>
      </c>
      <c r="AI19" s="479">
        <f>R19-'EDl log'!B17</f>
        <v>-250281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f t="shared" si="24"/>
        <v>32087526</v>
      </c>
      <c r="E20" s="319">
        <f t="shared" si="9"/>
        <v>0</v>
      </c>
      <c r="F20" s="458">
        <f t="shared" si="25"/>
        <v>3823427</v>
      </c>
      <c r="G20" s="320">
        <f t="shared" si="0"/>
        <v>0</v>
      </c>
      <c r="H20" s="458">
        <f t="shared" si="25"/>
        <v>17614364</v>
      </c>
      <c r="I20" s="320">
        <f t="shared" si="10"/>
        <v>0</v>
      </c>
      <c r="J20" s="458">
        <f t="shared" si="25"/>
        <v>28672354</v>
      </c>
      <c r="K20" s="320">
        <f t="shared" si="11"/>
        <v>0</v>
      </c>
      <c r="L20" s="458">
        <f t="shared" si="25"/>
        <v>23498510</v>
      </c>
      <c r="M20" s="320">
        <f t="shared" si="12"/>
        <v>0</v>
      </c>
      <c r="N20" s="318">
        <f t="shared" si="13"/>
        <v>0</v>
      </c>
      <c r="O20" s="480">
        <f t="shared" si="22"/>
        <v>0</v>
      </c>
      <c r="P20" s="458">
        <f t="shared" si="18"/>
        <v>16223</v>
      </c>
      <c r="Q20" s="462">
        <f t="shared" si="26"/>
        <v>0</v>
      </c>
      <c r="R20" s="462">
        <f t="shared" si="19"/>
        <v>0</v>
      </c>
      <c r="S20" s="458">
        <f t="shared" si="15"/>
        <v>9346</v>
      </c>
      <c r="T20" s="482">
        <f t="shared" si="3"/>
        <v>0</v>
      </c>
      <c r="U20" s="458">
        <f t="shared" si="15"/>
        <v>250635</v>
      </c>
      <c r="V20" s="462">
        <f t="shared" si="14"/>
        <v>0</v>
      </c>
      <c r="W20" s="458">
        <f t="shared" si="15"/>
        <v>32046</v>
      </c>
      <c r="X20" s="462">
        <f t="shared" si="21"/>
        <v>0</v>
      </c>
      <c r="Y20" s="458">
        <f t="shared" si="15"/>
        <v>672607</v>
      </c>
      <c r="Z20" s="462">
        <f t="shared" si="20"/>
        <v>0</v>
      </c>
      <c r="AA20" s="458">
        <f t="shared" si="15"/>
        <v>35422</v>
      </c>
      <c r="AB20" s="462">
        <f t="shared" si="16"/>
        <v>0</v>
      </c>
      <c r="AC20" s="458">
        <f t="shared" si="15"/>
        <v>859491</v>
      </c>
      <c r="AD20" s="462">
        <f t="shared" si="27"/>
        <v>0</v>
      </c>
      <c r="AE20" s="485">
        <f t="shared" si="7"/>
        <v>0</v>
      </c>
      <c r="AF20" s="486">
        <f t="shared" si="8"/>
        <v>0</v>
      </c>
      <c r="AG20" s="478">
        <f t="shared" si="23"/>
        <v>0</v>
      </c>
      <c r="AI20" s="479">
        <f>R20-'EDl log'!B18</f>
        <v>-250281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si="24"/>
        <v>32087526</v>
      </c>
      <c r="E21" s="319">
        <f t="shared" si="9"/>
        <v>0</v>
      </c>
      <c r="F21" s="458">
        <f t="shared" si="25"/>
        <v>3823427</v>
      </c>
      <c r="G21" s="320">
        <f t="shared" si="0"/>
        <v>0</v>
      </c>
      <c r="H21" s="458">
        <f t="shared" si="25"/>
        <v>17614364</v>
      </c>
      <c r="I21" s="320">
        <f t="shared" si="10"/>
        <v>0</v>
      </c>
      <c r="J21" s="458">
        <f t="shared" si="25"/>
        <v>28672354</v>
      </c>
      <c r="K21" s="320">
        <f t="shared" si="11"/>
        <v>0</v>
      </c>
      <c r="L21" s="458">
        <f t="shared" si="25"/>
        <v>23498510</v>
      </c>
      <c r="M21" s="320">
        <f t="shared" si="12"/>
        <v>0</v>
      </c>
      <c r="N21" s="318">
        <f t="shared" si="13"/>
        <v>0</v>
      </c>
      <c r="O21" s="480">
        <f t="shared" si="22"/>
        <v>0</v>
      </c>
      <c r="P21" s="458">
        <f t="shared" si="18"/>
        <v>16223</v>
      </c>
      <c r="Q21" s="462">
        <f>(P21-P20)*1000</f>
        <v>0</v>
      </c>
      <c r="R21" s="462">
        <f t="shared" si="19"/>
        <v>0</v>
      </c>
      <c r="S21" s="458">
        <f t="shared" si="15"/>
        <v>9346</v>
      </c>
      <c r="T21" s="482">
        <f t="shared" si="3"/>
        <v>0</v>
      </c>
      <c r="U21" s="458">
        <f t="shared" si="15"/>
        <v>250635</v>
      </c>
      <c r="V21" s="462">
        <f t="shared" si="14"/>
        <v>0</v>
      </c>
      <c r="W21" s="458">
        <f t="shared" si="15"/>
        <v>32046</v>
      </c>
      <c r="X21" s="462">
        <f t="shared" si="21"/>
        <v>0</v>
      </c>
      <c r="Y21" s="458">
        <f t="shared" si="15"/>
        <v>672607</v>
      </c>
      <c r="Z21" s="462">
        <f t="shared" si="20"/>
        <v>0</v>
      </c>
      <c r="AA21" s="458">
        <f t="shared" si="15"/>
        <v>35422</v>
      </c>
      <c r="AB21" s="462">
        <f t="shared" si="16"/>
        <v>0</v>
      </c>
      <c r="AC21" s="458">
        <f t="shared" si="15"/>
        <v>859491</v>
      </c>
      <c r="AD21" s="462">
        <f t="shared" si="27"/>
        <v>0</v>
      </c>
      <c r="AE21" s="485">
        <f t="shared" si="7"/>
        <v>0</v>
      </c>
      <c r="AF21" s="486">
        <f t="shared" si="8"/>
        <v>0</v>
      </c>
      <c r="AG21" s="478">
        <f t="shared" si="23"/>
        <v>0</v>
      </c>
      <c r="AI21" s="479">
        <f>R21-'EDl log'!B19</f>
        <v>-250281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24"/>
        <v>32087526</v>
      </c>
      <c r="E22" s="319">
        <f t="shared" si="9"/>
        <v>0</v>
      </c>
      <c r="F22" s="458">
        <f t="shared" si="25"/>
        <v>3823427</v>
      </c>
      <c r="G22" s="320">
        <f t="shared" si="0"/>
        <v>0</v>
      </c>
      <c r="H22" s="458">
        <f t="shared" si="25"/>
        <v>17614364</v>
      </c>
      <c r="I22" s="320">
        <f t="shared" si="10"/>
        <v>0</v>
      </c>
      <c r="J22" s="458">
        <f t="shared" si="25"/>
        <v>28672354</v>
      </c>
      <c r="K22" s="320">
        <f t="shared" si="11"/>
        <v>0</v>
      </c>
      <c r="L22" s="458">
        <f t="shared" si="25"/>
        <v>23498510</v>
      </c>
      <c r="M22" s="320">
        <f t="shared" si="12"/>
        <v>0</v>
      </c>
      <c r="N22" s="318">
        <f t="shared" si="13"/>
        <v>0</v>
      </c>
      <c r="O22" s="480">
        <f t="shared" si="22"/>
        <v>0</v>
      </c>
      <c r="P22" s="458">
        <f t="shared" si="18"/>
        <v>16223</v>
      </c>
      <c r="Q22" s="462">
        <f t="shared" si="26"/>
        <v>0</v>
      </c>
      <c r="R22" s="462">
        <f t="shared" si="19"/>
        <v>0</v>
      </c>
      <c r="S22" s="458">
        <f t="shared" si="15"/>
        <v>9346</v>
      </c>
      <c r="T22" s="482">
        <f t="shared" si="3"/>
        <v>0</v>
      </c>
      <c r="U22" s="458">
        <f t="shared" si="15"/>
        <v>250635</v>
      </c>
      <c r="V22" s="462">
        <f t="shared" si="14"/>
        <v>0</v>
      </c>
      <c r="W22" s="458">
        <f t="shared" si="15"/>
        <v>32046</v>
      </c>
      <c r="X22" s="462">
        <f t="shared" si="21"/>
        <v>0</v>
      </c>
      <c r="Y22" s="458">
        <f t="shared" si="15"/>
        <v>672607</v>
      </c>
      <c r="Z22" s="462">
        <f t="shared" si="20"/>
        <v>0</v>
      </c>
      <c r="AA22" s="458">
        <f t="shared" si="15"/>
        <v>35422</v>
      </c>
      <c r="AB22" s="462">
        <f t="shared" si="16"/>
        <v>0</v>
      </c>
      <c r="AC22" s="458">
        <f t="shared" si="15"/>
        <v>859491</v>
      </c>
      <c r="AD22" s="462">
        <f t="shared" si="27"/>
        <v>0</v>
      </c>
      <c r="AE22" s="485">
        <f t="shared" si="7"/>
        <v>0</v>
      </c>
      <c r="AF22" s="486">
        <f t="shared" si="8"/>
        <v>0</v>
      </c>
      <c r="AG22" s="478">
        <f t="shared" si="23"/>
        <v>0</v>
      </c>
      <c r="AI22" s="479">
        <f>R22-'EDl log'!B20</f>
        <v>-250281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24"/>
        <v>32087526</v>
      </c>
      <c r="E23" s="319">
        <f t="shared" si="9"/>
        <v>0</v>
      </c>
      <c r="F23" s="458">
        <f t="shared" si="25"/>
        <v>3823427</v>
      </c>
      <c r="G23" s="320">
        <f t="shared" si="0"/>
        <v>0</v>
      </c>
      <c r="H23" s="458">
        <f t="shared" si="25"/>
        <v>17614364</v>
      </c>
      <c r="I23" s="451">
        <f t="shared" si="10"/>
        <v>0</v>
      </c>
      <c r="J23" s="458">
        <f t="shared" si="25"/>
        <v>28672354</v>
      </c>
      <c r="K23" s="320">
        <f t="shared" si="11"/>
        <v>0</v>
      </c>
      <c r="L23" s="458">
        <f t="shared" si="25"/>
        <v>23498510</v>
      </c>
      <c r="M23" s="320">
        <f t="shared" si="12"/>
        <v>0</v>
      </c>
      <c r="N23" s="318">
        <f t="shared" si="13"/>
        <v>0</v>
      </c>
      <c r="O23" s="480">
        <f t="shared" si="22"/>
        <v>0</v>
      </c>
      <c r="P23" s="458">
        <f t="shared" si="18"/>
        <v>16223</v>
      </c>
      <c r="Q23" s="462">
        <f t="shared" si="26"/>
        <v>0</v>
      </c>
      <c r="R23" s="462">
        <f t="shared" si="19"/>
        <v>0</v>
      </c>
      <c r="S23" s="458">
        <f t="shared" si="15"/>
        <v>9346</v>
      </c>
      <c r="T23" s="482">
        <f t="shared" si="3"/>
        <v>0</v>
      </c>
      <c r="U23" s="458">
        <f t="shared" si="15"/>
        <v>250635</v>
      </c>
      <c r="V23" s="462">
        <f t="shared" si="14"/>
        <v>0</v>
      </c>
      <c r="W23" s="458">
        <f t="shared" si="15"/>
        <v>32046</v>
      </c>
      <c r="X23" s="462">
        <f t="shared" si="21"/>
        <v>0</v>
      </c>
      <c r="Y23" s="458">
        <f t="shared" si="15"/>
        <v>672607</v>
      </c>
      <c r="Z23" s="462">
        <f t="shared" si="20"/>
        <v>0</v>
      </c>
      <c r="AA23" s="458">
        <f t="shared" si="15"/>
        <v>35422</v>
      </c>
      <c r="AB23" s="462">
        <f t="shared" si="16"/>
        <v>0</v>
      </c>
      <c r="AC23" s="458">
        <f t="shared" si="15"/>
        <v>859491</v>
      </c>
      <c r="AD23" s="462">
        <f t="shared" si="27"/>
        <v>0</v>
      </c>
      <c r="AE23" s="485">
        <f t="shared" si="7"/>
        <v>0</v>
      </c>
      <c r="AF23" s="486">
        <f t="shared" si="8"/>
        <v>0</v>
      </c>
      <c r="AG23" s="478">
        <f t="shared" si="23"/>
        <v>0</v>
      </c>
      <c r="AI23" s="479">
        <f>R23-'EDl log'!B21</f>
        <v>-250281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24"/>
        <v>32087526</v>
      </c>
      <c r="E24" s="319">
        <f t="shared" si="9"/>
        <v>0</v>
      </c>
      <c r="F24" s="458">
        <f t="shared" si="25"/>
        <v>3823427</v>
      </c>
      <c r="G24" s="320">
        <f t="shared" si="0"/>
        <v>0</v>
      </c>
      <c r="H24" s="458">
        <f t="shared" si="25"/>
        <v>17614364</v>
      </c>
      <c r="I24" s="320">
        <f t="shared" si="10"/>
        <v>0</v>
      </c>
      <c r="J24" s="458">
        <f t="shared" si="25"/>
        <v>28672354</v>
      </c>
      <c r="K24" s="320">
        <f t="shared" si="11"/>
        <v>0</v>
      </c>
      <c r="L24" s="458">
        <f t="shared" si="25"/>
        <v>23498510</v>
      </c>
      <c r="M24" s="320">
        <f t="shared" si="12"/>
        <v>0</v>
      </c>
      <c r="N24" s="318">
        <f t="shared" si="13"/>
        <v>0</v>
      </c>
      <c r="O24" s="480">
        <f t="shared" si="22"/>
        <v>0</v>
      </c>
      <c r="P24" s="458">
        <f t="shared" si="18"/>
        <v>16223</v>
      </c>
      <c r="Q24" s="462">
        <f t="shared" si="26"/>
        <v>0</v>
      </c>
      <c r="R24" s="462">
        <f t="shared" si="19"/>
        <v>0</v>
      </c>
      <c r="S24" s="458">
        <f t="shared" si="15"/>
        <v>9346</v>
      </c>
      <c r="T24" s="482">
        <f t="shared" si="3"/>
        <v>0</v>
      </c>
      <c r="U24" s="458">
        <f t="shared" si="15"/>
        <v>250635</v>
      </c>
      <c r="V24" s="462">
        <f t="shared" si="14"/>
        <v>0</v>
      </c>
      <c r="W24" s="458">
        <f t="shared" si="15"/>
        <v>32046</v>
      </c>
      <c r="X24" s="462">
        <f t="shared" si="21"/>
        <v>0</v>
      </c>
      <c r="Y24" s="458">
        <f t="shared" si="15"/>
        <v>672607</v>
      </c>
      <c r="Z24" s="462">
        <f t="shared" si="20"/>
        <v>0</v>
      </c>
      <c r="AA24" s="458">
        <f t="shared" si="15"/>
        <v>35422</v>
      </c>
      <c r="AB24" s="462">
        <f t="shared" si="16"/>
        <v>0</v>
      </c>
      <c r="AC24" s="458">
        <f t="shared" si="15"/>
        <v>859491</v>
      </c>
      <c r="AD24" s="462">
        <f t="shared" si="27"/>
        <v>0</v>
      </c>
      <c r="AE24" s="485">
        <f t="shared" si="7"/>
        <v>0</v>
      </c>
      <c r="AF24" s="486">
        <f t="shared" si="8"/>
        <v>0</v>
      </c>
      <c r="AG24" s="478">
        <f t="shared" si="23"/>
        <v>0</v>
      </c>
      <c r="AI24" s="479">
        <f>R24-'EDl log'!B22</f>
        <v>-250281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4"/>
        <v>32087526</v>
      </c>
      <c r="E25" s="319">
        <f t="shared" si="9"/>
        <v>0</v>
      </c>
      <c r="F25" s="458">
        <f t="shared" si="25"/>
        <v>3823427</v>
      </c>
      <c r="G25" s="320">
        <f t="shared" si="0"/>
        <v>0</v>
      </c>
      <c r="H25" s="458">
        <f t="shared" si="25"/>
        <v>17614364</v>
      </c>
      <c r="I25" s="320">
        <f t="shared" si="10"/>
        <v>0</v>
      </c>
      <c r="J25" s="458">
        <f t="shared" si="25"/>
        <v>28672354</v>
      </c>
      <c r="K25" s="320">
        <f t="shared" si="11"/>
        <v>0</v>
      </c>
      <c r="L25" s="458">
        <f t="shared" si="25"/>
        <v>23498510</v>
      </c>
      <c r="M25" s="320">
        <f t="shared" si="12"/>
        <v>0</v>
      </c>
      <c r="N25" s="318">
        <f t="shared" si="13"/>
        <v>0</v>
      </c>
      <c r="O25" s="480">
        <f t="shared" si="22"/>
        <v>0</v>
      </c>
      <c r="P25" s="458">
        <f t="shared" si="18"/>
        <v>16223</v>
      </c>
      <c r="Q25" s="462">
        <f t="shared" si="26"/>
        <v>0</v>
      </c>
      <c r="R25" s="462">
        <f t="shared" si="19"/>
        <v>0</v>
      </c>
      <c r="S25" s="458">
        <f t="shared" si="15"/>
        <v>9346</v>
      </c>
      <c r="T25" s="482">
        <f t="shared" si="3"/>
        <v>0</v>
      </c>
      <c r="U25" s="458">
        <f t="shared" si="15"/>
        <v>250635</v>
      </c>
      <c r="V25" s="462">
        <f t="shared" si="14"/>
        <v>0</v>
      </c>
      <c r="W25" s="458">
        <f t="shared" si="15"/>
        <v>32046</v>
      </c>
      <c r="X25" s="462">
        <f t="shared" si="21"/>
        <v>0</v>
      </c>
      <c r="Y25" s="458">
        <f t="shared" si="15"/>
        <v>672607</v>
      </c>
      <c r="Z25" s="462">
        <f t="shared" si="20"/>
        <v>0</v>
      </c>
      <c r="AA25" s="458">
        <f t="shared" si="15"/>
        <v>35422</v>
      </c>
      <c r="AB25" s="462">
        <f t="shared" si="16"/>
        <v>0</v>
      </c>
      <c r="AC25" s="458">
        <f t="shared" si="15"/>
        <v>859491</v>
      </c>
      <c r="AD25" s="462">
        <f t="shared" si="27"/>
        <v>0</v>
      </c>
      <c r="AE25" s="485">
        <f t="shared" si="7"/>
        <v>0</v>
      </c>
      <c r="AF25" s="486">
        <f t="shared" si="8"/>
        <v>0</v>
      </c>
      <c r="AG25" s="478">
        <f t="shared" si="23"/>
        <v>0</v>
      </c>
      <c r="AI25" s="479">
        <f>R25-'EDl log'!B23</f>
        <v>-250281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4"/>
        <v>32087526</v>
      </c>
      <c r="E26" s="319">
        <f t="shared" si="9"/>
        <v>0</v>
      </c>
      <c r="F26" s="458">
        <f t="shared" si="25"/>
        <v>3823427</v>
      </c>
      <c r="G26" s="320">
        <f t="shared" si="0"/>
        <v>0</v>
      </c>
      <c r="H26" s="458">
        <f t="shared" si="25"/>
        <v>17614364</v>
      </c>
      <c r="I26" s="320">
        <f t="shared" si="10"/>
        <v>0</v>
      </c>
      <c r="J26" s="458">
        <f t="shared" si="25"/>
        <v>28672354</v>
      </c>
      <c r="K26" s="320">
        <f t="shared" si="11"/>
        <v>0</v>
      </c>
      <c r="L26" s="458">
        <f t="shared" si="25"/>
        <v>23498510</v>
      </c>
      <c r="M26" s="320">
        <f t="shared" si="12"/>
        <v>0</v>
      </c>
      <c r="N26" s="318">
        <f t="shared" si="13"/>
        <v>0</v>
      </c>
      <c r="O26" s="480">
        <f t="shared" si="22"/>
        <v>0</v>
      </c>
      <c r="P26" s="458">
        <f t="shared" si="18"/>
        <v>16223</v>
      </c>
      <c r="Q26" s="462">
        <f t="shared" si="26"/>
        <v>0</v>
      </c>
      <c r="R26" s="487">
        <f>N26-Q26</f>
        <v>0</v>
      </c>
      <c r="S26" s="458">
        <f t="shared" si="15"/>
        <v>9346</v>
      </c>
      <c r="T26" s="482">
        <f t="shared" si="3"/>
        <v>0</v>
      </c>
      <c r="U26" s="458">
        <f t="shared" si="15"/>
        <v>250635</v>
      </c>
      <c r="V26" s="462">
        <f t="shared" si="14"/>
        <v>0</v>
      </c>
      <c r="W26" s="458">
        <f t="shared" si="15"/>
        <v>32046</v>
      </c>
      <c r="X26" s="462">
        <f t="shared" si="21"/>
        <v>0</v>
      </c>
      <c r="Y26" s="458">
        <f t="shared" si="15"/>
        <v>672607</v>
      </c>
      <c r="Z26" s="462">
        <f t="shared" si="20"/>
        <v>0</v>
      </c>
      <c r="AA26" s="458">
        <f t="shared" si="15"/>
        <v>35422</v>
      </c>
      <c r="AB26" s="462">
        <f t="shared" si="16"/>
        <v>0</v>
      </c>
      <c r="AC26" s="458">
        <f t="shared" si="15"/>
        <v>859491</v>
      </c>
      <c r="AD26" s="462">
        <f t="shared" si="27"/>
        <v>0</v>
      </c>
      <c r="AE26" s="485">
        <f t="shared" si="7"/>
        <v>0</v>
      </c>
      <c r="AF26" s="486">
        <f t="shared" si="8"/>
        <v>0</v>
      </c>
      <c r="AG26" s="478">
        <f t="shared" si="23"/>
        <v>0</v>
      </c>
      <c r="AI26" s="479">
        <f>R26-'EDl log'!B24</f>
        <v>-250281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4"/>
        <v>32087526</v>
      </c>
      <c r="E27" s="319">
        <f t="shared" si="9"/>
        <v>0</v>
      </c>
      <c r="F27" s="458">
        <f t="shared" si="25"/>
        <v>3823427</v>
      </c>
      <c r="G27" s="320">
        <f>F27-F26</f>
        <v>0</v>
      </c>
      <c r="H27" s="458">
        <f t="shared" si="25"/>
        <v>17614364</v>
      </c>
      <c r="I27" s="320">
        <f t="shared" si="10"/>
        <v>0</v>
      </c>
      <c r="J27" s="458">
        <f t="shared" si="25"/>
        <v>28672354</v>
      </c>
      <c r="K27" s="320">
        <f t="shared" si="11"/>
        <v>0</v>
      </c>
      <c r="L27" s="458">
        <f t="shared" si="25"/>
        <v>23498510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16223</v>
      </c>
      <c r="Q27" s="462">
        <f t="shared" si="26"/>
        <v>0</v>
      </c>
      <c r="R27" s="462">
        <f t="shared" si="19"/>
        <v>0</v>
      </c>
      <c r="S27" s="458">
        <f t="shared" si="15"/>
        <v>9346</v>
      </c>
      <c r="T27" s="482">
        <f t="shared" si="3"/>
        <v>0</v>
      </c>
      <c r="U27" s="458">
        <f t="shared" si="15"/>
        <v>250635</v>
      </c>
      <c r="V27" s="462">
        <f t="shared" si="14"/>
        <v>0</v>
      </c>
      <c r="W27" s="458">
        <f t="shared" si="15"/>
        <v>32046</v>
      </c>
      <c r="X27" s="462">
        <f t="shared" si="21"/>
        <v>0</v>
      </c>
      <c r="Y27" s="458">
        <f t="shared" si="15"/>
        <v>672607</v>
      </c>
      <c r="Z27" s="462">
        <f t="shared" si="20"/>
        <v>0</v>
      </c>
      <c r="AA27" s="458">
        <f t="shared" si="15"/>
        <v>35422</v>
      </c>
      <c r="AB27" s="462">
        <f t="shared" si="16"/>
        <v>0</v>
      </c>
      <c r="AC27" s="458">
        <f t="shared" si="15"/>
        <v>859491</v>
      </c>
      <c r="AD27" s="462">
        <f t="shared" si="27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-250281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4"/>
        <v>32087526</v>
      </c>
      <c r="E28" s="319">
        <f t="shared" si="9"/>
        <v>0</v>
      </c>
      <c r="F28" s="458">
        <f t="shared" si="25"/>
        <v>3823427</v>
      </c>
      <c r="G28" s="320">
        <f t="shared" si="0"/>
        <v>0</v>
      </c>
      <c r="H28" s="458">
        <f t="shared" si="25"/>
        <v>17614364</v>
      </c>
      <c r="I28" s="320">
        <f t="shared" si="10"/>
        <v>0</v>
      </c>
      <c r="J28" s="458">
        <f t="shared" si="25"/>
        <v>28672354</v>
      </c>
      <c r="K28" s="320">
        <f t="shared" si="11"/>
        <v>0</v>
      </c>
      <c r="L28" s="458">
        <f t="shared" si="25"/>
        <v>23498510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16223</v>
      </c>
      <c r="Q28" s="462">
        <f t="shared" si="26"/>
        <v>0</v>
      </c>
      <c r="R28" s="462">
        <f>N28-Q28</f>
        <v>0</v>
      </c>
      <c r="S28" s="458">
        <f t="shared" si="15"/>
        <v>9346</v>
      </c>
      <c r="T28" s="482">
        <f t="shared" si="3"/>
        <v>0</v>
      </c>
      <c r="U28" s="458">
        <f t="shared" si="15"/>
        <v>250635</v>
      </c>
      <c r="V28" s="462">
        <f t="shared" si="14"/>
        <v>0</v>
      </c>
      <c r="W28" s="458">
        <f t="shared" si="15"/>
        <v>32046</v>
      </c>
      <c r="X28" s="462">
        <f t="shared" si="21"/>
        <v>0</v>
      </c>
      <c r="Y28" s="458">
        <f t="shared" si="15"/>
        <v>672607</v>
      </c>
      <c r="Z28" s="462">
        <f t="shared" si="20"/>
        <v>0</v>
      </c>
      <c r="AA28" s="458">
        <f t="shared" si="15"/>
        <v>35422</v>
      </c>
      <c r="AB28" s="462">
        <f t="shared" si="16"/>
        <v>0</v>
      </c>
      <c r="AC28" s="458">
        <f t="shared" si="15"/>
        <v>859491</v>
      </c>
      <c r="AD28" s="462">
        <f t="shared" si="27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-250281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4"/>
        <v>32087526</v>
      </c>
      <c r="E29" s="319">
        <f t="shared" si="9"/>
        <v>0</v>
      </c>
      <c r="F29" s="458">
        <f t="shared" si="25"/>
        <v>3823427</v>
      </c>
      <c r="G29" s="320">
        <f t="shared" si="0"/>
        <v>0</v>
      </c>
      <c r="H29" s="458">
        <f t="shared" si="25"/>
        <v>17614364</v>
      </c>
      <c r="I29" s="320">
        <f t="shared" si="10"/>
        <v>0</v>
      </c>
      <c r="J29" s="458">
        <f t="shared" si="25"/>
        <v>28672354</v>
      </c>
      <c r="K29" s="320">
        <f t="shared" si="11"/>
        <v>0</v>
      </c>
      <c r="L29" s="458">
        <f t="shared" si="25"/>
        <v>23498510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16223</v>
      </c>
      <c r="Q29" s="462">
        <f t="shared" si="26"/>
        <v>0</v>
      </c>
      <c r="R29" s="462">
        <f t="shared" si="19"/>
        <v>0</v>
      </c>
      <c r="S29" s="458">
        <f t="shared" si="15"/>
        <v>9346</v>
      </c>
      <c r="T29" s="482">
        <f t="shared" si="3"/>
        <v>0</v>
      </c>
      <c r="U29" s="458">
        <f t="shared" si="15"/>
        <v>250635</v>
      </c>
      <c r="V29" s="462">
        <f t="shared" si="14"/>
        <v>0</v>
      </c>
      <c r="W29" s="458">
        <f t="shared" si="15"/>
        <v>32046</v>
      </c>
      <c r="X29" s="462">
        <f t="shared" si="21"/>
        <v>0</v>
      </c>
      <c r="Y29" s="458">
        <f t="shared" si="15"/>
        <v>672607</v>
      </c>
      <c r="Z29" s="462">
        <f t="shared" si="20"/>
        <v>0</v>
      </c>
      <c r="AA29" s="458">
        <f t="shared" si="15"/>
        <v>35422</v>
      </c>
      <c r="AB29" s="462">
        <f t="shared" si="16"/>
        <v>0</v>
      </c>
      <c r="AC29" s="458">
        <f t="shared" si="15"/>
        <v>859491</v>
      </c>
      <c r="AD29" s="462">
        <f t="shared" si="27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-250281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4"/>
        <v>32087526</v>
      </c>
      <c r="E30" s="319">
        <f t="shared" si="9"/>
        <v>0</v>
      </c>
      <c r="F30" s="458">
        <f t="shared" si="25"/>
        <v>3823427</v>
      </c>
      <c r="G30" s="320">
        <f t="shared" si="0"/>
        <v>0</v>
      </c>
      <c r="H30" s="458">
        <f t="shared" si="25"/>
        <v>17614364</v>
      </c>
      <c r="I30" s="320">
        <f t="shared" si="10"/>
        <v>0</v>
      </c>
      <c r="J30" s="458">
        <f t="shared" si="25"/>
        <v>28672354</v>
      </c>
      <c r="K30" s="320">
        <f t="shared" si="11"/>
        <v>0</v>
      </c>
      <c r="L30" s="458">
        <f t="shared" si="25"/>
        <v>23498510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16223</v>
      </c>
      <c r="Q30" s="462">
        <f t="shared" si="26"/>
        <v>0</v>
      </c>
      <c r="R30" s="462">
        <f t="shared" si="19"/>
        <v>0</v>
      </c>
      <c r="S30" s="458">
        <f t="shared" si="15"/>
        <v>9346</v>
      </c>
      <c r="T30" s="482">
        <f t="shared" si="3"/>
        <v>0</v>
      </c>
      <c r="U30" s="458">
        <f t="shared" si="15"/>
        <v>250635</v>
      </c>
      <c r="V30" s="462">
        <f t="shared" si="14"/>
        <v>0</v>
      </c>
      <c r="W30" s="458">
        <f t="shared" si="15"/>
        <v>32046</v>
      </c>
      <c r="X30" s="483">
        <f t="shared" si="21"/>
        <v>0</v>
      </c>
      <c r="Y30" s="458">
        <f t="shared" si="15"/>
        <v>672607</v>
      </c>
      <c r="Z30" s="462">
        <f t="shared" si="20"/>
        <v>0</v>
      </c>
      <c r="AA30" s="458">
        <f t="shared" si="15"/>
        <v>35422</v>
      </c>
      <c r="AB30" s="462">
        <f t="shared" si="16"/>
        <v>0</v>
      </c>
      <c r="AC30" s="458">
        <f t="shared" si="15"/>
        <v>859491</v>
      </c>
      <c r="AD30" s="462">
        <f t="shared" si="27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-250281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4"/>
        <v>32087526</v>
      </c>
      <c r="E31" s="319">
        <f t="shared" si="9"/>
        <v>0</v>
      </c>
      <c r="F31" s="458">
        <f t="shared" si="25"/>
        <v>3823427</v>
      </c>
      <c r="G31" s="320">
        <f t="shared" si="0"/>
        <v>0</v>
      </c>
      <c r="H31" s="458">
        <f t="shared" si="25"/>
        <v>17614364</v>
      </c>
      <c r="I31" s="320">
        <f t="shared" si="10"/>
        <v>0</v>
      </c>
      <c r="J31" s="458">
        <f t="shared" si="25"/>
        <v>28672354</v>
      </c>
      <c r="K31" s="320">
        <f t="shared" si="11"/>
        <v>0</v>
      </c>
      <c r="L31" s="458">
        <f t="shared" si="25"/>
        <v>23498510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16223</v>
      </c>
      <c r="Q31" s="462">
        <f t="shared" si="26"/>
        <v>0</v>
      </c>
      <c r="R31" s="462">
        <f t="shared" si="19"/>
        <v>0</v>
      </c>
      <c r="S31" s="458">
        <f t="shared" si="15"/>
        <v>9346</v>
      </c>
      <c r="T31" s="482">
        <f t="shared" si="3"/>
        <v>0</v>
      </c>
      <c r="U31" s="458">
        <f t="shared" si="15"/>
        <v>250635</v>
      </c>
      <c r="V31" s="462">
        <f t="shared" si="14"/>
        <v>0</v>
      </c>
      <c r="W31" s="458">
        <f t="shared" si="15"/>
        <v>32046</v>
      </c>
      <c r="X31" s="483">
        <f t="shared" si="21"/>
        <v>0</v>
      </c>
      <c r="Y31" s="458">
        <f t="shared" si="15"/>
        <v>672607</v>
      </c>
      <c r="Z31" s="484">
        <f>Y31-Y30</f>
        <v>0</v>
      </c>
      <c r="AA31" s="458">
        <f t="shared" si="15"/>
        <v>35422</v>
      </c>
      <c r="AB31" s="462">
        <f t="shared" si="16"/>
        <v>0</v>
      </c>
      <c r="AC31" s="458">
        <f t="shared" si="15"/>
        <v>859491</v>
      </c>
      <c r="AD31" s="462">
        <f t="shared" si="27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-250281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4"/>
        <v>32087526</v>
      </c>
      <c r="E32" s="319">
        <f t="shared" si="9"/>
        <v>0</v>
      </c>
      <c r="F32" s="458">
        <f t="shared" si="25"/>
        <v>3823427</v>
      </c>
      <c r="G32" s="320">
        <f>F32-F31</f>
        <v>0</v>
      </c>
      <c r="H32" s="458">
        <f t="shared" si="25"/>
        <v>17614364</v>
      </c>
      <c r="I32" s="320">
        <f>H32-H31</f>
        <v>0</v>
      </c>
      <c r="J32" s="458">
        <f t="shared" si="25"/>
        <v>28672354</v>
      </c>
      <c r="K32" s="320">
        <f>J32-J31</f>
        <v>0</v>
      </c>
      <c r="L32" s="458">
        <f t="shared" si="25"/>
        <v>23498510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16223</v>
      </c>
      <c r="Q32" s="462">
        <f>(P32-P31)*1000</f>
        <v>0</v>
      </c>
      <c r="R32" s="462">
        <f>N32-Q32</f>
        <v>0</v>
      </c>
      <c r="S32" s="458">
        <f t="shared" si="15"/>
        <v>9346</v>
      </c>
      <c r="T32" s="482">
        <f t="shared" si="3"/>
        <v>0</v>
      </c>
      <c r="U32" s="458">
        <f t="shared" si="15"/>
        <v>250635</v>
      </c>
      <c r="V32" s="462">
        <f t="shared" si="14"/>
        <v>0</v>
      </c>
      <c r="W32" s="458">
        <f t="shared" si="15"/>
        <v>32046</v>
      </c>
      <c r="X32" s="462">
        <f t="shared" si="21"/>
        <v>0</v>
      </c>
      <c r="Y32" s="458">
        <f t="shared" si="15"/>
        <v>672607</v>
      </c>
      <c r="Z32" s="484">
        <f>Y32-Y31</f>
        <v>0</v>
      </c>
      <c r="AA32" s="458">
        <f t="shared" si="15"/>
        <v>35422</v>
      </c>
      <c r="AB32" s="462">
        <f t="shared" si="16"/>
        <v>0</v>
      </c>
      <c r="AC32" s="458">
        <f t="shared" si="15"/>
        <v>859491</v>
      </c>
      <c r="AD32" s="462">
        <f t="shared" si="27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-250281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4"/>
        <v>32087526</v>
      </c>
      <c r="E33" s="319">
        <f t="shared" ref="E33" si="28">D33-D32</f>
        <v>0</v>
      </c>
      <c r="F33" s="458">
        <f t="shared" si="25"/>
        <v>3823427</v>
      </c>
      <c r="G33" s="320">
        <f>F33-F32</f>
        <v>0</v>
      </c>
      <c r="H33" s="458">
        <f t="shared" si="25"/>
        <v>17614364</v>
      </c>
      <c r="I33" s="320">
        <f>H33-H32</f>
        <v>0</v>
      </c>
      <c r="J33" s="458">
        <f t="shared" si="25"/>
        <v>28672354</v>
      </c>
      <c r="K33" s="320">
        <f>J33-J32</f>
        <v>0</v>
      </c>
      <c r="L33" s="458">
        <f t="shared" si="25"/>
        <v>23498510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16223</v>
      </c>
      <c r="Q33" s="462">
        <f>(P33-P32)*1000</f>
        <v>0</v>
      </c>
      <c r="R33" s="462">
        <f>N33-Q33</f>
        <v>0</v>
      </c>
      <c r="S33" s="458">
        <f t="shared" si="15"/>
        <v>9346</v>
      </c>
      <c r="T33" s="482">
        <f t="shared" ref="T33" si="30">S33-S32</f>
        <v>0</v>
      </c>
      <c r="U33" s="458">
        <f t="shared" si="15"/>
        <v>250635</v>
      </c>
      <c r="V33" s="462">
        <f t="shared" ref="V33" si="31">U33-U32</f>
        <v>0</v>
      </c>
      <c r="W33" s="458">
        <f t="shared" si="15"/>
        <v>32046</v>
      </c>
      <c r="X33" s="462">
        <f t="shared" ref="X33" si="32">W33-W32</f>
        <v>0</v>
      </c>
      <c r="Y33" s="458">
        <f t="shared" si="15"/>
        <v>672607</v>
      </c>
      <c r="Z33" s="484">
        <f>Y33-Y32</f>
        <v>0</v>
      </c>
      <c r="AA33" s="458">
        <f t="shared" si="15"/>
        <v>35422</v>
      </c>
      <c r="AB33" s="462">
        <f t="shared" ref="AB33" si="33">AA33-AA32</f>
        <v>0</v>
      </c>
      <c r="AC33" s="458">
        <f t="shared" si="15"/>
        <v>859491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-250281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O1" zoomScale="90" zoomScaleNormal="90" workbookViewId="0">
      <pane ySplit="1" topLeftCell="A2" activePane="bottomLeft" state="frozen"/>
      <selection activeCell="K1" sqref="K1"/>
      <selection pane="bottomLeft" activeCell="AV13" sqref="AV1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90">
        <f>J36</f>
        <v>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407"/>
      <c r="V1" s="27" t="s">
        <v>104</v>
      </c>
      <c r="W1" s="40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f t="shared" ref="B13:B35" si="55">B13</f>
        <v>251.4</v>
      </c>
      <c r="C14" s="64">
        <f t="shared" ref="C13:C35" si="56">C13</f>
        <v>257.39999999999998</v>
      </c>
      <c r="D14" s="45">
        <f t="shared" si="23"/>
        <v>0</v>
      </c>
      <c r="E14" s="45">
        <f t="shared" si="9"/>
        <v>0</v>
      </c>
      <c r="F14" s="64">
        <f t="shared" si="31"/>
        <v>1648</v>
      </c>
      <c r="G14" s="52">
        <f t="shared" si="0"/>
        <v>0</v>
      </c>
      <c r="H14" s="64">
        <f t="shared" si="31"/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7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8">AC13</f>
        <v>1932</v>
      </c>
      <c r="AD14" s="45">
        <f t="shared" si="7"/>
        <v>0</v>
      </c>
      <c r="AE14" s="64">
        <f t="shared" si="58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9">AN13</f>
        <v>67</v>
      </c>
      <c r="AO14" s="328">
        <f t="shared" si="20"/>
        <v>2010.0000000000002</v>
      </c>
      <c r="AP14" s="64">
        <f t="shared" si="59"/>
        <v>70</v>
      </c>
      <c r="AQ14" s="328">
        <f t="shared" si="21"/>
        <v>2100</v>
      </c>
      <c r="AR14" s="64">
        <f t="shared" ref="AR14" si="60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f t="shared" si="55"/>
        <v>251.4</v>
      </c>
      <c r="C15" s="64">
        <f t="shared" si="56"/>
        <v>257.39999999999998</v>
      </c>
      <c r="D15" s="45">
        <f t="shared" si="23"/>
        <v>0</v>
      </c>
      <c r="E15" s="45">
        <f t="shared" si="9"/>
        <v>0</v>
      </c>
      <c r="F15" s="64">
        <f t="shared" si="31"/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f t="shared" si="32"/>
        <v>2106</v>
      </c>
      <c r="L15" s="52">
        <f t="shared" si="2"/>
        <v>0</v>
      </c>
      <c r="M15" s="64">
        <f t="shared" si="32"/>
        <v>154583</v>
      </c>
      <c r="N15" s="406">
        <f t="shared" si="3"/>
        <v>0</v>
      </c>
      <c r="O15" s="64">
        <f t="shared" si="11"/>
        <v>211.87499999999994</v>
      </c>
      <c r="P15" s="64">
        <f t="shared" si="11"/>
        <v>1835</v>
      </c>
      <c r="Q15" s="64">
        <f t="shared" ref="Q15" si="61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0</v>
      </c>
      <c r="V15" s="62">
        <f t="shared" si="13"/>
        <v>0</v>
      </c>
      <c r="W15" s="410" t="e">
        <f t="shared" si="14"/>
        <v>#DIV/0!</v>
      </c>
      <c r="X15" s="64">
        <f t="shared" si="34"/>
        <v>2418</v>
      </c>
      <c r="Y15" s="52">
        <f t="shared" si="15"/>
        <v>0</v>
      </c>
      <c r="Z15" s="64">
        <f t="shared" si="34"/>
        <v>135983</v>
      </c>
      <c r="AA15" s="65">
        <f t="shared" si="6"/>
        <v>0</v>
      </c>
      <c r="AB15" s="292">
        <f t="shared" si="25"/>
        <v>0</v>
      </c>
      <c r="AC15" s="64">
        <f t="shared" ref="AC15:AE15" si="62">AC14</f>
        <v>1932</v>
      </c>
      <c r="AD15" s="45">
        <f t="shared" si="7"/>
        <v>0</v>
      </c>
      <c r="AE15" s="64">
        <f t="shared" si="62"/>
        <v>365157</v>
      </c>
      <c r="AF15" s="314">
        <f t="shared" si="16"/>
        <v>0</v>
      </c>
      <c r="AG15" s="212">
        <f t="shared" si="26"/>
        <v>0</v>
      </c>
      <c r="AH15" s="62">
        <f t="shared" si="27"/>
        <v>0</v>
      </c>
      <c r="AI15" s="326">
        <f t="shared" si="17"/>
        <v>0</v>
      </c>
      <c r="AJ15" s="326">
        <f>-tanks!AW16</f>
        <v>0</v>
      </c>
      <c r="AK15" s="326">
        <f t="shared" si="18"/>
        <v>0</v>
      </c>
      <c r="AL15" s="326">
        <f t="shared" si="8"/>
        <v>0</v>
      </c>
      <c r="AM15" s="326">
        <f t="shared" si="19"/>
        <v>0</v>
      </c>
      <c r="AN15" s="64">
        <f t="shared" ref="AN15:AP15" si="63">AN14</f>
        <v>67</v>
      </c>
      <c r="AO15" s="328">
        <f t="shared" si="20"/>
        <v>2010.0000000000002</v>
      </c>
      <c r="AP15" s="64">
        <f t="shared" si="63"/>
        <v>70</v>
      </c>
      <c r="AQ15" s="328">
        <f t="shared" si="21"/>
        <v>2100</v>
      </c>
      <c r="AR15" s="64">
        <f t="shared" ref="AR15" si="64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f t="shared" si="55"/>
        <v>251.4</v>
      </c>
      <c r="C16" s="64">
        <f t="shared" si="56"/>
        <v>257.39999999999998</v>
      </c>
      <c r="D16" s="45">
        <f t="shared" si="23"/>
        <v>0</v>
      </c>
      <c r="E16" s="45">
        <f t="shared" si="9"/>
        <v>0</v>
      </c>
      <c r="F16" s="64">
        <f t="shared" si="31"/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2106</v>
      </c>
      <c r="L16" s="52">
        <f t="shared" si="2"/>
        <v>0</v>
      </c>
      <c r="M16" s="64">
        <f t="shared" si="32"/>
        <v>154583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5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2418</v>
      </c>
      <c r="Y16" s="52">
        <f t="shared" si="15"/>
        <v>0</v>
      </c>
      <c r="Z16" s="64">
        <f t="shared" si="34"/>
        <v>135983</v>
      </c>
      <c r="AA16" s="65">
        <f t="shared" si="6"/>
        <v>0</v>
      </c>
      <c r="AB16" s="292">
        <f t="shared" si="25"/>
        <v>0</v>
      </c>
      <c r="AC16" s="64">
        <f t="shared" ref="AC16:AE16" si="66">AC15</f>
        <v>1932</v>
      </c>
      <c r="AD16" s="45">
        <f t="shared" si="7"/>
        <v>0</v>
      </c>
      <c r="AE16" s="64">
        <f t="shared" si="66"/>
        <v>365157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7">AN15</f>
        <v>67</v>
      </c>
      <c r="AO16" s="328">
        <f t="shared" si="20"/>
        <v>2010.0000000000002</v>
      </c>
      <c r="AP16" s="64">
        <f t="shared" si="67"/>
        <v>70</v>
      </c>
      <c r="AQ16" s="328">
        <f t="shared" si="21"/>
        <v>2100</v>
      </c>
      <c r="AR16" s="64">
        <f t="shared" ref="AR16" si="68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si="55"/>
        <v>251.4</v>
      </c>
      <c r="C17" s="64">
        <f t="shared" si="56"/>
        <v>257.39999999999998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2106</v>
      </c>
      <c r="L17" s="52">
        <f t="shared" si="2"/>
        <v>0</v>
      </c>
      <c r="M17" s="64">
        <f t="shared" si="32"/>
        <v>154583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9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2418</v>
      </c>
      <c r="Y17" s="52">
        <f t="shared" si="15"/>
        <v>0</v>
      </c>
      <c r="Z17" s="64">
        <f t="shared" si="34"/>
        <v>135983</v>
      </c>
      <c r="AA17" s="65">
        <f t="shared" si="6"/>
        <v>0</v>
      </c>
      <c r="AB17" s="292">
        <f t="shared" si="25"/>
        <v>0</v>
      </c>
      <c r="AC17" s="64">
        <f t="shared" ref="AC17:AE17" si="70">AC16</f>
        <v>1932</v>
      </c>
      <c r="AD17" s="45">
        <f t="shared" si="7"/>
        <v>0</v>
      </c>
      <c r="AE17" s="64">
        <f t="shared" si="70"/>
        <v>365157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1">AN16</f>
        <v>67</v>
      </c>
      <c r="AO17" s="328">
        <f t="shared" si="20"/>
        <v>2010.0000000000002</v>
      </c>
      <c r="AP17" s="64">
        <f t="shared" si="71"/>
        <v>70</v>
      </c>
      <c r="AQ17" s="328">
        <f t="shared" si="21"/>
        <v>2100</v>
      </c>
      <c r="AR17" s="64">
        <f t="shared" ref="AR17" si="72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f t="shared" si="55"/>
        <v>251.4</v>
      </c>
      <c r="C18" s="64">
        <f t="shared" si="56"/>
        <v>257.39999999999998</v>
      </c>
      <c r="D18" s="45">
        <f t="shared" si="23"/>
        <v>0</v>
      </c>
      <c r="E18" s="45">
        <f t="shared" si="9"/>
        <v>0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2106</v>
      </c>
      <c r="L18" s="52">
        <f t="shared" si="2"/>
        <v>0</v>
      </c>
      <c r="M18" s="64">
        <f t="shared" si="32"/>
        <v>154583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3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2418</v>
      </c>
      <c r="Y18" s="52">
        <f t="shared" si="15"/>
        <v>0</v>
      </c>
      <c r="Z18" s="64">
        <f t="shared" si="34"/>
        <v>135983</v>
      </c>
      <c r="AA18" s="65">
        <f t="shared" si="6"/>
        <v>0</v>
      </c>
      <c r="AB18" s="292">
        <f t="shared" ref="AB18:AB23" si="74">SUM(Y18*$AB$2)</f>
        <v>0</v>
      </c>
      <c r="AC18" s="64">
        <f t="shared" ref="AC18:AE18" si="75">AC17</f>
        <v>1932</v>
      </c>
      <c r="AD18" s="45">
        <f t="shared" si="7"/>
        <v>0</v>
      </c>
      <c r="AE18" s="64">
        <f t="shared" si="75"/>
        <v>365157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6">AN17</f>
        <v>67</v>
      </c>
      <c r="AO18" s="328">
        <f t="shared" si="20"/>
        <v>2010.0000000000002</v>
      </c>
      <c r="AP18" s="64">
        <f t="shared" si="76"/>
        <v>70</v>
      </c>
      <c r="AQ18" s="328">
        <f t="shared" si="21"/>
        <v>2100</v>
      </c>
      <c r="AR18" s="64">
        <f t="shared" ref="AR18" si="77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f t="shared" si="55"/>
        <v>251.4</v>
      </c>
      <c r="C19" s="64">
        <f t="shared" si="56"/>
        <v>257.39999999999998</v>
      </c>
      <c r="D19" s="45">
        <f t="shared" si="23"/>
        <v>0</v>
      </c>
      <c r="E19" s="45">
        <f t="shared" si="9"/>
        <v>0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2106</v>
      </c>
      <c r="L19" s="52">
        <f t="shared" si="2"/>
        <v>0</v>
      </c>
      <c r="M19" s="64">
        <f t="shared" si="32"/>
        <v>154583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8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2418</v>
      </c>
      <c r="Y19" s="52">
        <f t="shared" si="15"/>
        <v>0</v>
      </c>
      <c r="Z19" s="64">
        <f t="shared" si="34"/>
        <v>135983</v>
      </c>
      <c r="AA19" s="65">
        <f t="shared" si="6"/>
        <v>0</v>
      </c>
      <c r="AB19" s="292">
        <f t="shared" si="74"/>
        <v>0</v>
      </c>
      <c r="AC19" s="64">
        <f t="shared" ref="AC19:AE19" si="79">AC18</f>
        <v>1932</v>
      </c>
      <c r="AD19" s="45">
        <f t="shared" si="7"/>
        <v>0</v>
      </c>
      <c r="AE19" s="64">
        <f t="shared" si="79"/>
        <v>365157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80">AN18</f>
        <v>67</v>
      </c>
      <c r="AO19" s="328">
        <f t="shared" si="20"/>
        <v>2010.0000000000002</v>
      </c>
      <c r="AP19" s="64">
        <f t="shared" si="80"/>
        <v>70</v>
      </c>
      <c r="AQ19" s="328">
        <f t="shared" si="21"/>
        <v>2100</v>
      </c>
      <c r="AR19" s="64">
        <f t="shared" ref="AR19" si="81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f t="shared" si="55"/>
        <v>251.4</v>
      </c>
      <c r="C20" s="64">
        <f t="shared" si="56"/>
        <v>257.39999999999998</v>
      </c>
      <c r="D20" s="45">
        <f>C19-C20</f>
        <v>0</v>
      </c>
      <c r="E20" s="45">
        <f t="shared" si="9"/>
        <v>0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2106</v>
      </c>
      <c r="L20" s="52">
        <f t="shared" si="2"/>
        <v>0</v>
      </c>
      <c r="M20" s="64">
        <f t="shared" si="32"/>
        <v>154583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2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2418</v>
      </c>
      <c r="Y20" s="52">
        <f t="shared" si="15"/>
        <v>0</v>
      </c>
      <c r="Z20" s="64">
        <f t="shared" si="34"/>
        <v>135983</v>
      </c>
      <c r="AA20" s="65">
        <f t="shared" si="6"/>
        <v>0</v>
      </c>
      <c r="AB20" s="292">
        <f t="shared" si="74"/>
        <v>0</v>
      </c>
      <c r="AC20" s="64">
        <f t="shared" ref="AC20:AE20" si="83">AC19</f>
        <v>1932</v>
      </c>
      <c r="AD20" s="45">
        <f t="shared" si="7"/>
        <v>0</v>
      </c>
      <c r="AE20" s="64">
        <f t="shared" si="83"/>
        <v>365157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4">AN19</f>
        <v>67</v>
      </c>
      <c r="AO20" s="328">
        <f t="shared" si="20"/>
        <v>2010.0000000000002</v>
      </c>
      <c r="AP20" s="64">
        <f t="shared" si="84"/>
        <v>70</v>
      </c>
      <c r="AQ20" s="328">
        <f t="shared" si="21"/>
        <v>2100</v>
      </c>
      <c r="AR20" s="64">
        <f t="shared" ref="AR20" si="85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f>ELEC!C19</f>
        <v>44060</v>
      </c>
      <c r="B21" s="64">
        <f t="shared" si="55"/>
        <v>251.4</v>
      </c>
      <c r="C21" s="64">
        <f t="shared" si="56"/>
        <v>257.39999999999998</v>
      </c>
      <c r="D21" s="45">
        <f t="shared" ref="D21:D31" si="86">C20-C21</f>
        <v>0</v>
      </c>
      <c r="E21" s="45">
        <f t="shared" si="9"/>
        <v>0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2106</v>
      </c>
      <c r="L21" s="52">
        <f t="shared" si="2"/>
        <v>0</v>
      </c>
      <c r="M21" s="64">
        <f t="shared" si="32"/>
        <v>154583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7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2418</v>
      </c>
      <c r="Y21" s="52">
        <f t="shared" si="15"/>
        <v>0</v>
      </c>
      <c r="Z21" s="64">
        <f t="shared" si="34"/>
        <v>135983</v>
      </c>
      <c r="AA21" s="65">
        <f t="shared" si="6"/>
        <v>0</v>
      </c>
      <c r="AB21" s="292">
        <f t="shared" si="74"/>
        <v>0</v>
      </c>
      <c r="AC21" s="64">
        <f t="shared" ref="AC21:AE21" si="88">AC20</f>
        <v>1932</v>
      </c>
      <c r="AD21" s="45">
        <f t="shared" si="7"/>
        <v>0</v>
      </c>
      <c r="AE21" s="64">
        <f t="shared" si="88"/>
        <v>365157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9">S21+L21+G21</f>
        <v>0</v>
      </c>
      <c r="AM21" s="326">
        <f t="shared" si="19"/>
        <v>0</v>
      </c>
      <c r="AN21" s="64">
        <f t="shared" ref="AN21:AP21" si="90">AN20</f>
        <v>67</v>
      </c>
      <c r="AO21" s="328">
        <f t="shared" si="20"/>
        <v>2010.0000000000002</v>
      </c>
      <c r="AP21" s="64">
        <f t="shared" si="90"/>
        <v>70</v>
      </c>
      <c r="AQ21" s="328">
        <f t="shared" si="21"/>
        <v>2100</v>
      </c>
      <c r="AR21" s="64">
        <f t="shared" ref="AR21" si="91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f t="shared" si="55"/>
        <v>251.4</v>
      </c>
      <c r="C22" s="64">
        <f t="shared" si="56"/>
        <v>257.39999999999998</v>
      </c>
      <c r="D22" s="45">
        <f t="shared" si="86"/>
        <v>0</v>
      </c>
      <c r="E22" s="45">
        <f t="shared" si="9"/>
        <v>0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f t="shared" si="32"/>
        <v>2106</v>
      </c>
      <c r="L22" s="52">
        <f t="shared" si="2"/>
        <v>0</v>
      </c>
      <c r="M22" s="64">
        <f t="shared" si="32"/>
        <v>154583</v>
      </c>
      <c r="N22" s="406">
        <f t="shared" si="3"/>
        <v>0</v>
      </c>
      <c r="O22" s="64">
        <f t="shared" si="11"/>
        <v>211.87499999999994</v>
      </c>
      <c r="P22" s="64">
        <f t="shared" si="11"/>
        <v>1835</v>
      </c>
      <c r="Q22" s="64">
        <f t="shared" ref="Q22" si="92">Q21</f>
        <v>155805</v>
      </c>
      <c r="R22" s="405">
        <f t="shared" si="44"/>
        <v>0</v>
      </c>
      <c r="S22" s="52">
        <f t="shared" si="5"/>
        <v>0</v>
      </c>
      <c r="T22" s="67">
        <f t="shared" si="24"/>
        <v>0</v>
      </c>
      <c r="U22" s="412">
        <f t="shared" si="12"/>
        <v>0</v>
      </c>
      <c r="V22" s="62">
        <f t="shared" si="13"/>
        <v>0</v>
      </c>
      <c r="W22" s="410"/>
      <c r="X22" s="64">
        <f t="shared" si="34"/>
        <v>2418</v>
      </c>
      <c r="Y22" s="52">
        <f t="shared" si="15"/>
        <v>0</v>
      </c>
      <c r="Z22" s="64">
        <f t="shared" si="34"/>
        <v>135983</v>
      </c>
      <c r="AA22" s="65">
        <f t="shared" si="6"/>
        <v>0</v>
      </c>
      <c r="AB22" s="292">
        <f t="shared" si="74"/>
        <v>0</v>
      </c>
      <c r="AC22" s="64">
        <f t="shared" ref="AC22:AE22" si="93">AC21</f>
        <v>1932</v>
      </c>
      <c r="AD22" s="45">
        <f t="shared" si="7"/>
        <v>0</v>
      </c>
      <c r="AE22" s="64">
        <f t="shared" si="93"/>
        <v>365157</v>
      </c>
      <c r="AF22" s="314">
        <f t="shared" si="16"/>
        <v>0</v>
      </c>
      <c r="AG22" s="212">
        <f t="shared" si="26"/>
        <v>0</v>
      </c>
      <c r="AH22" s="62">
        <f t="shared" si="27"/>
        <v>0</v>
      </c>
      <c r="AI22" s="326">
        <f t="shared" si="17"/>
        <v>0</v>
      </c>
      <c r="AJ22" s="326">
        <f>-tanks!AW23</f>
        <v>0</v>
      </c>
      <c r="AK22" s="326">
        <f t="shared" si="18"/>
        <v>0</v>
      </c>
      <c r="AL22" s="326">
        <f t="shared" si="89"/>
        <v>0</v>
      </c>
      <c r="AM22" s="326">
        <f t="shared" si="19"/>
        <v>0</v>
      </c>
      <c r="AN22" s="64">
        <f t="shared" ref="AN22:AP22" si="94">AN21</f>
        <v>67</v>
      </c>
      <c r="AO22" s="328">
        <f t="shared" si="20"/>
        <v>2010.0000000000002</v>
      </c>
      <c r="AP22" s="64">
        <f t="shared" si="94"/>
        <v>70</v>
      </c>
      <c r="AQ22" s="328">
        <f t="shared" si="21"/>
        <v>2100</v>
      </c>
      <c r="AR22" s="64">
        <f t="shared" ref="AR22" si="95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55"/>
        <v>251.4</v>
      </c>
      <c r="C23" s="64">
        <f t="shared" si="56"/>
        <v>257.39999999999998</v>
      </c>
      <c r="D23" s="45">
        <f t="shared" si="86"/>
        <v>0</v>
      </c>
      <c r="E23" s="45">
        <f t="shared" si="9"/>
        <v>0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2106</v>
      </c>
      <c r="L23" s="52">
        <f t="shared" si="2"/>
        <v>0</v>
      </c>
      <c r="M23" s="64">
        <f t="shared" si="32"/>
        <v>154583</v>
      </c>
      <c r="N23" s="406">
        <f t="shared" si="3"/>
        <v>0</v>
      </c>
      <c r="O23" s="64">
        <f t="shared" si="11"/>
        <v>211.87499999999994</v>
      </c>
      <c r="P23" s="64">
        <f t="shared" si="11"/>
        <v>1835</v>
      </c>
      <c r="Q23" s="64">
        <f t="shared" ref="Q23" si="96">Q22</f>
        <v>155805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4"/>
        <v>2418</v>
      </c>
      <c r="Y23" s="52">
        <f t="shared" si="15"/>
        <v>0</v>
      </c>
      <c r="Z23" s="64">
        <f t="shared" si="34"/>
        <v>135983</v>
      </c>
      <c r="AA23" s="65">
        <f t="shared" si="6"/>
        <v>0</v>
      </c>
      <c r="AB23" s="292">
        <f t="shared" si="74"/>
        <v>0</v>
      </c>
      <c r="AC23" s="64">
        <f t="shared" ref="AC23:AE23" si="97">AC22</f>
        <v>1932</v>
      </c>
      <c r="AD23" s="45">
        <f t="shared" si="7"/>
        <v>0</v>
      </c>
      <c r="AE23" s="64">
        <f t="shared" si="97"/>
        <v>365157</v>
      </c>
      <c r="AF23" s="314">
        <f t="shared" si="16"/>
        <v>0</v>
      </c>
      <c r="AG23" s="212">
        <f t="shared" si="26"/>
        <v>0</v>
      </c>
      <c r="AH23" s="62">
        <f t="shared" si="27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89"/>
        <v>0</v>
      </c>
      <c r="AM23" s="326">
        <f t="shared" si="19"/>
        <v>0</v>
      </c>
      <c r="AN23" s="64">
        <f t="shared" ref="AN23:AP23" si="98">AN22</f>
        <v>67</v>
      </c>
      <c r="AO23" s="328">
        <f t="shared" si="20"/>
        <v>2010.0000000000002</v>
      </c>
      <c r="AP23" s="64">
        <f t="shared" si="98"/>
        <v>70</v>
      </c>
      <c r="AQ23" s="328">
        <f t="shared" si="21"/>
        <v>2100</v>
      </c>
      <c r="AR23" s="64">
        <f t="shared" ref="AR23" si="99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55"/>
        <v>251.4</v>
      </c>
      <c r="C24" s="64">
        <f t="shared" si="56"/>
        <v>257.39999999999998</v>
      </c>
      <c r="D24" s="45">
        <f t="shared" si="86"/>
        <v>0</v>
      </c>
      <c r="E24" s="45">
        <f t="shared" si="9"/>
        <v>0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2106</v>
      </c>
      <c r="L24" s="52">
        <f t="shared" si="2"/>
        <v>0</v>
      </c>
      <c r="M24" s="64">
        <f t="shared" si="32"/>
        <v>154583</v>
      </c>
      <c r="N24" s="406">
        <f t="shared" si="3"/>
        <v>0</v>
      </c>
      <c r="O24" s="64">
        <f t="shared" si="11"/>
        <v>211.87499999999994</v>
      </c>
      <c r="P24" s="64">
        <f t="shared" si="11"/>
        <v>1835</v>
      </c>
      <c r="Q24" s="64">
        <f t="shared" ref="Q24" si="100">Q23</f>
        <v>155805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2418</v>
      </c>
      <c r="Y24" s="52">
        <f t="shared" si="15"/>
        <v>0</v>
      </c>
      <c r="Z24" s="64">
        <f t="shared" si="34"/>
        <v>135983</v>
      </c>
      <c r="AA24" s="65">
        <f t="shared" si="6"/>
        <v>0</v>
      </c>
      <c r="AB24" s="292">
        <f t="shared" ref="AB24:AB34" si="101">SUM(Y24*$AB$2)</f>
        <v>0</v>
      </c>
      <c r="AC24" s="64">
        <f t="shared" ref="AC24:AE24" si="102">AC23</f>
        <v>1932</v>
      </c>
      <c r="AD24" s="45">
        <f t="shared" si="7"/>
        <v>0</v>
      </c>
      <c r="AE24" s="64">
        <f t="shared" si="102"/>
        <v>365157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9"/>
        <v>0</v>
      </c>
      <c r="AM24" s="326">
        <f t="shared" si="19"/>
        <v>0</v>
      </c>
      <c r="AN24" s="64">
        <f t="shared" ref="AN24:AP24" si="103">AN23</f>
        <v>67</v>
      </c>
      <c r="AO24" s="328">
        <f t="shared" si="20"/>
        <v>2010.0000000000002</v>
      </c>
      <c r="AP24" s="64">
        <f t="shared" si="103"/>
        <v>70</v>
      </c>
      <c r="AQ24" s="328">
        <f t="shared" si="21"/>
        <v>2100</v>
      </c>
      <c r="AR24" s="64">
        <f t="shared" ref="AR24" si="104">AR23</f>
        <v>70</v>
      </c>
      <c r="AS24" s="328">
        <f t="shared" si="28"/>
        <v>2100</v>
      </c>
      <c r="AT24" s="328">
        <f t="shared" ref="AT24:AT34" si="105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55"/>
        <v>251.4</v>
      </c>
      <c r="C25" s="64">
        <f t="shared" si="56"/>
        <v>257.39999999999998</v>
      </c>
      <c r="D25" s="45">
        <f t="shared" si="86"/>
        <v>0</v>
      </c>
      <c r="E25" s="45">
        <f t="shared" si="9"/>
        <v>0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2106</v>
      </c>
      <c r="L25" s="52">
        <f t="shared" si="2"/>
        <v>0</v>
      </c>
      <c r="M25" s="64">
        <f t="shared" si="32"/>
        <v>154583</v>
      </c>
      <c r="N25" s="406">
        <f t="shared" si="3"/>
        <v>0</v>
      </c>
      <c r="O25" s="64">
        <f t="shared" si="11"/>
        <v>211.87499999999994</v>
      </c>
      <c r="P25" s="64">
        <f t="shared" si="11"/>
        <v>1835</v>
      </c>
      <c r="Q25" s="64">
        <f t="shared" ref="Q25" si="106">Q24</f>
        <v>155805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2418</v>
      </c>
      <c r="Y25" s="52">
        <f t="shared" si="15"/>
        <v>0</v>
      </c>
      <c r="Z25" s="64">
        <f t="shared" si="34"/>
        <v>135983</v>
      </c>
      <c r="AA25" s="65">
        <f t="shared" si="6"/>
        <v>0</v>
      </c>
      <c r="AB25" s="292">
        <f t="shared" si="101"/>
        <v>0</v>
      </c>
      <c r="AC25" s="64">
        <f t="shared" ref="AC25:AE25" si="107">AC24</f>
        <v>1932</v>
      </c>
      <c r="AD25" s="45">
        <f t="shared" si="7"/>
        <v>0</v>
      </c>
      <c r="AE25" s="64">
        <f t="shared" si="107"/>
        <v>365157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9"/>
        <v>0</v>
      </c>
      <c r="AM25" s="326">
        <f t="shared" si="19"/>
        <v>0</v>
      </c>
      <c r="AN25" s="64">
        <f t="shared" ref="AN25:AP25" si="108">AN24</f>
        <v>67</v>
      </c>
      <c r="AO25" s="328">
        <f t="shared" si="20"/>
        <v>2010.0000000000002</v>
      </c>
      <c r="AP25" s="64">
        <f t="shared" si="108"/>
        <v>70</v>
      </c>
      <c r="AQ25" s="328">
        <f t="shared" ref="AQ25:AQ34" si="109">(AP25/100)*3000</f>
        <v>2100</v>
      </c>
      <c r="AR25" s="64">
        <f t="shared" ref="AR25" si="110">AR24</f>
        <v>70</v>
      </c>
      <c r="AS25" s="328">
        <f t="shared" si="28"/>
        <v>2100</v>
      </c>
      <c r="AT25" s="328">
        <f t="shared" si="105"/>
        <v>6210</v>
      </c>
      <c r="AU25" s="328">
        <f t="shared" si="30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55"/>
        <v>251.4</v>
      </c>
      <c r="C26" s="64">
        <f t="shared" si="56"/>
        <v>257.39999999999998</v>
      </c>
      <c r="D26" s="45">
        <f t="shared" si="86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2106</v>
      </c>
      <c r="L26" s="52">
        <f t="shared" si="2"/>
        <v>0</v>
      </c>
      <c r="M26" s="64">
        <f t="shared" si="32"/>
        <v>154583</v>
      </c>
      <c r="N26" s="406">
        <f t="shared" si="3"/>
        <v>0</v>
      </c>
      <c r="O26" s="64">
        <f t="shared" si="11"/>
        <v>211.87499999999994</v>
      </c>
      <c r="P26" s="64">
        <f t="shared" si="11"/>
        <v>1835</v>
      </c>
      <c r="Q26" s="64">
        <f t="shared" ref="Q26" si="111">Q25</f>
        <v>155805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2418</v>
      </c>
      <c r="Y26" s="52">
        <f t="shared" si="15"/>
        <v>0</v>
      </c>
      <c r="Z26" s="64">
        <f t="shared" si="34"/>
        <v>135983</v>
      </c>
      <c r="AA26" s="65">
        <f t="shared" si="6"/>
        <v>0</v>
      </c>
      <c r="AB26" s="292">
        <f t="shared" si="101"/>
        <v>0</v>
      </c>
      <c r="AC26" s="64">
        <f t="shared" ref="AC26:AE26" si="112">AC25</f>
        <v>1932</v>
      </c>
      <c r="AD26" s="45">
        <f t="shared" si="7"/>
        <v>0</v>
      </c>
      <c r="AE26" s="64">
        <f t="shared" si="112"/>
        <v>365157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9"/>
        <v>0</v>
      </c>
      <c r="AM26" s="326">
        <f t="shared" si="19"/>
        <v>0</v>
      </c>
      <c r="AN26" s="64">
        <f t="shared" ref="AN26:AP26" si="113">AN25</f>
        <v>67</v>
      </c>
      <c r="AO26" s="328">
        <f t="shared" si="20"/>
        <v>2010.0000000000002</v>
      </c>
      <c r="AP26" s="64">
        <f t="shared" si="113"/>
        <v>70</v>
      </c>
      <c r="AQ26" s="328">
        <f t="shared" si="109"/>
        <v>2100</v>
      </c>
      <c r="AR26" s="64">
        <f t="shared" ref="AR26" si="114">AR25</f>
        <v>70</v>
      </c>
      <c r="AS26" s="328">
        <f t="shared" si="28"/>
        <v>2100</v>
      </c>
      <c r="AT26" s="328">
        <f t="shared" si="105"/>
        <v>6210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55"/>
        <v>251.4</v>
      </c>
      <c r="C27" s="64">
        <f t="shared" si="56"/>
        <v>257.39999999999998</v>
      </c>
      <c r="D27" s="45">
        <f t="shared" si="86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2106</v>
      </c>
      <c r="L27" s="52">
        <f t="shared" si="2"/>
        <v>0</v>
      </c>
      <c r="M27" s="64">
        <f t="shared" si="32"/>
        <v>154583</v>
      </c>
      <c r="N27" s="406">
        <f t="shared" si="3"/>
        <v>0</v>
      </c>
      <c r="O27" s="64">
        <f t="shared" si="11"/>
        <v>211.87499999999994</v>
      </c>
      <c r="P27" s="64">
        <f t="shared" si="11"/>
        <v>1835</v>
      </c>
      <c r="Q27" s="64">
        <f t="shared" ref="Q27" si="115">Q26</f>
        <v>155805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2418</v>
      </c>
      <c r="Y27" s="52">
        <f t="shared" si="15"/>
        <v>0</v>
      </c>
      <c r="Z27" s="64">
        <f t="shared" si="34"/>
        <v>135983</v>
      </c>
      <c r="AA27" s="65">
        <f t="shared" si="6"/>
        <v>0</v>
      </c>
      <c r="AB27" s="292">
        <f t="shared" si="101"/>
        <v>0</v>
      </c>
      <c r="AC27" s="64">
        <f t="shared" ref="AC27:AE27" si="116">AC26</f>
        <v>1932</v>
      </c>
      <c r="AD27" s="45">
        <f t="shared" si="7"/>
        <v>0</v>
      </c>
      <c r="AE27" s="64">
        <f t="shared" si="116"/>
        <v>365157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89"/>
        <v>0</v>
      </c>
      <c r="AM27" s="326">
        <f t="shared" si="19"/>
        <v>0</v>
      </c>
      <c r="AN27" s="64">
        <f t="shared" ref="AN27:AP27" si="117">AN26</f>
        <v>67</v>
      </c>
      <c r="AO27" s="328">
        <f>(AN27/100)*3000</f>
        <v>2010.0000000000002</v>
      </c>
      <c r="AP27" s="64">
        <f t="shared" si="117"/>
        <v>70</v>
      </c>
      <c r="AQ27" s="328">
        <f t="shared" si="109"/>
        <v>2100</v>
      </c>
      <c r="AR27" s="64">
        <f t="shared" ref="AR27" si="118">AR26</f>
        <v>70</v>
      </c>
      <c r="AS27" s="328">
        <f t="shared" si="28"/>
        <v>2100</v>
      </c>
      <c r="AT27" s="328">
        <f t="shared" si="105"/>
        <v>6210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55"/>
        <v>251.4</v>
      </c>
      <c r="C28" s="64">
        <f t="shared" si="56"/>
        <v>257.39999999999998</v>
      </c>
      <c r="D28" s="45">
        <f t="shared" si="86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2106</v>
      </c>
      <c r="L28" s="52">
        <f t="shared" si="2"/>
        <v>0</v>
      </c>
      <c r="M28" s="64">
        <f t="shared" si="32"/>
        <v>154583</v>
      </c>
      <c r="N28" s="406">
        <f t="shared" si="3"/>
        <v>0</v>
      </c>
      <c r="O28" s="64">
        <f t="shared" si="11"/>
        <v>211.87499999999994</v>
      </c>
      <c r="P28" s="64">
        <f t="shared" si="11"/>
        <v>1835</v>
      </c>
      <c r="Q28" s="64">
        <f t="shared" ref="Q28" si="119">Q27</f>
        <v>155805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2418</v>
      </c>
      <c r="Y28" s="52">
        <f t="shared" si="15"/>
        <v>0</v>
      </c>
      <c r="Z28" s="64">
        <f t="shared" si="34"/>
        <v>135983</v>
      </c>
      <c r="AA28" s="65">
        <f t="shared" si="6"/>
        <v>0</v>
      </c>
      <c r="AB28" s="292">
        <f t="shared" si="101"/>
        <v>0</v>
      </c>
      <c r="AC28" s="64">
        <f t="shared" ref="AC28:AE28" si="120">AC27</f>
        <v>1932</v>
      </c>
      <c r="AD28" s="45">
        <f t="shared" si="7"/>
        <v>0</v>
      </c>
      <c r="AE28" s="64">
        <f t="shared" si="120"/>
        <v>365157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9"/>
        <v>0</v>
      </c>
      <c r="AM28" s="326">
        <f t="shared" si="19"/>
        <v>0</v>
      </c>
      <c r="AN28" s="64">
        <f t="shared" ref="AN28:AP28" si="121">AN27</f>
        <v>67</v>
      </c>
      <c r="AO28" s="328">
        <f t="shared" ref="AO28:AO34" si="122">(AN28/100)*3000</f>
        <v>2010.0000000000002</v>
      </c>
      <c r="AP28" s="64">
        <f t="shared" si="121"/>
        <v>70</v>
      </c>
      <c r="AQ28" s="328">
        <f t="shared" si="109"/>
        <v>2100</v>
      </c>
      <c r="AR28" s="64">
        <f t="shared" ref="AR28" si="123">AR27</f>
        <v>70</v>
      </c>
      <c r="AS28" s="328">
        <f t="shared" si="28"/>
        <v>2100</v>
      </c>
      <c r="AT28" s="328">
        <f t="shared" si="105"/>
        <v>6210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55"/>
        <v>251.4</v>
      </c>
      <c r="C29" s="64">
        <f t="shared" si="56"/>
        <v>257.39999999999998</v>
      </c>
      <c r="D29" s="45">
        <f t="shared" si="86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2106</v>
      </c>
      <c r="L29" s="52">
        <f t="shared" si="2"/>
        <v>0</v>
      </c>
      <c r="M29" s="64">
        <f t="shared" si="32"/>
        <v>154583</v>
      </c>
      <c r="N29" s="406">
        <f t="shared" si="3"/>
        <v>0</v>
      </c>
      <c r="O29" s="64">
        <f t="shared" si="11"/>
        <v>211.87499999999994</v>
      </c>
      <c r="P29" s="64">
        <f t="shared" si="11"/>
        <v>1835</v>
      </c>
      <c r="Q29" s="64">
        <f t="shared" ref="Q29" si="124">Q28</f>
        <v>155805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2418</v>
      </c>
      <c r="Y29" s="52">
        <f t="shared" si="15"/>
        <v>0</v>
      </c>
      <c r="Z29" s="64">
        <f t="shared" si="34"/>
        <v>135983</v>
      </c>
      <c r="AA29" s="65">
        <f t="shared" si="6"/>
        <v>0</v>
      </c>
      <c r="AB29" s="292">
        <f t="shared" si="101"/>
        <v>0</v>
      </c>
      <c r="AC29" s="64">
        <f t="shared" ref="AC29:AE29" si="125">AC28</f>
        <v>1932</v>
      </c>
      <c r="AD29" s="45">
        <f t="shared" si="7"/>
        <v>0</v>
      </c>
      <c r="AE29" s="64">
        <f t="shared" si="125"/>
        <v>365157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9"/>
        <v>0</v>
      </c>
      <c r="AM29" s="326">
        <f t="shared" si="19"/>
        <v>0</v>
      </c>
      <c r="AN29" s="64">
        <f t="shared" ref="AN29:AP29" si="126">AN28</f>
        <v>67</v>
      </c>
      <c r="AO29" s="328">
        <f t="shared" si="122"/>
        <v>2010.0000000000002</v>
      </c>
      <c r="AP29" s="64">
        <f t="shared" si="126"/>
        <v>70</v>
      </c>
      <c r="AQ29" s="328">
        <f t="shared" si="109"/>
        <v>2100</v>
      </c>
      <c r="AR29" s="64">
        <f t="shared" ref="AR29" si="127">AR28</f>
        <v>70</v>
      </c>
      <c r="AS29" s="328">
        <f t="shared" si="28"/>
        <v>2100</v>
      </c>
      <c r="AT29" s="328">
        <f>SUM(AO29+AQ29+AS29)</f>
        <v>6210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55"/>
        <v>251.4</v>
      </c>
      <c r="C30" s="64">
        <f t="shared" si="56"/>
        <v>257.39999999999998</v>
      </c>
      <c r="D30" s="45">
        <f t="shared" si="86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2106</v>
      </c>
      <c r="L30" s="52">
        <f t="shared" si="2"/>
        <v>0</v>
      </c>
      <c r="M30" s="64">
        <f t="shared" si="32"/>
        <v>154583</v>
      </c>
      <c r="N30" s="406">
        <f t="shared" si="3"/>
        <v>0</v>
      </c>
      <c r="O30" s="64">
        <f t="shared" si="11"/>
        <v>211.87499999999994</v>
      </c>
      <c r="P30" s="64">
        <f t="shared" si="11"/>
        <v>1835</v>
      </c>
      <c r="Q30" s="64">
        <f t="shared" ref="Q30" si="128">Q29</f>
        <v>155805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2418</v>
      </c>
      <c r="Y30" s="52">
        <f t="shared" si="15"/>
        <v>0</v>
      </c>
      <c r="Z30" s="64">
        <f t="shared" si="34"/>
        <v>135983</v>
      </c>
      <c r="AA30" s="65">
        <f t="shared" si="6"/>
        <v>0</v>
      </c>
      <c r="AB30" s="292">
        <f t="shared" si="101"/>
        <v>0</v>
      </c>
      <c r="AC30" s="64">
        <f t="shared" ref="AC30:AE30" si="129">AC29</f>
        <v>1932</v>
      </c>
      <c r="AD30" s="45">
        <f t="shared" si="7"/>
        <v>0</v>
      </c>
      <c r="AE30" s="64">
        <f t="shared" si="129"/>
        <v>365157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9"/>
        <v>0</v>
      </c>
      <c r="AM30" s="326">
        <f t="shared" si="19"/>
        <v>0</v>
      </c>
      <c r="AN30" s="64">
        <f t="shared" ref="AN30:AP30" si="130">AN29</f>
        <v>67</v>
      </c>
      <c r="AO30" s="328">
        <f t="shared" si="122"/>
        <v>2010.0000000000002</v>
      </c>
      <c r="AP30" s="64">
        <f t="shared" si="130"/>
        <v>70</v>
      </c>
      <c r="AQ30" s="328">
        <f t="shared" si="109"/>
        <v>2100</v>
      </c>
      <c r="AR30" s="64">
        <f t="shared" ref="AR30" si="131">AR29</f>
        <v>70</v>
      </c>
      <c r="AS30" s="328">
        <f t="shared" si="28"/>
        <v>2100</v>
      </c>
      <c r="AT30" s="328">
        <f t="shared" si="105"/>
        <v>6210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55"/>
        <v>251.4</v>
      </c>
      <c r="C31" s="64">
        <f t="shared" si="56"/>
        <v>257.39999999999998</v>
      </c>
      <c r="D31" s="45">
        <f t="shared" si="86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2106</v>
      </c>
      <c r="L31" s="52">
        <f t="shared" si="2"/>
        <v>0</v>
      </c>
      <c r="M31" s="64">
        <f t="shared" si="32"/>
        <v>154583</v>
      </c>
      <c r="N31" s="406">
        <f t="shared" si="3"/>
        <v>0</v>
      </c>
      <c r="O31" s="64">
        <f t="shared" si="11"/>
        <v>211.87499999999994</v>
      </c>
      <c r="P31" s="64">
        <f t="shared" si="11"/>
        <v>1835</v>
      </c>
      <c r="Q31" s="64">
        <f t="shared" ref="Q31" si="132">Q30</f>
        <v>155805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2418</v>
      </c>
      <c r="Y31" s="52">
        <f t="shared" si="15"/>
        <v>0</v>
      </c>
      <c r="Z31" s="64">
        <f t="shared" si="34"/>
        <v>135983</v>
      </c>
      <c r="AA31" s="65">
        <f t="shared" si="6"/>
        <v>0</v>
      </c>
      <c r="AB31" s="292">
        <f t="shared" si="101"/>
        <v>0</v>
      </c>
      <c r="AC31" s="64">
        <f t="shared" ref="AC31:AE31" si="133">AC30</f>
        <v>1932</v>
      </c>
      <c r="AD31" s="275">
        <f t="shared" si="7"/>
        <v>0</v>
      </c>
      <c r="AE31" s="64">
        <f t="shared" si="133"/>
        <v>365157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9"/>
        <v>0</v>
      </c>
      <c r="AM31" s="326">
        <f t="shared" si="19"/>
        <v>0</v>
      </c>
      <c r="AN31" s="64">
        <f t="shared" ref="AN31:AP31" si="134">AN30</f>
        <v>67</v>
      </c>
      <c r="AO31" s="328">
        <f t="shared" si="122"/>
        <v>2010.0000000000002</v>
      </c>
      <c r="AP31" s="64">
        <f t="shared" si="134"/>
        <v>70</v>
      </c>
      <c r="AQ31" s="328">
        <f t="shared" si="109"/>
        <v>2100</v>
      </c>
      <c r="AR31" s="64">
        <f t="shared" ref="AR31" si="135">AR30</f>
        <v>70</v>
      </c>
      <c r="AS31" s="328">
        <f t="shared" si="28"/>
        <v>2100</v>
      </c>
      <c r="AT31" s="328">
        <f t="shared" si="105"/>
        <v>6210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55"/>
        <v>251.4</v>
      </c>
      <c r="C32" s="64">
        <f t="shared" si="56"/>
        <v>257.39999999999998</v>
      </c>
      <c r="D32" s="45">
        <f t="shared" si="23"/>
        <v>0</v>
      </c>
      <c r="E32" s="45">
        <f t="shared" ref="E32:E34" si="136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2106</v>
      </c>
      <c r="L32" s="52">
        <f t="shared" si="2"/>
        <v>0</v>
      </c>
      <c r="M32" s="64">
        <f t="shared" si="32"/>
        <v>154583</v>
      </c>
      <c r="N32" s="406">
        <f t="shared" si="3"/>
        <v>0</v>
      </c>
      <c r="O32" s="64">
        <f t="shared" si="11"/>
        <v>211.87499999999994</v>
      </c>
      <c r="P32" s="64">
        <f t="shared" si="11"/>
        <v>1835</v>
      </c>
      <c r="Q32" s="64">
        <f t="shared" ref="Q32" si="137">Q31</f>
        <v>155805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2418</v>
      </c>
      <c r="Y32" s="52">
        <f t="shared" si="15"/>
        <v>0</v>
      </c>
      <c r="Z32" s="64">
        <f t="shared" si="34"/>
        <v>135983</v>
      </c>
      <c r="AA32" s="65">
        <f t="shared" si="6"/>
        <v>0</v>
      </c>
      <c r="AB32" s="292">
        <f t="shared" si="101"/>
        <v>0</v>
      </c>
      <c r="AC32" s="64">
        <f t="shared" ref="AC32:AE32" si="138">AC31</f>
        <v>1932</v>
      </c>
      <c r="AD32" s="275">
        <f t="shared" si="7"/>
        <v>0</v>
      </c>
      <c r="AE32" s="64">
        <f t="shared" si="138"/>
        <v>365157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9"/>
        <v>0</v>
      </c>
      <c r="AM32" s="326">
        <f t="shared" si="19"/>
        <v>0</v>
      </c>
      <c r="AN32" s="64">
        <f t="shared" ref="AN32:AP32" si="139">AN31</f>
        <v>67</v>
      </c>
      <c r="AO32" s="328">
        <f t="shared" si="122"/>
        <v>2010.0000000000002</v>
      </c>
      <c r="AP32" s="64">
        <f t="shared" si="139"/>
        <v>70</v>
      </c>
      <c r="AQ32" s="328">
        <f t="shared" si="109"/>
        <v>2100</v>
      </c>
      <c r="AR32" s="64">
        <f t="shared" ref="AR32" si="140">AR31</f>
        <v>70</v>
      </c>
      <c r="AS32" s="328">
        <f t="shared" si="28"/>
        <v>2100</v>
      </c>
      <c r="AT32" s="328">
        <f t="shared" si="105"/>
        <v>6210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55"/>
        <v>251.4</v>
      </c>
      <c r="C33" s="64">
        <f t="shared" si="56"/>
        <v>257.39999999999998</v>
      </c>
      <c r="D33" s="45">
        <f t="shared" si="23"/>
        <v>0</v>
      </c>
      <c r="E33" s="45">
        <f t="shared" si="136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2106</v>
      </c>
      <c r="L33" s="52">
        <f t="shared" si="2"/>
        <v>0</v>
      </c>
      <c r="M33" s="64">
        <f t="shared" si="32"/>
        <v>154583</v>
      </c>
      <c r="N33" s="406">
        <f t="shared" si="3"/>
        <v>0</v>
      </c>
      <c r="O33" s="64">
        <f t="shared" si="11"/>
        <v>211.87499999999994</v>
      </c>
      <c r="P33" s="64">
        <f t="shared" si="11"/>
        <v>1835</v>
      </c>
      <c r="Q33" s="64">
        <f t="shared" ref="Q33" si="141">Q32</f>
        <v>155805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2418</v>
      </c>
      <c r="Y33" s="52">
        <f t="shared" si="15"/>
        <v>0</v>
      </c>
      <c r="Z33" s="64">
        <f t="shared" si="34"/>
        <v>135983</v>
      </c>
      <c r="AA33" s="65">
        <f t="shared" si="6"/>
        <v>0</v>
      </c>
      <c r="AB33" s="292">
        <f t="shared" si="101"/>
        <v>0</v>
      </c>
      <c r="AC33" s="64">
        <f t="shared" ref="AC33:AE33" si="142">AC32</f>
        <v>1932</v>
      </c>
      <c r="AD33" s="45">
        <f t="shared" si="7"/>
        <v>0</v>
      </c>
      <c r="AE33" s="64">
        <f t="shared" si="142"/>
        <v>365157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9"/>
        <v>0</v>
      </c>
      <c r="AM33" s="326">
        <f t="shared" si="19"/>
        <v>0</v>
      </c>
      <c r="AN33" s="64">
        <f t="shared" ref="AN33:AP33" si="143">AN32</f>
        <v>67</v>
      </c>
      <c r="AO33" s="328">
        <f t="shared" si="122"/>
        <v>2010.0000000000002</v>
      </c>
      <c r="AP33" s="64">
        <f t="shared" si="143"/>
        <v>70</v>
      </c>
      <c r="AQ33" s="328">
        <f t="shared" si="109"/>
        <v>2100</v>
      </c>
      <c r="AR33" s="64">
        <f t="shared" ref="AR33" si="144">AR32</f>
        <v>70</v>
      </c>
      <c r="AS33" s="328">
        <f t="shared" si="28"/>
        <v>2100</v>
      </c>
      <c r="AT33" s="328">
        <f t="shared" si="105"/>
        <v>6210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55"/>
        <v>251.4</v>
      </c>
      <c r="C34" s="64">
        <f t="shared" si="56"/>
        <v>257.39999999999998</v>
      </c>
      <c r="D34" s="45">
        <f t="shared" si="23"/>
        <v>0</v>
      </c>
      <c r="E34" s="45">
        <f t="shared" si="136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2106</v>
      </c>
      <c r="L34" s="52">
        <f t="shared" si="2"/>
        <v>0</v>
      </c>
      <c r="M34" s="64">
        <f t="shared" si="32"/>
        <v>154583</v>
      </c>
      <c r="N34" s="406">
        <f t="shared" si="3"/>
        <v>0</v>
      </c>
      <c r="O34" s="64">
        <f t="shared" si="11"/>
        <v>211.87499999999994</v>
      </c>
      <c r="P34" s="64">
        <f t="shared" si="11"/>
        <v>1835</v>
      </c>
      <c r="Q34" s="64">
        <f t="shared" ref="Q34" si="145">Q33</f>
        <v>155805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2418</v>
      </c>
      <c r="Y34" s="52">
        <f t="shared" si="15"/>
        <v>0</v>
      </c>
      <c r="Z34" s="64">
        <f t="shared" si="34"/>
        <v>135983</v>
      </c>
      <c r="AA34" s="65">
        <f t="shared" si="6"/>
        <v>0</v>
      </c>
      <c r="AB34" s="292">
        <f t="shared" si="101"/>
        <v>0</v>
      </c>
      <c r="AC34" s="64">
        <f t="shared" ref="AC34:AE34" si="146">AC33</f>
        <v>1932</v>
      </c>
      <c r="AD34" s="45">
        <f t="shared" si="7"/>
        <v>0</v>
      </c>
      <c r="AE34" s="64">
        <f t="shared" si="146"/>
        <v>365157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9"/>
        <v>0</v>
      </c>
      <c r="AM34" s="326">
        <f>Y34+AD34</f>
        <v>0</v>
      </c>
      <c r="AN34" s="64">
        <f t="shared" ref="AN34:AP34" si="147">AN33</f>
        <v>67</v>
      </c>
      <c r="AO34" s="328">
        <f t="shared" si="122"/>
        <v>2010.0000000000002</v>
      </c>
      <c r="AP34" s="64">
        <f t="shared" si="147"/>
        <v>70</v>
      </c>
      <c r="AQ34" s="328">
        <f t="shared" si="109"/>
        <v>2100</v>
      </c>
      <c r="AR34" s="64">
        <f t="shared" ref="AR34" si="148">AR33</f>
        <v>70</v>
      </c>
      <c r="AS34" s="328">
        <f t="shared" si="28"/>
        <v>2100</v>
      </c>
      <c r="AT34" s="328">
        <f t="shared" si="105"/>
        <v>6210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55"/>
        <v>251.4</v>
      </c>
      <c r="C35" s="64">
        <f t="shared" si="56"/>
        <v>257.39999999999998</v>
      </c>
      <c r="D35" s="45">
        <f t="shared" ref="D35" si="149">C34-C35</f>
        <v>0</v>
      </c>
      <c r="E35" s="45">
        <f t="shared" ref="E35" si="150">D35*8.38</f>
        <v>0</v>
      </c>
      <c r="F35" s="64">
        <f t="shared" si="31"/>
        <v>1648</v>
      </c>
      <c r="G35" s="52">
        <f t="shared" ref="G35" si="151">F35-F34</f>
        <v>0</v>
      </c>
      <c r="H35" s="64">
        <f t="shared" si="31"/>
        <v>357868</v>
      </c>
      <c r="I35" s="406">
        <f t="shared" ref="I35" si="152">SUM(H35-H34)</f>
        <v>0</v>
      </c>
      <c r="J35" s="66">
        <f t="shared" ref="J35" si="153">IF(G35&gt;0,I35/G35,0)</f>
        <v>0</v>
      </c>
      <c r="K35" s="64">
        <f t="shared" si="32"/>
        <v>2106</v>
      </c>
      <c r="L35" s="52">
        <f t="shared" ref="L35" si="154">K35-K34</f>
        <v>0</v>
      </c>
      <c r="M35" s="64">
        <f t="shared" si="32"/>
        <v>154583</v>
      </c>
      <c r="N35" s="406">
        <f t="shared" ref="N35" si="155">M35-M34</f>
        <v>0</v>
      </c>
      <c r="O35" s="64">
        <f t="shared" si="11"/>
        <v>211.87499999999994</v>
      </c>
      <c r="P35" s="64">
        <f t="shared" si="11"/>
        <v>1835</v>
      </c>
      <c r="Q35" s="64">
        <f t="shared" ref="Q35" si="156">Q34</f>
        <v>155805</v>
      </c>
      <c r="R35" s="405">
        <f t="shared" ref="R35" si="157">Q35-Q34</f>
        <v>0</v>
      </c>
      <c r="S35" s="52">
        <f t="shared" ref="S35" si="158">SUM(P35-P34)</f>
        <v>0</v>
      </c>
      <c r="T35" s="67">
        <f t="shared" ref="T35" si="159">SUM(S35*$T$2)</f>
        <v>0</v>
      </c>
      <c r="U35" s="412">
        <f t="shared" ref="U35" si="160">SUM(G35+L35+S35)</f>
        <v>0</v>
      </c>
      <c r="V35" s="62">
        <f t="shared" ref="V35" si="161">R35+N35+I35:I35</f>
        <v>0</v>
      </c>
      <c r="W35" s="410"/>
      <c r="X35" s="64">
        <f t="shared" si="34"/>
        <v>2418</v>
      </c>
      <c r="Y35" s="52">
        <f t="shared" ref="Y35" si="162">X35-X34</f>
        <v>0</v>
      </c>
      <c r="Z35" s="64">
        <f t="shared" si="34"/>
        <v>135983</v>
      </c>
      <c r="AA35" s="65">
        <f t="shared" ref="AA35" si="163">Z35-Z34</f>
        <v>0</v>
      </c>
      <c r="AB35" s="292">
        <f t="shared" ref="AB35" si="164">SUM(Y35*$AB$2)</f>
        <v>0</v>
      </c>
      <c r="AC35" s="64">
        <f t="shared" ref="AC35:AE35" si="165">AC34</f>
        <v>1932</v>
      </c>
      <c r="AD35" s="45">
        <f t="shared" ref="AD35" si="166">AC35-AC34</f>
        <v>0</v>
      </c>
      <c r="AE35" s="64">
        <f t="shared" si="165"/>
        <v>365157</v>
      </c>
      <c r="AF35" s="314">
        <f t="shared" ref="AF35" si="167">AE35-AE34</f>
        <v>0</v>
      </c>
      <c r="AG35" s="212">
        <f t="shared" ref="AG35" si="168">IF(AD35&gt;0,AF35/AD35,0)</f>
        <v>0</v>
      </c>
      <c r="AH35" s="62">
        <f t="shared" ref="AH35" si="169">AF35+AA35</f>
        <v>0</v>
      </c>
      <c r="AI35" s="326">
        <f t="shared" ref="AI35" si="170">SUM(AH35+V35)</f>
        <v>0</v>
      </c>
      <c r="AJ35" s="326">
        <f>-tanks!AW37</f>
        <v>0</v>
      </c>
      <c r="AK35" s="326">
        <f t="shared" ref="AK35" si="171">SUM(AJ35-AI35)</f>
        <v>0</v>
      </c>
      <c r="AL35" s="326">
        <f t="shared" ref="AL35" si="172">S35+L35+G35</f>
        <v>0</v>
      </c>
      <c r="AM35" s="326">
        <f>Y35+AD35</f>
        <v>0</v>
      </c>
      <c r="AN35" s="64">
        <f t="shared" ref="AN35:AP35" si="173">AN34</f>
        <v>67</v>
      </c>
      <c r="AO35" s="328">
        <f t="shared" ref="AO35" si="174">(AN35/100)*3000</f>
        <v>2010.0000000000002</v>
      </c>
      <c r="AP35" s="64">
        <f t="shared" si="173"/>
        <v>70</v>
      </c>
      <c r="AQ35" s="328">
        <f t="shared" ref="AQ35" si="175">(AP35/100)*3000</f>
        <v>2100</v>
      </c>
      <c r="AR35" s="64">
        <f t="shared" ref="AR35" si="176">AR34</f>
        <v>70</v>
      </c>
      <c r="AS35" s="328">
        <f t="shared" ref="AS35" si="177">(AR35/100)*3000</f>
        <v>2100</v>
      </c>
      <c r="AT35" s="328">
        <f t="shared" ref="AT35" si="178">SUM(AO35+AQ35+AS35)</f>
        <v>6210</v>
      </c>
      <c r="AU35" s="328">
        <f t="shared" ref="AU35" si="179">AT34-AT35+AV35</f>
        <v>0</v>
      </c>
      <c r="AV35" s="275"/>
      <c r="AW35" s="275"/>
      <c r="AX35" s="321">
        <f t="shared" ref="AX35" si="180">IF(AV35&gt;0,AW35,AX34)</f>
        <v>0.8</v>
      </c>
    </row>
    <row r="36" spans="1:50">
      <c r="J36" s="291">
        <f>SUM(J5:J34)/(COUNT(J5:J34)-COUNTIF(J5:J34,0))</f>
        <v>1</v>
      </c>
      <c r="V36" s="62">
        <f>SUM(V5:V35)</f>
        <v>856</v>
      </c>
      <c r="AE36" s="71" t="s">
        <v>385</v>
      </c>
      <c r="AG36" s="354"/>
      <c r="AH36" s="62">
        <f>SUM(AH5:AH35)</f>
        <v>577</v>
      </c>
      <c r="AL36" s="62">
        <f>SUM(AL5:AL35)</f>
        <v>11</v>
      </c>
      <c r="AM36" s="62">
        <f>SUM(AM5:AM35)</f>
        <v>11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870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1433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443.7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A1" zoomScaleNormal="100" workbookViewId="0">
      <pane ySplit="3" topLeftCell="A4" activePane="bottomLeft" state="frozen"/>
      <selection pane="bottomLeft" activeCell="BA14" sqref="BA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0" t="s">
        <v>126</v>
      </c>
      <c r="AO3" s="621"/>
      <c r="AP3" s="622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f t="shared" si="15"/>
        <v>146911</v>
      </c>
      <c r="Y15" s="332">
        <f t="shared" si="17"/>
        <v>0</v>
      </c>
      <c r="Z15" s="5">
        <f t="shared" si="15"/>
        <v>96523</v>
      </c>
      <c r="AA15" s="83">
        <f t="shared" si="18"/>
        <v>0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0</v>
      </c>
      <c r="AK15" s="335">
        <f t="shared" si="5"/>
        <v>0</v>
      </c>
      <c r="AL15" s="335">
        <f t="shared" si="23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f t="shared" si="6"/>
        <v>151</v>
      </c>
      <c r="AU15" s="436">
        <f t="shared" si="34"/>
        <v>1.1000000000000001</v>
      </c>
      <c r="AV15" s="204">
        <f t="shared" si="34"/>
        <v>103</v>
      </c>
      <c r="AW15" s="5">
        <v>2.9</v>
      </c>
      <c r="AX15" s="204">
        <f t="shared" ref="AX15" si="38">AX14</f>
        <v>124</v>
      </c>
      <c r="AY15" s="439">
        <f t="shared" si="7"/>
        <v>135.9</v>
      </c>
      <c r="AZ15" s="439">
        <f t="shared" si="25"/>
        <v>113.30000000000001</v>
      </c>
      <c r="BA15" s="439">
        <f t="shared" si="26"/>
        <v>359.59999999999997</v>
      </c>
      <c r="BB15" s="21">
        <f t="shared" si="27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44054</v>
      </c>
      <c r="B16" s="5">
        <f t="shared" si="31"/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f t="shared" si="15"/>
        <v>146911</v>
      </c>
      <c r="Y16" s="332">
        <f t="shared" si="17"/>
        <v>0</v>
      </c>
      <c r="Z16" s="5">
        <f t="shared" si="15"/>
        <v>96523</v>
      </c>
      <c r="AA16" s="83">
        <f t="shared" si="18"/>
        <v>0</v>
      </c>
      <c r="AB16" s="5">
        <f t="shared" si="15"/>
        <v>258</v>
      </c>
      <c r="AC16" s="5">
        <f t="shared" si="15"/>
        <v>670</v>
      </c>
      <c r="AD16" s="83">
        <f t="shared" si="30"/>
        <v>0</v>
      </c>
      <c r="AE16" s="5">
        <f t="shared" si="15"/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0</v>
      </c>
      <c r="AK16" s="335">
        <f t="shared" si="5"/>
        <v>0</v>
      </c>
      <c r="AL16" s="335">
        <f t="shared" si="23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f t="shared" si="6"/>
        <v>151</v>
      </c>
      <c r="AU16" s="436">
        <f t="shared" si="34"/>
        <v>1.1000000000000001</v>
      </c>
      <c r="AV16" s="204">
        <f t="shared" si="34"/>
        <v>103</v>
      </c>
      <c r="AW16" s="5">
        <v>2.9</v>
      </c>
      <c r="AX16" s="204">
        <f t="shared" ref="AX16" si="39">AX15</f>
        <v>124</v>
      </c>
      <c r="AY16" s="439">
        <f t="shared" si="7"/>
        <v>135.9</v>
      </c>
      <c r="AZ16" s="439">
        <f t="shared" si="25"/>
        <v>113.30000000000001</v>
      </c>
      <c r="BA16" s="439">
        <f t="shared" si="26"/>
        <v>359.59999999999997</v>
      </c>
      <c r="BB16" s="21">
        <f t="shared" si="27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146911</v>
      </c>
      <c r="Y17" s="332">
        <f t="shared" si="17"/>
        <v>0</v>
      </c>
      <c r="Z17" s="5">
        <f t="shared" si="15"/>
        <v>96523</v>
      </c>
      <c r="AA17" s="83">
        <f t="shared" si="18"/>
        <v>0</v>
      </c>
      <c r="AB17" s="5">
        <f t="shared" si="15"/>
        <v>258</v>
      </c>
      <c r="AC17" s="5">
        <f t="shared" si="15"/>
        <v>670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0</v>
      </c>
      <c r="AK17" s="335">
        <f t="shared" si="5"/>
        <v>0</v>
      </c>
      <c r="AL17" s="335">
        <f t="shared" si="23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f t="shared" si="6"/>
        <v>151</v>
      </c>
      <c r="AU17" s="436">
        <f t="shared" si="34"/>
        <v>1.1000000000000001</v>
      </c>
      <c r="AV17" s="204">
        <f t="shared" si="34"/>
        <v>103</v>
      </c>
      <c r="AW17" s="5">
        <v>2.9</v>
      </c>
      <c r="AX17" s="204">
        <f t="shared" ref="AX17" si="40">AX16</f>
        <v>124</v>
      </c>
      <c r="AY17" s="439">
        <f t="shared" si="7"/>
        <v>135.9</v>
      </c>
      <c r="AZ17" s="439">
        <f t="shared" si="25"/>
        <v>113.30000000000001</v>
      </c>
      <c r="BA17" s="439">
        <f t="shared" si="26"/>
        <v>359.59999999999997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44056</v>
      </c>
      <c r="B18" s="5">
        <f t="shared" si="31"/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146911</v>
      </c>
      <c r="Y18" s="332">
        <f t="shared" si="17"/>
        <v>0</v>
      </c>
      <c r="Z18" s="5">
        <f t="shared" si="15"/>
        <v>96523</v>
      </c>
      <c r="AA18" s="83">
        <f t="shared" si="18"/>
        <v>0</v>
      </c>
      <c r="AB18" s="5">
        <f t="shared" si="15"/>
        <v>258</v>
      </c>
      <c r="AC18" s="5">
        <f t="shared" si="15"/>
        <v>670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f t="shared" si="6"/>
        <v>151</v>
      </c>
      <c r="AU18" s="436">
        <f t="shared" si="34"/>
        <v>1.1000000000000001</v>
      </c>
      <c r="AV18" s="204">
        <f t="shared" si="34"/>
        <v>103</v>
      </c>
      <c r="AW18" s="5">
        <v>2.9</v>
      </c>
      <c r="AX18" s="204">
        <f t="shared" ref="AX18" si="41">AX17</f>
        <v>124</v>
      </c>
      <c r="AY18" s="439">
        <f t="shared" si="7"/>
        <v>135.9</v>
      </c>
      <c r="AZ18" s="439">
        <f t="shared" si="25"/>
        <v>113.30000000000001</v>
      </c>
      <c r="BA18" s="439">
        <f t="shared" si="26"/>
        <v>359.59999999999997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146911</v>
      </c>
      <c r="Y19" s="332">
        <f t="shared" si="17"/>
        <v>0</v>
      </c>
      <c r="Z19" s="5">
        <f t="shared" si="15"/>
        <v>96523</v>
      </c>
      <c r="AA19" s="83">
        <f t="shared" si="18"/>
        <v>0</v>
      </c>
      <c r="AB19" s="5">
        <f t="shared" si="15"/>
        <v>258</v>
      </c>
      <c r="AC19" s="5">
        <f t="shared" si="15"/>
        <v>670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151</v>
      </c>
      <c r="AU19" s="436">
        <f t="shared" si="34"/>
        <v>1.1000000000000001</v>
      </c>
      <c r="AV19" s="204">
        <f t="shared" si="34"/>
        <v>103</v>
      </c>
      <c r="AW19" s="5">
        <v>2.9</v>
      </c>
      <c r="AX19" s="204">
        <f t="shared" ref="AX19" si="42">AX18</f>
        <v>124</v>
      </c>
      <c r="AY19" s="439">
        <f t="shared" si="7"/>
        <v>135.9</v>
      </c>
      <c r="AZ19" s="439">
        <f t="shared" si="25"/>
        <v>113.30000000000001</v>
      </c>
      <c r="BA19" s="439">
        <f t="shared" si="26"/>
        <v>359.59999999999997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f t="shared" si="15"/>
        <v>146911</v>
      </c>
      <c r="Y20" s="332">
        <f t="shared" si="17"/>
        <v>0</v>
      </c>
      <c r="Z20" s="5">
        <f t="shared" si="15"/>
        <v>96523</v>
      </c>
      <c r="AA20" s="83">
        <f t="shared" si="18"/>
        <v>0</v>
      </c>
      <c r="AB20" s="5">
        <f t="shared" si="15"/>
        <v>258</v>
      </c>
      <c r="AC20" s="5">
        <f t="shared" si="15"/>
        <v>670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0</v>
      </c>
      <c r="AK20" s="335">
        <f t="shared" si="5"/>
        <v>0</v>
      </c>
      <c r="AL20" s="335">
        <f t="shared" si="23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f t="shared" si="6"/>
        <v>151</v>
      </c>
      <c r="AU20" s="436">
        <f t="shared" si="34"/>
        <v>1.1000000000000001</v>
      </c>
      <c r="AV20" s="204">
        <f t="shared" si="34"/>
        <v>103</v>
      </c>
      <c r="AW20" s="5">
        <v>2.9</v>
      </c>
      <c r="AX20" s="204">
        <f t="shared" ref="AX20" si="43">AX19</f>
        <v>124</v>
      </c>
      <c r="AY20" s="439">
        <f t="shared" si="7"/>
        <v>135.9</v>
      </c>
      <c r="AZ20" s="439">
        <f t="shared" si="25"/>
        <v>113.30000000000001</v>
      </c>
      <c r="BA20" s="439">
        <f t="shared" si="26"/>
        <v>359.59999999999997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146911</v>
      </c>
      <c r="Y21" s="332">
        <f>SUM(X21-X20)</f>
        <v>0</v>
      </c>
      <c r="Z21" s="5">
        <f t="shared" si="15"/>
        <v>96523</v>
      </c>
      <c r="AA21" s="83">
        <f t="shared" si="18"/>
        <v>0</v>
      </c>
      <c r="AB21" s="5">
        <f t="shared" si="15"/>
        <v>258</v>
      </c>
      <c r="AC21" s="5">
        <f t="shared" si="15"/>
        <v>670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151</v>
      </c>
      <c r="AU21" s="436">
        <f t="shared" si="34"/>
        <v>1.1000000000000001</v>
      </c>
      <c r="AV21" s="204">
        <f t="shared" si="34"/>
        <v>103</v>
      </c>
      <c r="AW21" s="5">
        <v>2.9</v>
      </c>
      <c r="AX21" s="204">
        <f t="shared" ref="AX21" si="44">AX20</f>
        <v>124</v>
      </c>
      <c r="AY21" s="439">
        <f t="shared" si="7"/>
        <v>135.9</v>
      </c>
      <c r="AZ21" s="439">
        <f t="shared" si="25"/>
        <v>113.30000000000001</v>
      </c>
      <c r="BA21" s="439">
        <f t="shared" si="26"/>
        <v>359.59999999999997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146911</v>
      </c>
      <c r="Y22" s="332">
        <f t="shared" si="17"/>
        <v>0</v>
      </c>
      <c r="Z22" s="5">
        <f t="shared" si="15"/>
        <v>96523</v>
      </c>
      <c r="AA22" s="83">
        <f t="shared" si="18"/>
        <v>0</v>
      </c>
      <c r="AB22" s="5">
        <f t="shared" si="15"/>
        <v>258</v>
      </c>
      <c r="AC22" s="5">
        <f t="shared" si="15"/>
        <v>670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45">AS21</f>
        <v>0.9</v>
      </c>
      <c r="AT22" s="204">
        <f t="shared" si="45"/>
        <v>151</v>
      </c>
      <c r="AU22" s="436">
        <f t="shared" si="34"/>
        <v>1.1000000000000001</v>
      </c>
      <c r="AV22" s="204">
        <f t="shared" si="34"/>
        <v>103</v>
      </c>
      <c r="AW22" s="5">
        <v>2.9</v>
      </c>
      <c r="AX22" s="204">
        <f t="shared" ref="AX22" si="46">AX21</f>
        <v>124</v>
      </c>
      <c r="AY22" s="439">
        <f t="shared" si="7"/>
        <v>135.9</v>
      </c>
      <c r="AZ22" s="439">
        <f t="shared" si="25"/>
        <v>113.30000000000001</v>
      </c>
      <c r="BA22" s="439">
        <f t="shared" si="26"/>
        <v>359.59999999999997</v>
      </c>
      <c r="BB22" s="21">
        <f>AY22-AY21</f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f t="shared" si="15"/>
        <v>146911</v>
      </c>
      <c r="Y23" s="332">
        <f t="shared" si="17"/>
        <v>0</v>
      </c>
      <c r="Z23" s="5">
        <f t="shared" si="15"/>
        <v>96523</v>
      </c>
      <c r="AA23" s="83">
        <f t="shared" si="18"/>
        <v>0</v>
      </c>
      <c r="AB23" s="5">
        <f t="shared" si="15"/>
        <v>258</v>
      </c>
      <c r="AC23" s="5">
        <f t="shared" si="15"/>
        <v>670</v>
      </c>
      <c r="AD23" s="83">
        <f t="shared" si="30"/>
        <v>0</v>
      </c>
      <c r="AE23" s="5">
        <f t="shared" si="15"/>
        <v>190.66</v>
      </c>
      <c r="AF23" s="83">
        <f t="shared" si="19"/>
        <v>0</v>
      </c>
      <c r="AG23" s="5">
        <f t="shared" si="15"/>
        <v>2038.22</v>
      </c>
      <c r="AH23" s="83">
        <f t="shared" si="20"/>
        <v>0</v>
      </c>
      <c r="AI23" s="83">
        <f t="shared" si="21"/>
        <v>0</v>
      </c>
      <c r="AJ23" s="334">
        <f t="shared" si="22"/>
        <v>0</v>
      </c>
      <c r="AK23" s="335">
        <f t="shared" si="5"/>
        <v>0</v>
      </c>
      <c r="AL23" s="335">
        <f t="shared" si="23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45"/>
        <v>0.9</v>
      </c>
      <c r="AT23" s="204">
        <f t="shared" si="45"/>
        <v>151</v>
      </c>
      <c r="AU23" s="436">
        <f t="shared" si="34"/>
        <v>1.1000000000000001</v>
      </c>
      <c r="AV23" s="204">
        <f t="shared" si="34"/>
        <v>103</v>
      </c>
      <c r="AW23" s="5">
        <v>2.9</v>
      </c>
      <c r="AX23" s="204">
        <f t="shared" ref="AX23" si="47">AX22</f>
        <v>124</v>
      </c>
      <c r="AY23" s="439">
        <f t="shared" si="7"/>
        <v>135.9</v>
      </c>
      <c r="AZ23" s="439">
        <f t="shared" si="25"/>
        <v>113.30000000000001</v>
      </c>
      <c r="BA23" s="439">
        <f t="shared" si="26"/>
        <v>359.59999999999997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5">
        <f t="shared" si="15"/>
        <v>146911</v>
      </c>
      <c r="Y24" s="332">
        <f t="shared" si="17"/>
        <v>0</v>
      </c>
      <c r="Z24" s="5">
        <f t="shared" si="15"/>
        <v>96523</v>
      </c>
      <c r="AA24" s="83">
        <f t="shared" si="18"/>
        <v>0</v>
      </c>
      <c r="AB24" s="5">
        <f t="shared" si="15"/>
        <v>258</v>
      </c>
      <c r="AC24" s="5">
        <f t="shared" si="15"/>
        <v>670</v>
      </c>
      <c r="AD24" s="83">
        <f t="shared" si="30"/>
        <v>0</v>
      </c>
      <c r="AE24" s="5">
        <f t="shared" si="15"/>
        <v>190.66</v>
      </c>
      <c r="AF24" s="83">
        <f t="shared" si="19"/>
        <v>0</v>
      </c>
      <c r="AG24" s="5">
        <f t="shared" si="15"/>
        <v>2038.22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45"/>
        <v>0.9</v>
      </c>
      <c r="AT24" s="204">
        <f t="shared" si="45"/>
        <v>151</v>
      </c>
      <c r="AU24" s="436">
        <f t="shared" si="34"/>
        <v>1.1000000000000001</v>
      </c>
      <c r="AV24" s="204">
        <f t="shared" si="34"/>
        <v>103</v>
      </c>
      <c r="AW24" s="5">
        <v>2.9</v>
      </c>
      <c r="AX24" s="204">
        <f t="shared" ref="AX24" si="48">AX23</f>
        <v>124</v>
      </c>
      <c r="AY24" s="439">
        <f t="shared" si="7"/>
        <v>135.9</v>
      </c>
      <c r="AZ24" s="439">
        <f t="shared" si="25"/>
        <v>113.30000000000001</v>
      </c>
      <c r="BA24" s="439">
        <f t="shared" si="26"/>
        <v>359.59999999999997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146911</v>
      </c>
      <c r="Y25" s="332">
        <f t="shared" si="17"/>
        <v>0</v>
      </c>
      <c r="Z25" s="5">
        <f t="shared" si="15"/>
        <v>96523</v>
      </c>
      <c r="AA25" s="83">
        <f t="shared" si="18"/>
        <v>0</v>
      </c>
      <c r="AB25" s="5">
        <f t="shared" si="15"/>
        <v>258</v>
      </c>
      <c r="AC25" s="5">
        <f t="shared" si="15"/>
        <v>670</v>
      </c>
      <c r="AD25" s="83">
        <f t="shared" si="30"/>
        <v>0</v>
      </c>
      <c r="AE25" s="5">
        <f t="shared" si="15"/>
        <v>190.66</v>
      </c>
      <c r="AF25" s="83">
        <f t="shared" si="19"/>
        <v>0</v>
      </c>
      <c r="AG25" s="5">
        <f t="shared" si="15"/>
        <v>2038.22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45"/>
        <v>0.9</v>
      </c>
      <c r="AT25" s="204">
        <f t="shared" si="45"/>
        <v>151</v>
      </c>
      <c r="AU25" s="436">
        <f t="shared" si="34"/>
        <v>1.1000000000000001</v>
      </c>
      <c r="AV25" s="204">
        <f t="shared" si="34"/>
        <v>103</v>
      </c>
      <c r="AW25" s="5">
        <v>2.9</v>
      </c>
      <c r="AX25" s="204">
        <f t="shared" ref="AX25" si="49">AX24</f>
        <v>124</v>
      </c>
      <c r="AY25" s="439">
        <f t="shared" si="7"/>
        <v>135.9</v>
      </c>
      <c r="AZ25" s="439">
        <f t="shared" si="25"/>
        <v>113.30000000000001</v>
      </c>
      <c r="BA25" s="439">
        <f t="shared" si="26"/>
        <v>359.59999999999997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146911</v>
      </c>
      <c r="Y26" s="332">
        <f t="shared" si="17"/>
        <v>0</v>
      </c>
      <c r="Z26" s="5">
        <f t="shared" si="15"/>
        <v>96523</v>
      </c>
      <c r="AA26" s="83">
        <f t="shared" si="18"/>
        <v>0</v>
      </c>
      <c r="AB26" s="5">
        <f t="shared" si="15"/>
        <v>258</v>
      </c>
      <c r="AC26" s="5">
        <f t="shared" si="15"/>
        <v>670</v>
      </c>
      <c r="AD26" s="83">
        <f t="shared" si="30"/>
        <v>0</v>
      </c>
      <c r="AE26" s="5">
        <f t="shared" si="15"/>
        <v>190.66</v>
      </c>
      <c r="AF26" s="83">
        <f t="shared" si="19"/>
        <v>0</v>
      </c>
      <c r="AG26" s="5">
        <f t="shared" si="15"/>
        <v>2038.22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45"/>
        <v>0.9</v>
      </c>
      <c r="AT26" s="204">
        <f t="shared" si="45"/>
        <v>151</v>
      </c>
      <c r="AU26" s="436">
        <f t="shared" si="34"/>
        <v>1.1000000000000001</v>
      </c>
      <c r="AV26" s="204">
        <f t="shared" si="34"/>
        <v>103</v>
      </c>
      <c r="AW26" s="5">
        <v>2.9</v>
      </c>
      <c r="AX26" s="204">
        <f t="shared" ref="AX26" si="50">AX25</f>
        <v>124</v>
      </c>
      <c r="AY26" s="439">
        <f t="shared" si="7"/>
        <v>135.9</v>
      </c>
      <c r="AZ26" s="439">
        <f t="shared" si="25"/>
        <v>113.30000000000001</v>
      </c>
      <c r="BA26" s="439">
        <f t="shared" si="26"/>
        <v>359.59999999999997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146911</v>
      </c>
      <c r="Y27" s="332">
        <f>SUM(X27-X26)</f>
        <v>0</v>
      </c>
      <c r="Z27" s="5">
        <f t="shared" si="15"/>
        <v>96523</v>
      </c>
      <c r="AA27" s="83">
        <f t="shared" si="18"/>
        <v>0</v>
      </c>
      <c r="AB27" s="5">
        <f t="shared" si="15"/>
        <v>258</v>
      </c>
      <c r="AC27" s="5">
        <f t="shared" si="15"/>
        <v>670</v>
      </c>
      <c r="AD27" s="83">
        <f t="shared" si="30"/>
        <v>0</v>
      </c>
      <c r="AE27" s="5">
        <f t="shared" si="15"/>
        <v>190.66</v>
      </c>
      <c r="AF27" s="83">
        <f t="shared" si="19"/>
        <v>0</v>
      </c>
      <c r="AG27" s="5">
        <f t="shared" si="15"/>
        <v>2038.22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45"/>
        <v>0.9</v>
      </c>
      <c r="AT27" s="204">
        <f t="shared" si="45"/>
        <v>151</v>
      </c>
      <c r="AU27" s="436">
        <f t="shared" si="34"/>
        <v>1.1000000000000001</v>
      </c>
      <c r="AV27" s="204">
        <f t="shared" si="34"/>
        <v>103</v>
      </c>
      <c r="AW27" s="5">
        <v>2.9</v>
      </c>
      <c r="AX27" s="204">
        <f t="shared" ref="AX27" si="51">AX26</f>
        <v>124</v>
      </c>
      <c r="AY27" s="439">
        <f t="shared" si="7"/>
        <v>135.9</v>
      </c>
      <c r="AZ27" s="439">
        <f t="shared" si="25"/>
        <v>113.30000000000001</v>
      </c>
      <c r="BA27" s="439">
        <f t="shared" si="26"/>
        <v>359.59999999999997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146911</v>
      </c>
      <c r="Y28" s="332">
        <f t="shared" si="17"/>
        <v>0</v>
      </c>
      <c r="Z28" s="5">
        <f t="shared" si="15"/>
        <v>96523</v>
      </c>
      <c r="AA28" s="83">
        <f t="shared" si="18"/>
        <v>0</v>
      </c>
      <c r="AB28" s="5">
        <f t="shared" si="15"/>
        <v>258</v>
      </c>
      <c r="AC28" s="5">
        <f t="shared" si="15"/>
        <v>670</v>
      </c>
      <c r="AD28" s="83">
        <f t="shared" si="30"/>
        <v>0</v>
      </c>
      <c r="AE28" s="5">
        <f t="shared" si="15"/>
        <v>190.66</v>
      </c>
      <c r="AF28" s="83">
        <f t="shared" si="19"/>
        <v>0</v>
      </c>
      <c r="AG28" s="5">
        <f t="shared" si="15"/>
        <v>2038.22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45"/>
        <v>0.9</v>
      </c>
      <c r="AT28" s="204">
        <f t="shared" si="45"/>
        <v>151</v>
      </c>
      <c r="AU28" s="436">
        <f t="shared" si="34"/>
        <v>1.1000000000000001</v>
      </c>
      <c r="AV28" s="204">
        <f t="shared" si="34"/>
        <v>103</v>
      </c>
      <c r="AW28" s="5">
        <v>2.9</v>
      </c>
      <c r="AX28" s="204">
        <f t="shared" ref="AX28" si="52">AX27</f>
        <v>124</v>
      </c>
      <c r="AY28" s="439">
        <f t="shared" si="7"/>
        <v>135.9</v>
      </c>
      <c r="AZ28" s="439">
        <f t="shared" si="25"/>
        <v>113.30000000000001</v>
      </c>
      <c r="BA28" s="439">
        <f t="shared" si="26"/>
        <v>359.59999999999997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146911</v>
      </c>
      <c r="Y29" s="332">
        <f t="shared" si="17"/>
        <v>0</v>
      </c>
      <c r="Z29" s="5">
        <f t="shared" si="15"/>
        <v>96523</v>
      </c>
      <c r="AA29" s="83">
        <f t="shared" si="18"/>
        <v>0</v>
      </c>
      <c r="AB29" s="5">
        <f t="shared" si="15"/>
        <v>258</v>
      </c>
      <c r="AC29" s="5">
        <f t="shared" si="15"/>
        <v>670</v>
      </c>
      <c r="AD29" s="83">
        <f t="shared" si="30"/>
        <v>0</v>
      </c>
      <c r="AE29" s="5">
        <f t="shared" si="15"/>
        <v>190.66</v>
      </c>
      <c r="AF29" s="83">
        <f t="shared" si="19"/>
        <v>0</v>
      </c>
      <c r="AG29" s="5">
        <f t="shared" si="15"/>
        <v>2038.22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45"/>
        <v>0.9</v>
      </c>
      <c r="AT29" s="204">
        <f t="shared" si="45"/>
        <v>151</v>
      </c>
      <c r="AU29" s="436">
        <f t="shared" si="34"/>
        <v>1.1000000000000001</v>
      </c>
      <c r="AV29" s="204">
        <f t="shared" si="34"/>
        <v>103</v>
      </c>
      <c r="AW29" s="5">
        <v>2.9</v>
      </c>
      <c r="AX29" s="204">
        <f t="shared" ref="AX29" si="53">AX28</f>
        <v>124</v>
      </c>
      <c r="AY29" s="439">
        <f t="shared" si="7"/>
        <v>135.9</v>
      </c>
      <c r="AZ29" s="439">
        <f t="shared" si="25"/>
        <v>113.30000000000001</v>
      </c>
      <c r="BA29" s="439">
        <f t="shared" si="26"/>
        <v>359.59999999999997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146911</v>
      </c>
      <c r="Y30" s="332">
        <f t="shared" si="17"/>
        <v>0</v>
      </c>
      <c r="Z30" s="5">
        <f t="shared" si="15"/>
        <v>96523</v>
      </c>
      <c r="AA30" s="83">
        <f t="shared" si="18"/>
        <v>0</v>
      </c>
      <c r="AB30" s="5">
        <f t="shared" si="15"/>
        <v>258</v>
      </c>
      <c r="AC30" s="5">
        <f t="shared" si="15"/>
        <v>670</v>
      </c>
      <c r="AD30" s="83">
        <f t="shared" si="30"/>
        <v>0</v>
      </c>
      <c r="AE30" s="5">
        <f t="shared" si="15"/>
        <v>190.66</v>
      </c>
      <c r="AF30" s="83">
        <f t="shared" si="19"/>
        <v>0</v>
      </c>
      <c r="AG30" s="5">
        <f t="shared" si="15"/>
        <v>2038.22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45"/>
        <v>0.9</v>
      </c>
      <c r="AT30" s="204">
        <f t="shared" si="45"/>
        <v>151</v>
      </c>
      <c r="AU30" s="436">
        <f t="shared" si="34"/>
        <v>1.1000000000000001</v>
      </c>
      <c r="AV30" s="204">
        <f t="shared" si="34"/>
        <v>103</v>
      </c>
      <c r="AW30" s="5">
        <v>2.9</v>
      </c>
      <c r="AX30" s="204">
        <f t="shared" ref="AX30" si="54">AX29</f>
        <v>124</v>
      </c>
      <c r="AY30" s="439">
        <f t="shared" si="7"/>
        <v>135.9</v>
      </c>
      <c r="AZ30" s="439">
        <f t="shared" si="25"/>
        <v>113.30000000000001</v>
      </c>
      <c r="BA30" s="439">
        <f t="shared" si="26"/>
        <v>359.59999999999997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146911</v>
      </c>
      <c r="Y31" s="332">
        <f t="shared" si="17"/>
        <v>0</v>
      </c>
      <c r="Z31" s="5">
        <f t="shared" si="15"/>
        <v>96523</v>
      </c>
      <c r="AA31" s="83">
        <f t="shared" si="18"/>
        <v>0</v>
      </c>
      <c r="AB31" s="5">
        <f t="shared" si="15"/>
        <v>258</v>
      </c>
      <c r="AC31" s="5">
        <f t="shared" si="15"/>
        <v>670</v>
      </c>
      <c r="AD31" s="83">
        <f t="shared" si="30"/>
        <v>0</v>
      </c>
      <c r="AE31" s="5">
        <f t="shared" si="15"/>
        <v>190.66</v>
      </c>
      <c r="AF31" s="83">
        <f t="shared" si="19"/>
        <v>0</v>
      </c>
      <c r="AG31" s="5">
        <f t="shared" si="15"/>
        <v>2038.22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45"/>
        <v>0.9</v>
      </c>
      <c r="AT31" s="204">
        <f t="shared" si="45"/>
        <v>151</v>
      </c>
      <c r="AU31" s="436">
        <f t="shared" si="34"/>
        <v>1.1000000000000001</v>
      </c>
      <c r="AV31" s="204">
        <f t="shared" si="34"/>
        <v>103</v>
      </c>
      <c r="AW31" s="5">
        <v>2.9</v>
      </c>
      <c r="AX31" s="204">
        <f t="shared" ref="AX31" si="55">AX30</f>
        <v>124</v>
      </c>
      <c r="AY31" s="439">
        <f t="shared" si="7"/>
        <v>135.9</v>
      </c>
      <c r="AZ31" s="439">
        <f t="shared" si="25"/>
        <v>113.30000000000001</v>
      </c>
      <c r="BA31" s="439">
        <f t="shared" si="26"/>
        <v>359.59999999999997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146911</v>
      </c>
      <c r="Y32" s="332">
        <f t="shared" si="17"/>
        <v>0</v>
      </c>
      <c r="Z32" s="5">
        <f t="shared" si="15"/>
        <v>96523</v>
      </c>
      <c r="AA32" s="83">
        <f t="shared" si="18"/>
        <v>0</v>
      </c>
      <c r="AB32" s="5">
        <f t="shared" si="15"/>
        <v>258</v>
      </c>
      <c r="AC32" s="5">
        <f t="shared" si="15"/>
        <v>670</v>
      </c>
      <c r="AD32" s="83">
        <f t="shared" si="30"/>
        <v>0</v>
      </c>
      <c r="AE32" s="5">
        <f t="shared" si="15"/>
        <v>190.66</v>
      </c>
      <c r="AF32" s="83">
        <f t="shared" si="19"/>
        <v>0</v>
      </c>
      <c r="AG32" s="5">
        <f t="shared" si="15"/>
        <v>2038.22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45"/>
        <v>0.9</v>
      </c>
      <c r="AT32" s="204">
        <f t="shared" si="45"/>
        <v>151</v>
      </c>
      <c r="AU32" s="436">
        <f t="shared" si="34"/>
        <v>1.1000000000000001</v>
      </c>
      <c r="AV32" s="204">
        <f t="shared" si="34"/>
        <v>103</v>
      </c>
      <c r="AW32" s="5">
        <v>2.9</v>
      </c>
      <c r="AX32" s="204">
        <f t="shared" ref="AX32" si="56">AX31</f>
        <v>124</v>
      </c>
      <c r="AY32" s="439">
        <f t="shared" si="7"/>
        <v>135.9</v>
      </c>
      <c r="AZ32" s="439">
        <f t="shared" si="25"/>
        <v>113.30000000000001</v>
      </c>
      <c r="BA32" s="439">
        <f t="shared" si="26"/>
        <v>359.59999999999997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146911</v>
      </c>
      <c r="Y33" s="332">
        <f t="shared" si="17"/>
        <v>0</v>
      </c>
      <c r="Z33" s="5">
        <f t="shared" si="15"/>
        <v>96523</v>
      </c>
      <c r="AA33" s="83">
        <f t="shared" si="18"/>
        <v>0</v>
      </c>
      <c r="AB33" s="5">
        <f t="shared" si="15"/>
        <v>258</v>
      </c>
      <c r="AC33" s="5">
        <f t="shared" si="15"/>
        <v>670</v>
      </c>
      <c r="AD33" s="83">
        <f t="shared" si="30"/>
        <v>0</v>
      </c>
      <c r="AE33" s="5">
        <f t="shared" si="15"/>
        <v>190.66</v>
      </c>
      <c r="AF33" s="83">
        <f>AE33-AE32</f>
        <v>0</v>
      </c>
      <c r="AG33" s="5">
        <f t="shared" si="15"/>
        <v>2038.22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45"/>
        <v>0.9</v>
      </c>
      <c r="AT33" s="204">
        <f t="shared" si="45"/>
        <v>151</v>
      </c>
      <c r="AU33" s="436">
        <f t="shared" si="34"/>
        <v>1.1000000000000001</v>
      </c>
      <c r="AV33" s="204">
        <f t="shared" si="34"/>
        <v>103</v>
      </c>
      <c r="AW33" s="5">
        <v>2.9</v>
      </c>
      <c r="AX33" s="204">
        <f t="shared" ref="AX33" si="57">AX32</f>
        <v>124</v>
      </c>
      <c r="AY33" s="439">
        <f t="shared" si="7"/>
        <v>135.9</v>
      </c>
      <c r="AZ33" s="439">
        <f t="shared" si="25"/>
        <v>113.30000000000001</v>
      </c>
      <c r="BA33" s="439">
        <f t="shared" si="26"/>
        <v>359.59999999999997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146911</v>
      </c>
      <c r="Y34" s="332">
        <f t="shared" si="17"/>
        <v>0</v>
      </c>
      <c r="Z34" s="5">
        <f t="shared" si="15"/>
        <v>96523</v>
      </c>
      <c r="AA34" s="83">
        <f t="shared" si="18"/>
        <v>0</v>
      </c>
      <c r="AB34" s="5">
        <f t="shared" si="15"/>
        <v>258</v>
      </c>
      <c r="AC34" s="5">
        <f t="shared" si="15"/>
        <v>670</v>
      </c>
      <c r="AD34" s="83">
        <f t="shared" si="30"/>
        <v>0</v>
      </c>
      <c r="AE34" s="5">
        <f t="shared" si="15"/>
        <v>190.66</v>
      </c>
      <c r="AF34" s="83">
        <f t="shared" si="19"/>
        <v>0</v>
      </c>
      <c r="AG34" s="5">
        <f t="shared" si="15"/>
        <v>2038.22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45"/>
        <v>0.9</v>
      </c>
      <c r="AT34" s="204">
        <f t="shared" si="45"/>
        <v>151</v>
      </c>
      <c r="AU34" s="437">
        <f t="shared" si="34"/>
        <v>1.1000000000000001</v>
      </c>
      <c r="AV34" s="204">
        <f t="shared" si="34"/>
        <v>103</v>
      </c>
      <c r="AW34" s="5">
        <v>2.9</v>
      </c>
      <c r="AX34" s="204">
        <f t="shared" ref="AX34" si="58">AX33</f>
        <v>124</v>
      </c>
      <c r="AY34" s="439">
        <f t="shared" si="7"/>
        <v>135.9</v>
      </c>
      <c r="AZ34" s="439">
        <f t="shared" si="25"/>
        <v>113.30000000000001</v>
      </c>
      <c r="BA34" s="439">
        <f t="shared" si="26"/>
        <v>359.59999999999997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146911</v>
      </c>
      <c r="Y35" s="332">
        <f t="shared" si="17"/>
        <v>0</v>
      </c>
      <c r="Z35" s="5">
        <f t="shared" si="15"/>
        <v>96523</v>
      </c>
      <c r="AA35" s="83">
        <f t="shared" si="18"/>
        <v>0</v>
      </c>
      <c r="AB35" s="5">
        <f t="shared" si="15"/>
        <v>258</v>
      </c>
      <c r="AC35" s="5">
        <f t="shared" si="15"/>
        <v>670</v>
      </c>
      <c r="AD35" s="83">
        <f t="shared" si="30"/>
        <v>0</v>
      </c>
      <c r="AE35" s="5">
        <f t="shared" si="15"/>
        <v>190.66</v>
      </c>
      <c r="AF35" s="83">
        <f t="shared" si="19"/>
        <v>0</v>
      </c>
      <c r="AG35" s="5">
        <f t="shared" si="15"/>
        <v>2038.22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45"/>
        <v>0.9</v>
      </c>
      <c r="AT35" s="204">
        <f t="shared" si="45"/>
        <v>151</v>
      </c>
      <c r="AU35" s="438">
        <f t="shared" si="34"/>
        <v>1.1000000000000001</v>
      </c>
      <c r="AV35" s="204">
        <f t="shared" si="34"/>
        <v>103</v>
      </c>
      <c r="AW35" s="5">
        <v>2.9</v>
      </c>
      <c r="AX35" s="204">
        <f t="shared" ref="AX35" si="59">AX34</f>
        <v>124</v>
      </c>
      <c r="AY35" s="439">
        <f t="shared" si="7"/>
        <v>135.9</v>
      </c>
      <c r="AZ35" s="439">
        <f t="shared" si="25"/>
        <v>113.30000000000001</v>
      </c>
      <c r="BA35" s="439">
        <f t="shared" si="26"/>
        <v>359.59999999999997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60">B36-B35</f>
        <v>0</v>
      </c>
      <c r="D36" s="430">
        <f t="shared" ref="D36" si="61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62">G36-G35</f>
        <v>0</v>
      </c>
      <c r="I36" s="5">
        <f t="shared" ref="I36" si="63">C36+H36</f>
        <v>0</v>
      </c>
      <c r="J36" s="342">
        <f t="shared" ref="J36" si="64">IF(I36&gt;0,E36/I36,0)</f>
        <v>0</v>
      </c>
      <c r="K36" s="5">
        <f>'Swimming Pool quality check '!H36</f>
        <v>6555</v>
      </c>
      <c r="L36" s="83">
        <f t="shared" ref="L36" si="65">K36-K35</f>
        <v>0</v>
      </c>
      <c r="M36" s="421">
        <f t="shared" si="13"/>
        <v>457.44</v>
      </c>
      <c r="N36" s="529">
        <f t="shared" ref="N36" si="66">SUM(M36-M35)</f>
        <v>0</v>
      </c>
      <c r="O36" s="421">
        <f t="shared" si="14"/>
        <v>529.52</v>
      </c>
      <c r="P36" s="529">
        <f t="shared" ref="P36" si="67">SUM(O36-O35)</f>
        <v>0</v>
      </c>
      <c r="Q36" s="529">
        <f t="shared" ref="Q36" si="68">SUM(P36+N36)</f>
        <v>0</v>
      </c>
      <c r="R36" s="529"/>
      <c r="S36" s="529"/>
      <c r="T36" s="5">
        <f t="shared" si="15"/>
        <v>5040</v>
      </c>
      <c r="U36" s="5">
        <f t="shared" ref="U36" si="69">SUM(T36-T35)</f>
        <v>0</v>
      </c>
      <c r="V36" s="5">
        <f t="shared" si="15"/>
        <v>425</v>
      </c>
      <c r="W36" s="332">
        <f t="shared" ref="W36" si="70">+V36-V35</f>
        <v>0</v>
      </c>
      <c r="X36" s="5">
        <f t="shared" si="15"/>
        <v>146911</v>
      </c>
      <c r="Y36" s="332">
        <f t="shared" ref="Y36" si="71">SUM(X36-X35)</f>
        <v>0</v>
      </c>
      <c r="Z36" s="5">
        <f t="shared" si="15"/>
        <v>96523</v>
      </c>
      <c r="AA36" s="83">
        <f t="shared" ref="AA36" si="72">Z36-Z35</f>
        <v>0</v>
      </c>
      <c r="AB36" s="5">
        <f t="shared" si="15"/>
        <v>258</v>
      </c>
      <c r="AC36" s="5">
        <f t="shared" si="15"/>
        <v>670</v>
      </c>
      <c r="AD36" s="83">
        <f t="shared" ref="AD36" si="73">AC36-AC35</f>
        <v>0</v>
      </c>
      <c r="AE36" s="5">
        <f t="shared" si="15"/>
        <v>190.66</v>
      </c>
      <c r="AF36" s="83">
        <f t="shared" ref="AF36" si="74">AE36-AE35</f>
        <v>0</v>
      </c>
      <c r="AG36" s="5">
        <f t="shared" si="15"/>
        <v>2038.22</v>
      </c>
      <c r="AH36" s="83">
        <f t="shared" ref="AH36" si="75">AG36-AG35</f>
        <v>0</v>
      </c>
      <c r="AI36" s="83">
        <f t="shared" ref="AI36" si="76">AF36+AH36</f>
        <v>0</v>
      </c>
      <c r="AJ36" s="334">
        <f t="shared" ref="AJ36" si="77">+Z36-Z35</f>
        <v>0</v>
      </c>
      <c r="AK36" s="335">
        <f t="shared" ref="AK36" si="78">SUM(Y36-L36)</f>
        <v>0</v>
      </c>
      <c r="AL36" s="335">
        <f t="shared" ref="AL36" si="79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0">A36</f>
        <v>44074</v>
      </c>
      <c r="AS36" s="435">
        <f t="shared" si="45"/>
        <v>0.9</v>
      </c>
      <c r="AT36" s="204">
        <f t="shared" si="45"/>
        <v>151</v>
      </c>
      <c r="AU36" s="438">
        <f t="shared" si="34"/>
        <v>1.1000000000000001</v>
      </c>
      <c r="AV36" s="204">
        <f t="shared" si="34"/>
        <v>103</v>
      </c>
      <c r="AW36" s="5">
        <v>2.9</v>
      </c>
      <c r="AX36" s="204">
        <f t="shared" ref="AX36" si="81">AX35</f>
        <v>124</v>
      </c>
      <c r="AY36" s="439">
        <f t="shared" ref="AY36" si="82">AS36*AT36</f>
        <v>135.9</v>
      </c>
      <c r="AZ36" s="439">
        <f t="shared" ref="AZ36" si="83">AU36*AV36</f>
        <v>113.30000000000001</v>
      </c>
      <c r="BA36" s="439">
        <f t="shared" ref="BA36" si="84">AW36*AX36</f>
        <v>359.59999999999997</v>
      </c>
      <c r="BB36" s="21">
        <f t="shared" ref="BB36" si="85">AY36-AY35</f>
        <v>0</v>
      </c>
      <c r="BC36" s="230">
        <f t="shared" ref="BC36" si="86">AZ36-AZ35</f>
        <v>0</v>
      </c>
      <c r="BD36" s="230">
        <f t="shared" ref="BD36" si="87">BA36-BA35</f>
        <v>0</v>
      </c>
      <c r="BE36" s="24">
        <f t="shared" ref="BE36" si="88">SUM(BB36:BD36)</f>
        <v>0</v>
      </c>
      <c r="BF36" s="96">
        <f t="shared" ref="BF36" si="89">SUM(I36-BE36)</f>
        <v>0</v>
      </c>
      <c r="BG36" s="82">
        <f t="shared" ref="BG36" si="90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238</v>
      </c>
      <c r="AK37" s="335" t="e">
        <f t="shared" si="5"/>
        <v>#REF!</v>
      </c>
      <c r="AL37" s="330">
        <f>SUM(AL6:AL35)</f>
        <v>235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M13" sqref="M13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5">
        <f>'[1]General information '!E36</f>
        <v>0.52</v>
      </c>
      <c r="F5" s="605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0.1282625</v>
      </c>
      <c r="G37" s="206">
        <f>SUM(G6:G35)</f>
        <v>236.00300000000001</v>
      </c>
    </row>
    <row r="38" spans="1:15">
      <c r="D38" s="267">
        <f>SUM(D6:D35)/'EDl log'!A37</f>
        <v>25.166666666666668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601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601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601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251.4</v>
      </c>
      <c r="C15" s="206">
        <f t="shared" si="18"/>
        <v>5409.1548387096773</v>
      </c>
      <c r="D15">
        <f t="shared" si="19"/>
        <v>251.4</v>
      </c>
      <c r="E15" s="206">
        <f t="shared" si="18"/>
        <v>5409.1548387096773</v>
      </c>
      <c r="F15">
        <f t="shared" si="20"/>
        <v>251.4</v>
      </c>
      <c r="G15" s="206">
        <f t="shared" si="1"/>
        <v>5409.1548387096773</v>
      </c>
      <c r="H15" s="206">
        <f t="shared" si="21"/>
        <v>251.4</v>
      </c>
      <c r="I15" s="206">
        <f t="shared" si="2"/>
        <v>5409.1548387096773</v>
      </c>
      <c r="J15" s="206">
        <f t="shared" si="22"/>
        <v>251.4</v>
      </c>
      <c r="K15" s="206">
        <f t="shared" si="3"/>
        <v>5409.1548387096773</v>
      </c>
      <c r="L15" s="206">
        <f t="shared" si="23"/>
        <v>251.4</v>
      </c>
      <c r="M15" s="206">
        <f t="shared" si="4"/>
        <v>5409.1548387096773</v>
      </c>
      <c r="N15" s="206">
        <f t="shared" si="24"/>
        <v>251.4</v>
      </c>
      <c r="O15" s="206">
        <f t="shared" si="5"/>
        <v>5409.1548387096773</v>
      </c>
      <c r="P15" s="206">
        <f t="shared" si="25"/>
        <v>251.4</v>
      </c>
      <c r="Q15" s="206">
        <f t="shared" si="6"/>
        <v>5409.1548387096773</v>
      </c>
      <c r="R15" s="206">
        <f t="shared" si="26"/>
        <v>251.4</v>
      </c>
      <c r="S15" s="206">
        <f t="shared" si="7"/>
        <v>5409.1548387096773</v>
      </c>
      <c r="T15" s="206">
        <f t="shared" si="27"/>
        <v>251.4</v>
      </c>
      <c r="U15" s="206">
        <f t="shared" si="8"/>
        <v>5409.1548387096773</v>
      </c>
      <c r="V15" s="206">
        <f t="shared" si="28"/>
        <v>251.4</v>
      </c>
      <c r="W15" s="206">
        <f t="shared" si="9"/>
        <v>5409.1548387096773</v>
      </c>
      <c r="X15" s="35">
        <f t="shared" si="10"/>
        <v>0.81096774193548382</v>
      </c>
      <c r="Y15" s="36">
        <f t="shared" si="29"/>
        <v>59500.70322580645</v>
      </c>
      <c r="Z15" s="206">
        <f>'B5'!C14</f>
        <v>257.39999999999998</v>
      </c>
      <c r="AA15" s="206">
        <f t="shared" si="30"/>
        <v>2574</v>
      </c>
      <c r="AB15" s="206">
        <f t="shared" si="31"/>
        <v>257.39999999999998</v>
      </c>
      <c r="AC15" s="206">
        <f t="shared" si="30"/>
        <v>2574</v>
      </c>
      <c r="AD15" s="206">
        <f t="shared" si="32"/>
        <v>257.39999999999998</v>
      </c>
      <c r="AE15" s="206">
        <f t="shared" si="11"/>
        <v>2574</v>
      </c>
      <c r="AF15" s="206">
        <f t="shared" si="33"/>
        <v>257.39999999999998</v>
      </c>
      <c r="AG15" s="206">
        <f t="shared" si="12"/>
        <v>2574</v>
      </c>
      <c r="AH15" s="206">
        <f t="shared" si="34"/>
        <v>257.39999999999998</v>
      </c>
      <c r="AI15" s="206">
        <f t="shared" si="13"/>
        <v>2574</v>
      </c>
      <c r="AJ15" s="206">
        <f t="shared" si="35"/>
        <v>257.39999999999998</v>
      </c>
      <c r="AK15" s="206">
        <f t="shared" si="14"/>
        <v>2574</v>
      </c>
      <c r="AL15" s="206">
        <f t="shared" si="36"/>
        <v>257.39999999999998</v>
      </c>
      <c r="AM15" s="206">
        <f t="shared" si="15"/>
        <v>2574</v>
      </c>
      <c r="AN15" s="35">
        <f t="shared" si="16"/>
        <v>0.91928571428571426</v>
      </c>
      <c r="AO15" s="36">
        <f t="shared" si="17"/>
        <v>18018</v>
      </c>
      <c r="AQ15" s="226">
        <f t="shared" si="37"/>
        <v>0.83380341213086417</v>
      </c>
      <c r="AR15" s="38">
        <f t="shared" si="41"/>
        <v>77518.703225806443</v>
      </c>
      <c r="AS15" s="200">
        <f>SUM(AR15-AR14-AT15)</f>
        <v>0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251.4</v>
      </c>
      <c r="C16" s="206">
        <f t="shared" si="18"/>
        <v>5409.1548387096773</v>
      </c>
      <c r="D16">
        <f t="shared" si="19"/>
        <v>251.4</v>
      </c>
      <c r="E16" s="206">
        <f t="shared" si="18"/>
        <v>5409.1548387096773</v>
      </c>
      <c r="F16">
        <f t="shared" si="20"/>
        <v>251.4</v>
      </c>
      <c r="G16" s="206">
        <f t="shared" si="1"/>
        <v>5409.1548387096773</v>
      </c>
      <c r="H16" s="206">
        <f t="shared" si="21"/>
        <v>251.4</v>
      </c>
      <c r="I16" s="206">
        <f t="shared" si="2"/>
        <v>5409.1548387096773</v>
      </c>
      <c r="J16" s="206">
        <f t="shared" si="22"/>
        <v>251.4</v>
      </c>
      <c r="K16" s="206">
        <f t="shared" si="3"/>
        <v>5409.1548387096773</v>
      </c>
      <c r="L16" s="206">
        <f t="shared" si="23"/>
        <v>251.4</v>
      </c>
      <c r="M16" s="206">
        <f t="shared" si="4"/>
        <v>5409.1548387096773</v>
      </c>
      <c r="N16" s="206">
        <f t="shared" si="24"/>
        <v>251.4</v>
      </c>
      <c r="O16" s="206">
        <f t="shared" si="5"/>
        <v>5409.1548387096773</v>
      </c>
      <c r="P16" s="206">
        <f t="shared" si="25"/>
        <v>251.4</v>
      </c>
      <c r="Q16" s="206">
        <f t="shared" si="6"/>
        <v>5409.1548387096773</v>
      </c>
      <c r="R16" s="206">
        <f t="shared" si="26"/>
        <v>251.4</v>
      </c>
      <c r="S16" s="206">
        <f t="shared" si="7"/>
        <v>5409.1548387096773</v>
      </c>
      <c r="T16" s="206">
        <f t="shared" si="27"/>
        <v>251.4</v>
      </c>
      <c r="U16" s="206">
        <f t="shared" si="8"/>
        <v>5409.1548387096773</v>
      </c>
      <c r="V16" s="206">
        <f t="shared" si="28"/>
        <v>251.4</v>
      </c>
      <c r="W16" s="206">
        <f t="shared" si="9"/>
        <v>5409.1548387096773</v>
      </c>
      <c r="X16" s="35">
        <f t="shared" si="10"/>
        <v>0.81096774193548382</v>
      </c>
      <c r="Y16" s="36">
        <f t="shared" si="29"/>
        <v>59500.70322580645</v>
      </c>
      <c r="Z16" s="206">
        <f>'B5'!C15</f>
        <v>257.39999999999998</v>
      </c>
      <c r="AA16" s="206">
        <f t="shared" si="30"/>
        <v>2574</v>
      </c>
      <c r="AB16" s="206">
        <f t="shared" si="31"/>
        <v>257.39999999999998</v>
      </c>
      <c r="AC16" s="206">
        <f t="shared" si="30"/>
        <v>2574</v>
      </c>
      <c r="AD16" s="206">
        <f t="shared" si="32"/>
        <v>257.39999999999998</v>
      </c>
      <c r="AE16" s="206">
        <f t="shared" si="11"/>
        <v>2574</v>
      </c>
      <c r="AF16" s="206">
        <f t="shared" si="33"/>
        <v>257.39999999999998</v>
      </c>
      <c r="AG16" s="206">
        <f t="shared" si="12"/>
        <v>2574</v>
      </c>
      <c r="AH16" s="206">
        <f t="shared" si="34"/>
        <v>257.39999999999998</v>
      </c>
      <c r="AI16" s="206">
        <f t="shared" si="13"/>
        <v>2574</v>
      </c>
      <c r="AJ16" s="206">
        <f t="shared" si="35"/>
        <v>257.39999999999998</v>
      </c>
      <c r="AK16" s="206">
        <f t="shared" si="14"/>
        <v>2574</v>
      </c>
      <c r="AL16" s="206">
        <f t="shared" si="36"/>
        <v>257.39999999999998</v>
      </c>
      <c r="AM16" s="206">
        <f t="shared" si="15"/>
        <v>2574</v>
      </c>
      <c r="AN16" s="35">
        <f t="shared" si="16"/>
        <v>0.91928571428571426</v>
      </c>
      <c r="AO16" s="36">
        <f t="shared" si="17"/>
        <v>18018</v>
      </c>
      <c r="AQ16" s="226">
        <f t="shared" si="37"/>
        <v>0.83380341213086417</v>
      </c>
      <c r="AR16" s="38">
        <f t="shared" si="41"/>
        <v>77518.703225806443</v>
      </c>
      <c r="AS16" s="200">
        <f>SUM(AR16-AR15-AT16)</f>
        <v>0</v>
      </c>
      <c r="AT16" s="277"/>
      <c r="AU16" s="449"/>
      <c r="AV16" s="533">
        <f>IF(AT16&gt;0,AU16,AV15)</f>
        <v>0.53500000000000003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251.4</v>
      </c>
      <c r="C17" s="206">
        <f t="shared" si="18"/>
        <v>5409.1548387096773</v>
      </c>
      <c r="D17">
        <f t="shared" si="19"/>
        <v>251.4</v>
      </c>
      <c r="E17" s="206">
        <f t="shared" si="18"/>
        <v>5409.1548387096773</v>
      </c>
      <c r="F17">
        <f t="shared" si="20"/>
        <v>251.4</v>
      </c>
      <c r="G17" s="206">
        <f t="shared" si="1"/>
        <v>5409.1548387096773</v>
      </c>
      <c r="H17" s="206">
        <f t="shared" si="21"/>
        <v>251.4</v>
      </c>
      <c r="I17" s="206">
        <f t="shared" si="2"/>
        <v>5409.1548387096773</v>
      </c>
      <c r="J17" s="206">
        <f t="shared" si="22"/>
        <v>251.4</v>
      </c>
      <c r="K17" s="206">
        <f t="shared" si="3"/>
        <v>5409.1548387096773</v>
      </c>
      <c r="L17" s="206">
        <f t="shared" si="23"/>
        <v>251.4</v>
      </c>
      <c r="M17" s="206">
        <f t="shared" si="4"/>
        <v>5409.1548387096773</v>
      </c>
      <c r="N17" s="206">
        <f t="shared" si="24"/>
        <v>251.4</v>
      </c>
      <c r="O17" s="206">
        <f t="shared" si="5"/>
        <v>5409.1548387096773</v>
      </c>
      <c r="P17" s="206">
        <f t="shared" si="25"/>
        <v>251.4</v>
      </c>
      <c r="Q17" s="206">
        <f t="shared" si="6"/>
        <v>5409.1548387096773</v>
      </c>
      <c r="R17" s="206">
        <f t="shared" si="26"/>
        <v>251.4</v>
      </c>
      <c r="S17" s="206">
        <f t="shared" si="7"/>
        <v>5409.1548387096773</v>
      </c>
      <c r="T17" s="206">
        <f t="shared" si="27"/>
        <v>251.4</v>
      </c>
      <c r="U17" s="206">
        <f t="shared" si="8"/>
        <v>5409.1548387096773</v>
      </c>
      <c r="V17" s="206">
        <f t="shared" si="28"/>
        <v>251.4</v>
      </c>
      <c r="W17" s="206">
        <f t="shared" si="9"/>
        <v>5409.1548387096773</v>
      </c>
      <c r="X17" s="35">
        <f t="shared" si="10"/>
        <v>0.81096774193548382</v>
      </c>
      <c r="Y17" s="36">
        <f t="shared" si="29"/>
        <v>59500.70322580645</v>
      </c>
      <c r="Z17" s="206">
        <f>'B5'!C16</f>
        <v>257.39999999999998</v>
      </c>
      <c r="AA17" s="206">
        <f t="shared" si="30"/>
        <v>2574</v>
      </c>
      <c r="AB17" s="206">
        <f t="shared" si="31"/>
        <v>257.39999999999998</v>
      </c>
      <c r="AC17" s="206">
        <f t="shared" si="30"/>
        <v>2574</v>
      </c>
      <c r="AD17" s="206">
        <f t="shared" si="32"/>
        <v>257.39999999999998</v>
      </c>
      <c r="AE17" s="206">
        <f t="shared" si="11"/>
        <v>2574</v>
      </c>
      <c r="AF17" s="206">
        <f t="shared" si="33"/>
        <v>257.39999999999998</v>
      </c>
      <c r="AG17" s="206">
        <f t="shared" si="12"/>
        <v>2574</v>
      </c>
      <c r="AH17" s="206">
        <f t="shared" si="34"/>
        <v>257.39999999999998</v>
      </c>
      <c r="AI17" s="206">
        <f t="shared" si="13"/>
        <v>2574</v>
      </c>
      <c r="AJ17" s="206">
        <f t="shared" si="35"/>
        <v>257.39999999999998</v>
      </c>
      <c r="AK17" s="206">
        <f t="shared" si="14"/>
        <v>2574</v>
      </c>
      <c r="AL17" s="206">
        <f t="shared" si="36"/>
        <v>257.39999999999998</v>
      </c>
      <c r="AM17" s="206">
        <f t="shared" si="15"/>
        <v>2574</v>
      </c>
      <c r="AN17" s="35">
        <f t="shared" si="16"/>
        <v>0.91928571428571426</v>
      </c>
      <c r="AO17" s="36">
        <f>SUM(AA17+AC17+AE17+AG17+AI17+AK17+AM17)</f>
        <v>18018</v>
      </c>
      <c r="AQ17" s="226">
        <f t="shared" si="37"/>
        <v>0.83380341213086417</v>
      </c>
      <c r="AR17" s="38">
        <f t="shared" si="41"/>
        <v>77518.703225806443</v>
      </c>
      <c r="AS17" s="200">
        <f t="shared" si="38"/>
        <v>0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251.4</v>
      </c>
      <c r="C18" s="206">
        <f t="shared" si="18"/>
        <v>5409.1548387096773</v>
      </c>
      <c r="D18">
        <f t="shared" si="19"/>
        <v>251.4</v>
      </c>
      <c r="E18" s="206">
        <f t="shared" si="18"/>
        <v>5409.1548387096773</v>
      </c>
      <c r="F18">
        <f t="shared" si="20"/>
        <v>251.4</v>
      </c>
      <c r="G18" s="206">
        <f t="shared" si="1"/>
        <v>5409.1548387096773</v>
      </c>
      <c r="H18" s="206">
        <f t="shared" si="21"/>
        <v>251.4</v>
      </c>
      <c r="I18" s="206">
        <f t="shared" si="2"/>
        <v>5409.1548387096773</v>
      </c>
      <c r="J18" s="206">
        <f t="shared" si="22"/>
        <v>251.4</v>
      </c>
      <c r="K18" s="206">
        <f t="shared" si="3"/>
        <v>5409.1548387096773</v>
      </c>
      <c r="L18" s="206">
        <f t="shared" si="23"/>
        <v>251.4</v>
      </c>
      <c r="M18" s="206">
        <f t="shared" si="4"/>
        <v>5409.1548387096773</v>
      </c>
      <c r="N18" s="206">
        <f t="shared" si="24"/>
        <v>251.4</v>
      </c>
      <c r="O18" s="206">
        <f t="shared" si="5"/>
        <v>5409.1548387096773</v>
      </c>
      <c r="P18" s="206">
        <f t="shared" si="25"/>
        <v>251.4</v>
      </c>
      <c r="Q18" s="206">
        <f t="shared" si="6"/>
        <v>5409.1548387096773</v>
      </c>
      <c r="R18" s="206">
        <f t="shared" si="26"/>
        <v>251.4</v>
      </c>
      <c r="S18" s="206">
        <f t="shared" si="7"/>
        <v>5409.1548387096773</v>
      </c>
      <c r="T18" s="206">
        <f t="shared" si="27"/>
        <v>251.4</v>
      </c>
      <c r="U18" s="206">
        <f t="shared" si="8"/>
        <v>5409.1548387096773</v>
      </c>
      <c r="V18" s="206">
        <f t="shared" si="28"/>
        <v>251.4</v>
      </c>
      <c r="W18" s="206">
        <f t="shared" si="9"/>
        <v>5409.1548387096773</v>
      </c>
      <c r="X18" s="35">
        <f t="shared" si="10"/>
        <v>0.81096774193548382</v>
      </c>
      <c r="Y18" s="36">
        <f t="shared" si="29"/>
        <v>59500.70322580645</v>
      </c>
      <c r="Z18" s="206">
        <f>'B5'!C17</f>
        <v>257.39999999999998</v>
      </c>
      <c r="AA18" s="206">
        <f t="shared" si="30"/>
        <v>2574</v>
      </c>
      <c r="AB18" s="206">
        <f t="shared" si="31"/>
        <v>257.39999999999998</v>
      </c>
      <c r="AC18" s="206">
        <f t="shared" si="30"/>
        <v>2574</v>
      </c>
      <c r="AD18" s="206">
        <f t="shared" si="32"/>
        <v>257.39999999999998</v>
      </c>
      <c r="AE18" s="206">
        <f t="shared" si="11"/>
        <v>2574</v>
      </c>
      <c r="AF18" s="206">
        <f t="shared" si="33"/>
        <v>257.39999999999998</v>
      </c>
      <c r="AG18" s="206">
        <f t="shared" si="12"/>
        <v>2574</v>
      </c>
      <c r="AH18" s="206">
        <f t="shared" si="34"/>
        <v>257.39999999999998</v>
      </c>
      <c r="AI18" s="206">
        <f t="shared" si="13"/>
        <v>2574</v>
      </c>
      <c r="AJ18" s="206">
        <f t="shared" si="35"/>
        <v>257.39999999999998</v>
      </c>
      <c r="AK18" s="206">
        <f t="shared" si="14"/>
        <v>2574</v>
      </c>
      <c r="AL18" s="206">
        <f t="shared" si="36"/>
        <v>257.39999999999998</v>
      </c>
      <c r="AM18" s="206">
        <f t="shared" si="15"/>
        <v>2574</v>
      </c>
      <c r="AN18" s="35">
        <f t="shared" si="16"/>
        <v>0.91928571428571426</v>
      </c>
      <c r="AO18" s="36">
        <f t="shared" si="17"/>
        <v>18018</v>
      </c>
      <c r="AQ18" s="226">
        <f t="shared" si="37"/>
        <v>0.83380341213086417</v>
      </c>
      <c r="AR18" s="38">
        <f t="shared" si="41"/>
        <v>77518.703225806443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251.4</v>
      </c>
      <c r="C19" s="206">
        <f t="shared" si="18"/>
        <v>5409.1548387096773</v>
      </c>
      <c r="D19">
        <f t="shared" si="19"/>
        <v>251.4</v>
      </c>
      <c r="E19" s="206">
        <f t="shared" si="18"/>
        <v>5409.1548387096773</v>
      </c>
      <c r="F19">
        <f t="shared" si="20"/>
        <v>251.4</v>
      </c>
      <c r="G19" s="206">
        <f t="shared" si="1"/>
        <v>5409.1548387096773</v>
      </c>
      <c r="H19" s="206">
        <f t="shared" si="21"/>
        <v>251.4</v>
      </c>
      <c r="I19" s="206">
        <f t="shared" si="2"/>
        <v>5409.1548387096773</v>
      </c>
      <c r="J19" s="206">
        <f t="shared" si="22"/>
        <v>251.4</v>
      </c>
      <c r="K19" s="206">
        <f t="shared" si="3"/>
        <v>5409.1548387096773</v>
      </c>
      <c r="L19" s="206">
        <f t="shared" si="23"/>
        <v>251.4</v>
      </c>
      <c r="M19" s="206">
        <f t="shared" si="4"/>
        <v>5409.1548387096773</v>
      </c>
      <c r="N19" s="206">
        <f t="shared" si="24"/>
        <v>251.4</v>
      </c>
      <c r="O19" s="206">
        <f t="shared" si="5"/>
        <v>5409.1548387096773</v>
      </c>
      <c r="P19" s="206">
        <f t="shared" si="25"/>
        <v>251.4</v>
      </c>
      <c r="Q19" s="206">
        <f t="shared" si="6"/>
        <v>5409.1548387096773</v>
      </c>
      <c r="R19" s="206">
        <f t="shared" si="26"/>
        <v>251.4</v>
      </c>
      <c r="S19" s="206">
        <f t="shared" si="7"/>
        <v>5409.1548387096773</v>
      </c>
      <c r="T19" s="206">
        <f t="shared" si="27"/>
        <v>251.4</v>
      </c>
      <c r="U19" s="206">
        <f t="shared" si="8"/>
        <v>5409.1548387096773</v>
      </c>
      <c r="V19" s="206">
        <f t="shared" si="28"/>
        <v>251.4</v>
      </c>
      <c r="W19" s="206">
        <f t="shared" si="9"/>
        <v>5409.1548387096773</v>
      </c>
      <c r="X19" s="35">
        <f t="shared" si="10"/>
        <v>0.81096774193548382</v>
      </c>
      <c r="Y19" s="36">
        <f t="shared" si="29"/>
        <v>59500.70322580645</v>
      </c>
      <c r="Z19" s="206">
        <f>'B5'!C18</f>
        <v>257.39999999999998</v>
      </c>
      <c r="AA19" s="206">
        <f t="shared" si="30"/>
        <v>2574</v>
      </c>
      <c r="AB19" s="206">
        <f t="shared" si="31"/>
        <v>257.39999999999998</v>
      </c>
      <c r="AC19" s="206">
        <f t="shared" si="30"/>
        <v>2574</v>
      </c>
      <c r="AD19" s="206">
        <f t="shared" si="32"/>
        <v>257.39999999999998</v>
      </c>
      <c r="AE19" s="206">
        <f t="shared" si="11"/>
        <v>2574</v>
      </c>
      <c r="AF19" s="206">
        <f t="shared" si="33"/>
        <v>257.39999999999998</v>
      </c>
      <c r="AG19" s="206">
        <f t="shared" si="12"/>
        <v>2574</v>
      </c>
      <c r="AH19" s="206">
        <f t="shared" si="34"/>
        <v>257.39999999999998</v>
      </c>
      <c r="AI19" s="206">
        <f t="shared" si="13"/>
        <v>2574</v>
      </c>
      <c r="AJ19" s="206">
        <f t="shared" si="35"/>
        <v>257.39999999999998</v>
      </c>
      <c r="AK19" s="206">
        <f t="shared" si="14"/>
        <v>2574</v>
      </c>
      <c r="AL19" s="206">
        <f t="shared" si="36"/>
        <v>257.39999999999998</v>
      </c>
      <c r="AM19" s="206">
        <f t="shared" si="15"/>
        <v>2574</v>
      </c>
      <c r="AN19" s="35">
        <f t="shared" si="16"/>
        <v>0.91928571428571426</v>
      </c>
      <c r="AO19" s="36">
        <f t="shared" si="17"/>
        <v>18018</v>
      </c>
      <c r="AQ19" s="226">
        <f t="shared" si="37"/>
        <v>0.83380341213086417</v>
      </c>
      <c r="AR19" s="38">
        <f t="shared" si="41"/>
        <v>77518.703225806443</v>
      </c>
      <c r="AS19" s="200">
        <f t="shared" si="38"/>
        <v>0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251.4</v>
      </c>
      <c r="C20" s="206">
        <f t="shared" si="18"/>
        <v>5409.1548387096773</v>
      </c>
      <c r="D20">
        <f t="shared" si="19"/>
        <v>251.4</v>
      </c>
      <c r="E20" s="206">
        <f t="shared" si="18"/>
        <v>5409.1548387096773</v>
      </c>
      <c r="F20">
        <f t="shared" si="20"/>
        <v>251.4</v>
      </c>
      <c r="G20" s="206">
        <f t="shared" si="1"/>
        <v>5409.1548387096773</v>
      </c>
      <c r="H20" s="206">
        <f t="shared" si="21"/>
        <v>251.4</v>
      </c>
      <c r="I20" s="206">
        <f t="shared" si="2"/>
        <v>5409.1548387096773</v>
      </c>
      <c r="J20" s="206">
        <f t="shared" si="22"/>
        <v>251.4</v>
      </c>
      <c r="K20" s="206">
        <f t="shared" si="3"/>
        <v>5409.1548387096773</v>
      </c>
      <c r="L20" s="206">
        <f t="shared" si="23"/>
        <v>251.4</v>
      </c>
      <c r="M20" s="206">
        <f t="shared" si="4"/>
        <v>5409.1548387096773</v>
      </c>
      <c r="N20" s="206">
        <f t="shared" si="24"/>
        <v>251.4</v>
      </c>
      <c r="O20" s="206">
        <f t="shared" si="5"/>
        <v>5409.1548387096773</v>
      </c>
      <c r="P20" s="206">
        <f t="shared" si="25"/>
        <v>251.4</v>
      </c>
      <c r="Q20" s="206">
        <f t="shared" si="6"/>
        <v>5409.1548387096773</v>
      </c>
      <c r="R20" s="206">
        <f t="shared" si="26"/>
        <v>251.4</v>
      </c>
      <c r="S20" s="206">
        <f t="shared" si="7"/>
        <v>5409.1548387096773</v>
      </c>
      <c r="T20" s="206">
        <f t="shared" si="27"/>
        <v>251.4</v>
      </c>
      <c r="U20" s="206">
        <f t="shared" si="8"/>
        <v>5409.1548387096773</v>
      </c>
      <c r="V20" s="206">
        <f t="shared" si="28"/>
        <v>251.4</v>
      </c>
      <c r="W20" s="206">
        <f t="shared" si="9"/>
        <v>5409.1548387096773</v>
      </c>
      <c r="X20" s="35">
        <f t="shared" si="10"/>
        <v>0.81096774193548382</v>
      </c>
      <c r="Y20" s="36">
        <f t="shared" si="29"/>
        <v>59500.70322580645</v>
      </c>
      <c r="Z20" s="206">
        <f>'B5'!C19</f>
        <v>257.39999999999998</v>
      </c>
      <c r="AA20" s="206">
        <f t="shared" si="30"/>
        <v>2574</v>
      </c>
      <c r="AB20" s="206">
        <f t="shared" si="31"/>
        <v>257.39999999999998</v>
      </c>
      <c r="AC20" s="206">
        <f t="shared" si="30"/>
        <v>2574</v>
      </c>
      <c r="AD20" s="206">
        <f t="shared" si="32"/>
        <v>257.39999999999998</v>
      </c>
      <c r="AE20" s="206">
        <f t="shared" si="11"/>
        <v>2574</v>
      </c>
      <c r="AF20" s="206">
        <f t="shared" si="33"/>
        <v>257.39999999999998</v>
      </c>
      <c r="AG20" s="206">
        <f t="shared" si="12"/>
        <v>2574</v>
      </c>
      <c r="AH20" s="206">
        <f t="shared" si="34"/>
        <v>257.39999999999998</v>
      </c>
      <c r="AI20" s="206">
        <f t="shared" si="13"/>
        <v>2574</v>
      </c>
      <c r="AJ20" s="206">
        <f t="shared" si="35"/>
        <v>257.39999999999998</v>
      </c>
      <c r="AK20" s="206">
        <f t="shared" si="14"/>
        <v>2574</v>
      </c>
      <c r="AL20" s="206">
        <f t="shared" si="36"/>
        <v>257.39999999999998</v>
      </c>
      <c r="AM20" s="206">
        <f t="shared" si="15"/>
        <v>2574</v>
      </c>
      <c r="AN20" s="35">
        <f t="shared" si="16"/>
        <v>0.91928571428571426</v>
      </c>
      <c r="AO20" s="36">
        <f t="shared" si="17"/>
        <v>18018</v>
      </c>
      <c r="AQ20" s="226">
        <f t="shared" si="37"/>
        <v>0.83380341213086417</v>
      </c>
      <c r="AR20" s="38">
        <f t="shared" si="41"/>
        <v>77518.703225806443</v>
      </c>
      <c r="AS20" s="200">
        <f t="shared" si="38"/>
        <v>0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251.4</v>
      </c>
      <c r="C21" s="206">
        <f t="shared" si="18"/>
        <v>5409.1548387096773</v>
      </c>
      <c r="D21">
        <f t="shared" si="19"/>
        <v>251.4</v>
      </c>
      <c r="E21" s="206">
        <f t="shared" si="18"/>
        <v>5409.1548387096773</v>
      </c>
      <c r="F21">
        <f t="shared" si="20"/>
        <v>251.4</v>
      </c>
      <c r="G21" s="206">
        <f t="shared" si="1"/>
        <v>5409.1548387096773</v>
      </c>
      <c r="H21" s="206">
        <f t="shared" si="21"/>
        <v>251.4</v>
      </c>
      <c r="I21" s="206">
        <f t="shared" si="2"/>
        <v>5409.1548387096773</v>
      </c>
      <c r="J21" s="206">
        <f t="shared" si="22"/>
        <v>251.4</v>
      </c>
      <c r="K21" s="206">
        <f t="shared" si="3"/>
        <v>5409.1548387096773</v>
      </c>
      <c r="L21" s="206">
        <f t="shared" si="23"/>
        <v>251.4</v>
      </c>
      <c r="M21" s="206">
        <f t="shared" si="4"/>
        <v>5409.1548387096773</v>
      </c>
      <c r="N21" s="206">
        <f t="shared" si="24"/>
        <v>251.4</v>
      </c>
      <c r="O21" s="206">
        <f t="shared" si="5"/>
        <v>5409.1548387096773</v>
      </c>
      <c r="P21" s="206">
        <f t="shared" si="25"/>
        <v>251.4</v>
      </c>
      <c r="Q21" s="206">
        <f t="shared" si="6"/>
        <v>5409.1548387096773</v>
      </c>
      <c r="R21" s="206">
        <f t="shared" si="26"/>
        <v>251.4</v>
      </c>
      <c r="S21" s="206">
        <f t="shared" si="7"/>
        <v>5409.1548387096773</v>
      </c>
      <c r="T21" s="206">
        <f t="shared" si="27"/>
        <v>251.4</v>
      </c>
      <c r="U21" s="206">
        <f t="shared" si="8"/>
        <v>5409.1548387096773</v>
      </c>
      <c r="V21" s="206">
        <f t="shared" si="28"/>
        <v>251.4</v>
      </c>
      <c r="W21" s="206">
        <f t="shared" si="9"/>
        <v>5409.1548387096773</v>
      </c>
      <c r="X21" s="35">
        <f t="shared" si="10"/>
        <v>0.81096774193548382</v>
      </c>
      <c r="Y21" s="36">
        <f t="shared" si="29"/>
        <v>59500.70322580645</v>
      </c>
      <c r="Z21" s="206">
        <f>'B5'!C20</f>
        <v>257.39999999999998</v>
      </c>
      <c r="AA21" s="206">
        <f t="shared" si="30"/>
        <v>2574</v>
      </c>
      <c r="AB21" s="206">
        <f t="shared" si="31"/>
        <v>257.39999999999998</v>
      </c>
      <c r="AC21" s="206">
        <f t="shared" si="30"/>
        <v>2574</v>
      </c>
      <c r="AD21" s="206">
        <f t="shared" si="32"/>
        <v>257.39999999999998</v>
      </c>
      <c r="AE21" s="206">
        <f t="shared" si="11"/>
        <v>2574</v>
      </c>
      <c r="AF21" s="206">
        <f t="shared" si="33"/>
        <v>257.39999999999998</v>
      </c>
      <c r="AG21" s="206">
        <f t="shared" si="12"/>
        <v>2574</v>
      </c>
      <c r="AH21" s="206">
        <f t="shared" si="34"/>
        <v>257.39999999999998</v>
      </c>
      <c r="AI21" s="206">
        <f t="shared" si="13"/>
        <v>2574</v>
      </c>
      <c r="AJ21" s="206">
        <f t="shared" si="35"/>
        <v>257.39999999999998</v>
      </c>
      <c r="AK21" s="206">
        <f t="shared" si="14"/>
        <v>2574</v>
      </c>
      <c r="AL21" s="206">
        <f t="shared" si="36"/>
        <v>257.39999999999998</v>
      </c>
      <c r="AM21" s="206">
        <f t="shared" si="15"/>
        <v>2574</v>
      </c>
      <c r="AN21" s="35">
        <f t="shared" si="16"/>
        <v>0.91928571428571426</v>
      </c>
      <c r="AO21" s="36">
        <f t="shared" si="17"/>
        <v>18018</v>
      </c>
      <c r="AQ21" s="226">
        <f t="shared" si="37"/>
        <v>0.83380341213086417</v>
      </c>
      <c r="AR21" s="38">
        <f t="shared" si="41"/>
        <v>77518.703225806443</v>
      </c>
      <c r="AS21" s="200">
        <f>SUM(AR21-AR20-AT21)</f>
        <v>0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251.4</v>
      </c>
      <c r="C22" s="206">
        <f t="shared" si="18"/>
        <v>5409.1548387096773</v>
      </c>
      <c r="D22">
        <f t="shared" si="19"/>
        <v>251.4</v>
      </c>
      <c r="E22" s="206">
        <f t="shared" si="18"/>
        <v>5409.1548387096773</v>
      </c>
      <c r="F22">
        <f t="shared" si="20"/>
        <v>251.4</v>
      </c>
      <c r="G22" s="206">
        <f t="shared" si="1"/>
        <v>5409.1548387096773</v>
      </c>
      <c r="H22" s="206">
        <f t="shared" si="21"/>
        <v>251.4</v>
      </c>
      <c r="I22" s="206">
        <f t="shared" si="2"/>
        <v>5409.1548387096773</v>
      </c>
      <c r="J22" s="206">
        <f t="shared" si="22"/>
        <v>251.4</v>
      </c>
      <c r="K22" s="206">
        <f t="shared" si="3"/>
        <v>5409.1548387096773</v>
      </c>
      <c r="L22" s="206">
        <f t="shared" si="23"/>
        <v>251.4</v>
      </c>
      <c r="M22" s="206">
        <f t="shared" si="4"/>
        <v>5409.1548387096773</v>
      </c>
      <c r="N22" s="206">
        <f t="shared" si="24"/>
        <v>251.4</v>
      </c>
      <c r="O22" s="206">
        <f t="shared" si="5"/>
        <v>5409.1548387096773</v>
      </c>
      <c r="P22" s="206">
        <f t="shared" si="25"/>
        <v>251.4</v>
      </c>
      <c r="Q22" s="206">
        <f t="shared" si="6"/>
        <v>5409.1548387096773</v>
      </c>
      <c r="R22" s="206">
        <f t="shared" si="26"/>
        <v>251.4</v>
      </c>
      <c r="S22" s="206">
        <f t="shared" si="7"/>
        <v>5409.1548387096773</v>
      </c>
      <c r="T22" s="206">
        <f t="shared" si="27"/>
        <v>251.4</v>
      </c>
      <c r="U22" s="206">
        <f t="shared" si="8"/>
        <v>5409.1548387096773</v>
      </c>
      <c r="V22" s="206">
        <f t="shared" si="28"/>
        <v>251.4</v>
      </c>
      <c r="W22" s="206">
        <f t="shared" si="9"/>
        <v>5409.1548387096773</v>
      </c>
      <c r="X22" s="35">
        <f t="shared" si="10"/>
        <v>0.81096774193548382</v>
      </c>
      <c r="Y22" s="36">
        <f t="shared" si="29"/>
        <v>59500.70322580645</v>
      </c>
      <c r="Z22" s="206">
        <f>'B5'!C21</f>
        <v>257.39999999999998</v>
      </c>
      <c r="AA22" s="206">
        <f t="shared" si="30"/>
        <v>2574</v>
      </c>
      <c r="AB22" s="206">
        <f t="shared" si="31"/>
        <v>257.39999999999998</v>
      </c>
      <c r="AC22" s="206">
        <f t="shared" si="30"/>
        <v>2574</v>
      </c>
      <c r="AD22" s="206">
        <f t="shared" si="32"/>
        <v>257.39999999999998</v>
      </c>
      <c r="AE22" s="206">
        <f t="shared" si="11"/>
        <v>2574</v>
      </c>
      <c r="AF22" s="206">
        <f t="shared" si="33"/>
        <v>257.39999999999998</v>
      </c>
      <c r="AG22" s="206">
        <f t="shared" si="12"/>
        <v>2574</v>
      </c>
      <c r="AH22" s="206">
        <f t="shared" si="34"/>
        <v>257.39999999999998</v>
      </c>
      <c r="AI22" s="206">
        <f t="shared" si="13"/>
        <v>2574</v>
      </c>
      <c r="AJ22" s="206">
        <f t="shared" si="35"/>
        <v>257.39999999999998</v>
      </c>
      <c r="AK22" s="206">
        <f t="shared" si="14"/>
        <v>2574</v>
      </c>
      <c r="AL22" s="206">
        <f t="shared" si="36"/>
        <v>257.39999999999998</v>
      </c>
      <c r="AM22" s="206">
        <f t="shared" si="15"/>
        <v>2574</v>
      </c>
      <c r="AN22" s="35">
        <f t="shared" si="16"/>
        <v>0.91928571428571426</v>
      </c>
      <c r="AO22" s="36">
        <f t="shared" si="17"/>
        <v>18018</v>
      </c>
      <c r="AQ22" s="226">
        <f t="shared" si="37"/>
        <v>0.83380341213086417</v>
      </c>
      <c r="AR22" s="38">
        <f t="shared" si="41"/>
        <v>77518.703225806443</v>
      </c>
      <c r="AS22" s="200">
        <f t="shared" si="38"/>
        <v>0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251.4</v>
      </c>
      <c r="C23" s="206">
        <f t="shared" si="18"/>
        <v>5409.1548387096773</v>
      </c>
      <c r="D23">
        <f t="shared" si="19"/>
        <v>251.4</v>
      </c>
      <c r="E23" s="206">
        <f t="shared" si="18"/>
        <v>5409.1548387096773</v>
      </c>
      <c r="F23">
        <f t="shared" si="20"/>
        <v>251.4</v>
      </c>
      <c r="G23" s="206">
        <f t="shared" si="1"/>
        <v>5409.1548387096773</v>
      </c>
      <c r="H23" s="206">
        <f t="shared" si="21"/>
        <v>251.4</v>
      </c>
      <c r="I23" s="206">
        <f t="shared" si="2"/>
        <v>5409.1548387096773</v>
      </c>
      <c r="J23" s="206">
        <f t="shared" si="22"/>
        <v>251.4</v>
      </c>
      <c r="K23" s="206">
        <f t="shared" si="3"/>
        <v>5409.1548387096773</v>
      </c>
      <c r="L23" s="206">
        <f t="shared" si="23"/>
        <v>251.4</v>
      </c>
      <c r="M23" s="206">
        <f t="shared" si="4"/>
        <v>5409.1548387096773</v>
      </c>
      <c r="N23" s="206">
        <f t="shared" si="24"/>
        <v>251.4</v>
      </c>
      <c r="O23" s="206">
        <f t="shared" si="5"/>
        <v>5409.1548387096773</v>
      </c>
      <c r="P23" s="206">
        <f t="shared" si="25"/>
        <v>251.4</v>
      </c>
      <c r="Q23" s="206">
        <f t="shared" si="6"/>
        <v>5409.1548387096773</v>
      </c>
      <c r="R23" s="206">
        <f t="shared" si="26"/>
        <v>251.4</v>
      </c>
      <c r="S23" s="206">
        <f t="shared" si="7"/>
        <v>5409.1548387096773</v>
      </c>
      <c r="T23" s="206">
        <f t="shared" si="27"/>
        <v>251.4</v>
      </c>
      <c r="U23" s="206">
        <f t="shared" si="8"/>
        <v>5409.1548387096773</v>
      </c>
      <c r="V23" s="206">
        <f t="shared" si="28"/>
        <v>251.4</v>
      </c>
      <c r="W23" s="206">
        <f t="shared" si="9"/>
        <v>5409.1548387096773</v>
      </c>
      <c r="X23" s="35">
        <f t="shared" si="10"/>
        <v>0.81096774193548382</v>
      </c>
      <c r="Y23" s="36">
        <f t="shared" si="29"/>
        <v>59500.70322580645</v>
      </c>
      <c r="Z23" s="206">
        <f>'B5'!C22</f>
        <v>257.39999999999998</v>
      </c>
      <c r="AA23" s="206">
        <f t="shared" si="30"/>
        <v>2574</v>
      </c>
      <c r="AB23" s="206">
        <f t="shared" si="31"/>
        <v>257.39999999999998</v>
      </c>
      <c r="AC23" s="206">
        <f t="shared" si="30"/>
        <v>2574</v>
      </c>
      <c r="AD23" s="206">
        <f t="shared" si="32"/>
        <v>257.39999999999998</v>
      </c>
      <c r="AE23" s="206">
        <f t="shared" si="11"/>
        <v>2574</v>
      </c>
      <c r="AF23" s="206">
        <f t="shared" si="33"/>
        <v>257.39999999999998</v>
      </c>
      <c r="AG23" s="206">
        <f t="shared" si="12"/>
        <v>2574</v>
      </c>
      <c r="AH23" s="206">
        <f t="shared" si="34"/>
        <v>257.39999999999998</v>
      </c>
      <c r="AI23" s="206">
        <f t="shared" si="13"/>
        <v>2574</v>
      </c>
      <c r="AJ23" s="206">
        <f t="shared" si="35"/>
        <v>257.39999999999998</v>
      </c>
      <c r="AK23" s="206">
        <f t="shared" si="14"/>
        <v>2574</v>
      </c>
      <c r="AL23" s="206">
        <f t="shared" si="36"/>
        <v>257.39999999999998</v>
      </c>
      <c r="AM23" s="206">
        <f t="shared" si="15"/>
        <v>2574</v>
      </c>
      <c r="AN23" s="35">
        <f t="shared" si="16"/>
        <v>0.91928571428571426</v>
      </c>
      <c r="AO23" s="36">
        <f t="shared" si="17"/>
        <v>18018</v>
      </c>
      <c r="AQ23" s="226">
        <f t="shared" si="37"/>
        <v>0.83380341213086417</v>
      </c>
      <c r="AR23" s="38">
        <f t="shared" si="41"/>
        <v>77518.703225806443</v>
      </c>
      <c r="AS23" s="200">
        <f t="shared" si="38"/>
        <v>0</v>
      </c>
      <c r="AT23" s="277"/>
      <c r="AU23" s="449"/>
      <c r="AV23" s="533">
        <f t="shared" si="42"/>
        <v>0.53500000000000003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251.4</v>
      </c>
      <c r="C24" s="206">
        <f t="shared" si="18"/>
        <v>5409.1548387096773</v>
      </c>
      <c r="D24">
        <f t="shared" si="19"/>
        <v>251.4</v>
      </c>
      <c r="E24" s="206">
        <f t="shared" si="18"/>
        <v>5409.1548387096773</v>
      </c>
      <c r="F24">
        <f t="shared" si="20"/>
        <v>251.4</v>
      </c>
      <c r="G24" s="206">
        <f t="shared" si="1"/>
        <v>5409.1548387096773</v>
      </c>
      <c r="H24" s="206">
        <f t="shared" si="21"/>
        <v>251.4</v>
      </c>
      <c r="I24" s="206">
        <f t="shared" si="2"/>
        <v>5409.1548387096773</v>
      </c>
      <c r="J24" s="206">
        <f t="shared" si="22"/>
        <v>251.4</v>
      </c>
      <c r="K24" s="206">
        <f t="shared" si="3"/>
        <v>5409.1548387096773</v>
      </c>
      <c r="L24" s="206">
        <f t="shared" si="23"/>
        <v>251.4</v>
      </c>
      <c r="M24" s="206">
        <f t="shared" si="4"/>
        <v>5409.1548387096773</v>
      </c>
      <c r="N24" s="206">
        <f t="shared" si="24"/>
        <v>251.4</v>
      </c>
      <c r="O24" s="206">
        <f t="shared" si="5"/>
        <v>5409.1548387096773</v>
      </c>
      <c r="P24" s="206">
        <f t="shared" si="25"/>
        <v>251.4</v>
      </c>
      <c r="Q24" s="206">
        <f t="shared" si="6"/>
        <v>5409.1548387096773</v>
      </c>
      <c r="R24" s="206">
        <f t="shared" si="26"/>
        <v>251.4</v>
      </c>
      <c r="S24" s="206">
        <f t="shared" si="7"/>
        <v>5409.1548387096773</v>
      </c>
      <c r="T24" s="206">
        <f t="shared" si="27"/>
        <v>251.4</v>
      </c>
      <c r="U24" s="206">
        <f t="shared" si="8"/>
        <v>5409.1548387096773</v>
      </c>
      <c r="V24" s="206">
        <f t="shared" si="28"/>
        <v>251.4</v>
      </c>
      <c r="W24" s="206">
        <f t="shared" si="9"/>
        <v>5409.1548387096773</v>
      </c>
      <c r="X24" s="35">
        <f t="shared" si="10"/>
        <v>0.81096774193548382</v>
      </c>
      <c r="Y24" s="36">
        <f t="shared" si="29"/>
        <v>59500.70322580645</v>
      </c>
      <c r="Z24" s="206">
        <f>'B5'!C23</f>
        <v>257.39999999999998</v>
      </c>
      <c r="AA24" s="206">
        <f t="shared" si="30"/>
        <v>2574</v>
      </c>
      <c r="AB24" s="206">
        <f t="shared" si="31"/>
        <v>257.39999999999998</v>
      </c>
      <c r="AC24" s="206">
        <f t="shared" si="30"/>
        <v>2574</v>
      </c>
      <c r="AD24" s="206">
        <f t="shared" si="32"/>
        <v>257.39999999999998</v>
      </c>
      <c r="AE24" s="206">
        <f t="shared" si="11"/>
        <v>2574</v>
      </c>
      <c r="AF24" s="206">
        <f t="shared" si="33"/>
        <v>257.39999999999998</v>
      </c>
      <c r="AG24" s="206">
        <f t="shared" si="12"/>
        <v>2574</v>
      </c>
      <c r="AH24" s="206">
        <f t="shared" si="34"/>
        <v>257.39999999999998</v>
      </c>
      <c r="AI24" s="206">
        <f t="shared" si="13"/>
        <v>2574</v>
      </c>
      <c r="AJ24" s="206">
        <f t="shared" si="35"/>
        <v>257.39999999999998</v>
      </c>
      <c r="AK24" s="206">
        <f t="shared" si="14"/>
        <v>2574</v>
      </c>
      <c r="AL24" s="206">
        <f t="shared" si="36"/>
        <v>257.39999999999998</v>
      </c>
      <c r="AM24" s="206">
        <f t="shared" si="15"/>
        <v>2574</v>
      </c>
      <c r="AN24" s="35">
        <f t="shared" si="16"/>
        <v>0.91928571428571426</v>
      </c>
      <c r="AO24" s="36">
        <f t="shared" si="17"/>
        <v>18018</v>
      </c>
      <c r="AQ24" s="226">
        <f t="shared" si="37"/>
        <v>0.83380341213086417</v>
      </c>
      <c r="AR24" s="38">
        <f t="shared" si="41"/>
        <v>77518.703225806443</v>
      </c>
      <c r="AS24" s="200">
        <f t="shared" si="38"/>
        <v>0</v>
      </c>
      <c r="AT24" s="277"/>
      <c r="AU24" s="449"/>
      <c r="AV24" s="533">
        <f t="shared" si="42"/>
        <v>0.53500000000000003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251.4</v>
      </c>
      <c r="C25" s="206">
        <f t="shared" si="18"/>
        <v>5409.1548387096773</v>
      </c>
      <c r="D25">
        <f t="shared" si="19"/>
        <v>251.4</v>
      </c>
      <c r="E25" s="206">
        <f t="shared" si="18"/>
        <v>5409.1548387096773</v>
      </c>
      <c r="F25">
        <f t="shared" si="20"/>
        <v>251.4</v>
      </c>
      <c r="G25" s="206">
        <f t="shared" si="1"/>
        <v>5409.1548387096773</v>
      </c>
      <c r="H25" s="206">
        <f t="shared" si="21"/>
        <v>251.4</v>
      </c>
      <c r="I25" s="206">
        <f t="shared" si="2"/>
        <v>5409.1548387096773</v>
      </c>
      <c r="J25" s="206">
        <f t="shared" si="22"/>
        <v>251.4</v>
      </c>
      <c r="K25" s="206">
        <f t="shared" si="3"/>
        <v>5409.1548387096773</v>
      </c>
      <c r="L25" s="206">
        <f t="shared" si="23"/>
        <v>251.4</v>
      </c>
      <c r="M25" s="206">
        <f t="shared" si="4"/>
        <v>5409.1548387096773</v>
      </c>
      <c r="N25" s="206">
        <f t="shared" si="24"/>
        <v>251.4</v>
      </c>
      <c r="O25" s="206">
        <f t="shared" si="5"/>
        <v>5409.1548387096773</v>
      </c>
      <c r="P25" s="206">
        <f t="shared" si="25"/>
        <v>251.4</v>
      </c>
      <c r="Q25" s="206">
        <f t="shared" si="6"/>
        <v>5409.1548387096773</v>
      </c>
      <c r="R25" s="206">
        <f t="shared" si="26"/>
        <v>251.4</v>
      </c>
      <c r="S25" s="206">
        <f t="shared" si="7"/>
        <v>5409.1548387096773</v>
      </c>
      <c r="T25" s="206">
        <f t="shared" si="27"/>
        <v>251.4</v>
      </c>
      <c r="U25" s="206">
        <f t="shared" si="8"/>
        <v>5409.1548387096773</v>
      </c>
      <c r="V25" s="206">
        <f t="shared" si="28"/>
        <v>251.4</v>
      </c>
      <c r="W25" s="206">
        <f t="shared" si="9"/>
        <v>5409.1548387096773</v>
      </c>
      <c r="X25" s="35">
        <f t="shared" si="10"/>
        <v>0.81096774193548382</v>
      </c>
      <c r="Y25" s="36">
        <f t="shared" si="29"/>
        <v>59500.70322580645</v>
      </c>
      <c r="Z25" s="206">
        <f>'B5'!C24</f>
        <v>257.39999999999998</v>
      </c>
      <c r="AA25" s="206">
        <f t="shared" si="30"/>
        <v>2574</v>
      </c>
      <c r="AB25" s="206">
        <f t="shared" si="31"/>
        <v>257.39999999999998</v>
      </c>
      <c r="AC25" s="206">
        <f t="shared" si="30"/>
        <v>2574</v>
      </c>
      <c r="AD25" s="206">
        <f t="shared" si="32"/>
        <v>257.39999999999998</v>
      </c>
      <c r="AE25" s="206">
        <f t="shared" si="11"/>
        <v>2574</v>
      </c>
      <c r="AF25" s="206">
        <f t="shared" si="33"/>
        <v>257.39999999999998</v>
      </c>
      <c r="AG25" s="206">
        <f t="shared" si="12"/>
        <v>2574</v>
      </c>
      <c r="AH25" s="206">
        <f t="shared" si="34"/>
        <v>257.39999999999998</v>
      </c>
      <c r="AI25" s="206">
        <f t="shared" si="13"/>
        <v>2574</v>
      </c>
      <c r="AJ25" s="206">
        <f t="shared" si="35"/>
        <v>257.39999999999998</v>
      </c>
      <c r="AK25" s="206">
        <f t="shared" si="14"/>
        <v>2574</v>
      </c>
      <c r="AL25" s="206">
        <f t="shared" si="36"/>
        <v>257.39999999999998</v>
      </c>
      <c r="AM25" s="206">
        <f t="shared" si="15"/>
        <v>2574</v>
      </c>
      <c r="AN25" s="35">
        <f t="shared" si="16"/>
        <v>0.91928571428571426</v>
      </c>
      <c r="AO25" s="36">
        <f t="shared" si="17"/>
        <v>18018</v>
      </c>
      <c r="AQ25" s="226">
        <f t="shared" si="37"/>
        <v>0.83380341213086417</v>
      </c>
      <c r="AR25" s="38">
        <f t="shared" si="41"/>
        <v>77518.703225806443</v>
      </c>
      <c r="AS25" s="200">
        <f t="shared" si="38"/>
        <v>0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251.4</v>
      </c>
      <c r="C26" s="206">
        <f t="shared" si="18"/>
        <v>5409.1548387096773</v>
      </c>
      <c r="D26">
        <f t="shared" si="19"/>
        <v>251.4</v>
      </c>
      <c r="E26" s="206">
        <f t="shared" si="18"/>
        <v>5409.1548387096773</v>
      </c>
      <c r="F26">
        <f t="shared" si="20"/>
        <v>251.4</v>
      </c>
      <c r="G26" s="206">
        <f t="shared" si="1"/>
        <v>5409.1548387096773</v>
      </c>
      <c r="H26" s="206">
        <f t="shared" si="21"/>
        <v>251.4</v>
      </c>
      <c r="I26" s="206">
        <f t="shared" si="2"/>
        <v>5409.1548387096773</v>
      </c>
      <c r="J26" s="206">
        <f t="shared" si="22"/>
        <v>251.4</v>
      </c>
      <c r="K26" s="206">
        <f t="shared" si="3"/>
        <v>5409.1548387096773</v>
      </c>
      <c r="L26" s="206">
        <f t="shared" si="23"/>
        <v>251.4</v>
      </c>
      <c r="M26" s="206">
        <f t="shared" si="4"/>
        <v>5409.1548387096773</v>
      </c>
      <c r="N26" s="206">
        <f t="shared" si="24"/>
        <v>251.4</v>
      </c>
      <c r="O26" s="206">
        <f t="shared" si="5"/>
        <v>5409.1548387096773</v>
      </c>
      <c r="P26" s="206">
        <f t="shared" si="25"/>
        <v>251.4</v>
      </c>
      <c r="Q26" s="206">
        <f t="shared" si="6"/>
        <v>5409.1548387096773</v>
      </c>
      <c r="R26" s="206">
        <f t="shared" si="26"/>
        <v>251.4</v>
      </c>
      <c r="S26" s="206">
        <f t="shared" si="7"/>
        <v>5409.1548387096773</v>
      </c>
      <c r="T26" s="206">
        <f t="shared" si="27"/>
        <v>251.4</v>
      </c>
      <c r="U26" s="206">
        <f t="shared" si="8"/>
        <v>5409.1548387096773</v>
      </c>
      <c r="V26" s="206">
        <f t="shared" si="28"/>
        <v>251.4</v>
      </c>
      <c r="W26" s="206">
        <f t="shared" si="9"/>
        <v>5409.1548387096773</v>
      </c>
      <c r="X26" s="35">
        <f t="shared" si="10"/>
        <v>0.81096774193548382</v>
      </c>
      <c r="Y26" s="36">
        <f t="shared" si="29"/>
        <v>59500.70322580645</v>
      </c>
      <c r="Z26" s="206">
        <f>'B5'!C25</f>
        <v>257.39999999999998</v>
      </c>
      <c r="AA26" s="206">
        <f t="shared" si="30"/>
        <v>2574</v>
      </c>
      <c r="AB26" s="206">
        <f t="shared" si="31"/>
        <v>257.39999999999998</v>
      </c>
      <c r="AC26" s="206">
        <f t="shared" si="30"/>
        <v>2574</v>
      </c>
      <c r="AD26" s="206">
        <f t="shared" si="32"/>
        <v>257.39999999999998</v>
      </c>
      <c r="AE26" s="206">
        <f t="shared" si="11"/>
        <v>2574</v>
      </c>
      <c r="AF26" s="206">
        <f t="shared" si="33"/>
        <v>257.39999999999998</v>
      </c>
      <c r="AG26" s="206">
        <f t="shared" si="12"/>
        <v>2574</v>
      </c>
      <c r="AH26" s="206">
        <f t="shared" si="34"/>
        <v>257.39999999999998</v>
      </c>
      <c r="AI26" s="206">
        <f t="shared" si="13"/>
        <v>2574</v>
      </c>
      <c r="AJ26" s="206">
        <f t="shared" si="35"/>
        <v>257.39999999999998</v>
      </c>
      <c r="AK26" s="206">
        <f t="shared" si="14"/>
        <v>2574</v>
      </c>
      <c r="AL26" s="206">
        <f t="shared" si="36"/>
        <v>257.39999999999998</v>
      </c>
      <c r="AM26" s="206">
        <f t="shared" si="15"/>
        <v>2574</v>
      </c>
      <c r="AN26" s="35">
        <f t="shared" si="16"/>
        <v>0.91928571428571426</v>
      </c>
      <c r="AO26" s="36">
        <f t="shared" si="17"/>
        <v>18018</v>
      </c>
      <c r="AQ26" s="226">
        <f t="shared" si="37"/>
        <v>0.83380341213086417</v>
      </c>
      <c r="AR26" s="38">
        <f t="shared" si="41"/>
        <v>77518.703225806443</v>
      </c>
      <c r="AS26" s="200">
        <f t="shared" si="38"/>
        <v>0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251.4</v>
      </c>
      <c r="C27" s="206">
        <f t="shared" si="18"/>
        <v>5409.1548387096773</v>
      </c>
      <c r="D27">
        <f t="shared" si="19"/>
        <v>251.4</v>
      </c>
      <c r="E27" s="206">
        <f t="shared" si="18"/>
        <v>5409.1548387096773</v>
      </c>
      <c r="F27">
        <f t="shared" si="20"/>
        <v>251.4</v>
      </c>
      <c r="G27" s="206">
        <f t="shared" si="1"/>
        <v>5409.1548387096773</v>
      </c>
      <c r="H27" s="206">
        <f t="shared" si="21"/>
        <v>251.4</v>
      </c>
      <c r="I27" s="206">
        <f t="shared" si="2"/>
        <v>5409.1548387096773</v>
      </c>
      <c r="J27" s="206">
        <f t="shared" si="22"/>
        <v>251.4</v>
      </c>
      <c r="K27" s="206">
        <f t="shared" si="3"/>
        <v>5409.1548387096773</v>
      </c>
      <c r="L27" s="206">
        <f t="shared" si="23"/>
        <v>251.4</v>
      </c>
      <c r="M27" s="206">
        <f t="shared" si="4"/>
        <v>5409.1548387096773</v>
      </c>
      <c r="N27" s="206">
        <f t="shared" si="24"/>
        <v>251.4</v>
      </c>
      <c r="O27" s="206">
        <f t="shared" si="5"/>
        <v>5409.1548387096773</v>
      </c>
      <c r="P27" s="206">
        <f t="shared" si="25"/>
        <v>251.4</v>
      </c>
      <c r="Q27" s="206">
        <f t="shared" si="6"/>
        <v>5409.1548387096773</v>
      </c>
      <c r="R27" s="206">
        <f t="shared" si="26"/>
        <v>251.4</v>
      </c>
      <c r="S27" s="206">
        <f t="shared" si="7"/>
        <v>5409.1548387096773</v>
      </c>
      <c r="T27" s="206">
        <f t="shared" si="27"/>
        <v>251.4</v>
      </c>
      <c r="U27" s="206">
        <f t="shared" si="8"/>
        <v>5409.1548387096773</v>
      </c>
      <c r="V27" s="206">
        <f t="shared" si="28"/>
        <v>251.4</v>
      </c>
      <c r="W27" s="206">
        <f t="shared" si="9"/>
        <v>5409.1548387096773</v>
      </c>
      <c r="X27" s="35">
        <f t="shared" si="10"/>
        <v>0.81096774193548382</v>
      </c>
      <c r="Y27" s="36">
        <f t="shared" si="29"/>
        <v>59500.70322580645</v>
      </c>
      <c r="Z27" s="206">
        <f>'B5'!C26</f>
        <v>257.39999999999998</v>
      </c>
      <c r="AA27" s="206">
        <f t="shared" si="30"/>
        <v>2574</v>
      </c>
      <c r="AB27" s="206">
        <f t="shared" si="31"/>
        <v>257.39999999999998</v>
      </c>
      <c r="AC27" s="206">
        <f t="shared" si="30"/>
        <v>2574</v>
      </c>
      <c r="AD27" s="206">
        <f t="shared" si="32"/>
        <v>257.39999999999998</v>
      </c>
      <c r="AE27" s="206">
        <f t="shared" si="11"/>
        <v>2574</v>
      </c>
      <c r="AF27" s="206">
        <f t="shared" si="33"/>
        <v>257.39999999999998</v>
      </c>
      <c r="AG27" s="206">
        <f t="shared" si="12"/>
        <v>2574</v>
      </c>
      <c r="AH27" s="206">
        <f t="shared" si="34"/>
        <v>257.39999999999998</v>
      </c>
      <c r="AI27" s="206">
        <f t="shared" si="13"/>
        <v>2574</v>
      </c>
      <c r="AJ27" s="206">
        <f t="shared" si="35"/>
        <v>257.39999999999998</v>
      </c>
      <c r="AK27" s="206">
        <f t="shared" si="14"/>
        <v>2574</v>
      </c>
      <c r="AL27" s="206">
        <f t="shared" si="36"/>
        <v>257.39999999999998</v>
      </c>
      <c r="AM27" s="206">
        <f t="shared" si="15"/>
        <v>2574</v>
      </c>
      <c r="AN27" s="35">
        <f t="shared" si="16"/>
        <v>0.91928571428571426</v>
      </c>
      <c r="AO27" s="36">
        <f t="shared" si="17"/>
        <v>18018</v>
      </c>
      <c r="AQ27" s="226">
        <f t="shared" si="37"/>
        <v>0.83380341213086417</v>
      </c>
      <c r="AR27" s="38">
        <f t="shared" si="41"/>
        <v>77518.703225806443</v>
      </c>
      <c r="AS27" s="200">
        <f t="shared" si="38"/>
        <v>0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251.4</v>
      </c>
      <c r="C28" s="206">
        <f t="shared" si="18"/>
        <v>5409.1548387096773</v>
      </c>
      <c r="D28">
        <f t="shared" si="19"/>
        <v>251.4</v>
      </c>
      <c r="E28" s="206">
        <f t="shared" si="18"/>
        <v>5409.1548387096773</v>
      </c>
      <c r="F28">
        <f t="shared" si="20"/>
        <v>251.4</v>
      </c>
      <c r="G28" s="206">
        <f t="shared" si="1"/>
        <v>5409.1548387096773</v>
      </c>
      <c r="H28" s="206">
        <f t="shared" si="21"/>
        <v>251.4</v>
      </c>
      <c r="I28" s="206">
        <f t="shared" si="2"/>
        <v>5409.1548387096773</v>
      </c>
      <c r="J28" s="206">
        <f t="shared" si="22"/>
        <v>251.4</v>
      </c>
      <c r="K28" s="206">
        <f t="shared" si="3"/>
        <v>5409.1548387096773</v>
      </c>
      <c r="L28" s="206">
        <f t="shared" si="23"/>
        <v>251.4</v>
      </c>
      <c r="M28" s="206">
        <f t="shared" si="4"/>
        <v>5409.1548387096773</v>
      </c>
      <c r="N28" s="206">
        <f t="shared" si="24"/>
        <v>251.4</v>
      </c>
      <c r="O28" s="206">
        <f t="shared" si="5"/>
        <v>5409.1548387096773</v>
      </c>
      <c r="P28" s="206">
        <f t="shared" si="25"/>
        <v>251.4</v>
      </c>
      <c r="Q28" s="206">
        <f t="shared" si="6"/>
        <v>5409.1548387096773</v>
      </c>
      <c r="R28" s="206">
        <f t="shared" si="26"/>
        <v>251.4</v>
      </c>
      <c r="S28" s="206">
        <f t="shared" si="7"/>
        <v>5409.1548387096773</v>
      </c>
      <c r="T28" s="206">
        <f t="shared" si="27"/>
        <v>251.4</v>
      </c>
      <c r="U28" s="206">
        <f t="shared" si="8"/>
        <v>5409.1548387096773</v>
      </c>
      <c r="V28" s="206">
        <f t="shared" si="28"/>
        <v>251.4</v>
      </c>
      <c r="W28" s="206">
        <f t="shared" si="9"/>
        <v>5409.1548387096773</v>
      </c>
      <c r="X28" s="35">
        <f t="shared" si="10"/>
        <v>0.81096774193548382</v>
      </c>
      <c r="Y28" s="36">
        <f t="shared" si="29"/>
        <v>59500.70322580645</v>
      </c>
      <c r="Z28" s="206">
        <f>'B5'!C27</f>
        <v>257.39999999999998</v>
      </c>
      <c r="AA28" s="206">
        <f t="shared" si="30"/>
        <v>2574</v>
      </c>
      <c r="AB28" s="206">
        <f t="shared" si="31"/>
        <v>257.39999999999998</v>
      </c>
      <c r="AC28" s="206">
        <f t="shared" si="30"/>
        <v>2574</v>
      </c>
      <c r="AD28" s="206">
        <f t="shared" si="32"/>
        <v>257.39999999999998</v>
      </c>
      <c r="AE28" s="206">
        <f t="shared" si="11"/>
        <v>2574</v>
      </c>
      <c r="AF28" s="206">
        <f t="shared" si="33"/>
        <v>257.39999999999998</v>
      </c>
      <c r="AG28" s="206">
        <f t="shared" si="12"/>
        <v>2574</v>
      </c>
      <c r="AH28" s="206">
        <f t="shared" si="34"/>
        <v>257.39999999999998</v>
      </c>
      <c r="AI28" s="206">
        <f t="shared" si="13"/>
        <v>2574</v>
      </c>
      <c r="AJ28" s="206">
        <f t="shared" si="35"/>
        <v>257.39999999999998</v>
      </c>
      <c r="AK28" s="206">
        <f t="shared" si="14"/>
        <v>2574</v>
      </c>
      <c r="AL28" s="206">
        <f t="shared" si="36"/>
        <v>257.39999999999998</v>
      </c>
      <c r="AM28" s="206">
        <f t="shared" si="15"/>
        <v>2574</v>
      </c>
      <c r="AN28" s="35">
        <f t="shared" si="16"/>
        <v>0.91928571428571426</v>
      </c>
      <c r="AO28" s="36">
        <f t="shared" si="17"/>
        <v>18018</v>
      </c>
      <c r="AQ28" s="226">
        <f t="shared" si="37"/>
        <v>0.83380341213086417</v>
      </c>
      <c r="AR28" s="38">
        <f t="shared" si="41"/>
        <v>77518.703225806443</v>
      </c>
      <c r="AS28" s="200">
        <f t="shared" si="38"/>
        <v>0</v>
      </c>
      <c r="AT28" s="365"/>
      <c r="AU28" s="449"/>
      <c r="AV28" s="533">
        <f t="shared" si="42"/>
        <v>0.53500000000000003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251.4</v>
      </c>
      <c r="C29" s="206">
        <f t="shared" si="18"/>
        <v>5409.1548387096773</v>
      </c>
      <c r="D29">
        <f t="shared" si="19"/>
        <v>251.4</v>
      </c>
      <c r="E29" s="206">
        <f t="shared" si="18"/>
        <v>5409.1548387096773</v>
      </c>
      <c r="F29">
        <f t="shared" si="20"/>
        <v>251.4</v>
      </c>
      <c r="G29" s="206">
        <f t="shared" si="1"/>
        <v>5409.1548387096773</v>
      </c>
      <c r="H29" s="206">
        <f t="shared" si="21"/>
        <v>251.4</v>
      </c>
      <c r="I29" s="206">
        <f t="shared" si="2"/>
        <v>5409.1548387096773</v>
      </c>
      <c r="J29" s="206">
        <f t="shared" si="22"/>
        <v>251.4</v>
      </c>
      <c r="K29" s="206">
        <f t="shared" si="3"/>
        <v>5409.1548387096773</v>
      </c>
      <c r="L29" s="206">
        <f t="shared" si="23"/>
        <v>251.4</v>
      </c>
      <c r="M29" s="206">
        <f t="shared" si="4"/>
        <v>5409.1548387096773</v>
      </c>
      <c r="N29" s="206">
        <f t="shared" si="24"/>
        <v>251.4</v>
      </c>
      <c r="O29" s="206">
        <f t="shared" si="5"/>
        <v>5409.1548387096773</v>
      </c>
      <c r="P29" s="206">
        <f t="shared" si="25"/>
        <v>251.4</v>
      </c>
      <c r="Q29" s="206">
        <f t="shared" si="6"/>
        <v>5409.1548387096773</v>
      </c>
      <c r="R29" s="206">
        <f t="shared" si="26"/>
        <v>251.4</v>
      </c>
      <c r="S29" s="206">
        <f t="shared" si="7"/>
        <v>5409.1548387096773</v>
      </c>
      <c r="T29" s="206">
        <f t="shared" si="27"/>
        <v>251.4</v>
      </c>
      <c r="U29" s="206">
        <f t="shared" si="8"/>
        <v>5409.1548387096773</v>
      </c>
      <c r="V29" s="206">
        <f t="shared" si="28"/>
        <v>251.4</v>
      </c>
      <c r="W29" s="206">
        <f t="shared" si="9"/>
        <v>5409.1548387096773</v>
      </c>
      <c r="X29" s="35">
        <f t="shared" si="10"/>
        <v>0.81096774193548382</v>
      </c>
      <c r="Y29" s="36">
        <f t="shared" si="29"/>
        <v>59500.70322580645</v>
      </c>
      <c r="Z29" s="206">
        <f>'B5'!C28</f>
        <v>257.39999999999998</v>
      </c>
      <c r="AA29" s="206">
        <f t="shared" si="30"/>
        <v>2574</v>
      </c>
      <c r="AB29" s="206">
        <f t="shared" si="31"/>
        <v>257.39999999999998</v>
      </c>
      <c r="AC29" s="206">
        <f t="shared" si="30"/>
        <v>2574</v>
      </c>
      <c r="AD29" s="206">
        <f t="shared" si="32"/>
        <v>257.39999999999998</v>
      </c>
      <c r="AE29" s="206">
        <f t="shared" si="11"/>
        <v>2574</v>
      </c>
      <c r="AF29" s="206">
        <f t="shared" si="33"/>
        <v>257.39999999999998</v>
      </c>
      <c r="AG29" s="206">
        <f t="shared" si="12"/>
        <v>2574</v>
      </c>
      <c r="AH29" s="206">
        <f t="shared" si="34"/>
        <v>257.39999999999998</v>
      </c>
      <c r="AI29" s="206">
        <f t="shared" si="13"/>
        <v>2574</v>
      </c>
      <c r="AJ29" s="206">
        <f t="shared" si="35"/>
        <v>257.39999999999998</v>
      </c>
      <c r="AK29" s="206">
        <f t="shared" si="14"/>
        <v>2574</v>
      </c>
      <c r="AL29" s="206">
        <f t="shared" si="36"/>
        <v>257.39999999999998</v>
      </c>
      <c r="AM29" s="206">
        <f t="shared" si="15"/>
        <v>2574</v>
      </c>
      <c r="AN29" s="35">
        <f t="shared" si="16"/>
        <v>0.91928571428571426</v>
      </c>
      <c r="AO29" s="36">
        <f t="shared" si="17"/>
        <v>18018</v>
      </c>
      <c r="AQ29" s="226">
        <f t="shared" si="37"/>
        <v>0.83380341213086417</v>
      </c>
      <c r="AR29" s="38">
        <f t="shared" si="41"/>
        <v>77518.703225806443</v>
      </c>
      <c r="AS29" s="200">
        <f t="shared" si="38"/>
        <v>0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251.4</v>
      </c>
      <c r="C30" s="206">
        <f t="shared" si="18"/>
        <v>5409.1548387096773</v>
      </c>
      <c r="D30">
        <f t="shared" ref="D30:D35" si="44">SUM(B30)</f>
        <v>251.4</v>
      </c>
      <c r="E30" s="206">
        <f t="shared" si="18"/>
        <v>5409.1548387096773</v>
      </c>
      <c r="F30">
        <f t="shared" ref="F30:F35" si="45">SUM(D30)</f>
        <v>251.4</v>
      </c>
      <c r="G30" s="206">
        <f t="shared" si="1"/>
        <v>5409.1548387096773</v>
      </c>
      <c r="H30" s="206">
        <f t="shared" ref="H30:H35" si="46">SUM(F30)</f>
        <v>251.4</v>
      </c>
      <c r="I30" s="206">
        <f t="shared" si="2"/>
        <v>5409.1548387096773</v>
      </c>
      <c r="J30" s="206">
        <f t="shared" ref="J30:J35" si="47">SUM(H30)</f>
        <v>251.4</v>
      </c>
      <c r="K30" s="206">
        <f t="shared" si="3"/>
        <v>5409.1548387096773</v>
      </c>
      <c r="L30" s="206">
        <f t="shared" ref="L30:L35" si="48">SUM(J30)</f>
        <v>251.4</v>
      </c>
      <c r="M30" s="206">
        <f t="shared" si="4"/>
        <v>5409.1548387096773</v>
      </c>
      <c r="N30" s="206">
        <f t="shared" ref="N30:N35" si="49">SUM(L30)</f>
        <v>251.4</v>
      </c>
      <c r="O30" s="206">
        <f t="shared" si="5"/>
        <v>5409.1548387096773</v>
      </c>
      <c r="P30" s="206">
        <f t="shared" ref="P30:P35" si="50">SUM(N30)</f>
        <v>251.4</v>
      </c>
      <c r="Q30" s="206">
        <f t="shared" si="6"/>
        <v>5409.1548387096773</v>
      </c>
      <c r="R30" s="206">
        <f t="shared" ref="R30:R35" si="51">SUM(P30)</f>
        <v>251.4</v>
      </c>
      <c r="S30" s="206">
        <f t="shared" si="7"/>
        <v>5409.1548387096773</v>
      </c>
      <c r="T30" s="206">
        <f t="shared" ref="T30:T35" si="52">SUM(R30)</f>
        <v>251.4</v>
      </c>
      <c r="U30" s="206">
        <f t="shared" si="8"/>
        <v>5409.1548387096773</v>
      </c>
      <c r="V30" s="206">
        <f t="shared" ref="V30:V35" si="53">SUM(T30)</f>
        <v>251.4</v>
      </c>
      <c r="W30" s="206">
        <f t="shared" si="9"/>
        <v>5409.1548387096773</v>
      </c>
      <c r="X30" s="35">
        <f t="shared" ref="X30:X35" si="54">SUM(Y30/73370)</f>
        <v>0.81096774193548382</v>
      </c>
      <c r="Y30" s="36">
        <f t="shared" ref="Y30:Y35" si="55">SUM(C30+E30+G30+I30+K30+M30+O30+Q30+S30+U30+W30)</f>
        <v>59500.70322580645</v>
      </c>
      <c r="Z30" s="206">
        <f>'B5'!C29</f>
        <v>257.39999999999998</v>
      </c>
      <c r="AA30" s="206">
        <f t="shared" si="30"/>
        <v>2574</v>
      </c>
      <c r="AB30" s="206">
        <f t="shared" ref="AB30:AB35" si="56">SUM(Z30)</f>
        <v>257.39999999999998</v>
      </c>
      <c r="AC30" s="206">
        <f t="shared" si="30"/>
        <v>2574</v>
      </c>
      <c r="AD30" s="206">
        <f t="shared" ref="AD30:AD35" si="57">SUM(AB30)</f>
        <v>257.39999999999998</v>
      </c>
      <c r="AE30" s="206">
        <f t="shared" si="11"/>
        <v>2574</v>
      </c>
      <c r="AF30" s="206">
        <f t="shared" ref="AF30:AF35" si="58">SUM(AD30)</f>
        <v>257.39999999999998</v>
      </c>
      <c r="AG30" s="206">
        <f t="shared" si="12"/>
        <v>2574</v>
      </c>
      <c r="AH30" s="206">
        <f t="shared" ref="AH30:AH35" si="59">SUM(AF30)</f>
        <v>257.39999999999998</v>
      </c>
      <c r="AI30" s="206">
        <f t="shared" si="13"/>
        <v>2574</v>
      </c>
      <c r="AJ30" s="206">
        <f t="shared" ref="AJ30:AJ35" si="60">SUM(AH30)</f>
        <v>257.39999999999998</v>
      </c>
      <c r="AK30" s="206">
        <f t="shared" si="14"/>
        <v>2574</v>
      </c>
      <c r="AL30" s="206">
        <f t="shared" ref="AL30:AL35" si="61">SUM(AJ30)</f>
        <v>257.39999999999998</v>
      </c>
      <c r="AM30" s="206">
        <f t="shared" si="15"/>
        <v>2574</v>
      </c>
      <c r="AN30" s="35">
        <f t="shared" ref="AN30:AN35" si="62">SUM(AO30/19600)</f>
        <v>0.91928571428571426</v>
      </c>
      <c r="AO30" s="36">
        <f t="shared" ref="AO30:AO35" si="63">SUM(AA30+AC30+AE30+AG30+AI30+AK30+AM30)</f>
        <v>18018</v>
      </c>
      <c r="AQ30" s="226">
        <f t="shared" si="37"/>
        <v>0.83380341213086417</v>
      </c>
      <c r="AR30" s="38">
        <f t="shared" si="41"/>
        <v>77518.703225806443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251.4</v>
      </c>
      <c r="C31" s="206">
        <f t="shared" si="18"/>
        <v>5409.1548387096773</v>
      </c>
      <c r="D31">
        <f t="shared" si="44"/>
        <v>251.4</v>
      </c>
      <c r="E31" s="206">
        <f t="shared" si="18"/>
        <v>5409.1548387096773</v>
      </c>
      <c r="F31">
        <f t="shared" si="45"/>
        <v>251.4</v>
      </c>
      <c r="G31" s="206">
        <f t="shared" si="1"/>
        <v>5409.1548387096773</v>
      </c>
      <c r="H31" s="206">
        <f t="shared" si="46"/>
        <v>251.4</v>
      </c>
      <c r="I31" s="206">
        <f t="shared" si="2"/>
        <v>5409.1548387096773</v>
      </c>
      <c r="J31" s="206">
        <f t="shared" si="47"/>
        <v>251.4</v>
      </c>
      <c r="K31" s="206">
        <f t="shared" si="3"/>
        <v>5409.1548387096773</v>
      </c>
      <c r="L31" s="206">
        <f t="shared" si="48"/>
        <v>251.4</v>
      </c>
      <c r="M31" s="206">
        <f t="shared" si="4"/>
        <v>5409.1548387096773</v>
      </c>
      <c r="N31" s="206">
        <f t="shared" si="49"/>
        <v>251.4</v>
      </c>
      <c r="O31" s="206">
        <f t="shared" si="5"/>
        <v>5409.1548387096773</v>
      </c>
      <c r="P31" s="206">
        <f t="shared" si="50"/>
        <v>251.4</v>
      </c>
      <c r="Q31" s="206">
        <f t="shared" si="6"/>
        <v>5409.1548387096773</v>
      </c>
      <c r="R31" s="206">
        <f t="shared" si="51"/>
        <v>251.4</v>
      </c>
      <c r="S31" s="206">
        <f t="shared" si="7"/>
        <v>5409.1548387096773</v>
      </c>
      <c r="T31" s="206">
        <f t="shared" si="52"/>
        <v>251.4</v>
      </c>
      <c r="U31" s="206">
        <f t="shared" si="8"/>
        <v>5409.1548387096773</v>
      </c>
      <c r="V31" s="206">
        <f t="shared" si="53"/>
        <v>251.4</v>
      </c>
      <c r="W31" s="206">
        <f t="shared" si="9"/>
        <v>5409.1548387096773</v>
      </c>
      <c r="X31" s="35">
        <f t="shared" si="54"/>
        <v>0.81096774193548382</v>
      </c>
      <c r="Y31" s="36">
        <f t="shared" si="55"/>
        <v>59500.70322580645</v>
      </c>
      <c r="Z31" s="206">
        <f>'B5'!C30</f>
        <v>257.39999999999998</v>
      </c>
      <c r="AA31" s="206">
        <f t="shared" si="30"/>
        <v>2574</v>
      </c>
      <c r="AB31" s="206">
        <f t="shared" si="56"/>
        <v>257.39999999999998</v>
      </c>
      <c r="AC31" s="206">
        <f t="shared" si="30"/>
        <v>2574</v>
      </c>
      <c r="AD31" s="206">
        <f t="shared" si="57"/>
        <v>257.39999999999998</v>
      </c>
      <c r="AE31" s="206">
        <f t="shared" si="11"/>
        <v>2574</v>
      </c>
      <c r="AF31" s="206">
        <f t="shared" si="58"/>
        <v>257.39999999999998</v>
      </c>
      <c r="AG31" s="206">
        <f t="shared" si="12"/>
        <v>2574</v>
      </c>
      <c r="AH31" s="206">
        <f t="shared" si="59"/>
        <v>257.39999999999998</v>
      </c>
      <c r="AI31" s="206">
        <f t="shared" si="13"/>
        <v>2574</v>
      </c>
      <c r="AJ31" s="206">
        <f t="shared" si="60"/>
        <v>257.39999999999998</v>
      </c>
      <c r="AK31" s="206">
        <f t="shared" si="14"/>
        <v>2574</v>
      </c>
      <c r="AL31" s="206">
        <f t="shared" si="61"/>
        <v>257.39999999999998</v>
      </c>
      <c r="AM31" s="206">
        <f t="shared" si="15"/>
        <v>2574</v>
      </c>
      <c r="AN31" s="35">
        <f t="shared" si="62"/>
        <v>0.91928571428571426</v>
      </c>
      <c r="AO31" s="36">
        <f t="shared" si="63"/>
        <v>18018</v>
      </c>
      <c r="AQ31" s="226">
        <f t="shared" si="37"/>
        <v>0.83380341213086417</v>
      </c>
      <c r="AR31" s="38">
        <f t="shared" si="41"/>
        <v>77518.703225806443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251.4</v>
      </c>
      <c r="C32" s="206">
        <f t="shared" si="18"/>
        <v>5409.1548387096773</v>
      </c>
      <c r="D32">
        <f t="shared" si="44"/>
        <v>251.4</v>
      </c>
      <c r="E32" s="206">
        <f t="shared" si="18"/>
        <v>5409.1548387096773</v>
      </c>
      <c r="F32">
        <f t="shared" si="45"/>
        <v>251.4</v>
      </c>
      <c r="G32" s="206">
        <f t="shared" si="1"/>
        <v>5409.1548387096773</v>
      </c>
      <c r="H32" s="206">
        <f t="shared" si="46"/>
        <v>251.4</v>
      </c>
      <c r="I32" s="206">
        <f t="shared" si="2"/>
        <v>5409.1548387096773</v>
      </c>
      <c r="J32" s="206">
        <f t="shared" si="47"/>
        <v>251.4</v>
      </c>
      <c r="K32" s="206">
        <f t="shared" si="3"/>
        <v>5409.1548387096773</v>
      </c>
      <c r="L32" s="206">
        <f t="shared" si="48"/>
        <v>251.4</v>
      </c>
      <c r="M32" s="206">
        <f t="shared" si="4"/>
        <v>5409.1548387096773</v>
      </c>
      <c r="N32" s="206">
        <f t="shared" si="49"/>
        <v>251.4</v>
      </c>
      <c r="O32" s="206">
        <f t="shared" si="5"/>
        <v>5409.1548387096773</v>
      </c>
      <c r="P32" s="206">
        <f t="shared" si="50"/>
        <v>251.4</v>
      </c>
      <c r="Q32" s="206">
        <f t="shared" si="6"/>
        <v>5409.1548387096773</v>
      </c>
      <c r="R32" s="206">
        <f t="shared" si="51"/>
        <v>251.4</v>
      </c>
      <c r="S32" s="206">
        <f t="shared" si="7"/>
        <v>5409.1548387096773</v>
      </c>
      <c r="T32" s="206">
        <f t="shared" si="52"/>
        <v>251.4</v>
      </c>
      <c r="U32" s="206">
        <f t="shared" si="8"/>
        <v>5409.1548387096773</v>
      </c>
      <c r="V32" s="206">
        <f t="shared" si="53"/>
        <v>251.4</v>
      </c>
      <c r="W32" s="206">
        <f t="shared" si="9"/>
        <v>5409.1548387096773</v>
      </c>
      <c r="X32" s="35">
        <f t="shared" si="54"/>
        <v>0.81096774193548382</v>
      </c>
      <c r="Y32" s="36">
        <f t="shared" si="55"/>
        <v>59500.70322580645</v>
      </c>
      <c r="Z32" s="206">
        <f>'B5'!C31</f>
        <v>257.39999999999998</v>
      </c>
      <c r="AA32" s="206">
        <f t="shared" si="30"/>
        <v>2574</v>
      </c>
      <c r="AB32" s="206">
        <f t="shared" si="56"/>
        <v>257.39999999999998</v>
      </c>
      <c r="AC32" s="206">
        <f t="shared" si="30"/>
        <v>2574</v>
      </c>
      <c r="AD32" s="206">
        <f t="shared" si="57"/>
        <v>257.39999999999998</v>
      </c>
      <c r="AE32" s="206">
        <f t="shared" si="11"/>
        <v>2574</v>
      </c>
      <c r="AF32" s="206">
        <f t="shared" si="58"/>
        <v>257.39999999999998</v>
      </c>
      <c r="AG32" s="206">
        <f t="shared" si="12"/>
        <v>2574</v>
      </c>
      <c r="AH32" s="206">
        <f t="shared" si="59"/>
        <v>257.39999999999998</v>
      </c>
      <c r="AI32" s="206">
        <f t="shared" si="13"/>
        <v>2574</v>
      </c>
      <c r="AJ32" s="206">
        <f t="shared" si="60"/>
        <v>257.39999999999998</v>
      </c>
      <c r="AK32" s="206">
        <f t="shared" si="14"/>
        <v>2574</v>
      </c>
      <c r="AL32" s="206">
        <f t="shared" si="61"/>
        <v>257.39999999999998</v>
      </c>
      <c r="AM32" s="206">
        <f t="shared" si="15"/>
        <v>2574</v>
      </c>
      <c r="AN32" s="35">
        <f t="shared" si="62"/>
        <v>0.91928571428571426</v>
      </c>
      <c r="AO32" s="36">
        <f t="shared" si="63"/>
        <v>18018</v>
      </c>
      <c r="AQ32" s="226">
        <f t="shared" si="37"/>
        <v>0.83380341213086417</v>
      </c>
      <c r="AR32" s="38">
        <f t="shared" si="41"/>
        <v>77518.703225806443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251.4</v>
      </c>
      <c r="C33" s="206">
        <f t="shared" si="18"/>
        <v>5409.1548387096773</v>
      </c>
      <c r="D33">
        <f t="shared" si="44"/>
        <v>251.4</v>
      </c>
      <c r="E33" s="206">
        <f t="shared" si="18"/>
        <v>5409.1548387096773</v>
      </c>
      <c r="F33">
        <f t="shared" si="45"/>
        <v>251.4</v>
      </c>
      <c r="G33" s="206">
        <f t="shared" si="1"/>
        <v>5409.1548387096773</v>
      </c>
      <c r="H33" s="206">
        <f t="shared" si="46"/>
        <v>251.4</v>
      </c>
      <c r="I33" s="206">
        <f t="shared" si="2"/>
        <v>5409.1548387096773</v>
      </c>
      <c r="J33" s="206">
        <f t="shared" si="47"/>
        <v>251.4</v>
      </c>
      <c r="K33" s="206">
        <f t="shared" si="3"/>
        <v>5409.1548387096773</v>
      </c>
      <c r="L33" s="206">
        <f t="shared" si="48"/>
        <v>251.4</v>
      </c>
      <c r="M33" s="206">
        <f t="shared" si="4"/>
        <v>5409.1548387096773</v>
      </c>
      <c r="N33" s="206">
        <f t="shared" si="49"/>
        <v>251.4</v>
      </c>
      <c r="O33" s="206">
        <f t="shared" si="5"/>
        <v>5409.1548387096773</v>
      </c>
      <c r="P33" s="206">
        <f t="shared" si="50"/>
        <v>251.4</v>
      </c>
      <c r="Q33" s="206">
        <f t="shared" si="6"/>
        <v>5409.1548387096773</v>
      </c>
      <c r="R33" s="206">
        <f t="shared" si="51"/>
        <v>251.4</v>
      </c>
      <c r="S33" s="206">
        <f t="shared" si="7"/>
        <v>5409.1548387096773</v>
      </c>
      <c r="T33" s="206">
        <f t="shared" si="52"/>
        <v>251.4</v>
      </c>
      <c r="U33" s="206">
        <f t="shared" si="8"/>
        <v>5409.1548387096773</v>
      </c>
      <c r="V33" s="206">
        <f t="shared" si="53"/>
        <v>251.4</v>
      </c>
      <c r="W33" s="206">
        <f t="shared" si="9"/>
        <v>5409.1548387096773</v>
      </c>
      <c r="X33" s="35">
        <f t="shared" si="54"/>
        <v>0.81096774193548382</v>
      </c>
      <c r="Y33" s="36">
        <f t="shared" si="55"/>
        <v>59500.70322580645</v>
      </c>
      <c r="Z33" s="206">
        <f>'B5'!C32</f>
        <v>257.39999999999998</v>
      </c>
      <c r="AA33" s="206">
        <f t="shared" si="30"/>
        <v>2574</v>
      </c>
      <c r="AB33" s="206">
        <f t="shared" si="56"/>
        <v>257.39999999999998</v>
      </c>
      <c r="AC33" s="206">
        <f t="shared" si="30"/>
        <v>2574</v>
      </c>
      <c r="AD33" s="206">
        <f t="shared" si="57"/>
        <v>257.39999999999998</v>
      </c>
      <c r="AE33" s="206">
        <f t="shared" si="11"/>
        <v>2574</v>
      </c>
      <c r="AF33" s="206">
        <f t="shared" si="58"/>
        <v>257.39999999999998</v>
      </c>
      <c r="AG33" s="206">
        <f t="shared" si="12"/>
        <v>2574</v>
      </c>
      <c r="AH33" s="206">
        <f t="shared" si="59"/>
        <v>257.39999999999998</v>
      </c>
      <c r="AI33" s="206">
        <f t="shared" si="13"/>
        <v>2574</v>
      </c>
      <c r="AJ33" s="206">
        <f t="shared" si="60"/>
        <v>257.39999999999998</v>
      </c>
      <c r="AK33" s="206">
        <f t="shared" si="14"/>
        <v>2574</v>
      </c>
      <c r="AL33" s="206">
        <f t="shared" si="61"/>
        <v>257.39999999999998</v>
      </c>
      <c r="AM33" s="206">
        <f t="shared" si="15"/>
        <v>2574</v>
      </c>
      <c r="AN33" s="35">
        <f t="shared" si="62"/>
        <v>0.91928571428571426</v>
      </c>
      <c r="AO33" s="36">
        <f t="shared" si="63"/>
        <v>18018</v>
      </c>
      <c r="AQ33" s="226">
        <f t="shared" si="37"/>
        <v>0.83380341213086417</v>
      </c>
      <c r="AR33" s="38">
        <f t="shared" si="41"/>
        <v>77518.703225806443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251.4</v>
      </c>
      <c r="C34" s="206">
        <f t="shared" si="18"/>
        <v>5409.1548387096773</v>
      </c>
      <c r="D34">
        <f t="shared" si="44"/>
        <v>251.4</v>
      </c>
      <c r="E34" s="206">
        <f t="shared" si="18"/>
        <v>5409.1548387096773</v>
      </c>
      <c r="F34">
        <f t="shared" si="45"/>
        <v>251.4</v>
      </c>
      <c r="G34" s="206">
        <f t="shared" si="1"/>
        <v>5409.1548387096773</v>
      </c>
      <c r="H34" s="206">
        <f t="shared" si="46"/>
        <v>251.4</v>
      </c>
      <c r="I34" s="206">
        <f t="shared" si="2"/>
        <v>5409.1548387096773</v>
      </c>
      <c r="J34" s="206">
        <f t="shared" si="47"/>
        <v>251.4</v>
      </c>
      <c r="K34" s="206">
        <f t="shared" si="3"/>
        <v>5409.1548387096773</v>
      </c>
      <c r="L34" s="206">
        <f t="shared" si="48"/>
        <v>251.4</v>
      </c>
      <c r="M34" s="206">
        <f t="shared" si="4"/>
        <v>5409.1548387096773</v>
      </c>
      <c r="N34" s="206">
        <f t="shared" si="49"/>
        <v>251.4</v>
      </c>
      <c r="O34" s="206">
        <f t="shared" si="5"/>
        <v>5409.1548387096773</v>
      </c>
      <c r="P34" s="206">
        <f t="shared" si="50"/>
        <v>251.4</v>
      </c>
      <c r="Q34" s="206">
        <f t="shared" si="6"/>
        <v>5409.1548387096773</v>
      </c>
      <c r="R34" s="206">
        <f t="shared" si="51"/>
        <v>251.4</v>
      </c>
      <c r="S34" s="206">
        <f t="shared" si="7"/>
        <v>5409.1548387096773</v>
      </c>
      <c r="T34" s="206">
        <f t="shared" si="52"/>
        <v>251.4</v>
      </c>
      <c r="U34" s="206">
        <f t="shared" si="8"/>
        <v>5409.1548387096773</v>
      </c>
      <c r="V34" s="206">
        <f t="shared" si="53"/>
        <v>251.4</v>
      </c>
      <c r="W34" s="206">
        <f t="shared" si="9"/>
        <v>5409.1548387096773</v>
      </c>
      <c r="X34" s="35">
        <f t="shared" si="54"/>
        <v>0.81096774193548382</v>
      </c>
      <c r="Y34" s="36">
        <f t="shared" si="55"/>
        <v>59500.70322580645</v>
      </c>
      <c r="Z34" s="206">
        <f>'B5'!C33</f>
        <v>257.39999999999998</v>
      </c>
      <c r="AA34" s="206">
        <f t="shared" si="30"/>
        <v>2574</v>
      </c>
      <c r="AB34" s="206">
        <f t="shared" si="56"/>
        <v>257.39999999999998</v>
      </c>
      <c r="AC34" s="206">
        <f t="shared" si="30"/>
        <v>2574</v>
      </c>
      <c r="AD34" s="206">
        <f t="shared" si="57"/>
        <v>257.39999999999998</v>
      </c>
      <c r="AE34" s="206">
        <f t="shared" si="11"/>
        <v>2574</v>
      </c>
      <c r="AF34" s="206">
        <f t="shared" si="58"/>
        <v>257.39999999999998</v>
      </c>
      <c r="AG34" s="206">
        <f t="shared" si="12"/>
        <v>2574</v>
      </c>
      <c r="AH34" s="206">
        <f t="shared" si="59"/>
        <v>257.39999999999998</v>
      </c>
      <c r="AI34" s="206">
        <f t="shared" si="13"/>
        <v>2574</v>
      </c>
      <c r="AJ34" s="206">
        <f t="shared" si="60"/>
        <v>257.39999999999998</v>
      </c>
      <c r="AK34" s="206">
        <f t="shared" si="14"/>
        <v>2574</v>
      </c>
      <c r="AL34" s="206">
        <f t="shared" si="61"/>
        <v>257.39999999999998</v>
      </c>
      <c r="AM34" s="206">
        <f t="shared" si="15"/>
        <v>2574</v>
      </c>
      <c r="AN34" s="35">
        <f t="shared" si="62"/>
        <v>0.91928571428571426</v>
      </c>
      <c r="AO34" s="36">
        <f t="shared" si="63"/>
        <v>18018</v>
      </c>
      <c r="AQ34" s="226">
        <f>SUM(AR34/92970)</f>
        <v>0.83380341213086417</v>
      </c>
      <c r="AR34" s="38">
        <f t="shared" si="41"/>
        <v>77518.703225806443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251.4</v>
      </c>
      <c r="C35" s="206">
        <f t="shared" si="18"/>
        <v>5409.1548387096773</v>
      </c>
      <c r="D35">
        <f t="shared" si="44"/>
        <v>251.4</v>
      </c>
      <c r="E35" s="206">
        <f t="shared" si="18"/>
        <v>5409.1548387096773</v>
      </c>
      <c r="F35">
        <f t="shared" si="45"/>
        <v>251.4</v>
      </c>
      <c r="G35" s="206">
        <f t="shared" si="1"/>
        <v>5409.1548387096773</v>
      </c>
      <c r="H35" s="206">
        <f t="shared" si="46"/>
        <v>251.4</v>
      </c>
      <c r="I35" s="206">
        <f t="shared" si="2"/>
        <v>5409.1548387096773</v>
      </c>
      <c r="J35" s="206">
        <f t="shared" si="47"/>
        <v>251.4</v>
      </c>
      <c r="K35" s="206">
        <f t="shared" si="3"/>
        <v>5409.1548387096773</v>
      </c>
      <c r="L35" s="206">
        <f t="shared" si="48"/>
        <v>251.4</v>
      </c>
      <c r="M35" s="206">
        <f t="shared" si="4"/>
        <v>5409.1548387096773</v>
      </c>
      <c r="N35" s="206">
        <f t="shared" si="49"/>
        <v>251.4</v>
      </c>
      <c r="O35" s="206">
        <f t="shared" si="5"/>
        <v>5409.1548387096773</v>
      </c>
      <c r="P35" s="206">
        <f t="shared" si="50"/>
        <v>251.4</v>
      </c>
      <c r="Q35" s="206">
        <f t="shared" si="6"/>
        <v>5409.1548387096773</v>
      </c>
      <c r="R35" s="206">
        <f t="shared" si="51"/>
        <v>251.4</v>
      </c>
      <c r="S35" s="206">
        <f t="shared" si="7"/>
        <v>5409.1548387096773</v>
      </c>
      <c r="T35" s="206">
        <f t="shared" si="52"/>
        <v>251.4</v>
      </c>
      <c r="U35" s="206">
        <f t="shared" si="8"/>
        <v>5409.1548387096773</v>
      </c>
      <c r="V35" s="206">
        <f t="shared" si="53"/>
        <v>251.4</v>
      </c>
      <c r="W35" s="206">
        <f t="shared" si="9"/>
        <v>5409.1548387096773</v>
      </c>
      <c r="X35" s="35">
        <f t="shared" si="54"/>
        <v>0.81096774193548382</v>
      </c>
      <c r="Y35" s="36">
        <f t="shared" si="55"/>
        <v>59500.70322580645</v>
      </c>
      <c r="Z35" s="206">
        <f>'B5'!C34</f>
        <v>257.39999999999998</v>
      </c>
      <c r="AA35" s="206">
        <f t="shared" si="30"/>
        <v>2574</v>
      </c>
      <c r="AB35" s="206">
        <f t="shared" si="56"/>
        <v>257.39999999999998</v>
      </c>
      <c r="AC35" s="206">
        <f t="shared" si="30"/>
        <v>2574</v>
      </c>
      <c r="AD35" s="206">
        <f t="shared" si="57"/>
        <v>257.39999999999998</v>
      </c>
      <c r="AE35" s="206">
        <f t="shared" si="11"/>
        <v>2574</v>
      </c>
      <c r="AF35" s="206">
        <f t="shared" si="58"/>
        <v>257.39999999999998</v>
      </c>
      <c r="AG35" s="206">
        <f t="shared" si="12"/>
        <v>2574</v>
      </c>
      <c r="AH35" s="206">
        <f t="shared" si="59"/>
        <v>257.39999999999998</v>
      </c>
      <c r="AI35" s="206">
        <f t="shared" si="13"/>
        <v>2574</v>
      </c>
      <c r="AJ35" s="206">
        <f t="shared" si="60"/>
        <v>257.39999999999998</v>
      </c>
      <c r="AK35" s="206">
        <f t="shared" si="14"/>
        <v>2574</v>
      </c>
      <c r="AL35" s="206">
        <f t="shared" si="61"/>
        <v>257.39999999999998</v>
      </c>
      <c r="AM35" s="206">
        <f t="shared" si="15"/>
        <v>2574</v>
      </c>
      <c r="AN35" s="35">
        <f t="shared" si="62"/>
        <v>0.91928571428571426</v>
      </c>
      <c r="AO35" s="36">
        <f t="shared" si="63"/>
        <v>18018</v>
      </c>
      <c r="AQ35" s="226">
        <f>SUM(AR35/92970)</f>
        <v>0.83380341213086417</v>
      </c>
      <c r="AR35" s="38">
        <f t="shared" si="41"/>
        <v>77518.703225806443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251.4</v>
      </c>
      <c r="C36" s="206">
        <f t="shared" ref="C36" si="64">B36*$B$4</f>
        <v>5409.1548387096773</v>
      </c>
      <c r="D36">
        <f t="shared" ref="D36" si="65">SUM(B36)</f>
        <v>251.4</v>
      </c>
      <c r="E36" s="206">
        <f t="shared" ref="E36" si="66">D36*$B$4</f>
        <v>5409.1548387096773</v>
      </c>
      <c r="F36">
        <f t="shared" ref="F36" si="67">SUM(D36)</f>
        <v>251.4</v>
      </c>
      <c r="G36" s="206">
        <f t="shared" ref="G36" si="68">F36*$B$4</f>
        <v>5409.1548387096773</v>
      </c>
      <c r="H36" s="206">
        <f t="shared" ref="H36" si="69">SUM(F36)</f>
        <v>251.4</v>
      </c>
      <c r="I36" s="206">
        <f t="shared" ref="I36" si="70">H36*$B$4</f>
        <v>5409.1548387096773</v>
      </c>
      <c r="J36" s="206">
        <f t="shared" ref="J36" si="71">SUM(H36)</f>
        <v>251.4</v>
      </c>
      <c r="K36" s="206">
        <f t="shared" ref="K36" si="72">J36*$B$4</f>
        <v>5409.1548387096773</v>
      </c>
      <c r="L36" s="206">
        <f t="shared" ref="L36" si="73">SUM(J36)</f>
        <v>251.4</v>
      </c>
      <c r="M36" s="206">
        <f t="shared" ref="M36" si="74">L36*$B$4</f>
        <v>5409.1548387096773</v>
      </c>
      <c r="N36" s="206">
        <f t="shared" ref="N36" si="75">SUM(L36)</f>
        <v>251.4</v>
      </c>
      <c r="O36" s="206">
        <f t="shared" ref="O36" si="76">N36*$B$4</f>
        <v>5409.1548387096773</v>
      </c>
      <c r="P36" s="206">
        <f t="shared" ref="P36" si="77">SUM(N36)</f>
        <v>251.4</v>
      </c>
      <c r="Q36" s="206">
        <f t="shared" ref="Q36" si="78">P36*$B$4</f>
        <v>5409.1548387096773</v>
      </c>
      <c r="R36" s="206">
        <f t="shared" ref="R36" si="79">SUM(P36)</f>
        <v>251.4</v>
      </c>
      <c r="S36" s="206">
        <f t="shared" ref="S36" si="80">R36*$B$4</f>
        <v>5409.1548387096773</v>
      </c>
      <c r="T36" s="206">
        <f t="shared" ref="T36" si="81">SUM(R36)</f>
        <v>251.4</v>
      </c>
      <c r="U36" s="206">
        <f t="shared" ref="U36" si="82">T36*$B$4</f>
        <v>5409.1548387096773</v>
      </c>
      <c r="V36" s="206">
        <f t="shared" ref="V36" si="83">SUM(T36)</f>
        <v>251.4</v>
      </c>
      <c r="W36" s="206">
        <f t="shared" ref="W36" si="84">V36*$B$4</f>
        <v>5409.1548387096773</v>
      </c>
      <c r="X36" s="35">
        <f t="shared" ref="X36" si="85">SUM(Y36/73370)</f>
        <v>0.81096774193548382</v>
      </c>
      <c r="Y36" s="36">
        <f t="shared" ref="Y36" si="86">SUM(C36+E36+G36+I36+K36+M36+O36+Q36+S36+U36+W36)</f>
        <v>59500.70322580645</v>
      </c>
      <c r="Z36" s="206">
        <f>'B5'!C35</f>
        <v>257.39999999999998</v>
      </c>
      <c r="AA36" s="206">
        <f t="shared" ref="AA36" si="87">SUM(Z36*$Z$4)</f>
        <v>2574</v>
      </c>
      <c r="AB36" s="206">
        <f t="shared" ref="AB36" si="88">SUM(Z36)</f>
        <v>257.39999999999998</v>
      </c>
      <c r="AC36" s="206">
        <f t="shared" ref="AC36" si="89">SUM(AB36*$Z$4)</f>
        <v>2574</v>
      </c>
      <c r="AD36" s="206">
        <f t="shared" ref="AD36" si="90">SUM(AB36)</f>
        <v>257.39999999999998</v>
      </c>
      <c r="AE36" s="206">
        <f t="shared" ref="AE36" si="91">SUM(AD36*$Z$4)</f>
        <v>2574</v>
      </c>
      <c r="AF36" s="206">
        <f t="shared" ref="AF36" si="92">SUM(AD36)</f>
        <v>257.39999999999998</v>
      </c>
      <c r="AG36" s="206">
        <f t="shared" ref="AG36" si="93">SUM(AF36*$Z$4)</f>
        <v>2574</v>
      </c>
      <c r="AH36" s="206">
        <f t="shared" ref="AH36" si="94">SUM(AF36)</f>
        <v>257.39999999999998</v>
      </c>
      <c r="AI36" s="206">
        <f t="shared" ref="AI36" si="95">SUM(AH36*$Z$4)</f>
        <v>2574</v>
      </c>
      <c r="AJ36" s="206">
        <f t="shared" ref="AJ36" si="96">SUM(AH36)</f>
        <v>257.39999999999998</v>
      </c>
      <c r="AK36" s="206">
        <f t="shared" ref="AK36" si="97">SUM(AJ36*$Z$4)</f>
        <v>2574</v>
      </c>
      <c r="AL36" s="206">
        <f t="shared" ref="AL36" si="98">SUM(AJ36)</f>
        <v>257.39999999999998</v>
      </c>
      <c r="AM36" s="206">
        <f t="shared" ref="AM36" si="99">SUM(AL36*$Z$4)</f>
        <v>2574</v>
      </c>
      <c r="AN36" s="35">
        <f t="shared" ref="AN36" si="100">SUM(AO36/19600)</f>
        <v>0.91928571428571426</v>
      </c>
      <c r="AO36" s="36">
        <f t="shared" ref="AO36" si="101">SUM(AA36+AC36+AE36+AG36+AI36+AK36+AM36)</f>
        <v>18018</v>
      </c>
      <c r="AQ36" s="226">
        <f>SUM(AR36/92970)</f>
        <v>0.83380341213086417</v>
      </c>
      <c r="AR36" s="38">
        <f t="shared" si="41"/>
        <v>77518.703225806443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-17993.974193548391</v>
      </c>
      <c r="AY37" s="206">
        <f>SUM(AY6:AY35)</f>
        <v>-19426.974193548391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-2158.5526881720434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" activePane="bottomLeft" state="frozen"/>
      <selection pane="bottomLeft" activeCell="W11" sqref="W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71">
        <v>9005</v>
      </c>
      <c r="C3" s="295">
        <f>B3-B2</f>
        <v>8</v>
      </c>
      <c r="D3" s="572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2">
        <f>J2</f>
        <v>10698</v>
      </c>
      <c r="K3" s="295">
        <f t="shared" ref="K3:K31" si="2">J3-J2</f>
        <v>0</v>
      </c>
      <c r="L3" s="572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2">
        <v>11612</v>
      </c>
      <c r="S3" s="295">
        <f t="shared" ref="S3:S32" si="5">R3-R2</f>
        <v>17</v>
      </c>
      <c r="T3" s="572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71">
        <v>9010</v>
      </c>
      <c r="C4" s="295">
        <f t="shared" ref="C4:C32" si="11">B4-B3</f>
        <v>5</v>
      </c>
      <c r="D4" s="572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2">
        <v>10698</v>
      </c>
      <c r="K4" s="295">
        <f t="shared" si="2"/>
        <v>0</v>
      </c>
      <c r="L4" s="572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2">
        <v>11616</v>
      </c>
      <c r="S4" s="295">
        <f t="shared" si="5"/>
        <v>4</v>
      </c>
      <c r="T4" s="572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71">
        <v>9025</v>
      </c>
      <c r="C5" s="295">
        <f t="shared" si="11"/>
        <v>15</v>
      </c>
      <c r="D5" s="572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2">
        <v>10698</v>
      </c>
      <c r="K5" s="295">
        <f t="shared" si="2"/>
        <v>0</v>
      </c>
      <c r="L5" s="572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2">
        <v>11620</v>
      </c>
      <c r="S5" s="295">
        <f t="shared" si="5"/>
        <v>4</v>
      </c>
      <c r="T5" s="572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71">
        <v>9038</v>
      </c>
      <c r="C6" s="295">
        <f t="shared" si="11"/>
        <v>13</v>
      </c>
      <c r="D6" s="572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2">
        <f t="shared" si="14"/>
        <v>10698</v>
      </c>
      <c r="K6" s="295">
        <f t="shared" si="2"/>
        <v>0</v>
      </c>
      <c r="L6" s="572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2">
        <v>11627</v>
      </c>
      <c r="S6" s="295">
        <f t="shared" si="5"/>
        <v>7</v>
      </c>
      <c r="T6" s="572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71">
        <v>9046</v>
      </c>
      <c r="C7" s="295">
        <f t="shared" si="11"/>
        <v>8</v>
      </c>
      <c r="D7" s="572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2">
        <v>10698</v>
      </c>
      <c r="K7" s="295">
        <f t="shared" si="2"/>
        <v>0</v>
      </c>
      <c r="L7" s="572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2">
        <v>11627</v>
      </c>
      <c r="S7" s="295">
        <f t="shared" si="5"/>
        <v>0</v>
      </c>
      <c r="T7" s="572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71">
        <v>9048</v>
      </c>
      <c r="C8" s="295">
        <f t="shared" si="11"/>
        <v>2</v>
      </c>
      <c r="D8" s="572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2">
        <f t="shared" si="14"/>
        <v>10698</v>
      </c>
      <c r="K8" s="295">
        <f t="shared" si="2"/>
        <v>0</v>
      </c>
      <c r="L8" s="572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2">
        <f t="shared" ref="R8:T33" si="27">R7</f>
        <v>11627</v>
      </c>
      <c r="S8" s="295">
        <f t="shared" si="5"/>
        <v>0</v>
      </c>
      <c r="T8" s="572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71">
        <v>9052</v>
      </c>
      <c r="C9" s="295">
        <f t="shared" si="11"/>
        <v>4</v>
      </c>
      <c r="D9" s="572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2">
        <v>10698</v>
      </c>
      <c r="K9" s="295">
        <f t="shared" si="2"/>
        <v>0</v>
      </c>
      <c r="L9" s="572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2">
        <v>11627</v>
      </c>
      <c r="S9" s="295">
        <f t="shared" si="5"/>
        <v>0</v>
      </c>
      <c r="T9" s="572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71">
        <v>9055</v>
      </c>
      <c r="C10" s="295">
        <f t="shared" si="11"/>
        <v>3</v>
      </c>
      <c r="D10" s="572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2">
        <f t="shared" si="14"/>
        <v>10698</v>
      </c>
      <c r="K10" s="295">
        <f t="shared" si="2"/>
        <v>0</v>
      </c>
      <c r="L10" s="572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2">
        <v>11627</v>
      </c>
      <c r="S10" s="295">
        <f t="shared" si="5"/>
        <v>0</v>
      </c>
      <c r="T10" s="572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71">
        <v>9058</v>
      </c>
      <c r="C11" s="295">
        <f t="shared" si="11"/>
        <v>3</v>
      </c>
      <c r="D11" s="572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2">
        <f t="shared" si="14"/>
        <v>10698</v>
      </c>
      <c r="K11" s="295">
        <f t="shared" si="2"/>
        <v>0</v>
      </c>
      <c r="L11" s="572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2">
        <f t="shared" si="27"/>
        <v>11627</v>
      </c>
      <c r="S11" s="295">
        <f t="shared" si="5"/>
        <v>0</v>
      </c>
      <c r="T11" s="572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71">
        <f t="shared" ref="B11:B33" si="29">B11</f>
        <v>9058</v>
      </c>
      <c r="C12" s="295">
        <f t="shared" si="11"/>
        <v>0</v>
      </c>
      <c r="D12" s="572">
        <f t="shared" ref="D11:D33" si="30">D11</f>
        <v>213567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9100</v>
      </c>
      <c r="I12" s="295" t="str">
        <f t="shared" si="1"/>
        <v>ok</v>
      </c>
      <c r="J12" s="572">
        <f t="shared" si="14"/>
        <v>10698</v>
      </c>
      <c r="K12" s="295">
        <f t="shared" si="2"/>
        <v>0</v>
      </c>
      <c r="L12" s="572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2">
        <f t="shared" si="27"/>
        <v>11627</v>
      </c>
      <c r="S12" s="295">
        <f t="shared" si="5"/>
        <v>0</v>
      </c>
      <c r="T12" s="572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0</v>
      </c>
      <c r="AA12" s="295">
        <f t="shared" si="19"/>
        <v>0</v>
      </c>
      <c r="AB12" s="295">
        <f t="shared" si="20"/>
        <v>0</v>
      </c>
      <c r="AC12" s="295">
        <f t="shared" si="21"/>
        <v>0</v>
      </c>
      <c r="AD12" s="73">
        <f>ELEC!Q12</f>
        <v>0</v>
      </c>
      <c r="AE12" s="73" t="e">
        <f t="shared" si="23"/>
        <v>#DIV/0!</v>
      </c>
      <c r="AF12" s="413" t="e">
        <f t="shared" si="24"/>
        <v>#DIV/0!</v>
      </c>
      <c r="AG12" s="414" t="e">
        <f t="shared" si="25"/>
        <v>#DIV/0!</v>
      </c>
      <c r="AH12" s="414" t="e">
        <f t="shared" si="22"/>
        <v>#DIV/0!</v>
      </c>
      <c r="AI12" s="73">
        <f t="shared" si="26"/>
        <v>0</v>
      </c>
      <c r="AJ12" s="297">
        <f t="shared" si="9"/>
        <v>0.25738396624472576</v>
      </c>
      <c r="AK12" s="297">
        <f t="shared" si="28"/>
        <v>0</v>
      </c>
    </row>
    <row r="13" spans="1:37" ht="15.75" thickBot="1">
      <c r="A13" s="4">
        <f>ELEC!C13</f>
        <v>44054</v>
      </c>
      <c r="B13" s="571">
        <f t="shared" si="29"/>
        <v>9058</v>
      </c>
      <c r="C13" s="295">
        <f t="shared" si="11"/>
        <v>0</v>
      </c>
      <c r="D13" s="572">
        <f t="shared" si="30"/>
        <v>213567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9100</v>
      </c>
      <c r="I13" s="295" t="str">
        <f t="shared" si="1"/>
        <v>ok</v>
      </c>
      <c r="J13" s="572">
        <f t="shared" si="14"/>
        <v>10698</v>
      </c>
      <c r="K13" s="295">
        <f t="shared" si="2"/>
        <v>0</v>
      </c>
      <c r="L13" s="572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2">
        <f t="shared" si="27"/>
        <v>11627</v>
      </c>
      <c r="S13" s="295">
        <f t="shared" si="5"/>
        <v>0</v>
      </c>
      <c r="T13" s="572">
        <f t="shared" si="27"/>
        <v>340042</v>
      </c>
      <c r="U13" s="295">
        <f t="shared" si="6"/>
        <v>0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0</v>
      </c>
      <c r="AA13" s="295">
        <f t="shared" si="19"/>
        <v>0</v>
      </c>
      <c r="AB13" s="295">
        <f t="shared" si="20"/>
        <v>0</v>
      </c>
      <c r="AC13" s="295">
        <f t="shared" si="21"/>
        <v>0</v>
      </c>
      <c r="AD13" s="73">
        <f>ELEC!Q13</f>
        <v>0</v>
      </c>
      <c r="AE13" s="73" t="e">
        <f t="shared" si="23"/>
        <v>#DIV/0!</v>
      </c>
      <c r="AF13" s="413" t="e">
        <f t="shared" si="24"/>
        <v>#DIV/0!</v>
      </c>
      <c r="AG13" s="414" t="e">
        <f t="shared" si="25"/>
        <v>#DIV/0!</v>
      </c>
      <c r="AH13" s="414" t="e">
        <f t="shared" si="22"/>
        <v>#DIV/0!</v>
      </c>
      <c r="AI13" s="73">
        <f t="shared" si="26"/>
        <v>0</v>
      </c>
      <c r="AJ13" s="297">
        <f t="shared" si="9"/>
        <v>0.25738396624472576</v>
      </c>
      <c r="AK13" s="297">
        <f t="shared" si="28"/>
        <v>0</v>
      </c>
    </row>
    <row r="14" spans="1:37" ht="15.75" thickBot="1">
      <c r="A14" s="4">
        <f>ELEC!C14</f>
        <v>44055</v>
      </c>
      <c r="B14" s="571">
        <f t="shared" si="29"/>
        <v>9058</v>
      </c>
      <c r="C14" s="295">
        <f t="shared" si="11"/>
        <v>0</v>
      </c>
      <c r="D14" s="572">
        <f t="shared" si="30"/>
        <v>213567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9100</v>
      </c>
      <c r="I14" s="295" t="str">
        <f t="shared" si="1"/>
        <v>ok</v>
      </c>
      <c r="J14" s="572">
        <f t="shared" si="14"/>
        <v>10698</v>
      </c>
      <c r="K14" s="295">
        <f t="shared" si="2"/>
        <v>0</v>
      </c>
      <c r="L14" s="572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2">
        <f t="shared" si="27"/>
        <v>11627</v>
      </c>
      <c r="S14" s="295">
        <f t="shared" si="5"/>
        <v>0</v>
      </c>
      <c r="T14" s="572">
        <f t="shared" si="27"/>
        <v>340042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0</v>
      </c>
      <c r="AA14" s="295">
        <f t="shared" si="19"/>
        <v>0</v>
      </c>
      <c r="AB14" s="295">
        <f t="shared" si="20"/>
        <v>0</v>
      </c>
      <c r="AC14" s="295">
        <f t="shared" si="21"/>
        <v>0</v>
      </c>
      <c r="AD14" s="73">
        <f>ELEC!Q14</f>
        <v>0</v>
      </c>
      <c r="AE14" s="73" t="e">
        <f t="shared" si="23"/>
        <v>#DIV/0!</v>
      </c>
      <c r="AF14" s="413" t="e">
        <f t="shared" si="24"/>
        <v>#DIV/0!</v>
      </c>
      <c r="AG14" s="414" t="e">
        <f t="shared" si="25"/>
        <v>#DIV/0!</v>
      </c>
      <c r="AH14" s="414" t="e">
        <f t="shared" si="22"/>
        <v>#DIV/0!</v>
      </c>
      <c r="AI14" s="73">
        <f t="shared" si="26"/>
        <v>0</v>
      </c>
      <c r="AJ14" s="297">
        <f t="shared" si="9"/>
        <v>0.25738396624472576</v>
      </c>
      <c r="AK14" s="297">
        <f t="shared" si="28"/>
        <v>0</v>
      </c>
    </row>
    <row r="15" spans="1:37" ht="15.75" thickBot="1">
      <c r="A15" s="4">
        <f>ELEC!C15</f>
        <v>44056</v>
      </c>
      <c r="B15" s="571">
        <f t="shared" si="29"/>
        <v>9058</v>
      </c>
      <c r="C15" s="295">
        <f t="shared" si="11"/>
        <v>0</v>
      </c>
      <c r="D15" s="572">
        <f t="shared" si="30"/>
        <v>213567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9100</v>
      </c>
      <c r="I15" s="295" t="str">
        <f t="shared" si="1"/>
        <v>ok</v>
      </c>
      <c r="J15" s="572">
        <f t="shared" si="14"/>
        <v>10698</v>
      </c>
      <c r="K15" s="295">
        <f t="shared" si="2"/>
        <v>0</v>
      </c>
      <c r="L15" s="572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2">
        <f t="shared" si="27"/>
        <v>11627</v>
      </c>
      <c r="S15" s="295">
        <f t="shared" si="5"/>
        <v>0</v>
      </c>
      <c r="T15" s="572">
        <f t="shared" si="27"/>
        <v>340042</v>
      </c>
      <c r="U15" s="295">
        <f t="shared" si="6"/>
        <v>0</v>
      </c>
      <c r="V15" s="295">
        <f t="shared" si="17"/>
        <v>0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0</v>
      </c>
      <c r="AA15" s="295">
        <f t="shared" si="19"/>
        <v>0</v>
      </c>
      <c r="AB15" s="295">
        <f t="shared" si="20"/>
        <v>0</v>
      </c>
      <c r="AC15" s="295">
        <f t="shared" si="21"/>
        <v>0</v>
      </c>
      <c r="AD15" s="73">
        <f>ELEC!Q15</f>
        <v>0</v>
      </c>
      <c r="AE15" s="73" t="e">
        <f t="shared" si="23"/>
        <v>#DIV/0!</v>
      </c>
      <c r="AF15" s="413" t="e">
        <f t="shared" si="24"/>
        <v>#DIV/0!</v>
      </c>
      <c r="AG15" s="414" t="e">
        <f t="shared" si="25"/>
        <v>#DIV/0!</v>
      </c>
      <c r="AH15" s="414" t="e">
        <f t="shared" si="22"/>
        <v>#DIV/0!</v>
      </c>
      <c r="AI15" s="73">
        <f t="shared" si="26"/>
        <v>0</v>
      </c>
      <c r="AJ15" s="297">
        <f t="shared" si="9"/>
        <v>0.25738396624472576</v>
      </c>
      <c r="AK15" s="297">
        <f t="shared" si="28"/>
        <v>0</v>
      </c>
    </row>
    <row r="16" spans="1:37" ht="15.75" thickBot="1">
      <c r="A16" s="4">
        <f>ELEC!C16</f>
        <v>44057</v>
      </c>
      <c r="B16" s="571">
        <f t="shared" si="29"/>
        <v>9058</v>
      </c>
      <c r="C16" s="295">
        <f t="shared" si="11"/>
        <v>0</v>
      </c>
      <c r="D16" s="572">
        <f t="shared" si="30"/>
        <v>213567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2">
        <f t="shared" si="14"/>
        <v>10698</v>
      </c>
      <c r="K16" s="295">
        <f t="shared" si="2"/>
        <v>0</v>
      </c>
      <c r="L16" s="572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2">
        <f t="shared" si="27"/>
        <v>11627</v>
      </c>
      <c r="S16" s="602">
        <f t="shared" si="5"/>
        <v>0</v>
      </c>
      <c r="T16" s="572">
        <f t="shared" si="27"/>
        <v>340042</v>
      </c>
      <c r="U16" s="295">
        <f t="shared" si="6"/>
        <v>0</v>
      </c>
      <c r="V16" s="295">
        <f t="shared" si="17"/>
        <v>0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0</v>
      </c>
      <c r="AA16" s="295">
        <f t="shared" si="19"/>
        <v>0</v>
      </c>
      <c r="AB16" s="295">
        <f t="shared" si="20"/>
        <v>0</v>
      </c>
      <c r="AC16" s="295">
        <f t="shared" si="21"/>
        <v>0</v>
      </c>
      <c r="AD16" s="73">
        <f>ELEC!Q16</f>
        <v>0</v>
      </c>
      <c r="AE16" s="73" t="e">
        <f t="shared" si="23"/>
        <v>#DIV/0!</v>
      </c>
      <c r="AF16" s="413" t="e">
        <f t="shared" si="24"/>
        <v>#DIV/0!</v>
      </c>
      <c r="AG16" s="414" t="e">
        <f t="shared" si="25"/>
        <v>#DIV/0!</v>
      </c>
      <c r="AH16" s="414" t="e">
        <f t="shared" si="22"/>
        <v>#DIV/0!</v>
      </c>
      <c r="AI16" s="73">
        <f t="shared" si="26"/>
        <v>0</v>
      </c>
      <c r="AJ16" s="297">
        <f t="shared" si="9"/>
        <v>0.25738396624472576</v>
      </c>
      <c r="AK16" s="297">
        <f t="shared" si="28"/>
        <v>0</v>
      </c>
    </row>
    <row r="17" spans="1:37" ht="15.75" thickBot="1">
      <c r="A17" s="4">
        <f>ELEC!C17</f>
        <v>44058</v>
      </c>
      <c r="B17" s="571">
        <f t="shared" si="29"/>
        <v>9058</v>
      </c>
      <c r="C17" s="295">
        <f t="shared" si="11"/>
        <v>0</v>
      </c>
      <c r="D17" s="572">
        <f t="shared" si="30"/>
        <v>213567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2">
        <f t="shared" si="14"/>
        <v>10698</v>
      </c>
      <c r="K17" s="295">
        <f t="shared" si="2"/>
        <v>0</v>
      </c>
      <c r="L17" s="572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2">
        <f t="shared" si="27"/>
        <v>11627</v>
      </c>
      <c r="S17" s="295">
        <f t="shared" si="5"/>
        <v>0</v>
      </c>
      <c r="T17" s="572">
        <f t="shared" si="27"/>
        <v>340042</v>
      </c>
      <c r="U17" s="295">
        <f t="shared" si="6"/>
        <v>0</v>
      </c>
      <c r="V17" s="295">
        <f t="shared" si="17"/>
        <v>0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0</v>
      </c>
      <c r="AA17" s="295">
        <f t="shared" si="19"/>
        <v>0</v>
      </c>
      <c r="AB17" s="295">
        <f t="shared" si="20"/>
        <v>0</v>
      </c>
      <c r="AC17" s="295">
        <f t="shared" si="21"/>
        <v>0</v>
      </c>
      <c r="AD17" s="73">
        <f>ELEC!Q17</f>
        <v>0</v>
      </c>
      <c r="AE17" s="73" t="e">
        <f t="shared" si="23"/>
        <v>#DIV/0!</v>
      </c>
      <c r="AF17" s="413" t="e">
        <f t="shared" si="24"/>
        <v>#DIV/0!</v>
      </c>
      <c r="AG17" s="414" t="e">
        <f t="shared" si="25"/>
        <v>#DIV/0!</v>
      </c>
      <c r="AH17" s="414" t="e">
        <f t="shared" si="22"/>
        <v>#DIV/0!</v>
      </c>
      <c r="AI17" s="73">
        <f t="shared" si="26"/>
        <v>0</v>
      </c>
      <c r="AJ17" s="297">
        <f t="shared" si="9"/>
        <v>0.25738396624472576</v>
      </c>
      <c r="AK17" s="297">
        <f t="shared" ref="AK17:AK32" si="31">IF(Z17&gt;0,AI17/Z17,0)</f>
        <v>0</v>
      </c>
    </row>
    <row r="18" spans="1:37" ht="15.75" thickBot="1">
      <c r="A18" s="4">
        <f>ELEC!C18</f>
        <v>44059</v>
      </c>
      <c r="B18" s="571">
        <f t="shared" si="29"/>
        <v>9058</v>
      </c>
      <c r="C18" s="295">
        <f t="shared" si="11"/>
        <v>0</v>
      </c>
      <c r="D18" s="572">
        <f t="shared" si="30"/>
        <v>213567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9100</v>
      </c>
      <c r="I18" s="295" t="str">
        <f t="shared" si="1"/>
        <v>ok</v>
      </c>
      <c r="J18" s="572">
        <f t="shared" si="14"/>
        <v>10698</v>
      </c>
      <c r="K18" s="295">
        <f t="shared" si="2"/>
        <v>0</v>
      </c>
      <c r="L18" s="572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2">
        <f t="shared" si="27"/>
        <v>11627</v>
      </c>
      <c r="S18" s="295">
        <f t="shared" si="5"/>
        <v>0</v>
      </c>
      <c r="T18" s="572">
        <f t="shared" si="27"/>
        <v>340042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0</v>
      </c>
      <c r="AA18" s="295">
        <f t="shared" si="19"/>
        <v>0</v>
      </c>
      <c r="AB18" s="295">
        <f t="shared" si="20"/>
        <v>0</v>
      </c>
      <c r="AC18" s="295">
        <f t="shared" si="21"/>
        <v>0</v>
      </c>
      <c r="AD18" s="73">
        <f>ELEC!Q18</f>
        <v>0</v>
      </c>
      <c r="AE18" s="73" t="e">
        <f t="shared" si="23"/>
        <v>#DIV/0!</v>
      </c>
      <c r="AF18" s="413" t="e">
        <f t="shared" si="24"/>
        <v>#DIV/0!</v>
      </c>
      <c r="AG18" s="414" t="e">
        <f t="shared" si="25"/>
        <v>#DIV/0!</v>
      </c>
      <c r="AH18" s="414" t="e">
        <f t="shared" si="22"/>
        <v>#DIV/0!</v>
      </c>
      <c r="AI18" s="73">
        <f t="shared" si="26"/>
        <v>0</v>
      </c>
      <c r="AJ18" s="297">
        <f t="shared" si="9"/>
        <v>0.25738396624472576</v>
      </c>
      <c r="AK18" s="297">
        <f t="shared" si="31"/>
        <v>0</v>
      </c>
    </row>
    <row r="19" spans="1:37" ht="15.75" thickBot="1">
      <c r="A19" s="4">
        <f>ELEC!C19</f>
        <v>44060</v>
      </c>
      <c r="B19" s="571">
        <f t="shared" si="29"/>
        <v>9058</v>
      </c>
      <c r="C19" s="295">
        <f t="shared" si="11"/>
        <v>0</v>
      </c>
      <c r="D19" s="572">
        <f t="shared" si="30"/>
        <v>213567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9100</v>
      </c>
      <c r="I19" s="295" t="str">
        <f t="shared" si="1"/>
        <v>ok</v>
      </c>
      <c r="J19" s="572">
        <f t="shared" si="14"/>
        <v>10698</v>
      </c>
      <c r="K19" s="295">
        <f t="shared" si="2"/>
        <v>0</v>
      </c>
      <c r="L19" s="572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2">
        <f t="shared" si="27"/>
        <v>11627</v>
      </c>
      <c r="S19" s="295">
        <f t="shared" si="5"/>
        <v>0</v>
      </c>
      <c r="T19" s="572">
        <f t="shared" si="27"/>
        <v>340042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0</v>
      </c>
      <c r="AA19" s="295">
        <f t="shared" si="19"/>
        <v>0</v>
      </c>
      <c r="AB19" s="295">
        <f t="shared" si="20"/>
        <v>0</v>
      </c>
      <c r="AC19" s="295">
        <f t="shared" si="21"/>
        <v>0</v>
      </c>
      <c r="AD19" s="73">
        <f>ELEC!Q19</f>
        <v>0</v>
      </c>
      <c r="AE19" s="73" t="e">
        <f t="shared" si="23"/>
        <v>#DIV/0!</v>
      </c>
      <c r="AF19" s="413" t="e">
        <f t="shared" si="24"/>
        <v>#DIV/0!</v>
      </c>
      <c r="AG19" s="414" t="e">
        <f t="shared" si="25"/>
        <v>#DIV/0!</v>
      </c>
      <c r="AH19" s="414" t="e">
        <f t="shared" si="22"/>
        <v>#DIV/0!</v>
      </c>
      <c r="AI19" s="73">
        <f t="shared" si="26"/>
        <v>0</v>
      </c>
      <c r="AJ19" s="297">
        <f t="shared" si="9"/>
        <v>0.25738396624472576</v>
      </c>
      <c r="AK19" s="297">
        <f t="shared" si="31"/>
        <v>0</v>
      </c>
    </row>
    <row r="20" spans="1:37" ht="15.75" thickBot="1">
      <c r="A20" s="4">
        <f>ELEC!C20</f>
        <v>44061</v>
      </c>
      <c r="B20" s="571">
        <f t="shared" si="29"/>
        <v>9058</v>
      </c>
      <c r="C20" s="295">
        <f>B20-B19</f>
        <v>0</v>
      </c>
      <c r="D20" s="572">
        <f t="shared" si="30"/>
        <v>213567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9100</v>
      </c>
      <c r="I20" s="295" t="str">
        <f t="shared" si="1"/>
        <v>ok</v>
      </c>
      <c r="J20" s="572">
        <f t="shared" si="14"/>
        <v>10698</v>
      </c>
      <c r="K20" s="295">
        <f t="shared" si="2"/>
        <v>0</v>
      </c>
      <c r="L20" s="572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2">
        <f t="shared" si="27"/>
        <v>11627</v>
      </c>
      <c r="S20" s="295">
        <f t="shared" si="5"/>
        <v>0</v>
      </c>
      <c r="T20" s="572">
        <f t="shared" si="27"/>
        <v>340042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0</v>
      </c>
      <c r="AA20" s="295">
        <f t="shared" si="19"/>
        <v>0</v>
      </c>
      <c r="AB20" s="295">
        <f t="shared" si="20"/>
        <v>0</v>
      </c>
      <c r="AC20" s="295">
        <f t="shared" si="21"/>
        <v>0</v>
      </c>
      <c r="AD20" s="73">
        <f>ELEC!Q20</f>
        <v>0</v>
      </c>
      <c r="AE20" s="73" t="e">
        <f t="shared" si="23"/>
        <v>#DIV/0!</v>
      </c>
      <c r="AF20" s="413" t="e">
        <f t="shared" si="24"/>
        <v>#DIV/0!</v>
      </c>
      <c r="AG20" s="414" t="e">
        <f t="shared" si="25"/>
        <v>#DIV/0!</v>
      </c>
      <c r="AH20" s="414" t="e">
        <f t="shared" si="22"/>
        <v>#DIV/0!</v>
      </c>
      <c r="AI20" s="73">
        <f>AD20*AJ20</f>
        <v>0</v>
      </c>
      <c r="AJ20" s="297">
        <f t="shared" si="9"/>
        <v>0.25738396624472576</v>
      </c>
      <c r="AK20" s="297">
        <f t="shared" si="31"/>
        <v>0</v>
      </c>
    </row>
    <row r="21" spans="1:37" ht="15.75" thickBot="1">
      <c r="A21" s="4">
        <f>ELEC!C21</f>
        <v>44062</v>
      </c>
      <c r="B21" s="571">
        <f t="shared" si="29"/>
        <v>9058</v>
      </c>
      <c r="C21" s="295">
        <f t="shared" si="11"/>
        <v>0</v>
      </c>
      <c r="D21" s="572">
        <f t="shared" si="30"/>
        <v>213567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2">
        <f t="shared" si="14"/>
        <v>10698</v>
      </c>
      <c r="K21" s="295">
        <f t="shared" si="2"/>
        <v>0</v>
      </c>
      <c r="L21" s="572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2">
        <f t="shared" si="27"/>
        <v>11627</v>
      </c>
      <c r="S21" s="295">
        <f t="shared" si="5"/>
        <v>0</v>
      </c>
      <c r="T21" s="572">
        <f t="shared" si="27"/>
        <v>340042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3"/>
        <v>#DIV/0!</v>
      </c>
      <c r="AF21" s="413" t="e">
        <f t="shared" si="24"/>
        <v>#DIV/0!</v>
      </c>
      <c r="AG21" s="414" t="e">
        <f t="shared" si="25"/>
        <v>#DIV/0!</v>
      </c>
      <c r="AH21" s="414" t="e">
        <f t="shared" si="22"/>
        <v>#DIV/0!</v>
      </c>
      <c r="AI21" s="73">
        <f t="shared" si="26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71">
        <f t="shared" si="29"/>
        <v>9058</v>
      </c>
      <c r="C22" s="295">
        <f t="shared" si="11"/>
        <v>0</v>
      </c>
      <c r="D22" s="572">
        <f t="shared" si="30"/>
        <v>213567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2">
        <f t="shared" si="14"/>
        <v>10698</v>
      </c>
      <c r="K22" s="295">
        <f t="shared" si="2"/>
        <v>0</v>
      </c>
      <c r="L22" s="572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2">
        <f t="shared" si="27"/>
        <v>11627</v>
      </c>
      <c r="S22" s="295">
        <f t="shared" si="5"/>
        <v>0</v>
      </c>
      <c r="T22" s="572">
        <f t="shared" si="27"/>
        <v>340042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3"/>
        <v>#DIV/0!</v>
      </c>
      <c r="AF22" s="413" t="e">
        <f t="shared" si="24"/>
        <v>#DIV/0!</v>
      </c>
      <c r="AG22" s="414" t="e">
        <f t="shared" si="25"/>
        <v>#DIV/0!</v>
      </c>
      <c r="AH22" s="414" t="e">
        <f t="shared" si="22"/>
        <v>#DIV/0!</v>
      </c>
      <c r="AI22" s="73">
        <f t="shared" si="26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71">
        <f t="shared" si="29"/>
        <v>9058</v>
      </c>
      <c r="C23" s="295">
        <f t="shared" si="11"/>
        <v>0</v>
      </c>
      <c r="D23" s="572">
        <f t="shared" si="30"/>
        <v>213567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2">
        <f t="shared" si="14"/>
        <v>10698</v>
      </c>
      <c r="K23" s="295">
        <f t="shared" si="2"/>
        <v>0</v>
      </c>
      <c r="L23" s="572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2">
        <f t="shared" si="27"/>
        <v>11627</v>
      </c>
      <c r="S23" s="295">
        <f t="shared" si="5"/>
        <v>0</v>
      </c>
      <c r="T23" s="572">
        <f t="shared" si="27"/>
        <v>340042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3"/>
        <v>#DIV/0!</v>
      </c>
      <c r="AF23" s="413" t="e">
        <f t="shared" si="24"/>
        <v>#DIV/0!</v>
      </c>
      <c r="AG23" s="414" t="e">
        <f t="shared" si="25"/>
        <v>#DIV/0!</v>
      </c>
      <c r="AH23" s="414" t="e">
        <f t="shared" si="22"/>
        <v>#DIV/0!</v>
      </c>
      <c r="AI23" s="73">
        <f t="shared" si="26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71">
        <f t="shared" si="29"/>
        <v>9058</v>
      </c>
      <c r="C24" s="295">
        <f t="shared" si="11"/>
        <v>0</v>
      </c>
      <c r="D24" s="572">
        <f t="shared" si="30"/>
        <v>213567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2">
        <f t="shared" si="14"/>
        <v>10698</v>
      </c>
      <c r="K24" s="295">
        <f t="shared" si="2"/>
        <v>0</v>
      </c>
      <c r="L24" s="572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2">
        <f t="shared" si="27"/>
        <v>11627</v>
      </c>
      <c r="S24" s="295">
        <f t="shared" si="5"/>
        <v>0</v>
      </c>
      <c r="T24" s="572">
        <f t="shared" si="27"/>
        <v>340042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71">
        <f t="shared" si="29"/>
        <v>9058</v>
      </c>
      <c r="C25" s="295">
        <f t="shared" si="11"/>
        <v>0</v>
      </c>
      <c r="D25" s="572">
        <f t="shared" si="30"/>
        <v>213567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2">
        <f t="shared" si="14"/>
        <v>10698</v>
      </c>
      <c r="K25" s="295">
        <f t="shared" si="2"/>
        <v>0</v>
      </c>
      <c r="L25" s="572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2">
        <f t="shared" si="27"/>
        <v>11627</v>
      </c>
      <c r="S25" s="295">
        <f t="shared" si="5"/>
        <v>0</v>
      </c>
      <c r="T25" s="572">
        <f t="shared" si="27"/>
        <v>340042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71">
        <f t="shared" si="29"/>
        <v>9058</v>
      </c>
      <c r="C26" s="295">
        <f t="shared" si="11"/>
        <v>0</v>
      </c>
      <c r="D26" s="572">
        <f t="shared" si="30"/>
        <v>213567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2">
        <f t="shared" si="14"/>
        <v>10698</v>
      </c>
      <c r="K26" s="295">
        <f t="shared" si="2"/>
        <v>0</v>
      </c>
      <c r="L26" s="572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2">
        <f t="shared" si="27"/>
        <v>11627</v>
      </c>
      <c r="S26" s="295">
        <f t="shared" si="5"/>
        <v>0</v>
      </c>
      <c r="T26" s="572">
        <f t="shared" si="27"/>
        <v>340042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71">
        <f t="shared" si="29"/>
        <v>9058</v>
      </c>
      <c r="C27" s="295">
        <f t="shared" si="11"/>
        <v>0</v>
      </c>
      <c r="D27" s="572">
        <f t="shared" si="30"/>
        <v>213567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2">
        <f t="shared" si="14"/>
        <v>10698</v>
      </c>
      <c r="K27" s="295">
        <f t="shared" si="2"/>
        <v>0</v>
      </c>
      <c r="L27" s="572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2">
        <f t="shared" si="27"/>
        <v>11627</v>
      </c>
      <c r="S27" s="295">
        <f t="shared" si="5"/>
        <v>0</v>
      </c>
      <c r="T27" s="572">
        <f t="shared" si="27"/>
        <v>340042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71">
        <f t="shared" si="29"/>
        <v>9058</v>
      </c>
      <c r="C28" s="295">
        <f t="shared" si="11"/>
        <v>0</v>
      </c>
      <c r="D28" s="572">
        <f t="shared" si="30"/>
        <v>213567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2">
        <f t="shared" si="14"/>
        <v>10698</v>
      </c>
      <c r="K28" s="295">
        <f t="shared" si="2"/>
        <v>0</v>
      </c>
      <c r="L28" s="572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2">
        <f t="shared" si="27"/>
        <v>11627</v>
      </c>
      <c r="S28" s="295">
        <f t="shared" si="5"/>
        <v>0</v>
      </c>
      <c r="T28" s="572">
        <f t="shared" si="27"/>
        <v>340042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71">
        <f t="shared" si="29"/>
        <v>9058</v>
      </c>
      <c r="C29" s="295">
        <f t="shared" si="11"/>
        <v>0</v>
      </c>
      <c r="D29" s="572">
        <f t="shared" si="30"/>
        <v>213567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2">
        <f t="shared" si="14"/>
        <v>10698</v>
      </c>
      <c r="K29" s="295">
        <f t="shared" si="2"/>
        <v>0</v>
      </c>
      <c r="L29" s="572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2">
        <f t="shared" si="27"/>
        <v>11627</v>
      </c>
      <c r="S29" s="295">
        <f t="shared" si="5"/>
        <v>0</v>
      </c>
      <c r="T29" s="572">
        <f t="shared" si="27"/>
        <v>340042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71">
        <f t="shared" si="29"/>
        <v>9058</v>
      </c>
      <c r="C30" s="295">
        <f t="shared" si="11"/>
        <v>0</v>
      </c>
      <c r="D30" s="572">
        <f t="shared" si="30"/>
        <v>213567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2">
        <f t="shared" si="14"/>
        <v>10698</v>
      </c>
      <c r="K30" s="295">
        <f t="shared" si="2"/>
        <v>0</v>
      </c>
      <c r="L30" s="572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2">
        <f t="shared" si="27"/>
        <v>11627</v>
      </c>
      <c r="S30" s="295">
        <f t="shared" si="5"/>
        <v>0</v>
      </c>
      <c r="T30" s="572">
        <f t="shared" si="27"/>
        <v>340042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71">
        <f t="shared" si="29"/>
        <v>9058</v>
      </c>
      <c r="C31" s="295">
        <f t="shared" si="11"/>
        <v>0</v>
      </c>
      <c r="D31" s="572">
        <f t="shared" si="30"/>
        <v>213567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2">
        <f t="shared" si="14"/>
        <v>10698</v>
      </c>
      <c r="K31" s="295">
        <f t="shared" si="2"/>
        <v>0</v>
      </c>
      <c r="L31" s="572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2">
        <f t="shared" si="27"/>
        <v>11627</v>
      </c>
      <c r="S31" s="295">
        <f t="shared" si="5"/>
        <v>0</v>
      </c>
      <c r="T31" s="572">
        <f t="shared" si="27"/>
        <v>340042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71">
        <f t="shared" si="29"/>
        <v>9058</v>
      </c>
      <c r="C32" s="295">
        <f t="shared" si="11"/>
        <v>0</v>
      </c>
      <c r="D32" s="572">
        <f t="shared" si="30"/>
        <v>213567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2">
        <f t="shared" si="14"/>
        <v>10698</v>
      </c>
      <c r="K32" s="295">
        <f>J32-J31</f>
        <v>0</v>
      </c>
      <c r="L32" s="572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2">
        <f t="shared" si="27"/>
        <v>11627</v>
      </c>
      <c r="S32" s="295">
        <f t="shared" si="5"/>
        <v>0</v>
      </c>
      <c r="T32" s="572">
        <f t="shared" si="27"/>
        <v>340042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71">
        <f t="shared" si="29"/>
        <v>9058</v>
      </c>
      <c r="C33" s="295">
        <f t="shared" ref="C33" si="36">B33-B32</f>
        <v>0</v>
      </c>
      <c r="D33" s="572">
        <f t="shared" si="30"/>
        <v>213567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2">
        <f t="shared" si="14"/>
        <v>10698</v>
      </c>
      <c r="K33" s="295">
        <f>J33-J32</f>
        <v>0</v>
      </c>
      <c r="L33" s="572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2">
        <f t="shared" si="27"/>
        <v>11627</v>
      </c>
      <c r="S33" s="295">
        <f t="shared" ref="S33" si="43">R33-R32</f>
        <v>0</v>
      </c>
      <c r="T33" s="572">
        <f t="shared" si="27"/>
        <v>340042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93</v>
      </c>
      <c r="V34" s="40"/>
      <c r="X34">
        <v>341</v>
      </c>
      <c r="Z34" s="432">
        <f>SUM(Z3:Z32)</f>
        <v>93</v>
      </c>
    </row>
    <row r="35" spans="1:37">
      <c r="C35" s="40">
        <f>SUM(C3:C32)</f>
        <v>61</v>
      </c>
      <c r="K35" s="40">
        <f>SUM(K3:K32)</f>
        <v>0</v>
      </c>
      <c r="S35" s="40">
        <f>SUM(S3:S32)</f>
        <v>32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77.799999999999983</v>
      </c>
      <c r="J11" s="9">
        <f>'B5'!A13</f>
        <v>44052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44053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44054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44055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44056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44057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44058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44059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44060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164.2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44060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abSelected="1" zoomScale="80" zoomScaleNormal="80" workbookViewId="0">
      <selection activeCell="K12" sqref="K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9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9">
        <v>30051</v>
      </c>
      <c r="G4" s="160">
        <f t="shared" ref="G4:G32" si="1">F4-F3</f>
        <v>0</v>
      </c>
      <c r="H4" s="569">
        <v>103383</v>
      </c>
      <c r="I4" s="161">
        <f t="shared" ref="I4:I33" si="2">H4-H3</f>
        <v>3514</v>
      </c>
      <c r="J4" s="569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44.94281764952553</v>
      </c>
      <c r="P4" s="305">
        <f>SUM(L4:O4)</f>
        <v>368.21180604090193</v>
      </c>
      <c r="Q4" s="305">
        <f>SUM(-tanks!AX6*tanks!$AU$37)</f>
        <v>3143.9571370967742</v>
      </c>
      <c r="R4" s="305">
        <f>SUM(P4:Q4)</f>
        <v>3512.1689431376763</v>
      </c>
      <c r="S4" s="307">
        <f>SUM(ELEC!N3)</f>
        <v>25351</v>
      </c>
      <c r="T4" s="344">
        <f>IF(S4&gt;0,R4/S4,0)</f>
        <v>0.13854163319544302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8"/>
      <c r="AC4" s="659"/>
    </row>
    <row r="5" spans="1:30" ht="15.75" thickBot="1">
      <c r="A5" s="163">
        <f>ELEC!C4</f>
        <v>44045</v>
      </c>
      <c r="B5" s="569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9">
        <v>31607</v>
      </c>
      <c r="G5" s="160">
        <f t="shared" si="1"/>
        <v>1556</v>
      </c>
      <c r="H5" s="569">
        <v>107210</v>
      </c>
      <c r="I5" s="161">
        <f t="shared" si="2"/>
        <v>3827</v>
      </c>
      <c r="J5" s="569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44.94281764952553</v>
      </c>
      <c r="P5" s="305">
        <f t="shared" ref="P5:P32" si="9">SUM(L5:O5)</f>
        <v>796.32192212713744</v>
      </c>
      <c r="Q5" s="305">
        <f>SUM(-tanks!AX7*tanks!$AU$37)</f>
        <v>1436.2537499999994</v>
      </c>
      <c r="R5" s="305">
        <f t="shared" ref="R5:R32" si="10">SUM(P5:Q5)</f>
        <v>2232.5756721271368</v>
      </c>
      <c r="S5" s="307">
        <f>SUM(ELEC!N4)</f>
        <v>24732</v>
      </c>
      <c r="T5" s="344">
        <f>IF(S5&gt;0,R5/S5,0)</f>
        <v>9.0270729101048719E-2</v>
      </c>
      <c r="U5" s="255"/>
      <c r="V5" s="652"/>
      <c r="W5" s="653"/>
      <c r="X5" s="653"/>
      <c r="Y5" s="654"/>
      <c r="Z5" s="26" t="s">
        <v>203</v>
      </c>
      <c r="AA5" s="270">
        <f>'[5]EDl log'!AA22</f>
        <v>5000</v>
      </c>
      <c r="AB5" s="660"/>
      <c r="AC5" s="661"/>
    </row>
    <row r="6" spans="1:30" ht="15.75" thickBot="1">
      <c r="A6" s="163">
        <f>ELEC!C5</f>
        <v>44046</v>
      </c>
      <c r="B6" s="569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9">
        <v>31607</v>
      </c>
      <c r="G6" s="160">
        <f t="shared" si="1"/>
        <v>0</v>
      </c>
      <c r="H6" s="569">
        <v>110888</v>
      </c>
      <c r="I6" s="161">
        <f t="shared" si="2"/>
        <v>3678</v>
      </c>
      <c r="J6" s="569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44.94281764952553</v>
      </c>
      <c r="P6" s="305">
        <f t="shared" si="9"/>
        <v>361.66321565947572</v>
      </c>
      <c r="Q6" s="305">
        <f>SUM(-tanks!AX8*tanks!$AU$37)</f>
        <v>1913.031854838712</v>
      </c>
      <c r="R6" s="305">
        <f t="shared" si="10"/>
        <v>2274.6950704981878</v>
      </c>
      <c r="S6" s="307">
        <f>SUM(ELEC!N5)</f>
        <v>23757</v>
      </c>
      <c r="T6" s="344">
        <f t="shared" ref="T6:T32" si="12">IF(S6&gt;0,R6/S6,0)</f>
        <v>9.5748413962124329E-2</v>
      </c>
      <c r="V6" s="655"/>
      <c r="W6" s="656"/>
      <c r="X6" s="656"/>
      <c r="Y6" s="657"/>
      <c r="Z6" s="3"/>
      <c r="AA6" s="3"/>
      <c r="AB6" s="660"/>
      <c r="AC6" s="661"/>
    </row>
    <row r="7" spans="1:30" ht="15" customHeight="1" thickBot="1">
      <c r="A7" s="163">
        <f>ELEC!C6</f>
        <v>44047</v>
      </c>
      <c r="B7" s="569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9">
        <v>32332</v>
      </c>
      <c r="G7" s="160">
        <f t="shared" si="1"/>
        <v>725</v>
      </c>
      <c r="H7" s="569">
        <v>114200</v>
      </c>
      <c r="I7" s="161">
        <f t="shared" si="2"/>
        <v>3312</v>
      </c>
      <c r="J7" s="569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44.94281764952553</v>
      </c>
      <c r="P7" s="305">
        <f t="shared" si="9"/>
        <v>623.90401167937625</v>
      </c>
      <c r="Q7" s="305">
        <f>SUM(-tanks!AX9*tanks!$AU$37)</f>
        <v>714.87500000000011</v>
      </c>
      <c r="R7" s="305">
        <f t="shared" si="10"/>
        <v>1338.7790116793763</v>
      </c>
      <c r="S7" s="307">
        <f>SUM(ELEC!N6)</f>
        <v>25244</v>
      </c>
      <c r="T7" s="344">
        <f t="shared" si="12"/>
        <v>5.3033552989992724E-2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0" ht="15.75" customHeight="1" thickBot="1">
      <c r="A8" s="163">
        <f>ELEC!C7</f>
        <v>44048</v>
      </c>
      <c r="B8" s="569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9">
        <v>32678</v>
      </c>
      <c r="G8" s="160">
        <f t="shared" si="1"/>
        <v>346</v>
      </c>
      <c r="H8" s="569">
        <v>116434</v>
      </c>
      <c r="I8" s="161">
        <f t="shared" si="2"/>
        <v>2234</v>
      </c>
      <c r="J8" s="569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44.94281764952553</v>
      </c>
      <c r="P8" s="305">
        <f t="shared" si="9"/>
        <v>284.36437652183071</v>
      </c>
      <c r="Q8" s="305">
        <f>SUM(-tanks!AX10*tanks!$AU$37)</f>
        <v>2466.8822580645119</v>
      </c>
      <c r="R8" s="305">
        <f t="shared" si="10"/>
        <v>2751.2466345863427</v>
      </c>
      <c r="S8" s="307">
        <f>SUM(ELEC!N7)</f>
        <v>10988</v>
      </c>
      <c r="T8" s="344">
        <f>IF(S8&gt;0,R8/S8,0)</f>
        <v>0.25038647930345309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9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9">
        <v>33222</v>
      </c>
      <c r="G9" s="160">
        <f t="shared" si="1"/>
        <v>544</v>
      </c>
      <c r="H9" s="569">
        <v>117014</v>
      </c>
      <c r="I9" s="161">
        <f t="shared" si="2"/>
        <v>580</v>
      </c>
      <c r="J9" s="569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44.94281764952553</v>
      </c>
      <c r="P9" s="305">
        <f t="shared" si="9"/>
        <v>294.89306640574443</v>
      </c>
      <c r="Q9" s="305">
        <f>SUM(-tanks!AX11*tanks!$AU$37)</f>
        <v>202.46411290322698</v>
      </c>
      <c r="R9" s="305">
        <f>SUM(P9:Q9)</f>
        <v>497.35717930897141</v>
      </c>
      <c r="S9" s="307">
        <f>SUM(ELEC!N8)</f>
        <v>10699</v>
      </c>
      <c r="T9" s="344">
        <f t="shared" si="12"/>
        <v>4.6486323890921714E-2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9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9">
        <v>33793</v>
      </c>
      <c r="G10" s="160">
        <f t="shared" si="1"/>
        <v>571</v>
      </c>
      <c r="H10" s="569">
        <v>121686</v>
      </c>
      <c r="I10" s="161">
        <f t="shared" si="2"/>
        <v>4672</v>
      </c>
      <c r="J10" s="569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44.94281764952553</v>
      </c>
      <c r="P10" s="305">
        <f t="shared" si="9"/>
        <v>561.38991549363823</v>
      </c>
      <c r="Q10" s="305">
        <f>SUM(-tanks!AX12*tanks!$AU$37)</f>
        <v>-1136.0322580645077</v>
      </c>
      <c r="R10" s="305">
        <f t="shared" si="10"/>
        <v>-574.64234257086946</v>
      </c>
      <c r="S10" s="307">
        <f>SUM(ELEC!N9)</f>
        <v>9781</v>
      </c>
      <c r="T10" s="344">
        <f t="shared" si="12"/>
        <v>-5.8750878496152688E-2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9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9">
        <v>34451</v>
      </c>
      <c r="G11" s="160">
        <f t="shared" si="1"/>
        <v>658</v>
      </c>
      <c r="H11" s="569">
        <v>124110</v>
      </c>
      <c r="I11" s="161">
        <f t="shared" si="2"/>
        <v>2424</v>
      </c>
      <c r="J11" s="569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44.94281764952553</v>
      </c>
      <c r="P11" s="305">
        <f t="shared" si="9"/>
        <v>446.59323224322372</v>
      </c>
      <c r="Q11" s="305">
        <f>SUM(-tanks!AX13*tanks!$AU$37)</f>
        <v>609.60995967741223</v>
      </c>
      <c r="R11" s="305">
        <f t="shared" si="10"/>
        <v>1056.2031919206361</v>
      </c>
      <c r="S11" s="307">
        <f>SUM(ELEC!N10)</f>
        <v>10647</v>
      </c>
      <c r="T11" s="344">
        <f t="shared" si="12"/>
        <v>9.920195284311413E-2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9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9">
        <v>34998</v>
      </c>
      <c r="G12" s="160">
        <f t="shared" si="1"/>
        <v>547</v>
      </c>
      <c r="H12" s="569">
        <v>126161</v>
      </c>
      <c r="I12" s="161">
        <f t="shared" si="2"/>
        <v>2051</v>
      </c>
      <c r="J12" s="569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44.94281764952553</v>
      </c>
      <c r="P12" s="305">
        <f t="shared" si="9"/>
        <v>362.09837320508109</v>
      </c>
      <c r="Q12" s="305">
        <f>SUM(-tanks!AX14*tanks!$AU$37)</f>
        <v>320.71931451613244</v>
      </c>
      <c r="R12" s="305">
        <f t="shared" si="10"/>
        <v>682.81768772121359</v>
      </c>
      <c r="S12" s="307">
        <f>SUM(ELEC!N11)</f>
        <v>8400</v>
      </c>
      <c r="T12" s="344">
        <f t="shared" si="12"/>
        <v>8.1287819966811142E-2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9">
        <f t="shared" ref="B12:B34" si="13">B12</f>
        <v>250281</v>
      </c>
      <c r="C13" s="270">
        <f t="shared" si="0"/>
        <v>0</v>
      </c>
      <c r="D13" s="316">
        <f t="shared" si="7"/>
        <v>0</v>
      </c>
      <c r="E13" s="316">
        <f t="shared" si="11"/>
        <v>250281</v>
      </c>
      <c r="F13" s="569">
        <f t="shared" ref="F12:J34" si="14">F12</f>
        <v>34998</v>
      </c>
      <c r="G13" s="160">
        <f t="shared" si="1"/>
        <v>0</v>
      </c>
      <c r="H13" s="569">
        <f t="shared" si="14"/>
        <v>126161</v>
      </c>
      <c r="I13" s="161">
        <f t="shared" si="2"/>
        <v>0</v>
      </c>
      <c r="J13" s="569">
        <f t="shared" si="14"/>
        <v>89121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44.94281764952553</v>
      </c>
      <c r="P13" s="305">
        <f t="shared" si="9"/>
        <v>44.94281764952553</v>
      </c>
      <c r="Q13" s="305">
        <f>SUM(-tanks!AX15*tanks!$AU$37)</f>
        <v>0</v>
      </c>
      <c r="R13" s="305">
        <f t="shared" si="10"/>
        <v>44.94281764952553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9">
        <f>ELEC!C13</f>
        <v>44054</v>
      </c>
      <c r="B14" s="569">
        <f t="shared" si="13"/>
        <v>250281</v>
      </c>
      <c r="C14" s="270">
        <f t="shared" si="0"/>
        <v>0</v>
      </c>
      <c r="D14" s="316">
        <f t="shared" si="7"/>
        <v>0</v>
      </c>
      <c r="E14" s="316">
        <f t="shared" si="11"/>
        <v>250281</v>
      </c>
      <c r="F14" s="569">
        <f t="shared" si="14"/>
        <v>34998</v>
      </c>
      <c r="G14" s="160">
        <f t="shared" si="1"/>
        <v>0</v>
      </c>
      <c r="H14" s="569">
        <f t="shared" si="14"/>
        <v>126161</v>
      </c>
      <c r="I14" s="161">
        <f t="shared" si="2"/>
        <v>0</v>
      </c>
      <c r="J14" s="569">
        <f t="shared" si="14"/>
        <v>89121</v>
      </c>
      <c r="K14" s="162">
        <f t="shared" ref="K14:K17" si="15">J14-J13</f>
        <v>0</v>
      </c>
      <c r="L14" s="304">
        <f t="shared" ref="L14:L17" si="16">SUM(G14*$Y$28)/1507.5</f>
        <v>0</v>
      </c>
      <c r="M14" s="304">
        <f t="shared" ref="M14:M17" si="17">SUM(I14*$Y$27)/1507.5</f>
        <v>0</v>
      </c>
      <c r="N14" s="304">
        <f t="shared" ref="N14:N17" si="18">SUM(K14*$Y$26)/1507.5</f>
        <v>0</v>
      </c>
      <c r="O14" s="304">
        <f t="shared" ref="O14:O17" si="19">($AC$31/$A$39)/1507.5</f>
        <v>44.94281764952553</v>
      </c>
      <c r="P14" s="305">
        <f t="shared" ref="P14:P17" si="20">SUM(L14:O14)</f>
        <v>44.94281764952553</v>
      </c>
      <c r="Q14" s="305">
        <f>SUM(-tanks!AX16*tanks!$AU$37)</f>
        <v>0</v>
      </c>
      <c r="R14" s="305">
        <f t="shared" ref="R14:R17" si="21">SUM(P14:Q14)</f>
        <v>44.94281764952553</v>
      </c>
      <c r="S14" s="307">
        <f>SUM(ELEC!N13)</f>
        <v>0</v>
      </c>
      <c r="T14" s="344">
        <f t="shared" ref="T14:T17" si="22">IF(S14&gt;0,R14/S14,0)</f>
        <v>0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9">
        <f t="shared" si="13"/>
        <v>250281</v>
      </c>
      <c r="C15" s="270">
        <f t="shared" si="0"/>
        <v>0</v>
      </c>
      <c r="D15" s="316">
        <f t="shared" si="7"/>
        <v>0</v>
      </c>
      <c r="E15" s="316">
        <f t="shared" si="11"/>
        <v>250281</v>
      </c>
      <c r="F15" s="569">
        <f t="shared" si="14"/>
        <v>34998</v>
      </c>
      <c r="G15" s="160">
        <f t="shared" si="1"/>
        <v>0</v>
      </c>
      <c r="H15" s="569">
        <f t="shared" si="14"/>
        <v>126161</v>
      </c>
      <c r="I15" s="161">
        <f t="shared" si="2"/>
        <v>0</v>
      </c>
      <c r="J15" s="569">
        <f t="shared" si="14"/>
        <v>89121</v>
      </c>
      <c r="K15" s="162">
        <f t="shared" si="15"/>
        <v>0</v>
      </c>
      <c r="L15" s="304">
        <f t="shared" si="16"/>
        <v>0</v>
      </c>
      <c r="M15" s="304">
        <f t="shared" si="17"/>
        <v>0</v>
      </c>
      <c r="N15" s="304">
        <f t="shared" si="18"/>
        <v>0</v>
      </c>
      <c r="O15" s="304">
        <f t="shared" si="19"/>
        <v>44.94281764952553</v>
      </c>
      <c r="P15" s="305">
        <f t="shared" si="20"/>
        <v>44.94281764952553</v>
      </c>
      <c r="Q15" s="305">
        <f>SUM(-tanks!AX17*tanks!$AU$37)</f>
        <v>0</v>
      </c>
      <c r="R15" s="305">
        <f t="shared" si="21"/>
        <v>44.94281764952553</v>
      </c>
      <c r="S15" s="307">
        <f>SUM(ELEC!N14)</f>
        <v>0</v>
      </c>
      <c r="T15" s="344">
        <f t="shared" si="22"/>
        <v>0</v>
      </c>
      <c r="V15" s="270" t="str">
        <f>'[5]EDl log'!V32</f>
        <v>H Deg</v>
      </c>
      <c r="W15" s="270">
        <f>'[1]EDl log'!W32</f>
        <v>-549.00000000000011</v>
      </c>
      <c r="X15" s="580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9">
        <f t="shared" si="13"/>
        <v>250281</v>
      </c>
      <c r="C16" s="270">
        <f t="shared" si="0"/>
        <v>0</v>
      </c>
      <c r="D16" s="316">
        <f t="shared" si="7"/>
        <v>0</v>
      </c>
      <c r="E16" s="316">
        <f t="shared" si="11"/>
        <v>250281</v>
      </c>
      <c r="F16" s="569">
        <f t="shared" si="14"/>
        <v>34998</v>
      </c>
      <c r="G16" s="160">
        <f t="shared" si="1"/>
        <v>0</v>
      </c>
      <c r="H16" s="569">
        <f t="shared" si="14"/>
        <v>126161</v>
      </c>
      <c r="I16" s="161">
        <f t="shared" si="2"/>
        <v>0</v>
      </c>
      <c r="J16" s="569">
        <f t="shared" si="14"/>
        <v>89121</v>
      </c>
      <c r="K16" s="162">
        <f t="shared" si="15"/>
        <v>0</v>
      </c>
      <c r="L16" s="304">
        <f t="shared" si="16"/>
        <v>0</v>
      </c>
      <c r="M16" s="304">
        <f t="shared" si="17"/>
        <v>0</v>
      </c>
      <c r="N16" s="304">
        <f t="shared" si="18"/>
        <v>0</v>
      </c>
      <c r="O16" s="304">
        <f t="shared" si="19"/>
        <v>44.94281764952553</v>
      </c>
      <c r="P16" s="305">
        <f t="shared" si="20"/>
        <v>44.94281764952553</v>
      </c>
      <c r="Q16" s="305">
        <f>SUM(-tanks!AX18*tanks!$AU$37)</f>
        <v>0</v>
      </c>
      <c r="R16" s="305">
        <f t="shared" si="21"/>
        <v>44.94281764952553</v>
      </c>
      <c r="S16" s="307">
        <f>SUM(ELEC!N15)</f>
        <v>0</v>
      </c>
      <c r="T16" s="344">
        <f t="shared" si="22"/>
        <v>0</v>
      </c>
      <c r="V16" s="270" t="str">
        <f>'[5]EDl log'!V33</f>
        <v>C Deg</v>
      </c>
      <c r="W16" s="270">
        <f>'[1]EDl log'!W33</f>
        <v>0</v>
      </c>
      <c r="X16" s="580">
        <f>'[2]EDl log'!X16</f>
        <v>0</v>
      </c>
      <c r="Y16" s="580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9">
        <f t="shared" si="13"/>
        <v>250281</v>
      </c>
      <c r="C17" s="270">
        <f t="shared" si="0"/>
        <v>0</v>
      </c>
      <c r="D17" s="316">
        <f t="shared" si="7"/>
        <v>0</v>
      </c>
      <c r="E17" s="316">
        <f t="shared" si="11"/>
        <v>250281</v>
      </c>
      <c r="F17" s="569">
        <f t="shared" si="14"/>
        <v>34998</v>
      </c>
      <c r="G17" s="160">
        <f t="shared" si="1"/>
        <v>0</v>
      </c>
      <c r="H17" s="569">
        <f t="shared" si="14"/>
        <v>126161</v>
      </c>
      <c r="I17" s="161">
        <f t="shared" si="2"/>
        <v>0</v>
      </c>
      <c r="J17" s="569">
        <f t="shared" si="14"/>
        <v>89121</v>
      </c>
      <c r="K17" s="162">
        <f t="shared" si="15"/>
        <v>0</v>
      </c>
      <c r="L17" s="304">
        <f t="shared" si="16"/>
        <v>0</v>
      </c>
      <c r="M17" s="304">
        <f t="shared" si="17"/>
        <v>0</v>
      </c>
      <c r="N17" s="304">
        <f t="shared" si="18"/>
        <v>0</v>
      </c>
      <c r="O17" s="304">
        <f t="shared" si="19"/>
        <v>44.94281764952553</v>
      </c>
      <c r="P17" s="305">
        <f t="shared" si="20"/>
        <v>44.94281764952553</v>
      </c>
      <c r="Q17" s="305">
        <f>SUM(-tanks!AX19*tanks!$AU$37)</f>
        <v>0</v>
      </c>
      <c r="R17" s="305">
        <f t="shared" si="21"/>
        <v>44.94281764952553</v>
      </c>
      <c r="S17" s="307">
        <f>SUM(ELEC!N16)</f>
        <v>0</v>
      </c>
      <c r="T17" s="344">
        <f t="shared" si="22"/>
        <v>0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9">
        <f t="shared" si="13"/>
        <v>250281</v>
      </c>
      <c r="C18" s="270">
        <f t="shared" si="0"/>
        <v>0</v>
      </c>
      <c r="D18" s="316">
        <f t="shared" si="7"/>
        <v>0</v>
      </c>
      <c r="E18" s="316">
        <f t="shared" si="11"/>
        <v>250281</v>
      </c>
      <c r="F18" s="569">
        <f t="shared" si="14"/>
        <v>34998</v>
      </c>
      <c r="G18" s="160">
        <f t="shared" si="1"/>
        <v>0</v>
      </c>
      <c r="H18" s="569">
        <f t="shared" si="14"/>
        <v>126161</v>
      </c>
      <c r="I18" s="161">
        <f t="shared" si="2"/>
        <v>0</v>
      </c>
      <c r="J18" s="569">
        <f t="shared" si="14"/>
        <v>89121</v>
      </c>
      <c r="K18" s="162">
        <f t="shared" si="3"/>
        <v>0</v>
      </c>
      <c r="L18" s="304">
        <f t="shared" ref="L18:L33" si="23">SUM(G18*$Y$28)/1507.5</f>
        <v>0</v>
      </c>
      <c r="M18" s="304">
        <f t="shared" ref="M18:M33" si="24">SUM(I18*$Y$27)/1507.5</f>
        <v>0</v>
      </c>
      <c r="N18" s="304">
        <f t="shared" ref="N18:N33" si="25">SUM(K18*$Y$26)/1507.5</f>
        <v>0</v>
      </c>
      <c r="O18" s="304">
        <f t="shared" ref="O18:O34" si="26">($AC$31/$A$39)/1507.5</f>
        <v>44.94281764952553</v>
      </c>
      <c r="P18" s="305">
        <f t="shared" si="9"/>
        <v>44.94281764952553</v>
      </c>
      <c r="Q18" s="305">
        <f>SUM(-tanks!AX20*tanks!$AU$37)</f>
        <v>0</v>
      </c>
      <c r="R18" s="305">
        <f t="shared" si="10"/>
        <v>44.94281764952553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9">
        <f t="shared" si="13"/>
        <v>250281</v>
      </c>
      <c r="C19" s="270">
        <f t="shared" si="0"/>
        <v>0</v>
      </c>
      <c r="D19" s="316">
        <f t="shared" si="7"/>
        <v>0</v>
      </c>
      <c r="E19" s="316">
        <f t="shared" si="11"/>
        <v>250281</v>
      </c>
      <c r="F19" s="569">
        <f t="shared" si="14"/>
        <v>34998</v>
      </c>
      <c r="G19" s="160">
        <f t="shared" si="1"/>
        <v>0</v>
      </c>
      <c r="H19" s="569">
        <f t="shared" si="14"/>
        <v>126161</v>
      </c>
      <c r="I19" s="161">
        <f t="shared" si="2"/>
        <v>0</v>
      </c>
      <c r="J19" s="569">
        <f t="shared" si="14"/>
        <v>89121</v>
      </c>
      <c r="K19" s="162">
        <f t="shared" si="3"/>
        <v>0</v>
      </c>
      <c r="L19" s="304">
        <f t="shared" si="23"/>
        <v>0</v>
      </c>
      <c r="M19" s="304">
        <f t="shared" si="24"/>
        <v>0</v>
      </c>
      <c r="N19" s="304">
        <f t="shared" si="25"/>
        <v>0</v>
      </c>
      <c r="O19" s="304">
        <f t="shared" si="26"/>
        <v>44.94281764952553</v>
      </c>
      <c r="P19" s="305">
        <f t="shared" si="9"/>
        <v>44.94281764952553</v>
      </c>
      <c r="Q19" s="305">
        <f>SUM(-tanks!AX21*tanks!$AU$37)</f>
        <v>0</v>
      </c>
      <c r="R19" s="305">
        <f t="shared" si="10"/>
        <v>44.94281764952553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9">
        <f t="shared" si="13"/>
        <v>250281</v>
      </c>
      <c r="C20" s="270">
        <f t="shared" si="0"/>
        <v>0</v>
      </c>
      <c r="D20" s="316">
        <f t="shared" si="7"/>
        <v>0</v>
      </c>
      <c r="E20" s="316">
        <f t="shared" si="11"/>
        <v>250281</v>
      </c>
      <c r="F20" s="569">
        <f t="shared" si="14"/>
        <v>34998</v>
      </c>
      <c r="G20" s="160">
        <f t="shared" si="1"/>
        <v>0</v>
      </c>
      <c r="H20" s="569">
        <f t="shared" si="14"/>
        <v>126161</v>
      </c>
      <c r="I20" s="161">
        <f t="shared" si="2"/>
        <v>0</v>
      </c>
      <c r="J20" s="569">
        <f t="shared" si="14"/>
        <v>89121</v>
      </c>
      <c r="K20" s="162">
        <f t="shared" si="3"/>
        <v>0</v>
      </c>
      <c r="L20" s="304">
        <f t="shared" si="23"/>
        <v>0</v>
      </c>
      <c r="M20" s="304">
        <f t="shared" si="24"/>
        <v>0</v>
      </c>
      <c r="N20" s="304">
        <f t="shared" si="25"/>
        <v>0</v>
      </c>
      <c r="O20" s="304">
        <f t="shared" si="26"/>
        <v>44.94281764952553</v>
      </c>
      <c r="P20" s="305">
        <f t="shared" si="9"/>
        <v>44.94281764952553</v>
      </c>
      <c r="Q20" s="305">
        <f>SUM(-tanks!AX22*tanks!$AU$37)</f>
        <v>0</v>
      </c>
      <c r="R20" s="305">
        <f t="shared" si="10"/>
        <v>44.94281764952553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44061</v>
      </c>
      <c r="B21" s="569">
        <f t="shared" si="13"/>
        <v>250281</v>
      </c>
      <c r="C21" s="270">
        <f t="shared" si="0"/>
        <v>0</v>
      </c>
      <c r="D21" s="316">
        <f t="shared" si="7"/>
        <v>0</v>
      </c>
      <c r="E21" s="316">
        <f t="shared" si="11"/>
        <v>250281</v>
      </c>
      <c r="F21" s="569">
        <f t="shared" si="14"/>
        <v>34998</v>
      </c>
      <c r="G21" s="160">
        <f t="shared" si="1"/>
        <v>0</v>
      </c>
      <c r="H21" s="569">
        <f t="shared" si="14"/>
        <v>126161</v>
      </c>
      <c r="I21" s="161">
        <f t="shared" si="2"/>
        <v>0</v>
      </c>
      <c r="J21" s="569">
        <f t="shared" si="14"/>
        <v>89121</v>
      </c>
      <c r="K21" s="162">
        <f t="shared" si="3"/>
        <v>0</v>
      </c>
      <c r="L21" s="304">
        <f t="shared" si="23"/>
        <v>0</v>
      </c>
      <c r="M21" s="304">
        <f t="shared" si="24"/>
        <v>0</v>
      </c>
      <c r="N21" s="304">
        <f t="shared" si="25"/>
        <v>0</v>
      </c>
      <c r="O21" s="304">
        <f t="shared" si="26"/>
        <v>44.94281764952553</v>
      </c>
      <c r="P21" s="305">
        <f t="shared" si="9"/>
        <v>44.94281764952553</v>
      </c>
      <c r="Q21" s="305">
        <f>SUM(-tanks!AX23*tanks!$AU$37)</f>
        <v>0</v>
      </c>
      <c r="R21" s="305">
        <f t="shared" si="10"/>
        <v>44.94281764952553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44062</v>
      </c>
      <c r="B22" s="569">
        <f t="shared" si="13"/>
        <v>250281</v>
      </c>
      <c r="C22" s="270">
        <f t="shared" si="0"/>
        <v>0</v>
      </c>
      <c r="D22" s="316">
        <f t="shared" si="7"/>
        <v>0</v>
      </c>
      <c r="E22" s="316">
        <f t="shared" si="11"/>
        <v>250281</v>
      </c>
      <c r="F22" s="569">
        <f t="shared" si="14"/>
        <v>34998</v>
      </c>
      <c r="G22" s="160">
        <f t="shared" si="1"/>
        <v>0</v>
      </c>
      <c r="H22" s="569">
        <f t="shared" si="14"/>
        <v>126161</v>
      </c>
      <c r="I22" s="161">
        <f t="shared" si="2"/>
        <v>0</v>
      </c>
      <c r="J22" s="569">
        <f t="shared" si="14"/>
        <v>89121</v>
      </c>
      <c r="K22" s="162">
        <f t="shared" si="3"/>
        <v>0</v>
      </c>
      <c r="L22" s="304">
        <f t="shared" si="23"/>
        <v>0</v>
      </c>
      <c r="M22" s="304">
        <f t="shared" si="24"/>
        <v>0</v>
      </c>
      <c r="N22" s="304">
        <f t="shared" si="25"/>
        <v>0</v>
      </c>
      <c r="O22" s="304">
        <f t="shared" si="26"/>
        <v>44.94281764952553</v>
      </c>
      <c r="P22" s="305">
        <f t="shared" si="9"/>
        <v>44.94281764952553</v>
      </c>
      <c r="Q22" s="305">
        <f>SUM(-tanks!AX24*tanks!$AU$37)</f>
        <v>0</v>
      </c>
      <c r="R22" s="305">
        <f t="shared" si="10"/>
        <v>44.94281764952553</v>
      </c>
      <c r="S22" s="307">
        <f>SUM(ELEC!N21)</f>
        <v>0</v>
      </c>
      <c r="T22" s="344">
        <f t="shared" si="12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44063</v>
      </c>
      <c r="B23" s="569">
        <f t="shared" si="13"/>
        <v>250281</v>
      </c>
      <c r="C23" s="270">
        <f t="shared" si="0"/>
        <v>0</v>
      </c>
      <c r="D23" s="316">
        <f t="shared" si="7"/>
        <v>0</v>
      </c>
      <c r="E23" s="316">
        <f t="shared" si="11"/>
        <v>250281</v>
      </c>
      <c r="F23" s="569">
        <f t="shared" si="14"/>
        <v>34998</v>
      </c>
      <c r="G23" s="160">
        <f t="shared" si="1"/>
        <v>0</v>
      </c>
      <c r="H23" s="569">
        <f t="shared" si="14"/>
        <v>126161</v>
      </c>
      <c r="I23" s="161">
        <f t="shared" si="2"/>
        <v>0</v>
      </c>
      <c r="J23" s="569">
        <f t="shared" si="14"/>
        <v>89121</v>
      </c>
      <c r="K23" s="162">
        <f t="shared" si="3"/>
        <v>0</v>
      </c>
      <c r="L23" s="304">
        <f t="shared" si="23"/>
        <v>0</v>
      </c>
      <c r="M23" s="304">
        <f t="shared" si="24"/>
        <v>0</v>
      </c>
      <c r="N23" s="304">
        <f t="shared" si="25"/>
        <v>0</v>
      </c>
      <c r="O23" s="304">
        <f t="shared" si="26"/>
        <v>44.94281764952553</v>
      </c>
      <c r="P23" s="305">
        <f t="shared" si="9"/>
        <v>44.94281764952553</v>
      </c>
      <c r="Q23" s="305">
        <f>SUM(-tanks!AX25*tanks!$AU$37)</f>
        <v>0</v>
      </c>
      <c r="R23" s="305">
        <f t="shared" si="10"/>
        <v>44.94281764952553</v>
      </c>
      <c r="S23" s="307">
        <f>SUM(ELEC!N22)</f>
        <v>0</v>
      </c>
      <c r="T23" s="344">
        <f t="shared" si="12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44064</v>
      </c>
      <c r="B24" s="569">
        <f t="shared" si="13"/>
        <v>250281</v>
      </c>
      <c r="C24" s="270">
        <f t="shared" si="0"/>
        <v>0</v>
      </c>
      <c r="D24" s="316">
        <f t="shared" si="7"/>
        <v>0</v>
      </c>
      <c r="E24" s="316">
        <f t="shared" si="11"/>
        <v>250281</v>
      </c>
      <c r="F24" s="569">
        <f t="shared" si="14"/>
        <v>34998</v>
      </c>
      <c r="G24" s="160">
        <f t="shared" si="1"/>
        <v>0</v>
      </c>
      <c r="H24" s="569">
        <f t="shared" si="14"/>
        <v>126161</v>
      </c>
      <c r="I24" s="161">
        <f t="shared" si="2"/>
        <v>0</v>
      </c>
      <c r="J24" s="569">
        <f t="shared" si="14"/>
        <v>89121</v>
      </c>
      <c r="K24" s="162">
        <f t="shared" si="3"/>
        <v>0</v>
      </c>
      <c r="L24" s="304">
        <f t="shared" si="23"/>
        <v>0</v>
      </c>
      <c r="M24" s="304">
        <f t="shared" si="24"/>
        <v>0</v>
      </c>
      <c r="N24" s="304">
        <f t="shared" si="25"/>
        <v>0</v>
      </c>
      <c r="O24" s="304">
        <f t="shared" si="26"/>
        <v>44.94281764952553</v>
      </c>
      <c r="P24" s="305">
        <f t="shared" si="9"/>
        <v>44.94281764952553</v>
      </c>
      <c r="Q24" s="305">
        <f>SUM(-tanks!AX26*tanks!$AU$37)</f>
        <v>0</v>
      </c>
      <c r="R24" s="305">
        <f t="shared" si="10"/>
        <v>44.94281764952553</v>
      </c>
      <c r="S24" s="307">
        <f>SUM(ELEC!N23)</f>
        <v>0</v>
      </c>
      <c r="T24" s="344">
        <f t="shared" si="12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44065</v>
      </c>
      <c r="B25" s="569">
        <f t="shared" si="13"/>
        <v>250281</v>
      </c>
      <c r="C25" s="270">
        <f t="shared" si="0"/>
        <v>0</v>
      </c>
      <c r="D25" s="316">
        <f t="shared" si="7"/>
        <v>0</v>
      </c>
      <c r="E25" s="316">
        <f t="shared" si="11"/>
        <v>250281</v>
      </c>
      <c r="F25" s="569">
        <f t="shared" si="14"/>
        <v>34998</v>
      </c>
      <c r="G25" s="160">
        <f t="shared" si="1"/>
        <v>0</v>
      </c>
      <c r="H25" s="569">
        <f t="shared" si="14"/>
        <v>126161</v>
      </c>
      <c r="I25" s="161">
        <f t="shared" si="2"/>
        <v>0</v>
      </c>
      <c r="J25" s="569">
        <f t="shared" si="14"/>
        <v>89121</v>
      </c>
      <c r="K25" s="162">
        <f t="shared" si="3"/>
        <v>0</v>
      </c>
      <c r="L25" s="304">
        <f t="shared" si="23"/>
        <v>0</v>
      </c>
      <c r="M25" s="304">
        <f t="shared" si="24"/>
        <v>0</v>
      </c>
      <c r="N25" s="304">
        <f t="shared" si="25"/>
        <v>0</v>
      </c>
      <c r="O25" s="304">
        <f t="shared" si="26"/>
        <v>44.94281764952553</v>
      </c>
      <c r="P25" s="305">
        <f t="shared" si="9"/>
        <v>44.94281764952553</v>
      </c>
      <c r="Q25" s="305">
        <f>SUM(-tanks!AX27*tanks!$AU$37)</f>
        <v>0</v>
      </c>
      <c r="R25" s="305">
        <f t="shared" si="10"/>
        <v>44.94281764952553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69">
        <f t="shared" si="13"/>
        <v>250281</v>
      </c>
      <c r="C26" s="270">
        <f t="shared" si="0"/>
        <v>0</v>
      </c>
      <c r="D26" s="316">
        <f t="shared" si="7"/>
        <v>0</v>
      </c>
      <c r="E26" s="316">
        <f t="shared" si="11"/>
        <v>250281</v>
      </c>
      <c r="F26" s="569">
        <f t="shared" si="14"/>
        <v>34998</v>
      </c>
      <c r="G26" s="160">
        <f t="shared" si="1"/>
        <v>0</v>
      </c>
      <c r="H26" s="569">
        <f t="shared" si="14"/>
        <v>126161</v>
      </c>
      <c r="I26" s="161">
        <f t="shared" si="2"/>
        <v>0</v>
      </c>
      <c r="J26" s="569">
        <f t="shared" si="14"/>
        <v>89121</v>
      </c>
      <c r="K26" s="162">
        <f t="shared" si="3"/>
        <v>0</v>
      </c>
      <c r="L26" s="304">
        <f t="shared" si="23"/>
        <v>0</v>
      </c>
      <c r="M26" s="304">
        <f t="shared" si="24"/>
        <v>0</v>
      </c>
      <c r="N26" s="304">
        <f t="shared" si="25"/>
        <v>0</v>
      </c>
      <c r="O26" s="304">
        <f t="shared" si="26"/>
        <v>44.94281764952553</v>
      </c>
      <c r="P26" s="305">
        <f t="shared" si="9"/>
        <v>44.94281764952553</v>
      </c>
      <c r="Q26" s="305">
        <f>SUM(-tanks!AX28*tanks!$AU$37)</f>
        <v>0</v>
      </c>
      <c r="R26" s="305">
        <f t="shared" si="10"/>
        <v>44.94281764952553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89121</v>
      </c>
      <c r="X26" s="172" t="s">
        <v>199</v>
      </c>
      <c r="Y26" s="172">
        <v>80</v>
      </c>
      <c r="Z26" s="172">
        <v>1</v>
      </c>
      <c r="AA26" s="199">
        <f>(W26-V26)*Z26</f>
        <v>13030</v>
      </c>
      <c r="AB26" s="199">
        <f>AA26*Y26</f>
        <v>1042400</v>
      </c>
      <c r="AC26" s="254">
        <f>AC9</f>
        <v>1033333</v>
      </c>
      <c r="AD26" s="215">
        <f>SUM(K38)</f>
        <v>0.29432359784057283</v>
      </c>
    </row>
    <row r="27" spans="1:32" ht="15.75" thickBot="1">
      <c r="A27" s="163">
        <f>ELEC!C26</f>
        <v>44067</v>
      </c>
      <c r="B27" s="569">
        <f t="shared" si="13"/>
        <v>250281</v>
      </c>
      <c r="C27" s="270">
        <f t="shared" si="0"/>
        <v>0</v>
      </c>
      <c r="D27" s="316">
        <f t="shared" si="7"/>
        <v>0</v>
      </c>
      <c r="E27" s="316">
        <f t="shared" si="11"/>
        <v>250281</v>
      </c>
      <c r="F27" s="569">
        <f t="shared" si="14"/>
        <v>34998</v>
      </c>
      <c r="G27" s="160">
        <f t="shared" si="1"/>
        <v>0</v>
      </c>
      <c r="H27" s="569">
        <f t="shared" si="14"/>
        <v>126161</v>
      </c>
      <c r="I27" s="161">
        <f t="shared" si="2"/>
        <v>0</v>
      </c>
      <c r="J27" s="569">
        <f t="shared" si="14"/>
        <v>89121</v>
      </c>
      <c r="K27" s="162">
        <f t="shared" si="3"/>
        <v>0</v>
      </c>
      <c r="L27" s="304">
        <f t="shared" si="23"/>
        <v>0</v>
      </c>
      <c r="M27" s="304">
        <f t="shared" si="24"/>
        <v>0</v>
      </c>
      <c r="N27" s="304">
        <f t="shared" si="25"/>
        <v>0</v>
      </c>
      <c r="O27" s="304">
        <f t="shared" si="26"/>
        <v>44.94281764952553</v>
      </c>
      <c r="P27" s="305">
        <f t="shared" si="9"/>
        <v>44.94281764952553</v>
      </c>
      <c r="Q27" s="305">
        <f>SUM(-tanks!AX29*tanks!$AU$37)</f>
        <v>0</v>
      </c>
      <c r="R27" s="305">
        <f t="shared" si="10"/>
        <v>44.94281764952553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126161</v>
      </c>
      <c r="X27" s="172" t="s">
        <v>213</v>
      </c>
      <c r="Y27" s="172">
        <v>112</v>
      </c>
      <c r="Z27" s="172">
        <v>1</v>
      </c>
      <c r="AA27" s="199">
        <f>(W27-V27)*Z27</f>
        <v>26292</v>
      </c>
      <c r="AB27" s="199">
        <f>SUM(AA27*Y27)</f>
        <v>2944704</v>
      </c>
      <c r="AC27" s="254">
        <f>AC10</f>
        <v>6200000</v>
      </c>
      <c r="AD27" s="215">
        <f>SUM(I38)</f>
        <v>0.59388764654062487</v>
      </c>
    </row>
    <row r="28" spans="1:32" ht="15.75" thickBot="1">
      <c r="A28" s="163">
        <f>ELEC!C27</f>
        <v>44068</v>
      </c>
      <c r="B28" s="569">
        <f t="shared" si="13"/>
        <v>250281</v>
      </c>
      <c r="C28" s="270">
        <f t="shared" si="0"/>
        <v>0</v>
      </c>
      <c r="D28" s="316">
        <f t="shared" si="7"/>
        <v>0</v>
      </c>
      <c r="E28" s="316">
        <f t="shared" si="11"/>
        <v>250281</v>
      </c>
      <c r="F28" s="569">
        <f t="shared" si="14"/>
        <v>34998</v>
      </c>
      <c r="G28" s="160">
        <f t="shared" si="1"/>
        <v>0</v>
      </c>
      <c r="H28" s="569">
        <f t="shared" si="14"/>
        <v>126161</v>
      </c>
      <c r="I28" s="161">
        <f t="shared" si="2"/>
        <v>0</v>
      </c>
      <c r="J28" s="569">
        <f t="shared" si="14"/>
        <v>89121</v>
      </c>
      <c r="K28" s="162">
        <f t="shared" si="3"/>
        <v>0</v>
      </c>
      <c r="L28" s="304">
        <f t="shared" si="23"/>
        <v>0</v>
      </c>
      <c r="M28" s="304">
        <f t="shared" si="24"/>
        <v>0</v>
      </c>
      <c r="N28" s="304">
        <f t="shared" si="25"/>
        <v>0</v>
      </c>
      <c r="O28" s="304">
        <f t="shared" si="26"/>
        <v>44.94281764952553</v>
      </c>
      <c r="P28" s="305">
        <f t="shared" si="9"/>
        <v>44.94281764952553</v>
      </c>
      <c r="Q28" s="305">
        <f>SUM(-tanks!AX30*tanks!$AU$37)</f>
        <v>0</v>
      </c>
      <c r="R28" s="305">
        <f t="shared" si="10"/>
        <v>44.94281764952553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34998</v>
      </c>
      <c r="X28" s="172" t="s">
        <v>197</v>
      </c>
      <c r="Y28" s="172">
        <v>320</v>
      </c>
      <c r="Z28" s="172">
        <v>1</v>
      </c>
      <c r="AA28" s="199">
        <f>(W28-V28)*Z28</f>
        <v>4947</v>
      </c>
      <c r="AB28" s="199">
        <f>SUM(AA28*Y28)</f>
        <v>1583040</v>
      </c>
      <c r="AC28" s="254">
        <f>AC11</f>
        <v>1000</v>
      </c>
      <c r="AD28" s="215">
        <f>SUM(G38)</f>
        <v>0.11174357931828961</v>
      </c>
      <c r="AE28" s="40">
        <f>SUM(AB28*5%)</f>
        <v>79152</v>
      </c>
      <c r="AF28" s="82">
        <f>SUM(AE28/7)*31</f>
        <v>350530.28571428568</v>
      </c>
    </row>
    <row r="29" spans="1:32" ht="15.75" thickBot="1">
      <c r="A29" s="163">
        <f>ELEC!C28</f>
        <v>44069</v>
      </c>
      <c r="B29" s="569">
        <f t="shared" si="13"/>
        <v>250281</v>
      </c>
      <c r="C29" s="270">
        <f t="shared" si="0"/>
        <v>0</v>
      </c>
      <c r="D29" s="316">
        <f t="shared" si="7"/>
        <v>0</v>
      </c>
      <c r="E29" s="316">
        <f t="shared" si="11"/>
        <v>250281</v>
      </c>
      <c r="F29" s="569">
        <f t="shared" si="14"/>
        <v>34998</v>
      </c>
      <c r="G29" s="160">
        <f t="shared" si="1"/>
        <v>0</v>
      </c>
      <c r="H29" s="569">
        <f t="shared" si="14"/>
        <v>126161</v>
      </c>
      <c r="I29" s="161">
        <f t="shared" si="2"/>
        <v>0</v>
      </c>
      <c r="J29" s="569">
        <f t="shared" si="14"/>
        <v>89121</v>
      </c>
      <c r="K29" s="162">
        <f t="shared" si="3"/>
        <v>0</v>
      </c>
      <c r="L29" s="304">
        <f t="shared" si="23"/>
        <v>0</v>
      </c>
      <c r="M29" s="304">
        <f t="shared" si="24"/>
        <v>0</v>
      </c>
      <c r="N29" s="304">
        <f t="shared" si="25"/>
        <v>0</v>
      </c>
      <c r="O29" s="304">
        <f t="shared" si="26"/>
        <v>44.94281764952553</v>
      </c>
      <c r="P29" s="305">
        <f t="shared" si="9"/>
        <v>44.94281764952553</v>
      </c>
      <c r="Q29" s="305">
        <f>SUM(-tanks!AX31*tanks!$AU$37)</f>
        <v>0</v>
      </c>
      <c r="R29" s="305">
        <f t="shared" si="10"/>
        <v>44.94281764952553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44269</v>
      </c>
      <c r="AB29" s="199"/>
      <c r="AC29" s="254"/>
    </row>
    <row r="30" spans="1:32" ht="14.25" customHeight="1" thickBot="1">
      <c r="A30" s="163">
        <f>ELEC!C29</f>
        <v>44070</v>
      </c>
      <c r="B30" s="569">
        <f t="shared" si="13"/>
        <v>250281</v>
      </c>
      <c r="C30" s="270">
        <f t="shared" si="0"/>
        <v>0</v>
      </c>
      <c r="D30" s="316">
        <f t="shared" si="7"/>
        <v>0</v>
      </c>
      <c r="E30" s="316">
        <f t="shared" si="11"/>
        <v>250281</v>
      </c>
      <c r="F30" s="569">
        <f t="shared" si="14"/>
        <v>34998</v>
      </c>
      <c r="G30" s="160">
        <f t="shared" si="1"/>
        <v>0</v>
      </c>
      <c r="H30" s="569">
        <f t="shared" si="14"/>
        <v>126161</v>
      </c>
      <c r="I30" s="161">
        <f t="shared" si="2"/>
        <v>0</v>
      </c>
      <c r="J30" s="569">
        <f t="shared" si="14"/>
        <v>89121</v>
      </c>
      <c r="K30" s="162">
        <f t="shared" si="3"/>
        <v>0</v>
      </c>
      <c r="L30" s="304">
        <f t="shared" si="23"/>
        <v>0</v>
      </c>
      <c r="M30" s="304">
        <f t="shared" si="24"/>
        <v>0</v>
      </c>
      <c r="N30" s="304">
        <f t="shared" si="25"/>
        <v>0</v>
      </c>
      <c r="O30" s="304">
        <f t="shared" si="26"/>
        <v>44.94281764952553</v>
      </c>
      <c r="P30" s="305">
        <f t="shared" si="9"/>
        <v>44.94281764952553</v>
      </c>
      <c r="Q30" s="305">
        <f>SUM(-tanks!AX32*tanks!$AU$37)</f>
        <v>0</v>
      </c>
      <c r="R30" s="305">
        <f t="shared" si="10"/>
        <v>44.94281764952553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0.1282625</v>
      </c>
      <c r="X30" s="220"/>
      <c r="Y30" s="221" t="s">
        <v>332</v>
      </c>
      <c r="Z30" s="3"/>
      <c r="AA30" s="293"/>
      <c r="AB30" s="199">
        <f>SUM(AB26:AB29)</f>
        <v>5570144</v>
      </c>
      <c r="AC30" s="254">
        <f>SUM(AC26:AC29)/A39*A37</f>
        <v>2100290.2258064519</v>
      </c>
    </row>
    <row r="31" spans="1:32" ht="15.75" thickBot="1">
      <c r="A31" s="163">
        <f>ELEC!C30</f>
        <v>44071</v>
      </c>
      <c r="B31" s="569">
        <f t="shared" si="13"/>
        <v>250281</v>
      </c>
      <c r="C31" s="270">
        <f t="shared" si="0"/>
        <v>0</v>
      </c>
      <c r="D31" s="316">
        <f t="shared" si="7"/>
        <v>0</v>
      </c>
      <c r="E31" s="316">
        <f t="shared" si="11"/>
        <v>250281</v>
      </c>
      <c r="F31" s="569">
        <f t="shared" si="14"/>
        <v>34998</v>
      </c>
      <c r="G31" s="160">
        <f t="shared" si="1"/>
        <v>0</v>
      </c>
      <c r="H31" s="569">
        <f t="shared" si="14"/>
        <v>126161</v>
      </c>
      <c r="I31" s="161">
        <f t="shared" si="2"/>
        <v>0</v>
      </c>
      <c r="J31" s="569">
        <f t="shared" si="14"/>
        <v>89121</v>
      </c>
      <c r="K31" s="162">
        <f t="shared" si="3"/>
        <v>0</v>
      </c>
      <c r="L31" s="304">
        <f t="shared" si="23"/>
        <v>0</v>
      </c>
      <c r="M31" s="304">
        <f t="shared" si="24"/>
        <v>0</v>
      </c>
      <c r="N31" s="304">
        <f t="shared" si="25"/>
        <v>0</v>
      </c>
      <c r="O31" s="304">
        <f t="shared" si="26"/>
        <v>44.94281764952553</v>
      </c>
      <c r="P31" s="305">
        <f t="shared" si="9"/>
        <v>44.94281764952553</v>
      </c>
      <c r="Q31" s="305">
        <f>SUM(-tanks!AX33*tanks!$AU$37)</f>
        <v>0</v>
      </c>
      <c r="R31" s="305">
        <f t="shared" si="10"/>
        <v>44.94281764952553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93</v>
      </c>
      <c r="X31" s="225">
        <f>SUM(W31/A37)</f>
        <v>10.333333333333334</v>
      </c>
      <c r="Y31" s="266">
        <f>SUM(X31/2)</f>
        <v>5.166666666666667</v>
      </c>
      <c r="Z31" s="3"/>
      <c r="AA31" s="3"/>
      <c r="AB31" s="573">
        <f>SUM(AB30+AC31)</f>
        <v>7670434.2258064523</v>
      </c>
      <c r="AC31" s="254">
        <f>SUM(AC30)</f>
        <v>2100290.2258064519</v>
      </c>
    </row>
    <row r="32" spans="1:32" ht="15.75" thickBot="1">
      <c r="A32" s="163">
        <f>ELEC!C31</f>
        <v>44072</v>
      </c>
      <c r="B32" s="569">
        <f t="shared" si="13"/>
        <v>250281</v>
      </c>
      <c r="C32" s="270">
        <f t="shared" si="0"/>
        <v>0</v>
      </c>
      <c r="D32" s="316">
        <f t="shared" si="7"/>
        <v>0</v>
      </c>
      <c r="E32" s="316">
        <f t="shared" si="11"/>
        <v>250281</v>
      </c>
      <c r="F32" s="569">
        <f t="shared" si="14"/>
        <v>34998</v>
      </c>
      <c r="G32" s="160">
        <f t="shared" si="1"/>
        <v>0</v>
      </c>
      <c r="H32" s="569">
        <f t="shared" si="14"/>
        <v>126161</v>
      </c>
      <c r="I32" s="161">
        <f t="shared" si="2"/>
        <v>0</v>
      </c>
      <c r="J32" s="569">
        <f t="shared" si="14"/>
        <v>89121</v>
      </c>
      <c r="K32" s="162">
        <f t="shared" si="3"/>
        <v>0</v>
      </c>
      <c r="L32" s="304">
        <f t="shared" si="23"/>
        <v>0</v>
      </c>
      <c r="M32" s="304">
        <f t="shared" si="24"/>
        <v>0</v>
      </c>
      <c r="N32" s="304">
        <f t="shared" si="25"/>
        <v>0</v>
      </c>
      <c r="O32" s="304">
        <f t="shared" si="26"/>
        <v>44.94281764952553</v>
      </c>
      <c r="P32" s="305">
        <f t="shared" si="9"/>
        <v>44.94281764952553</v>
      </c>
      <c r="Q32" s="305">
        <f>SUM(-tanks!AX34*tanks!$AU$37)</f>
        <v>0</v>
      </c>
      <c r="R32" s="305">
        <f t="shared" si="10"/>
        <v>44.94281764952553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-420.90000000000015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9">
        <f t="shared" si="13"/>
        <v>250281</v>
      </c>
      <c r="C33" s="270">
        <f t="shared" si="0"/>
        <v>0</v>
      </c>
      <c r="D33" s="316">
        <f t="shared" si="7"/>
        <v>0</v>
      </c>
      <c r="E33" s="316">
        <f t="shared" si="11"/>
        <v>250281</v>
      </c>
      <c r="F33" s="569">
        <f t="shared" si="14"/>
        <v>34998</v>
      </c>
      <c r="G33" s="160">
        <f>F33-F32</f>
        <v>0</v>
      </c>
      <c r="H33" s="569">
        <f t="shared" si="14"/>
        <v>126161</v>
      </c>
      <c r="I33" s="161">
        <f t="shared" si="2"/>
        <v>0</v>
      </c>
      <c r="J33" s="569">
        <f t="shared" si="14"/>
        <v>89121</v>
      </c>
      <c r="K33" s="162">
        <f t="shared" si="3"/>
        <v>0</v>
      </c>
      <c r="L33" s="304">
        <f t="shared" si="23"/>
        <v>0</v>
      </c>
      <c r="M33" s="304">
        <f t="shared" si="24"/>
        <v>0</v>
      </c>
      <c r="N33" s="304">
        <f t="shared" si="25"/>
        <v>0</v>
      </c>
      <c r="O33" s="304">
        <f t="shared" si="26"/>
        <v>44.94281764952553</v>
      </c>
      <c r="P33" s="305">
        <f>SUM(L33:O33)</f>
        <v>44.94281764952553</v>
      </c>
      <c r="Q33" s="305">
        <f>SUM(-tanks!AX35*tanks!$AU$37)</f>
        <v>0</v>
      </c>
      <c r="R33" s="305">
        <f>SUM(P33:Q33)</f>
        <v>44.94281764952553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80.100000000000009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9">
        <f t="shared" si="13"/>
        <v>250281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250281</v>
      </c>
      <c r="F34" s="569">
        <f t="shared" si="14"/>
        <v>34998</v>
      </c>
      <c r="G34" s="160">
        <f>F34-F33</f>
        <v>0</v>
      </c>
      <c r="H34" s="569">
        <f t="shared" si="14"/>
        <v>126161</v>
      </c>
      <c r="I34" s="161">
        <f t="shared" ref="I34" si="29">H34-H33</f>
        <v>0</v>
      </c>
      <c r="J34" s="569">
        <f t="shared" si="14"/>
        <v>89121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6"/>
        <v>44.94281764952553</v>
      </c>
      <c r="P34" s="305">
        <f>SUM(L34:O34)</f>
        <v>44.94281764952553</v>
      </c>
      <c r="Q34" s="305">
        <f>SUM(-tanks!AX36*tanks!$AU$37)</f>
        <v>0</v>
      </c>
      <c r="R34" s="305">
        <f>SUM(P34:Q34)</f>
        <v>44.94281764952553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9"/>
      <c r="B35" s="560"/>
      <c r="C35" s="561"/>
      <c r="D35" s="560"/>
      <c r="E35" s="560"/>
      <c r="F35" s="560"/>
      <c r="G35" s="560"/>
      <c r="H35" s="560"/>
      <c r="I35" s="560"/>
      <c r="J35" s="560"/>
      <c r="K35" s="560"/>
      <c r="L35" s="562"/>
      <c r="M35" s="562"/>
      <c r="N35" s="562"/>
      <c r="O35" s="562"/>
      <c r="P35" s="563"/>
      <c r="Q35" s="563"/>
      <c r="R35" s="563"/>
      <c r="S35" s="564"/>
      <c r="T35" s="565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9"/>
      <c r="B36" s="560"/>
      <c r="C36" s="561"/>
      <c r="D36" s="561"/>
      <c r="E36" s="561"/>
      <c r="F36" s="560"/>
      <c r="G36" s="560"/>
      <c r="H36" s="560"/>
      <c r="I36" s="560"/>
      <c r="J36" s="560"/>
      <c r="K36" s="566"/>
      <c r="L36" s="563"/>
      <c r="M36" s="563"/>
      <c r="N36" s="563"/>
      <c r="O36" s="563"/>
      <c r="P36" s="564"/>
      <c r="Q36" s="564"/>
      <c r="R36" s="564"/>
      <c r="S36" s="564"/>
      <c r="T36" s="565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843747.76483870973</v>
      </c>
      <c r="AC36" s="286"/>
    </row>
    <row r="37" spans="1:32" ht="15.75" thickBot="1">
      <c r="A37" s="558">
        <f>A39-COUNTIF(C4:C35,0)</f>
        <v>9</v>
      </c>
      <c r="C37" s="176">
        <f>SUM(C4:C35)/A37</f>
        <v>4919</v>
      </c>
      <c r="D37" s="176"/>
      <c r="E37" s="176"/>
      <c r="G37" s="176">
        <f>SUM(G4:G35)/A37</f>
        <v>549.66666666666663</v>
      </c>
      <c r="I37" s="176">
        <f>SUM(I4:I35)/A37</f>
        <v>2921.3333333333335</v>
      </c>
      <c r="K37" s="176">
        <f>SUM(K4:K36)/A37</f>
        <v>1447.7777777777778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8514181.9906451628</v>
      </c>
      <c r="AC37" s="286"/>
    </row>
    <row r="38" spans="1:32" ht="15.75" thickBot="1">
      <c r="A38" s="213"/>
      <c r="C38" s="215">
        <f>SUM(G38:K38)</f>
        <v>0.99995482369948729</v>
      </c>
      <c r="G38" s="228">
        <f>IF(C37&gt;0,G37/C37,0)</f>
        <v>0.11174357931828961</v>
      </c>
      <c r="H38" s="215"/>
      <c r="I38" s="228">
        <f>SUM(I37/C37)</f>
        <v>0.59388764654062487</v>
      </c>
      <c r="J38" s="215"/>
      <c r="K38" s="228">
        <f>SUM(K37/C37)</f>
        <v>0.29432359784057283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5088.1819076659713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1393.2273471352914</v>
      </c>
      <c r="Z40" s="40"/>
      <c r="AA40" s="300" t="s">
        <v>215</v>
      </c>
      <c r="AB40" s="301">
        <f>SUM(AB38)</f>
        <v>5088.1819076659713</v>
      </c>
    </row>
    <row r="41" spans="1:32">
      <c r="V41" s="220"/>
      <c r="W41" s="82">
        <f>(AB30+AB56)/1507.5</f>
        <v>3694.9545605306798</v>
      </c>
      <c r="X41" s="574"/>
      <c r="Z41" s="302">
        <f>SUM(AB40)</f>
        <v>5088.1819076659713</v>
      </c>
      <c r="AA41" s="301"/>
      <c r="AB41" s="301"/>
    </row>
    <row r="42" spans="1:32">
      <c r="V42" s="17"/>
      <c r="W42" s="82">
        <f>SUM(W40:W41)</f>
        <v>5088.1819076659713</v>
      </c>
      <c r="X42" s="574"/>
      <c r="Y42" s="82"/>
      <c r="Z42" s="302">
        <f>SUM(-tanks!AX37)*tanks!AU37</f>
        <v>9671.761129032262</v>
      </c>
      <c r="AA42" s="101">
        <f>SUM(AB31/A37)</f>
        <v>852270.46953405021</v>
      </c>
      <c r="AB42" s="358">
        <f>SUM(AA42*A39)</f>
        <v>26420384.555555556</v>
      </c>
    </row>
    <row r="43" spans="1:32" ht="18.75">
      <c r="W43" s="82">
        <f>(AB30+AB56)/1507.5</f>
        <v>3694.9545605306798</v>
      </c>
      <c r="Z43" s="282">
        <f>SUM(Z41:Z42)</f>
        <v>14759.943036698234</v>
      </c>
      <c r="AA43" s="301">
        <f>SUM(AA42/1507.5)</f>
        <v>565.35354529621907</v>
      </c>
      <c r="AB43" s="357">
        <f>SUM(AB42/1507.5)</f>
        <v>17525.95990418279</v>
      </c>
    </row>
    <row r="44" spans="1:32">
      <c r="D44" s="534"/>
      <c r="E44" s="534"/>
      <c r="F44" s="534"/>
      <c r="W44" s="82">
        <f>SUM(W42:W43)</f>
        <v>8783.1364681966515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1"/>
      <c r="W47" s="582"/>
      <c r="X47" s="17"/>
      <c r="Y47" s="17"/>
      <c r="Z47" s="583"/>
      <c r="AA47" s="17"/>
      <c r="AB47" s="677"/>
      <c r="AC47" s="677"/>
      <c r="AD47" s="17"/>
      <c r="AE47" s="17"/>
      <c r="AF47" s="17"/>
    </row>
    <row r="48" spans="1:32">
      <c r="V48" s="677"/>
      <c r="W48" s="677"/>
      <c r="X48" s="677"/>
      <c r="Y48" s="677"/>
      <c r="Z48" s="583"/>
      <c r="AA48" s="583"/>
      <c r="AB48" s="677"/>
      <c r="AC48" s="677"/>
      <c r="AD48" s="17"/>
      <c r="AE48" s="17"/>
      <c r="AF48" s="17"/>
    </row>
    <row r="49" spans="22:32">
      <c r="V49" s="677"/>
      <c r="W49" s="677"/>
      <c r="X49" s="677"/>
      <c r="Y49" s="677"/>
      <c r="Z49" s="677"/>
      <c r="AA49" s="677"/>
      <c r="AB49" s="677"/>
      <c r="AC49" s="677"/>
      <c r="AD49" s="17"/>
      <c r="AE49" s="17"/>
      <c r="AF49" s="17"/>
    </row>
    <row r="50" spans="22:32">
      <c r="V50" s="678"/>
      <c r="W50" s="678"/>
      <c r="X50" s="679"/>
      <c r="Y50" s="679"/>
      <c r="Z50" s="679"/>
      <c r="AA50" s="584"/>
      <c r="AB50" s="677"/>
      <c r="AC50" s="677"/>
      <c r="AD50" s="17"/>
      <c r="AE50" s="17"/>
      <c r="AF50" s="17"/>
    </row>
    <row r="51" spans="22:32">
      <c r="V51" s="581"/>
      <c r="W51" s="581"/>
      <c r="X51" s="581"/>
      <c r="Y51" s="581"/>
      <c r="Z51" s="581"/>
      <c r="AA51" s="581"/>
      <c r="AB51" s="581"/>
      <c r="AC51" s="585"/>
      <c r="AD51" s="17"/>
      <c r="AE51" s="17"/>
      <c r="AF51" s="17"/>
    </row>
    <row r="52" spans="22:32">
      <c r="V52" s="584"/>
      <c r="W52" s="584"/>
      <c r="X52" s="586"/>
      <c r="Y52" s="586"/>
      <c r="Z52" s="586"/>
      <c r="AA52" s="73"/>
      <c r="AB52" s="73"/>
      <c r="AC52" s="73"/>
      <c r="AD52" s="587"/>
      <c r="AE52" s="17"/>
      <c r="AF52" s="17"/>
    </row>
    <row r="53" spans="22:32">
      <c r="V53" s="584"/>
      <c r="W53" s="584"/>
      <c r="X53" s="586"/>
      <c r="Y53" s="586"/>
      <c r="Z53" s="586"/>
      <c r="AA53" s="73"/>
      <c r="AB53" s="73"/>
      <c r="AC53" s="73"/>
      <c r="AD53" s="587"/>
      <c r="AE53" s="17"/>
      <c r="AF53" s="17"/>
    </row>
    <row r="54" spans="22:32">
      <c r="V54" s="584"/>
      <c r="W54" s="584"/>
      <c r="X54" s="586"/>
      <c r="Y54" s="586"/>
      <c r="Z54" s="586"/>
      <c r="AA54" s="73"/>
      <c r="AB54" s="73"/>
      <c r="AC54" s="73"/>
      <c r="AD54" s="587"/>
      <c r="AE54" s="588"/>
      <c r="AF54" s="58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2"/>
      <c r="AB61" s="593"/>
      <c r="AC61" s="594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5"/>
      <c r="AB62" s="593"/>
      <c r="AC62" s="59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93"/>
      <c r="AC63" s="59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6"/>
      <c r="AC64" s="17"/>
      <c r="AD64" s="17"/>
      <c r="AE64" s="17"/>
      <c r="AF64" s="17"/>
    </row>
    <row r="65" spans="22:32">
      <c r="V65" s="220"/>
      <c r="W65" s="589"/>
      <c r="X65" s="17"/>
      <c r="Y65" s="17"/>
      <c r="Z65" s="588"/>
      <c r="AA65" s="597"/>
      <c r="AB65" s="586"/>
      <c r="AC65" s="17"/>
      <c r="AD65" s="17"/>
      <c r="AE65" s="17"/>
      <c r="AF65" s="17"/>
    </row>
    <row r="66" spans="22:32">
      <c r="V66" s="220"/>
      <c r="W66" s="589"/>
      <c r="X66" s="17"/>
      <c r="Y66" s="17"/>
      <c r="Z66" s="433"/>
      <c r="AA66" s="586"/>
      <c r="AB66" s="586"/>
      <c r="AC66" s="17"/>
      <c r="AD66" s="17"/>
      <c r="AE66" s="17"/>
      <c r="AF66" s="17"/>
    </row>
    <row r="67" spans="22:32">
      <c r="V67" s="17"/>
      <c r="W67" s="589"/>
      <c r="X67" s="17"/>
      <c r="Y67" s="589"/>
      <c r="Z67" s="433"/>
      <c r="AA67" s="586"/>
      <c r="AB67" s="598"/>
      <c r="AC67" s="17"/>
      <c r="AD67" s="17"/>
      <c r="AE67" s="17"/>
      <c r="AF67" s="17"/>
    </row>
    <row r="68" spans="22:32" ht="18.75">
      <c r="V68" s="17"/>
      <c r="W68" s="589"/>
      <c r="X68" s="17"/>
      <c r="Y68" s="17"/>
      <c r="Z68" s="599"/>
      <c r="AA68" s="586"/>
      <c r="AB68" s="600"/>
      <c r="AC68" s="17"/>
      <c r="AD68" s="17"/>
      <c r="AE68" s="17"/>
      <c r="AF68" s="17"/>
    </row>
    <row r="69" spans="22:32">
      <c r="V69" s="17"/>
      <c r="W69" s="58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B9" sqref="B9:G1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320</v>
      </c>
      <c r="C1" s="693"/>
      <c r="D1" s="695"/>
      <c r="E1" s="692" t="s">
        <v>321</v>
      </c>
      <c r="F1" s="693"/>
      <c r="G1" s="694"/>
      <c r="H1" s="689" t="s">
        <v>326</v>
      </c>
      <c r="I1" s="686" t="s">
        <v>327</v>
      </c>
      <c r="J1" s="683" t="s">
        <v>43</v>
      </c>
    </row>
    <row r="2" spans="1:18" ht="38.25" thickBot="1">
      <c r="A2" s="681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0"/>
      <c r="I2" s="687"/>
      <c r="J2" s="684"/>
    </row>
    <row r="3" spans="1:18" ht="24" customHeight="1" thickBot="1">
      <c r="A3" s="682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1"/>
      <c r="I3" s="688"/>
      <c r="J3" s="685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8">
        <v>2.5</v>
      </c>
      <c r="C6" s="569">
        <v>7.8</v>
      </c>
      <c r="D6" s="570">
        <v>28</v>
      </c>
      <c r="E6" s="570">
        <v>2.5</v>
      </c>
      <c r="F6" s="570">
        <v>8</v>
      </c>
      <c r="G6" s="570">
        <v>35</v>
      </c>
      <c r="H6" s="570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7">
        <v>7.8</v>
      </c>
      <c r="D7" s="170">
        <v>28</v>
      </c>
      <c r="E7" s="170">
        <v>2</v>
      </c>
      <c r="F7" s="170">
        <v>8</v>
      </c>
      <c r="G7" s="170">
        <v>35</v>
      </c>
      <c r="H7" s="570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70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70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70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70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70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70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70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259"/>
      <c r="C15" s="555"/>
      <c r="D15" s="170"/>
      <c r="E15" s="170"/>
      <c r="F15" s="170"/>
      <c r="G15" s="170"/>
      <c r="H15" s="570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259"/>
      <c r="C16" s="556"/>
      <c r="D16" s="170"/>
      <c r="E16" s="170"/>
      <c r="F16" s="170"/>
      <c r="G16" s="170"/>
      <c r="H16" s="570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24"/>
      <c r="C17" s="575"/>
      <c r="D17" s="524"/>
      <c r="E17" s="524"/>
      <c r="F17" s="524"/>
      <c r="G17" s="524"/>
      <c r="H17" s="570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24"/>
      <c r="C18" s="524"/>
      <c r="D18" s="524"/>
      <c r="E18" s="524"/>
      <c r="F18" s="524"/>
      <c r="G18" s="524"/>
      <c r="H18" s="570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259"/>
      <c r="C19" s="576"/>
      <c r="D19" s="170"/>
      <c r="E19" s="170"/>
      <c r="F19" s="170"/>
      <c r="G19" s="170"/>
      <c r="H19" s="570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24"/>
      <c r="C20" s="524"/>
      <c r="D20" s="524"/>
      <c r="E20" s="524"/>
      <c r="F20" s="524"/>
      <c r="G20" s="524"/>
      <c r="H20" s="570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70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77"/>
      <c r="D22" s="170"/>
      <c r="E22" s="170"/>
      <c r="F22" s="170"/>
      <c r="G22" s="170"/>
      <c r="H22" s="570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70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70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70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70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70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78"/>
      <c r="D28" s="170"/>
      <c r="E28" s="170"/>
      <c r="F28" s="170"/>
      <c r="G28" s="170"/>
      <c r="H28" s="570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70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70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7"/>
      <c r="D31" s="170"/>
      <c r="E31" s="170"/>
      <c r="F31" s="170"/>
      <c r="G31" s="170"/>
      <c r="H31" s="570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70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70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70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70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70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411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-420.90000000000015</v>
      </c>
      <c r="AB17" s="278">
        <f>G81</f>
        <v>80.100000000000009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-828.7</v>
      </c>
      <c r="AB23" s="134">
        <f>SUM(AB10:AB22)</f>
        <v>729.79999999999984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0</v>
      </c>
      <c r="G56" s="278">
        <f>'General information '!C14</f>
        <v>0</v>
      </c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0</v>
      </c>
      <c r="G57" s="278">
        <f>'General information '!C15</f>
        <v>0</v>
      </c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0</v>
      </c>
      <c r="G58" s="278">
        <f>'General information '!C16</f>
        <v>0</v>
      </c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0</v>
      </c>
      <c r="G59" s="278">
        <f>'General information '!C17</f>
        <v>0</v>
      </c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0</v>
      </c>
      <c r="G60" s="278">
        <f>'General information '!C18</f>
        <v>0</v>
      </c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0</v>
      </c>
      <c r="G61" s="278">
        <f>'General information '!C19</f>
        <v>0</v>
      </c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0</v>
      </c>
      <c r="G62" s="278">
        <f>'General information '!C20</f>
        <v>0</v>
      </c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0</v>
      </c>
      <c r="G63" s="278">
        <f>'General information '!C21</f>
        <v>0</v>
      </c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0</v>
      </c>
      <c r="G64" s="278">
        <f>'General information '!C22</f>
        <v>0</v>
      </c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-420.90000000000015</v>
      </c>
      <c r="G81" s="119">
        <f>SUMIF(H48:H78,"&gt;0")</f>
        <v>80.100000000000009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-3073.0000000000005</v>
      </c>
      <c r="O86" s="142">
        <f>C43+G43+K43+O43+S43+W43+C81+G81+K81+O81+S81+W81</f>
        <v>707.79999999999984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9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19.977777777777778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2177.4193548387098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1776.1388888888891</v>
      </c>
      <c r="F8" s="195">
        <f>SUM(E8*F4)</f>
        <v>15985.250000000002</v>
      </c>
      <c r="G8" s="525">
        <f>E8*$F$4</f>
        <v>15985.250000000002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7670434.2258064523</v>
      </c>
      <c r="E10" s="185">
        <f>SUM(D10/D4/F4)</f>
        <v>565.35354529621907</v>
      </c>
      <c r="F10" s="185">
        <f>SUM(E10*F4)</f>
        <v>5088.1819076659713</v>
      </c>
      <c r="G10" s="525">
        <f>E10*$G$4</f>
        <v>17525.95990418279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2603.4056958338538</v>
      </c>
      <c r="F12" s="183">
        <f>SUM(F6:F10)</f>
        <v>23430.651262504682</v>
      </c>
      <c r="G12" s="182">
        <f>SUM(G6:G10)</f>
        <v>41191.009904182793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80.100000000000009</v>
      </c>
      <c r="C14" s="445">
        <f>'[9]Utility Cost '!C14</f>
        <v>151</v>
      </c>
      <c r="D14" s="170"/>
      <c r="E14" s="170">
        <f t="shared" ref="E14:E18" si="0">B14-C14</f>
        <v>-70.899999999999991</v>
      </c>
      <c r="F14" s="524">
        <v>0</v>
      </c>
      <c r="G14" s="433"/>
      <c r="H14" s="434">
        <f>SUM(G12-H12)</f>
        <v>-32310.690095817205</v>
      </c>
      <c r="I14" s="434">
        <f>SUM(G12-I12)</f>
        <v>-71808.990095817207</v>
      </c>
    </row>
    <row r="15" spans="1:11">
      <c r="A15" s="462" t="s">
        <v>303</v>
      </c>
      <c r="B15" s="97">
        <f>'Degree Days 2020'!AA17</f>
        <v>-420.90000000000015</v>
      </c>
      <c r="C15" s="445">
        <f>'[9]Utility Cost '!C15</f>
        <v>-18.3</v>
      </c>
      <c r="D15" s="170"/>
      <c r="E15" s="170">
        <f t="shared" si="0"/>
        <v>-402.60000000000014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603">
        <f>'General information '!D38</f>
        <v>25.166666666666668</v>
      </c>
      <c r="C16" s="445">
        <f>'[9]Utility Cost '!C16</f>
        <v>28.661290322580644</v>
      </c>
      <c r="D16" s="445"/>
      <c r="E16" s="446">
        <f t="shared" si="0"/>
        <v>-3.4946236559139763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0.1282625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-0.6959375000000001</v>
      </c>
      <c r="F17" s="542">
        <f>B17-D17</f>
        <v>-0.52323750000000002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93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-95.200000000000728</v>
      </c>
      <c r="F18" s="543">
        <f>B18-D18</f>
        <v>-205.16666666666669</v>
      </c>
    </row>
    <row r="19" spans="1:10">
      <c r="A19" s="537" t="s">
        <v>413</v>
      </c>
      <c r="B19" s="535">
        <f>SUM(B18/$F$4)</f>
        <v>10.333333333333334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2020-08-10T04:24:19Z</dcterms:modified>
</cp:coreProperties>
</file>