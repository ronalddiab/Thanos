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filterPrivacy="1"/>
  <xr:revisionPtr revIDLastSave="0" documentId="13_ncr:1_{F94C058A-91B1-4D81-B644-9BB1FCD8C120}" xr6:coauthVersionLast="46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OTAL" sheetId="4" r:id="rId1"/>
    <sheet name="Electricity" sheetId="1" r:id="rId2"/>
    <sheet name="Water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T13" i="3" l="1"/>
  <c r="AR13" i="3"/>
  <c r="AP13" i="3"/>
  <c r="AN13" i="3"/>
  <c r="AL13" i="3"/>
  <c r="AA13" i="3"/>
  <c r="Y13" i="3"/>
  <c r="W13" i="3"/>
  <c r="AB13" i="3" s="1"/>
  <c r="S13" i="3"/>
  <c r="Q13" i="3"/>
  <c r="O13" i="3"/>
  <c r="M13" i="3"/>
  <c r="K13" i="3"/>
  <c r="G13" i="3"/>
  <c r="E13" i="3"/>
  <c r="C13" i="3"/>
  <c r="AW40" i="3" l="1"/>
  <c r="AV39" i="3"/>
  <c r="AT39" i="3"/>
  <c r="AR39" i="3"/>
  <c r="AP39" i="3"/>
  <c r="AN39" i="3"/>
  <c r="AL39" i="3"/>
  <c r="AV38" i="3"/>
  <c r="AT38" i="3"/>
  <c r="AR38" i="3"/>
  <c r="AP38" i="3"/>
  <c r="AN38" i="3"/>
  <c r="AL38" i="3"/>
  <c r="AV37" i="3"/>
  <c r="AT37" i="3"/>
  <c r="AR37" i="3"/>
  <c r="AP37" i="3"/>
  <c r="AN37" i="3"/>
  <c r="AL37" i="3"/>
  <c r="AV36" i="3"/>
  <c r="AT36" i="3"/>
  <c r="AR36" i="3"/>
  <c r="AP36" i="3"/>
  <c r="AN36" i="3"/>
  <c r="AL36" i="3"/>
  <c r="AV35" i="3"/>
  <c r="AT35" i="3"/>
  <c r="AR35" i="3"/>
  <c r="AP35" i="3"/>
  <c r="AN35" i="3"/>
  <c r="AL35" i="3"/>
  <c r="AJ39" i="3"/>
  <c r="AH39" i="3"/>
  <c r="AJ38" i="3"/>
  <c r="AH38" i="3"/>
  <c r="AJ37" i="3"/>
  <c r="AH37" i="3"/>
  <c r="AJ36" i="3"/>
  <c r="AH36" i="3"/>
  <c r="AJ35" i="3"/>
  <c r="AH35" i="3"/>
  <c r="AD39" i="3"/>
  <c r="AA39" i="3"/>
  <c r="Y39" i="3"/>
  <c r="W39" i="3"/>
  <c r="AB39" i="3" s="1"/>
  <c r="AD38" i="3"/>
  <c r="AA38" i="3"/>
  <c r="Y38" i="3"/>
  <c r="W38" i="3"/>
  <c r="AB38" i="3" s="1"/>
  <c r="AD37" i="3"/>
  <c r="AB37" i="3"/>
  <c r="AA37" i="3"/>
  <c r="Y37" i="3"/>
  <c r="W37" i="3"/>
  <c r="AD36" i="3"/>
  <c r="AA36" i="3"/>
  <c r="Y36" i="3"/>
  <c r="W36" i="3"/>
  <c r="AB36" i="3" s="1"/>
  <c r="AD35" i="3"/>
  <c r="AA35" i="3"/>
  <c r="Y35" i="3"/>
  <c r="W35" i="3"/>
  <c r="AB35" i="3" s="1"/>
  <c r="U39" i="3"/>
  <c r="S39" i="3"/>
  <c r="Q39" i="3"/>
  <c r="O39" i="3"/>
  <c r="M39" i="3"/>
  <c r="K39" i="3"/>
  <c r="I39" i="3"/>
  <c r="G39" i="3"/>
  <c r="E39" i="3"/>
  <c r="C39" i="3"/>
  <c r="U38" i="3"/>
  <c r="S38" i="3"/>
  <c r="Q38" i="3"/>
  <c r="O38" i="3"/>
  <c r="M38" i="3"/>
  <c r="K38" i="3"/>
  <c r="I38" i="3"/>
  <c r="G38" i="3"/>
  <c r="E38" i="3"/>
  <c r="C38" i="3"/>
  <c r="U37" i="3"/>
  <c r="S37" i="3"/>
  <c r="Q37" i="3"/>
  <c r="O37" i="3"/>
  <c r="M37" i="3"/>
  <c r="K37" i="3"/>
  <c r="I37" i="3"/>
  <c r="G37" i="3"/>
  <c r="E37" i="3"/>
  <c r="C37" i="3"/>
  <c r="U36" i="3"/>
  <c r="S36" i="3"/>
  <c r="Q36" i="3"/>
  <c r="O36" i="3"/>
  <c r="M36" i="3"/>
  <c r="K36" i="3"/>
  <c r="I36" i="3"/>
  <c r="G36" i="3"/>
  <c r="E36" i="3"/>
  <c r="C36" i="3"/>
  <c r="U35" i="3"/>
  <c r="S35" i="3"/>
  <c r="Q35" i="3"/>
  <c r="O35" i="3"/>
  <c r="M35" i="3"/>
  <c r="K35" i="3"/>
  <c r="I35" i="3"/>
  <c r="G35" i="3"/>
  <c r="E35" i="3"/>
  <c r="C35" i="3"/>
  <c r="H37" i="1" l="1"/>
  <c r="G37" i="1"/>
  <c r="F37" i="1"/>
  <c r="I37" i="1" s="1"/>
  <c r="E37" i="1"/>
  <c r="J37" i="1" s="1"/>
  <c r="H36" i="1"/>
  <c r="G36" i="1"/>
  <c r="F36" i="1"/>
  <c r="I36" i="1" s="1"/>
  <c r="E36" i="1"/>
  <c r="J36" i="1" s="1"/>
  <c r="H35" i="1"/>
  <c r="G35" i="1"/>
  <c r="I35" i="1" s="1"/>
  <c r="F35" i="1"/>
  <c r="E35" i="1"/>
  <c r="J35" i="1" s="1"/>
  <c r="I34" i="1"/>
  <c r="H34" i="1"/>
  <c r="G34" i="1"/>
  <c r="F34" i="1"/>
  <c r="E34" i="1"/>
  <c r="J34" i="1" s="1"/>
  <c r="H33" i="1"/>
  <c r="G33" i="1"/>
  <c r="I33" i="1" s="1"/>
  <c r="F33" i="1"/>
  <c r="E33" i="1"/>
  <c r="J33" i="1" s="1"/>
  <c r="E32" i="4" l="1"/>
  <c r="F32" i="4"/>
  <c r="G32" i="4"/>
  <c r="I32" i="4"/>
  <c r="J32" i="4"/>
  <c r="K32" i="4"/>
  <c r="G2" i="4" l="1"/>
  <c r="G3" i="4"/>
  <c r="I15" i="4" l="1"/>
  <c r="I16" i="4"/>
  <c r="I17" i="4"/>
  <c r="J15" i="4"/>
  <c r="J16" i="4"/>
  <c r="I3" i="4" l="1"/>
  <c r="J3" i="4"/>
  <c r="K3" i="4"/>
  <c r="I4" i="4"/>
  <c r="J4" i="4"/>
  <c r="K4" i="4"/>
  <c r="I5" i="4"/>
  <c r="J5" i="4"/>
  <c r="K5" i="4"/>
  <c r="I6" i="4"/>
  <c r="J6" i="4"/>
  <c r="K6" i="4"/>
  <c r="I7" i="4"/>
  <c r="J7" i="4"/>
  <c r="K7" i="4"/>
  <c r="I8" i="4"/>
  <c r="J8" i="4"/>
  <c r="K8" i="4"/>
  <c r="I9" i="4"/>
  <c r="J9" i="4"/>
  <c r="K9" i="4"/>
  <c r="I10" i="4"/>
  <c r="J10" i="4"/>
  <c r="K10" i="4"/>
  <c r="I11" i="4"/>
  <c r="J11" i="4"/>
  <c r="K11" i="4"/>
  <c r="I12" i="4"/>
  <c r="J12" i="4"/>
  <c r="K12" i="4"/>
  <c r="I13" i="4"/>
  <c r="J13" i="4"/>
  <c r="K13" i="4"/>
  <c r="I14" i="4"/>
  <c r="J14" i="4"/>
  <c r="K14" i="4"/>
  <c r="K15" i="4"/>
  <c r="K16" i="4"/>
  <c r="J17" i="4"/>
  <c r="K17" i="4"/>
  <c r="I18" i="4"/>
  <c r="J18" i="4"/>
  <c r="K18" i="4"/>
  <c r="I19" i="4"/>
  <c r="J19" i="4"/>
  <c r="K19" i="4"/>
  <c r="I20" i="4"/>
  <c r="J20" i="4"/>
  <c r="K20" i="4"/>
  <c r="I21" i="4"/>
  <c r="J21" i="4"/>
  <c r="K21" i="4"/>
  <c r="I22" i="4"/>
  <c r="J22" i="4"/>
  <c r="K22" i="4"/>
  <c r="I23" i="4"/>
  <c r="J23" i="4"/>
  <c r="K23" i="4"/>
  <c r="I24" i="4"/>
  <c r="J24" i="4"/>
  <c r="K24" i="4"/>
  <c r="I25" i="4"/>
  <c r="J25" i="4"/>
  <c r="K25" i="4"/>
  <c r="I26" i="4"/>
  <c r="J26" i="4"/>
  <c r="K26" i="4"/>
  <c r="I27" i="4"/>
  <c r="J27" i="4"/>
  <c r="K27" i="4"/>
  <c r="I28" i="4"/>
  <c r="J28" i="4"/>
  <c r="K28" i="4"/>
  <c r="I29" i="4"/>
  <c r="J29" i="4"/>
  <c r="K29" i="4"/>
  <c r="I30" i="4"/>
  <c r="J30" i="4"/>
  <c r="K30" i="4"/>
  <c r="I31" i="4"/>
  <c r="J31" i="4"/>
  <c r="K31" i="4"/>
  <c r="K2" i="4"/>
  <c r="J2" i="4"/>
  <c r="I2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G31" i="4" l="1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I40" i="1" l="1"/>
  <c r="D39" i="1"/>
  <c r="C39" i="1"/>
  <c r="B39" i="1"/>
  <c r="E2" i="4"/>
  <c r="F10" i="4" l="1"/>
  <c r="G39" i="1"/>
  <c r="F2" i="4"/>
  <c r="E3" i="4"/>
  <c r="F3" i="4"/>
  <c r="E4" i="4"/>
  <c r="F4" i="4"/>
  <c r="E5" i="4"/>
  <c r="E6" i="4"/>
  <c r="F6" i="4"/>
  <c r="E7" i="4"/>
  <c r="F7" i="4"/>
  <c r="E8" i="4"/>
  <c r="F8" i="4"/>
  <c r="E9" i="4"/>
  <c r="E10" i="4"/>
  <c r="E11" i="4"/>
  <c r="F11" i="4"/>
  <c r="E12" i="4"/>
  <c r="F12" i="4"/>
  <c r="E13" i="4"/>
  <c r="E14" i="4"/>
  <c r="F14" i="4"/>
  <c r="E15" i="4"/>
  <c r="F15" i="4"/>
  <c r="E16" i="4"/>
  <c r="F16" i="4"/>
  <c r="E17" i="4"/>
  <c r="E18" i="4"/>
  <c r="F18" i="4"/>
  <c r="E19" i="4"/>
  <c r="F19" i="4"/>
  <c r="E20" i="4"/>
  <c r="E21" i="4"/>
  <c r="E22" i="4"/>
  <c r="E23" i="4"/>
  <c r="E24" i="4"/>
  <c r="F24" i="4"/>
  <c r="E25" i="4"/>
  <c r="E26" i="4"/>
  <c r="E27" i="4"/>
  <c r="E28" i="4"/>
  <c r="F28" i="4"/>
  <c r="E29" i="4"/>
  <c r="E30" i="4"/>
  <c r="E31" i="4"/>
  <c r="H39" i="1"/>
  <c r="F20" i="4"/>
  <c r="F21" i="4"/>
  <c r="F25" i="4"/>
  <c r="F29" i="4"/>
  <c r="E39" i="1"/>
  <c r="F5" i="4"/>
  <c r="F9" i="4"/>
  <c r="F13" i="4"/>
  <c r="F17" i="4"/>
  <c r="F22" i="4"/>
  <c r="F26" i="4"/>
  <c r="F30" i="4"/>
  <c r="F39" i="1"/>
  <c r="F23" i="4"/>
  <c r="F27" i="4"/>
  <c r="F31" i="4"/>
  <c r="J39" i="1" l="1"/>
  <c r="I43" i="1" s="1"/>
  <c r="I39" i="1"/>
  <c r="I42" i="1" s="1"/>
  <c r="I44" i="1" l="1"/>
  <c r="I45" i="1" s="1"/>
  <c r="I4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tc={3BF6D01B-5F03-4E64-9F64-6B5AB54E968B}</author>
    <author>tc={7B8DFAFF-6A10-47B8-B54F-88E4DF4FF45B}</author>
  </authors>
  <commentList>
    <comment ref="E31" authorId="0" shapeId="0" xr:uid="{3BF6D01B-5F03-4E64-9F64-6B5AB54E968B}">
      <text>
        <t>[Threaded comment]
Your version of Excel allows you to read this threaded comment; however, any edits to it will get removed if the file is opened in a newer version of Excel. Learn more: https://go.microsoft.com/fwlink/?linkid=870924
Comment:
    Meter not working</t>
      </text>
    </comment>
    <comment ref="E32" authorId="1" shapeId="0" xr:uid="{7B8DFAFF-6A10-47B8-B54F-88E4DF4FF45B}">
      <text>
        <t>[Threaded comment]
Your version of Excel allows you to read this threaded comment; however, any edits to it will get removed if the file is opened in a newer version of Excel. Learn more: https://go.microsoft.com/fwlink/?linkid=870924
Comment:
    Meter not working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tc={0EB79F21-46A3-4BC8-898E-FCE67DD1ABAB}</author>
  </authors>
  <commentList>
    <comment ref="M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 residence guest </t>
        </r>
      </text>
    </comment>
    <comment ref="N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incude outsider</t>
        </r>
      </text>
    </comment>
    <comment ref="F6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rate update on nov-2018</t>
        </r>
      </text>
    </comment>
    <comment ref="G6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rate update on nov-2018</t>
        </r>
      </text>
    </comment>
    <comment ref="H6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rate update on nov-2018</t>
        </r>
      </text>
    </comment>
    <comment ref="J6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basim
</t>
        </r>
      </text>
    </comment>
    <comment ref="E36" authorId="1" shapeId="0" xr:uid="{0EB79F21-46A3-4BC8-898E-FCE67DD1ABAB}">
      <text>
        <t>[Threaded comment]
Your version of Excel allows you to read this threaded comment; however, any edits to it will get removed if the file is opened in a newer version of Excel. Learn more: https://go.microsoft.com/fwlink/?linkid=870924
Comment:
    Meter not working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C7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change meter 26/5/18
</t>
        </r>
      </text>
    </comment>
    <comment ref="AI7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นำจะส่งไปใช้ 2ที่คือ สปากับอรายเวอร์ศาลาตั้งแต่ปากทางออกไปถึงถนนใหญ่</t>
        </r>
      </text>
    </comment>
  </commentList>
</comments>
</file>

<file path=xl/sharedStrings.xml><?xml version="1.0" encoding="utf-8"?>
<sst xmlns="http://schemas.openxmlformats.org/spreadsheetml/2006/main" count="425" uniqueCount="78">
  <si>
    <t>Site Name</t>
  </si>
  <si>
    <t>Day</t>
  </si>
  <si>
    <t>Month</t>
  </si>
  <si>
    <t>Year</t>
  </si>
  <si>
    <t>Total Electricity Kwh</t>
  </si>
  <si>
    <t>Electricity Tariff ($/Kwh)</t>
  </si>
  <si>
    <r>
      <t xml:space="preserve">Water Utility </t>
    </r>
    <r>
      <rPr>
        <b/>
        <sz val="11"/>
        <color rgb="FFFF0000"/>
        <rFont val="Calibri"/>
        <family val="2"/>
        <scheme val="minor"/>
      </rPr>
      <t>Supply</t>
    </r>
    <r>
      <rPr>
        <b/>
        <sz val="11"/>
        <color theme="1"/>
        <rFont val="Calibri"/>
        <family val="2"/>
        <scheme val="minor"/>
      </rPr>
      <t xml:space="preserve"> (m3) m3</t>
    </r>
  </si>
  <si>
    <t>Water Utility Supply (m3) $/m3</t>
  </si>
  <si>
    <t xml:space="preserve">Room Nights </t>
  </si>
  <si>
    <t>Total Guests</t>
  </si>
  <si>
    <t>Food Covers</t>
  </si>
  <si>
    <t>Koh Samui</t>
  </si>
  <si>
    <t>Power Distribution log Sheet</t>
  </si>
  <si>
    <t>Villa</t>
  </si>
  <si>
    <t xml:space="preserve">Date </t>
  </si>
  <si>
    <t>Kwh A</t>
  </si>
  <si>
    <t>Kwh B</t>
  </si>
  <si>
    <t>Kwh C</t>
  </si>
  <si>
    <t>Total</t>
  </si>
  <si>
    <t>Cost A</t>
  </si>
  <si>
    <t>Cost B</t>
  </si>
  <si>
    <t>Cost C</t>
  </si>
  <si>
    <t>Cost/Day</t>
  </si>
  <si>
    <t>FT.Cost</t>
  </si>
  <si>
    <t>Room Nights</t>
  </si>
  <si>
    <t>On Peak</t>
  </si>
  <si>
    <t>Off  Peak</t>
  </si>
  <si>
    <t>Holiday</t>
  </si>
  <si>
    <t>Kwh</t>
  </si>
  <si>
    <t xml:space="preserve"> -   </t>
  </si>
  <si>
    <t xml:space="preserve"> </t>
  </si>
  <si>
    <t>Peak Demand</t>
  </si>
  <si>
    <t xml:space="preserve">             Peak Demand</t>
  </si>
  <si>
    <t>Date</t>
  </si>
  <si>
    <t>Time</t>
  </si>
  <si>
    <t xml:space="preserve">Service  </t>
  </si>
  <si>
    <t xml:space="preserve">Electric Cost </t>
  </si>
  <si>
    <t>FT cost</t>
  </si>
  <si>
    <t>Baht</t>
  </si>
  <si>
    <t>Vat  7%</t>
  </si>
  <si>
    <t>***</t>
  </si>
  <si>
    <t>ค่า FT ที่ติดลบจะนำมาเป็นส่วนลดในการจ่ายค่าไฟ แต่ละเดือน ข้อมูลนี้ได้มาจากการไฟฟ้า สมุยแจ้งมา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</si>
  <si>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</si>
  <si>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Engineering Department</t>
  </si>
  <si>
    <t>Water Meter  Log Sheet Villas Zone</t>
  </si>
  <si>
    <t xml:space="preserve">Every Sunday HK Drain all Villas &amp; PA </t>
  </si>
  <si>
    <t>**new**</t>
  </si>
  <si>
    <t>old name coco rum</t>
  </si>
  <si>
    <t>Main Kit</t>
  </si>
  <si>
    <t>Unit</t>
  </si>
  <si>
    <t>Arrival sala</t>
  </si>
  <si>
    <t>Soi   100</t>
  </si>
  <si>
    <t>Soi 200</t>
  </si>
  <si>
    <t>Soi 300</t>
  </si>
  <si>
    <t>Soi 400</t>
  </si>
  <si>
    <t>Soi 500</t>
  </si>
  <si>
    <t>Soi 600</t>
  </si>
  <si>
    <t>Soi 700</t>
  </si>
  <si>
    <t xml:space="preserve">      Soi 800     3 room</t>
  </si>
  <si>
    <t>soi 900-901</t>
  </si>
  <si>
    <t>soi 902-907</t>
  </si>
  <si>
    <t xml:space="preserve">soi 908-910 Water supply from Soi 500 </t>
  </si>
  <si>
    <r>
      <t>All Soi Consumption M</t>
    </r>
    <r>
      <rPr>
        <b/>
        <vertAlign val="superscript"/>
        <sz val="10"/>
        <rFont val="Calibri"/>
        <family val="2"/>
        <scheme val="minor"/>
      </rPr>
      <t>3</t>
    </r>
  </si>
  <si>
    <t>Pla Pla</t>
  </si>
  <si>
    <t>Pla Pla2</t>
  </si>
  <si>
    <t xml:space="preserve">(Meter Tag Coco rum ) under CoCoRum for the Bar &amp; MP </t>
  </si>
  <si>
    <t>Spa</t>
  </si>
  <si>
    <t>Beach House &amp; kid club</t>
  </si>
  <si>
    <t xml:space="preserve"> GM Executive  Office </t>
  </si>
  <si>
    <t xml:space="preserve">Library Toilets </t>
  </si>
  <si>
    <t>Fitness</t>
  </si>
  <si>
    <t xml:space="preserve">Retail Shop Toielts </t>
  </si>
  <si>
    <t>Main Pool</t>
  </si>
  <si>
    <t xml:space="preserve">Total Villa Consumption </t>
  </si>
  <si>
    <t>Occ%</t>
  </si>
  <si>
    <t>Zero</t>
  </si>
  <si>
    <t>IXORA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</si>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</sst>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B1mmm\-yy"/>
    <numFmt numFmtId="165" formatCode="_-* #,##0.00_-;\-* #,##0.00_-;_-* &quot;-&quot;??_-;_-@_-"/>
    <numFmt numFmtId="166" formatCode="_-* #,##0.0000_-;\-* #,##0.0000_-;_-* &quot;-&quot;??_-;_-@_-"/>
    <numFmt numFmtId="167" formatCode="[$-1010409]d\ mmmm\ yyyy;@"/>
    <numFmt numFmtId="168" formatCode="_(* #,##0_);_(* \(#,##0\);_(* &quot;-&quot;??_);_(@_)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b/>
      <u/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sz val="10"/>
      <color theme="1"/>
      <name val="Verdana"/>
      <family val="2"/>
    </font>
    <font>
      <b/>
      <sz val="10"/>
      <color rgb="FF0000FF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FF"/>
      <name val="Calibri"/>
      <family val="2"/>
      <scheme val="minor"/>
    </font>
    <font>
      <sz val="11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9C6500"/>
      <name val="Arial"/>
      <family val="2"/>
    </font>
    <font>
      <sz val="10"/>
      <color rgb="FF9C0006"/>
      <name val="Arial"/>
      <family val="2"/>
    </font>
    <font>
      <sz val="10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75BA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B8CCE4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CCC0DA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  <xf numFmtId="0" fontId="2" fillId="0" borderId="0"/>
  </cellStyleXfs>
  <cellXfs count="202">
    <xf numFmtId="0" fontId="0" fillId="0" borderId="0" xfId="0"/>
    <xf numFmtId="0" fontId="3" fillId="0" borderId="0" xfId="2" applyFont="1"/>
    <xf numFmtId="0" fontId="5" fillId="0" borderId="0" xfId="2" applyFont="1" applyAlignment="1">
      <alignment horizontal="center"/>
    </xf>
    <xf numFmtId="0" fontId="3" fillId="5" borderId="2" xfId="2" applyFont="1" applyFill="1" applyBorder="1" applyAlignment="1">
      <alignment horizontal="center" vertical="center"/>
    </xf>
    <xf numFmtId="0" fontId="3" fillId="5" borderId="6" xfId="2" applyFont="1" applyFill="1" applyBorder="1" applyAlignment="1">
      <alignment horizontal="center" vertical="center"/>
    </xf>
    <xf numFmtId="0" fontId="3" fillId="4" borderId="10" xfId="2" applyFont="1" applyFill="1" applyBorder="1" applyAlignment="1">
      <alignment horizontal="center" vertical="center"/>
    </xf>
    <xf numFmtId="0" fontId="3" fillId="5" borderId="10" xfId="2" applyFont="1" applyFill="1" applyBorder="1" applyAlignment="1">
      <alignment horizontal="center" vertical="center"/>
    </xf>
    <xf numFmtId="166" fontId="3" fillId="7" borderId="12" xfId="1" applyNumberFormat="1" applyFont="1" applyFill="1" applyBorder="1" applyAlignment="1">
      <alignment horizontal="center" vertical="center"/>
    </xf>
    <xf numFmtId="0" fontId="3" fillId="8" borderId="13" xfId="2" applyFont="1" applyFill="1" applyBorder="1" applyAlignment="1">
      <alignment horizontal="center" vertical="center"/>
    </xf>
    <xf numFmtId="0" fontId="3" fillId="8" borderId="6" xfId="2" applyFont="1" applyFill="1" applyBorder="1" applyAlignment="1">
      <alignment horizontal="center" vertical="center"/>
    </xf>
    <xf numFmtId="0" fontId="9" fillId="0" borderId="0" xfId="2" applyFont="1"/>
    <xf numFmtId="0" fontId="8" fillId="0" borderId="0" xfId="2" applyFont="1"/>
    <xf numFmtId="165" fontId="8" fillId="0" borderId="0" xfId="1" applyNumberFormat="1" applyFont="1"/>
    <xf numFmtId="0" fontId="3" fillId="0" borderId="0" xfId="2" applyFont="1" applyAlignment="1">
      <alignment horizontal="center"/>
    </xf>
    <xf numFmtId="165" fontId="8" fillId="0" borderId="0" xfId="2" applyNumberFormat="1" applyFont="1"/>
    <xf numFmtId="0" fontId="3" fillId="0" borderId="6" xfId="2" applyFont="1" applyBorder="1" applyAlignment="1">
      <alignment horizontal="center"/>
    </xf>
    <xf numFmtId="165" fontId="3" fillId="0" borderId="6" xfId="1" applyNumberFormat="1" applyFont="1" applyBorder="1" applyAlignment="1">
      <alignment horizontal="center"/>
    </xf>
    <xf numFmtId="165" fontId="3" fillId="0" borderId="6" xfId="1" quotePrefix="1" applyNumberFormat="1" applyFont="1" applyBorder="1" applyAlignment="1"/>
    <xf numFmtId="0" fontId="8" fillId="0" borderId="0" xfId="2" quotePrefix="1" applyFont="1"/>
    <xf numFmtId="165" fontId="3" fillId="0" borderId="0" xfId="1" applyNumberFormat="1" applyFont="1" applyAlignment="1"/>
    <xf numFmtId="9" fontId="3" fillId="0" borderId="0" xfId="2" applyNumberFormat="1" applyFont="1" applyAlignment="1">
      <alignment horizontal="center"/>
    </xf>
    <xf numFmtId="165" fontId="3" fillId="13" borderId="0" xfId="2" applyNumberFormat="1" applyFont="1" applyFill="1"/>
    <xf numFmtId="0" fontId="12" fillId="0" borderId="0" xfId="2" applyFont="1" applyAlignment="1">
      <alignment horizontal="right"/>
    </xf>
    <xf numFmtId="0" fontId="12" fillId="0" borderId="0" xfId="2" applyFont="1"/>
    <xf numFmtId="0" fontId="19" fillId="0" borderId="0" xfId="0" applyFont="1" applyAlignment="1">
      <alignment horizontal="center"/>
    </xf>
    <xf numFmtId="0" fontId="19" fillId="0" borderId="0" xfId="0" applyFont="1"/>
    <xf numFmtId="0" fontId="20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center" vertical="center"/>
    </xf>
    <xf numFmtId="0" fontId="23" fillId="14" borderId="0" xfId="0" applyFont="1" applyFill="1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wrapText="1"/>
    </xf>
    <xf numFmtId="0" fontId="23" fillId="13" borderId="0" xfId="0" applyFont="1" applyFill="1" applyAlignment="1">
      <alignment horizontal="center" wrapText="1"/>
    </xf>
    <xf numFmtId="0" fontId="26" fillId="2" borderId="16" xfId="0" applyFont="1" applyFill="1" applyBorder="1" applyAlignment="1">
      <alignment horizontal="center" vertical="center" wrapText="1"/>
    </xf>
    <xf numFmtId="0" fontId="26" fillId="15" borderId="16" xfId="0" applyFont="1" applyFill="1" applyBorder="1" applyAlignment="1">
      <alignment horizontal="center" vertical="center" wrapText="1"/>
    </xf>
    <xf numFmtId="0" fontId="26" fillId="13" borderId="16" xfId="0" applyFont="1" applyFill="1" applyBorder="1" applyAlignment="1">
      <alignment horizontal="center" vertical="center" wrapText="1"/>
    </xf>
    <xf numFmtId="0" fontId="26" fillId="8" borderId="16" xfId="0" applyFont="1" applyFill="1" applyBorder="1" applyAlignment="1">
      <alignment horizontal="center" vertical="center" wrapText="1"/>
    </xf>
    <xf numFmtId="0" fontId="26" fillId="10" borderId="16" xfId="0" applyFont="1" applyFill="1" applyBorder="1" applyAlignment="1">
      <alignment horizontal="center" vertical="center" wrapText="1"/>
    </xf>
    <xf numFmtId="0" fontId="26" fillId="11" borderId="16" xfId="0" applyFont="1" applyFill="1" applyBorder="1" applyAlignment="1">
      <alignment horizontal="center" vertical="center" wrapText="1"/>
    </xf>
    <xf numFmtId="0" fontId="26" fillId="12" borderId="16" xfId="0" applyFont="1" applyFill="1" applyBorder="1" applyAlignment="1">
      <alignment horizontal="center" vertical="center" wrapText="1"/>
    </xf>
    <xf numFmtId="0" fontId="26" fillId="9" borderId="16" xfId="0" applyFont="1" applyFill="1" applyBorder="1" applyAlignment="1">
      <alignment horizontal="center" vertical="center" wrapText="1"/>
    </xf>
    <xf numFmtId="0" fontId="26" fillId="16" borderId="16" xfId="0" applyFont="1" applyFill="1" applyBorder="1" applyAlignment="1">
      <alignment horizontal="center" vertical="center" wrapText="1"/>
    </xf>
    <xf numFmtId="0" fontId="26" fillId="17" borderId="16" xfId="0" applyFont="1" applyFill="1" applyBorder="1" applyAlignment="1">
      <alignment horizontal="center" vertical="center" wrapText="1"/>
    </xf>
    <xf numFmtId="0" fontId="26" fillId="18" borderId="16" xfId="0" applyFont="1" applyFill="1" applyBorder="1" applyAlignment="1">
      <alignment horizontal="center" vertical="center" wrapText="1"/>
    </xf>
    <xf numFmtId="0" fontId="26" fillId="19" borderId="16" xfId="0" applyFont="1" applyFill="1" applyBorder="1" applyAlignment="1">
      <alignment horizontal="center" vertical="center" wrapText="1"/>
    </xf>
    <xf numFmtId="0" fontId="27" fillId="20" borderId="16" xfId="0" applyFont="1" applyFill="1" applyBorder="1" applyAlignment="1">
      <alignment horizontal="center" vertical="center" wrapText="1"/>
    </xf>
    <xf numFmtId="0" fontId="26" fillId="20" borderId="16" xfId="0" applyFont="1" applyFill="1" applyBorder="1" applyAlignment="1">
      <alignment horizontal="center" vertical="center" wrapText="1"/>
    </xf>
    <xf numFmtId="0" fontId="26" fillId="20" borderId="17" xfId="0" applyFont="1" applyFill="1" applyBorder="1" applyAlignment="1">
      <alignment horizontal="center" vertical="center" wrapText="1"/>
    </xf>
    <xf numFmtId="0" fontId="26" fillId="21" borderId="16" xfId="0" applyFont="1" applyFill="1" applyBorder="1" applyAlignment="1">
      <alignment horizontal="center" vertical="center" wrapText="1"/>
    </xf>
    <xf numFmtId="0" fontId="27" fillId="22" borderId="16" xfId="0" applyFont="1" applyFill="1" applyBorder="1" applyAlignment="1">
      <alignment horizontal="left" vertical="center" wrapText="1" indent="1"/>
    </xf>
    <xf numFmtId="0" fontId="26" fillId="22" borderId="16" xfId="0" applyFont="1" applyFill="1" applyBorder="1" applyAlignment="1">
      <alignment horizontal="center" vertical="center" wrapText="1"/>
    </xf>
    <xf numFmtId="0" fontId="26" fillId="23" borderId="16" xfId="0" applyFont="1" applyFill="1" applyBorder="1" applyAlignment="1">
      <alignment horizontal="center" vertical="center" wrapText="1"/>
    </xf>
    <xf numFmtId="0" fontId="26" fillId="24" borderId="16" xfId="0" applyFont="1" applyFill="1" applyBorder="1" applyAlignment="1">
      <alignment horizontal="center" vertical="center" wrapText="1"/>
    </xf>
    <xf numFmtId="0" fontId="26" fillId="25" borderId="16" xfId="0" applyFont="1" applyFill="1" applyBorder="1" applyAlignment="1">
      <alignment horizontal="center" vertical="center" wrapText="1"/>
    </xf>
    <xf numFmtId="0" fontId="26" fillId="2" borderId="18" xfId="0" applyFont="1" applyFill="1" applyBorder="1" applyAlignment="1">
      <alignment horizontal="center" vertical="center" wrapText="1"/>
    </xf>
    <xf numFmtId="0" fontId="19" fillId="13" borderId="19" xfId="0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15" fillId="26" borderId="16" xfId="0" applyFont="1" applyFill="1" applyBorder="1" applyAlignment="1">
      <alignment horizontal="center"/>
    </xf>
    <xf numFmtId="0" fontId="15" fillId="26" borderId="16" xfId="0" applyFont="1" applyFill="1" applyBorder="1" applyAlignment="1">
      <alignment horizontal="center" vertical="center"/>
    </xf>
    <xf numFmtId="0" fontId="18" fillId="26" borderId="16" xfId="0" applyFont="1" applyFill="1" applyBorder="1" applyAlignment="1">
      <alignment horizontal="center"/>
    </xf>
    <xf numFmtId="0" fontId="15" fillId="26" borderId="20" xfId="0" applyFont="1" applyFill="1" applyBorder="1" applyAlignment="1">
      <alignment horizontal="center"/>
    </xf>
    <xf numFmtId="2" fontId="15" fillId="26" borderId="21" xfId="0" applyNumberFormat="1" applyFont="1" applyFill="1" applyBorder="1" applyAlignment="1">
      <alignment horizontal="center" vertical="center"/>
    </xf>
    <xf numFmtId="0" fontId="15" fillId="0" borderId="0" xfId="0" applyFont="1"/>
    <xf numFmtId="0" fontId="19" fillId="2" borderId="22" xfId="0" applyFont="1" applyFill="1" applyBorder="1" applyAlignment="1">
      <alignment horizontal="center"/>
    </xf>
    <xf numFmtId="168" fontId="2" fillId="27" borderId="20" xfId="1" applyNumberFormat="1" applyFont="1" applyFill="1" applyBorder="1" applyAlignment="1">
      <alignment horizontal="center"/>
    </xf>
    <xf numFmtId="0" fontId="19" fillId="0" borderId="20" xfId="0" applyFont="1" applyBorder="1" applyAlignment="1">
      <alignment horizontal="center"/>
    </xf>
    <xf numFmtId="2" fontId="19" fillId="0" borderId="23" xfId="0" applyNumberFormat="1" applyFont="1" applyBorder="1" applyAlignment="1">
      <alignment horizontal="center" vertical="center"/>
    </xf>
    <xf numFmtId="0" fontId="19" fillId="0" borderId="6" xfId="0" applyFont="1" applyBorder="1"/>
    <xf numFmtId="0" fontId="19" fillId="2" borderId="20" xfId="0" applyFont="1" applyFill="1" applyBorder="1" applyAlignment="1">
      <alignment horizontal="center"/>
    </xf>
    <xf numFmtId="0" fontId="25" fillId="14" borderId="0" xfId="0" applyFont="1" applyFill="1" applyAlignment="1">
      <alignment horizontal="center"/>
    </xf>
    <xf numFmtId="0" fontId="24" fillId="14" borderId="0" xfId="0" applyFont="1" applyFill="1" applyAlignment="1">
      <alignment horizontal="center"/>
    </xf>
    <xf numFmtId="9" fontId="19" fillId="0" borderId="0" xfId="3" applyFont="1" applyAlignment="1">
      <alignment horizontal="center"/>
    </xf>
    <xf numFmtId="0" fontId="32" fillId="0" borderId="0" xfId="0" applyFont="1" applyAlignment="1">
      <alignment horizontal="left"/>
    </xf>
    <xf numFmtId="0" fontId="33" fillId="0" borderId="0" xfId="0" applyFont="1" applyAlignment="1">
      <alignment horizontal="left"/>
    </xf>
    <xf numFmtId="0" fontId="34" fillId="0" borderId="0" xfId="0" applyFont="1" applyAlignment="1">
      <alignment horizontal="left"/>
    </xf>
    <xf numFmtId="0" fontId="35" fillId="0" borderId="0" xfId="0" applyFont="1" applyAlignment="1">
      <alignment horizontal="center"/>
    </xf>
    <xf numFmtId="0" fontId="35" fillId="0" borderId="0" xfId="0" applyFont="1" applyAlignment="1">
      <alignment horizontal="left"/>
    </xf>
    <xf numFmtId="0" fontId="36" fillId="0" borderId="0" xfId="0" applyFont="1" applyAlignment="1">
      <alignment horizontal="left"/>
    </xf>
    <xf numFmtId="0" fontId="29" fillId="0" borderId="0" xfId="0" applyFont="1" applyAlignment="1">
      <alignment horizontal="center"/>
    </xf>
    <xf numFmtId="0" fontId="37" fillId="0" borderId="0" xfId="0" applyFont="1" applyAlignment="1">
      <alignment horizontal="left"/>
    </xf>
    <xf numFmtId="0" fontId="38" fillId="0" borderId="0" xfId="0" applyFont="1" applyAlignment="1">
      <alignment horizontal="left"/>
    </xf>
    <xf numFmtId="0" fontId="37" fillId="0" borderId="0" xfId="0" applyFont="1" applyAlignment="1">
      <alignment horizontal="center"/>
    </xf>
    <xf numFmtId="0" fontId="17" fillId="0" borderId="6" xfId="4" applyFont="1" applyBorder="1" applyAlignment="1">
      <alignment horizontal="center" vertical="center"/>
    </xf>
    <xf numFmtId="0" fontId="21" fillId="0" borderId="6" xfId="4" applyFont="1" applyBorder="1" applyAlignment="1">
      <alignment horizontal="center" vertical="center"/>
    </xf>
    <xf numFmtId="0" fontId="17" fillId="0" borderId="6" xfId="4" applyFont="1" applyBorder="1" applyAlignment="1">
      <alignment horizontal="center" vertical="center" wrapText="1"/>
    </xf>
    <xf numFmtId="2" fontId="21" fillId="0" borderId="6" xfId="4" applyNumberFormat="1" applyFont="1" applyBorder="1" applyAlignment="1">
      <alignment horizontal="center" vertical="center" wrapText="1"/>
    </xf>
    <xf numFmtId="0" fontId="21" fillId="0" borderId="6" xfId="4" applyFont="1" applyBorder="1" applyAlignment="1">
      <alignment horizontal="center" vertical="center" wrapText="1"/>
    </xf>
    <xf numFmtId="0" fontId="2" fillId="0" borderId="0" xfId="4"/>
    <xf numFmtId="0" fontId="39" fillId="0" borderId="6" xfId="4" applyFont="1" applyBorder="1" applyAlignment="1">
      <alignment horizontal="center"/>
    </xf>
    <xf numFmtId="0" fontId="17" fillId="0" borderId="6" xfId="4" applyFont="1" applyBorder="1" applyAlignment="1">
      <alignment horizontal="center"/>
    </xf>
    <xf numFmtId="0" fontId="21" fillId="0" borderId="6" xfId="4" applyFont="1" applyBorder="1" applyAlignment="1">
      <alignment horizontal="center"/>
    </xf>
    <xf numFmtId="1" fontId="2" fillId="0" borderId="6" xfId="4" applyNumberFormat="1" applyBorder="1" applyAlignment="1">
      <alignment horizontal="center"/>
    </xf>
    <xf numFmtId="2" fontId="16" fillId="0" borderId="6" xfId="4" applyNumberFormat="1" applyFont="1" applyBorder="1" applyAlignment="1">
      <alignment horizontal="center"/>
    </xf>
    <xf numFmtId="1" fontId="16" fillId="0" borderId="6" xfId="4" applyNumberFormat="1" applyFont="1" applyBorder="1" applyAlignment="1">
      <alignment horizontal="center"/>
    </xf>
    <xf numFmtId="4" fontId="7" fillId="16" borderId="6" xfId="2" applyNumberFormat="1" applyFont="1" applyFill="1" applyBorder="1" applyAlignment="1">
      <alignment horizontal="center"/>
    </xf>
    <xf numFmtId="4" fontId="2" fillId="16" borderId="13" xfId="2" applyNumberFormat="1" applyFill="1" applyBorder="1" applyAlignment="1">
      <alignment horizontal="center" wrapText="1"/>
    </xf>
    <xf numFmtId="4" fontId="2" fillId="16" borderId="6" xfId="2" applyNumberFormat="1" applyFill="1" applyBorder="1" applyAlignment="1">
      <alignment horizontal="center" wrapText="1"/>
    </xf>
    <xf numFmtId="4" fontId="2" fillId="16" borderId="6" xfId="2" applyNumberFormat="1" applyFill="1" applyBorder="1" applyAlignment="1">
      <alignment horizontal="center" vertical="center" wrapText="1"/>
    </xf>
    <xf numFmtId="4" fontId="2" fillId="16" borderId="6" xfId="2" applyNumberFormat="1" applyFill="1" applyBorder="1" applyAlignment="1">
      <alignment horizontal="center"/>
    </xf>
    <xf numFmtId="168" fontId="26" fillId="2" borderId="24" xfId="1" applyNumberFormat="1" applyFont="1" applyFill="1" applyBorder="1" applyAlignment="1">
      <alignment horizontal="center"/>
    </xf>
    <xf numFmtId="0" fontId="29" fillId="2" borderId="6" xfId="0" applyFont="1" applyFill="1" applyBorder="1" applyAlignment="1">
      <alignment horizontal="center"/>
    </xf>
    <xf numFmtId="168" fontId="26" fillId="2" borderId="6" xfId="0" applyNumberFormat="1" applyFont="1" applyFill="1" applyBorder="1" applyAlignment="1">
      <alignment horizontal="center"/>
    </xf>
    <xf numFmtId="0" fontId="30" fillId="2" borderId="6" xfId="0" applyFont="1" applyFill="1" applyBorder="1" applyAlignment="1">
      <alignment horizontal="center"/>
    </xf>
    <xf numFmtId="0" fontId="19" fillId="2" borderId="6" xfId="0" applyFont="1" applyFill="1" applyBorder="1" applyAlignment="1">
      <alignment horizontal="center"/>
    </xf>
    <xf numFmtId="168" fontId="31" fillId="2" borderId="6" xfId="0" applyNumberFormat="1" applyFont="1" applyFill="1" applyBorder="1" applyAlignment="1">
      <alignment horizontal="center"/>
    </xf>
    <xf numFmtId="0" fontId="26" fillId="2" borderId="6" xfId="0" applyFont="1" applyFill="1" applyBorder="1" applyAlignment="1">
      <alignment horizontal="center"/>
    </xf>
    <xf numFmtId="0" fontId="31" fillId="2" borderId="6" xfId="0" applyFont="1" applyFill="1" applyBorder="1" applyAlignment="1">
      <alignment horizontal="center"/>
    </xf>
    <xf numFmtId="0" fontId="3" fillId="14" borderId="0" xfId="2" applyFont="1" applyFill="1" applyAlignment="1">
      <alignment horizontal="center" vertical="center"/>
    </xf>
    <xf numFmtId="4" fontId="11" fillId="14" borderId="0" xfId="2" applyNumberFormat="1" applyFont="1" applyFill="1" applyAlignment="1">
      <alignment horizontal="center"/>
    </xf>
    <xf numFmtId="4" fontId="2" fillId="14" borderId="0" xfId="2" applyNumberFormat="1" applyFill="1" applyAlignment="1">
      <alignment horizontal="center" wrapText="1"/>
    </xf>
    <xf numFmtId="4" fontId="2" fillId="14" borderId="0" xfId="2" applyNumberFormat="1" applyFill="1" applyAlignment="1">
      <alignment horizontal="center"/>
    </xf>
    <xf numFmtId="165" fontId="3" fillId="14" borderId="0" xfId="1" applyNumberFormat="1" applyFont="1" applyFill="1" applyBorder="1"/>
    <xf numFmtId="165" fontId="8" fillId="14" borderId="0" xfId="1" applyNumberFormat="1" applyFont="1" applyFill="1" applyBorder="1" applyAlignment="1">
      <alignment horizontal="center" vertical="center"/>
    </xf>
    <xf numFmtId="165" fontId="2" fillId="14" borderId="0" xfId="1" applyNumberFormat="1" applyFont="1" applyFill="1" applyBorder="1"/>
    <xf numFmtId="0" fontId="3" fillId="14" borderId="0" xfId="2" applyFont="1" applyFill="1"/>
    <xf numFmtId="4" fontId="3" fillId="14" borderId="7" xfId="2" applyNumberFormat="1" applyFont="1" applyFill="1" applyBorder="1"/>
    <xf numFmtId="0" fontId="8" fillId="0" borderId="6" xfId="2" applyFont="1" applyBorder="1" applyAlignment="1">
      <alignment horizontal="center"/>
    </xf>
    <xf numFmtId="165" fontId="3" fillId="0" borderId="6" xfId="1" applyNumberFormat="1" applyFont="1" applyBorder="1"/>
    <xf numFmtId="165" fontId="6" fillId="0" borderId="6" xfId="1" applyNumberFormat="1" applyFont="1" applyBorder="1"/>
    <xf numFmtId="0" fontId="19" fillId="2" borderId="25" xfId="0" applyFont="1" applyFill="1" applyBorder="1" applyAlignment="1">
      <alignment horizontal="center"/>
    </xf>
    <xf numFmtId="0" fontId="29" fillId="2" borderId="13" xfId="0" applyFont="1" applyFill="1" applyBorder="1" applyAlignment="1">
      <alignment horizontal="center"/>
    </xf>
    <xf numFmtId="0" fontId="29" fillId="0" borderId="27" xfId="0" applyFont="1" applyBorder="1" applyAlignment="1">
      <alignment horizontal="center"/>
    </xf>
    <xf numFmtId="4" fontId="3" fillId="0" borderId="0" xfId="2" applyNumberFormat="1" applyFont="1"/>
    <xf numFmtId="0" fontId="29" fillId="0" borderId="30" xfId="0" applyFont="1" applyBorder="1" applyAlignment="1">
      <alignment horizontal="center"/>
    </xf>
    <xf numFmtId="0" fontId="2" fillId="28" borderId="31" xfId="0" applyFont="1" applyFill="1" applyBorder="1" applyAlignment="1">
      <alignment horizontal="center"/>
    </xf>
    <xf numFmtId="0" fontId="2" fillId="28" borderId="27" xfId="0" applyFont="1" applyFill="1" applyBorder="1" applyAlignment="1">
      <alignment horizontal="center"/>
    </xf>
    <xf numFmtId="0" fontId="2" fillId="29" borderId="27" xfId="0" applyFont="1" applyFill="1" applyBorder="1" applyAlignment="1">
      <alignment horizontal="center"/>
    </xf>
    <xf numFmtId="0" fontId="42" fillId="30" borderId="27" xfId="0" applyFont="1" applyFill="1" applyBorder="1" applyAlignment="1">
      <alignment horizontal="center"/>
    </xf>
    <xf numFmtId="4" fontId="41" fillId="32" borderId="32" xfId="0" applyNumberFormat="1" applyFont="1" applyFill="1" applyBorder="1"/>
    <xf numFmtId="4" fontId="41" fillId="33" borderId="32" xfId="0" applyNumberFormat="1" applyFont="1" applyFill="1" applyBorder="1"/>
    <xf numFmtId="0" fontId="41" fillId="33" borderId="32" xfId="0" applyFont="1" applyFill="1" applyBorder="1"/>
    <xf numFmtId="4" fontId="7" fillId="34" borderId="32" xfId="0" applyNumberFormat="1" applyFont="1" applyFill="1" applyBorder="1" applyAlignment="1">
      <alignment horizontal="center" vertical="center"/>
    </xf>
    <xf numFmtId="0" fontId="2" fillId="35" borderId="32" xfId="0" applyFont="1" applyFill="1" applyBorder="1"/>
    <xf numFmtId="4" fontId="41" fillId="32" borderId="26" xfId="0" applyNumberFormat="1" applyFont="1" applyFill="1" applyBorder="1"/>
    <xf numFmtId="4" fontId="41" fillId="33" borderId="26" xfId="0" applyNumberFormat="1" applyFont="1" applyFill="1" applyBorder="1"/>
    <xf numFmtId="0" fontId="41" fillId="33" borderId="26" xfId="0" applyFont="1" applyFill="1" applyBorder="1"/>
    <xf numFmtId="4" fontId="7" fillId="34" borderId="26" xfId="0" applyNumberFormat="1" applyFont="1" applyFill="1" applyBorder="1" applyAlignment="1">
      <alignment horizontal="center" vertical="center"/>
    </xf>
    <xf numFmtId="0" fontId="2" fillId="35" borderId="26" xfId="0" applyFont="1" applyFill="1" applyBorder="1"/>
    <xf numFmtId="4" fontId="10" fillId="32" borderId="26" xfId="0" applyNumberFormat="1" applyFont="1" applyFill="1" applyBorder="1"/>
    <xf numFmtId="0" fontId="26" fillId="0" borderId="31" xfId="0" applyFont="1" applyBorder="1" applyAlignment="1">
      <alignment horizontal="center"/>
    </xf>
    <xf numFmtId="0" fontId="26" fillId="0" borderId="27" xfId="0" applyFont="1" applyBorder="1" applyAlignment="1">
      <alignment horizontal="center"/>
    </xf>
    <xf numFmtId="0" fontId="29" fillId="0" borderId="29" xfId="0" applyFont="1" applyBorder="1" applyAlignment="1">
      <alignment horizontal="center"/>
    </xf>
    <xf numFmtId="0" fontId="2" fillId="28" borderId="29" xfId="0" applyFont="1" applyFill="1" applyBorder="1" applyAlignment="1">
      <alignment horizontal="center"/>
    </xf>
    <xf numFmtId="0" fontId="2" fillId="29" borderId="29" xfId="0" applyFont="1" applyFill="1" applyBorder="1" applyAlignment="1">
      <alignment horizontal="center"/>
    </xf>
    <xf numFmtId="4" fontId="2" fillId="31" borderId="26" xfId="0" applyNumberFormat="1" applyFont="1" applyFill="1" applyBorder="1" applyAlignment="1">
      <alignment horizontal="right"/>
    </xf>
    <xf numFmtId="0" fontId="2" fillId="31" borderId="26" xfId="0" applyFont="1" applyFill="1" applyBorder="1" applyAlignment="1">
      <alignment horizontal="right" wrapText="1"/>
    </xf>
    <xf numFmtId="0" fontId="2" fillId="31" borderId="26" xfId="0" applyFont="1" applyFill="1" applyBorder="1" applyAlignment="1">
      <alignment horizontal="right"/>
    </xf>
    <xf numFmtId="4" fontId="2" fillId="31" borderId="26" xfId="0" applyNumberFormat="1" applyFont="1" applyFill="1" applyBorder="1" applyAlignment="1">
      <alignment horizontal="right" wrapText="1"/>
    </xf>
    <xf numFmtId="0" fontId="2" fillId="31" borderId="28" xfId="0" applyFont="1" applyFill="1" applyBorder="1" applyAlignment="1">
      <alignment horizontal="right"/>
    </xf>
    <xf numFmtId="0" fontId="7" fillId="28" borderId="27" xfId="0" applyFont="1" applyFill="1" applyBorder="1" applyAlignment="1">
      <alignment horizontal="center"/>
    </xf>
    <xf numFmtId="0" fontId="43" fillId="36" borderId="27" xfId="0" applyFont="1" applyFill="1" applyBorder="1" applyAlignment="1">
      <alignment horizontal="center"/>
    </xf>
    <xf numFmtId="0" fontId="40" fillId="0" borderId="0" xfId="0" applyFont="1" applyAlignment="1">
      <alignment horizontal="center"/>
    </xf>
    <xf numFmtId="0" fontId="29" fillId="0" borderId="20" xfId="0" applyFont="1" applyBorder="1" applyAlignment="1">
      <alignment horizontal="center"/>
    </xf>
    <xf numFmtId="0" fontId="42" fillId="30" borderId="31" xfId="0" applyFont="1" applyFill="1" applyBorder="1" applyAlignment="1">
      <alignment horizontal="center"/>
    </xf>
    <xf numFmtId="0" fontId="2" fillId="31" borderId="32" xfId="0" applyFont="1" applyFill="1" applyBorder="1" applyAlignment="1">
      <alignment horizontal="right"/>
    </xf>
    <xf numFmtId="4" fontId="2" fillId="31" borderId="32" xfId="0" applyNumberFormat="1" applyFont="1" applyFill="1" applyBorder="1" applyAlignment="1">
      <alignment horizontal="right" wrapText="1"/>
    </xf>
    <xf numFmtId="0" fontId="2" fillId="31" borderId="26" xfId="0" applyFont="1" applyFill="1" applyBorder="1" applyAlignment="1">
      <alignment horizontal="right" vertical="center" wrapText="1"/>
    </xf>
    <xf numFmtId="43" fontId="2" fillId="37" borderId="26" xfId="2" applyNumberFormat="1" applyFill="1" applyBorder="1" applyAlignment="1">
      <alignment horizontal="right"/>
    </xf>
    <xf numFmtId="43" fontId="10" fillId="9" borderId="26" xfId="2" applyNumberFormat="1" applyFont="1" applyFill="1" applyBorder="1"/>
    <xf numFmtId="165" fontId="3" fillId="10" borderId="26" xfId="1" applyNumberFormat="1" applyFont="1" applyFill="1" applyBorder="1"/>
    <xf numFmtId="165" fontId="8" fillId="11" borderId="26" xfId="1" applyNumberFormat="1" applyFont="1" applyFill="1" applyBorder="1" applyAlignment="1">
      <alignment horizontal="center" vertical="center"/>
    </xf>
    <xf numFmtId="165" fontId="2" fillId="12" borderId="26" xfId="1" applyNumberFormat="1" applyFont="1" applyFill="1" applyBorder="1"/>
    <xf numFmtId="43" fontId="3" fillId="9" borderId="26" xfId="2" applyNumberFormat="1" applyFont="1" applyFill="1" applyBorder="1"/>
    <xf numFmtId="43" fontId="2" fillId="37" borderId="33" xfId="2" applyNumberFormat="1" applyFill="1" applyBorder="1" applyAlignment="1">
      <alignment horizontal="right" wrapText="1"/>
    </xf>
    <xf numFmtId="43" fontId="2" fillId="37" borderId="33" xfId="2" applyNumberFormat="1" applyFill="1" applyBorder="1" applyAlignment="1">
      <alignment horizontal="right"/>
    </xf>
    <xf numFmtId="165" fontId="3" fillId="10" borderId="33" xfId="1" applyNumberFormat="1" applyFont="1" applyFill="1" applyBorder="1"/>
    <xf numFmtId="165" fontId="8" fillId="11" borderId="33" xfId="1" applyNumberFormat="1" applyFont="1" applyFill="1" applyBorder="1" applyAlignment="1">
      <alignment horizontal="center" vertical="center"/>
    </xf>
    <xf numFmtId="165" fontId="2" fillId="12" borderId="33" xfId="1" applyNumberFormat="1" applyFont="1" applyFill="1" applyBorder="1"/>
    <xf numFmtId="168" fontId="2" fillId="27" borderId="27" xfId="1" applyNumberFormat="1" applyFont="1" applyFill="1" applyBorder="1" applyAlignment="1">
      <alignment horizontal="center"/>
    </xf>
    <xf numFmtId="168" fontId="2" fillId="27" borderId="29" xfId="1" applyNumberFormat="1" applyFont="1" applyFill="1" applyBorder="1" applyAlignment="1">
      <alignment horizontal="center"/>
    </xf>
    <xf numFmtId="0" fontId="30" fillId="0" borderId="20" xfId="0" applyFont="1" applyBorder="1" applyAlignment="1">
      <alignment horizontal="center"/>
    </xf>
    <xf numFmtId="0" fontId="44" fillId="14" borderId="20" xfId="1" applyNumberFormat="1" applyFont="1" applyFill="1" applyBorder="1" applyAlignment="1">
      <alignment horizontal="center"/>
    </xf>
    <xf numFmtId="168" fontId="26" fillId="2" borderId="6" xfId="0" applyNumberFormat="1" applyFont="1" applyFill="1" applyBorder="1" applyAlignment="1">
      <alignment horizontal="center" vertical="center"/>
    </xf>
    <xf numFmtId="0" fontId="3" fillId="16" borderId="3" xfId="2" applyFont="1" applyFill="1" applyBorder="1" applyAlignment="1">
      <alignment horizontal="center" vertical="center"/>
    </xf>
    <xf numFmtId="0" fontId="3" fillId="16" borderId="7" xfId="2" applyFont="1" applyFill="1" applyBorder="1" applyAlignment="1">
      <alignment horizontal="center" vertical="center"/>
    </xf>
    <xf numFmtId="0" fontId="3" fillId="16" borderId="11" xfId="2" applyFont="1" applyFill="1" applyBorder="1" applyAlignment="1">
      <alignment horizontal="center" vertical="center"/>
    </xf>
    <xf numFmtId="0" fontId="3" fillId="6" borderId="3" xfId="2" applyFont="1" applyFill="1" applyBorder="1" applyAlignment="1">
      <alignment horizontal="center" vertical="center"/>
    </xf>
    <xf numFmtId="0" fontId="3" fillId="6" borderId="7" xfId="2" applyFont="1" applyFill="1" applyBorder="1" applyAlignment="1">
      <alignment horizontal="center" vertical="center"/>
    </xf>
    <xf numFmtId="0" fontId="3" fillId="6" borderId="11" xfId="2" applyFont="1" applyFill="1" applyBorder="1" applyAlignment="1">
      <alignment horizontal="center" vertical="center"/>
    </xf>
    <xf numFmtId="165" fontId="3" fillId="7" borderId="4" xfId="1" applyNumberFormat="1" applyFont="1" applyFill="1" applyBorder="1" applyAlignment="1">
      <alignment horizontal="center" vertical="center"/>
    </xf>
    <xf numFmtId="165" fontId="3" fillId="7" borderId="8" xfId="1" applyNumberFormat="1" applyFont="1" applyFill="1" applyBorder="1" applyAlignment="1">
      <alignment horizontal="center" vertical="center"/>
    </xf>
    <xf numFmtId="14" fontId="3" fillId="0" borderId="14" xfId="2" applyNumberFormat="1" applyFont="1" applyBorder="1" applyAlignment="1">
      <alignment horizontal="center"/>
    </xf>
    <xf numFmtId="14" fontId="3" fillId="0" borderId="15" xfId="2" applyNumberFormat="1" applyFont="1" applyBorder="1" applyAlignment="1">
      <alignment horizontal="center"/>
    </xf>
    <xf numFmtId="43" fontId="3" fillId="0" borderId="14" xfId="1" applyFont="1" applyBorder="1" applyAlignment="1">
      <alignment horizontal="center" vertical="center"/>
    </xf>
    <xf numFmtId="43" fontId="3" fillId="0" borderId="15" xfId="1" applyFont="1" applyBorder="1" applyAlignment="1">
      <alignment horizontal="center" vertical="center"/>
    </xf>
    <xf numFmtId="167" fontId="3" fillId="0" borderId="14" xfId="2" applyNumberFormat="1" applyFont="1" applyBorder="1" applyAlignment="1">
      <alignment horizontal="center"/>
    </xf>
    <xf numFmtId="167" fontId="3" fillId="0" borderId="15" xfId="2" applyNumberFormat="1" applyFont="1" applyBorder="1" applyAlignment="1">
      <alignment horizontal="center"/>
    </xf>
    <xf numFmtId="0" fontId="3" fillId="4" borderId="2" xfId="2" applyFont="1" applyFill="1" applyBorder="1" applyAlignment="1">
      <alignment horizontal="center" vertical="center"/>
    </xf>
    <xf numFmtId="0" fontId="3" fillId="4" borderId="6" xfId="2" applyFont="1" applyFill="1" applyBorder="1" applyAlignment="1">
      <alignment horizontal="center" vertical="center"/>
    </xf>
    <xf numFmtId="164" fontId="4" fillId="0" borderId="0" xfId="2" applyNumberFormat="1" applyFont="1" applyAlignment="1">
      <alignment horizontal="center"/>
    </xf>
    <xf numFmtId="0" fontId="3" fillId="2" borderId="1" xfId="2" applyFont="1" applyFill="1" applyBorder="1" applyAlignment="1">
      <alignment horizontal="center" vertical="center"/>
    </xf>
    <xf numFmtId="0" fontId="3" fillId="2" borderId="5" xfId="2" applyFont="1" applyFill="1" applyBorder="1" applyAlignment="1">
      <alignment horizontal="center" vertical="center"/>
    </xf>
    <xf numFmtId="0" fontId="3" fillId="2" borderId="9" xfId="2" applyFont="1" applyFill="1" applyBorder="1" applyAlignment="1">
      <alignment horizontal="center" vertical="center"/>
    </xf>
    <xf numFmtId="0" fontId="3" fillId="3" borderId="2" xfId="2" applyFont="1" applyFill="1" applyBorder="1" applyAlignment="1">
      <alignment horizontal="center" vertical="center"/>
    </xf>
    <xf numFmtId="0" fontId="3" fillId="3" borderId="6" xfId="2" applyFont="1" applyFill="1" applyBorder="1" applyAlignment="1">
      <alignment horizontal="center" vertical="center"/>
    </xf>
    <xf numFmtId="0" fontId="3" fillId="3" borderId="10" xfId="2" applyFont="1" applyFill="1" applyBorder="1" applyAlignment="1">
      <alignment horizontal="center" vertical="center"/>
    </xf>
    <xf numFmtId="0" fontId="6" fillId="3" borderId="2" xfId="2" applyFont="1" applyFill="1" applyBorder="1" applyAlignment="1">
      <alignment horizontal="center" vertical="center"/>
    </xf>
    <xf numFmtId="0" fontId="6" fillId="3" borderId="6" xfId="2" applyFont="1" applyFill="1" applyBorder="1" applyAlignment="1">
      <alignment horizontal="center" vertical="center"/>
    </xf>
    <xf numFmtId="0" fontId="6" fillId="3" borderId="10" xfId="2" applyFont="1" applyFill="1" applyBorder="1" applyAlignment="1">
      <alignment horizontal="center" vertical="center"/>
    </xf>
    <xf numFmtId="0" fontId="21" fillId="13" borderId="6" xfId="0" applyFont="1" applyFill="1" applyBorder="1" applyAlignment="1">
      <alignment horizontal="center"/>
    </xf>
    <xf numFmtId="164" fontId="22" fillId="0" borderId="0" xfId="0" applyNumberFormat="1" applyFont="1" applyAlignment="1">
      <alignment horizontal="left"/>
    </xf>
  </cellXfs>
  <cellStyles count="5">
    <cellStyle name="Comma" xfId="1" builtinId="3"/>
    <cellStyle name="Normal" xfId="0" builtinId="0"/>
    <cellStyle name="Normal 2" xfId="4" xr:uid="{00000000-0005-0000-0000-000002000000}"/>
    <cellStyle name="Normal 3" xfId="2" xr:uid="{00000000-0005-0000-0000-000003000000}"/>
    <cellStyle name="Percent" xfId="3" builtinId="5"/>
  </cellStyles>
  <dxfs count="29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36566</xdr:colOff>
      <xdr:row>1</xdr:row>
      <xdr:rowOff>44742</xdr:rowOff>
    </xdr:from>
    <xdr:to>
      <xdr:col>2</xdr:col>
      <xdr:colOff>531660</xdr:colOff>
      <xdr:row>5</xdr:row>
      <xdr:rowOff>23973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14693" b="8456"/>
        <a:stretch>
          <a:fillRect/>
        </a:stretch>
      </xdr:blipFill>
      <xdr:spPr bwMode="auto">
        <a:xfrm>
          <a:off x="36566" y="0"/>
          <a:ext cx="1495219" cy="23973"/>
        </a:xfrm>
        <a:prstGeom prst="rect">
          <a:avLst/>
        </a:prstGeom>
        <a:noFill/>
        <a:ln w="9525" algn="in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1" dT="2021-09-03T01:28:41.62" personId="{00000000-0000-0000-0000-000000000000}" id="{3BF6D01B-5F03-4E64-9F64-6B5AB54E968B}">
    <text>Meter not working</text>
  </threadedComment>
  <threadedComment ref="E32" dT="2021-09-03T01:28:54.43" personId="{00000000-0000-0000-0000-000000000000}" id="{7B8DFAFF-6A10-47B8-B54F-88E4DF4FF45B}">
    <text>Meter not working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36" dT="2021-09-03T01:28:27.22" personId="{00000000-0000-0000-0000-000000000000}" id="{0EB79F21-46A3-4BC8-898E-FCE67DD1ABAB}">
    <text>Meter not working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workbookViewId="0">
      <pane ySplit="1" topLeftCell="A2" activePane="bottomLeft" state="frozen"/>
      <selection pane="bottomLeft" activeCell="M37" sqref="M37"/>
    </sheetView>
  </sheetViews>
  <sheetFormatPr defaultRowHeight="12.75" x14ac:dyDescent="0.2"/>
  <cols>
    <col min="1" max="1" width="23" style="88" bestFit="1" customWidth="1"/>
    <col min="2" max="4" width="9.140625" style="88"/>
    <col min="5" max="5" width="10.7109375" style="88" customWidth="1"/>
    <col min="6" max="6" width="12.140625" style="88" customWidth="1"/>
    <col min="7" max="7" width="10.85546875" style="88" customWidth="1"/>
    <col min="8" max="8" width="11.28515625" style="88" customWidth="1"/>
    <col min="9" max="16384" width="9.140625" style="88"/>
  </cols>
  <sheetData>
    <row r="1" spans="1:11" ht="60" x14ac:dyDescent="0.2">
      <c r="A1" s="83" t="s">
        <v>0</v>
      </c>
      <c r="B1" s="83" t="s">
        <v>1</v>
      </c>
      <c r="C1" s="84" t="s">
        <v>2</v>
      </c>
      <c r="D1" s="83" t="s">
        <v>3</v>
      </c>
      <c r="E1" s="85" t="s">
        <v>4</v>
      </c>
      <c r="F1" s="86" t="s">
        <v>5</v>
      </c>
      <c r="G1" s="85" t="s">
        <v>6</v>
      </c>
      <c r="H1" s="87" t="s">
        <v>7</v>
      </c>
      <c r="I1" s="85" t="s">
        <v>8</v>
      </c>
      <c r="J1" s="85" t="s">
        <v>9</v>
      </c>
      <c r="K1" s="85" t="s">
        <v>10</v>
      </c>
    </row>
    <row r="2" spans="1:11" ht="15" x14ac:dyDescent="0.25">
      <c r="A2" s="89" t="s">
        <v>11</v>
      </c>
      <c r="B2" s="90">
        <v>1</v>
      </c>
      <c r="C2" s="91">
        <v>8</v>
      </c>
      <c r="D2" s="90">
        <v>2021</v>
      </c>
      <c r="E2" s="92">
        <f>Electricity!E7</f>
        <v>6256.28</v>
      </c>
      <c r="F2" s="93">
        <f>Electricity!I7/Electricity!E7</f>
        <v>2.6037006016354769</v>
      </c>
      <c r="G2" s="92">
        <f>Water!AW9</f>
        <v>80</v>
      </c>
      <c r="H2" s="94">
        <v>60</v>
      </c>
      <c r="I2" s="92">
        <f>Electricity!L7</f>
        <v>2</v>
      </c>
      <c r="J2" s="92">
        <f>Electricity!M7</f>
        <v>17</v>
      </c>
      <c r="K2" s="92">
        <f>Electricity!N7</f>
        <v>49</v>
      </c>
    </row>
    <row r="3" spans="1:11" ht="15" x14ac:dyDescent="0.25">
      <c r="A3" s="89" t="s">
        <v>11</v>
      </c>
      <c r="B3" s="90">
        <f>B2+1</f>
        <v>2</v>
      </c>
      <c r="C3" s="91">
        <v>8</v>
      </c>
      <c r="D3" s="90">
        <v>2021</v>
      </c>
      <c r="E3" s="92">
        <f>Electricity!E8</f>
        <v>6003.19</v>
      </c>
      <c r="F3" s="93">
        <f>Electricity!I8/Electricity!E8</f>
        <v>3.5927765071570281</v>
      </c>
      <c r="G3" s="92">
        <f>Water!AW10</f>
        <v>49</v>
      </c>
      <c r="H3" s="94">
        <v>60</v>
      </c>
      <c r="I3" s="92">
        <f>Electricity!L8</f>
        <v>1</v>
      </c>
      <c r="J3" s="92">
        <f>Electricity!M8</f>
        <v>7</v>
      </c>
      <c r="K3" s="92">
        <f>Electricity!N8</f>
        <v>29</v>
      </c>
    </row>
    <row r="4" spans="1:11" ht="15" x14ac:dyDescent="0.25">
      <c r="A4" s="89" t="s">
        <v>11</v>
      </c>
      <c r="B4" s="90">
        <f t="shared" ref="B4:B32" si="0">B3+1</f>
        <v>3</v>
      </c>
      <c r="C4" s="91">
        <v>8</v>
      </c>
      <c r="D4" s="90">
        <v>2021</v>
      </c>
      <c r="E4" s="92">
        <f>Electricity!E9</f>
        <v>5941.71</v>
      </c>
      <c r="F4" s="93">
        <f>Electricity!I9/Electricity!E9</f>
        <v>3.6075304920637326</v>
      </c>
      <c r="G4" s="92">
        <f>Water!AW11</f>
        <v>26</v>
      </c>
      <c r="H4" s="94">
        <v>60</v>
      </c>
      <c r="I4" s="92">
        <f>Electricity!L9</f>
        <v>1</v>
      </c>
      <c r="J4" s="92">
        <f>Electricity!M9</f>
        <v>7</v>
      </c>
      <c r="K4" s="92">
        <f>Electricity!N9</f>
        <v>13</v>
      </c>
    </row>
    <row r="5" spans="1:11" ht="15" x14ac:dyDescent="0.25">
      <c r="A5" s="89" t="s">
        <v>11</v>
      </c>
      <c r="B5" s="90">
        <f t="shared" si="0"/>
        <v>4</v>
      </c>
      <c r="C5" s="91">
        <v>8</v>
      </c>
      <c r="D5" s="90">
        <v>2021</v>
      </c>
      <c r="E5" s="92">
        <f>Electricity!E10</f>
        <v>5851.83</v>
      </c>
      <c r="F5" s="93">
        <f>Electricity!I10/Electricity!E10</f>
        <v>3.6100570248964852</v>
      </c>
      <c r="G5" s="92">
        <f>Water!AW12</f>
        <v>16</v>
      </c>
      <c r="H5" s="94">
        <v>60</v>
      </c>
      <c r="I5" s="92">
        <f>Electricity!L10</f>
        <v>2</v>
      </c>
      <c r="J5" s="92">
        <f>Electricity!M10</f>
        <v>8</v>
      </c>
      <c r="K5" s="92">
        <f>Electricity!N10</f>
        <v>28</v>
      </c>
    </row>
    <row r="6" spans="1:11" ht="15" x14ac:dyDescent="0.25">
      <c r="A6" s="89" t="s">
        <v>11</v>
      </c>
      <c r="B6" s="90">
        <f t="shared" si="0"/>
        <v>5</v>
      </c>
      <c r="C6" s="91">
        <v>8</v>
      </c>
      <c r="D6" s="90">
        <v>2021</v>
      </c>
      <c r="E6" s="92">
        <f>Electricity!E11</f>
        <v>5452.71</v>
      </c>
      <c r="F6" s="93">
        <f>Electricity!I11/Electricity!E11</f>
        <v>3.5369366791925483</v>
      </c>
      <c r="G6" s="92">
        <f>Water!AW13</f>
        <v>19</v>
      </c>
      <c r="H6" s="94">
        <v>60</v>
      </c>
      <c r="I6" s="92">
        <f>Electricity!L11</f>
        <v>2</v>
      </c>
      <c r="J6" s="92">
        <f>Electricity!M11</f>
        <v>9</v>
      </c>
      <c r="K6" s="92">
        <f>Electricity!N11</f>
        <v>14</v>
      </c>
    </row>
    <row r="7" spans="1:11" ht="15" x14ac:dyDescent="0.25">
      <c r="A7" s="89" t="s">
        <v>11</v>
      </c>
      <c r="B7" s="90">
        <f t="shared" si="0"/>
        <v>6</v>
      </c>
      <c r="C7" s="91">
        <v>8</v>
      </c>
      <c r="D7" s="90">
        <v>2021</v>
      </c>
      <c r="E7" s="92">
        <f>Electricity!E12</f>
        <v>6024.6</v>
      </c>
      <c r="F7" s="93">
        <f>Electricity!I12/Electricity!E12</f>
        <v>3.6131676791820202</v>
      </c>
      <c r="G7" s="92">
        <f>Water!AW14</f>
        <v>79</v>
      </c>
      <c r="H7" s="94">
        <v>60</v>
      </c>
      <c r="I7" s="92">
        <f>Electricity!L12</f>
        <v>1</v>
      </c>
      <c r="J7" s="92">
        <f>Electricity!M12</f>
        <v>7</v>
      </c>
      <c r="K7" s="92">
        <f>Electricity!N12</f>
        <v>17</v>
      </c>
    </row>
    <row r="8" spans="1:11" ht="15" x14ac:dyDescent="0.25">
      <c r="A8" s="89" t="s">
        <v>11</v>
      </c>
      <c r="B8" s="90">
        <f t="shared" si="0"/>
        <v>7</v>
      </c>
      <c r="C8" s="91">
        <v>8</v>
      </c>
      <c r="D8" s="90">
        <v>2021</v>
      </c>
      <c r="E8" s="92">
        <f>Electricity!E13</f>
        <v>6388.37</v>
      </c>
      <c r="F8" s="93">
        <f>Electricity!I13/Electricity!E13</f>
        <v>2.6037001613870205</v>
      </c>
      <c r="G8" s="92">
        <f>Water!AW15</f>
        <v>57</v>
      </c>
      <c r="H8" s="94">
        <v>60</v>
      </c>
      <c r="I8" s="92">
        <f>Electricity!L13</f>
        <v>2</v>
      </c>
      <c r="J8" s="92">
        <f>Electricity!M13</f>
        <v>14</v>
      </c>
      <c r="K8" s="92">
        <f>Electricity!N13</f>
        <v>3</v>
      </c>
    </row>
    <row r="9" spans="1:11" ht="15" x14ac:dyDescent="0.25">
      <c r="A9" s="89" t="s">
        <v>11</v>
      </c>
      <c r="B9" s="90">
        <f t="shared" si="0"/>
        <v>8</v>
      </c>
      <c r="C9" s="91">
        <v>8</v>
      </c>
      <c r="D9" s="90">
        <v>2021</v>
      </c>
      <c r="E9" s="92">
        <f>Electricity!E14</f>
        <v>6579.86</v>
      </c>
      <c r="F9" s="93">
        <f>Electricity!I14/Electricity!E14</f>
        <v>2.6036997747672443</v>
      </c>
      <c r="G9" s="92">
        <f>Water!AW16</f>
        <v>81</v>
      </c>
      <c r="H9" s="94">
        <v>60</v>
      </c>
      <c r="I9" s="92">
        <f>Electricity!L14</f>
        <v>4</v>
      </c>
      <c r="J9" s="92">
        <f>Electricity!M14</f>
        <v>17</v>
      </c>
      <c r="K9" s="92">
        <f>Electricity!N14</f>
        <v>36</v>
      </c>
    </row>
    <row r="10" spans="1:11" ht="15" x14ac:dyDescent="0.25">
      <c r="A10" s="89" t="s">
        <v>11</v>
      </c>
      <c r="B10" s="90">
        <f t="shared" si="0"/>
        <v>9</v>
      </c>
      <c r="C10" s="91">
        <v>8</v>
      </c>
      <c r="D10" s="90">
        <v>2021</v>
      </c>
      <c r="E10" s="92">
        <f>Electricity!E15</f>
        <v>6719.95</v>
      </c>
      <c r="F10" s="93">
        <f>Electricity!I15/Electricity!E15</f>
        <v>3.6005595279726785</v>
      </c>
      <c r="G10" s="92">
        <f>Water!AW17</f>
        <v>70</v>
      </c>
      <c r="H10" s="94">
        <v>60</v>
      </c>
      <c r="I10" s="92">
        <f>Electricity!L15</f>
        <v>4</v>
      </c>
      <c r="J10" s="92">
        <f>Electricity!M15</f>
        <v>18</v>
      </c>
      <c r="K10" s="92">
        <f>Electricity!N15</f>
        <v>28</v>
      </c>
    </row>
    <row r="11" spans="1:11" ht="15" x14ac:dyDescent="0.25">
      <c r="A11" s="89" t="s">
        <v>11</v>
      </c>
      <c r="B11" s="90">
        <f t="shared" si="0"/>
        <v>10</v>
      </c>
      <c r="C11" s="91">
        <v>8</v>
      </c>
      <c r="D11" s="90">
        <v>2021</v>
      </c>
      <c r="E11" s="92">
        <f>Electricity!E16</f>
        <v>6595.19</v>
      </c>
      <c r="F11" s="93">
        <f>Electricity!I16/Electricity!E16</f>
        <v>3.5854751720572113</v>
      </c>
      <c r="G11" s="92">
        <f>Water!AW18</f>
        <v>49</v>
      </c>
      <c r="H11" s="94">
        <v>60</v>
      </c>
      <c r="I11" s="92">
        <f>Electricity!L16</f>
        <v>4</v>
      </c>
      <c r="J11" s="92">
        <f>Electricity!M16</f>
        <v>14</v>
      </c>
      <c r="K11" s="92">
        <f>Electricity!N16</f>
        <v>26</v>
      </c>
    </row>
    <row r="12" spans="1:11" ht="15" x14ac:dyDescent="0.25">
      <c r="A12" s="89" t="s">
        <v>11</v>
      </c>
      <c r="B12" s="90">
        <f t="shared" si="0"/>
        <v>11</v>
      </c>
      <c r="C12" s="91">
        <v>8</v>
      </c>
      <c r="D12" s="90">
        <v>2021</v>
      </c>
      <c r="E12" s="92">
        <f>Electricity!E17</f>
        <v>6533.23</v>
      </c>
      <c r="F12" s="93">
        <f>Electricity!I17/Electricity!E17</f>
        <v>3.611492324623502</v>
      </c>
      <c r="G12" s="92">
        <f>Water!AW19</f>
        <v>48</v>
      </c>
      <c r="H12" s="94">
        <v>60</v>
      </c>
      <c r="I12" s="92">
        <f>Electricity!L17</f>
        <v>4</v>
      </c>
      <c r="J12" s="92">
        <f>Electricity!M17</f>
        <v>17</v>
      </c>
      <c r="K12" s="92">
        <f>Electricity!N17</f>
        <v>20</v>
      </c>
    </row>
    <row r="13" spans="1:11" ht="15" x14ac:dyDescent="0.25">
      <c r="A13" s="89" t="s">
        <v>11</v>
      </c>
      <c r="B13" s="90">
        <f t="shared" si="0"/>
        <v>12</v>
      </c>
      <c r="C13" s="91">
        <v>8</v>
      </c>
      <c r="D13" s="90">
        <v>2021</v>
      </c>
      <c r="E13" s="92">
        <f>Electricity!E18</f>
        <v>6681.19</v>
      </c>
      <c r="F13" s="93">
        <f>Electricity!I18/Electricity!E18</f>
        <v>2.603699340985663</v>
      </c>
      <c r="G13" s="92">
        <f>Water!AW20</f>
        <v>28</v>
      </c>
      <c r="H13" s="94">
        <v>60</v>
      </c>
      <c r="I13" s="92">
        <f>Electricity!L18</f>
        <v>2</v>
      </c>
      <c r="J13" s="92">
        <f>Electricity!M18</f>
        <v>11</v>
      </c>
      <c r="K13" s="92">
        <f>Electricity!N18</f>
        <v>36</v>
      </c>
    </row>
    <row r="14" spans="1:11" ht="15" x14ac:dyDescent="0.25">
      <c r="A14" s="89" t="s">
        <v>11</v>
      </c>
      <c r="B14" s="90">
        <f t="shared" si="0"/>
        <v>13</v>
      </c>
      <c r="C14" s="91">
        <v>8</v>
      </c>
      <c r="D14" s="90">
        <v>2021</v>
      </c>
      <c r="E14" s="92">
        <f>Electricity!E19</f>
        <v>6770.76</v>
      </c>
      <c r="F14" s="93">
        <f>Electricity!I19/Electricity!E19</f>
        <v>3.6375709669224721</v>
      </c>
      <c r="G14" s="92">
        <f>Water!AW21</f>
        <v>112</v>
      </c>
      <c r="H14" s="94">
        <v>60</v>
      </c>
      <c r="I14" s="92">
        <f>Electricity!L19</f>
        <v>5</v>
      </c>
      <c r="J14" s="92">
        <f>Electricity!M19</f>
        <v>14</v>
      </c>
      <c r="K14" s="92">
        <f>Electricity!N19</f>
        <v>25</v>
      </c>
    </row>
    <row r="15" spans="1:11" ht="15" x14ac:dyDescent="0.25">
      <c r="A15" s="89" t="s">
        <v>11</v>
      </c>
      <c r="B15" s="90">
        <f t="shared" si="0"/>
        <v>14</v>
      </c>
      <c r="C15" s="91">
        <v>8</v>
      </c>
      <c r="D15" s="90">
        <v>2021</v>
      </c>
      <c r="E15" s="92">
        <f>Electricity!E20</f>
        <v>6623.27</v>
      </c>
      <c r="F15" s="93">
        <f>Electricity!I20/Electricity!E20</f>
        <v>2.6037002870183454</v>
      </c>
      <c r="G15" s="92">
        <f>Water!AW22</f>
        <v>161</v>
      </c>
      <c r="H15" s="94">
        <v>60</v>
      </c>
      <c r="I15" s="92">
        <f>Electricity!L20</f>
        <v>5</v>
      </c>
      <c r="J15" s="92">
        <f>Electricity!M20</f>
        <v>14</v>
      </c>
      <c r="K15" s="92">
        <f>Electricity!N20</f>
        <v>28</v>
      </c>
    </row>
    <row r="16" spans="1:11" ht="15" x14ac:dyDescent="0.25">
      <c r="A16" s="89" t="s">
        <v>11</v>
      </c>
      <c r="B16" s="90">
        <f t="shared" si="0"/>
        <v>15</v>
      </c>
      <c r="C16" s="91">
        <v>8</v>
      </c>
      <c r="D16" s="90">
        <v>2021</v>
      </c>
      <c r="E16" s="92">
        <f>Electricity!E21</f>
        <v>5822.38</v>
      </c>
      <c r="F16" s="93">
        <f>Electricity!I21/Electricity!E21</f>
        <v>2.6036998615686366</v>
      </c>
      <c r="G16" s="92">
        <f>Water!AW23</f>
        <v>30</v>
      </c>
      <c r="H16" s="94">
        <v>60</v>
      </c>
      <c r="I16" s="92">
        <f>Electricity!L21</f>
        <v>4</v>
      </c>
      <c r="J16" s="92">
        <f>Electricity!M21</f>
        <v>18</v>
      </c>
      <c r="K16" s="92">
        <f>Electricity!N21</f>
        <v>37</v>
      </c>
    </row>
    <row r="17" spans="1:11" ht="15" x14ac:dyDescent="0.25">
      <c r="A17" s="89" t="s">
        <v>11</v>
      </c>
      <c r="B17" s="90">
        <f t="shared" si="0"/>
        <v>16</v>
      </c>
      <c r="C17" s="91">
        <v>8</v>
      </c>
      <c r="D17" s="90">
        <v>2021</v>
      </c>
      <c r="E17" s="92">
        <f>Electricity!E22</f>
        <v>5773.56</v>
      </c>
      <c r="F17" s="93">
        <f>Electricity!I22/Electricity!E22</f>
        <v>3.6103565217993747</v>
      </c>
      <c r="G17" s="92">
        <f>Water!AW24</f>
        <v>28</v>
      </c>
      <c r="H17" s="94">
        <v>60</v>
      </c>
      <c r="I17" s="92">
        <f>Electricity!L22</f>
        <v>3</v>
      </c>
      <c r="J17" s="92">
        <f>Electricity!M21</f>
        <v>18</v>
      </c>
      <c r="K17" s="92">
        <f>Electricity!N22</f>
        <v>24</v>
      </c>
    </row>
    <row r="18" spans="1:11" ht="15" x14ac:dyDescent="0.25">
      <c r="A18" s="89" t="s">
        <v>11</v>
      </c>
      <c r="B18" s="90">
        <f t="shared" si="0"/>
        <v>17</v>
      </c>
      <c r="C18" s="91">
        <v>8</v>
      </c>
      <c r="D18" s="90">
        <v>2021</v>
      </c>
      <c r="E18" s="92">
        <f>Electricity!E23</f>
        <v>5975.91</v>
      </c>
      <c r="F18" s="93">
        <f>Electricity!I23/Electricity!E23</f>
        <v>3.6221646577676037</v>
      </c>
      <c r="G18" s="92">
        <f>Water!AW25</f>
        <v>24</v>
      </c>
      <c r="H18" s="94">
        <v>60</v>
      </c>
      <c r="I18" s="92">
        <f>Electricity!L23</f>
        <v>3</v>
      </c>
      <c r="J18" s="92">
        <f>Electricity!M23</f>
        <v>11</v>
      </c>
      <c r="K18" s="92">
        <f>Electricity!N23</f>
        <v>24</v>
      </c>
    </row>
    <row r="19" spans="1:11" ht="15" x14ac:dyDescent="0.25">
      <c r="A19" s="89" t="s">
        <v>11</v>
      </c>
      <c r="B19" s="90">
        <f t="shared" si="0"/>
        <v>18</v>
      </c>
      <c r="C19" s="91">
        <v>8</v>
      </c>
      <c r="D19" s="90">
        <v>2021</v>
      </c>
      <c r="E19" s="92">
        <f>Electricity!E24</f>
        <v>6438.47</v>
      </c>
      <c r="F19" s="93">
        <f>Electricity!I24/Electricity!E24</f>
        <v>3.6612797760958737</v>
      </c>
      <c r="G19" s="92">
        <f>Water!AW26</f>
        <v>31</v>
      </c>
      <c r="H19" s="94">
        <v>60</v>
      </c>
      <c r="I19" s="92">
        <f>Electricity!L24</f>
        <v>3</v>
      </c>
      <c r="J19" s="92">
        <f>Electricity!M24</f>
        <v>14</v>
      </c>
      <c r="K19" s="92">
        <f>Electricity!N24</f>
        <v>15</v>
      </c>
    </row>
    <row r="20" spans="1:11" ht="15" x14ac:dyDescent="0.25">
      <c r="A20" s="89" t="s">
        <v>11</v>
      </c>
      <c r="B20" s="90">
        <f t="shared" si="0"/>
        <v>19</v>
      </c>
      <c r="C20" s="91">
        <v>8</v>
      </c>
      <c r="D20" s="90">
        <v>2021</v>
      </c>
      <c r="E20" s="92">
        <f>Electricity!E25</f>
        <v>6152.4</v>
      </c>
      <c r="F20" s="93">
        <f>Electricity!I25/Electricity!E25</f>
        <v>3.6157499512385414</v>
      </c>
      <c r="G20" s="92">
        <f>Water!AW27</f>
        <v>47</v>
      </c>
      <c r="H20" s="94">
        <v>60</v>
      </c>
      <c r="I20" s="92">
        <f>Electricity!L25</f>
        <v>2</v>
      </c>
      <c r="J20" s="92">
        <f>Electricity!M25</f>
        <v>13</v>
      </c>
      <c r="K20" s="92">
        <f>Electricity!N25</f>
        <v>27</v>
      </c>
    </row>
    <row r="21" spans="1:11" ht="15" x14ac:dyDescent="0.25">
      <c r="A21" s="89" t="s">
        <v>11</v>
      </c>
      <c r="B21" s="90">
        <f t="shared" si="0"/>
        <v>20</v>
      </c>
      <c r="C21" s="91">
        <v>8</v>
      </c>
      <c r="D21" s="90">
        <v>2021</v>
      </c>
      <c r="E21" s="92">
        <f>Electricity!E26</f>
        <v>6528.79</v>
      </c>
      <c r="F21" s="93">
        <f>Electricity!I26/Electricity!E26</f>
        <v>3.6399394068426156</v>
      </c>
      <c r="G21" s="92">
        <f>Water!AW28</f>
        <v>67</v>
      </c>
      <c r="H21" s="94">
        <v>60</v>
      </c>
      <c r="I21" s="92">
        <f>Electricity!L26</f>
        <v>5</v>
      </c>
      <c r="J21" s="92">
        <f>Electricity!M26</f>
        <v>29</v>
      </c>
      <c r="K21" s="92">
        <f>Electricity!N26</f>
        <v>46</v>
      </c>
    </row>
    <row r="22" spans="1:11" ht="15" x14ac:dyDescent="0.25">
      <c r="A22" s="89" t="s">
        <v>11</v>
      </c>
      <c r="B22" s="90">
        <f t="shared" si="0"/>
        <v>21</v>
      </c>
      <c r="C22" s="91">
        <v>8</v>
      </c>
      <c r="D22" s="90">
        <v>2021</v>
      </c>
      <c r="E22" s="92">
        <f>Electricity!E27</f>
        <v>6432.16</v>
      </c>
      <c r="F22" s="93">
        <f>Electricity!I27/Electricity!E27</f>
        <v>2.6036992238999028</v>
      </c>
      <c r="G22" s="92">
        <f>Water!AW29</f>
        <v>50</v>
      </c>
      <c r="H22" s="94">
        <v>60</v>
      </c>
      <c r="I22" s="92">
        <f>Electricity!L27</f>
        <v>5</v>
      </c>
      <c r="J22" s="92">
        <f>Electricity!M27</f>
        <v>23</v>
      </c>
      <c r="K22" s="92">
        <f>Electricity!N27</f>
        <v>56</v>
      </c>
    </row>
    <row r="23" spans="1:11" ht="15" x14ac:dyDescent="0.25">
      <c r="A23" s="89" t="s">
        <v>11</v>
      </c>
      <c r="B23" s="90">
        <f t="shared" si="0"/>
        <v>22</v>
      </c>
      <c r="C23" s="91">
        <v>8</v>
      </c>
      <c r="D23" s="90">
        <v>2021</v>
      </c>
      <c r="E23" s="92">
        <f>Electricity!E28</f>
        <v>6731.25</v>
      </c>
      <c r="F23" s="93">
        <f>Electricity!I28/Electricity!E28</f>
        <v>2.6037006499535749</v>
      </c>
      <c r="G23" s="92">
        <f>Water!AW30</f>
        <v>71</v>
      </c>
      <c r="H23" s="94">
        <v>60</v>
      </c>
      <c r="I23" s="92">
        <f>Electricity!L28</f>
        <v>6</v>
      </c>
      <c r="J23" s="92">
        <f>Electricity!M28</f>
        <v>25</v>
      </c>
      <c r="K23" s="92">
        <f>Electricity!N28</f>
        <v>55</v>
      </c>
    </row>
    <row r="24" spans="1:11" ht="15" x14ac:dyDescent="0.25">
      <c r="A24" s="89" t="s">
        <v>11</v>
      </c>
      <c r="B24" s="90">
        <f t="shared" si="0"/>
        <v>23</v>
      </c>
      <c r="C24" s="91">
        <v>8</v>
      </c>
      <c r="D24" s="90">
        <v>2021</v>
      </c>
      <c r="E24" s="92">
        <f>Electricity!E29</f>
        <v>6360.39</v>
      </c>
      <c r="F24" s="93">
        <f>Electricity!I29/Electricity!E29</f>
        <v>3.6338683634179665</v>
      </c>
      <c r="G24" s="92">
        <f>Water!AW31</f>
        <v>59</v>
      </c>
      <c r="H24" s="94">
        <v>60</v>
      </c>
      <c r="I24" s="92">
        <f>Electricity!L29</f>
        <v>0</v>
      </c>
      <c r="J24" s="92">
        <f>Electricity!M29</f>
        <v>13</v>
      </c>
      <c r="K24" s="92">
        <f>Electricity!N29</f>
        <v>29</v>
      </c>
    </row>
    <row r="25" spans="1:11" ht="15" x14ac:dyDescent="0.25">
      <c r="A25" s="89" t="s">
        <v>11</v>
      </c>
      <c r="B25" s="90">
        <f t="shared" si="0"/>
        <v>24</v>
      </c>
      <c r="C25" s="91">
        <v>8</v>
      </c>
      <c r="D25" s="90">
        <v>2021</v>
      </c>
      <c r="E25" s="92">
        <f>Electricity!E30</f>
        <v>6292.37</v>
      </c>
      <c r="F25" s="93">
        <f>Electricity!I30/Electricity!E30</f>
        <v>3.6130869608748375</v>
      </c>
      <c r="G25" s="92">
        <f>Water!AW32</f>
        <v>44</v>
      </c>
      <c r="H25" s="94">
        <v>60</v>
      </c>
      <c r="I25" s="92">
        <f>Electricity!L30</f>
        <v>0</v>
      </c>
      <c r="J25" s="92">
        <f>Electricity!M30</f>
        <v>7</v>
      </c>
      <c r="K25" s="92">
        <f>Electricity!N30</f>
        <v>19</v>
      </c>
    </row>
    <row r="26" spans="1:11" ht="15" x14ac:dyDescent="0.25">
      <c r="A26" s="89" t="s">
        <v>11</v>
      </c>
      <c r="B26" s="90">
        <f>B25+1</f>
        <v>25</v>
      </c>
      <c r="C26" s="91">
        <v>8</v>
      </c>
      <c r="D26" s="90">
        <v>2021</v>
      </c>
      <c r="E26" s="92">
        <f>Electricity!E31</f>
        <v>5908.67</v>
      </c>
      <c r="F26" s="93">
        <f>Electricity!I31/Electricity!E31</f>
        <v>3.6023250579233568</v>
      </c>
      <c r="G26" s="92">
        <f>Water!AW33</f>
        <v>40</v>
      </c>
      <c r="H26" s="94">
        <v>60</v>
      </c>
      <c r="I26" s="92">
        <f>Electricity!L31</f>
        <v>1</v>
      </c>
      <c r="J26" s="92">
        <f>Electricity!M31</f>
        <v>8</v>
      </c>
      <c r="K26" s="92">
        <f>Electricity!N31</f>
        <v>17</v>
      </c>
    </row>
    <row r="27" spans="1:11" ht="15" x14ac:dyDescent="0.25">
      <c r="A27" s="89" t="s">
        <v>11</v>
      </c>
      <c r="B27" s="90">
        <f t="shared" si="0"/>
        <v>26</v>
      </c>
      <c r="C27" s="91">
        <v>8</v>
      </c>
      <c r="D27" s="90">
        <v>2021</v>
      </c>
      <c r="E27" s="92">
        <f>Electricity!E32</f>
        <v>5623.02</v>
      </c>
      <c r="F27" s="93">
        <f>Electricity!I32/Electricity!E32</f>
        <v>3.6230833253305157</v>
      </c>
      <c r="G27" s="92">
        <f>Water!AW34</f>
        <v>17</v>
      </c>
      <c r="H27" s="94">
        <v>60</v>
      </c>
      <c r="I27" s="92">
        <f>Electricity!L32</f>
        <v>1</v>
      </c>
      <c r="J27" s="92">
        <f>Electricity!M32</f>
        <v>8</v>
      </c>
      <c r="K27" s="92">
        <f>Electricity!N32</f>
        <v>14</v>
      </c>
    </row>
    <row r="28" spans="1:11" ht="15" x14ac:dyDescent="0.25">
      <c r="A28" s="89" t="s">
        <v>11</v>
      </c>
      <c r="B28" s="90">
        <f t="shared" si="0"/>
        <v>27</v>
      </c>
      <c r="C28" s="91">
        <v>8</v>
      </c>
      <c r="D28" s="90">
        <v>2021</v>
      </c>
      <c r="E28" s="92">
        <f>Electricity!E33</f>
        <v>5895</v>
      </c>
      <c r="F28" s="93">
        <f>Electricity!I33/Electricity!E33</f>
        <v>3.6205258629346906</v>
      </c>
      <c r="G28" s="92">
        <f>Water!AW35</f>
        <v>39</v>
      </c>
      <c r="H28" s="94">
        <v>60</v>
      </c>
      <c r="I28" s="92">
        <f>Electricity!L33</f>
        <v>2</v>
      </c>
      <c r="J28" s="92">
        <f>Electricity!M33</f>
        <v>7</v>
      </c>
      <c r="K28" s="92">
        <f>Electricity!N33</f>
        <v>15</v>
      </c>
    </row>
    <row r="29" spans="1:11" ht="15" x14ac:dyDescent="0.25">
      <c r="A29" s="89" t="s">
        <v>11</v>
      </c>
      <c r="B29" s="90">
        <f t="shared" si="0"/>
        <v>28</v>
      </c>
      <c r="C29" s="91">
        <v>8</v>
      </c>
      <c r="D29" s="90">
        <v>2021</v>
      </c>
      <c r="E29" s="92">
        <f>Electricity!E34</f>
        <v>5898.71</v>
      </c>
      <c r="F29" s="93">
        <f>Electricity!I34/Electricity!E34</f>
        <v>2.6036999999999999</v>
      </c>
      <c r="G29" s="92">
        <f>Water!AW36</f>
        <v>32</v>
      </c>
      <c r="H29" s="94">
        <v>60</v>
      </c>
      <c r="I29" s="92">
        <f>Electricity!L34</f>
        <v>1</v>
      </c>
      <c r="J29" s="92">
        <f>Electricity!M34</f>
        <v>5</v>
      </c>
      <c r="K29" s="92">
        <f>Electricity!N34</f>
        <v>9</v>
      </c>
    </row>
    <row r="30" spans="1:11" ht="15" x14ac:dyDescent="0.25">
      <c r="A30" s="89" t="s">
        <v>11</v>
      </c>
      <c r="B30" s="90">
        <f t="shared" si="0"/>
        <v>29</v>
      </c>
      <c r="C30" s="91">
        <v>8</v>
      </c>
      <c r="D30" s="90">
        <v>2021</v>
      </c>
      <c r="E30" s="92">
        <f>Electricity!E35</f>
        <v>6159.96</v>
      </c>
      <c r="F30" s="93">
        <f>Electricity!I35/Electricity!E35</f>
        <v>2.6036999999999999</v>
      </c>
      <c r="G30" s="92">
        <f>Water!AW37</f>
        <v>45</v>
      </c>
      <c r="H30" s="94">
        <v>60</v>
      </c>
      <c r="I30" s="92">
        <f>Electricity!L35</f>
        <v>1</v>
      </c>
      <c r="J30" s="92">
        <f>Electricity!M35</f>
        <v>5</v>
      </c>
      <c r="K30" s="92">
        <f>Electricity!N35</f>
        <v>35</v>
      </c>
    </row>
    <row r="31" spans="1:11" ht="15" x14ac:dyDescent="0.25">
      <c r="A31" s="89" t="s">
        <v>11</v>
      </c>
      <c r="B31" s="90">
        <f t="shared" si="0"/>
        <v>30</v>
      </c>
      <c r="C31" s="91">
        <v>8</v>
      </c>
      <c r="D31" s="90">
        <v>2021</v>
      </c>
      <c r="E31" s="92">
        <f>Electricity!E36</f>
        <v>0</v>
      </c>
      <c r="F31" s="93" t="e">
        <f>Electricity!I36/Electricity!E36</f>
        <v>#DIV/0!</v>
      </c>
      <c r="G31" s="92">
        <f>Water!AW38</f>
        <v>69</v>
      </c>
      <c r="H31" s="94">
        <v>60</v>
      </c>
      <c r="I31" s="92">
        <f>Electricity!L36</f>
        <v>1</v>
      </c>
      <c r="J31" s="92">
        <f>Electricity!M36</f>
        <v>5</v>
      </c>
      <c r="K31" s="92">
        <f>Electricity!N36</f>
        <v>8</v>
      </c>
    </row>
    <row r="32" spans="1:11" ht="15" x14ac:dyDescent="0.25">
      <c r="A32" s="89" t="s">
        <v>11</v>
      </c>
      <c r="B32" s="90">
        <f t="shared" si="0"/>
        <v>31</v>
      </c>
      <c r="C32" s="91">
        <v>8</v>
      </c>
      <c r="D32" s="90">
        <v>2021</v>
      </c>
      <c r="E32" s="92">
        <f>Electricity!E37</f>
        <v>0</v>
      </c>
      <c r="F32" s="93" t="e">
        <f>Electricity!I37/Electricity!E37</f>
        <v>#DIV/0!</v>
      </c>
      <c r="G32" s="92">
        <f>Water!AW39</f>
        <v>43</v>
      </c>
      <c r="H32" s="94">
        <v>60</v>
      </c>
      <c r="I32" s="92">
        <f>Electricity!L37</f>
        <v>1</v>
      </c>
      <c r="J32" s="92">
        <f>Electricity!M37</f>
        <v>5</v>
      </c>
      <c r="K32" s="92">
        <f>Electricity!N37</f>
        <v>3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2:N49"/>
  <sheetViews>
    <sheetView zoomScaleNormal="100" workbookViewId="0">
      <pane ySplit="6" topLeftCell="A25" activePane="bottomLeft" state="frozen"/>
      <selection pane="bottomLeft" activeCell="N38" sqref="N38"/>
    </sheetView>
  </sheetViews>
  <sheetFormatPr defaultRowHeight="12.75" x14ac:dyDescent="0.2"/>
  <cols>
    <col min="1" max="1" width="7.28515625" style="1" customWidth="1"/>
    <col min="2" max="8" width="13.140625" style="1" customWidth="1"/>
    <col min="9" max="9" width="13.85546875" style="1" bestFit="1" customWidth="1"/>
    <col min="10" max="10" width="13.140625" style="1" customWidth="1"/>
    <col min="11" max="11" width="9.140625" style="1"/>
    <col min="12" max="14" width="12.5703125" style="1" bestFit="1" customWidth="1"/>
    <col min="15" max="16384" width="9.140625" style="1"/>
  </cols>
  <sheetData>
    <row r="2" spans="1:14" x14ac:dyDescent="0.2">
      <c r="A2" s="1" t="s">
        <v>12</v>
      </c>
    </row>
    <row r="3" spans="1:14" ht="19.5" customHeight="1" x14ac:dyDescent="0.25">
      <c r="A3" s="190">
        <v>44409</v>
      </c>
      <c r="B3" s="190"/>
      <c r="J3" s="2" t="s">
        <v>13</v>
      </c>
    </row>
    <row r="4" spans="1:14" x14ac:dyDescent="0.2">
      <c r="A4" s="191" t="s">
        <v>14</v>
      </c>
      <c r="B4" s="194" t="s">
        <v>15</v>
      </c>
      <c r="C4" s="194" t="s">
        <v>16</v>
      </c>
      <c r="D4" s="197" t="s">
        <v>17</v>
      </c>
      <c r="E4" s="188" t="s">
        <v>18</v>
      </c>
      <c r="F4" s="3" t="s">
        <v>19</v>
      </c>
      <c r="G4" s="3" t="s">
        <v>20</v>
      </c>
      <c r="H4" s="3" t="s">
        <v>21</v>
      </c>
      <c r="I4" s="177" t="s">
        <v>22</v>
      </c>
      <c r="J4" s="180" t="s">
        <v>23</v>
      </c>
      <c r="L4" s="174" t="s">
        <v>24</v>
      </c>
      <c r="M4" s="174" t="s">
        <v>9</v>
      </c>
      <c r="N4" s="174" t="s">
        <v>10</v>
      </c>
    </row>
    <row r="5" spans="1:14" x14ac:dyDescent="0.2">
      <c r="A5" s="192"/>
      <c r="B5" s="195"/>
      <c r="C5" s="195"/>
      <c r="D5" s="198"/>
      <c r="E5" s="189"/>
      <c r="F5" s="4" t="s">
        <v>25</v>
      </c>
      <c r="G5" s="4" t="s">
        <v>26</v>
      </c>
      <c r="H5" s="4" t="s">
        <v>27</v>
      </c>
      <c r="I5" s="178"/>
      <c r="J5" s="181"/>
      <c r="L5" s="175"/>
      <c r="M5" s="175"/>
      <c r="N5" s="175"/>
    </row>
    <row r="6" spans="1:14" ht="13.5" thickBot="1" x14ac:dyDescent="0.25">
      <c r="A6" s="193"/>
      <c r="B6" s="196"/>
      <c r="C6" s="196"/>
      <c r="D6" s="199"/>
      <c r="E6" s="5" t="s">
        <v>28</v>
      </c>
      <c r="F6" s="6">
        <v>4.1839000000000004</v>
      </c>
      <c r="G6" s="6">
        <v>2.6036999999999999</v>
      </c>
      <c r="H6" s="6">
        <v>2.0603699999999998</v>
      </c>
      <c r="I6" s="179"/>
      <c r="J6" s="7">
        <v>-0.12429999999999999</v>
      </c>
      <c r="L6" s="176"/>
      <c r="M6" s="176"/>
      <c r="N6" s="176"/>
    </row>
    <row r="7" spans="1:14" x14ac:dyDescent="0.2">
      <c r="A7" s="8">
        <v>1</v>
      </c>
      <c r="B7" s="155"/>
      <c r="C7" s="155"/>
      <c r="D7" s="156">
        <v>6256.28</v>
      </c>
      <c r="E7" s="129">
        <v>6256.28</v>
      </c>
      <c r="F7" s="131" t="s">
        <v>29</v>
      </c>
      <c r="G7" s="131" t="s">
        <v>29</v>
      </c>
      <c r="H7" s="130">
        <v>16289.48</v>
      </c>
      <c r="I7" s="132">
        <v>16289.48</v>
      </c>
      <c r="J7" s="133">
        <v>-777.66</v>
      </c>
      <c r="L7" s="95">
        <v>2</v>
      </c>
      <c r="M7" s="95">
        <v>17</v>
      </c>
      <c r="N7" s="96">
        <v>49</v>
      </c>
    </row>
    <row r="8" spans="1:14" x14ac:dyDescent="0.2">
      <c r="A8" s="9">
        <v>2</v>
      </c>
      <c r="B8" s="145">
        <v>3757.51</v>
      </c>
      <c r="C8" s="145">
        <v>2245.6799999999998</v>
      </c>
      <c r="D8" s="146"/>
      <c r="E8" s="134">
        <v>6003.19</v>
      </c>
      <c r="F8" s="135">
        <v>15721.05</v>
      </c>
      <c r="G8" s="135">
        <v>5847.08</v>
      </c>
      <c r="H8" s="136" t="s">
        <v>29</v>
      </c>
      <c r="I8" s="137">
        <v>21568.12</v>
      </c>
      <c r="J8" s="138">
        <v>-746.2</v>
      </c>
      <c r="L8" s="95">
        <v>1</v>
      </c>
      <c r="M8" s="95">
        <v>7</v>
      </c>
      <c r="N8" s="97">
        <v>29</v>
      </c>
    </row>
    <row r="9" spans="1:14" ht="12.75" customHeight="1" x14ac:dyDescent="0.2">
      <c r="A9" s="9">
        <v>3</v>
      </c>
      <c r="B9" s="145">
        <v>3774.5</v>
      </c>
      <c r="C9" s="145">
        <v>2167.21</v>
      </c>
      <c r="D9" s="157"/>
      <c r="E9" s="139">
        <v>5941.71</v>
      </c>
      <c r="F9" s="135">
        <v>15792.13</v>
      </c>
      <c r="G9" s="135">
        <v>5642.76</v>
      </c>
      <c r="H9" s="136" t="s">
        <v>29</v>
      </c>
      <c r="I9" s="137">
        <v>21434.9</v>
      </c>
      <c r="J9" s="138">
        <v>-738.55</v>
      </c>
      <c r="L9" s="95">
        <v>1</v>
      </c>
      <c r="M9" s="95">
        <v>7</v>
      </c>
      <c r="N9" s="98">
        <v>13</v>
      </c>
    </row>
    <row r="10" spans="1:14" ht="12.75" customHeight="1" x14ac:dyDescent="0.2">
      <c r="A10" s="9">
        <v>4</v>
      </c>
      <c r="B10" s="145">
        <v>3726.76</v>
      </c>
      <c r="C10" s="145">
        <v>2125.0700000000002</v>
      </c>
      <c r="D10" s="147"/>
      <c r="E10" s="139">
        <v>5851.83</v>
      </c>
      <c r="F10" s="135">
        <v>15592.39</v>
      </c>
      <c r="G10" s="135">
        <v>5533.04</v>
      </c>
      <c r="H10" s="136" t="s">
        <v>29</v>
      </c>
      <c r="I10" s="137">
        <v>21125.439999999999</v>
      </c>
      <c r="J10" s="138">
        <v>-727.38</v>
      </c>
      <c r="L10" s="95">
        <v>2</v>
      </c>
      <c r="M10" s="95">
        <v>8</v>
      </c>
      <c r="N10" s="95">
        <v>28</v>
      </c>
    </row>
    <row r="11" spans="1:14" x14ac:dyDescent="0.2">
      <c r="A11" s="9">
        <v>5</v>
      </c>
      <c r="B11" s="145">
        <v>3220.27</v>
      </c>
      <c r="C11" s="145">
        <v>2232.44</v>
      </c>
      <c r="D11" s="146"/>
      <c r="E11" s="139">
        <v>5452.71</v>
      </c>
      <c r="F11" s="135">
        <v>13473.29</v>
      </c>
      <c r="G11" s="135">
        <v>5812.6</v>
      </c>
      <c r="H11" s="136" t="s">
        <v>29</v>
      </c>
      <c r="I11" s="137">
        <v>19285.89</v>
      </c>
      <c r="J11" s="138">
        <v>-677.77</v>
      </c>
      <c r="L11" s="95">
        <v>2</v>
      </c>
      <c r="M11" s="95">
        <v>9</v>
      </c>
      <c r="N11" s="97">
        <v>14</v>
      </c>
    </row>
    <row r="12" spans="1:14" x14ac:dyDescent="0.2">
      <c r="A12" s="9">
        <v>6</v>
      </c>
      <c r="B12" s="145">
        <v>3848.65</v>
      </c>
      <c r="C12" s="145">
        <v>2175.9499999999998</v>
      </c>
      <c r="D12" s="146"/>
      <c r="E12" s="139">
        <v>6024.6</v>
      </c>
      <c r="F12" s="135">
        <v>16102.37</v>
      </c>
      <c r="G12" s="135">
        <v>5665.52</v>
      </c>
      <c r="H12" s="136" t="s">
        <v>29</v>
      </c>
      <c r="I12" s="137">
        <v>21767.89</v>
      </c>
      <c r="J12" s="138">
        <v>-748.86</v>
      </c>
      <c r="L12" s="97">
        <v>1</v>
      </c>
      <c r="M12" s="97">
        <v>7</v>
      </c>
      <c r="N12" s="97">
        <v>17</v>
      </c>
    </row>
    <row r="13" spans="1:14" x14ac:dyDescent="0.2">
      <c r="A13" s="9">
        <v>7</v>
      </c>
      <c r="B13" s="147"/>
      <c r="C13" s="147"/>
      <c r="D13" s="148">
        <v>6388.37</v>
      </c>
      <c r="E13" s="139">
        <v>6388.37</v>
      </c>
      <c r="F13" s="136" t="s">
        <v>29</v>
      </c>
      <c r="G13" s="136" t="s">
        <v>29</v>
      </c>
      <c r="H13" s="135">
        <v>16633.400000000001</v>
      </c>
      <c r="I13" s="137">
        <v>16633.400000000001</v>
      </c>
      <c r="J13" s="138">
        <v>-794.07</v>
      </c>
      <c r="L13" s="97">
        <v>2</v>
      </c>
      <c r="M13" s="97">
        <v>14</v>
      </c>
      <c r="N13" s="97">
        <v>3</v>
      </c>
    </row>
    <row r="14" spans="1:14" x14ac:dyDescent="0.2">
      <c r="A14" s="9">
        <v>8</v>
      </c>
      <c r="B14" s="147"/>
      <c r="C14" s="147"/>
      <c r="D14" s="148">
        <v>6579.86</v>
      </c>
      <c r="E14" s="139">
        <v>6579.86</v>
      </c>
      <c r="F14" s="136" t="s">
        <v>29</v>
      </c>
      <c r="G14" s="136" t="s">
        <v>29</v>
      </c>
      <c r="H14" s="135">
        <v>17131.98</v>
      </c>
      <c r="I14" s="137">
        <v>17131.98</v>
      </c>
      <c r="J14" s="138">
        <v>-817.88</v>
      </c>
      <c r="L14" s="97">
        <v>4</v>
      </c>
      <c r="M14" s="97">
        <v>17</v>
      </c>
      <c r="N14" s="97">
        <v>36</v>
      </c>
    </row>
    <row r="15" spans="1:14" x14ac:dyDescent="0.2">
      <c r="A15" s="9">
        <v>9</v>
      </c>
      <c r="B15" s="145">
        <v>4239.24</v>
      </c>
      <c r="C15" s="145">
        <v>2480.71</v>
      </c>
      <c r="D15" s="147"/>
      <c r="E15" s="139">
        <v>6719.95</v>
      </c>
      <c r="F15" s="135">
        <v>17736.560000000001</v>
      </c>
      <c r="G15" s="135">
        <v>6459.02</v>
      </c>
      <c r="H15" s="136" t="s">
        <v>29</v>
      </c>
      <c r="I15" s="137">
        <v>24195.58</v>
      </c>
      <c r="J15" s="138">
        <v>-835.29</v>
      </c>
      <c r="L15" s="97">
        <v>4</v>
      </c>
      <c r="M15" s="97">
        <v>18</v>
      </c>
      <c r="N15" s="99">
        <v>28</v>
      </c>
    </row>
    <row r="16" spans="1:14" x14ac:dyDescent="0.2">
      <c r="A16" s="9">
        <v>10</v>
      </c>
      <c r="B16" s="145">
        <v>4097.58</v>
      </c>
      <c r="C16" s="145">
        <v>2497.61</v>
      </c>
      <c r="D16" s="146"/>
      <c r="E16" s="139">
        <v>6595.19</v>
      </c>
      <c r="F16" s="135">
        <v>17143.86</v>
      </c>
      <c r="G16" s="135">
        <v>6503.03</v>
      </c>
      <c r="H16" s="136" t="s">
        <v>29</v>
      </c>
      <c r="I16" s="137">
        <v>23646.89</v>
      </c>
      <c r="J16" s="138">
        <v>-819.78</v>
      </c>
      <c r="L16" s="97">
        <v>4</v>
      </c>
      <c r="M16" s="97">
        <v>14</v>
      </c>
      <c r="N16" s="97">
        <v>26</v>
      </c>
    </row>
    <row r="17" spans="1:14" x14ac:dyDescent="0.2">
      <c r="A17" s="9">
        <v>11</v>
      </c>
      <c r="B17" s="145">
        <v>4166.6499999999996</v>
      </c>
      <c r="C17" s="145">
        <v>2366.58</v>
      </c>
      <c r="D17" s="147"/>
      <c r="E17" s="134">
        <v>6533.23</v>
      </c>
      <c r="F17" s="135">
        <v>17432.849999999999</v>
      </c>
      <c r="G17" s="135">
        <v>6161.86</v>
      </c>
      <c r="H17" s="136" t="s">
        <v>29</v>
      </c>
      <c r="I17" s="137">
        <v>23594.71</v>
      </c>
      <c r="J17" s="138">
        <v>-812.08</v>
      </c>
      <c r="L17" s="97">
        <v>4</v>
      </c>
      <c r="M17" s="97">
        <v>17</v>
      </c>
      <c r="N17" s="99">
        <v>20</v>
      </c>
    </row>
    <row r="18" spans="1:14" s="10" customFormat="1" x14ac:dyDescent="0.2">
      <c r="A18" s="9">
        <v>12</v>
      </c>
      <c r="B18" s="147"/>
      <c r="C18" s="147"/>
      <c r="D18" s="145">
        <v>6681.19</v>
      </c>
      <c r="E18" s="134">
        <v>6681.19</v>
      </c>
      <c r="F18" s="136" t="s">
        <v>29</v>
      </c>
      <c r="G18" s="136" t="s">
        <v>29</v>
      </c>
      <c r="H18" s="135">
        <v>17395.810000000001</v>
      </c>
      <c r="I18" s="137">
        <v>17395.810000000001</v>
      </c>
      <c r="J18" s="138">
        <v>-830.47</v>
      </c>
      <c r="L18" s="97">
        <v>2</v>
      </c>
      <c r="M18" s="97">
        <v>11</v>
      </c>
      <c r="N18" s="97">
        <v>36</v>
      </c>
    </row>
    <row r="19" spans="1:14" s="10" customFormat="1" x14ac:dyDescent="0.2">
      <c r="A19" s="9">
        <v>13</v>
      </c>
      <c r="B19" s="145">
        <v>4429.88</v>
      </c>
      <c r="C19" s="145">
        <v>2340.88</v>
      </c>
      <c r="D19" s="146"/>
      <c r="E19" s="139">
        <v>6770.76</v>
      </c>
      <c r="F19" s="135">
        <v>18534.169999999998</v>
      </c>
      <c r="G19" s="135">
        <v>6094.95</v>
      </c>
      <c r="H19" s="136" t="s">
        <v>29</v>
      </c>
      <c r="I19" s="137">
        <v>24629.119999999999</v>
      </c>
      <c r="J19" s="138">
        <v>-841.61</v>
      </c>
      <c r="L19" s="95">
        <v>5</v>
      </c>
      <c r="M19" s="95">
        <v>14</v>
      </c>
      <c r="N19" s="97">
        <v>25</v>
      </c>
    </row>
    <row r="20" spans="1:14" s="10" customFormat="1" x14ac:dyDescent="0.2">
      <c r="A20" s="9">
        <v>14</v>
      </c>
      <c r="B20" s="147"/>
      <c r="C20" s="147"/>
      <c r="D20" s="148">
        <v>6623.27</v>
      </c>
      <c r="E20" s="139">
        <v>6623.27</v>
      </c>
      <c r="F20" s="136" t="s">
        <v>29</v>
      </c>
      <c r="G20" s="136" t="s">
        <v>29</v>
      </c>
      <c r="H20" s="135">
        <v>17245.009999999998</v>
      </c>
      <c r="I20" s="137">
        <v>17245.009999999998</v>
      </c>
      <c r="J20" s="138">
        <v>-823.27</v>
      </c>
      <c r="L20" s="97">
        <v>5</v>
      </c>
      <c r="M20" s="97">
        <v>14</v>
      </c>
      <c r="N20" s="97">
        <v>28</v>
      </c>
    </row>
    <row r="21" spans="1:14" s="10" customFormat="1" x14ac:dyDescent="0.2">
      <c r="A21" s="9">
        <v>15</v>
      </c>
      <c r="B21" s="147"/>
      <c r="C21" s="147"/>
      <c r="D21" s="148">
        <v>5822.38</v>
      </c>
      <c r="E21" s="139">
        <v>5822.38</v>
      </c>
      <c r="F21" s="136" t="s">
        <v>29</v>
      </c>
      <c r="G21" s="136" t="s">
        <v>29</v>
      </c>
      <c r="H21" s="135">
        <v>15159.73</v>
      </c>
      <c r="I21" s="137">
        <v>15159.73</v>
      </c>
      <c r="J21" s="138">
        <v>-723.72</v>
      </c>
      <c r="L21" s="99">
        <v>4</v>
      </c>
      <c r="M21" s="99">
        <v>18</v>
      </c>
      <c r="N21" s="97">
        <v>37</v>
      </c>
    </row>
    <row r="22" spans="1:14" x14ac:dyDescent="0.2">
      <c r="A22" s="9">
        <v>16</v>
      </c>
      <c r="B22" s="145">
        <v>3678.01</v>
      </c>
      <c r="C22" s="145">
        <v>2095.5500000000002</v>
      </c>
      <c r="D22" s="147"/>
      <c r="E22" s="139">
        <v>5773.56</v>
      </c>
      <c r="F22" s="135">
        <v>15388.43</v>
      </c>
      <c r="G22" s="135">
        <v>5456.18</v>
      </c>
      <c r="H22" s="136" t="s">
        <v>29</v>
      </c>
      <c r="I22" s="137">
        <v>20844.61</v>
      </c>
      <c r="J22" s="138">
        <v>-717.65</v>
      </c>
      <c r="L22" s="99">
        <v>3</v>
      </c>
      <c r="M22" s="99">
        <v>11</v>
      </c>
      <c r="N22" s="99">
        <v>24</v>
      </c>
    </row>
    <row r="23" spans="1:14" x14ac:dyDescent="0.2">
      <c r="A23" s="9">
        <v>17</v>
      </c>
      <c r="B23" s="145">
        <v>3851.57</v>
      </c>
      <c r="C23" s="145">
        <v>2124.34</v>
      </c>
      <c r="D23" s="147"/>
      <c r="E23" s="139">
        <v>5975.91</v>
      </c>
      <c r="F23" s="135">
        <v>16114.58</v>
      </c>
      <c r="G23" s="135">
        <v>5531.14</v>
      </c>
      <c r="H23" s="136" t="s">
        <v>29</v>
      </c>
      <c r="I23" s="137">
        <v>21645.73</v>
      </c>
      <c r="J23" s="138">
        <v>-742.81</v>
      </c>
      <c r="L23" s="95">
        <v>3</v>
      </c>
      <c r="M23" s="95">
        <v>11</v>
      </c>
      <c r="N23" s="99">
        <v>24</v>
      </c>
    </row>
    <row r="24" spans="1:14" x14ac:dyDescent="0.2">
      <c r="A24" s="9">
        <v>18</v>
      </c>
      <c r="B24" s="145">
        <v>4309.07</v>
      </c>
      <c r="C24" s="145">
        <v>2129.4</v>
      </c>
      <c r="D24" s="149"/>
      <c r="E24" s="134">
        <v>6438.47</v>
      </c>
      <c r="F24" s="135">
        <v>18028.72</v>
      </c>
      <c r="G24" s="135">
        <v>5544.32</v>
      </c>
      <c r="H24" s="136" t="s">
        <v>29</v>
      </c>
      <c r="I24" s="137">
        <v>23573.040000000001</v>
      </c>
      <c r="J24" s="138">
        <v>-800.3</v>
      </c>
      <c r="L24" s="95">
        <v>3</v>
      </c>
      <c r="M24" s="95">
        <v>14</v>
      </c>
      <c r="N24" s="99">
        <v>15</v>
      </c>
    </row>
    <row r="25" spans="1:14" x14ac:dyDescent="0.2">
      <c r="A25" s="9">
        <v>19</v>
      </c>
      <c r="B25" s="145">
        <v>3940.35</v>
      </c>
      <c r="C25" s="145">
        <v>2212.0500000000002</v>
      </c>
      <c r="D25" s="146"/>
      <c r="E25" s="134">
        <v>6152.4</v>
      </c>
      <c r="F25" s="135">
        <v>16486.03</v>
      </c>
      <c r="G25" s="135">
        <v>5759.51</v>
      </c>
      <c r="H25" s="136" t="s">
        <v>29</v>
      </c>
      <c r="I25" s="137">
        <v>22245.54</v>
      </c>
      <c r="J25" s="138">
        <v>-764.74</v>
      </c>
      <c r="L25" s="97">
        <v>2</v>
      </c>
      <c r="M25" s="97">
        <v>13</v>
      </c>
      <c r="N25" s="97">
        <v>27</v>
      </c>
    </row>
    <row r="26" spans="1:14" x14ac:dyDescent="0.2">
      <c r="A26" s="9">
        <v>20</v>
      </c>
      <c r="B26" s="145">
        <v>4281.3500000000004</v>
      </c>
      <c r="C26" s="145">
        <v>2247.44</v>
      </c>
      <c r="D26" s="147"/>
      <c r="E26" s="134">
        <v>6528.79</v>
      </c>
      <c r="F26" s="135">
        <v>17912.740000000002</v>
      </c>
      <c r="G26" s="135">
        <v>5851.66</v>
      </c>
      <c r="H26" s="136" t="s">
        <v>29</v>
      </c>
      <c r="I26" s="137">
        <v>23764.400000000001</v>
      </c>
      <c r="J26" s="138">
        <v>-811.53</v>
      </c>
      <c r="L26" s="97">
        <v>5</v>
      </c>
      <c r="M26" s="97">
        <v>29</v>
      </c>
      <c r="N26" s="97">
        <v>46</v>
      </c>
    </row>
    <row r="27" spans="1:14" x14ac:dyDescent="0.2">
      <c r="A27" s="9">
        <v>21</v>
      </c>
      <c r="B27" s="147"/>
      <c r="C27" s="147"/>
      <c r="D27" s="145">
        <v>6432.16</v>
      </c>
      <c r="E27" s="134">
        <v>6432.16</v>
      </c>
      <c r="F27" s="136" t="s">
        <v>29</v>
      </c>
      <c r="G27" s="136" t="s">
        <v>29</v>
      </c>
      <c r="H27" s="135">
        <v>16747.41</v>
      </c>
      <c r="I27" s="137">
        <v>16747.41</v>
      </c>
      <c r="J27" s="138">
        <v>-799.52</v>
      </c>
      <c r="K27" s="1" t="s">
        <v>30</v>
      </c>
      <c r="L27" s="99">
        <v>5</v>
      </c>
      <c r="M27" s="99">
        <v>23</v>
      </c>
      <c r="N27" s="97">
        <v>56</v>
      </c>
    </row>
    <row r="28" spans="1:14" x14ac:dyDescent="0.2">
      <c r="A28" s="9">
        <v>22</v>
      </c>
      <c r="B28" s="147"/>
      <c r="C28" s="147"/>
      <c r="D28" s="148">
        <v>6731.25</v>
      </c>
      <c r="E28" s="134">
        <v>6731.25</v>
      </c>
      <c r="F28" s="136" t="s">
        <v>29</v>
      </c>
      <c r="G28" s="136" t="s">
        <v>29</v>
      </c>
      <c r="H28" s="135">
        <v>17526.16</v>
      </c>
      <c r="I28" s="137">
        <v>17526.16</v>
      </c>
      <c r="J28" s="138">
        <v>-836.69</v>
      </c>
      <c r="L28" s="95">
        <v>6</v>
      </c>
      <c r="M28" s="99">
        <v>25</v>
      </c>
      <c r="N28" s="99">
        <v>55</v>
      </c>
    </row>
    <row r="29" spans="1:14" x14ac:dyDescent="0.2">
      <c r="A29" s="9">
        <v>23</v>
      </c>
      <c r="B29" s="145">
        <v>4146.4799999999996</v>
      </c>
      <c r="C29" s="145">
        <v>2213.91</v>
      </c>
      <c r="D29" s="149"/>
      <c r="E29" s="139">
        <v>6360.39</v>
      </c>
      <c r="F29" s="135">
        <v>17348.46</v>
      </c>
      <c r="G29" s="135">
        <v>5764.36</v>
      </c>
      <c r="H29" s="136" t="s">
        <v>29</v>
      </c>
      <c r="I29" s="137">
        <v>23112.82</v>
      </c>
      <c r="J29" s="138">
        <v>-790.6</v>
      </c>
      <c r="L29" s="97">
        <v>0</v>
      </c>
      <c r="M29" s="97">
        <v>13</v>
      </c>
      <c r="N29" s="99">
        <v>29</v>
      </c>
    </row>
    <row r="30" spans="1:14" x14ac:dyDescent="0.2">
      <c r="A30" s="9">
        <v>24</v>
      </c>
      <c r="B30" s="145">
        <v>4019.39</v>
      </c>
      <c r="C30" s="145">
        <v>2272.98</v>
      </c>
      <c r="D30" s="147"/>
      <c r="E30" s="139">
        <v>6292.37</v>
      </c>
      <c r="F30" s="135">
        <v>16816.73</v>
      </c>
      <c r="G30" s="135">
        <v>5918.16</v>
      </c>
      <c r="H30" s="136" t="s">
        <v>29</v>
      </c>
      <c r="I30" s="137">
        <v>22734.880000000001</v>
      </c>
      <c r="J30" s="138">
        <v>-782.14</v>
      </c>
      <c r="L30" s="97">
        <v>0</v>
      </c>
      <c r="M30" s="97">
        <v>7</v>
      </c>
      <c r="N30" s="99">
        <v>19</v>
      </c>
    </row>
    <row r="31" spans="1:14" x14ac:dyDescent="0.2">
      <c r="A31" s="9">
        <v>25</v>
      </c>
      <c r="B31" s="145">
        <v>3734.05</v>
      </c>
      <c r="C31" s="145">
        <v>2174.62</v>
      </c>
      <c r="D31" s="147"/>
      <c r="E31" s="134">
        <v>5908.67</v>
      </c>
      <c r="F31" s="135">
        <v>15622.89</v>
      </c>
      <c r="G31" s="135">
        <v>5662.06</v>
      </c>
      <c r="H31" s="136" t="s">
        <v>29</v>
      </c>
      <c r="I31" s="137">
        <v>21284.95</v>
      </c>
      <c r="J31" s="138">
        <v>-734.45</v>
      </c>
      <c r="L31" s="97">
        <v>1</v>
      </c>
      <c r="M31" s="97">
        <v>8</v>
      </c>
      <c r="N31" s="99">
        <v>17</v>
      </c>
    </row>
    <row r="32" spans="1:14" x14ac:dyDescent="0.2">
      <c r="A32" s="9">
        <v>26</v>
      </c>
      <c r="B32" s="145">
        <v>3627.4</v>
      </c>
      <c r="C32" s="145">
        <v>1995.62</v>
      </c>
      <c r="D32" s="146"/>
      <c r="E32" s="134">
        <v>5623.02</v>
      </c>
      <c r="F32" s="135">
        <v>15176.68</v>
      </c>
      <c r="G32" s="135">
        <v>5196</v>
      </c>
      <c r="H32" s="136" t="s">
        <v>29</v>
      </c>
      <c r="I32" s="137">
        <v>20372.669999999998</v>
      </c>
      <c r="J32" s="138">
        <v>-698.94</v>
      </c>
      <c r="L32" s="97">
        <v>1</v>
      </c>
      <c r="M32" s="97">
        <v>8</v>
      </c>
      <c r="N32" s="99">
        <v>14</v>
      </c>
    </row>
    <row r="33" spans="1:14" x14ac:dyDescent="0.2">
      <c r="A33" s="9">
        <v>27</v>
      </c>
      <c r="B33" s="158">
        <v>3793.31</v>
      </c>
      <c r="C33" s="158">
        <v>2101.69</v>
      </c>
      <c r="D33" s="158"/>
      <c r="E33" s="159">
        <f t="shared" ref="E33:E37" si="0">+B33+C33+D33</f>
        <v>5895</v>
      </c>
      <c r="F33" s="160">
        <f t="shared" ref="F33:F37" si="1">+B33*4.1839</f>
        <v>15870.829709000001</v>
      </c>
      <c r="G33" s="160">
        <f t="shared" ref="G33:H37" si="2">+C33*2.6037</f>
        <v>5472.1702530000002</v>
      </c>
      <c r="H33" s="160">
        <f t="shared" si="2"/>
        <v>0</v>
      </c>
      <c r="I33" s="161">
        <f t="shared" ref="I33:I37" si="3">F33+G33+H33</f>
        <v>21342.999962000002</v>
      </c>
      <c r="J33" s="162">
        <f t="shared" ref="J33:J37" si="4">+E33*-0.1243</f>
        <v>-732.74849999999992</v>
      </c>
      <c r="L33" s="97">
        <v>2</v>
      </c>
      <c r="M33" s="97">
        <v>7</v>
      </c>
      <c r="N33" s="99">
        <v>15</v>
      </c>
    </row>
    <row r="34" spans="1:14" x14ac:dyDescent="0.2">
      <c r="A34" s="9">
        <v>28</v>
      </c>
      <c r="B34" s="158"/>
      <c r="C34" s="158"/>
      <c r="D34" s="158">
        <v>5898.71</v>
      </c>
      <c r="E34" s="163">
        <f t="shared" si="0"/>
        <v>5898.71</v>
      </c>
      <c r="F34" s="160">
        <f t="shared" si="1"/>
        <v>0</v>
      </c>
      <c r="G34" s="160">
        <f t="shared" si="2"/>
        <v>0</v>
      </c>
      <c r="H34" s="160">
        <f t="shared" si="2"/>
        <v>15358.471227</v>
      </c>
      <c r="I34" s="161">
        <f t="shared" si="3"/>
        <v>15358.471227</v>
      </c>
      <c r="J34" s="162">
        <f t="shared" si="4"/>
        <v>-733.209653</v>
      </c>
      <c r="L34" s="97">
        <v>1</v>
      </c>
      <c r="M34" s="97">
        <v>5</v>
      </c>
      <c r="N34" s="97">
        <v>9</v>
      </c>
    </row>
    <row r="35" spans="1:14" x14ac:dyDescent="0.2">
      <c r="A35" s="9">
        <v>29</v>
      </c>
      <c r="B35" s="158"/>
      <c r="C35" s="158"/>
      <c r="D35" s="158">
        <v>6159.96</v>
      </c>
      <c r="E35" s="163">
        <f t="shared" si="0"/>
        <v>6159.96</v>
      </c>
      <c r="F35" s="160">
        <f t="shared" si="1"/>
        <v>0</v>
      </c>
      <c r="G35" s="160">
        <f t="shared" si="2"/>
        <v>0</v>
      </c>
      <c r="H35" s="160">
        <f t="shared" si="2"/>
        <v>16038.687851999999</v>
      </c>
      <c r="I35" s="161">
        <f t="shared" si="3"/>
        <v>16038.687851999999</v>
      </c>
      <c r="J35" s="162">
        <f t="shared" si="4"/>
        <v>-765.68302799999992</v>
      </c>
      <c r="L35" s="97">
        <v>1</v>
      </c>
      <c r="M35" s="97">
        <v>5</v>
      </c>
      <c r="N35" s="97">
        <v>35</v>
      </c>
    </row>
    <row r="36" spans="1:14" x14ac:dyDescent="0.2">
      <c r="A36" s="9">
        <v>30</v>
      </c>
      <c r="B36" s="158"/>
      <c r="C36" s="158"/>
      <c r="D36" s="158"/>
      <c r="E36" s="163">
        <f t="shared" si="0"/>
        <v>0</v>
      </c>
      <c r="F36" s="160">
        <f t="shared" si="1"/>
        <v>0</v>
      </c>
      <c r="G36" s="160">
        <f t="shared" si="2"/>
        <v>0</v>
      </c>
      <c r="H36" s="160">
        <f t="shared" si="2"/>
        <v>0</v>
      </c>
      <c r="I36" s="161">
        <f>F36+G36+H36</f>
        <v>0</v>
      </c>
      <c r="J36" s="162">
        <f t="shared" si="4"/>
        <v>0</v>
      </c>
      <c r="L36" s="97">
        <v>1</v>
      </c>
      <c r="M36" s="97">
        <v>5</v>
      </c>
      <c r="N36" s="97">
        <v>8</v>
      </c>
    </row>
    <row r="37" spans="1:14" ht="12.75" customHeight="1" x14ac:dyDescent="0.2">
      <c r="A37" s="9">
        <v>31</v>
      </c>
      <c r="B37" s="164"/>
      <c r="C37" s="164"/>
      <c r="D37" s="165"/>
      <c r="E37" s="163">
        <f t="shared" si="0"/>
        <v>0</v>
      </c>
      <c r="F37" s="166">
        <f t="shared" si="1"/>
        <v>0</v>
      </c>
      <c r="G37" s="166">
        <f t="shared" si="2"/>
        <v>0</v>
      </c>
      <c r="H37" s="166">
        <f t="shared" si="2"/>
        <v>0</v>
      </c>
      <c r="I37" s="167">
        <f t="shared" si="3"/>
        <v>0</v>
      </c>
      <c r="J37" s="168">
        <f t="shared" si="4"/>
        <v>0</v>
      </c>
      <c r="L37" s="97">
        <v>1</v>
      </c>
      <c r="M37" s="97">
        <v>5</v>
      </c>
      <c r="N37" s="97">
        <v>3</v>
      </c>
    </row>
    <row r="38" spans="1:14" x14ac:dyDescent="0.2">
      <c r="A38" s="108"/>
      <c r="B38" s="109"/>
      <c r="C38" s="110"/>
      <c r="D38" s="111"/>
      <c r="E38" s="116"/>
      <c r="F38" s="112"/>
      <c r="G38" s="112"/>
      <c r="H38" s="112"/>
      <c r="I38" s="113"/>
      <c r="J38" s="114"/>
      <c r="K38" s="115"/>
      <c r="L38" s="109"/>
      <c r="M38" s="111"/>
      <c r="N38" s="111"/>
    </row>
    <row r="39" spans="1:14" x14ac:dyDescent="0.2">
      <c r="A39" s="117" t="s">
        <v>18</v>
      </c>
      <c r="B39" s="118">
        <f t="shared" ref="B39:J39" si="5">SUM(B7:B37)</f>
        <v>74642.01999999999</v>
      </c>
      <c r="C39" s="118">
        <f t="shared" si="5"/>
        <v>42199.73000000001</v>
      </c>
      <c r="D39" s="119">
        <f t="shared" si="5"/>
        <v>63573.429999999993</v>
      </c>
      <c r="E39" s="118">
        <f t="shared" si="5"/>
        <v>180415.18</v>
      </c>
      <c r="F39" s="118">
        <f>SUM(F7:F37)</f>
        <v>312294.75970899995</v>
      </c>
      <c r="G39" s="118">
        <f>SUM(G7:G37)</f>
        <v>109875.420253</v>
      </c>
      <c r="H39" s="118">
        <f>SUM(H7:H37)</f>
        <v>165526.13907899999</v>
      </c>
      <c r="I39" s="118">
        <f>SUM(I7:I37)</f>
        <v>587696.31904099986</v>
      </c>
      <c r="J39" s="118">
        <f t="shared" si="5"/>
        <v>-22425.601180999998</v>
      </c>
      <c r="M39" s="123"/>
    </row>
    <row r="40" spans="1:14" x14ac:dyDescent="0.2">
      <c r="A40" s="11"/>
      <c r="B40" s="11"/>
      <c r="C40" s="11"/>
      <c r="D40" s="11"/>
      <c r="E40" s="12"/>
      <c r="F40" s="11"/>
      <c r="G40" s="13" t="s">
        <v>31</v>
      </c>
      <c r="H40" s="13"/>
      <c r="I40" s="14">
        <f>A42*132.93</f>
        <v>0</v>
      </c>
      <c r="J40" s="11"/>
    </row>
    <row r="41" spans="1:14" x14ac:dyDescent="0.2">
      <c r="A41" s="15" t="s">
        <v>32</v>
      </c>
      <c r="B41" s="15"/>
      <c r="C41" s="182" t="s">
        <v>33</v>
      </c>
      <c r="D41" s="183"/>
      <c r="E41" s="16" t="s">
        <v>34</v>
      </c>
      <c r="F41" s="11"/>
      <c r="G41" s="13" t="s">
        <v>35</v>
      </c>
      <c r="H41" s="13"/>
      <c r="I41" s="14">
        <v>312.24</v>
      </c>
      <c r="J41" s="12"/>
    </row>
    <row r="42" spans="1:14" x14ac:dyDescent="0.2">
      <c r="A42" s="184"/>
      <c r="B42" s="185"/>
      <c r="C42" s="186"/>
      <c r="D42" s="187"/>
      <c r="E42" s="17">
        <v>18.3</v>
      </c>
      <c r="F42" s="11"/>
      <c r="G42" s="13" t="s">
        <v>36</v>
      </c>
      <c r="H42" s="13"/>
      <c r="I42" s="14">
        <f>SUM(I39:I41)</f>
        <v>588008.55904099985</v>
      </c>
      <c r="J42" s="12"/>
    </row>
    <row r="43" spans="1:14" x14ac:dyDescent="0.2">
      <c r="A43" s="13"/>
      <c r="B43" s="13"/>
      <c r="C43" s="13"/>
      <c r="D43" s="18"/>
      <c r="E43" s="11"/>
      <c r="F43" s="11"/>
      <c r="G43" s="13" t="s">
        <v>37</v>
      </c>
      <c r="H43" s="13"/>
      <c r="I43" s="14">
        <f>J39</f>
        <v>-22425.601180999998</v>
      </c>
      <c r="J43" s="11"/>
    </row>
    <row r="44" spans="1:14" x14ac:dyDescent="0.2">
      <c r="E44" s="19"/>
      <c r="F44" s="11"/>
      <c r="G44" s="13" t="s">
        <v>38</v>
      </c>
      <c r="H44" s="13"/>
      <c r="I44" s="14">
        <f>SUM(I42:I43)</f>
        <v>565582.95785999985</v>
      </c>
      <c r="J44" s="12"/>
    </row>
    <row r="45" spans="1:14" x14ac:dyDescent="0.2">
      <c r="A45" s="11"/>
      <c r="B45" s="11"/>
      <c r="C45" s="11"/>
      <c r="D45" s="11"/>
      <c r="E45" s="12"/>
      <c r="F45" s="11"/>
      <c r="G45" s="20" t="s">
        <v>39</v>
      </c>
      <c r="H45" s="13"/>
      <c r="I45" s="14">
        <f>I44*0.07</f>
        <v>39590.80705019999</v>
      </c>
      <c r="J45" s="12"/>
    </row>
    <row r="46" spans="1:14" x14ac:dyDescent="0.2">
      <c r="A46" s="11"/>
      <c r="B46" s="11"/>
      <c r="C46" s="11"/>
      <c r="D46" s="11"/>
      <c r="E46" s="12"/>
      <c r="F46" s="11"/>
      <c r="G46" s="13" t="s">
        <v>18</v>
      </c>
      <c r="H46" s="13"/>
      <c r="I46" s="21">
        <f>SUM(I44:I45)</f>
        <v>605173.7649101998</v>
      </c>
      <c r="J46" s="12"/>
    </row>
    <row r="48" spans="1:14" x14ac:dyDescent="0.2">
      <c r="C48" s="22" t="s">
        <v>40</v>
      </c>
      <c r="D48" s="23" t="s">
        <v>41</v>
      </c>
      <c r="E48" s="23"/>
      <c r="F48" s="23"/>
      <c r="G48" s="23"/>
      <c r="H48" s="23"/>
      <c r="I48" s="23"/>
    </row>
    <row r="49" spans="3:3" x14ac:dyDescent="0.2">
      <c r="C49" s="1" t="s">
        <v>30</v>
      </c>
    </row>
  </sheetData>
  <mergeCells count="14">
    <mergeCell ref="C41:D41"/>
    <mergeCell ref="A42:B42"/>
    <mergeCell ref="C42:D42"/>
    <mergeCell ref="E4:E5"/>
    <mergeCell ref="A3:B3"/>
    <mergeCell ref="A4:A6"/>
    <mergeCell ref="B4:B6"/>
    <mergeCell ref="C4:C6"/>
    <mergeCell ref="D4:D6"/>
    <mergeCell ref="L4:L6"/>
    <mergeCell ref="M4:M6"/>
    <mergeCell ref="N4:N6"/>
    <mergeCell ref="I4:I6"/>
    <mergeCell ref="J4:J5"/>
  </mergeCells>
  <pageMargins left="0.7" right="0.7" top="0.75" bottom="0.75" header="0.3" footer="0.3"/>
  <pageSetup paperSize="9" scale="135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AZ56"/>
  <sheetViews>
    <sheetView topLeftCell="A6" zoomScale="70" zoomScaleNormal="70" workbookViewId="0">
      <pane xSplit="1" ySplit="3" topLeftCell="U9" activePane="bottomRight" state="frozen"/>
      <selection pane="topRight" activeCell="B6" sqref="B6"/>
      <selection pane="bottomLeft" activeCell="A9" sqref="A9"/>
      <selection pane="bottomRight" activeCell="AW14" sqref="AW14"/>
    </sheetView>
  </sheetViews>
  <sheetFormatPr defaultColWidth="9.85546875" defaultRowHeight="15" x14ac:dyDescent="0.25"/>
  <cols>
    <col min="1" max="1" width="5.85546875" style="24" customWidth="1"/>
    <col min="2" max="2" width="9.140625" style="24" customWidth="1"/>
    <col min="3" max="3" width="10" style="24" customWidth="1"/>
    <col min="4" max="4" width="9.140625" style="24" customWidth="1"/>
    <col min="5" max="5" width="10" style="24" customWidth="1"/>
    <col min="6" max="27" width="9.140625" style="24" customWidth="1"/>
    <col min="28" max="28" width="12.28515625" style="24" customWidth="1"/>
    <col min="29" max="30" width="9.140625" style="24" customWidth="1"/>
    <col min="31" max="32" width="7.7109375" style="24" hidden="1" customWidth="1"/>
    <col min="33" max="33" width="12.42578125" style="24" customWidth="1"/>
    <col min="34" max="36" width="9.140625" style="24" customWidth="1"/>
    <col min="37" max="37" width="10.42578125" style="24" customWidth="1"/>
    <col min="38" max="48" width="9.140625" style="24" customWidth="1"/>
    <col min="49" max="49" width="14.42578125" style="24" customWidth="1"/>
    <col min="50" max="50" width="9.140625" style="25" hidden="1" customWidth="1"/>
    <col min="51" max="51" width="0" hidden="1" customWidth="1"/>
    <col min="53" max="16384" width="9.85546875" style="25"/>
  </cols>
  <sheetData>
    <row r="1" spans="1:51" ht="15" hidden="1" customHeight="1" x14ac:dyDescent="0.25"/>
    <row r="2" spans="1:51" ht="15" hidden="1" customHeight="1" x14ac:dyDescent="0.25">
      <c r="A2" s="24" t="s">
        <v>42</v>
      </c>
    </row>
    <row r="3" spans="1:51" ht="15" hidden="1" customHeight="1" x14ac:dyDescent="0.25">
      <c r="D3" s="26" t="s">
        <v>43</v>
      </c>
      <c r="E3" s="27"/>
      <c r="F3" s="25"/>
    </row>
    <row r="4" spans="1:51" ht="15" hidden="1" customHeight="1" x14ac:dyDescent="0.25">
      <c r="D4" s="26" t="s">
        <v>44</v>
      </c>
      <c r="E4" s="27"/>
      <c r="F4" s="25"/>
      <c r="I4" s="200" t="s">
        <v>45</v>
      </c>
      <c r="J4" s="200"/>
      <c r="K4" s="200"/>
      <c r="L4" s="200"/>
      <c r="M4" s="200"/>
      <c r="N4" s="200"/>
      <c r="O4" s="200"/>
      <c r="P4" s="200"/>
      <c r="Q4" s="200"/>
      <c r="R4" s="200"/>
    </row>
    <row r="5" spans="1:51" ht="15" hidden="1" customHeight="1" x14ac:dyDescent="0.25"/>
    <row r="6" spans="1:51" ht="28.5" customHeight="1" thickBot="1" x14ac:dyDescent="0.35">
      <c r="D6" s="201">
        <v>44409</v>
      </c>
      <c r="E6" s="201"/>
      <c r="F6" s="201"/>
      <c r="G6" s="28"/>
      <c r="H6" s="28"/>
      <c r="I6" s="28"/>
      <c r="J6" s="28"/>
      <c r="K6" s="29"/>
      <c r="L6" s="28"/>
      <c r="M6" s="28"/>
      <c r="N6" s="28"/>
      <c r="O6" s="28"/>
      <c r="P6" s="30"/>
      <c r="Q6" s="28"/>
      <c r="R6" s="30"/>
      <c r="S6" s="28"/>
      <c r="T6" s="30"/>
      <c r="U6" s="28"/>
      <c r="V6" s="30"/>
      <c r="W6" s="28"/>
      <c r="X6" s="30"/>
      <c r="Y6" s="28"/>
      <c r="Z6" s="30"/>
      <c r="AA6" s="28"/>
      <c r="AB6" s="28"/>
      <c r="AC6" s="30"/>
      <c r="AD6" s="28"/>
      <c r="AE6" s="30"/>
      <c r="AF6" s="28"/>
      <c r="AG6" s="31" t="s">
        <v>46</v>
      </c>
      <c r="AI6" s="28"/>
      <c r="AJ6" s="28"/>
      <c r="AK6" s="32"/>
      <c r="AL6" s="32"/>
      <c r="AU6" s="33" t="s">
        <v>47</v>
      </c>
      <c r="AV6" s="28"/>
    </row>
    <row r="7" spans="1:51" s="57" customFormat="1" ht="81.75" customHeight="1" thickBot="1" x14ac:dyDescent="0.3">
      <c r="A7" s="34" t="s">
        <v>33</v>
      </c>
      <c r="B7" s="35" t="s">
        <v>48</v>
      </c>
      <c r="C7" s="35" t="s">
        <v>49</v>
      </c>
      <c r="D7" s="36" t="s">
        <v>50</v>
      </c>
      <c r="E7" s="36" t="s">
        <v>49</v>
      </c>
      <c r="F7" s="37" t="s">
        <v>51</v>
      </c>
      <c r="G7" s="37" t="s">
        <v>49</v>
      </c>
      <c r="H7" s="38" t="s">
        <v>52</v>
      </c>
      <c r="I7" s="38" t="s">
        <v>49</v>
      </c>
      <c r="J7" s="39" t="s">
        <v>53</v>
      </c>
      <c r="K7" s="39" t="s">
        <v>49</v>
      </c>
      <c r="L7" s="40" t="s">
        <v>54</v>
      </c>
      <c r="M7" s="40" t="s">
        <v>49</v>
      </c>
      <c r="N7" s="41" t="s">
        <v>55</v>
      </c>
      <c r="O7" s="41" t="s">
        <v>49</v>
      </c>
      <c r="P7" s="42" t="s">
        <v>56</v>
      </c>
      <c r="Q7" s="42" t="s">
        <v>49</v>
      </c>
      <c r="R7" s="43" t="s">
        <v>57</v>
      </c>
      <c r="S7" s="43" t="s">
        <v>49</v>
      </c>
      <c r="T7" s="44" t="s">
        <v>58</v>
      </c>
      <c r="U7" s="44" t="s">
        <v>49</v>
      </c>
      <c r="V7" s="45" t="s">
        <v>59</v>
      </c>
      <c r="W7" s="45" t="s">
        <v>49</v>
      </c>
      <c r="X7" s="42" t="s">
        <v>60</v>
      </c>
      <c r="Y7" s="42" t="s">
        <v>49</v>
      </c>
      <c r="Z7" s="46" t="s">
        <v>61</v>
      </c>
      <c r="AA7" s="47" t="s">
        <v>49</v>
      </c>
      <c r="AB7" s="48" t="s">
        <v>62</v>
      </c>
      <c r="AC7" s="35" t="s">
        <v>63</v>
      </c>
      <c r="AD7" s="35" t="s">
        <v>49</v>
      </c>
      <c r="AE7" s="49" t="s">
        <v>64</v>
      </c>
      <c r="AF7" s="49" t="s">
        <v>49</v>
      </c>
      <c r="AG7" s="50" t="s">
        <v>65</v>
      </c>
      <c r="AH7" s="51" t="s">
        <v>49</v>
      </c>
      <c r="AI7" s="52" t="s">
        <v>66</v>
      </c>
      <c r="AJ7" s="52" t="s">
        <v>49</v>
      </c>
      <c r="AK7" s="34" t="s">
        <v>67</v>
      </c>
      <c r="AL7" s="34" t="s">
        <v>49</v>
      </c>
      <c r="AM7" s="53" t="s">
        <v>68</v>
      </c>
      <c r="AN7" s="53" t="s">
        <v>49</v>
      </c>
      <c r="AO7" s="38" t="s">
        <v>69</v>
      </c>
      <c r="AP7" s="38" t="s">
        <v>49</v>
      </c>
      <c r="AQ7" s="42" t="s">
        <v>70</v>
      </c>
      <c r="AR7" s="42" t="s">
        <v>49</v>
      </c>
      <c r="AS7" s="54" t="s">
        <v>71</v>
      </c>
      <c r="AT7" s="54" t="s">
        <v>49</v>
      </c>
      <c r="AU7" s="36" t="s">
        <v>72</v>
      </c>
      <c r="AV7" s="36" t="s">
        <v>49</v>
      </c>
      <c r="AW7" s="55" t="s">
        <v>73</v>
      </c>
      <c r="AX7" s="56" t="s">
        <v>74</v>
      </c>
    </row>
    <row r="8" spans="1:51" s="63" customFormat="1" ht="15.75" customHeight="1" thickBot="1" x14ac:dyDescent="0.3">
      <c r="A8" s="58">
        <v>31</v>
      </c>
      <c r="B8" s="58"/>
      <c r="C8" s="58"/>
      <c r="D8" s="58"/>
      <c r="E8" s="58"/>
      <c r="F8" s="58"/>
      <c r="G8" s="59"/>
      <c r="H8" s="58"/>
      <c r="I8" s="58"/>
      <c r="J8" s="58"/>
      <c r="K8" s="60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61"/>
      <c r="AX8" s="62"/>
    </row>
    <row r="9" spans="1:51" s="25" customFormat="1" ht="15.75" customHeight="1" x14ac:dyDescent="0.2">
      <c r="A9" s="64">
        <v>1</v>
      </c>
      <c r="B9" s="124">
        <v>27525</v>
      </c>
      <c r="C9" s="125">
        <v>1</v>
      </c>
      <c r="D9" s="124">
        <v>12463</v>
      </c>
      <c r="E9" s="125">
        <v>1</v>
      </c>
      <c r="F9" s="124">
        <v>32381</v>
      </c>
      <c r="G9" s="125">
        <v>2</v>
      </c>
      <c r="H9" s="124">
        <v>25545</v>
      </c>
      <c r="I9" s="125">
        <v>3</v>
      </c>
      <c r="J9" s="124">
        <v>21257</v>
      </c>
      <c r="K9" s="125" t="s">
        <v>29</v>
      </c>
      <c r="L9" s="124">
        <v>15666</v>
      </c>
      <c r="M9" s="125">
        <v>1</v>
      </c>
      <c r="N9" s="124">
        <v>14218</v>
      </c>
      <c r="O9" s="125">
        <v>1</v>
      </c>
      <c r="P9" s="124">
        <v>20924</v>
      </c>
      <c r="Q9" s="125">
        <v>1</v>
      </c>
      <c r="R9" s="124">
        <v>25159</v>
      </c>
      <c r="S9" s="125">
        <v>4</v>
      </c>
      <c r="T9" s="124">
        <v>1157</v>
      </c>
      <c r="U9" s="125">
        <v>2</v>
      </c>
      <c r="V9" s="124">
        <v>3227</v>
      </c>
      <c r="W9" s="125" t="s">
        <v>29</v>
      </c>
      <c r="X9" s="124">
        <v>30538</v>
      </c>
      <c r="Y9" s="125">
        <v>2</v>
      </c>
      <c r="Z9" s="124">
        <v>12856</v>
      </c>
      <c r="AA9" s="125" t="s">
        <v>29</v>
      </c>
      <c r="AB9" s="125">
        <v>14</v>
      </c>
      <c r="AC9" s="124">
        <v>13039</v>
      </c>
      <c r="AD9" s="154">
        <v>56</v>
      </c>
      <c r="AE9" s="124">
        <v>4877</v>
      </c>
      <c r="AF9" s="126" t="s">
        <v>29</v>
      </c>
      <c r="AG9" s="124">
        <v>4877</v>
      </c>
      <c r="AH9" s="126" t="s">
        <v>29</v>
      </c>
      <c r="AI9" s="124">
        <v>39170</v>
      </c>
      <c r="AJ9" s="125">
        <v>1</v>
      </c>
      <c r="AK9" s="124">
        <v>4530</v>
      </c>
      <c r="AL9" s="125">
        <v>3</v>
      </c>
      <c r="AM9" s="124">
        <v>1242</v>
      </c>
      <c r="AN9" s="125">
        <v>2</v>
      </c>
      <c r="AO9" s="124">
        <v>1470</v>
      </c>
      <c r="AP9" s="125" t="s">
        <v>29</v>
      </c>
      <c r="AQ9" s="124">
        <v>525</v>
      </c>
      <c r="AR9" s="125" t="s">
        <v>29</v>
      </c>
      <c r="AS9" s="124">
        <v>1374</v>
      </c>
      <c r="AT9" s="125" t="s">
        <v>29</v>
      </c>
      <c r="AU9" s="124">
        <v>9640</v>
      </c>
      <c r="AV9" s="125" t="s">
        <v>29</v>
      </c>
      <c r="AW9" s="140">
        <v>80</v>
      </c>
      <c r="AX9" s="67" t="s">
        <v>75</v>
      </c>
      <c r="AY9" s="68" t="s">
        <v>76</v>
      </c>
    </row>
    <row r="10" spans="1:51" s="25" customFormat="1" ht="15.75" customHeight="1" x14ac:dyDescent="0.2">
      <c r="A10" s="69">
        <v>2</v>
      </c>
      <c r="B10" s="124">
        <v>27526</v>
      </c>
      <c r="C10" s="126">
        <v>1</v>
      </c>
      <c r="D10" s="122">
        <v>12464</v>
      </c>
      <c r="E10" s="126">
        <v>1</v>
      </c>
      <c r="F10" s="122">
        <v>32383</v>
      </c>
      <c r="G10" s="126">
        <v>2</v>
      </c>
      <c r="H10" s="122">
        <v>25547</v>
      </c>
      <c r="I10" s="126">
        <v>2</v>
      </c>
      <c r="J10" s="122">
        <v>21258</v>
      </c>
      <c r="K10" s="126">
        <v>1</v>
      </c>
      <c r="L10" s="122">
        <v>15668</v>
      </c>
      <c r="M10" s="126">
        <v>2</v>
      </c>
      <c r="N10" s="122">
        <v>14219</v>
      </c>
      <c r="O10" s="126">
        <v>1</v>
      </c>
      <c r="P10" s="122">
        <v>20925</v>
      </c>
      <c r="Q10" s="126">
        <v>1</v>
      </c>
      <c r="R10" s="122">
        <v>25161</v>
      </c>
      <c r="S10" s="126">
        <v>2</v>
      </c>
      <c r="T10" s="122">
        <v>1161</v>
      </c>
      <c r="U10" s="126">
        <v>4</v>
      </c>
      <c r="V10" s="122">
        <v>3227</v>
      </c>
      <c r="W10" s="126" t="s">
        <v>29</v>
      </c>
      <c r="X10" s="122">
        <v>30539</v>
      </c>
      <c r="Y10" s="126">
        <v>1</v>
      </c>
      <c r="Z10" s="122">
        <v>12856</v>
      </c>
      <c r="AA10" s="126" t="s">
        <v>29</v>
      </c>
      <c r="AB10" s="126">
        <v>14</v>
      </c>
      <c r="AC10" s="122">
        <v>13049</v>
      </c>
      <c r="AD10" s="150">
        <v>10</v>
      </c>
      <c r="AE10" s="122">
        <v>4881</v>
      </c>
      <c r="AF10" s="126">
        <v>4</v>
      </c>
      <c r="AG10" s="122">
        <v>4881</v>
      </c>
      <c r="AH10" s="126">
        <v>4</v>
      </c>
      <c r="AI10" s="122">
        <v>39171</v>
      </c>
      <c r="AJ10" s="126">
        <v>1</v>
      </c>
      <c r="AK10" s="122">
        <v>4539</v>
      </c>
      <c r="AL10" s="126">
        <v>9</v>
      </c>
      <c r="AM10" s="122">
        <v>1245</v>
      </c>
      <c r="AN10" s="126">
        <v>3</v>
      </c>
      <c r="AO10" s="122">
        <v>1470</v>
      </c>
      <c r="AP10" s="126" t="s">
        <v>29</v>
      </c>
      <c r="AQ10" s="122">
        <v>525</v>
      </c>
      <c r="AR10" s="126" t="s">
        <v>29</v>
      </c>
      <c r="AS10" s="122">
        <v>1374</v>
      </c>
      <c r="AT10" s="126" t="s">
        <v>29</v>
      </c>
      <c r="AU10" s="122">
        <v>9644</v>
      </c>
      <c r="AV10" s="126">
        <v>4</v>
      </c>
      <c r="AW10" s="141">
        <v>49</v>
      </c>
      <c r="AX10" s="67" t="s">
        <v>75</v>
      </c>
      <c r="AY10" s="68" t="s">
        <v>76</v>
      </c>
    </row>
    <row r="11" spans="1:51" s="25" customFormat="1" ht="15.75" customHeight="1" x14ac:dyDescent="0.2">
      <c r="A11" s="69">
        <v>3</v>
      </c>
      <c r="B11" s="122">
        <v>27527</v>
      </c>
      <c r="C11" s="126">
        <v>1</v>
      </c>
      <c r="D11" s="122">
        <v>12464</v>
      </c>
      <c r="E11" s="126" t="s">
        <v>29</v>
      </c>
      <c r="F11" s="122">
        <v>32383</v>
      </c>
      <c r="G11" s="126" t="s">
        <v>29</v>
      </c>
      <c r="H11" s="122">
        <v>25549</v>
      </c>
      <c r="I11" s="126">
        <v>2</v>
      </c>
      <c r="J11" s="122">
        <v>21258</v>
      </c>
      <c r="K11" s="126" t="s">
        <v>29</v>
      </c>
      <c r="L11" s="122">
        <v>15668</v>
      </c>
      <c r="M11" s="126" t="s">
        <v>29</v>
      </c>
      <c r="N11" s="122">
        <v>14222</v>
      </c>
      <c r="O11" s="126">
        <v>3</v>
      </c>
      <c r="P11" s="122">
        <v>20926</v>
      </c>
      <c r="Q11" s="126">
        <v>1</v>
      </c>
      <c r="R11" s="122">
        <v>25162</v>
      </c>
      <c r="S11" s="126">
        <v>1</v>
      </c>
      <c r="T11" s="122">
        <v>1169</v>
      </c>
      <c r="U11" s="126">
        <v>8</v>
      </c>
      <c r="V11" s="122">
        <v>3227</v>
      </c>
      <c r="W11" s="126" t="s">
        <v>29</v>
      </c>
      <c r="X11" s="122">
        <v>30540</v>
      </c>
      <c r="Y11" s="126">
        <v>1</v>
      </c>
      <c r="Z11" s="122">
        <v>12856</v>
      </c>
      <c r="AA11" s="126" t="s">
        <v>29</v>
      </c>
      <c r="AB11" s="126">
        <v>16</v>
      </c>
      <c r="AC11" s="122">
        <v>13054</v>
      </c>
      <c r="AD11" s="150">
        <v>5</v>
      </c>
      <c r="AE11" s="122">
        <v>4881</v>
      </c>
      <c r="AF11" s="126" t="s">
        <v>29</v>
      </c>
      <c r="AG11" s="122">
        <v>4881</v>
      </c>
      <c r="AH11" s="126" t="s">
        <v>29</v>
      </c>
      <c r="AI11" s="122">
        <v>39172</v>
      </c>
      <c r="AJ11" s="126">
        <v>1</v>
      </c>
      <c r="AK11" s="122">
        <v>4540</v>
      </c>
      <c r="AL11" s="126">
        <v>1</v>
      </c>
      <c r="AM11" s="122">
        <v>1246</v>
      </c>
      <c r="AN11" s="126">
        <v>1</v>
      </c>
      <c r="AO11" s="122">
        <v>1470</v>
      </c>
      <c r="AP11" s="126" t="s">
        <v>29</v>
      </c>
      <c r="AQ11" s="122">
        <v>525</v>
      </c>
      <c r="AR11" s="126" t="s">
        <v>29</v>
      </c>
      <c r="AS11" s="122">
        <v>1374</v>
      </c>
      <c r="AT11" s="126" t="s">
        <v>29</v>
      </c>
      <c r="AU11" s="122">
        <v>9645</v>
      </c>
      <c r="AV11" s="126">
        <v>1</v>
      </c>
      <c r="AW11" s="141">
        <v>26</v>
      </c>
      <c r="AX11" s="67" t="s">
        <v>75</v>
      </c>
      <c r="AY11" s="68" t="s">
        <v>76</v>
      </c>
    </row>
    <row r="12" spans="1:51" s="25" customFormat="1" ht="15.75" customHeight="1" x14ac:dyDescent="0.2">
      <c r="A12" s="64">
        <v>4</v>
      </c>
      <c r="B12" s="122">
        <v>27529</v>
      </c>
      <c r="C12" s="126">
        <v>2</v>
      </c>
      <c r="D12" s="122">
        <v>12465</v>
      </c>
      <c r="E12" s="126">
        <v>1</v>
      </c>
      <c r="F12" s="122">
        <v>32384</v>
      </c>
      <c r="G12" s="126">
        <v>1</v>
      </c>
      <c r="H12" s="122">
        <v>25551</v>
      </c>
      <c r="I12" s="126">
        <v>2</v>
      </c>
      <c r="J12" s="122">
        <v>21258</v>
      </c>
      <c r="K12" s="126" t="s">
        <v>29</v>
      </c>
      <c r="L12" s="122">
        <v>15669</v>
      </c>
      <c r="M12" s="126">
        <v>1</v>
      </c>
      <c r="N12" s="122">
        <v>14222</v>
      </c>
      <c r="O12" s="126" t="s">
        <v>29</v>
      </c>
      <c r="P12" s="122">
        <v>20927</v>
      </c>
      <c r="Q12" s="126"/>
      <c r="R12" s="122">
        <v>25163</v>
      </c>
      <c r="S12" s="126">
        <v>1</v>
      </c>
      <c r="T12" s="122">
        <v>1169</v>
      </c>
      <c r="U12" s="126" t="s">
        <v>29</v>
      </c>
      <c r="V12" s="122">
        <v>3228</v>
      </c>
      <c r="W12" s="126">
        <v>1</v>
      </c>
      <c r="X12" s="122">
        <v>30540</v>
      </c>
      <c r="Y12" s="126" t="s">
        <v>29</v>
      </c>
      <c r="Z12" s="122">
        <v>12856</v>
      </c>
      <c r="AA12" s="126" t="s">
        <v>29</v>
      </c>
      <c r="AB12" s="126">
        <v>5</v>
      </c>
      <c r="AC12" s="122">
        <v>13058</v>
      </c>
      <c r="AD12" s="126">
        <v>4</v>
      </c>
      <c r="AE12" s="122">
        <v>4881</v>
      </c>
      <c r="AF12" s="126" t="s">
        <v>29</v>
      </c>
      <c r="AG12" s="122">
        <v>4881</v>
      </c>
      <c r="AH12" s="126" t="s">
        <v>29</v>
      </c>
      <c r="AI12" s="122">
        <v>39174</v>
      </c>
      <c r="AJ12" s="126">
        <v>2</v>
      </c>
      <c r="AK12" s="122">
        <v>4540</v>
      </c>
      <c r="AL12" s="126" t="s">
        <v>29</v>
      </c>
      <c r="AM12" s="122">
        <v>1247</v>
      </c>
      <c r="AN12" s="126">
        <v>1</v>
      </c>
      <c r="AO12" s="122">
        <v>1470</v>
      </c>
      <c r="AP12" s="126" t="s">
        <v>29</v>
      </c>
      <c r="AQ12" s="122">
        <v>525</v>
      </c>
      <c r="AR12" s="126" t="s">
        <v>29</v>
      </c>
      <c r="AS12" s="122">
        <v>1374</v>
      </c>
      <c r="AT12" s="126" t="s">
        <v>29</v>
      </c>
      <c r="AU12" s="122">
        <v>9645</v>
      </c>
      <c r="AV12" s="126" t="s">
        <v>29</v>
      </c>
      <c r="AW12" s="141">
        <v>16</v>
      </c>
      <c r="AX12" s="67" t="s">
        <v>75</v>
      </c>
      <c r="AY12" s="68" t="s">
        <v>76</v>
      </c>
    </row>
    <row r="13" spans="1:51" s="25" customFormat="1" ht="15.75" customHeight="1" x14ac:dyDescent="0.2">
      <c r="A13" s="69">
        <v>5</v>
      </c>
      <c r="B13" s="122">
        <v>27529</v>
      </c>
      <c r="C13" s="169">
        <f t="shared" ref="C13" si="0">B13-B12</f>
        <v>0</v>
      </c>
      <c r="D13" s="122">
        <v>12465</v>
      </c>
      <c r="E13" s="169">
        <f t="shared" ref="E13" si="1">D13-D12</f>
        <v>0</v>
      </c>
      <c r="F13" s="122">
        <v>32384</v>
      </c>
      <c r="G13" s="169">
        <f t="shared" ref="G13" si="2">F13-F12</f>
        <v>0</v>
      </c>
      <c r="H13" s="122">
        <v>25551</v>
      </c>
      <c r="I13" s="169">
        <v>6</v>
      </c>
      <c r="J13" s="122">
        <v>21258</v>
      </c>
      <c r="K13" s="169">
        <f t="shared" ref="K13" si="3">J13-J12</f>
        <v>0</v>
      </c>
      <c r="L13" s="122">
        <v>15669</v>
      </c>
      <c r="M13" s="169">
        <f t="shared" ref="M13" si="4">L13-L12</f>
        <v>0</v>
      </c>
      <c r="N13" s="122">
        <v>14222</v>
      </c>
      <c r="O13" s="169">
        <f t="shared" ref="O13" si="5">N13-N12</f>
        <v>0</v>
      </c>
      <c r="P13" s="122">
        <v>20927</v>
      </c>
      <c r="Q13" s="169">
        <f t="shared" ref="Q13" si="6">P13-P12</f>
        <v>0</v>
      </c>
      <c r="R13" s="122">
        <v>25163</v>
      </c>
      <c r="S13" s="169">
        <f t="shared" ref="S13" si="7">R13-R12</f>
        <v>0</v>
      </c>
      <c r="T13" s="122">
        <v>1169</v>
      </c>
      <c r="U13" s="169">
        <v>3</v>
      </c>
      <c r="V13" s="122">
        <v>3228</v>
      </c>
      <c r="W13" s="169">
        <f t="shared" ref="W13" si="8">V13-V12</f>
        <v>0</v>
      </c>
      <c r="X13" s="122">
        <v>30540</v>
      </c>
      <c r="Y13" s="169">
        <f t="shared" ref="Y13" si="9">X13-X12</f>
        <v>0</v>
      </c>
      <c r="Z13" s="122">
        <v>12856</v>
      </c>
      <c r="AA13" s="169">
        <f t="shared" ref="AA13" si="10">Z13-Z12</f>
        <v>0</v>
      </c>
      <c r="AB13" s="169">
        <f t="shared" ref="AB13" si="11">I13+K13+M13+O13+Q13+S13+U13+W13+Y13+AA13</f>
        <v>9</v>
      </c>
      <c r="AC13" s="122">
        <v>13058</v>
      </c>
      <c r="AD13" s="169">
        <v>3</v>
      </c>
      <c r="AE13" s="122">
        <v>4881</v>
      </c>
      <c r="AF13" s="169">
        <v>3</v>
      </c>
      <c r="AG13" s="122">
        <v>39174</v>
      </c>
      <c r="AH13" s="169">
        <v>1</v>
      </c>
      <c r="AI13" s="122">
        <v>39174</v>
      </c>
      <c r="AJ13" s="169">
        <v>1</v>
      </c>
      <c r="AK13" s="122">
        <v>4540</v>
      </c>
      <c r="AL13" s="169">
        <f t="shared" ref="AL13" si="12">AK13-AK12</f>
        <v>0</v>
      </c>
      <c r="AM13" s="122">
        <v>1247</v>
      </c>
      <c r="AN13" s="169">
        <f t="shared" ref="AN13" si="13">AM13-AM12</f>
        <v>0</v>
      </c>
      <c r="AO13" s="122">
        <v>1470</v>
      </c>
      <c r="AP13" s="169">
        <f t="shared" ref="AP13" si="14">AO13-AO12</f>
        <v>0</v>
      </c>
      <c r="AQ13" s="122">
        <v>525</v>
      </c>
      <c r="AR13" s="169">
        <f t="shared" ref="AR13" si="15">AQ13-AQ12</f>
        <v>0</v>
      </c>
      <c r="AS13" s="122">
        <v>1374</v>
      </c>
      <c r="AT13" s="169">
        <f t="shared" ref="AT13" si="16">AS13-AS12</f>
        <v>0</v>
      </c>
      <c r="AU13" s="122">
        <v>9654</v>
      </c>
      <c r="AV13" s="169">
        <v>3</v>
      </c>
      <c r="AW13" s="141">
        <v>19</v>
      </c>
      <c r="AX13" s="67" t="s">
        <v>75</v>
      </c>
      <c r="AY13" s="68" t="s">
        <v>76</v>
      </c>
    </row>
    <row r="14" spans="1:51" s="25" customFormat="1" ht="15.75" customHeight="1" x14ac:dyDescent="0.2">
      <c r="A14" s="69">
        <v>6</v>
      </c>
      <c r="B14" s="122">
        <v>27530</v>
      </c>
      <c r="C14" s="126">
        <v>1</v>
      </c>
      <c r="D14" s="122">
        <v>12467</v>
      </c>
      <c r="E14" s="126">
        <v>2</v>
      </c>
      <c r="F14" s="122">
        <v>32389</v>
      </c>
      <c r="G14" s="126">
        <v>5</v>
      </c>
      <c r="H14" s="122">
        <v>25565</v>
      </c>
      <c r="I14" s="126">
        <v>14</v>
      </c>
      <c r="J14" s="122">
        <v>21260</v>
      </c>
      <c r="K14" s="126">
        <v>2</v>
      </c>
      <c r="L14" s="122">
        <v>15673</v>
      </c>
      <c r="M14" s="126">
        <v>4</v>
      </c>
      <c r="N14" s="122">
        <v>14223</v>
      </c>
      <c r="O14" s="126">
        <v>1</v>
      </c>
      <c r="P14" s="122">
        <v>20928</v>
      </c>
      <c r="Q14" s="126">
        <v>1</v>
      </c>
      <c r="R14" s="122">
        <v>25164</v>
      </c>
      <c r="S14" s="126">
        <v>1</v>
      </c>
      <c r="T14" s="122">
        <v>1174</v>
      </c>
      <c r="U14" s="126">
        <v>5</v>
      </c>
      <c r="V14" s="122">
        <v>3228</v>
      </c>
      <c r="W14" s="126" t="s">
        <v>29</v>
      </c>
      <c r="X14" s="122">
        <v>30547</v>
      </c>
      <c r="Y14" s="126">
        <v>7</v>
      </c>
      <c r="Z14" s="122">
        <v>12857</v>
      </c>
      <c r="AA14" s="126">
        <v>1</v>
      </c>
      <c r="AB14" s="126">
        <v>36</v>
      </c>
      <c r="AC14" s="122">
        <v>13078</v>
      </c>
      <c r="AD14" s="128">
        <v>20</v>
      </c>
      <c r="AE14" s="122">
        <v>4891</v>
      </c>
      <c r="AF14" s="126">
        <v>10</v>
      </c>
      <c r="AG14" s="122">
        <v>4891</v>
      </c>
      <c r="AH14" s="126">
        <v>10</v>
      </c>
      <c r="AI14" s="122">
        <v>39176</v>
      </c>
      <c r="AJ14" s="126">
        <v>2</v>
      </c>
      <c r="AK14" s="122">
        <v>4541</v>
      </c>
      <c r="AL14" s="126">
        <v>1</v>
      </c>
      <c r="AM14" s="122">
        <v>1249</v>
      </c>
      <c r="AN14" s="126">
        <v>2</v>
      </c>
      <c r="AO14" s="122">
        <v>1470</v>
      </c>
      <c r="AP14" s="126" t="s">
        <v>29</v>
      </c>
      <c r="AQ14" s="122">
        <v>525</v>
      </c>
      <c r="AR14" s="126" t="s">
        <v>29</v>
      </c>
      <c r="AS14" s="122">
        <v>1374</v>
      </c>
      <c r="AT14" s="126" t="s">
        <v>29</v>
      </c>
      <c r="AU14" s="122">
        <v>9656</v>
      </c>
      <c r="AV14" s="126" t="s">
        <v>29</v>
      </c>
      <c r="AW14" s="141">
        <v>79</v>
      </c>
      <c r="AX14" s="67" t="s">
        <v>75</v>
      </c>
      <c r="AY14" s="68" t="s">
        <v>76</v>
      </c>
    </row>
    <row r="15" spans="1:51" s="25" customFormat="1" ht="15.75" customHeight="1" x14ac:dyDescent="0.2">
      <c r="A15" s="64">
        <v>7</v>
      </c>
      <c r="B15" s="122">
        <v>27531</v>
      </c>
      <c r="C15" s="126">
        <v>1</v>
      </c>
      <c r="D15" s="122">
        <v>12470</v>
      </c>
      <c r="E15" s="126">
        <v>3</v>
      </c>
      <c r="F15" s="122">
        <v>32393</v>
      </c>
      <c r="G15" s="126">
        <v>4</v>
      </c>
      <c r="H15" s="122">
        <v>25568</v>
      </c>
      <c r="I15" s="126">
        <v>3</v>
      </c>
      <c r="J15" s="122">
        <v>21262</v>
      </c>
      <c r="K15" s="126">
        <v>2</v>
      </c>
      <c r="L15" s="122">
        <v>15675</v>
      </c>
      <c r="M15" s="126">
        <v>2</v>
      </c>
      <c r="N15" s="122">
        <v>14227</v>
      </c>
      <c r="O15" s="126">
        <v>4</v>
      </c>
      <c r="P15" s="122">
        <v>20928</v>
      </c>
      <c r="Q15" s="126" t="s">
        <v>29</v>
      </c>
      <c r="R15" s="122">
        <v>25167</v>
      </c>
      <c r="S15" s="126">
        <v>3</v>
      </c>
      <c r="T15" s="152">
        <v>1176</v>
      </c>
      <c r="U15" s="126">
        <v>2</v>
      </c>
      <c r="V15" s="122">
        <v>3229</v>
      </c>
      <c r="W15" s="126">
        <v>1</v>
      </c>
      <c r="X15" s="122">
        <v>30549</v>
      </c>
      <c r="Y15" s="126">
        <v>2</v>
      </c>
      <c r="Z15" s="122">
        <v>12858</v>
      </c>
      <c r="AA15" s="126">
        <v>1</v>
      </c>
      <c r="AB15" s="126">
        <v>20</v>
      </c>
      <c r="AC15" s="122">
        <v>13093</v>
      </c>
      <c r="AD15" s="126">
        <v>15</v>
      </c>
      <c r="AE15" s="122">
        <v>4900</v>
      </c>
      <c r="AF15" s="126">
        <v>9</v>
      </c>
      <c r="AG15" s="122">
        <v>4900</v>
      </c>
      <c r="AH15" s="126">
        <v>9</v>
      </c>
      <c r="AI15" s="122">
        <v>39180</v>
      </c>
      <c r="AJ15" s="126">
        <v>4</v>
      </c>
      <c r="AK15" s="122">
        <v>4541</v>
      </c>
      <c r="AL15" s="126" t="s">
        <v>29</v>
      </c>
      <c r="AM15" s="122">
        <v>1250</v>
      </c>
      <c r="AN15" s="126">
        <v>1</v>
      </c>
      <c r="AO15" s="122">
        <v>1470</v>
      </c>
      <c r="AP15" s="126" t="s">
        <v>29</v>
      </c>
      <c r="AQ15" s="122">
        <v>525</v>
      </c>
      <c r="AR15" s="126" t="s">
        <v>29</v>
      </c>
      <c r="AS15" s="122">
        <v>1374</v>
      </c>
      <c r="AT15" s="126" t="s">
        <v>29</v>
      </c>
      <c r="AU15" s="122">
        <v>9667</v>
      </c>
      <c r="AV15" s="126" t="s">
        <v>29</v>
      </c>
      <c r="AW15" s="141">
        <v>57</v>
      </c>
      <c r="AX15" s="67" t="s">
        <v>75</v>
      </c>
      <c r="AY15" s="68" t="s">
        <v>76</v>
      </c>
    </row>
    <row r="16" spans="1:51" s="25" customFormat="1" ht="15.75" customHeight="1" x14ac:dyDescent="0.2">
      <c r="A16" s="69">
        <v>8</v>
      </c>
      <c r="B16" s="122">
        <v>27532</v>
      </c>
      <c r="C16" s="126">
        <v>1</v>
      </c>
      <c r="D16" s="122">
        <v>12473</v>
      </c>
      <c r="E16" s="126">
        <v>3</v>
      </c>
      <c r="F16" s="122">
        <v>32397</v>
      </c>
      <c r="G16" s="126">
        <v>4</v>
      </c>
      <c r="H16" s="122">
        <v>25574</v>
      </c>
      <c r="I16" s="126">
        <v>6</v>
      </c>
      <c r="J16" s="122">
        <v>21262</v>
      </c>
      <c r="K16" s="126" t="s">
        <v>29</v>
      </c>
      <c r="L16" s="122">
        <v>15708</v>
      </c>
      <c r="M16" s="151">
        <v>33</v>
      </c>
      <c r="N16" s="122">
        <v>14232</v>
      </c>
      <c r="O16" s="126">
        <v>5</v>
      </c>
      <c r="P16" s="122">
        <v>20928</v>
      </c>
      <c r="Q16" s="126" t="s">
        <v>29</v>
      </c>
      <c r="R16" s="122">
        <v>25169</v>
      </c>
      <c r="S16" s="126">
        <v>2</v>
      </c>
      <c r="T16" s="122">
        <v>1176</v>
      </c>
      <c r="U16" s="126" t="s">
        <v>29</v>
      </c>
      <c r="V16" s="122">
        <v>3229</v>
      </c>
      <c r="W16" s="126" t="s">
        <v>29</v>
      </c>
      <c r="X16" s="122">
        <v>30552</v>
      </c>
      <c r="Y16" s="126">
        <v>3</v>
      </c>
      <c r="Z16" s="122">
        <v>12858</v>
      </c>
      <c r="AA16" s="126" t="s">
        <v>29</v>
      </c>
      <c r="AB16" s="126">
        <v>49</v>
      </c>
      <c r="AC16" s="122">
        <v>13103</v>
      </c>
      <c r="AD16" s="126">
        <v>10</v>
      </c>
      <c r="AE16" s="122">
        <v>4906</v>
      </c>
      <c r="AF16" s="126">
        <v>6</v>
      </c>
      <c r="AG16" s="122">
        <v>4906</v>
      </c>
      <c r="AH16" s="126">
        <v>6</v>
      </c>
      <c r="AI16" s="122">
        <v>39182</v>
      </c>
      <c r="AJ16" s="126">
        <v>2</v>
      </c>
      <c r="AK16" s="122">
        <v>4541</v>
      </c>
      <c r="AL16" s="126" t="s">
        <v>29</v>
      </c>
      <c r="AM16" s="122">
        <v>1255</v>
      </c>
      <c r="AN16" s="126">
        <v>5</v>
      </c>
      <c r="AO16" s="122">
        <v>1471</v>
      </c>
      <c r="AP16" s="126">
        <v>1</v>
      </c>
      <c r="AQ16" s="122">
        <v>525</v>
      </c>
      <c r="AR16" s="126" t="s">
        <v>29</v>
      </c>
      <c r="AS16" s="122">
        <v>1374</v>
      </c>
      <c r="AT16" s="126" t="s">
        <v>29</v>
      </c>
      <c r="AU16" s="122">
        <v>9673</v>
      </c>
      <c r="AV16" s="126" t="s">
        <v>29</v>
      </c>
      <c r="AW16" s="141">
        <v>81</v>
      </c>
      <c r="AX16" s="67" t="s">
        <v>75</v>
      </c>
      <c r="AY16" s="68" t="s">
        <v>76</v>
      </c>
    </row>
    <row r="17" spans="1:51" s="25" customFormat="1" ht="15.75" customHeight="1" x14ac:dyDescent="0.2">
      <c r="A17" s="69">
        <v>9</v>
      </c>
      <c r="B17" s="122">
        <v>27533</v>
      </c>
      <c r="C17" s="126">
        <v>1</v>
      </c>
      <c r="D17" s="122">
        <v>12476</v>
      </c>
      <c r="E17" s="126">
        <v>3</v>
      </c>
      <c r="F17" s="122">
        <v>32403</v>
      </c>
      <c r="G17" s="126">
        <v>6</v>
      </c>
      <c r="H17" s="122">
        <v>25578</v>
      </c>
      <c r="I17" s="126">
        <v>4</v>
      </c>
      <c r="J17" s="122">
        <v>21263</v>
      </c>
      <c r="K17" s="126">
        <v>1</v>
      </c>
      <c r="L17" s="122">
        <v>15714</v>
      </c>
      <c r="M17" s="126">
        <v>6</v>
      </c>
      <c r="N17" s="122">
        <v>14241</v>
      </c>
      <c r="O17" s="126">
        <v>9</v>
      </c>
      <c r="P17" s="122">
        <v>20930</v>
      </c>
      <c r="Q17" s="126">
        <v>2</v>
      </c>
      <c r="R17" s="122">
        <v>25170</v>
      </c>
      <c r="S17" s="126">
        <v>1</v>
      </c>
      <c r="T17" s="122">
        <v>1176</v>
      </c>
      <c r="U17" s="126" t="s">
        <v>29</v>
      </c>
      <c r="V17" s="122">
        <v>3229</v>
      </c>
      <c r="W17" s="126" t="s">
        <v>29</v>
      </c>
      <c r="X17" s="122">
        <v>30556</v>
      </c>
      <c r="Y17" s="126">
        <v>4</v>
      </c>
      <c r="Z17" s="122">
        <v>12858</v>
      </c>
      <c r="AA17" s="126" t="s">
        <v>29</v>
      </c>
      <c r="AB17" s="126">
        <v>27</v>
      </c>
      <c r="AC17" s="122">
        <v>13119</v>
      </c>
      <c r="AD17" s="128">
        <v>16</v>
      </c>
      <c r="AE17" s="122">
        <v>4912</v>
      </c>
      <c r="AF17" s="126">
        <v>6</v>
      </c>
      <c r="AG17" s="122">
        <v>4912</v>
      </c>
      <c r="AH17" s="126">
        <v>6</v>
      </c>
      <c r="AI17" s="122">
        <v>39191</v>
      </c>
      <c r="AJ17" s="126">
        <v>9</v>
      </c>
      <c r="AK17" s="122">
        <v>4542</v>
      </c>
      <c r="AL17" s="126">
        <v>1</v>
      </c>
      <c r="AM17" s="122">
        <v>1256</v>
      </c>
      <c r="AN17" s="126">
        <v>1</v>
      </c>
      <c r="AO17" s="122">
        <v>1471</v>
      </c>
      <c r="AP17" s="126" t="s">
        <v>29</v>
      </c>
      <c r="AQ17" s="122">
        <v>525</v>
      </c>
      <c r="AR17" s="126" t="s">
        <v>29</v>
      </c>
      <c r="AS17" s="122">
        <v>1374</v>
      </c>
      <c r="AT17" s="126" t="s">
        <v>29</v>
      </c>
      <c r="AU17" s="122">
        <v>9681</v>
      </c>
      <c r="AV17" s="126" t="s">
        <v>29</v>
      </c>
      <c r="AW17" s="141">
        <v>70</v>
      </c>
      <c r="AX17" s="67" t="s">
        <v>75</v>
      </c>
      <c r="AY17" s="68" t="s">
        <v>76</v>
      </c>
    </row>
    <row r="18" spans="1:51" s="25" customFormat="1" ht="15.75" customHeight="1" x14ac:dyDescent="0.2">
      <c r="A18" s="64">
        <v>10</v>
      </c>
      <c r="B18" s="122">
        <v>27534</v>
      </c>
      <c r="C18" s="126">
        <v>1</v>
      </c>
      <c r="D18" s="122">
        <v>12479</v>
      </c>
      <c r="E18" s="126">
        <v>3</v>
      </c>
      <c r="F18" s="122">
        <v>32409</v>
      </c>
      <c r="G18" s="126">
        <v>6</v>
      </c>
      <c r="H18" s="122">
        <v>25582</v>
      </c>
      <c r="I18" s="126">
        <v>4</v>
      </c>
      <c r="J18" s="122">
        <v>21265</v>
      </c>
      <c r="K18" s="126">
        <v>2</v>
      </c>
      <c r="L18" s="122">
        <v>15717</v>
      </c>
      <c r="M18" s="126">
        <v>3</v>
      </c>
      <c r="N18" s="122">
        <v>14250</v>
      </c>
      <c r="O18" s="126">
        <v>9</v>
      </c>
      <c r="P18" s="122">
        <v>20930</v>
      </c>
      <c r="Q18" s="126" t="s">
        <v>29</v>
      </c>
      <c r="R18" s="122">
        <v>25170</v>
      </c>
      <c r="S18" s="126" t="s">
        <v>29</v>
      </c>
      <c r="T18" s="122">
        <v>1177</v>
      </c>
      <c r="U18" s="126">
        <v>1</v>
      </c>
      <c r="V18" s="122">
        <v>3229</v>
      </c>
      <c r="W18" s="126" t="s">
        <v>29</v>
      </c>
      <c r="X18" s="122">
        <v>30557</v>
      </c>
      <c r="Y18" s="126">
        <v>1</v>
      </c>
      <c r="Z18" s="122">
        <v>12858</v>
      </c>
      <c r="AA18" s="126" t="s">
        <v>29</v>
      </c>
      <c r="AB18" s="126">
        <v>20</v>
      </c>
      <c r="AC18" s="122">
        <v>13126</v>
      </c>
      <c r="AD18" s="126">
        <v>7</v>
      </c>
      <c r="AE18" s="122">
        <v>4913</v>
      </c>
      <c r="AF18" s="126">
        <v>1</v>
      </c>
      <c r="AG18" s="122">
        <v>4913</v>
      </c>
      <c r="AH18" s="126">
        <v>1</v>
      </c>
      <c r="AI18" s="122">
        <v>39200</v>
      </c>
      <c r="AJ18" s="126">
        <v>9</v>
      </c>
      <c r="AK18" s="122">
        <v>4542</v>
      </c>
      <c r="AL18" s="126" t="s">
        <v>29</v>
      </c>
      <c r="AM18" s="122">
        <v>1258</v>
      </c>
      <c r="AN18" s="126">
        <v>2</v>
      </c>
      <c r="AO18" s="122">
        <v>1471</v>
      </c>
      <c r="AP18" s="126" t="s">
        <v>29</v>
      </c>
      <c r="AQ18" s="122">
        <v>525</v>
      </c>
      <c r="AR18" s="126" t="s">
        <v>29</v>
      </c>
      <c r="AS18" s="122">
        <v>1374</v>
      </c>
      <c r="AT18" s="126" t="s">
        <v>29</v>
      </c>
      <c r="AU18" s="122">
        <v>9682</v>
      </c>
      <c r="AV18" s="126" t="s">
        <v>29</v>
      </c>
      <c r="AW18" s="141">
        <v>49</v>
      </c>
      <c r="AX18" s="67" t="s">
        <v>75</v>
      </c>
      <c r="AY18" s="68" t="s">
        <v>76</v>
      </c>
    </row>
    <row r="19" spans="1:51" s="25" customFormat="1" ht="15.75" customHeight="1" x14ac:dyDescent="0.2">
      <c r="A19" s="69">
        <v>11</v>
      </c>
      <c r="B19" s="122">
        <v>27535</v>
      </c>
      <c r="C19" s="126">
        <v>1</v>
      </c>
      <c r="D19" s="122">
        <v>12483</v>
      </c>
      <c r="E19" s="126">
        <v>4</v>
      </c>
      <c r="F19" s="122">
        <v>32415</v>
      </c>
      <c r="G19" s="126">
        <v>6</v>
      </c>
      <c r="H19" s="122">
        <v>25585</v>
      </c>
      <c r="I19" s="126">
        <v>3</v>
      </c>
      <c r="J19" s="122">
        <v>21267</v>
      </c>
      <c r="K19" s="126">
        <v>2</v>
      </c>
      <c r="L19" s="122">
        <v>15723</v>
      </c>
      <c r="M19" s="126">
        <v>6</v>
      </c>
      <c r="N19" s="122">
        <v>14252</v>
      </c>
      <c r="O19" s="126">
        <v>2</v>
      </c>
      <c r="P19" s="122">
        <v>20932</v>
      </c>
      <c r="Q19" s="126">
        <v>2</v>
      </c>
      <c r="R19" s="122">
        <v>25174</v>
      </c>
      <c r="S19" s="126">
        <v>4</v>
      </c>
      <c r="T19" s="122">
        <v>1179</v>
      </c>
      <c r="U19" s="126">
        <v>2</v>
      </c>
      <c r="V19" s="122">
        <v>3229</v>
      </c>
      <c r="W19" s="126" t="s">
        <v>29</v>
      </c>
      <c r="X19" s="122">
        <v>30559</v>
      </c>
      <c r="Y19" s="126">
        <v>2</v>
      </c>
      <c r="Z19" s="122">
        <v>12858</v>
      </c>
      <c r="AA19" s="126" t="s">
        <v>29</v>
      </c>
      <c r="AB19" s="126">
        <v>23</v>
      </c>
      <c r="AC19" s="122">
        <v>13132</v>
      </c>
      <c r="AD19" s="126">
        <v>6</v>
      </c>
      <c r="AE19" s="122">
        <v>4913</v>
      </c>
      <c r="AF19" s="126" t="s">
        <v>29</v>
      </c>
      <c r="AG19" s="122">
        <v>4913</v>
      </c>
      <c r="AH19" s="126" t="s">
        <v>29</v>
      </c>
      <c r="AI19" s="122">
        <v>39206</v>
      </c>
      <c r="AJ19" s="126">
        <v>6</v>
      </c>
      <c r="AK19" s="122">
        <v>4543</v>
      </c>
      <c r="AL19" s="126">
        <v>1</v>
      </c>
      <c r="AM19" s="122">
        <v>1259</v>
      </c>
      <c r="AN19" s="126">
        <v>1</v>
      </c>
      <c r="AO19" s="122">
        <v>1471</v>
      </c>
      <c r="AP19" s="126" t="s">
        <v>29</v>
      </c>
      <c r="AQ19" s="122">
        <v>525</v>
      </c>
      <c r="AR19" s="126" t="s">
        <v>29</v>
      </c>
      <c r="AS19" s="122">
        <v>1374</v>
      </c>
      <c r="AT19" s="126" t="s">
        <v>29</v>
      </c>
      <c r="AU19" s="122">
        <v>9682</v>
      </c>
      <c r="AV19" s="126" t="s">
        <v>29</v>
      </c>
      <c r="AW19" s="141">
        <v>48</v>
      </c>
      <c r="AX19" s="67" t="s">
        <v>75</v>
      </c>
      <c r="AY19" s="68" t="s">
        <v>76</v>
      </c>
    </row>
    <row r="20" spans="1:51" s="25" customFormat="1" ht="15.75" customHeight="1" x14ac:dyDescent="0.2">
      <c r="A20" s="69">
        <v>12</v>
      </c>
      <c r="B20" s="122">
        <v>27536</v>
      </c>
      <c r="C20" s="126">
        <v>1</v>
      </c>
      <c r="D20" s="122">
        <v>12485</v>
      </c>
      <c r="E20" s="126">
        <v>2</v>
      </c>
      <c r="F20" s="122">
        <v>32418</v>
      </c>
      <c r="G20" s="126">
        <v>3</v>
      </c>
      <c r="H20" s="122">
        <v>25588</v>
      </c>
      <c r="I20" s="126">
        <v>3</v>
      </c>
      <c r="J20" s="122">
        <v>21269</v>
      </c>
      <c r="K20" s="126">
        <v>2</v>
      </c>
      <c r="L20" s="122">
        <v>15726</v>
      </c>
      <c r="M20" s="126">
        <v>3</v>
      </c>
      <c r="N20" s="122">
        <v>14256</v>
      </c>
      <c r="O20" s="126">
        <v>4</v>
      </c>
      <c r="P20" s="122">
        <v>20932</v>
      </c>
      <c r="Q20" s="126" t="s">
        <v>29</v>
      </c>
      <c r="R20" s="122">
        <v>25174</v>
      </c>
      <c r="S20" s="126" t="s">
        <v>29</v>
      </c>
      <c r="T20" s="122">
        <v>1180</v>
      </c>
      <c r="U20" s="126">
        <v>1</v>
      </c>
      <c r="V20" s="122">
        <v>3229</v>
      </c>
      <c r="W20" s="126" t="s">
        <v>29</v>
      </c>
      <c r="X20" s="122">
        <v>30561</v>
      </c>
      <c r="Y20" s="126">
        <v>2</v>
      </c>
      <c r="Z20" s="122">
        <v>12858</v>
      </c>
      <c r="AA20" s="126" t="s">
        <v>29</v>
      </c>
      <c r="AB20" s="126">
        <v>15</v>
      </c>
      <c r="AC20" s="122">
        <v>13136</v>
      </c>
      <c r="AD20" s="126">
        <v>4</v>
      </c>
      <c r="AE20" s="122">
        <v>4913</v>
      </c>
      <c r="AF20" s="126" t="s">
        <v>29</v>
      </c>
      <c r="AG20" s="122">
        <v>4913</v>
      </c>
      <c r="AH20" s="126" t="s">
        <v>29</v>
      </c>
      <c r="AI20" s="122">
        <v>39208</v>
      </c>
      <c r="AJ20" s="126">
        <v>2</v>
      </c>
      <c r="AK20" s="122">
        <v>4543</v>
      </c>
      <c r="AL20" s="126" t="s">
        <v>29</v>
      </c>
      <c r="AM20" s="122">
        <v>1259</v>
      </c>
      <c r="AN20" s="126" t="s">
        <v>29</v>
      </c>
      <c r="AO20" s="122">
        <v>1471</v>
      </c>
      <c r="AP20" s="126" t="s">
        <v>29</v>
      </c>
      <c r="AQ20" s="122">
        <v>525</v>
      </c>
      <c r="AR20" s="126" t="s">
        <v>29</v>
      </c>
      <c r="AS20" s="122">
        <v>1374</v>
      </c>
      <c r="AT20" s="126" t="s">
        <v>29</v>
      </c>
      <c r="AU20" s="122">
        <v>9683</v>
      </c>
      <c r="AV20" s="126">
        <v>1</v>
      </c>
      <c r="AW20" s="141">
        <v>28</v>
      </c>
      <c r="AX20" s="67" t="s">
        <v>75</v>
      </c>
      <c r="AY20" s="68" t="s">
        <v>76</v>
      </c>
    </row>
    <row r="21" spans="1:51" s="25" customFormat="1" ht="15.75" customHeight="1" x14ac:dyDescent="0.2">
      <c r="A21" s="64">
        <v>13</v>
      </c>
      <c r="B21" s="122">
        <v>27537</v>
      </c>
      <c r="C21" s="126">
        <v>1</v>
      </c>
      <c r="D21" s="122">
        <v>12486</v>
      </c>
      <c r="E21" s="126">
        <v>1</v>
      </c>
      <c r="F21" s="122">
        <v>32420</v>
      </c>
      <c r="G21" s="126">
        <v>2</v>
      </c>
      <c r="H21" s="122">
        <v>25593</v>
      </c>
      <c r="I21" s="126">
        <v>5</v>
      </c>
      <c r="J21" s="122">
        <v>21273</v>
      </c>
      <c r="K21" s="126">
        <v>4</v>
      </c>
      <c r="L21" s="122">
        <v>15731</v>
      </c>
      <c r="M21" s="126">
        <v>5</v>
      </c>
      <c r="N21" s="122">
        <v>14262</v>
      </c>
      <c r="O21" s="126">
        <v>6</v>
      </c>
      <c r="P21" s="122">
        <v>20933</v>
      </c>
      <c r="Q21" s="126">
        <v>1</v>
      </c>
      <c r="R21" s="122">
        <v>25177</v>
      </c>
      <c r="S21" s="126">
        <v>3</v>
      </c>
      <c r="T21" s="122">
        <v>1181</v>
      </c>
      <c r="U21" s="126">
        <v>1</v>
      </c>
      <c r="V21" s="122">
        <v>3229</v>
      </c>
      <c r="W21" s="126" t="s">
        <v>29</v>
      </c>
      <c r="X21" s="122">
        <v>30634</v>
      </c>
      <c r="Y21" s="128">
        <v>73</v>
      </c>
      <c r="Z21" s="122">
        <v>12858</v>
      </c>
      <c r="AA21" s="126" t="s">
        <v>29</v>
      </c>
      <c r="AB21" s="126">
        <v>98</v>
      </c>
      <c r="AC21" s="122">
        <v>13140</v>
      </c>
      <c r="AD21" s="126">
        <v>4</v>
      </c>
      <c r="AE21" s="122">
        <v>4913</v>
      </c>
      <c r="AF21" s="126" t="s">
        <v>29</v>
      </c>
      <c r="AG21" s="122">
        <v>4913</v>
      </c>
      <c r="AH21" s="126" t="s">
        <v>29</v>
      </c>
      <c r="AI21" s="122">
        <v>39209</v>
      </c>
      <c r="AJ21" s="126">
        <v>1</v>
      </c>
      <c r="AK21" s="122">
        <v>4544</v>
      </c>
      <c r="AL21" s="126">
        <v>1</v>
      </c>
      <c r="AM21" s="122">
        <v>1262</v>
      </c>
      <c r="AN21" s="126">
        <v>3</v>
      </c>
      <c r="AO21" s="122">
        <v>1471</v>
      </c>
      <c r="AP21" s="126" t="s">
        <v>29</v>
      </c>
      <c r="AQ21" s="122">
        <v>525</v>
      </c>
      <c r="AR21" s="126" t="s">
        <v>29</v>
      </c>
      <c r="AS21" s="122">
        <v>1375</v>
      </c>
      <c r="AT21" s="126">
        <v>1</v>
      </c>
      <c r="AU21" s="122">
        <v>9683</v>
      </c>
      <c r="AV21" s="126" t="s">
        <v>29</v>
      </c>
      <c r="AW21" s="141">
        <v>112</v>
      </c>
      <c r="AX21" s="67" t="s">
        <v>75</v>
      </c>
      <c r="AY21" s="68" t="s">
        <v>76</v>
      </c>
    </row>
    <row r="22" spans="1:51" s="25" customFormat="1" ht="15.75" customHeight="1" x14ac:dyDescent="0.2">
      <c r="A22" s="69">
        <v>14</v>
      </c>
      <c r="B22" s="122">
        <v>27538</v>
      </c>
      <c r="C22" s="126">
        <v>1</v>
      </c>
      <c r="D22" s="122">
        <v>12490</v>
      </c>
      <c r="E22" s="126">
        <v>4</v>
      </c>
      <c r="F22" s="122">
        <v>32426</v>
      </c>
      <c r="G22" s="126">
        <v>6</v>
      </c>
      <c r="H22" s="122">
        <v>25598</v>
      </c>
      <c r="I22" s="126">
        <v>5</v>
      </c>
      <c r="J22" s="122">
        <v>21276</v>
      </c>
      <c r="K22" s="126">
        <v>3</v>
      </c>
      <c r="L22" s="122">
        <v>15733</v>
      </c>
      <c r="M22" s="126">
        <v>2</v>
      </c>
      <c r="N22" s="122">
        <v>14267</v>
      </c>
      <c r="O22" s="126">
        <v>5</v>
      </c>
      <c r="P22" s="122">
        <v>20936</v>
      </c>
      <c r="Q22" s="126">
        <v>3</v>
      </c>
      <c r="R22" s="122">
        <v>25182</v>
      </c>
      <c r="S22" s="126">
        <v>5</v>
      </c>
      <c r="T22" s="122">
        <v>1184</v>
      </c>
      <c r="U22" s="126">
        <v>3</v>
      </c>
      <c r="V22" s="122">
        <v>3230</v>
      </c>
      <c r="W22" s="126">
        <v>1</v>
      </c>
      <c r="X22" s="122">
        <v>30739</v>
      </c>
      <c r="Y22" s="128">
        <v>105</v>
      </c>
      <c r="Z22" s="122">
        <v>12858</v>
      </c>
      <c r="AA22" s="126" t="s">
        <v>29</v>
      </c>
      <c r="AB22" s="126">
        <v>132</v>
      </c>
      <c r="AC22" s="122">
        <v>13146</v>
      </c>
      <c r="AD22" s="126">
        <v>6</v>
      </c>
      <c r="AE22" s="122">
        <v>4913</v>
      </c>
      <c r="AF22" s="126" t="s">
        <v>29</v>
      </c>
      <c r="AG22" s="122">
        <v>4913</v>
      </c>
      <c r="AH22" s="126" t="s">
        <v>29</v>
      </c>
      <c r="AI22" s="122">
        <v>39215</v>
      </c>
      <c r="AJ22" s="126">
        <v>6</v>
      </c>
      <c r="AK22" s="122">
        <v>4545</v>
      </c>
      <c r="AL22" s="126">
        <v>1</v>
      </c>
      <c r="AM22" s="122">
        <v>1267</v>
      </c>
      <c r="AN22" s="126">
        <v>5</v>
      </c>
      <c r="AO22" s="122">
        <v>1471</v>
      </c>
      <c r="AP22" s="126" t="s">
        <v>29</v>
      </c>
      <c r="AQ22" s="122">
        <v>525</v>
      </c>
      <c r="AR22" s="126" t="s">
        <v>29</v>
      </c>
      <c r="AS22" s="122">
        <v>1375</v>
      </c>
      <c r="AT22" s="126" t="s">
        <v>29</v>
      </c>
      <c r="AU22" s="122">
        <v>9683</v>
      </c>
      <c r="AV22" s="126" t="s">
        <v>29</v>
      </c>
      <c r="AW22" s="141">
        <v>161</v>
      </c>
      <c r="AX22" s="67" t="s">
        <v>75</v>
      </c>
      <c r="AY22" s="68" t="s">
        <v>76</v>
      </c>
    </row>
    <row r="23" spans="1:51" s="25" customFormat="1" ht="15.75" customHeight="1" x14ac:dyDescent="0.2">
      <c r="A23" s="69">
        <v>15</v>
      </c>
      <c r="B23" s="122">
        <v>27539</v>
      </c>
      <c r="C23" s="126">
        <v>1</v>
      </c>
      <c r="D23" s="122">
        <v>12492</v>
      </c>
      <c r="E23" s="126">
        <v>2</v>
      </c>
      <c r="F23" s="122">
        <v>32428</v>
      </c>
      <c r="G23" s="126">
        <v>2</v>
      </c>
      <c r="H23" s="122">
        <v>25599</v>
      </c>
      <c r="I23" s="126">
        <v>1</v>
      </c>
      <c r="J23" s="122">
        <v>21276</v>
      </c>
      <c r="K23" s="126" t="s">
        <v>29</v>
      </c>
      <c r="L23" s="122">
        <v>15736</v>
      </c>
      <c r="M23" s="126">
        <v>3</v>
      </c>
      <c r="N23" s="122">
        <v>14273</v>
      </c>
      <c r="O23" s="126">
        <v>6</v>
      </c>
      <c r="P23" s="122">
        <v>20936</v>
      </c>
      <c r="Q23" s="126" t="s">
        <v>29</v>
      </c>
      <c r="R23" s="122">
        <v>25186</v>
      </c>
      <c r="S23" s="126">
        <v>4</v>
      </c>
      <c r="T23" s="122">
        <v>1186</v>
      </c>
      <c r="U23" s="126">
        <v>2</v>
      </c>
      <c r="V23" s="122">
        <v>3230</v>
      </c>
      <c r="W23" s="126" t="s">
        <v>29</v>
      </c>
      <c r="X23" s="122">
        <v>30740</v>
      </c>
      <c r="Y23" s="126">
        <v>1</v>
      </c>
      <c r="Z23" s="122">
        <v>12859</v>
      </c>
      <c r="AA23" s="126">
        <v>1</v>
      </c>
      <c r="AB23" s="126">
        <v>18</v>
      </c>
      <c r="AC23" s="122">
        <v>13150</v>
      </c>
      <c r="AD23" s="126">
        <v>4</v>
      </c>
      <c r="AE23" s="122">
        <v>4913</v>
      </c>
      <c r="AF23" s="126" t="s">
        <v>29</v>
      </c>
      <c r="AG23" s="122">
        <v>4913</v>
      </c>
      <c r="AH23" s="126" t="s">
        <v>29</v>
      </c>
      <c r="AI23" s="122">
        <v>39216</v>
      </c>
      <c r="AJ23" s="126">
        <v>1</v>
      </c>
      <c r="AK23" s="122">
        <v>4546</v>
      </c>
      <c r="AL23" s="126">
        <v>1</v>
      </c>
      <c r="AM23" s="122">
        <v>1267</v>
      </c>
      <c r="AN23" s="126" t="s">
        <v>29</v>
      </c>
      <c r="AO23" s="122">
        <v>1471</v>
      </c>
      <c r="AP23" s="126" t="s">
        <v>29</v>
      </c>
      <c r="AQ23" s="122">
        <v>525</v>
      </c>
      <c r="AR23" s="126" t="s">
        <v>29</v>
      </c>
      <c r="AS23" s="122">
        <v>1375</v>
      </c>
      <c r="AT23" s="126" t="s">
        <v>29</v>
      </c>
      <c r="AU23" s="122">
        <v>9684</v>
      </c>
      <c r="AV23" s="126">
        <v>1</v>
      </c>
      <c r="AW23" s="141">
        <v>30</v>
      </c>
      <c r="AX23" s="67" t="s">
        <v>75</v>
      </c>
      <c r="AY23" s="68" t="s">
        <v>76</v>
      </c>
    </row>
    <row r="24" spans="1:51" s="25" customFormat="1" ht="15.75" customHeight="1" x14ac:dyDescent="0.2">
      <c r="A24" s="64">
        <v>16</v>
      </c>
      <c r="B24" s="122">
        <v>27541</v>
      </c>
      <c r="C24" s="126">
        <v>2</v>
      </c>
      <c r="D24" s="122">
        <v>12493</v>
      </c>
      <c r="E24" s="126">
        <v>1</v>
      </c>
      <c r="F24" s="122">
        <v>32429</v>
      </c>
      <c r="G24" s="126">
        <v>1</v>
      </c>
      <c r="H24" s="122">
        <v>25600</v>
      </c>
      <c r="I24" s="126">
        <v>1</v>
      </c>
      <c r="J24" s="122">
        <v>21276</v>
      </c>
      <c r="K24" s="126" t="s">
        <v>29</v>
      </c>
      <c r="L24" s="122">
        <v>15738</v>
      </c>
      <c r="M24" s="126">
        <v>2</v>
      </c>
      <c r="N24" s="122">
        <v>14279</v>
      </c>
      <c r="O24" s="126">
        <v>6</v>
      </c>
      <c r="P24" s="122">
        <v>20937</v>
      </c>
      <c r="Q24" s="126">
        <v>1</v>
      </c>
      <c r="R24" s="122">
        <v>25187</v>
      </c>
      <c r="S24" s="126">
        <v>1</v>
      </c>
      <c r="T24" s="122">
        <v>1187</v>
      </c>
      <c r="U24" s="126">
        <v>1</v>
      </c>
      <c r="V24" s="122">
        <v>3231</v>
      </c>
      <c r="W24" s="126">
        <v>1</v>
      </c>
      <c r="X24" s="122">
        <v>30742</v>
      </c>
      <c r="Y24" s="126">
        <v>2</v>
      </c>
      <c r="Z24" s="122">
        <v>12859</v>
      </c>
      <c r="AA24" s="126" t="s">
        <v>29</v>
      </c>
      <c r="AB24" s="126">
        <v>15</v>
      </c>
      <c r="AC24" s="122">
        <v>13157</v>
      </c>
      <c r="AD24" s="126">
        <v>7</v>
      </c>
      <c r="AE24" s="122">
        <v>4913</v>
      </c>
      <c r="AF24" s="126" t="s">
        <v>29</v>
      </c>
      <c r="AG24" s="122">
        <v>4913</v>
      </c>
      <c r="AH24" s="126" t="s">
        <v>29</v>
      </c>
      <c r="AI24" s="122">
        <v>39217</v>
      </c>
      <c r="AJ24" s="126">
        <v>1</v>
      </c>
      <c r="AK24" s="122">
        <v>4547</v>
      </c>
      <c r="AL24" s="126">
        <v>1</v>
      </c>
      <c r="AM24" s="122">
        <v>1267</v>
      </c>
      <c r="AN24" s="126" t="s">
        <v>29</v>
      </c>
      <c r="AO24" s="122">
        <v>1471</v>
      </c>
      <c r="AP24" s="126" t="s">
        <v>29</v>
      </c>
      <c r="AQ24" s="122">
        <v>525</v>
      </c>
      <c r="AR24" s="126" t="s">
        <v>29</v>
      </c>
      <c r="AS24" s="122">
        <v>1375</v>
      </c>
      <c r="AT24" s="126" t="s">
        <v>29</v>
      </c>
      <c r="AU24" s="122">
        <v>9684</v>
      </c>
      <c r="AV24" s="126" t="s">
        <v>29</v>
      </c>
      <c r="AW24" s="141">
        <v>28</v>
      </c>
      <c r="AX24" s="67" t="s">
        <v>75</v>
      </c>
      <c r="AY24" s="68" t="s">
        <v>76</v>
      </c>
    </row>
    <row r="25" spans="1:51" s="25" customFormat="1" ht="15.75" customHeight="1" x14ac:dyDescent="0.2">
      <c r="A25" s="69">
        <v>17</v>
      </c>
      <c r="B25" s="122">
        <v>27544</v>
      </c>
      <c r="C25" s="126">
        <v>3</v>
      </c>
      <c r="D25" s="122">
        <v>12493</v>
      </c>
      <c r="E25" s="126" t="s">
        <v>29</v>
      </c>
      <c r="F25" s="122">
        <v>32430</v>
      </c>
      <c r="G25" s="126">
        <v>1</v>
      </c>
      <c r="H25" s="122">
        <v>25602</v>
      </c>
      <c r="I25" s="126">
        <v>2</v>
      </c>
      <c r="J25" s="122">
        <v>21276</v>
      </c>
      <c r="K25" s="126" t="s">
        <v>29</v>
      </c>
      <c r="L25" s="122">
        <v>15740</v>
      </c>
      <c r="M25" s="126">
        <v>2</v>
      </c>
      <c r="N25" s="122">
        <v>14282</v>
      </c>
      <c r="O25" s="126">
        <v>3</v>
      </c>
      <c r="P25" s="122">
        <v>20938</v>
      </c>
      <c r="Q25" s="126">
        <v>1</v>
      </c>
      <c r="R25" s="122">
        <v>25187</v>
      </c>
      <c r="S25" s="126" t="s">
        <v>29</v>
      </c>
      <c r="T25" s="122">
        <v>1189</v>
      </c>
      <c r="U25" s="126">
        <v>2</v>
      </c>
      <c r="V25" s="122">
        <v>3231</v>
      </c>
      <c r="W25" s="126" t="s">
        <v>29</v>
      </c>
      <c r="X25" s="122">
        <v>30743</v>
      </c>
      <c r="Y25" s="126">
        <v>1</v>
      </c>
      <c r="Z25" s="122">
        <v>12859</v>
      </c>
      <c r="AA25" s="126" t="s">
        <v>29</v>
      </c>
      <c r="AB25" s="126">
        <v>11</v>
      </c>
      <c r="AC25" s="122">
        <v>13162</v>
      </c>
      <c r="AD25" s="126">
        <v>5</v>
      </c>
      <c r="AE25" s="122">
        <v>4913</v>
      </c>
      <c r="AF25" s="126" t="s">
        <v>29</v>
      </c>
      <c r="AG25" s="122">
        <v>4913</v>
      </c>
      <c r="AH25" s="126" t="s">
        <v>29</v>
      </c>
      <c r="AI25" s="122">
        <v>39218</v>
      </c>
      <c r="AJ25" s="126">
        <v>1</v>
      </c>
      <c r="AK25" s="122">
        <v>4548</v>
      </c>
      <c r="AL25" s="126">
        <v>1</v>
      </c>
      <c r="AM25" s="122">
        <v>1269</v>
      </c>
      <c r="AN25" s="126">
        <v>2</v>
      </c>
      <c r="AO25" s="122">
        <v>1471</v>
      </c>
      <c r="AP25" s="126" t="s">
        <v>29</v>
      </c>
      <c r="AQ25" s="122">
        <v>525</v>
      </c>
      <c r="AR25" s="126" t="s">
        <v>29</v>
      </c>
      <c r="AS25" s="122">
        <v>1375</v>
      </c>
      <c r="AT25" s="126" t="s">
        <v>29</v>
      </c>
      <c r="AU25" s="122">
        <v>9684</v>
      </c>
      <c r="AV25" s="126" t="s">
        <v>29</v>
      </c>
      <c r="AW25" s="141">
        <v>24</v>
      </c>
      <c r="AX25" s="67" t="s">
        <v>75</v>
      </c>
      <c r="AY25" s="68" t="s">
        <v>76</v>
      </c>
    </row>
    <row r="26" spans="1:51" s="25" customFormat="1" ht="15.75" customHeight="1" x14ac:dyDescent="0.2">
      <c r="A26" s="69">
        <v>18</v>
      </c>
      <c r="B26" s="122">
        <v>27547</v>
      </c>
      <c r="C26" s="126">
        <v>3</v>
      </c>
      <c r="D26" s="122">
        <v>12494</v>
      </c>
      <c r="E26" s="126">
        <v>1</v>
      </c>
      <c r="F26" s="122">
        <v>32432</v>
      </c>
      <c r="G26" s="126">
        <v>2</v>
      </c>
      <c r="H26" s="122">
        <v>25603</v>
      </c>
      <c r="I26" s="126">
        <v>1</v>
      </c>
      <c r="J26" s="122">
        <v>21278</v>
      </c>
      <c r="K26" s="126">
        <v>2</v>
      </c>
      <c r="L26" s="122">
        <v>15742</v>
      </c>
      <c r="M26" s="126">
        <v>2</v>
      </c>
      <c r="N26" s="122">
        <v>14285</v>
      </c>
      <c r="O26" s="126">
        <v>3</v>
      </c>
      <c r="P26" s="122">
        <v>20939</v>
      </c>
      <c r="Q26" s="126">
        <v>1</v>
      </c>
      <c r="R26" s="122">
        <v>25188</v>
      </c>
      <c r="S26" s="126">
        <v>1</v>
      </c>
      <c r="T26" s="122">
        <v>1193</v>
      </c>
      <c r="U26" s="126">
        <v>4</v>
      </c>
      <c r="V26" s="122">
        <v>3231</v>
      </c>
      <c r="W26" s="126" t="s">
        <v>29</v>
      </c>
      <c r="X26" s="122">
        <v>30746</v>
      </c>
      <c r="Y26" s="126">
        <v>3</v>
      </c>
      <c r="Z26" s="122">
        <v>12859</v>
      </c>
      <c r="AA26" s="126" t="s">
        <v>29</v>
      </c>
      <c r="AB26" s="126">
        <v>17</v>
      </c>
      <c r="AC26" s="122">
        <v>13167</v>
      </c>
      <c r="AD26" s="126">
        <v>5</v>
      </c>
      <c r="AE26" s="122">
        <v>4913</v>
      </c>
      <c r="AF26" s="126" t="s">
        <v>29</v>
      </c>
      <c r="AG26" s="122">
        <v>4913</v>
      </c>
      <c r="AH26" s="126" t="s">
        <v>29</v>
      </c>
      <c r="AI26" s="122">
        <v>39219</v>
      </c>
      <c r="AJ26" s="126">
        <v>1</v>
      </c>
      <c r="AK26" s="122">
        <v>4549</v>
      </c>
      <c r="AL26" s="126">
        <v>1</v>
      </c>
      <c r="AM26" s="122">
        <v>1270</v>
      </c>
      <c r="AN26" s="126">
        <v>1</v>
      </c>
      <c r="AO26" s="122">
        <v>1471</v>
      </c>
      <c r="AP26" s="126" t="s">
        <v>29</v>
      </c>
      <c r="AQ26" s="122">
        <v>525</v>
      </c>
      <c r="AR26" s="126" t="s">
        <v>29</v>
      </c>
      <c r="AS26" s="122">
        <v>1375</v>
      </c>
      <c r="AT26" s="126" t="s">
        <v>29</v>
      </c>
      <c r="AU26" s="122">
        <v>9684</v>
      </c>
      <c r="AV26" s="126" t="s">
        <v>29</v>
      </c>
      <c r="AW26" s="141">
        <v>31</v>
      </c>
      <c r="AX26" s="67" t="s">
        <v>75</v>
      </c>
      <c r="AY26" s="68" t="s">
        <v>76</v>
      </c>
    </row>
    <row r="27" spans="1:51" s="25" customFormat="1" ht="15.75" customHeight="1" x14ac:dyDescent="0.2">
      <c r="A27" s="64">
        <v>19</v>
      </c>
      <c r="B27" s="122">
        <v>27549</v>
      </c>
      <c r="C27" s="126">
        <v>2</v>
      </c>
      <c r="D27" s="122">
        <v>12496</v>
      </c>
      <c r="E27" s="126">
        <v>2</v>
      </c>
      <c r="F27" s="122">
        <v>32435</v>
      </c>
      <c r="G27" s="126">
        <v>3</v>
      </c>
      <c r="H27" s="122">
        <v>25605</v>
      </c>
      <c r="I27" s="126">
        <v>2</v>
      </c>
      <c r="J27" s="122">
        <v>21279</v>
      </c>
      <c r="K27" s="126">
        <v>1</v>
      </c>
      <c r="L27" s="122">
        <v>15748</v>
      </c>
      <c r="M27" s="126">
        <v>6</v>
      </c>
      <c r="N27" s="122">
        <v>14287</v>
      </c>
      <c r="O27" s="126">
        <v>2</v>
      </c>
      <c r="P27" s="122">
        <v>20940</v>
      </c>
      <c r="Q27" s="126">
        <v>1</v>
      </c>
      <c r="R27" s="122">
        <v>25189</v>
      </c>
      <c r="S27" s="126">
        <v>1</v>
      </c>
      <c r="T27" s="122">
        <v>1194</v>
      </c>
      <c r="U27" s="126">
        <v>1</v>
      </c>
      <c r="V27" s="122">
        <v>3231</v>
      </c>
      <c r="W27" s="126" t="s">
        <v>29</v>
      </c>
      <c r="X27" s="122">
        <v>30746</v>
      </c>
      <c r="Y27" s="126" t="s">
        <v>29</v>
      </c>
      <c r="Z27" s="122">
        <v>12859</v>
      </c>
      <c r="AA27" s="126" t="s">
        <v>29</v>
      </c>
      <c r="AB27" s="126">
        <v>14</v>
      </c>
      <c r="AC27" s="122">
        <v>13175</v>
      </c>
      <c r="AD27" s="126">
        <v>8</v>
      </c>
      <c r="AE27" s="122">
        <v>4916</v>
      </c>
      <c r="AF27" s="126">
        <v>3</v>
      </c>
      <c r="AG27" s="122">
        <v>4916</v>
      </c>
      <c r="AH27" s="126">
        <v>3</v>
      </c>
      <c r="AI27" s="122">
        <v>39224</v>
      </c>
      <c r="AJ27" s="126">
        <v>5</v>
      </c>
      <c r="AK27" s="122">
        <v>4555</v>
      </c>
      <c r="AL27" s="126">
        <v>6</v>
      </c>
      <c r="AM27" s="122">
        <v>1270</v>
      </c>
      <c r="AN27" s="126" t="s">
        <v>29</v>
      </c>
      <c r="AO27" s="122">
        <v>1471</v>
      </c>
      <c r="AP27" s="126" t="s">
        <v>29</v>
      </c>
      <c r="AQ27" s="122">
        <v>525</v>
      </c>
      <c r="AR27" s="126" t="s">
        <v>29</v>
      </c>
      <c r="AS27" s="122">
        <v>1375</v>
      </c>
      <c r="AT27" s="126" t="s">
        <v>29</v>
      </c>
      <c r="AU27" s="122">
        <v>9688</v>
      </c>
      <c r="AV27" s="126">
        <v>4</v>
      </c>
      <c r="AW27" s="141">
        <v>47</v>
      </c>
      <c r="AX27" s="67" t="s">
        <v>75</v>
      </c>
      <c r="AY27" s="68" t="s">
        <v>76</v>
      </c>
    </row>
    <row r="28" spans="1:51" s="25" customFormat="1" ht="15.75" customHeight="1" x14ac:dyDescent="0.2">
      <c r="A28" s="69">
        <v>20</v>
      </c>
      <c r="B28" s="122">
        <v>27550</v>
      </c>
      <c r="C28" s="126">
        <v>1</v>
      </c>
      <c r="D28" s="122">
        <v>12497</v>
      </c>
      <c r="E28" s="126">
        <v>1</v>
      </c>
      <c r="F28" s="122">
        <v>32442</v>
      </c>
      <c r="G28" s="126">
        <v>7</v>
      </c>
      <c r="H28" s="122">
        <v>25611</v>
      </c>
      <c r="I28" s="126">
        <v>6</v>
      </c>
      <c r="J28" s="122">
        <v>21279</v>
      </c>
      <c r="K28" s="126" t="s">
        <v>29</v>
      </c>
      <c r="L28" s="122">
        <v>15749</v>
      </c>
      <c r="M28" s="126">
        <v>1</v>
      </c>
      <c r="N28" s="122">
        <v>14289</v>
      </c>
      <c r="O28" s="126">
        <v>2</v>
      </c>
      <c r="P28" s="122">
        <v>20941</v>
      </c>
      <c r="Q28" s="126">
        <v>1</v>
      </c>
      <c r="R28" s="122">
        <v>25190</v>
      </c>
      <c r="S28" s="126">
        <v>1</v>
      </c>
      <c r="T28" s="122">
        <v>1195</v>
      </c>
      <c r="U28" s="126">
        <v>1</v>
      </c>
      <c r="V28" s="122">
        <v>3231</v>
      </c>
      <c r="W28" s="126" t="s">
        <v>29</v>
      </c>
      <c r="X28" s="122">
        <v>30749</v>
      </c>
      <c r="Y28" s="126">
        <v>3</v>
      </c>
      <c r="Z28" s="122">
        <v>12859</v>
      </c>
      <c r="AA28" s="126" t="s">
        <v>29</v>
      </c>
      <c r="AB28" s="126">
        <v>15</v>
      </c>
      <c r="AC28" s="122">
        <v>13186</v>
      </c>
      <c r="AD28" s="126">
        <v>11</v>
      </c>
      <c r="AE28" s="122">
        <v>4922</v>
      </c>
      <c r="AF28" s="126">
        <v>6</v>
      </c>
      <c r="AG28" s="122">
        <v>4922</v>
      </c>
      <c r="AH28" s="126">
        <v>6</v>
      </c>
      <c r="AI28" s="122">
        <v>39225</v>
      </c>
      <c r="AJ28" s="126">
        <v>1</v>
      </c>
      <c r="AK28" s="122">
        <v>4569</v>
      </c>
      <c r="AL28" s="126">
        <v>14</v>
      </c>
      <c r="AM28" s="122">
        <v>1273</v>
      </c>
      <c r="AN28" s="126">
        <v>3</v>
      </c>
      <c r="AO28" s="122">
        <v>1472</v>
      </c>
      <c r="AP28" s="126">
        <v>1</v>
      </c>
      <c r="AQ28" s="122">
        <v>525</v>
      </c>
      <c r="AR28" s="126" t="s">
        <v>29</v>
      </c>
      <c r="AS28" s="122">
        <v>1375</v>
      </c>
      <c r="AT28" s="126" t="s">
        <v>29</v>
      </c>
      <c r="AU28" s="122">
        <v>9695</v>
      </c>
      <c r="AV28" s="126">
        <v>7</v>
      </c>
      <c r="AW28" s="141">
        <v>67</v>
      </c>
      <c r="AX28" s="67" t="s">
        <v>75</v>
      </c>
      <c r="AY28" s="68" t="s">
        <v>76</v>
      </c>
    </row>
    <row r="29" spans="1:51" s="25" customFormat="1" ht="15.75" customHeight="1" x14ac:dyDescent="0.2">
      <c r="A29" s="69">
        <v>21</v>
      </c>
      <c r="B29" s="122">
        <v>27552</v>
      </c>
      <c r="C29" s="126">
        <v>2</v>
      </c>
      <c r="D29" s="122">
        <v>12498</v>
      </c>
      <c r="E29" s="126">
        <v>1</v>
      </c>
      <c r="F29" s="122">
        <v>32447</v>
      </c>
      <c r="G29" s="126">
        <v>5</v>
      </c>
      <c r="H29" s="122">
        <v>25614</v>
      </c>
      <c r="I29" s="126">
        <v>3</v>
      </c>
      <c r="J29" s="122">
        <v>21281</v>
      </c>
      <c r="K29" s="126">
        <v>2</v>
      </c>
      <c r="L29" s="122">
        <v>15750</v>
      </c>
      <c r="M29" s="126">
        <v>1</v>
      </c>
      <c r="N29" s="122">
        <v>14293</v>
      </c>
      <c r="O29" s="126">
        <v>4</v>
      </c>
      <c r="P29" s="122">
        <v>20944</v>
      </c>
      <c r="Q29" s="126">
        <v>3</v>
      </c>
      <c r="R29" s="122">
        <v>25193</v>
      </c>
      <c r="S29" s="126">
        <v>3</v>
      </c>
      <c r="T29" s="122">
        <v>1197</v>
      </c>
      <c r="U29" s="126">
        <v>2</v>
      </c>
      <c r="V29" s="122">
        <v>3234</v>
      </c>
      <c r="W29" s="126">
        <v>3</v>
      </c>
      <c r="X29" s="122">
        <v>30750</v>
      </c>
      <c r="Y29" s="126">
        <v>1</v>
      </c>
      <c r="Z29" s="122">
        <v>12859</v>
      </c>
      <c r="AA29" s="126" t="s">
        <v>29</v>
      </c>
      <c r="AB29" s="126">
        <v>22</v>
      </c>
      <c r="AC29" s="122">
        <v>13194</v>
      </c>
      <c r="AD29" s="126">
        <v>8</v>
      </c>
      <c r="AE29" s="122">
        <v>4926</v>
      </c>
      <c r="AF29" s="126">
        <v>4</v>
      </c>
      <c r="AG29" s="122">
        <v>4926</v>
      </c>
      <c r="AH29" s="126">
        <v>4</v>
      </c>
      <c r="AI29" s="122">
        <v>39228</v>
      </c>
      <c r="AJ29" s="126">
        <v>3</v>
      </c>
      <c r="AK29" s="122">
        <v>4570</v>
      </c>
      <c r="AL29" s="126">
        <v>1</v>
      </c>
      <c r="AM29" s="122">
        <v>1273</v>
      </c>
      <c r="AN29" s="126" t="s">
        <v>29</v>
      </c>
      <c r="AO29" s="122">
        <v>1472</v>
      </c>
      <c r="AP29" s="126" t="s">
        <v>29</v>
      </c>
      <c r="AQ29" s="122">
        <v>525</v>
      </c>
      <c r="AR29" s="126" t="s">
        <v>29</v>
      </c>
      <c r="AS29" s="122">
        <v>1375</v>
      </c>
      <c r="AT29" s="126" t="s">
        <v>29</v>
      </c>
      <c r="AU29" s="122">
        <v>9699</v>
      </c>
      <c r="AV29" s="126">
        <v>4</v>
      </c>
      <c r="AW29" s="141">
        <v>50</v>
      </c>
      <c r="AX29" s="67" t="s">
        <v>75</v>
      </c>
      <c r="AY29" s="68" t="s">
        <v>76</v>
      </c>
    </row>
    <row r="30" spans="1:51" s="25" customFormat="1" ht="15.75" customHeight="1" x14ac:dyDescent="0.2">
      <c r="A30" s="64">
        <v>22</v>
      </c>
      <c r="B30" s="122">
        <v>27553</v>
      </c>
      <c r="C30" s="126">
        <v>1</v>
      </c>
      <c r="D30" s="122">
        <v>12499</v>
      </c>
      <c r="E30" s="126">
        <v>1</v>
      </c>
      <c r="F30" s="122">
        <v>32450</v>
      </c>
      <c r="G30" s="126">
        <v>3</v>
      </c>
      <c r="H30" s="122">
        <v>25622</v>
      </c>
      <c r="I30" s="126">
        <v>8</v>
      </c>
      <c r="J30" s="122">
        <v>21281</v>
      </c>
      <c r="K30" s="126" t="s">
        <v>29</v>
      </c>
      <c r="L30" s="122">
        <v>15751</v>
      </c>
      <c r="M30" s="126">
        <v>1</v>
      </c>
      <c r="N30" s="122">
        <v>14296</v>
      </c>
      <c r="O30" s="126">
        <v>3</v>
      </c>
      <c r="P30" s="122">
        <v>20947</v>
      </c>
      <c r="Q30" s="126">
        <v>3</v>
      </c>
      <c r="R30" s="122">
        <v>25195</v>
      </c>
      <c r="S30" s="126">
        <v>2</v>
      </c>
      <c r="T30" s="122">
        <v>1197</v>
      </c>
      <c r="U30" s="126" t="s">
        <v>29</v>
      </c>
      <c r="V30" s="122">
        <v>3234</v>
      </c>
      <c r="W30" s="126" t="s">
        <v>29</v>
      </c>
      <c r="X30" s="122">
        <v>30751</v>
      </c>
      <c r="Y30" s="126">
        <v>1</v>
      </c>
      <c r="Z30" s="122">
        <v>12877</v>
      </c>
      <c r="AA30" s="151">
        <v>18</v>
      </c>
      <c r="AB30" s="126">
        <v>36</v>
      </c>
      <c r="AC30" s="122">
        <v>13206</v>
      </c>
      <c r="AD30" s="126">
        <v>12</v>
      </c>
      <c r="AE30" s="122">
        <v>4931</v>
      </c>
      <c r="AF30" s="126">
        <v>5</v>
      </c>
      <c r="AG30" s="122">
        <v>4931</v>
      </c>
      <c r="AH30" s="126">
        <v>5</v>
      </c>
      <c r="AI30" s="122">
        <v>39233</v>
      </c>
      <c r="AJ30" s="126">
        <v>5</v>
      </c>
      <c r="AK30" s="122">
        <v>4571</v>
      </c>
      <c r="AL30" s="126">
        <v>1</v>
      </c>
      <c r="AM30" s="122">
        <v>1274</v>
      </c>
      <c r="AN30" s="126">
        <v>1</v>
      </c>
      <c r="AO30" s="122">
        <v>1472</v>
      </c>
      <c r="AP30" s="126" t="s">
        <v>29</v>
      </c>
      <c r="AQ30" s="122">
        <v>526</v>
      </c>
      <c r="AR30" s="126">
        <v>1</v>
      </c>
      <c r="AS30" s="122">
        <v>1375</v>
      </c>
      <c r="AT30" s="126" t="s">
        <v>29</v>
      </c>
      <c r="AU30" s="122">
        <v>9704</v>
      </c>
      <c r="AV30" s="126">
        <v>5</v>
      </c>
      <c r="AW30" s="141">
        <v>71</v>
      </c>
      <c r="AX30" s="67" t="s">
        <v>75</v>
      </c>
      <c r="AY30" s="68" t="s">
        <v>76</v>
      </c>
    </row>
    <row r="31" spans="1:51" s="25" customFormat="1" ht="15.75" customHeight="1" x14ac:dyDescent="0.2">
      <c r="A31" s="69">
        <v>23</v>
      </c>
      <c r="B31" s="122">
        <v>27554</v>
      </c>
      <c r="C31" s="126">
        <v>1</v>
      </c>
      <c r="D31" s="122">
        <v>12500</v>
      </c>
      <c r="E31" s="126">
        <v>1</v>
      </c>
      <c r="F31" s="122">
        <v>32451</v>
      </c>
      <c r="G31" s="126">
        <v>1</v>
      </c>
      <c r="H31" s="122">
        <v>25627</v>
      </c>
      <c r="I31" s="126">
        <v>5</v>
      </c>
      <c r="J31" s="122">
        <v>21282</v>
      </c>
      <c r="K31" s="126">
        <v>1</v>
      </c>
      <c r="L31" s="122">
        <v>15754</v>
      </c>
      <c r="M31" s="126">
        <v>3</v>
      </c>
      <c r="N31" s="122">
        <v>14299</v>
      </c>
      <c r="O31" s="126">
        <v>3</v>
      </c>
      <c r="P31" s="122">
        <v>20949</v>
      </c>
      <c r="Q31" s="126">
        <v>2</v>
      </c>
      <c r="R31" s="122">
        <v>25195</v>
      </c>
      <c r="S31" s="126" t="s">
        <v>29</v>
      </c>
      <c r="T31" s="122">
        <v>1198</v>
      </c>
      <c r="U31" s="126">
        <v>1</v>
      </c>
      <c r="V31" s="122">
        <v>3235</v>
      </c>
      <c r="W31" s="126">
        <v>1</v>
      </c>
      <c r="X31" s="122">
        <v>30752</v>
      </c>
      <c r="Y31" s="126">
        <v>1</v>
      </c>
      <c r="Z31" s="122">
        <v>12892</v>
      </c>
      <c r="AA31" s="126">
        <v>15</v>
      </c>
      <c r="AB31" s="126">
        <v>32</v>
      </c>
      <c r="AC31" s="122">
        <v>13218</v>
      </c>
      <c r="AD31" s="126">
        <v>12</v>
      </c>
      <c r="AE31" s="122">
        <v>4934</v>
      </c>
      <c r="AF31" s="126">
        <v>3</v>
      </c>
      <c r="AG31" s="122">
        <v>4934</v>
      </c>
      <c r="AH31" s="126">
        <v>3</v>
      </c>
      <c r="AI31" s="122">
        <v>39236</v>
      </c>
      <c r="AJ31" s="126">
        <v>3</v>
      </c>
      <c r="AK31" s="122">
        <v>4571</v>
      </c>
      <c r="AL31" s="126" t="s">
        <v>29</v>
      </c>
      <c r="AM31" s="122">
        <v>1276</v>
      </c>
      <c r="AN31" s="126">
        <v>2</v>
      </c>
      <c r="AO31" s="122">
        <v>1472</v>
      </c>
      <c r="AP31" s="126" t="s">
        <v>29</v>
      </c>
      <c r="AQ31" s="122">
        <v>526</v>
      </c>
      <c r="AR31" s="126" t="s">
        <v>29</v>
      </c>
      <c r="AS31" s="122">
        <v>1375</v>
      </c>
      <c r="AT31" s="126" t="s">
        <v>29</v>
      </c>
      <c r="AU31" s="122">
        <v>9708</v>
      </c>
      <c r="AV31" s="126">
        <v>4</v>
      </c>
      <c r="AW31" s="141">
        <v>59</v>
      </c>
      <c r="AX31" s="67" t="s">
        <v>75</v>
      </c>
      <c r="AY31" s="68" t="s">
        <v>76</v>
      </c>
    </row>
    <row r="32" spans="1:51" s="25" customFormat="1" ht="15.75" customHeight="1" x14ac:dyDescent="0.2">
      <c r="A32" s="69">
        <v>24</v>
      </c>
      <c r="B32" s="122">
        <v>27555</v>
      </c>
      <c r="C32" s="126">
        <v>1</v>
      </c>
      <c r="D32" s="122">
        <v>12502</v>
      </c>
      <c r="E32" s="126">
        <v>2</v>
      </c>
      <c r="F32" s="122">
        <v>32454</v>
      </c>
      <c r="G32" s="126">
        <v>3</v>
      </c>
      <c r="H32" s="122">
        <v>25630</v>
      </c>
      <c r="I32" s="126">
        <v>3</v>
      </c>
      <c r="J32" s="122">
        <v>21283</v>
      </c>
      <c r="K32" s="126">
        <v>1</v>
      </c>
      <c r="L32" s="122">
        <v>15756</v>
      </c>
      <c r="M32" s="126">
        <v>2</v>
      </c>
      <c r="N32" s="122">
        <v>14300</v>
      </c>
      <c r="O32" s="126">
        <v>1</v>
      </c>
      <c r="P32" s="122">
        <v>20950</v>
      </c>
      <c r="Q32" s="126">
        <v>1</v>
      </c>
      <c r="R32" s="122">
        <v>25197</v>
      </c>
      <c r="S32" s="126">
        <v>2</v>
      </c>
      <c r="T32" s="122">
        <v>1199</v>
      </c>
      <c r="U32" s="126">
        <v>1</v>
      </c>
      <c r="V32" s="122">
        <v>3236</v>
      </c>
      <c r="W32" s="126">
        <v>1</v>
      </c>
      <c r="X32" s="122">
        <v>30752</v>
      </c>
      <c r="Y32" s="126" t="s">
        <v>29</v>
      </c>
      <c r="Z32" s="122">
        <v>12892</v>
      </c>
      <c r="AA32" s="126" t="s">
        <v>29</v>
      </c>
      <c r="AB32" s="126">
        <v>12</v>
      </c>
      <c r="AC32" s="122">
        <v>13230</v>
      </c>
      <c r="AD32" s="126">
        <v>12</v>
      </c>
      <c r="AE32" s="122">
        <v>4938</v>
      </c>
      <c r="AF32" s="126">
        <v>4</v>
      </c>
      <c r="AG32" s="122">
        <v>4938</v>
      </c>
      <c r="AH32" s="126">
        <v>4</v>
      </c>
      <c r="AI32" s="122">
        <v>39240</v>
      </c>
      <c r="AJ32" s="126">
        <v>4</v>
      </c>
      <c r="AK32" s="122">
        <v>4571</v>
      </c>
      <c r="AL32" s="126" t="s">
        <v>29</v>
      </c>
      <c r="AM32" s="122">
        <v>1277</v>
      </c>
      <c r="AN32" s="126">
        <v>1</v>
      </c>
      <c r="AO32" s="122">
        <v>1472</v>
      </c>
      <c r="AP32" s="126" t="s">
        <v>29</v>
      </c>
      <c r="AQ32" s="122">
        <v>526</v>
      </c>
      <c r="AR32" s="126" t="s">
        <v>29</v>
      </c>
      <c r="AS32" s="122">
        <v>1375</v>
      </c>
      <c r="AT32" s="126" t="s">
        <v>29</v>
      </c>
      <c r="AU32" s="122">
        <v>9713</v>
      </c>
      <c r="AV32" s="126">
        <v>5</v>
      </c>
      <c r="AW32" s="141">
        <v>44</v>
      </c>
      <c r="AX32" s="67" t="s">
        <v>75</v>
      </c>
      <c r="AY32" s="68" t="s">
        <v>76</v>
      </c>
    </row>
    <row r="33" spans="1:51" s="25" customFormat="1" ht="15.75" customHeight="1" x14ac:dyDescent="0.2">
      <c r="A33" s="64">
        <v>25</v>
      </c>
      <c r="B33" s="122">
        <v>27558</v>
      </c>
      <c r="C33" s="126">
        <v>3</v>
      </c>
      <c r="D33" s="122">
        <v>12503</v>
      </c>
      <c r="E33" s="126">
        <v>1</v>
      </c>
      <c r="F33" s="122">
        <v>32456</v>
      </c>
      <c r="G33" s="126">
        <v>2</v>
      </c>
      <c r="H33" s="122">
        <v>25631</v>
      </c>
      <c r="I33" s="126">
        <v>1</v>
      </c>
      <c r="J33" s="122">
        <v>21283</v>
      </c>
      <c r="K33" s="126" t="s">
        <v>29</v>
      </c>
      <c r="L33" s="122">
        <v>15759</v>
      </c>
      <c r="M33" s="126">
        <v>3</v>
      </c>
      <c r="N33" s="122">
        <v>14302</v>
      </c>
      <c r="O33" s="126">
        <v>2</v>
      </c>
      <c r="P33" s="122">
        <v>20951</v>
      </c>
      <c r="Q33" s="126">
        <v>1</v>
      </c>
      <c r="R33" s="122">
        <v>25198</v>
      </c>
      <c r="S33" s="126">
        <v>1</v>
      </c>
      <c r="T33" s="122">
        <v>1201</v>
      </c>
      <c r="U33" s="126">
        <v>2</v>
      </c>
      <c r="V33" s="122">
        <v>3236</v>
      </c>
      <c r="W33" s="126" t="s">
        <v>29</v>
      </c>
      <c r="X33" s="122">
        <v>30754</v>
      </c>
      <c r="Y33" s="126">
        <v>2</v>
      </c>
      <c r="Z33" s="122">
        <v>12892</v>
      </c>
      <c r="AA33" s="126" t="s">
        <v>29</v>
      </c>
      <c r="AB33" s="126">
        <v>12</v>
      </c>
      <c r="AC33" s="122">
        <v>13238</v>
      </c>
      <c r="AD33" s="126">
        <v>8</v>
      </c>
      <c r="AE33" s="122">
        <v>4940</v>
      </c>
      <c r="AF33" s="126">
        <v>2</v>
      </c>
      <c r="AG33" s="122">
        <v>4940</v>
      </c>
      <c r="AH33" s="126">
        <v>2</v>
      </c>
      <c r="AI33" s="122">
        <v>39241</v>
      </c>
      <c r="AJ33" s="126">
        <v>1</v>
      </c>
      <c r="AK33" s="122">
        <v>4572</v>
      </c>
      <c r="AL33" s="126">
        <v>1</v>
      </c>
      <c r="AM33" s="122">
        <v>1284</v>
      </c>
      <c r="AN33" s="126">
        <v>7</v>
      </c>
      <c r="AO33" s="122">
        <v>1472</v>
      </c>
      <c r="AP33" s="126" t="s">
        <v>29</v>
      </c>
      <c r="AQ33" s="122">
        <v>526</v>
      </c>
      <c r="AR33" s="126" t="s">
        <v>29</v>
      </c>
      <c r="AS33" s="122">
        <v>1376</v>
      </c>
      <c r="AT33" s="126">
        <v>1</v>
      </c>
      <c r="AU33" s="122">
        <v>9715</v>
      </c>
      <c r="AV33" s="126">
        <v>2</v>
      </c>
      <c r="AW33" s="141">
        <v>40</v>
      </c>
      <c r="AX33" s="67" t="s">
        <v>75</v>
      </c>
      <c r="AY33" s="68" t="s">
        <v>76</v>
      </c>
    </row>
    <row r="34" spans="1:51" s="25" customFormat="1" ht="15.75" customHeight="1" x14ac:dyDescent="0.2">
      <c r="A34" s="69">
        <v>26</v>
      </c>
      <c r="B34" s="122">
        <v>27559</v>
      </c>
      <c r="C34" s="126">
        <v>1</v>
      </c>
      <c r="D34" s="122">
        <v>12503</v>
      </c>
      <c r="E34" s="126" t="s">
        <v>29</v>
      </c>
      <c r="F34" s="122">
        <v>32456</v>
      </c>
      <c r="G34" s="126" t="s">
        <v>29</v>
      </c>
      <c r="H34" s="122">
        <v>25632</v>
      </c>
      <c r="I34" s="126">
        <v>1</v>
      </c>
      <c r="J34" s="122">
        <v>21283</v>
      </c>
      <c r="K34" s="126" t="s">
        <v>29</v>
      </c>
      <c r="L34" s="122">
        <v>15762</v>
      </c>
      <c r="M34" s="126">
        <v>3</v>
      </c>
      <c r="N34" s="122">
        <v>14302</v>
      </c>
      <c r="O34" s="126" t="s">
        <v>29</v>
      </c>
      <c r="P34" s="122">
        <v>20951</v>
      </c>
      <c r="Q34" s="126" t="s">
        <v>29</v>
      </c>
      <c r="R34" s="122">
        <v>25198</v>
      </c>
      <c r="S34" s="126" t="s">
        <v>29</v>
      </c>
      <c r="T34" s="122">
        <v>1202</v>
      </c>
      <c r="U34" s="126">
        <v>1</v>
      </c>
      <c r="V34" s="122">
        <v>3236</v>
      </c>
      <c r="W34" s="126" t="s">
        <v>29</v>
      </c>
      <c r="X34" s="122">
        <v>30754</v>
      </c>
      <c r="Y34" s="126" t="s">
        <v>29</v>
      </c>
      <c r="Z34" s="122">
        <v>12892</v>
      </c>
      <c r="AA34" s="126" t="s">
        <v>29</v>
      </c>
      <c r="AB34" s="126">
        <v>5</v>
      </c>
      <c r="AC34" s="122">
        <v>13245</v>
      </c>
      <c r="AD34" s="126">
        <v>7</v>
      </c>
      <c r="AE34" s="122">
        <v>4941</v>
      </c>
      <c r="AF34" s="126">
        <v>1</v>
      </c>
      <c r="AG34" s="122">
        <v>4941</v>
      </c>
      <c r="AH34" s="126">
        <v>1</v>
      </c>
      <c r="AI34" s="122">
        <v>39241</v>
      </c>
      <c r="AJ34" s="126" t="s">
        <v>29</v>
      </c>
      <c r="AK34" s="122">
        <v>4572</v>
      </c>
      <c r="AL34" s="126" t="s">
        <v>29</v>
      </c>
      <c r="AM34" s="122">
        <v>1285</v>
      </c>
      <c r="AN34" s="126">
        <v>1</v>
      </c>
      <c r="AO34" s="122">
        <v>1472</v>
      </c>
      <c r="AP34" s="126" t="s">
        <v>29</v>
      </c>
      <c r="AQ34" s="122">
        <v>526</v>
      </c>
      <c r="AR34" s="126" t="s">
        <v>29</v>
      </c>
      <c r="AS34" s="122">
        <v>1376</v>
      </c>
      <c r="AT34" s="126" t="s">
        <v>29</v>
      </c>
      <c r="AU34" s="122">
        <v>9717</v>
      </c>
      <c r="AV34" s="126">
        <v>2</v>
      </c>
      <c r="AW34" s="141">
        <v>17</v>
      </c>
      <c r="AX34" s="67" t="s">
        <v>75</v>
      </c>
      <c r="AY34" s="68" t="s">
        <v>76</v>
      </c>
    </row>
    <row r="35" spans="1:51" s="25" customFormat="1" ht="15.75" customHeight="1" x14ac:dyDescent="0.2">
      <c r="A35" s="69">
        <v>27</v>
      </c>
      <c r="B35" s="122">
        <v>27560</v>
      </c>
      <c r="C35" s="169">
        <f t="shared" ref="C35:C37" si="17">B35-B34</f>
        <v>1</v>
      </c>
      <c r="D35" s="122">
        <v>12505</v>
      </c>
      <c r="E35" s="169">
        <f t="shared" ref="E35:E37" si="18">D35-D34</f>
        <v>2</v>
      </c>
      <c r="F35" s="122">
        <v>32459</v>
      </c>
      <c r="G35" s="169">
        <f t="shared" ref="G35:G37" si="19">F35-F34</f>
        <v>3</v>
      </c>
      <c r="H35" s="122">
        <v>25633</v>
      </c>
      <c r="I35" s="169">
        <f t="shared" ref="I35:I37" si="20">H35-H34</f>
        <v>1</v>
      </c>
      <c r="J35" s="122">
        <v>21284</v>
      </c>
      <c r="K35" s="169">
        <f t="shared" ref="K35:K37" si="21">J35-J34</f>
        <v>1</v>
      </c>
      <c r="L35" s="122">
        <v>15765</v>
      </c>
      <c r="M35" s="169">
        <f t="shared" ref="M35:M37" si="22">L35-L34</f>
        <v>3</v>
      </c>
      <c r="N35" s="122">
        <v>14303</v>
      </c>
      <c r="O35" s="169">
        <f t="shared" ref="O35:O37" si="23">N35-N34</f>
        <v>1</v>
      </c>
      <c r="P35" s="122">
        <v>20952</v>
      </c>
      <c r="Q35" s="169">
        <f t="shared" ref="Q35:Q37" si="24">P35-P34</f>
        <v>1</v>
      </c>
      <c r="R35" s="122">
        <v>25199</v>
      </c>
      <c r="S35" s="169">
        <f t="shared" ref="S35:S37" si="25">R35-R34</f>
        <v>1</v>
      </c>
      <c r="T35" s="122">
        <v>1203</v>
      </c>
      <c r="U35" s="169">
        <f t="shared" ref="U35:U39" si="26">T35-T34</f>
        <v>1</v>
      </c>
      <c r="V35" s="122">
        <v>3236</v>
      </c>
      <c r="W35" s="169">
        <f t="shared" ref="W35:W36" si="27">V35-V34</f>
        <v>0</v>
      </c>
      <c r="X35" s="122">
        <v>30756</v>
      </c>
      <c r="Y35" s="169">
        <f t="shared" ref="Y35:Y37" si="28">X35-X34</f>
        <v>2</v>
      </c>
      <c r="Z35" s="122">
        <v>12892</v>
      </c>
      <c r="AA35" s="169">
        <f t="shared" ref="AA35:AA37" si="29">Z35-Z34</f>
        <v>0</v>
      </c>
      <c r="AB35" s="169">
        <f t="shared" ref="AB35:AB39" si="30">I35+K35+M35+O35+Q35+S35+U35+W35+Y35+AA35</f>
        <v>11</v>
      </c>
      <c r="AC35" s="122">
        <v>13256</v>
      </c>
      <c r="AD35" s="169">
        <f t="shared" ref="AD35:AD37" si="31">AC35-AC34</f>
        <v>11</v>
      </c>
      <c r="AE35" s="127"/>
      <c r="AF35" s="126"/>
      <c r="AG35" s="122">
        <v>4945</v>
      </c>
      <c r="AH35" s="169">
        <f t="shared" ref="AH35:AH37" si="32">AG35-AG34</f>
        <v>4</v>
      </c>
      <c r="AI35" s="122">
        <v>39242</v>
      </c>
      <c r="AJ35" s="169">
        <f t="shared" ref="AJ35:AJ37" si="33">AI35-AI34</f>
        <v>1</v>
      </c>
      <c r="AK35" s="122">
        <v>4573</v>
      </c>
      <c r="AL35" s="169">
        <f t="shared" ref="AL35:AL39" si="34">AK35-AK34</f>
        <v>1</v>
      </c>
      <c r="AM35" s="122">
        <v>1286</v>
      </c>
      <c r="AN35" s="169">
        <f t="shared" ref="AN35:AN37" si="35">AM35-AM34</f>
        <v>1</v>
      </c>
      <c r="AO35" s="122">
        <v>1472</v>
      </c>
      <c r="AP35" s="169">
        <f t="shared" ref="AP35:AP37" si="36">AO35-AO34</f>
        <v>0</v>
      </c>
      <c r="AQ35" s="122">
        <v>526</v>
      </c>
      <c r="AR35" s="169">
        <f t="shared" ref="AR35:AR37" si="37">AQ35-AQ34</f>
        <v>0</v>
      </c>
      <c r="AS35" s="122">
        <v>1376</v>
      </c>
      <c r="AT35" s="169">
        <f t="shared" ref="AT35:AT37" si="38">AS35-AS34</f>
        <v>0</v>
      </c>
      <c r="AU35" s="122">
        <v>9721</v>
      </c>
      <c r="AV35" s="169">
        <f t="shared" ref="AV35:AV37" si="39">AU35-AU34</f>
        <v>4</v>
      </c>
      <c r="AW35" s="141">
        <v>39</v>
      </c>
      <c r="AX35" s="67" t="s">
        <v>75</v>
      </c>
      <c r="AY35" s="68" t="s">
        <v>76</v>
      </c>
    </row>
    <row r="36" spans="1:51" s="25" customFormat="1" ht="15.75" customHeight="1" x14ac:dyDescent="0.2">
      <c r="A36" s="64">
        <v>28</v>
      </c>
      <c r="B36" s="122">
        <v>27561</v>
      </c>
      <c r="C36" s="169">
        <f t="shared" si="17"/>
        <v>1</v>
      </c>
      <c r="D36" s="122">
        <v>12506</v>
      </c>
      <c r="E36" s="169">
        <f t="shared" si="18"/>
        <v>1</v>
      </c>
      <c r="F36" s="122">
        <v>32461</v>
      </c>
      <c r="G36" s="169">
        <f t="shared" si="19"/>
        <v>2</v>
      </c>
      <c r="H36" s="122">
        <v>25634</v>
      </c>
      <c r="I36" s="169">
        <f t="shared" si="20"/>
        <v>1</v>
      </c>
      <c r="J36" s="122">
        <v>21284</v>
      </c>
      <c r="K36" s="169">
        <f t="shared" si="21"/>
        <v>0</v>
      </c>
      <c r="L36" s="122">
        <v>15767</v>
      </c>
      <c r="M36" s="169">
        <f t="shared" si="22"/>
        <v>2</v>
      </c>
      <c r="N36" s="122">
        <v>14303</v>
      </c>
      <c r="O36" s="169">
        <f t="shared" si="23"/>
        <v>0</v>
      </c>
      <c r="P36" s="122">
        <v>20952</v>
      </c>
      <c r="Q36" s="169">
        <f t="shared" si="24"/>
        <v>0</v>
      </c>
      <c r="R36" s="122">
        <v>25200</v>
      </c>
      <c r="S36" s="169">
        <f t="shared" si="25"/>
        <v>1</v>
      </c>
      <c r="T36" s="122">
        <v>1204</v>
      </c>
      <c r="U36" s="169">
        <f t="shared" si="26"/>
        <v>1</v>
      </c>
      <c r="V36" s="122">
        <v>3236</v>
      </c>
      <c r="W36" s="169">
        <f t="shared" si="27"/>
        <v>0</v>
      </c>
      <c r="X36" s="122">
        <v>30757</v>
      </c>
      <c r="Y36" s="169">
        <f t="shared" si="28"/>
        <v>1</v>
      </c>
      <c r="Z36" s="122">
        <v>12892</v>
      </c>
      <c r="AA36" s="169">
        <f t="shared" si="29"/>
        <v>0</v>
      </c>
      <c r="AB36" s="169">
        <f t="shared" si="30"/>
        <v>6</v>
      </c>
      <c r="AC36" s="122">
        <v>13267</v>
      </c>
      <c r="AD36" s="169">
        <f t="shared" si="31"/>
        <v>11</v>
      </c>
      <c r="AE36" s="127"/>
      <c r="AF36" s="126"/>
      <c r="AG36" s="122">
        <v>4950</v>
      </c>
      <c r="AH36" s="169">
        <f t="shared" si="32"/>
        <v>5</v>
      </c>
      <c r="AI36" s="122">
        <v>39243</v>
      </c>
      <c r="AJ36" s="169">
        <f t="shared" si="33"/>
        <v>1</v>
      </c>
      <c r="AK36" s="122">
        <v>4573</v>
      </c>
      <c r="AL36" s="169">
        <f t="shared" si="34"/>
        <v>0</v>
      </c>
      <c r="AM36" s="122">
        <v>1286</v>
      </c>
      <c r="AN36" s="169">
        <f t="shared" si="35"/>
        <v>0</v>
      </c>
      <c r="AO36" s="122">
        <v>1472</v>
      </c>
      <c r="AP36" s="169">
        <f t="shared" si="36"/>
        <v>0</v>
      </c>
      <c r="AQ36" s="122">
        <v>526</v>
      </c>
      <c r="AR36" s="169">
        <f t="shared" si="37"/>
        <v>0</v>
      </c>
      <c r="AS36" s="122">
        <v>1376</v>
      </c>
      <c r="AT36" s="169">
        <f t="shared" si="38"/>
        <v>0</v>
      </c>
      <c r="AU36" s="122">
        <v>9726</v>
      </c>
      <c r="AV36" s="169">
        <f t="shared" si="39"/>
        <v>5</v>
      </c>
      <c r="AW36" s="141">
        <v>32</v>
      </c>
      <c r="AX36" s="67" t="s">
        <v>75</v>
      </c>
      <c r="AY36" s="68" t="s">
        <v>76</v>
      </c>
    </row>
    <row r="37" spans="1:51" s="25" customFormat="1" ht="15.75" customHeight="1" x14ac:dyDescent="0.2">
      <c r="A37" s="69">
        <v>29</v>
      </c>
      <c r="B37" s="122">
        <v>27563</v>
      </c>
      <c r="C37" s="169">
        <f t="shared" si="17"/>
        <v>2</v>
      </c>
      <c r="D37" s="122">
        <v>12509</v>
      </c>
      <c r="E37" s="169">
        <f t="shared" si="18"/>
        <v>3</v>
      </c>
      <c r="F37" s="122">
        <v>32465</v>
      </c>
      <c r="G37" s="169">
        <f t="shared" si="19"/>
        <v>4</v>
      </c>
      <c r="H37" s="122">
        <v>25636</v>
      </c>
      <c r="I37" s="169">
        <f t="shared" si="20"/>
        <v>2</v>
      </c>
      <c r="J37" s="122">
        <v>21284</v>
      </c>
      <c r="K37" s="169">
        <f t="shared" si="21"/>
        <v>0</v>
      </c>
      <c r="L37" s="122">
        <v>15771</v>
      </c>
      <c r="M37" s="169">
        <f t="shared" si="22"/>
        <v>4</v>
      </c>
      <c r="N37" s="122">
        <v>14304</v>
      </c>
      <c r="O37" s="169">
        <f t="shared" si="23"/>
        <v>1</v>
      </c>
      <c r="P37" s="122">
        <v>20952</v>
      </c>
      <c r="Q37" s="169">
        <f t="shared" si="24"/>
        <v>0</v>
      </c>
      <c r="R37" s="122">
        <v>25200</v>
      </c>
      <c r="S37" s="169">
        <f t="shared" si="25"/>
        <v>0</v>
      </c>
      <c r="T37" s="122">
        <v>1206</v>
      </c>
      <c r="U37" s="169">
        <f t="shared" si="26"/>
        <v>2</v>
      </c>
      <c r="V37" s="122">
        <v>3237</v>
      </c>
      <c r="W37" s="169">
        <f>V37-V36</f>
        <v>1</v>
      </c>
      <c r="X37" s="122">
        <v>30757</v>
      </c>
      <c r="Y37" s="169">
        <f t="shared" si="28"/>
        <v>0</v>
      </c>
      <c r="Z37" s="122">
        <v>12892</v>
      </c>
      <c r="AA37" s="169">
        <f t="shared" si="29"/>
        <v>0</v>
      </c>
      <c r="AB37" s="169">
        <f t="shared" si="30"/>
        <v>10</v>
      </c>
      <c r="AC37" s="122">
        <v>13274</v>
      </c>
      <c r="AD37" s="169">
        <f t="shared" si="31"/>
        <v>7</v>
      </c>
      <c r="AE37" s="127"/>
      <c r="AF37" s="126"/>
      <c r="AG37" s="122">
        <v>4953</v>
      </c>
      <c r="AH37" s="169">
        <f t="shared" si="32"/>
        <v>3</v>
      </c>
      <c r="AI37" s="122">
        <v>39250</v>
      </c>
      <c r="AJ37" s="169">
        <f t="shared" si="33"/>
        <v>7</v>
      </c>
      <c r="AK37" s="122">
        <v>4573</v>
      </c>
      <c r="AL37" s="169">
        <f t="shared" si="34"/>
        <v>0</v>
      </c>
      <c r="AM37" s="122">
        <v>1291</v>
      </c>
      <c r="AN37" s="169">
        <f t="shared" si="35"/>
        <v>5</v>
      </c>
      <c r="AO37" s="122">
        <v>1472</v>
      </c>
      <c r="AP37" s="169">
        <f t="shared" si="36"/>
        <v>0</v>
      </c>
      <c r="AQ37" s="122">
        <v>526</v>
      </c>
      <c r="AR37" s="169">
        <f t="shared" si="37"/>
        <v>0</v>
      </c>
      <c r="AS37" s="122">
        <v>1376</v>
      </c>
      <c r="AT37" s="169">
        <f t="shared" si="38"/>
        <v>0</v>
      </c>
      <c r="AU37" s="122">
        <v>9730</v>
      </c>
      <c r="AV37" s="169">
        <f t="shared" si="39"/>
        <v>4</v>
      </c>
      <c r="AW37" s="141">
        <v>45</v>
      </c>
      <c r="AX37" s="67" t="s">
        <v>75</v>
      </c>
      <c r="AY37" s="68" t="s">
        <v>76</v>
      </c>
    </row>
    <row r="38" spans="1:51" s="25" customFormat="1" ht="15.75" customHeight="1" x14ac:dyDescent="0.2">
      <c r="A38" s="69">
        <v>30</v>
      </c>
      <c r="B38" s="142">
        <v>27565</v>
      </c>
      <c r="C38" s="170">
        <f>B38-B37</f>
        <v>2</v>
      </c>
      <c r="D38" s="142">
        <v>12511</v>
      </c>
      <c r="E38" s="170">
        <f>D38-D37</f>
        <v>2</v>
      </c>
      <c r="F38" s="142">
        <v>32470</v>
      </c>
      <c r="G38" s="170">
        <f>F38-F37</f>
        <v>5</v>
      </c>
      <c r="H38" s="142">
        <v>25642</v>
      </c>
      <c r="I38" s="170">
        <f>H38-H37</f>
        <v>6</v>
      </c>
      <c r="J38" s="142">
        <v>21288</v>
      </c>
      <c r="K38" s="170">
        <f>J38-J37</f>
        <v>4</v>
      </c>
      <c r="L38" s="142">
        <v>15777</v>
      </c>
      <c r="M38" s="170">
        <f>L38-L37</f>
        <v>6</v>
      </c>
      <c r="N38" s="142">
        <v>14307</v>
      </c>
      <c r="O38" s="170">
        <f>N38-N37</f>
        <v>3</v>
      </c>
      <c r="P38" s="142">
        <v>20956</v>
      </c>
      <c r="Q38" s="170">
        <f>P38-P37</f>
        <v>4</v>
      </c>
      <c r="R38" s="142">
        <v>25205</v>
      </c>
      <c r="S38" s="170">
        <f>R38-R37</f>
        <v>5</v>
      </c>
      <c r="T38" s="142">
        <v>1206</v>
      </c>
      <c r="U38" s="169">
        <f t="shared" si="26"/>
        <v>0</v>
      </c>
      <c r="V38" s="142">
        <v>3237</v>
      </c>
      <c r="W38" s="170">
        <f>V38-V37</f>
        <v>0</v>
      </c>
      <c r="X38" s="142">
        <v>30759</v>
      </c>
      <c r="Y38" s="170">
        <f>X38-X37</f>
        <v>2</v>
      </c>
      <c r="Z38" s="142">
        <v>12892</v>
      </c>
      <c r="AA38" s="170">
        <f>Z38-Z37</f>
        <v>0</v>
      </c>
      <c r="AB38" s="170">
        <f t="shared" si="30"/>
        <v>30</v>
      </c>
      <c r="AC38" s="142">
        <v>13286</v>
      </c>
      <c r="AD38" s="170">
        <f>AC38-AC37</f>
        <v>12</v>
      </c>
      <c r="AE38" s="144"/>
      <c r="AF38" s="143"/>
      <c r="AG38" s="142">
        <v>4958</v>
      </c>
      <c r="AH38" s="170">
        <f>AG38-AG37</f>
        <v>5</v>
      </c>
      <c r="AI38" s="142">
        <v>39254</v>
      </c>
      <c r="AJ38" s="170">
        <f>AI38-AI37</f>
        <v>4</v>
      </c>
      <c r="AK38" s="142">
        <v>4575</v>
      </c>
      <c r="AL38" s="170">
        <f t="shared" si="34"/>
        <v>2</v>
      </c>
      <c r="AM38" s="142">
        <v>1293</v>
      </c>
      <c r="AN38" s="170">
        <f>AM38-AM37</f>
        <v>2</v>
      </c>
      <c r="AO38" s="142">
        <v>1472</v>
      </c>
      <c r="AP38" s="170">
        <f>AO38-AO37</f>
        <v>0</v>
      </c>
      <c r="AQ38" s="142">
        <v>526</v>
      </c>
      <c r="AR38" s="170">
        <f>AQ38-AQ37</f>
        <v>0</v>
      </c>
      <c r="AS38" s="142">
        <v>1376</v>
      </c>
      <c r="AT38" s="170">
        <f>AS38-AS37</f>
        <v>0</v>
      </c>
      <c r="AU38" s="142">
        <v>9735</v>
      </c>
      <c r="AV38" s="170">
        <f>AU38-AU37</f>
        <v>5</v>
      </c>
      <c r="AW38" s="141">
        <v>69</v>
      </c>
      <c r="AX38" s="67" t="s">
        <v>75</v>
      </c>
      <c r="AY38" s="68" t="s">
        <v>76</v>
      </c>
    </row>
    <row r="39" spans="1:51" s="25" customFormat="1" ht="15.75" customHeight="1" x14ac:dyDescent="0.2">
      <c r="A39" s="120">
        <v>31</v>
      </c>
      <c r="B39" s="153">
        <v>27566</v>
      </c>
      <c r="C39" s="65">
        <f>B39-B38</f>
        <v>1</v>
      </c>
      <c r="D39" s="153">
        <v>12512</v>
      </c>
      <c r="E39" s="65">
        <f>D39-D38</f>
        <v>1</v>
      </c>
      <c r="F39" s="153">
        <v>32474</v>
      </c>
      <c r="G39" s="65">
        <f>F39-F38</f>
        <v>4</v>
      </c>
      <c r="H39" s="153">
        <v>25644</v>
      </c>
      <c r="I39" s="65">
        <f>H39-H38</f>
        <v>2</v>
      </c>
      <c r="J39" s="171">
        <v>21290</v>
      </c>
      <c r="K39" s="65">
        <f>J39-J38</f>
        <v>2</v>
      </c>
      <c r="L39" s="153">
        <v>15780</v>
      </c>
      <c r="M39" s="65">
        <f>L39-L38</f>
        <v>3</v>
      </c>
      <c r="N39" s="66">
        <v>14308</v>
      </c>
      <c r="O39" s="65">
        <f>N39-N38</f>
        <v>1</v>
      </c>
      <c r="P39" s="66">
        <v>20958</v>
      </c>
      <c r="Q39" s="65">
        <f>P39-P38</f>
        <v>2</v>
      </c>
      <c r="R39" s="66">
        <v>25207</v>
      </c>
      <c r="S39" s="65">
        <f>R39-R38</f>
        <v>2</v>
      </c>
      <c r="T39" s="66">
        <v>1207</v>
      </c>
      <c r="U39" s="169">
        <f t="shared" si="26"/>
        <v>1</v>
      </c>
      <c r="V39" s="153">
        <v>3237</v>
      </c>
      <c r="W39" s="65">
        <f>V39-V38</f>
        <v>0</v>
      </c>
      <c r="X39" s="153">
        <v>30759</v>
      </c>
      <c r="Y39" s="65">
        <f>X39-X38</f>
        <v>0</v>
      </c>
      <c r="Z39" s="66">
        <v>12892</v>
      </c>
      <c r="AA39" s="65">
        <f>Z39-Z38</f>
        <v>0</v>
      </c>
      <c r="AB39" s="65">
        <f t="shared" si="30"/>
        <v>13</v>
      </c>
      <c r="AC39" s="66">
        <v>13296</v>
      </c>
      <c r="AD39" s="65">
        <f>AC39-AC38</f>
        <v>10</v>
      </c>
      <c r="AE39" s="66"/>
      <c r="AF39" s="65"/>
      <c r="AG39" s="172">
        <v>4962</v>
      </c>
      <c r="AH39" s="65">
        <f>AG39-AG38</f>
        <v>4</v>
      </c>
      <c r="AI39" s="153">
        <v>39258</v>
      </c>
      <c r="AJ39" s="65">
        <f>AI39-AI38</f>
        <v>4</v>
      </c>
      <c r="AK39" s="66">
        <v>4575</v>
      </c>
      <c r="AL39" s="65">
        <f t="shared" si="34"/>
        <v>0</v>
      </c>
      <c r="AM39" s="66">
        <v>1294</v>
      </c>
      <c r="AN39" s="65">
        <f>AM39-AM38</f>
        <v>1</v>
      </c>
      <c r="AO39" s="66">
        <v>1472</v>
      </c>
      <c r="AP39" s="65">
        <f>AO39-AO38</f>
        <v>0</v>
      </c>
      <c r="AQ39" s="66">
        <v>526</v>
      </c>
      <c r="AR39" s="65">
        <f>AQ39-AQ38</f>
        <v>0</v>
      </c>
      <c r="AS39" s="66">
        <v>1376</v>
      </c>
      <c r="AT39" s="65">
        <f>AS39-AS38</f>
        <v>0</v>
      </c>
      <c r="AU39" s="153">
        <v>9740</v>
      </c>
      <c r="AV39" s="65">
        <f>AU39-AU38</f>
        <v>5</v>
      </c>
      <c r="AW39" s="141">
        <v>43</v>
      </c>
      <c r="AX39" s="67"/>
      <c r="AY39" s="68"/>
    </row>
    <row r="40" spans="1:51" s="25" customFormat="1" ht="15.75" customHeight="1" thickBot="1" x14ac:dyDescent="0.25">
      <c r="A40" s="100" t="s">
        <v>18</v>
      </c>
      <c r="B40" s="121"/>
      <c r="C40" s="102"/>
      <c r="D40" s="101"/>
      <c r="E40" s="102"/>
      <c r="F40" s="101"/>
      <c r="G40" s="102"/>
      <c r="H40" s="101"/>
      <c r="I40" s="102"/>
      <c r="J40" s="103"/>
      <c r="K40" s="102"/>
      <c r="L40" s="101"/>
      <c r="M40" s="102"/>
      <c r="N40" s="104"/>
      <c r="O40" s="102"/>
      <c r="P40" s="104"/>
      <c r="Q40" s="102"/>
      <c r="R40" s="104"/>
      <c r="S40" s="102"/>
      <c r="T40" s="104"/>
      <c r="U40" s="102"/>
      <c r="V40" s="104"/>
      <c r="W40" s="102"/>
      <c r="X40" s="104"/>
      <c r="Y40" s="102"/>
      <c r="Z40" s="104"/>
      <c r="AA40" s="102"/>
      <c r="AB40" s="102"/>
      <c r="AC40" s="104"/>
      <c r="AD40" s="102"/>
      <c r="AE40" s="104"/>
      <c r="AF40" s="102"/>
      <c r="AG40" s="105"/>
      <c r="AH40" s="102"/>
      <c r="AI40" s="106"/>
      <c r="AJ40" s="102"/>
      <c r="AK40" s="107"/>
      <c r="AL40" s="102"/>
      <c r="AM40" s="107"/>
      <c r="AN40" s="102"/>
      <c r="AO40" s="107"/>
      <c r="AP40" s="102"/>
      <c r="AQ40" s="107"/>
      <c r="AR40" s="102"/>
      <c r="AS40" s="107"/>
      <c r="AT40" s="102"/>
      <c r="AU40" s="106"/>
      <c r="AV40" s="102"/>
      <c r="AW40" s="173">
        <f>SUM(AW9:AW39)</f>
        <v>1611</v>
      </c>
      <c r="AX40" s="67" t="s">
        <v>75</v>
      </c>
      <c r="AY40" s="68" t="s">
        <v>76</v>
      </c>
    </row>
    <row r="41" spans="1:51" s="25" customFormat="1" ht="12.75" customHeight="1" x14ac:dyDescent="0.2">
      <c r="A41" s="24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1"/>
      <c r="T41" s="71"/>
      <c r="U41" s="71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</row>
    <row r="42" spans="1:51" s="25" customFormat="1" ht="15" customHeight="1" x14ac:dyDescent="0.2">
      <c r="A42" s="24"/>
      <c r="B42" s="71"/>
      <c r="C42" s="71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24"/>
      <c r="P42" s="70"/>
      <c r="Q42" s="70"/>
      <c r="R42" s="71"/>
      <c r="S42" s="71"/>
      <c r="T42" s="71"/>
      <c r="U42" s="71"/>
      <c r="V42" s="72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</row>
    <row r="43" spans="1:51" s="25" customFormat="1" ht="15" customHeight="1" x14ac:dyDescent="0.2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</row>
    <row r="44" spans="1:51" s="25" customFormat="1" ht="18" customHeight="1" x14ac:dyDescent="0.3">
      <c r="A44" s="73" t="s">
        <v>77</v>
      </c>
      <c r="B44" s="74"/>
      <c r="C44" s="75"/>
      <c r="D44" s="24"/>
      <c r="E44" s="24"/>
      <c r="F44" s="24"/>
      <c r="G44" s="27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</row>
    <row r="45" spans="1:51" s="25" customFormat="1" ht="18" customHeight="1" x14ac:dyDescent="0.3">
      <c r="A45" s="76"/>
      <c r="B45" s="77"/>
      <c r="C45" s="78"/>
      <c r="D45" s="79"/>
      <c r="E45" s="79"/>
      <c r="F45" s="79"/>
      <c r="G45" s="27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</row>
    <row r="46" spans="1:51" ht="18" customHeight="1" x14ac:dyDescent="0.25">
      <c r="B46" s="80"/>
      <c r="G46" s="27"/>
      <c r="AH46" s="25"/>
      <c r="AW46" s="25"/>
    </row>
    <row r="47" spans="1:51" ht="18" customHeight="1" x14ac:dyDescent="0.25">
      <c r="B47" s="81"/>
      <c r="G47" s="27"/>
      <c r="AH47" s="25"/>
      <c r="AW47" s="25"/>
    </row>
    <row r="48" spans="1:51" ht="18" customHeight="1" x14ac:dyDescent="0.25">
      <c r="B48" s="80"/>
      <c r="AH48" s="25"/>
      <c r="AW48" s="25"/>
    </row>
    <row r="49" spans="2:49" ht="18" customHeight="1" x14ac:dyDescent="0.25">
      <c r="B49" s="82"/>
      <c r="AH49" s="25"/>
      <c r="AW49" s="25"/>
    </row>
    <row r="50" spans="2:49" ht="18" customHeight="1" x14ac:dyDescent="0.25">
      <c r="B50" s="82"/>
      <c r="AH50" s="25"/>
      <c r="AW50" s="25"/>
    </row>
    <row r="51" spans="2:49" ht="18" customHeight="1" x14ac:dyDescent="0.25">
      <c r="AH51" s="25"/>
      <c r="AW51" s="25"/>
    </row>
    <row r="52" spans="2:49" ht="18" customHeight="1" x14ac:dyDescent="0.25">
      <c r="AH52" s="25"/>
      <c r="AW52" s="25"/>
    </row>
    <row r="53" spans="2:49" ht="18" customHeight="1" x14ac:dyDescent="0.25">
      <c r="AH53" s="25"/>
      <c r="AW53" s="25"/>
    </row>
    <row r="54" spans="2:49" ht="18" customHeight="1" x14ac:dyDescent="0.25"/>
    <row r="55" spans="2:49" ht="18" customHeight="1" x14ac:dyDescent="0.25"/>
    <row r="56" spans="2:49" ht="18" customHeight="1" x14ac:dyDescent="0.25"/>
  </sheetData>
  <mergeCells count="2">
    <mergeCell ref="I4:R4"/>
    <mergeCell ref="D6:F6"/>
  </mergeCells>
  <conditionalFormatting sqref="O35:O39 M35:M39 C35:C39 E35:E39 G35:G39 K35:K39 S35:S39 Q35:Q39 I35:I39 U35:U39">
    <cfRule type="cellIs" dxfId="28" priority="39" operator="greaterThan">
      <formula>15</formula>
    </cfRule>
  </conditionalFormatting>
  <conditionalFormatting sqref="C35:C39 U35:U39">
    <cfRule type="cellIs" dxfId="27" priority="38" operator="greaterThan">
      <formula>15</formula>
    </cfRule>
  </conditionalFormatting>
  <conditionalFormatting sqref="C35:C39 S35:S39">
    <cfRule type="cellIs" dxfId="26" priority="36" operator="greaterThan">
      <formula>15</formula>
    </cfRule>
    <cfRule type="cellIs" dxfId="25" priority="37" operator="greaterThan">
      <formula>15</formula>
    </cfRule>
  </conditionalFormatting>
  <conditionalFormatting sqref="U35:U39">
    <cfRule type="cellIs" dxfId="24" priority="35" operator="greaterThan">
      <formula>10</formula>
    </cfRule>
  </conditionalFormatting>
  <conditionalFormatting sqref="W35:W39 Y35:Y39 AA35:AA39 AD35:AD39">
    <cfRule type="cellIs" dxfId="23" priority="34" operator="greaterThan">
      <formula>15</formula>
    </cfRule>
  </conditionalFormatting>
  <conditionalFormatting sqref="AD35:AD39">
    <cfRule type="cellIs" dxfId="22" priority="33" operator="greaterThan">
      <formula>15</formula>
    </cfRule>
  </conditionalFormatting>
  <conditionalFormatting sqref="Y35:Y39 AD35:AD39">
    <cfRule type="cellIs" dxfId="21" priority="31" operator="greaterThan">
      <formula>15</formula>
    </cfRule>
    <cfRule type="cellIs" dxfId="20" priority="32" operator="greaterThan">
      <formula>15</formula>
    </cfRule>
  </conditionalFormatting>
  <conditionalFormatting sqref="AJ35:AJ39 AH35:AH39">
    <cfRule type="cellIs" dxfId="19" priority="30" operator="greaterThan">
      <formula>15</formula>
    </cfRule>
  </conditionalFormatting>
  <conditionalFormatting sqref="AJ35:AJ39">
    <cfRule type="cellIs" dxfId="18" priority="29" operator="greaterThan">
      <formula>15</formula>
    </cfRule>
  </conditionalFormatting>
  <conditionalFormatting sqref="AV35:AV39">
    <cfRule type="cellIs" dxfId="17" priority="28" operator="greaterThan">
      <formula>15</formula>
    </cfRule>
  </conditionalFormatting>
  <conditionalFormatting sqref="O13 M13 C13 E13 G13 K13 S13 Q13 I13 U13">
    <cfRule type="cellIs" dxfId="16" priority="27" operator="greaterThan">
      <formula>15</formula>
    </cfRule>
  </conditionalFormatting>
  <conditionalFormatting sqref="C13 U13">
    <cfRule type="cellIs" dxfId="15" priority="26" operator="greaterThan">
      <formula>15</formula>
    </cfRule>
  </conditionalFormatting>
  <conditionalFormatting sqref="C13 S13">
    <cfRule type="cellIs" dxfId="14" priority="24" operator="greaterThan">
      <formula>15</formula>
    </cfRule>
    <cfRule type="cellIs" dxfId="13" priority="25" operator="greaterThan">
      <formula>15</formula>
    </cfRule>
  </conditionalFormatting>
  <conditionalFormatting sqref="U13">
    <cfRule type="cellIs" dxfId="12" priority="23" operator="greaterThan">
      <formula>10</formula>
    </cfRule>
  </conditionalFormatting>
  <conditionalFormatting sqref="AH13">
    <cfRule type="cellIs" dxfId="11" priority="14" operator="greaterThan">
      <formula>15</formula>
    </cfRule>
  </conditionalFormatting>
  <conditionalFormatting sqref="AH13">
    <cfRule type="cellIs" dxfId="10" priority="13" operator="greaterThan">
      <formula>15</formula>
    </cfRule>
  </conditionalFormatting>
  <conditionalFormatting sqref="W13 Y13 AA13">
    <cfRule type="cellIs" dxfId="9" priority="10" operator="greaterThan">
      <formula>15</formula>
    </cfRule>
  </conditionalFormatting>
  <conditionalFormatting sqref="Y13">
    <cfRule type="cellIs" dxfId="8" priority="8" operator="greaterThan">
      <formula>15</formula>
    </cfRule>
    <cfRule type="cellIs" dxfId="7" priority="9" operator="greaterThan">
      <formula>15</formula>
    </cfRule>
  </conditionalFormatting>
  <conditionalFormatting sqref="AF13 AD13">
    <cfRule type="cellIs" dxfId="6" priority="7" operator="greaterThan">
      <formula>15</formula>
    </cfRule>
  </conditionalFormatting>
  <conditionalFormatting sqref="AD13">
    <cfRule type="cellIs" dxfId="5" priority="6" operator="greaterThan">
      <formula>15</formula>
    </cfRule>
  </conditionalFormatting>
  <conditionalFormatting sqref="AD13">
    <cfRule type="cellIs" dxfId="4" priority="4" operator="greaterThan">
      <formula>15</formula>
    </cfRule>
    <cfRule type="cellIs" dxfId="3" priority="5" operator="greaterThan">
      <formula>15</formula>
    </cfRule>
  </conditionalFormatting>
  <conditionalFormatting sqref="AJ13">
    <cfRule type="cellIs" dxfId="2" priority="3" operator="greaterThan">
      <formula>15</formula>
    </cfRule>
  </conditionalFormatting>
  <conditionalFormatting sqref="AJ13">
    <cfRule type="cellIs" dxfId="1" priority="2" operator="greaterThan">
      <formula>15</formula>
    </cfRule>
  </conditionalFormatting>
  <conditionalFormatting sqref="AV13">
    <cfRule type="cellIs" dxfId="0" priority="1" operator="greaterThan">
      <formula>15</formula>
    </cfRule>
  </conditionalFormatting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2" ma:contentTypeDescription="Create a new document." ma:contentTypeScope="" ma:versionID="56f4fc68a42881a191d14fb4ade58810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f7728ced4cf40371306f0b8e7d593d50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6C605E-F404-41B9-AD4E-490956F80F5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52A8884-40AE-4065-8513-5481A0A532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CCE09C-85DF-404B-B66C-0F1598EF46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f43ebd-2a19-4bb7-a86e-e6d7ee257b8d"/>
    <ds:schemaRef ds:uri="7baf53ce-c784-4a12-8ee0-51f8f1a018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Electricity</vt:lpstr>
      <vt:lpstr>Water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2021-09-03T03:47:18Z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</Properties>
</file>